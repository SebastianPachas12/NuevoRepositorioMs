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ownloads\"/>
    </mc:Choice>
  </mc:AlternateContent>
  <xr:revisionPtr revIDLastSave="0" documentId="13_ncr:1_{382E3F1F-212C-4BA8-AE4C-4534BE0DAF00}" xr6:coauthVersionLast="47" xr6:coauthVersionMax="47" xr10:uidLastSave="{00000000-0000-0000-0000-000000000000}"/>
  <bookViews>
    <workbookView xWindow="-110" yWindow="-110" windowWidth="19420" windowHeight="11500" activeTab="1" xr2:uid="{A303C6FA-AEE3-49D6-93DF-8C54C68384A6}"/>
  </bookViews>
  <sheets>
    <sheet name="PSS" sheetId="1" r:id="rId1"/>
    <sheet name="USD" sheetId="2" r:id="rId2"/>
    <sheet name="EUR" sheetId="5" r:id="rId3"/>
    <sheet name="Consolidado" sheetId="3" r:id="rId4"/>
  </sheets>
  <externalReferences>
    <externalReference r:id="rId5"/>
  </externalReferences>
  <definedNames>
    <definedName name="_xlnm._FilterDatabase" localSheetId="3" hidden="1">Consolidado!$A$1:$H$35</definedName>
    <definedName name="_xlnm._FilterDatabase" localSheetId="0" hidden="1">PSS!$A$1:$J$1</definedName>
    <definedName name="_xlnm._FilterDatabase" localSheetId="1" hidden="1">USD!$A$1:$J$536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5" l="1"/>
  <c r="F5" i="5"/>
  <c r="F2" i="5"/>
  <c r="G3" i="5"/>
  <c r="H2" i="5"/>
  <c r="E7" i="5"/>
  <c r="D7" i="5"/>
  <c r="H5" i="5"/>
  <c r="G5" i="5"/>
  <c r="E4" i="5"/>
  <c r="D4" i="5"/>
  <c r="F234" i="2"/>
  <c r="G234" i="2"/>
  <c r="E234" i="2"/>
  <c r="D234" i="2"/>
  <c r="E38" i="3"/>
  <c r="E41" i="3" s="1"/>
  <c r="E44" i="3" s="1"/>
  <c r="F38" i="3"/>
  <c r="F41" i="3" s="1"/>
  <c r="F44" i="3" s="1"/>
  <c r="D38" i="3"/>
  <c r="D41" i="3" s="1"/>
  <c r="D44" i="3" s="1"/>
  <c r="H34" i="3"/>
  <c r="H32" i="3"/>
  <c r="H30" i="3"/>
  <c r="H26" i="3"/>
  <c r="H24" i="3"/>
  <c r="H12" i="3"/>
  <c r="H8" i="3"/>
  <c r="H6" i="3"/>
  <c r="H4" i="3"/>
  <c r="H2" i="3"/>
  <c r="G34" i="3"/>
  <c r="G30" i="3"/>
  <c r="G28" i="3"/>
  <c r="G26" i="3"/>
  <c r="G24" i="3"/>
  <c r="G22" i="3"/>
  <c r="G16" i="3"/>
  <c r="G14" i="3"/>
  <c r="G12" i="3"/>
  <c r="G10" i="3"/>
  <c r="G8" i="3"/>
  <c r="G2" i="3"/>
  <c r="H35" i="3"/>
  <c r="H31" i="3"/>
  <c r="H27" i="3"/>
  <c r="H25" i="3"/>
  <c r="D32" i="3"/>
  <c r="E32" i="3"/>
  <c r="F32" i="3"/>
  <c r="G32" i="3" s="1"/>
  <c r="G35" i="3"/>
  <c r="G31" i="3"/>
  <c r="G27" i="3"/>
  <c r="G25" i="3"/>
  <c r="D28" i="3"/>
  <c r="E28" i="3"/>
  <c r="F28" i="3"/>
  <c r="H28" i="3" s="1"/>
  <c r="D22" i="3"/>
  <c r="H22" i="3" s="1"/>
  <c r="E22" i="3"/>
  <c r="F22" i="3"/>
  <c r="D20" i="3"/>
  <c r="E20" i="3"/>
  <c r="F20" i="3"/>
  <c r="H20" i="3" s="1"/>
  <c r="D18" i="3"/>
  <c r="E18" i="3"/>
  <c r="F18" i="3"/>
  <c r="H18" i="3" s="1"/>
  <c r="D16" i="3"/>
  <c r="H16" i="3" s="1"/>
  <c r="E16" i="3"/>
  <c r="F16" i="3"/>
  <c r="D14" i="3"/>
  <c r="E14" i="3"/>
  <c r="F14" i="3"/>
  <c r="H14" i="3" s="1"/>
  <c r="D12" i="3"/>
  <c r="E12" i="3"/>
  <c r="F12" i="3"/>
  <c r="D10" i="3"/>
  <c r="E10" i="3"/>
  <c r="F10" i="3"/>
  <c r="F37" i="3" s="1"/>
  <c r="F40" i="3" s="1"/>
  <c r="F43" i="3" s="1"/>
  <c r="D8" i="3"/>
  <c r="E8" i="3"/>
  <c r="F8" i="3"/>
  <c r="D6" i="3"/>
  <c r="E6" i="3"/>
  <c r="F6" i="3"/>
  <c r="G6" i="3" s="1"/>
  <c r="D4" i="3"/>
  <c r="E4" i="3"/>
  <c r="E37" i="3" s="1"/>
  <c r="E40" i="3" s="1"/>
  <c r="E43" i="3" s="1"/>
  <c r="F4" i="3"/>
  <c r="G4" i="3" s="1"/>
  <c r="E2" i="3"/>
  <c r="F2" i="3"/>
  <c r="D2" i="3"/>
  <c r="H37" i="2"/>
  <c r="G37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7" i="2"/>
  <c r="H257" i="2"/>
  <c r="G258" i="2"/>
  <c r="H258" i="2"/>
  <c r="G259" i="2"/>
  <c r="H259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6" i="2"/>
  <c r="H53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2" i="2"/>
  <c r="G2" i="1"/>
  <c r="E260" i="2"/>
  <c r="D260" i="2"/>
  <c r="D256" i="2"/>
  <c r="H869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3" i="1"/>
  <c r="H802" i="1"/>
  <c r="H801" i="1"/>
  <c r="H800" i="1"/>
  <c r="H799" i="1"/>
  <c r="H798" i="1"/>
  <c r="H797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4" i="1"/>
  <c r="H363" i="1"/>
  <c r="H362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2" i="1"/>
  <c r="G363" i="1"/>
  <c r="G364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7" i="1"/>
  <c r="G798" i="1"/>
  <c r="G799" i="1"/>
  <c r="G800" i="1"/>
  <c r="G801" i="1"/>
  <c r="G802" i="1"/>
  <c r="G803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9" i="1"/>
  <c r="E139" i="2"/>
  <c r="F139" i="2"/>
  <c r="D139" i="2"/>
  <c r="E75" i="2"/>
  <c r="F75" i="2"/>
  <c r="D75" i="2"/>
  <c r="D335" i="1"/>
  <c r="E335" i="1"/>
  <c r="F335" i="1"/>
  <c r="G335" i="1" s="1"/>
  <c r="E87" i="1"/>
  <c r="F87" i="1"/>
  <c r="G87" i="1" s="1"/>
  <c r="D87" i="1"/>
  <c r="D46" i="1"/>
  <c r="E46" i="1"/>
  <c r="D89" i="1"/>
  <c r="E89" i="1"/>
  <c r="D142" i="1"/>
  <c r="E142" i="1"/>
  <c r="D361" i="1"/>
  <c r="E361" i="1"/>
  <c r="D365" i="1"/>
  <c r="E365" i="1"/>
  <c r="D549" i="1"/>
  <c r="E549" i="1"/>
  <c r="D570" i="1"/>
  <c r="E570" i="1"/>
  <c r="D694" i="1"/>
  <c r="E694" i="1"/>
  <c r="D796" i="1"/>
  <c r="E796" i="1"/>
  <c r="D804" i="1"/>
  <c r="E804" i="1"/>
  <c r="D868" i="1"/>
  <c r="E868" i="1"/>
  <c r="F46" i="1"/>
  <c r="H46" i="1" s="1"/>
  <c r="F796" i="1"/>
  <c r="G796" i="1" s="1"/>
  <c r="F804" i="1"/>
  <c r="G804" i="1" s="1"/>
  <c r="F868" i="1"/>
  <c r="G868" i="1" s="1"/>
  <c r="E535" i="2"/>
  <c r="F535" i="2"/>
  <c r="G535" i="2" s="1"/>
  <c r="D535" i="2"/>
  <c r="E486" i="2"/>
  <c r="F486" i="2"/>
  <c r="D486" i="2"/>
  <c r="E477" i="2"/>
  <c r="F477" i="2"/>
  <c r="D477" i="2"/>
  <c r="F694" i="1"/>
  <c r="H694" i="1" s="1"/>
  <c r="E470" i="2"/>
  <c r="F470" i="2"/>
  <c r="D470" i="2"/>
  <c r="E364" i="2"/>
  <c r="F364" i="2"/>
  <c r="G364" i="2" s="1"/>
  <c r="D364" i="2"/>
  <c r="F260" i="2"/>
  <c r="G260" i="2" s="1"/>
  <c r="E256" i="2"/>
  <c r="F256" i="2"/>
  <c r="F570" i="1"/>
  <c r="H570" i="1" s="1"/>
  <c r="F549" i="1"/>
  <c r="E94" i="2"/>
  <c r="F94" i="2"/>
  <c r="D94" i="2"/>
  <c r="D35" i="2"/>
  <c r="E35" i="2"/>
  <c r="F35" i="2"/>
  <c r="F365" i="1"/>
  <c r="F361" i="1"/>
  <c r="H361" i="1" s="1"/>
  <c r="F142" i="1"/>
  <c r="G142" i="1" s="1"/>
  <c r="F89" i="1"/>
  <c r="G89" i="1" s="1"/>
  <c r="J2" i="1"/>
  <c r="F7" i="5" l="1"/>
  <c r="G7" i="5" s="1"/>
  <c r="G6" i="5"/>
  <c r="G20" i="3"/>
  <c r="G37" i="3" s="1"/>
  <c r="G40" i="3" s="1"/>
  <c r="G43" i="3" s="1"/>
  <c r="D37" i="3"/>
  <c r="D40" i="3" s="1"/>
  <c r="D43" i="3" s="1"/>
  <c r="H10" i="3"/>
  <c r="G18" i="3"/>
  <c r="H3" i="5"/>
  <c r="F4" i="5"/>
  <c r="G4" i="5" s="1"/>
  <c r="G2" i="5"/>
  <c r="H38" i="3"/>
  <c r="H41" i="3" s="1"/>
  <c r="H44" i="3" s="1"/>
  <c r="H37" i="3"/>
  <c r="H40" i="3" s="1"/>
  <c r="H43" i="3" s="1"/>
  <c r="G38" i="3"/>
  <c r="G41" i="3" s="1"/>
  <c r="G44" i="3" s="1"/>
  <c r="H256" i="2"/>
  <c r="G486" i="2"/>
  <c r="G470" i="2"/>
  <c r="H75" i="2"/>
  <c r="G75" i="2"/>
  <c r="H35" i="2"/>
  <c r="G256" i="2"/>
  <c r="H139" i="2"/>
  <c r="G139" i="2"/>
  <c r="H486" i="2"/>
  <c r="H94" i="2"/>
  <c r="G477" i="2"/>
  <c r="H535" i="2"/>
  <c r="H234" i="2"/>
  <c r="G94" i="2"/>
  <c r="G35" i="2"/>
  <c r="H477" i="2"/>
  <c r="H470" i="2"/>
  <c r="H260" i="2"/>
  <c r="H364" i="2"/>
  <c r="H804" i="1"/>
  <c r="H796" i="1"/>
  <c r="H335" i="1"/>
  <c r="H868" i="1"/>
  <c r="G549" i="1"/>
  <c r="G694" i="1"/>
  <c r="G361" i="1"/>
  <c r="G365" i="1"/>
  <c r="G46" i="1"/>
  <c r="H365" i="1"/>
  <c r="H142" i="1"/>
  <c r="H87" i="1"/>
  <c r="H549" i="1"/>
  <c r="H89" i="1"/>
  <c r="G570" i="1"/>
  <c r="H7" i="5" l="1"/>
  <c r="H4" i="5"/>
</calcChain>
</file>

<file path=xl/sharedStrings.xml><?xml version="1.0" encoding="utf-8"?>
<sst xmlns="http://schemas.openxmlformats.org/spreadsheetml/2006/main" count="2989" uniqueCount="1550">
  <si>
    <t>App</t>
  </si>
  <si>
    <t>Productos</t>
  </si>
  <si>
    <t>Cuenta contable</t>
  </si>
  <si>
    <t>Filtros aplicados</t>
  </si>
  <si>
    <t>$IM</t>
  </si>
  <si>
    <t>$ST</t>
  </si>
  <si>
    <t>BKT</t>
  </si>
  <si>
    <t>CDO</t>
  </si>
  <si>
    <t>CNS</t>
  </si>
  <si>
    <t>HIP</t>
  </si>
  <si>
    <t>FCD</t>
  </si>
  <si>
    <t>FMU</t>
  </si>
  <si>
    <t>JCC</t>
  </si>
  <si>
    <t>LIC</t>
  </si>
  <si>
    <t>LID</t>
  </si>
  <si>
    <t>LPC</t>
  </si>
  <si>
    <t>MYP</t>
  </si>
  <si>
    <t>PPA</t>
  </si>
  <si>
    <t>PRO</t>
  </si>
  <si>
    <t>SCF</t>
  </si>
  <si>
    <t>WBC</t>
  </si>
  <si>
    <t>MDC</t>
  </si>
  <si>
    <t>GAC</t>
  </si>
  <si>
    <t>Cuentas Corrientes</t>
  </si>
  <si>
    <t>Ahorros
Plazo fijo
Certificados bancarios
Etc</t>
  </si>
  <si>
    <t xml:space="preserve">"Carta de Crédito de Exportaciones/Importaciones
Cobranza de Exportaciones/Importaciones"
</t>
  </si>
  <si>
    <t>Tarjetas de Crédito</t>
  </si>
  <si>
    <t>Créditos (consumo, vehicular, etc)</t>
  </si>
  <si>
    <t>Créditos Hipotecarios</t>
  </si>
  <si>
    <t>Financiamiento y Cobranza de documentos</t>
  </si>
  <si>
    <t>Fondos Mutuos de Inversión</t>
  </si>
  <si>
    <t>Judicial Condonación o Castigo</t>
  </si>
  <si>
    <t>Créditos de consumo por convenio</t>
  </si>
  <si>
    <t>Leasing y pagares en cuotas</t>
  </si>
  <si>
    <t>Micro pequeña empresa</t>
  </si>
  <si>
    <t>Pago Activos</t>
  </si>
  <si>
    <t>Provisiones</t>
  </si>
  <si>
    <t>Sistema de Carta Fianza</t>
  </si>
  <si>
    <t>Workflow banca comercial</t>
  </si>
  <si>
    <t>Tesorería</t>
  </si>
  <si>
    <t>Garantías y Coberturas</t>
  </si>
  <si>
    <t>72050109010151</t>
  </si>
  <si>
    <t>21070401010301</t>
  </si>
  <si>
    <t>14011004000102</t>
  </si>
  <si>
    <t>72050103010101</t>
  </si>
  <si>
    <t>15071900000922</t>
  </si>
  <si>
    <t>21010200000103</t>
  </si>
  <si>
    <t>21070901000101</t>
  </si>
  <si>
    <t>72050108010151</t>
  </si>
  <si>
    <t>21070201000401</t>
  </si>
  <si>
    <t>14010801000102</t>
  </si>
  <si>
    <t>14011204000102</t>
  </si>
  <si>
    <t>29080900000173</t>
  </si>
  <si>
    <t>21010109000106</t>
  </si>
  <si>
    <t>14050304000101</t>
  </si>
  <si>
    <t>14011104000102</t>
  </si>
  <si>
    <t>72050110010151</t>
  </si>
  <si>
    <t>25041900000157</t>
  </si>
  <si>
    <t>14010804000102</t>
  </si>
  <si>
    <t>81040900000213</t>
  </si>
  <si>
    <t>14051104000202</t>
  </si>
  <si>
    <t>14010999010901</t>
  </si>
  <si>
    <t>21010200000201</t>
  </si>
  <si>
    <t>14051204000202</t>
  </si>
  <si>
    <t>72050111010151</t>
  </si>
  <si>
    <t>14011304000102</t>
  </si>
  <si>
    <t>21010200000101</t>
  </si>
  <si>
    <t>21010109000101</t>
  </si>
  <si>
    <t>14011101000102</t>
  </si>
  <si>
    <t>21070201000301</t>
  </si>
  <si>
    <t>14011004000103</t>
  </si>
  <si>
    <t>14051304000202</t>
  </si>
  <si>
    <t>21010109000201</t>
  </si>
  <si>
    <t>14010301000101</t>
  </si>
  <si>
    <t>14010204000106</t>
  </si>
  <si>
    <t>21070902000101</t>
  </si>
  <si>
    <t>21010109000105</t>
  </si>
  <si>
    <t>21010109000102</t>
  </si>
  <si>
    <t>14050204000101</t>
  </si>
  <si>
    <t>81040200000101</t>
  </si>
  <si>
    <t>21010109000107</t>
  </si>
  <si>
    <t>21070201000303</t>
  </si>
  <si>
    <t>14011001000102</t>
  </si>
  <si>
    <t>14011104000103</t>
  </si>
  <si>
    <t>21070401020301</t>
  </si>
  <si>
    <t>21011801000101</t>
  </si>
  <si>
    <t>21020101000103</t>
  </si>
  <si>
    <t>21020101000108</t>
  </si>
  <si>
    <t>21020101000111</t>
  </si>
  <si>
    <t>21020201000107</t>
  </si>
  <si>
    <t>21020201000111</t>
  </si>
  <si>
    <t>21020201000112</t>
  </si>
  <si>
    <t>21070201000101</t>
  </si>
  <si>
    <t>21070201000105</t>
  </si>
  <si>
    <t>21070201000403</t>
  </si>
  <si>
    <t>21070402010103</t>
  </si>
  <si>
    <t>21070501000101</t>
  </si>
  <si>
    <t>(null)</t>
  </si>
  <si>
    <t>71090000000909</t>
  </si>
  <si>
    <t>14010704000102</t>
  </si>
  <si>
    <t>Total</t>
  </si>
  <si>
    <r>
      <t xml:space="preserve">Ahorros
Plazo fijo
Certificados bancarios
Etc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</si>
  <si>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84080000000101</t>
  </si>
  <si>
    <t>71030000000111</t>
  </si>
  <si>
    <t>71030000000108</t>
  </si>
  <si>
    <t>71030000000102</t>
  </si>
  <si>
    <t>71030000000106</t>
  </si>
  <si>
    <t>00000000000000</t>
  </si>
  <si>
    <t>71030000000101</t>
  </si>
  <si>
    <t>71040000000101</t>
  </si>
  <si>
    <t>84030100000105</t>
  </si>
  <si>
    <t>14050306130102</t>
  </si>
  <si>
    <t>25041900000223</t>
  </si>
  <si>
    <t>14010999010401</t>
  </si>
  <si>
    <t>14010306130104</t>
  </si>
  <si>
    <t>14050302020112</t>
  </si>
  <si>
    <t>14051202020111</t>
  </si>
  <si>
    <t>14010302010115</t>
  </si>
  <si>
    <t>14010302010116</t>
  </si>
  <si>
    <t>14010302020112</t>
  </si>
  <si>
    <t>14010306130106</t>
  </si>
  <si>
    <t>14051102020101</t>
  </si>
  <si>
    <t>14050302010117</t>
  </si>
  <si>
    <t>14011102020110</t>
  </si>
  <si>
    <t>14010802020110</t>
  </si>
  <si>
    <t>14010302020114</t>
  </si>
  <si>
    <t>14011202020111</t>
  </si>
  <si>
    <t>14010302020115</t>
  </si>
  <si>
    <t>14050302020509</t>
  </si>
  <si>
    <t>14050306130107</t>
  </si>
  <si>
    <t>14050302020113</t>
  </si>
  <si>
    <t>14050302020506</t>
  </si>
  <si>
    <t>14050306130105</t>
  </si>
  <si>
    <t>14010302010117</t>
  </si>
  <si>
    <t>14050302020503</t>
  </si>
  <si>
    <t>14010306130109</t>
  </si>
  <si>
    <t>14050306130109</t>
  </si>
  <si>
    <t>14050302010504</t>
  </si>
  <si>
    <t>14010702020101</t>
  </si>
  <si>
    <t>14011002020110</t>
  </si>
  <si>
    <t>14010302020305</t>
  </si>
  <si>
    <t>14010302020110</t>
  </si>
  <si>
    <t>14010302020111</t>
  </si>
  <si>
    <t>14010202020112</t>
  </si>
  <si>
    <t>14050302020504</t>
  </si>
  <si>
    <t>14011302020111</t>
  </si>
  <si>
    <t>14050302020511</t>
  </si>
  <si>
    <t>14010306130107</t>
  </si>
  <si>
    <t>14010302020307</t>
  </si>
  <si>
    <t>14010302020113</t>
  </si>
  <si>
    <t>14010302010118</t>
  </si>
  <si>
    <t>14010306020106</t>
  </si>
  <si>
    <t>14010306030211</t>
  </si>
  <si>
    <t>14010306030108</t>
  </si>
  <si>
    <t>14010306120107</t>
  </si>
  <si>
    <t>14050306030125</t>
  </si>
  <si>
    <t>14050306020112</t>
  </si>
  <si>
    <t>14010306030111</t>
  </si>
  <si>
    <t>14050306030303</t>
  </si>
  <si>
    <t>14010306030207</t>
  </si>
  <si>
    <t>14010306030112</t>
  </si>
  <si>
    <t>14010406020110</t>
  </si>
  <si>
    <t>14050406010103</t>
  </si>
  <si>
    <t>14050406010104</t>
  </si>
  <si>
    <t>14050424000105</t>
  </si>
  <si>
    <t>14010424000103</t>
  </si>
  <si>
    <t>14050423000117</t>
  </si>
  <si>
    <t>14010406010102</t>
  </si>
  <si>
    <t>14010406020203</t>
  </si>
  <si>
    <t>14050406010110</t>
  </si>
  <si>
    <t>14010406010105</t>
  </si>
  <si>
    <t>14010406010204</t>
  </si>
  <si>
    <t>14010406010201</t>
  </si>
  <si>
    <t>14010406010203</t>
  </si>
  <si>
    <t>14010423000114</t>
  </si>
  <si>
    <t>14040406010101</t>
  </si>
  <si>
    <t>26060201010104</t>
  </si>
  <si>
    <t>84040300000102</t>
  </si>
  <si>
    <t>14050406010106</t>
  </si>
  <si>
    <t>26060201010107</t>
  </si>
  <si>
    <t>14050419060104</t>
  </si>
  <si>
    <t>84040510000101</t>
  </si>
  <si>
    <t>14010406020202</t>
  </si>
  <si>
    <t>14010406020109</t>
  </si>
  <si>
    <t>14050424000107</t>
  </si>
  <si>
    <t>14050406020103</t>
  </si>
  <si>
    <t>84040300000101</t>
  </si>
  <si>
    <t>14050406010107</t>
  </si>
  <si>
    <t>14050423000116</t>
  </si>
  <si>
    <t>14010406010101</t>
  </si>
  <si>
    <t>14050406010109</t>
  </si>
  <si>
    <t>14010406010103</t>
  </si>
  <si>
    <t>14010424000104</t>
  </si>
  <si>
    <t>14010423000112</t>
  </si>
  <si>
    <t>14010406010202</t>
  </si>
  <si>
    <t>Detalle cuenta contable</t>
  </si>
  <si>
    <t>14011105020101</t>
  </si>
  <si>
    <t>14011010000103</t>
  </si>
  <si>
    <t>14010205020102</t>
  </si>
  <si>
    <t>14010205020101</t>
  </si>
  <si>
    <t>14011105020102</t>
  </si>
  <si>
    <t>14011205020101</t>
  </si>
  <si>
    <t>14011305020101</t>
  </si>
  <si>
    <t>14051305020101</t>
  </si>
  <si>
    <t>14011305020102</t>
  </si>
  <si>
    <t>14051305020106</t>
  </si>
  <si>
    <t>14011005020101</t>
  </si>
  <si>
    <t>14011005020102</t>
  </si>
  <si>
    <t>14011110000103</t>
  </si>
  <si>
    <t>14011205020102</t>
  </si>
  <si>
    <t>14061226000203</t>
  </si>
  <si>
    <t>14051106020339</t>
  </si>
  <si>
    <t>81030200000439</t>
  </si>
  <si>
    <t>81030200000413</t>
  </si>
  <si>
    <t>81030200000306</t>
  </si>
  <si>
    <t>14050205010000</t>
  </si>
  <si>
    <t>14061106020203</t>
  </si>
  <si>
    <t>14050306020111</t>
  </si>
  <si>
    <t>81030200000405</t>
  </si>
  <si>
    <t>14051305010101</t>
  </si>
  <si>
    <t>14051205010000</t>
  </si>
  <si>
    <t>81030200000303</t>
  </si>
  <si>
    <t>14051106020336</t>
  </si>
  <si>
    <t>14060306030201</t>
  </si>
  <si>
    <t>81030200000430</t>
  </si>
  <si>
    <t>14060306030104</t>
  </si>
  <si>
    <t>81030200000412</t>
  </si>
  <si>
    <t>14050205020105</t>
  </si>
  <si>
    <t>14061306020111</t>
  </si>
  <si>
    <t>14050423000220</t>
  </si>
  <si>
    <t>14061326000201</t>
  </si>
  <si>
    <t>14060302020106</t>
  </si>
  <si>
    <t>81030200000418</t>
  </si>
  <si>
    <t>81030200000444</t>
  </si>
  <si>
    <t>81030200000407</t>
  </si>
  <si>
    <t>84040300000202</t>
  </si>
  <si>
    <t>81030200000443</t>
  </si>
  <si>
    <t>14060423000107</t>
  </si>
  <si>
    <t>14051306020374</t>
  </si>
  <si>
    <t>14051206020443</t>
  </si>
  <si>
    <t>81030200000435</t>
  </si>
  <si>
    <t>14051206020000</t>
  </si>
  <si>
    <t>84040300000203</t>
  </si>
  <si>
    <t>14060306020201</t>
  </si>
  <si>
    <t>14050306120000</t>
  </si>
  <si>
    <t>14061204000201</t>
  </si>
  <si>
    <t>81030200000421</t>
  </si>
  <si>
    <t>81030200000417</t>
  </si>
  <si>
    <t>14061106020208</t>
  </si>
  <si>
    <t>81030200000419</t>
  </si>
  <si>
    <t>14060406010201</t>
  </si>
  <si>
    <t>81030200000432</t>
  </si>
  <si>
    <t>14050304000104</t>
  </si>
  <si>
    <t>81030200000424</t>
  </si>
  <si>
    <t>14061306010103</t>
  </si>
  <si>
    <t>81030200000442</t>
  </si>
  <si>
    <t>1405080500000</t>
  </si>
  <si>
    <t>81030200000428</t>
  </si>
  <si>
    <t>14061211000401</t>
  </si>
  <si>
    <t>81030200000302</t>
  </si>
  <si>
    <t>14061306020112</t>
  </si>
  <si>
    <t>14061206020119</t>
  </si>
  <si>
    <t>14051305030102</t>
  </si>
  <si>
    <t>81030200000401</t>
  </si>
  <si>
    <t>81030200000463</t>
  </si>
  <si>
    <t>14060205020201</t>
  </si>
  <si>
    <t>81030200000437</t>
  </si>
  <si>
    <t>81030200000427</t>
  </si>
  <si>
    <t>81030200000403</t>
  </si>
  <si>
    <t>14061105030101</t>
  </si>
  <si>
    <t>81030200000411</t>
  </si>
  <si>
    <t>81030200000450</t>
  </si>
  <si>
    <t>14060406010202</t>
  </si>
  <si>
    <t>14051205010101</t>
  </si>
  <si>
    <t>81030200000214</t>
  </si>
  <si>
    <t>14050406010301</t>
  </si>
  <si>
    <t>81030200000304</t>
  </si>
  <si>
    <t>84060209000201</t>
  </si>
  <si>
    <t>14050306030000</t>
  </si>
  <si>
    <t>81030200000472</t>
  </si>
  <si>
    <t>14061306020110</t>
  </si>
  <si>
    <t>14051305010000</t>
  </si>
  <si>
    <t>81030200000431</t>
  </si>
  <si>
    <t>81030200000402</t>
  </si>
  <si>
    <t>14061306020109</t>
  </si>
  <si>
    <t>14050423000218</t>
  </si>
  <si>
    <t>14061226000202</t>
  </si>
  <si>
    <t>14050306020301</t>
  </si>
  <si>
    <t>81030200000422</t>
  </si>
  <si>
    <t>81030200000305</t>
  </si>
  <si>
    <t>14061226000201</t>
  </si>
  <si>
    <t>14060205010201</t>
  </si>
  <si>
    <t>81030200000408</t>
  </si>
  <si>
    <t>81030200000459</t>
  </si>
  <si>
    <t>14050306030301</t>
  </si>
  <si>
    <t>14061205030102</t>
  </si>
  <si>
    <t>14060319060103</t>
  </si>
  <si>
    <t>14061206020114</t>
  </si>
  <si>
    <t>14060211000201</t>
  </si>
  <si>
    <t>84040510000202</t>
  </si>
  <si>
    <t>81030200000464</t>
  </si>
  <si>
    <t>81030200000426</t>
  </si>
  <si>
    <t>14050302020116</t>
  </si>
  <si>
    <t>14061104000201</t>
  </si>
  <si>
    <t>81030200000445</t>
  </si>
  <si>
    <t>81030200000425</t>
  </si>
  <si>
    <t>14060206020221</t>
  </si>
  <si>
    <t>81030200000301</t>
  </si>
  <si>
    <r>
      <t xml:space="preserve">Créditos de consumo por convenio
</t>
    </r>
    <r>
      <rPr>
        <sz val="11"/>
        <color rgb="FFFF0000"/>
        <rFont val="Aptos Narrow"/>
        <family val="2"/>
        <scheme val="minor"/>
      </rPr>
      <t>NO CUENTA CON DOLARES</t>
    </r>
  </si>
  <si>
    <t>14011306020210</t>
  </si>
  <si>
    <t>14011211000505</t>
  </si>
  <si>
    <t>14011233000101</t>
  </si>
  <si>
    <t>14041106020102</t>
  </si>
  <si>
    <t>14011206020309</t>
  </si>
  <si>
    <t>14051111000203</t>
  </si>
  <si>
    <t>14011306020232</t>
  </si>
  <si>
    <t>14011006010105</t>
  </si>
  <si>
    <t>14011111000203</t>
  </si>
  <si>
    <t>14051206020411</t>
  </si>
  <si>
    <t>14011033000106</t>
  </si>
  <si>
    <t>14011012000105</t>
  </si>
  <si>
    <t>14051206020431</t>
  </si>
  <si>
    <t>14051006020212</t>
  </si>
  <si>
    <t>14011112000103</t>
  </si>
  <si>
    <t>14051206020409</t>
  </si>
  <si>
    <t>14011206020315</t>
  </si>
  <si>
    <t>24020201010301</t>
  </si>
  <si>
    <t>14011011000105</t>
  </si>
  <si>
    <t>14011106020311</t>
  </si>
  <si>
    <t>14010806020104</t>
  </si>
  <si>
    <t>14011226000402</t>
  </si>
  <si>
    <t>14051206020410</t>
  </si>
  <si>
    <t>14011111000112</t>
  </si>
  <si>
    <t>14051206010534</t>
  </si>
  <si>
    <t>14011126000205</t>
  </si>
  <si>
    <t>14011306020263</t>
  </si>
  <si>
    <t>14011106010105</t>
  </si>
  <si>
    <t>14011311000503</t>
  </si>
  <si>
    <t>14011011000301</t>
  </si>
  <si>
    <t>14051106020317</t>
  </si>
  <si>
    <t>14011012000103</t>
  </si>
  <si>
    <t>14011206010205</t>
  </si>
  <si>
    <t>14011226000404</t>
  </si>
  <si>
    <t>14011026000116</t>
  </si>
  <si>
    <t>14011233000106</t>
  </si>
  <si>
    <t>14051119060201</t>
  </si>
  <si>
    <t>14041206020303</t>
  </si>
  <si>
    <t>14011211000301</t>
  </si>
  <si>
    <t>14011211000503</t>
  </si>
  <si>
    <t>14011106010102</t>
  </si>
  <si>
    <t>14010906070521</t>
  </si>
  <si>
    <t>14051206010201</t>
  </si>
  <si>
    <t>14011311000505</t>
  </si>
  <si>
    <t>14051126000116</t>
  </si>
  <si>
    <t>14011306010304</t>
  </si>
  <si>
    <t>14011126000118</t>
  </si>
  <si>
    <t>14011111000110</t>
  </si>
  <si>
    <t>14011326000218</t>
  </si>
  <si>
    <t>14011111000204</t>
  </si>
  <si>
    <t>14051106020319</t>
  </si>
  <si>
    <t>14011112000105</t>
  </si>
  <si>
    <t>15050900000965</t>
  </si>
  <si>
    <t>14011311000301</t>
  </si>
  <si>
    <t>14011206020308</t>
  </si>
  <si>
    <t>14011126000114</t>
  </si>
  <si>
    <t>14011011000103</t>
  </si>
  <si>
    <t>14011226000214</t>
  </si>
  <si>
    <t>14051226000218</t>
  </si>
  <si>
    <t>14011230000702</t>
  </si>
  <si>
    <t>14051126000114</t>
  </si>
  <si>
    <t>14011026000114</t>
  </si>
  <si>
    <t>14041106010101</t>
  </si>
  <si>
    <t>14011126000207</t>
  </si>
  <si>
    <t>14051111000204</t>
  </si>
  <si>
    <t>14011106020312</t>
  </si>
  <si>
    <t>14011211000105</t>
  </si>
  <si>
    <t>14010999170102</t>
  </si>
  <si>
    <t>14011306020216</t>
  </si>
  <si>
    <t>14051211000204</t>
  </si>
  <si>
    <t>14011111000103</t>
  </si>
  <si>
    <t>14011006010102</t>
  </si>
  <si>
    <t>14011006020104</t>
  </si>
  <si>
    <t>14011106020377</t>
  </si>
  <si>
    <t>14051226000502</t>
  </si>
  <si>
    <t>14011106020310</t>
  </si>
  <si>
    <t>14011111000301</t>
  </si>
  <si>
    <t>14051211000203</t>
  </si>
  <si>
    <t>14011206010202</t>
  </si>
  <si>
    <t>14011206020313</t>
  </si>
  <si>
    <t>14011026000302</t>
  </si>
  <si>
    <t>14011212000103</t>
  </si>
  <si>
    <t>14011206020327</t>
  </si>
  <si>
    <t>14011133000101</t>
  </si>
  <si>
    <t>14011130000101</t>
  </si>
  <si>
    <t>14011111000105</t>
  </si>
  <si>
    <t>14051306020311</t>
  </si>
  <si>
    <t>14010906070217</t>
  </si>
  <si>
    <t>14051206010202</t>
  </si>
  <si>
    <t>15050900000964</t>
  </si>
  <si>
    <t>14011026000112</t>
  </si>
  <si>
    <t>14011226000212</t>
  </si>
  <si>
    <t>14011226000218</t>
  </si>
  <si>
    <t>14011211000103</t>
  </si>
  <si>
    <t>14051126000306</t>
  </si>
  <si>
    <t>14011126000112</t>
  </si>
  <si>
    <t>14011212000105</t>
  </si>
  <si>
    <t>14011006020100</t>
  </si>
  <si>
    <t>14011106020325</t>
  </si>
  <si>
    <t>14051319060301</t>
  </si>
  <si>
    <t>14011026000118</t>
  </si>
  <si>
    <t>14011306010101</t>
  </si>
  <si>
    <t>72050313010201</t>
  </si>
  <si>
    <t>14011306020124</t>
  </si>
  <si>
    <t>14051306010101</t>
  </si>
  <si>
    <t>14011306010106</t>
  </si>
  <si>
    <t>14011306020101</t>
  </si>
  <si>
    <t>14010302020306</t>
  </si>
  <si>
    <t>14010302030100</t>
  </si>
  <si>
    <t>14010306130101</t>
  </si>
  <si>
    <t>14010306130102</t>
  </si>
  <si>
    <t>14011102020102</t>
  </si>
  <si>
    <t>14011302010101</t>
  </si>
  <si>
    <t>14050302010118</t>
  </si>
  <si>
    <t>14050302010503</t>
  </si>
  <si>
    <t>14050306130103</t>
  </si>
  <si>
    <t>14050306130104</t>
  </si>
  <si>
    <t>14051302020111</t>
  </si>
  <si>
    <t>71020000000111</t>
  </si>
  <si>
    <t>71020000000101</t>
  </si>
  <si>
    <t>71020000000113</t>
  </si>
  <si>
    <t>71020000000104</t>
  </si>
  <si>
    <t>71020000000115</t>
  </si>
  <si>
    <t>71020000000108</t>
  </si>
  <si>
    <t>71060102020111</t>
  </si>
  <si>
    <t>25020201000301</t>
  </si>
  <si>
    <t>84090401000102</t>
  </si>
  <si>
    <t>13040101020115</t>
  </si>
  <si>
    <t>71060102010111</t>
  </si>
  <si>
    <t>71060102020108</t>
  </si>
  <si>
    <t>71060101010108</t>
  </si>
  <si>
    <t>71060101010106</t>
  </si>
  <si>
    <t>28010100000108</t>
  </si>
  <si>
    <t>13020101020113</t>
  </si>
  <si>
    <t>13040708000101</t>
  </si>
  <si>
    <t>71060101010104</t>
  </si>
  <si>
    <t>71060102020102</t>
  </si>
  <si>
    <t>71060102010102</t>
  </si>
  <si>
    <t>71060105020201</t>
  </si>
  <si>
    <t>21030302000109</t>
  </si>
  <si>
    <t>71060101020103</t>
  </si>
  <si>
    <t>13020101010105</t>
  </si>
  <si>
    <t>28020203000107</t>
  </si>
  <si>
    <t>24040201010173</t>
  </si>
  <si>
    <t>13020101020103</t>
  </si>
  <si>
    <t>13040101010103</t>
  </si>
  <si>
    <t>13040101020104</t>
  </si>
  <si>
    <t>26040201010213</t>
  </si>
  <si>
    <t>21030301000110</t>
  </si>
  <si>
    <t>13020508000105</t>
  </si>
  <si>
    <t>15020102000202</t>
  </si>
  <si>
    <t>71060101010105</t>
  </si>
  <si>
    <t>15020201000301</t>
  </si>
  <si>
    <t>13040508000104</t>
  </si>
  <si>
    <t>71060101020104</t>
  </si>
  <si>
    <t>28020203000106</t>
  </si>
  <si>
    <t>15020102000206</t>
  </si>
  <si>
    <t>13040510000202</t>
  </si>
  <si>
    <t>15020102000102</t>
  </si>
  <si>
    <t>14010306020107</t>
  </si>
  <si>
    <t>14010306030107</t>
  </si>
  <si>
    <t>14010306030116</t>
  </si>
  <si>
    <t>14010306030117</t>
  </si>
  <si>
    <t>14010306050202</t>
  </si>
  <si>
    <t>14010306050203</t>
  </si>
  <si>
    <t>14010306120108</t>
  </si>
  <si>
    <t>14010306130110</t>
  </si>
  <si>
    <t>14040306020201</t>
  </si>
  <si>
    <t>14040306030202</t>
  </si>
  <si>
    <t>14040306030203</t>
  </si>
  <si>
    <t>14040306050101</t>
  </si>
  <si>
    <t>14040306130100</t>
  </si>
  <si>
    <t>14050306020113</t>
  </si>
  <si>
    <t>14050306030115</t>
  </si>
  <si>
    <t>14050306030117</t>
  </si>
  <si>
    <t>14050306030124</t>
  </si>
  <si>
    <t>14050306030133</t>
  </si>
  <si>
    <t>14050306030134</t>
  </si>
  <si>
    <t>14050306030302</t>
  </si>
  <si>
    <t>14050306030305</t>
  </si>
  <si>
    <t>14050306030306</t>
  </si>
  <si>
    <t>14050306050202</t>
  </si>
  <si>
    <t>14050306050203</t>
  </si>
  <si>
    <t>14050306120708</t>
  </si>
  <si>
    <t>14050306120709</t>
  </si>
  <si>
    <t>14050319060108</t>
  </si>
  <si>
    <t>14050319060110</t>
  </si>
  <si>
    <t>14050319060115</t>
  </si>
  <si>
    <t>14050319060119</t>
  </si>
  <si>
    <t>14050319080100</t>
  </si>
  <si>
    <r>
      <t xml:space="preserve">"Carta de Crédito de Exportaciones/Importaciones
Cobranza de Exportaciones/Importaciones"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</si>
  <si>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14010406010106</t>
  </si>
  <si>
    <t>14010406020111</t>
  </si>
  <si>
    <t>14010423000115</t>
  </si>
  <si>
    <t>14010423000122</t>
  </si>
  <si>
    <t>14010423000123</t>
  </si>
  <si>
    <t>14010423000301</t>
  </si>
  <si>
    <t>14010423000302</t>
  </si>
  <si>
    <t>14050406010101</t>
  </si>
  <si>
    <t>14050406010303</t>
  </si>
  <si>
    <t>14050406020104</t>
  </si>
  <si>
    <t>14050406020109</t>
  </si>
  <si>
    <t>14050406020110</t>
  </si>
  <si>
    <t>14050423000118</t>
  </si>
  <si>
    <t>14050423000119</t>
  </si>
  <si>
    <t>14050423000120</t>
  </si>
  <si>
    <t>14050423000121</t>
  </si>
  <si>
    <t>14050423000138</t>
  </si>
  <si>
    <t>14050423000140</t>
  </si>
  <si>
    <t>14050423000301</t>
  </si>
  <si>
    <t>14050423000303</t>
  </si>
  <si>
    <t>26060201010101</t>
  </si>
  <si>
    <t>26060201010110</t>
  </si>
  <si>
    <t>84040300000104</t>
  </si>
  <si>
    <t>84040510000102</t>
  </si>
  <si>
    <t>14011210000103</t>
  </si>
  <si>
    <t>14011305020106</t>
  </si>
  <si>
    <t>14050205020107</t>
  </si>
  <si>
    <t>14051005020101</t>
  </si>
  <si>
    <t>14051205020101</t>
  </si>
  <si>
    <t>TOTALES</t>
  </si>
  <si>
    <t>14050206010302</t>
  </si>
  <si>
    <t>14050206020124</t>
  </si>
  <si>
    <t>14050206020143</t>
  </si>
  <si>
    <t>14050206020188</t>
  </si>
  <si>
    <t>14050302010120</t>
  </si>
  <si>
    <t>14050302010121</t>
  </si>
  <si>
    <t>14050302020114</t>
  </si>
  <si>
    <t>14050302020115</t>
  </si>
  <si>
    <t>14050303010100</t>
  </si>
  <si>
    <t>14050303020102</t>
  </si>
  <si>
    <t>14050306030131</t>
  </si>
  <si>
    <t>14050306050116</t>
  </si>
  <si>
    <t>14050306050117</t>
  </si>
  <si>
    <t>14050319060117</t>
  </si>
  <si>
    <t>14050319080001</t>
  </si>
  <si>
    <t>14050319080002</t>
  </si>
  <si>
    <t>14050406010302</t>
  </si>
  <si>
    <t>14051106020310</t>
  </si>
  <si>
    <t>14051106020369</t>
  </si>
  <si>
    <t>14051206010503</t>
  </si>
  <si>
    <t>14051206020123</t>
  </si>
  <si>
    <t>14051206020412</t>
  </si>
  <si>
    <t>14051206020418</t>
  </si>
  <si>
    <t>14051206020440</t>
  </si>
  <si>
    <t>14051206020500</t>
  </si>
  <si>
    <t>14051206020506</t>
  </si>
  <si>
    <t>14051306010403</t>
  </si>
  <si>
    <t>14051306020207</t>
  </si>
  <si>
    <t>14051306020208</t>
  </si>
  <si>
    <t>14051306020212</t>
  </si>
  <si>
    <t>14051306020213</t>
  </si>
  <si>
    <t>14051306020322</t>
  </si>
  <si>
    <t>14051306020323</t>
  </si>
  <si>
    <t>14051306020325</t>
  </si>
  <si>
    <t>14051306020355</t>
  </si>
  <si>
    <t>14051306020367</t>
  </si>
  <si>
    <t>14060202010203</t>
  </si>
  <si>
    <t>14060204000201</t>
  </si>
  <si>
    <t>14060206010202</t>
  </si>
  <si>
    <t>14060206020201</t>
  </si>
  <si>
    <t>14060206020204</t>
  </si>
  <si>
    <t>14060206020208</t>
  </si>
  <si>
    <t>14060206020209</t>
  </si>
  <si>
    <t>14060211000106</t>
  </si>
  <si>
    <t>14060219240201</t>
  </si>
  <si>
    <t>14060302010104</t>
  </si>
  <si>
    <t>14060302010105</t>
  </si>
  <si>
    <t>14060302010106</t>
  </si>
  <si>
    <t>14060302020104</t>
  </si>
  <si>
    <t>14060302020105</t>
  </si>
  <si>
    <t>14060303010100</t>
  </si>
  <si>
    <t>14060303020100</t>
  </si>
  <si>
    <t>14060303020101</t>
  </si>
  <si>
    <t>14060306050104</t>
  </si>
  <si>
    <t>14060319080001</t>
  </si>
  <si>
    <t>14060319080002</t>
  </si>
  <si>
    <t>14060423000108</t>
  </si>
  <si>
    <t>14060423000109</t>
  </si>
  <si>
    <t>14061105030102</t>
  </si>
  <si>
    <t>14061106020202</t>
  </si>
  <si>
    <t>14061106020205</t>
  </si>
  <si>
    <t>14061106020221</t>
  </si>
  <si>
    <t>14061111000301</t>
  </si>
  <si>
    <t>14061121000101</t>
  </si>
  <si>
    <t>14061202030105</t>
  </si>
  <si>
    <t>14061206010203</t>
  </si>
  <si>
    <t>14061206020108</t>
  </si>
  <si>
    <t>14061206020110</t>
  </si>
  <si>
    <t>14061206020111</t>
  </si>
  <si>
    <t>14061206020116</t>
  </si>
  <si>
    <t>14061206020117</t>
  </si>
  <si>
    <t>14061206020123</t>
  </si>
  <si>
    <t>14061206020132</t>
  </si>
  <si>
    <t>14061304000201</t>
  </si>
  <si>
    <t>14061305030102</t>
  </si>
  <si>
    <t>14061306010203</t>
  </si>
  <si>
    <t>14061306020107</t>
  </si>
  <si>
    <t>14061306020114</t>
  </si>
  <si>
    <t>14061306020115</t>
  </si>
  <si>
    <t>14061306020116</t>
  </si>
  <si>
    <t>14061306020117</t>
  </si>
  <si>
    <t>14061306020120</t>
  </si>
  <si>
    <t>14061306020128</t>
  </si>
  <si>
    <t>14061306020130</t>
  </si>
  <si>
    <t>14061311000302</t>
  </si>
  <si>
    <t>81030200000404</t>
  </si>
  <si>
    <t>81030200000406</t>
  </si>
  <si>
    <t>81030200000409</t>
  </si>
  <si>
    <t>81030200000414</t>
  </si>
  <si>
    <t>81030200000415</t>
  </si>
  <si>
    <t>81030200000416</t>
  </si>
  <si>
    <t>81030200000429</t>
  </si>
  <si>
    <t>81030200000438</t>
  </si>
  <si>
    <t>81030200000446</t>
  </si>
  <si>
    <t>81030200000461</t>
  </si>
  <si>
    <t>81030200000465</t>
  </si>
  <si>
    <t>81030200000466</t>
  </si>
  <si>
    <t>81030200000467</t>
  </si>
  <si>
    <t>81030200000468</t>
  </si>
  <si>
    <t>81030200000473</t>
  </si>
  <si>
    <t>84040300000201</t>
  </si>
  <si>
    <t>84040510000203</t>
  </si>
  <si>
    <t>14010303020100</t>
  </si>
  <si>
    <t>14010303020101</t>
  </si>
  <si>
    <t>14010306050104</t>
  </si>
  <si>
    <t>14010306050105</t>
  </si>
  <si>
    <t>14050303020100</t>
  </si>
  <si>
    <t>14050303020101</t>
  </si>
  <si>
    <t>14050306050110</t>
  </si>
  <si>
    <t>14050306050111</t>
  </si>
  <si>
    <t>72050303020102</t>
  </si>
  <si>
    <t>72050303010103</t>
  </si>
  <si>
    <t>14010211000150</t>
  </si>
  <si>
    <t>14010211000152</t>
  </si>
  <si>
    <t>14011006010111</t>
  </si>
  <si>
    <t>14011006011039</t>
  </si>
  <si>
    <t>14011006020101</t>
  </si>
  <si>
    <t>14011006020131</t>
  </si>
  <si>
    <t>14011030000102</t>
  </si>
  <si>
    <t>14011030000111</t>
  </si>
  <si>
    <t>14011030000112</t>
  </si>
  <si>
    <t>14011033000101</t>
  </si>
  <si>
    <t>14011106010111</t>
  </si>
  <si>
    <t>14011106010337</t>
  </si>
  <si>
    <t>14011106020313</t>
  </si>
  <si>
    <t>14011106020334</t>
  </si>
  <si>
    <t>14011106020337</t>
  </si>
  <si>
    <t>14011106020350</t>
  </si>
  <si>
    <t>14011206010211</t>
  </si>
  <si>
    <t>14011206010436</t>
  </si>
  <si>
    <t>14011206020348</t>
  </si>
  <si>
    <t>14011206020387</t>
  </si>
  <si>
    <t>14011211000203</t>
  </si>
  <si>
    <t>14011211000204</t>
  </si>
  <si>
    <t>14011306010303</t>
  </si>
  <si>
    <t>14011306020211</t>
  </si>
  <si>
    <t>14011306020228</t>
  </si>
  <si>
    <t>14011306020256</t>
  </si>
  <si>
    <t>14041006020702</t>
  </si>
  <si>
    <t>14041106020104</t>
  </si>
  <si>
    <t>14041206020305</t>
  </si>
  <si>
    <t>14041306020106</t>
  </si>
  <si>
    <t>14050211000156</t>
  </si>
  <si>
    <t>14050211000157</t>
  </si>
  <si>
    <t>14051006020240</t>
  </si>
  <si>
    <t>14051106020366</t>
  </si>
  <si>
    <t>14051111000103</t>
  </si>
  <si>
    <t>14051111000105</t>
  </si>
  <si>
    <t>14051133000101</t>
  </si>
  <si>
    <t>14051206020419</t>
  </si>
  <si>
    <t>14051206020447</t>
  </si>
  <si>
    <t>14051206020455</t>
  </si>
  <si>
    <t>14051206020458</t>
  </si>
  <si>
    <t>14051206020497</t>
  </si>
  <si>
    <t>14051211000409</t>
  </si>
  <si>
    <t>14051211000411</t>
  </si>
  <si>
    <t>14051219060401</t>
  </si>
  <si>
    <t>14051219060404</t>
  </si>
  <si>
    <t>14051233000101</t>
  </si>
  <si>
    <t>14051233000706</t>
  </si>
  <si>
    <t>14051306020349</t>
  </si>
  <si>
    <t>14051311000409</t>
  </si>
  <si>
    <t>14051311000411</t>
  </si>
  <si>
    <t>14010206010112</t>
  </si>
  <si>
    <t>14010206010113</t>
  </si>
  <si>
    <t>14010206010115</t>
  </si>
  <si>
    <t>14010206020105</t>
  </si>
  <si>
    <t>14010206020106</t>
  </si>
  <si>
    <t>14010206020115</t>
  </si>
  <si>
    <t>14010206020122</t>
  </si>
  <si>
    <t>14010206020144</t>
  </si>
  <si>
    <t>14010206020155</t>
  </si>
  <si>
    <t>14010206020163</t>
  </si>
  <si>
    <t>14010206020165</t>
  </si>
  <si>
    <t>14010206020166</t>
  </si>
  <si>
    <t>14011106020301</t>
  </si>
  <si>
    <t>14011106020347</t>
  </si>
  <si>
    <t>14011106020354</t>
  </si>
  <si>
    <t>14011206010301</t>
  </si>
  <si>
    <t>14011206010306</t>
  </si>
  <si>
    <t>14011206020101</t>
  </si>
  <si>
    <t>14011206020104</t>
  </si>
  <si>
    <t>14011206020116</t>
  </si>
  <si>
    <t>14011206020118</t>
  </si>
  <si>
    <t>14011206020305</t>
  </si>
  <si>
    <t>14011206020351</t>
  </si>
  <si>
    <t>14011206020374</t>
  </si>
  <si>
    <t>14011206020384</t>
  </si>
  <si>
    <t>14011206020385</t>
  </si>
  <si>
    <t>14011206020392</t>
  </si>
  <si>
    <t>14011306010102</t>
  </si>
  <si>
    <t>14011306010107</t>
  </si>
  <si>
    <t>14011306020102</t>
  </si>
  <si>
    <t>14011306020103</t>
  </si>
  <si>
    <t>14011306020104</t>
  </si>
  <si>
    <t>14011306020110</t>
  </si>
  <si>
    <t>14011306020127</t>
  </si>
  <si>
    <t>14011306020207</t>
  </si>
  <si>
    <t>14011306020230</t>
  </si>
  <si>
    <t>14011306020231</t>
  </si>
  <si>
    <t>14011306020243</t>
  </si>
  <si>
    <t>14011306020251</t>
  </si>
  <si>
    <t>14011306020252</t>
  </si>
  <si>
    <t>14011306020253</t>
  </si>
  <si>
    <t>14011306020254</t>
  </si>
  <si>
    <t>14011306020259</t>
  </si>
  <si>
    <t>14040206020103</t>
  </si>
  <si>
    <t>14041206020101</t>
  </si>
  <si>
    <t>14041306020101</t>
  </si>
  <si>
    <t>14050206010114</t>
  </si>
  <si>
    <t>14050206020106</t>
  </si>
  <si>
    <t>14050206020121</t>
  </si>
  <si>
    <t>14050206020127</t>
  </si>
  <si>
    <t>14050206020140</t>
  </si>
  <si>
    <t>14050206020151</t>
  </si>
  <si>
    <t>14050206020152</t>
  </si>
  <si>
    <t>14050206020172</t>
  </si>
  <si>
    <t>14050206020182</t>
  </si>
  <si>
    <t>14050206020183</t>
  </si>
  <si>
    <t>14050219060111</t>
  </si>
  <si>
    <t>14051106020302</t>
  </si>
  <si>
    <t>14051106020373</t>
  </si>
  <si>
    <t>14051206020101</t>
  </si>
  <si>
    <t>14051206020116</t>
  </si>
  <si>
    <t>14051206020407</t>
  </si>
  <si>
    <t>14051206020439</t>
  </si>
  <si>
    <t>14051206020495</t>
  </si>
  <si>
    <t>14051206020502</t>
  </si>
  <si>
    <t>14051219060101</t>
  </si>
  <si>
    <t>14051306010102</t>
  </si>
  <si>
    <t>14051306010107</t>
  </si>
  <si>
    <t>14051306020101</t>
  </si>
  <si>
    <t>14051306020104</t>
  </si>
  <si>
    <t>14051306020117</t>
  </si>
  <si>
    <t>14051306020121</t>
  </si>
  <si>
    <t>14051306020127</t>
  </si>
  <si>
    <t>14051306020131</t>
  </si>
  <si>
    <t>14051306020304</t>
  </si>
  <si>
    <t>14051306020305</t>
  </si>
  <si>
    <t>14051306020321</t>
  </si>
  <si>
    <t>14051306020330</t>
  </si>
  <si>
    <t>14051306020331</t>
  </si>
  <si>
    <t>14051306020351</t>
  </si>
  <si>
    <t>14051306020361</t>
  </si>
  <si>
    <t>14051306020362</t>
  </si>
  <si>
    <t>14051306020369</t>
  </si>
  <si>
    <t>14051306020370</t>
  </si>
  <si>
    <t>14051319060101</t>
  </si>
  <si>
    <t>72050302010102</t>
  </si>
  <si>
    <t>72050312010301</t>
  </si>
  <si>
    <t>11070300000103</t>
  </si>
  <si>
    <t>13020101010106</t>
  </si>
  <si>
    <t>13020201000101</t>
  </si>
  <si>
    <t>13040101010109</t>
  </si>
  <si>
    <t>13040201000112</t>
  </si>
  <si>
    <t>13041801000100</t>
  </si>
  <si>
    <t>13050101010104</t>
  </si>
  <si>
    <t>13051801000101</t>
  </si>
  <si>
    <t>15020101000301</t>
  </si>
  <si>
    <t>15020101000302</t>
  </si>
  <si>
    <t>15020101000303</t>
  </si>
  <si>
    <t>15020102000115</t>
  </si>
  <si>
    <t>15020102000205</t>
  </si>
  <si>
    <t>15020201000304</t>
  </si>
  <si>
    <t>15030201010303</t>
  </si>
  <si>
    <t>21030301000119</t>
  </si>
  <si>
    <t>21030302000110</t>
  </si>
  <si>
    <t>23030101280101</t>
  </si>
  <si>
    <t>23030101310101</t>
  </si>
  <si>
    <t>23030102180100</t>
  </si>
  <si>
    <t>23030103030101</t>
  </si>
  <si>
    <t>23030103050101</t>
  </si>
  <si>
    <t>23030103080101</t>
  </si>
  <si>
    <t>23030103110101</t>
  </si>
  <si>
    <t>23030104160100</t>
  </si>
  <si>
    <t>25020101000301</t>
  </si>
  <si>
    <t>25020101000302</t>
  </si>
  <si>
    <t>25020101000303</t>
  </si>
  <si>
    <t>25020101000410</t>
  </si>
  <si>
    <t>25020201000101</t>
  </si>
  <si>
    <t>25030201010303</t>
  </si>
  <si>
    <t>25030201010304</t>
  </si>
  <si>
    <t>25041101010104</t>
  </si>
  <si>
    <t>25041102010101</t>
  </si>
  <si>
    <t>84090401000104</t>
  </si>
  <si>
    <t>Saldo Aplicativo con Filtros Agrupaciones aplicados</t>
  </si>
  <si>
    <t>Saldo Aplicativo Sin filtros</t>
  </si>
  <si>
    <t>Saldos Diario 16 Abril Operativo</t>
  </si>
  <si>
    <t>21010903010113</t>
  </si>
  <si>
    <t>21020101000109</t>
  </si>
  <si>
    <t>21020102000102</t>
  </si>
  <si>
    <t>21020102000105</t>
  </si>
  <si>
    <t>21020201000105</t>
  </si>
  <si>
    <t>21020201000108</t>
  </si>
  <si>
    <t>21020202000102</t>
  </si>
  <si>
    <t>21020202000105</t>
  </si>
  <si>
    <t>21030200000109</t>
  </si>
  <si>
    <t>21030200000110</t>
  </si>
  <si>
    <t>21030301000107</t>
  </si>
  <si>
    <t>21030301000108</t>
  </si>
  <si>
    <t>21030302000105</t>
  </si>
  <si>
    <t>21030501000101</t>
  </si>
  <si>
    <t>21030502000101</t>
  </si>
  <si>
    <t>21030902000101</t>
  </si>
  <si>
    <t>21070201000106</t>
  </si>
  <si>
    <t>21070201000203</t>
  </si>
  <si>
    <t>21070201000205</t>
  </si>
  <si>
    <t>21070202000101</t>
  </si>
  <si>
    <t>21070202000203</t>
  </si>
  <si>
    <t>21070401010203</t>
  </si>
  <si>
    <t>21070402010204</t>
  </si>
  <si>
    <t>21070402010205</t>
  </si>
  <si>
    <t>21070402020101</t>
  </si>
  <si>
    <t>21070402020202</t>
  </si>
  <si>
    <t>21070402020206</t>
  </si>
  <si>
    <t>0</t>
  </si>
  <si>
    <t>14050406010108</t>
  </si>
  <si>
    <t>14011205020105</t>
  </si>
  <si>
    <t>84020100000101</t>
  </si>
  <si>
    <t>84020100000102</t>
  </si>
  <si>
    <t>84020100000105</t>
  </si>
  <si>
    <t>14050302020521</t>
  </si>
  <si>
    <t>84020100000208</t>
  </si>
  <si>
    <t>21070401010101</t>
  </si>
  <si>
    <t>21030200000201</t>
  </si>
  <si>
    <t>21030301000105</t>
  </si>
  <si>
    <t>21010903020101</t>
  </si>
  <si>
    <t>21070402010210</t>
  </si>
  <si>
    <t>84020100000204</t>
  </si>
  <si>
    <t>84030100000202</t>
  </si>
  <si>
    <t>84080000000102</t>
  </si>
  <si>
    <t>84020100000201</t>
  </si>
  <si>
    <t>84020100000203</t>
  </si>
  <si>
    <t>84020100000202</t>
  </si>
  <si>
    <t>14010206020160</t>
  </si>
  <si>
    <t>14010206020171</t>
  </si>
  <si>
    <t>14011306020129</t>
  </si>
  <si>
    <t>14011306020248</t>
  </si>
  <si>
    <t>14050206020169</t>
  </si>
  <si>
    <t>14051206020494</t>
  </si>
  <si>
    <t>14051306020347</t>
  </si>
  <si>
    <t>14051306020348</t>
  </si>
  <si>
    <t>11020500000101</t>
  </si>
  <si>
    <t>12010141000100</t>
  </si>
  <si>
    <t>15020102000117</t>
  </si>
  <si>
    <t>22010108000101</t>
  </si>
  <si>
    <t>22010109000101</t>
  </si>
  <si>
    <t>22010116000101</t>
  </si>
  <si>
    <t>22010129000101</t>
  </si>
  <si>
    <t>22010134000101</t>
  </si>
  <si>
    <t>22010135000101</t>
  </si>
  <si>
    <t>22010136000101</t>
  </si>
  <si>
    <t>22010139000101</t>
  </si>
  <si>
    <t>22010140000101</t>
  </si>
  <si>
    <t>22010141000100</t>
  </si>
  <si>
    <t>22010143000001</t>
  </si>
  <si>
    <t>22011801000101</t>
  </si>
  <si>
    <t>28010100000104</t>
  </si>
  <si>
    <t>28010100000106</t>
  </si>
  <si>
    <t>Cuadre Con Filtros</t>
  </si>
  <si>
    <t>Cuadre Sin Filtros</t>
  </si>
  <si>
    <t>81092900000908</t>
  </si>
  <si>
    <t>14051105020101</t>
  </si>
  <si>
    <t>14060302020107</t>
  </si>
  <si>
    <t>28010100000107</t>
  </si>
  <si>
    <t>11020400000101</t>
  </si>
  <si>
    <t>28020200000112</t>
  </si>
  <si>
    <t>71060102010108</t>
  </si>
  <si>
    <t>15020105000202</t>
  </si>
  <si>
    <t>23030103100101</t>
  </si>
  <si>
    <t>25020105000202</t>
  </si>
  <si>
    <t>28020200000111</t>
  </si>
  <si>
    <t>Moneda</t>
  </si>
  <si>
    <t>PSS</t>
  </si>
  <si>
    <t>USD</t>
  </si>
  <si>
    <t>"Carta de Crédito de Exportaciones/Importaciones
Cobranza de Exportaciones/Importaciones"</t>
  </si>
  <si>
    <t>TOTALES CON TESORERIA</t>
  </si>
  <si>
    <t>TOTALES SIN TESORERIA</t>
  </si>
  <si>
    <t>TOTALES SIN TESORERIA Y CNS/HIP</t>
  </si>
  <si>
    <t>JCC COB JUD RP CAP DE TRAB NR CGEM      1ND</t>
  </si>
  <si>
    <t>JCC COB JUD REACTIVA PERU NO REVOLV CGEM1ND</t>
  </si>
  <si>
    <t>JCC MP COB JUD IMPLUSO MYPERU HONRADO IB1 D</t>
  </si>
  <si>
    <t>JCC COB. JUD. ARREND. FINANC PJ CGEM    1ND</t>
  </si>
  <si>
    <t>JCC COB. JUD. CARTA FIANZA CGEM         1ND</t>
  </si>
  <si>
    <t>JCC JUD TC VISA PJ DISP EFEC CMED       1ND</t>
  </si>
  <si>
    <t>JCC COB. JUD. SOBREG CCTE. PJ CMED      1ND</t>
  </si>
  <si>
    <t>JCC COB. JUD. DSCTO. LETRAS CMED-JCC    1ND</t>
  </si>
  <si>
    <t>JCC MYP JUD.CAP.TRAB.REV.CMED           1ND</t>
  </si>
  <si>
    <t>JCC CJ MYP COMP AF MUE NRV CMED         1ND</t>
  </si>
  <si>
    <t>JCC  MYP CAP TRAB COM NR CMED           1ND</t>
  </si>
  <si>
    <t>JCC CJ MYP CRED ESTAC NRV CMED          1ND</t>
  </si>
  <si>
    <t>JCC COB JUD RP CAP DE TRAB NR CMED      1ND</t>
  </si>
  <si>
    <t>JCC COB JUD REACTIVA PERU NO REVOLV CMED1ND</t>
  </si>
  <si>
    <t>JCC COB JUD REACTIVA PERU NO REVOLV CMED1 D</t>
  </si>
  <si>
    <t>JCC COB JUD FONDO CRECER CMED           1 D</t>
  </si>
  <si>
    <t>JCC COB JU REACTIVA PRE-HONRAMIENTO REPR1 D</t>
  </si>
  <si>
    <t>JCC COB. JUD. ARREND. FINANC PJ CMED    1ND</t>
  </si>
  <si>
    <t>JCC COB. JUD. SOBREG CCTE. PJ CPEM      1ND</t>
  </si>
  <si>
    <t>JCC COB. JUD. DSCTO. LETRAS CPEM-JCC    1ND</t>
  </si>
  <si>
    <t>JCC CJ MYP COMP AF INM  NRV CPEM        1ND</t>
  </si>
  <si>
    <t>JCC MYP JUD.CAP.TRAB.REV.CPEM           1ND</t>
  </si>
  <si>
    <t>JCC CJ MYP COMP AF MUE NRV CPEM         1ND</t>
  </si>
  <si>
    <t>JCC  MYP CAP TRAB COM NR CPEM           1ND</t>
  </si>
  <si>
    <t>JCC CJ MYP CRED ESTAC NRV CPEM          1ND</t>
  </si>
  <si>
    <t>JCC COB JUD RP CAP DE TRAB NR CPEM      1ND</t>
  </si>
  <si>
    <t>JCC COB JUD REACTIVA PERU NO REVOLV CPEM1ND</t>
  </si>
  <si>
    <t>JCC COB JUD REACTIVA PERU NO REVOLV CPEM1 D</t>
  </si>
  <si>
    <t>JCC COB JUD FONDO CRECER CPEM           1 D</t>
  </si>
  <si>
    <t>JCC MP COB JUD CAP IMPULSO MYPERU IBK CP1 D</t>
  </si>
  <si>
    <t>JCC JUD.MYP LEASING BPE CPEM            1ND</t>
  </si>
  <si>
    <t>JCC CASTIGO CAPITAL P.CAP.TRAB          7ND</t>
  </si>
  <si>
    <t>JCC CASTIGO CAPITAL CRE.HIPOT.JCC       7ND</t>
  </si>
  <si>
    <t>JCC CASTIGO CAPITAL CRE.EFECTIVO        7ND</t>
  </si>
  <si>
    <t>JCC TRAM SENT JUD-VEHICULAR JCC         7ND</t>
  </si>
  <si>
    <t>JCC CASTIGO CAPITAL CONVENIO            7ND</t>
  </si>
  <si>
    <t>JCC CASTIGO CAPITAL REFINANC.           7ND</t>
  </si>
  <si>
    <t>JCC CASTIGO CAPITAL CRED.PORFIN COB.JUD 7ND</t>
  </si>
  <si>
    <t>JCC CAPITAL CASTIG. CONS ADEL SUELDO    7ND</t>
  </si>
  <si>
    <t>JCC CAPITAL CASTIG. CONS PREFERENTE     7ND</t>
  </si>
  <si>
    <t>JCC CASTIGO CAPITAL TC MASTER PN.MASTER 7ND</t>
  </si>
  <si>
    <t>JCC CASTIG PRINC MYP A.F. INMB. MES     7ND</t>
  </si>
  <si>
    <t>JCC CASTIG PRINC MYP A.F. MUEBLE. MES   7ND</t>
  </si>
  <si>
    <t>JCC CASTIGO CAPITAL SOB.C.CTE.PN.JUD.SOB7ND</t>
  </si>
  <si>
    <t>JCC CASTIGO CAPITAL ARREN.FIN PN        7ND</t>
  </si>
  <si>
    <t>JCC CASTIGO CAPITAL CRED.DIRECTO        7ND</t>
  </si>
  <si>
    <t>JCC INTER CASTIGO H. MI HOGAR COFIDE    7ND</t>
  </si>
  <si>
    <t>JCC CAPIT CASTIGO  PREST EFEC GTIA HI   7ND</t>
  </si>
  <si>
    <t>CJ CAPITAL CRED TECHOPROPIO-RECUPER C   7ND</t>
  </si>
  <si>
    <t>JCC CASTIGO CAPITAL BCA.PERSONAS        7ND</t>
  </si>
  <si>
    <t>JCC CASTIGO CAPITAL TAR.CRE.VISA        7ND</t>
  </si>
  <si>
    <t>JCC CASTIGO CAPITAL T.CR.AMEX PN        7ND</t>
  </si>
  <si>
    <t>JCC CASTIGO CAPITAL DSCTO. PAG.DSCTO PAG7ND</t>
  </si>
  <si>
    <t>JCC CAP  JUD-DCTO LETRAS                7ND</t>
  </si>
  <si>
    <t>JCC CASTIGO CAPITAL FACTU.LETRA         7ND</t>
  </si>
  <si>
    <t>JCC CASTIGO CAPITAL FACTU.FACTU         7ND</t>
  </si>
  <si>
    <t>JCC CASTIGO CAPITAL CARTA FIANZA        7ND</t>
  </si>
  <si>
    <t>JCC CASTIG PRINC MYP C.TRAB MES         7ND</t>
  </si>
  <si>
    <t>JCC CASTIG PRINC MYP ESTAC.MES.ESTAC    7ND</t>
  </si>
  <si>
    <t>JCC CASTIGO CAPITAL TC MASTER PJ        7ND</t>
  </si>
  <si>
    <t>JCC CASTIG.CAPI.TC MASTER PJ MES        7ND</t>
  </si>
  <si>
    <t>JCC CASTIGO CAPITAL SOB.C.CTE.PJ        7ND</t>
  </si>
  <si>
    <t>JCC CASTIGO CAPITAL LEASING PJ.         7ND</t>
  </si>
  <si>
    <t>JCC CASTIGO CAPITAL PORFIN              7ND</t>
  </si>
  <si>
    <t>JCC CASTIGO CAPITAL BC.COMERCIAL        7ND</t>
  </si>
  <si>
    <t>JCC TRAM SENT JUD-TC AMEX PJ            7ND</t>
  </si>
  <si>
    <t>JCC CASTIGO CAPITAL CONVENIO NO REV.CNG 7ND</t>
  </si>
  <si>
    <t>JCC CASTIG PRINC MYP C.TRAB REV         7ND</t>
  </si>
  <si>
    <t>JCC CAP.JUD.MYP LEASING BPE CA-CS       7ND</t>
  </si>
  <si>
    <t>JCC CASTIGO CAPITAL REF TC              7ND</t>
  </si>
  <si>
    <t>JCC MP CASTIGO CAPITAL FONDO CRECER     7 D</t>
  </si>
  <si>
    <t>JCC CASTIGO CAPITAL RAPPIBANK           7 D</t>
  </si>
  <si>
    <t>JCC MP CASTIGO CAPITAL IMPULSO MYPERU IB7 D</t>
  </si>
  <si>
    <t>JCC FONDO CRECER COFIDE LPC             7 C</t>
  </si>
  <si>
    <t>JCC COBERTURA HIPOTECARIOS MI HOGAR 06.17NC</t>
  </si>
  <si>
    <t>JCC COBERTURA HIPOTECARIOS MI VIVIENDA 07NC</t>
  </si>
  <si>
    <t>JCC COBERTURA HIPOTECAS TECHO PROPIO 06.7NC</t>
  </si>
  <si>
    <t>JCC COBERTURA HIPOTECAS TECHO PROPIO 07.7NC</t>
  </si>
  <si>
    <t>CL PAG DSCTO VENC CMED                  1ND</t>
  </si>
  <si>
    <t>JCC PRE JUDIC DSCTO.LETR-MES VENC GL70031ND</t>
  </si>
  <si>
    <t>JCC PREJUD CONSU PREFERENTE CCNR        1ND</t>
  </si>
  <si>
    <t>CL PREJUD NO REVOL CRE.VEHICULAR        1ND</t>
  </si>
  <si>
    <t>JCC CAPITAL CART.TRANSF. RFA            7NC</t>
  </si>
  <si>
    <t>JCC CASTIGO CAPITAL P.CAP.TRAB          7 D</t>
  </si>
  <si>
    <t>CL PAG DSCTO VENC CPEM                  1ND</t>
  </si>
  <si>
    <t>JCC CAPIT.CASTIG.HIPOT.MI VIVIEN.COFIDE 7ND</t>
  </si>
  <si>
    <t>LIC CAP CONV REVOL ADEL SUELDO VIG      1ND</t>
  </si>
  <si>
    <t>LIC CAP CONV REVOL ADEL SUELDO DP VIG   1ND</t>
  </si>
  <si>
    <t>LIC CONV NRV OTOR BAJ C NO ELEG VIG     1ND</t>
  </si>
  <si>
    <t>LIC DP CONV NRV OTOR BAJ C VIG          1ND</t>
  </si>
  <si>
    <t>LIC CAP CONV REV ADEL SUELDO VENC-90    1ND</t>
  </si>
  <si>
    <t>LIC CAP CONV REV ADEL SUELDO DP VEN-9   1ND</t>
  </si>
  <si>
    <t>LIC CONV NRV OTOR BAJ C NO ELEG VENCIDO 1ND</t>
  </si>
  <si>
    <t>LIC DP CONV NRV OTOR BAJ C VENCIDO      1ND</t>
  </si>
  <si>
    <t>LIC LINEAS CRED.PREST ADELANTO SUELDO CC7NC</t>
  </si>
  <si>
    <t>LIC CCNR LINEAS CRED.PREST CONS CONVENIO7NC</t>
  </si>
  <si>
    <t>LPC PRI LEASING MYP CMIE                1ND</t>
  </si>
  <si>
    <t>LPC PSG LEASING MYP  CMIE               1ND</t>
  </si>
  <si>
    <t>LPC PAG TV RP MED PLAZO NO REV NORM     1ND</t>
  </si>
  <si>
    <t>LPC MITSUI AUTO FINANCE PERU CAP.VIG    1ND</t>
  </si>
  <si>
    <t>LPC EDPYME SANTANDER                    1ND</t>
  </si>
  <si>
    <t>LPC PAG TV RP REVOL CCOR                1ND</t>
  </si>
  <si>
    <t>LPC PAG TV RP MED PLAZO REVOL           1ND</t>
  </si>
  <si>
    <t>LPC PAG DERIVADOS REVOL CCOR            1ND</t>
  </si>
  <si>
    <t>LPC PAG PAPERLESS DERIVADOS REVOL CCOR N1ND</t>
  </si>
  <si>
    <t>LPC PAG TV RP MED PLAZO NO REV          1ND</t>
  </si>
  <si>
    <t>LPC PAG DERIVADOS NO REVOL CCOR         1ND</t>
  </si>
  <si>
    <t>LPC PAG TV D/P NO REV VIG CGEM          1ND</t>
  </si>
  <si>
    <t>LPC IMPULSO MYPERU MEDIANO PLAZO VIG NRE1 D</t>
  </si>
  <si>
    <t>LPC LEASING SEGUROS RP CCOR             1ND</t>
  </si>
  <si>
    <t>LPC LEASING DEL BIEN RP CCOR            1ND</t>
  </si>
  <si>
    <t>LPC LEASING EN PROCESO CCOR             1ND</t>
  </si>
  <si>
    <t>LPC LEASEBACK SEGUROS RP CCOR           1ND</t>
  </si>
  <si>
    <t>LPC LEASEBACK DEL BIEN RP CCOR          1ND</t>
  </si>
  <si>
    <t>LPC PRE EMBARQUE FINANC. VIG. NORM CCOR 1ND</t>
  </si>
  <si>
    <t>LPC POST EMBARQUE FINANC. VIG. NORM CCOR1ND</t>
  </si>
  <si>
    <t>LPC IMPORT.  FINANC. VIG. NORM CCOR     1ND</t>
  </si>
  <si>
    <t>LPC PAG FINAN PROY  VIG CCOR            1ND</t>
  </si>
  <si>
    <t>LPC LEASING FINANCIACION PROYECTO CCOR V1 D</t>
  </si>
  <si>
    <t>LPC PAG INMOBILIARIO CCOR               1ND</t>
  </si>
  <si>
    <t>LPC PAG TV RP REVOL CGEM                1ND</t>
  </si>
  <si>
    <t>LPC PAG DERIVADOS REVOL CGEM            1ND</t>
  </si>
  <si>
    <t>LPC PAG PAPERLESS DERIVADOS REVOL CGEM N1ND</t>
  </si>
  <si>
    <t>LPC PAG TV RP NO REVOL CGEM             1ND</t>
  </si>
  <si>
    <t>LPC PAG DERIVADOS NO REVOL CGEM         1ND</t>
  </si>
  <si>
    <t>LPC COFIDE FONDO CRECER VIG CGEM\NORM   1ND</t>
  </si>
  <si>
    <t>LPC REPROG REACTIVA DIFE CGEM VIG       1 D</t>
  </si>
  <si>
    <t>LPC REPROG REACTIVA DS.011-2022 CGEM NOR1 D</t>
  </si>
  <si>
    <t>LPC COFIDE FONDOS PERU VIG CGEM\NORM    1 D</t>
  </si>
  <si>
    <t>LPC LEASING SEGUROS RP CGEM             1ND</t>
  </si>
  <si>
    <t>LPC LEASING DEL BIEN RP CGEM            1ND</t>
  </si>
  <si>
    <t>LPC PSG LEASING MYP CGEM                1ND</t>
  </si>
  <si>
    <t>LPC PRI LEASING MYP CGEM                1ND</t>
  </si>
  <si>
    <t>LPC LEASING EN PROCESO CGEM             1ND</t>
  </si>
  <si>
    <t>LPC LEASEBACK SEGUROS RP CGEM           1ND</t>
  </si>
  <si>
    <t>LPC LEASEBACK DEL BIEN RP CGEM          1ND</t>
  </si>
  <si>
    <t>LPC PRE EMBARQUE FINANC. VIG. NORM CGEM 1ND</t>
  </si>
  <si>
    <t>LPC IMPORT.  FINANC. VIG. NORM CGEM     1ND</t>
  </si>
  <si>
    <t>LPC COFIDE FONDOS CRECER CGEM  VIG\NORM 1ND</t>
  </si>
  <si>
    <t>LPC PAG INMOBILIARIO CGEM               1ND</t>
  </si>
  <si>
    <t>LPC PAG TV RP REVOL CMED                1ND</t>
  </si>
  <si>
    <t>LPC PAG DERIVADOS REVOL CMED            1ND</t>
  </si>
  <si>
    <t>LPC PAG PAPERLESS DERIVADOS REVOL CMED N1ND</t>
  </si>
  <si>
    <t>PAG TASA VENCIDA - LPC CMED             1ND</t>
  </si>
  <si>
    <t>LPC COFIDE FONDO CRECER VIG CMED\NORM   1ND</t>
  </si>
  <si>
    <t>LPC REPROG REACTIVA DS.011-2022 CMED NOR1 D</t>
  </si>
  <si>
    <t>LPC LEASING SEGUROS RP CMED             1ND</t>
  </si>
  <si>
    <t>LPC LEASING DEL BIEN RP CMED            1ND</t>
  </si>
  <si>
    <t>LPC LEAS D/P SEG RP CMED                1ND</t>
  </si>
  <si>
    <t>LPC LEAS DEL BIEN D/P RP CMED           1ND</t>
  </si>
  <si>
    <t>LPC LEASING EN PROCESO CMED             1ND</t>
  </si>
  <si>
    <t>LPC PSG LEASING MYP  CMED               1ND</t>
  </si>
  <si>
    <t>LPC PRI LEASING MYP CMED                1ND</t>
  </si>
  <si>
    <t>LPC PRE EMBARQUE FINANC. VIG. NORM CMED 1ND</t>
  </si>
  <si>
    <t>LPC IMPORT.  FINANC. VIG. NORM CMED     1ND</t>
  </si>
  <si>
    <t>LPC COFIDE FONDOS CRECER CMED  VIG\NORM 1ND</t>
  </si>
  <si>
    <t>LPC PAG INMOBILIARIO CMED               1ND</t>
  </si>
  <si>
    <t>LPC PAG TV D/P REVOL VIG CPEM           1ND</t>
  </si>
  <si>
    <t>LPC PAG TV RP REVOL CPEM                1ND</t>
  </si>
  <si>
    <t>LPC PAG TV D/P NO REV VIG CPEM          1ND</t>
  </si>
  <si>
    <t>LPC PAG TV INMOBILIARIO NO REV          1ND</t>
  </si>
  <si>
    <t>LPC PAG TV RP NO REVOL CPEM             1ND</t>
  </si>
  <si>
    <t>LPC REPROG REACTIVA DS.011-2022 CPEM NOR1 D</t>
  </si>
  <si>
    <t>LPC COFIDE FONDOS CRECER VIG CPEM\NORM  1ND</t>
  </si>
  <si>
    <t>LPC COFIDE FONDO CRECER VIG CPEM\NORM   1 D</t>
  </si>
  <si>
    <t>LPC LEASING EN PROCESO CPEM             1ND</t>
  </si>
  <si>
    <t>LPC PSG LEASING MYP  CPEM               1ND</t>
  </si>
  <si>
    <t>LPC PRI LEASING MYP CPEM                1ND</t>
  </si>
  <si>
    <t>LPC IMPORT.  FINANC. VIG. NORM CPEM     1ND</t>
  </si>
  <si>
    <t>LPC PAG TV REF VIG NO REV CGEM          1ND</t>
  </si>
  <si>
    <t>LPC REFINANCIADO REACTIVA CGEM VIG      1 D</t>
  </si>
  <si>
    <t>LPC REFINANCIADO REACTIVA CMED VIG      1 D</t>
  </si>
  <si>
    <t>LPC REFINANCIADO REACTIVA CPEM VIG      1 D</t>
  </si>
  <si>
    <t>LPC MYP ISG CIA SEG LEAS D/P CMIE       1ND</t>
  </si>
  <si>
    <t>LPC PRI LEASING MYP D/P CMIE            1ND</t>
  </si>
  <si>
    <t>LPC IMPULSO MYPERU MEDIANO PLAZO VEN NRE1 D</t>
  </si>
  <si>
    <t>LPC VENC PAG TV RP NO REVOL CGEM        1ND</t>
  </si>
  <si>
    <t>LPC PAG TV D/P VENC NO REV CGEM         1ND</t>
  </si>
  <si>
    <t>LPC LEASING VENC SEGUROS RP CGEM        1ND</t>
  </si>
  <si>
    <t>LPC LEASING DEL BIEN VENC RP CGEM       1ND</t>
  </si>
  <si>
    <t>LPC LEASING VENC D/P SEG RP CGEM        1ND</t>
  </si>
  <si>
    <t>LPC LEAS DEL BIEN VENC D/P RP CGEM      1ND</t>
  </si>
  <si>
    <t>PAG TV REFINANCIADO VENC - LPC CGEM     1ND</t>
  </si>
  <si>
    <t>LPC PAG TV D/P REV VENC LPC CMED        1ND</t>
  </si>
  <si>
    <t>LPC VENC PAG TV RP REVOL CMED           1ND</t>
  </si>
  <si>
    <t>LPC VENC PAG TV RP NO REVOL CMED        1ND</t>
  </si>
  <si>
    <t>LPC PAG TV RP MED PLAZO NO REV CMED     1ND</t>
  </si>
  <si>
    <t>LPC COFIDE FONDO CRECER VEN CMED\NORM   1ND</t>
  </si>
  <si>
    <t>LPC P.TV REC.COFIDE NO REVOL VEN CMED   1 D</t>
  </si>
  <si>
    <t>LPC REPROG REACTIVA DIFE  CMED VEN      1 D</t>
  </si>
  <si>
    <t>LPC LEASING VENC D/P SEG RP CMED        1ND</t>
  </si>
  <si>
    <t>LPC LEAS DEL BIEN VENC D/P RP CMED      1ND</t>
  </si>
  <si>
    <t>LPC MYP ISG CIA SEG LEAS D/P CMED       1ND</t>
  </si>
  <si>
    <t>LPC PRI LEASING MYP D/P CMED            1ND</t>
  </si>
  <si>
    <t>PAG TV REFINANCIADO VENC - LPC CMED     1ND</t>
  </si>
  <si>
    <t>LPC REFINANCIADO REACTIVA CMED VEN      1 D</t>
  </si>
  <si>
    <t>LPC REPROG REACTIVA 2023 VEN CPEM NORM  1 D</t>
  </si>
  <si>
    <t>LPC MYP ISG CIA SEG LEAS D/P CPEM       1ND</t>
  </si>
  <si>
    <t>LPC PRI LEASING MYP D/P CPEM            1ND</t>
  </si>
  <si>
    <t>LPC LS IGV ARRENDAMIENTO VIG            1ND</t>
  </si>
  <si>
    <t>LPC LS IGV ARRENDAMIENTO VEN            1ND</t>
  </si>
  <si>
    <t>MYP LINEA REVOLVENTE VIG                1ND</t>
  </si>
  <si>
    <t>MYP D/P LINEA REVOLVENTE VIG            1ND</t>
  </si>
  <si>
    <t>MYP LINEA REVOL REUT.VIG CMIE           1ND</t>
  </si>
  <si>
    <t>MYP CAP.VIG.FIN. CAP. TRAB              1ND</t>
  </si>
  <si>
    <t>MYP D/P CAP VIG FIN.CAP.TRAB            1ND</t>
  </si>
  <si>
    <t>MYP E.R.CAP.VIG.FIN. CAP. TRAB.         1ND</t>
  </si>
  <si>
    <t>MYP CODIFE FONDO CRECER VIG CMIE\NORM   1ND</t>
  </si>
  <si>
    <t>MYP REPROG REACTIVA DS.011-2022 CMIE NOR1 D</t>
  </si>
  <si>
    <t>MYP CAP_TRAB_CIMA CMIE VIG NORM         1 D</t>
  </si>
  <si>
    <t>MYP REPROG REACTIVA 2023 CMIE NORM VIG  1 D</t>
  </si>
  <si>
    <t>MYP CAP. TRAB - PAGARE DIGITAL_CMIE NORM1 D</t>
  </si>
  <si>
    <t>MYP IMPULSO MYPERU VIG CMIE DUPE        1 D</t>
  </si>
  <si>
    <t>MYP IMPULSO MYPERU VIG CMIE NORM        1 D</t>
  </si>
  <si>
    <t>MYP CAP TRAB PER GRACIA PARCIAL VIG NORM1 D</t>
  </si>
  <si>
    <t>MYP CAP.VIG CAP. TRAB. NORM CGEM        1ND</t>
  </si>
  <si>
    <t>MYP CAP. TRAB - PAGARE DIGITAL_CGEM NORM1 D</t>
  </si>
  <si>
    <t>MYP IMPULSO MYPERU VIG CGEM NORM        1 D</t>
  </si>
  <si>
    <t>MYP LINEA REVOLV VIG CMED               1ND</t>
  </si>
  <si>
    <t>MYP LINEA REVOL REUT.VIG CMED           1ND</t>
  </si>
  <si>
    <t>MYP CAP.VIG CAP. TRAB. CMED             1ND</t>
  </si>
  <si>
    <t>MYP D/P CAP VIG CAP.TRAB CMED           1ND</t>
  </si>
  <si>
    <t>MYP E.R.CAP.VIG.FIN. CAP. TRAB CMED     1ND</t>
  </si>
  <si>
    <t>MYP ER VIG FIN CAP TRA DUP CMED         1ND</t>
  </si>
  <si>
    <t>MYP CODIFE FONDO CRECER VIG CMED\NORM   1ND</t>
  </si>
  <si>
    <t>MYP REPROG REACTIVA DS.011-2022 CMED DUP1 D</t>
  </si>
  <si>
    <t>MYP CAP. TRAB - PAGARE DIGITAL_CMED NORM1 D</t>
  </si>
  <si>
    <t>MYP IMPULSO MYPERU VIG CMED DUPE        1 D</t>
  </si>
  <si>
    <t>MYP IMPULSO MYPERU VIG CMED NORM        1 D</t>
  </si>
  <si>
    <t>MYP LINEA REVOLV VIG CPEM               1ND</t>
  </si>
  <si>
    <t>MYP D/P LINEA REVOLV CPEM               1ND</t>
  </si>
  <si>
    <t>MYP LINEA REVOL REUT.VIG CPEM           1ND</t>
  </si>
  <si>
    <t>MYP DUPE LINEA REVOL REUT.VIG CPEM      1ND</t>
  </si>
  <si>
    <t>MYP CAP.VIG CAP. TRAB. CPEM             1ND</t>
  </si>
  <si>
    <t>MYP CAP COMPRA AF CPEM                  1ND</t>
  </si>
  <si>
    <t>MYP CAP.VIG.FIN. CRED. PARAL.CPEM       1ND</t>
  </si>
  <si>
    <t>MYP D/P CAP VIG CAP.TRAB CPEM           1ND</t>
  </si>
  <si>
    <t>MYP CAP.VIG COMPRA DEUDA CPEM           1ND</t>
  </si>
  <si>
    <t>MYP E.R.CAP.VIG.FIN. CAP. TRAB CPEM     1ND</t>
  </si>
  <si>
    <t>MYP ER VIG FIN CAP TRA DUP CPEM         1ND</t>
  </si>
  <si>
    <t>MYP CAP.TRAB.REUT.VIG.CPEM              1ND</t>
  </si>
  <si>
    <t>MYP CODIFE FONDO CRECER VIG CPEM\NORM   1ND</t>
  </si>
  <si>
    <t>MYP REPROG REACTIVA DS.011-2022 CPEM DUP1 D</t>
  </si>
  <si>
    <t>MYP REPROG REACTIVA DS.011-2022 CPEM NOR1 D</t>
  </si>
  <si>
    <t>MYP CAP_TRAB_CIMA CPEM VIG NORM         1 D</t>
  </si>
  <si>
    <t>MYP REPROG REACTIVA 2023 CPEM NORM VIG  1 D</t>
  </si>
  <si>
    <t>MYP CAP. TRAB - PAGARE DIGITAL_CPEM NORM1 D</t>
  </si>
  <si>
    <t>MYP CAP. TRAB - PAGARE DIGITAL_CPEM DUPE1 D</t>
  </si>
  <si>
    <t>MYP IMPULSO MYPERU VIG CPEM DUPE        1 D</t>
  </si>
  <si>
    <t>MYP IMPULSO MYPERU VIG CPEM NORM        1 D</t>
  </si>
  <si>
    <t>MYP PAG.TV REFIN. C/FIJA VIG MES        1ND</t>
  </si>
  <si>
    <t>MYP PAG.TV REFIN.C/FIJA VIG CMED        1ND</t>
  </si>
  <si>
    <t>MYP PAG.TV REFIN.C/FIJA VIG CPEM        1ND</t>
  </si>
  <si>
    <t>MYP LINEA REVOLVENTE VENC               1ND</t>
  </si>
  <si>
    <t>MYP CAP.VENC FIN. CAP. TRAB.            1ND</t>
  </si>
  <si>
    <t>MYP E.R.CAP.VENC FIN. CAP. TRAB.        1ND</t>
  </si>
  <si>
    <t>MYP E.R.C.VEN FIN CAP TRA DUPE CMIE     1ND</t>
  </si>
  <si>
    <t>MYP REACTIVA REPROG VEN CMIE            1 D</t>
  </si>
  <si>
    <t>MYP REPROG REACTIVA DS.011-2022 CMIE DUP1 D</t>
  </si>
  <si>
    <t>MYP REPROG REACTIVA 2023 CMIE NORM VEN  1 D</t>
  </si>
  <si>
    <t>MYP IMPULSO MYPERU VEN CMIE DUPE        1 D</t>
  </si>
  <si>
    <t>MYP IMPULSO MYPERU VEN CMIE NORM        1 D</t>
  </si>
  <si>
    <t>MYP PAG.TV REFIN. C/FIJA VEN MES        1ND</t>
  </si>
  <si>
    <t>MYP CAP.VENC CAP.TRAB.NORM CGEM         1ND</t>
  </si>
  <si>
    <t>MYP IMPULSO MYPERU VEN CGEM NORM        1 D</t>
  </si>
  <si>
    <t>MYP CAP.VENC CAP.TRAB.CMED              1ND</t>
  </si>
  <si>
    <t>MYP E.R.CAP.VEN.FIN. CAP. TRAB CMED     1ND</t>
  </si>
  <si>
    <t>MYP CODIFE REACTIVA PERU VEN CMED\DUPE  1ND</t>
  </si>
  <si>
    <t>MYP REACTIVA REPROG VEN CMED            1 D</t>
  </si>
  <si>
    <t>MYP IMPULSO MYPERU VEN CMED DUPE        1 D</t>
  </si>
  <si>
    <t>MYP IMPULSO MYPERU VEN CMED NORM        1 D</t>
  </si>
  <si>
    <t>MYP CAP TRAB PER GRACIA PARCIAL VEN NORM1 D</t>
  </si>
  <si>
    <t>MYP PAG.TV REFIN. C/FIJA VEN  CMED      1ND</t>
  </si>
  <si>
    <t>MYP LIN REVOLV VENC CPEM                1ND</t>
  </si>
  <si>
    <t>MYP D/P LINEA REVOLV VENC CPEM          1ND</t>
  </si>
  <si>
    <t>MYP LINEA REVOL REUT.VEN CPEM           1ND</t>
  </si>
  <si>
    <t>MYP CAP.VENC CAP.TRAB.CPEM              1ND</t>
  </si>
  <si>
    <t>MYP D/P CAP VENC CAP.TRAB CPEM          1ND</t>
  </si>
  <si>
    <t>MYP E.R.CAP.VEN.FIN. CAP. TRAB CPEM     1ND</t>
  </si>
  <si>
    <t>MYP CAP.TRAB.REUT.VEN CPEM              1ND</t>
  </si>
  <si>
    <t>MYP ER VENC  FIN CAP TRA DUP CPEM       1ND</t>
  </si>
  <si>
    <t>MYP DUPE LINEA REVOL REUT.VEN CPEM      1ND</t>
  </si>
  <si>
    <t>MYP CODIFE FONDO CRECER VEN CPEM\NORM   1ND</t>
  </si>
  <si>
    <t>MYP CODIFE REACTIVA PERU VEN CPEM\DUPE  1ND</t>
  </si>
  <si>
    <t>MYP REACTIVA REPROG VEN CPEM            1 D</t>
  </si>
  <si>
    <t>MYP REPROG REACTIVA 2023 CPEM DUPE VEN  1 D</t>
  </si>
  <si>
    <t>MYP REPROG REACTIVA 2023 CPEM NORM VEN  1 D</t>
  </si>
  <si>
    <t>MYP IMPULSO MYPERU VEN CPEM DUPE        1 D</t>
  </si>
  <si>
    <t>MYP IMPULSO MYPERU VEN CPEM NORM        1 D</t>
  </si>
  <si>
    <t>MYP CAP TRAB PER GRACIA PARCIAL VEN DUPE1 D</t>
  </si>
  <si>
    <t>MYP PAG.TV REFIN. C/FIJA VEN  CPEM      1ND</t>
  </si>
  <si>
    <t>MYP LINEA REVOLVENTE MES                7NC</t>
  </si>
  <si>
    <t>MYP LIN CAP TRABAJO REV CPEM            7NC</t>
  </si>
  <si>
    <t>MYP LIN CAP TRABAJO REV CMED            7NC</t>
  </si>
  <si>
    <t>SCF C.FIANZA CONTRAG.1ERA CATEG         7ND</t>
  </si>
  <si>
    <t>SCF C.FIANZA CONTRAG.2DA CATEG          7ND</t>
  </si>
  <si>
    <t>SCF CARTA FIANZA S/ CONTRA GARANTIA     7ND</t>
  </si>
  <si>
    <t>SCF C.FIANZA BPE S/CONTRA GARANTIA      7ND</t>
  </si>
  <si>
    <t>SCF C.FIANZA NEG.INMOBIL S/CTRA GARANTIA7ND</t>
  </si>
  <si>
    <t>DEPOSITOS A PLAZO EN EL BCRP            1ND</t>
  </si>
  <si>
    <t>BANCO BCI PERU INTERBANCARIO OTORGADO   1ND</t>
  </si>
  <si>
    <t>VALRZÂ  SWAPS CAMBIARIO NEG CXC         1ND</t>
  </si>
  <si>
    <t>VALRZÂ  SWAPS MON NEG CXC               1ND</t>
  </si>
  <si>
    <t>VALRZ SWAPS MONEDASÂ  COMPRA            1ND</t>
  </si>
  <si>
    <t>COMPRAS A FUTURO - FWD.NON DELIVERY E   1ND</t>
  </si>
  <si>
    <t>VAL FWD Vta OPC NDF CxC                 1ND</t>
  </si>
  <si>
    <t>VAL FWD Comp OPC NDF CxC                1ND</t>
  </si>
  <si>
    <t>VENTAS A FUTURO - FWD.NON DELIVERY ES   1ND</t>
  </si>
  <si>
    <t>VENTAS A FUTURO - FWD.DIVISAS TESORERÃA1 D</t>
  </si>
  <si>
    <t>COMPRAS A FUT - FWD.DIVISAS TESORERÃA  1 D</t>
  </si>
  <si>
    <t>CXC VALÂ  OVERNIGHT INTEREST SWAP       1ND</t>
  </si>
  <si>
    <t>VALOR CCS COBERTURA                     1 D</t>
  </si>
  <si>
    <t>DEP PZO MESA PJSL                       2NC</t>
  </si>
  <si>
    <t>MDC DEP PLAZO PJFL                      2NC</t>
  </si>
  <si>
    <t>BANCO DE COMERCIO                       2NC</t>
  </si>
  <si>
    <t>BANCO FINANCIERO                        2NC</t>
  </si>
  <si>
    <t>CITIBANK N.A.  SUCURSAL EN EL PERU      2NC</t>
  </si>
  <si>
    <t>MIBANCO BANCO DE LA MICROEMPRESA - MIBAN2NC</t>
  </si>
  <si>
    <t>BANCO SANTANDER PERU S.A.               2NC</t>
  </si>
  <si>
    <t>BANCO RIPLEY S.A.                       2NC</t>
  </si>
  <si>
    <t>ALFIN BANCO RECIBIDO                    2NC</t>
  </si>
  <si>
    <t>ICBC PERU BANK                          2NC</t>
  </si>
  <si>
    <t>MDC BANK OF CHINA PERU SA               2NC</t>
  </si>
  <si>
    <t>BANCO BCI PERU                          2NC</t>
  </si>
  <si>
    <t>SANTANDER CONSUMER BANK S.A             2 C</t>
  </si>
  <si>
    <t>BANCO JP MORGAN                         2NC</t>
  </si>
  <si>
    <t>COFIDE                                  2NC</t>
  </si>
  <si>
    <t>AGROBANCO                               2NC</t>
  </si>
  <si>
    <t>CAJA MUNICIPAL DE A/C PIURA             2NC</t>
  </si>
  <si>
    <t>CMAC DE HUANCAYO                        2NC</t>
  </si>
  <si>
    <t>CAJA MUNICIPAL ICA                      2NC</t>
  </si>
  <si>
    <t>CMAC DE TRUJILLO                        2NC</t>
  </si>
  <si>
    <t>VALRZÂ  SWAPS CAMBIARIO NEG CXP         2NC</t>
  </si>
  <si>
    <t>VALRZÂ  SWAPS MON NEG CXP               2NC</t>
  </si>
  <si>
    <t>VALRZ SWAPS MONEDASÂ  COMPRA            2NC</t>
  </si>
  <si>
    <t>MRX VAL SWAPS CAMBIARIO VTA             2NC</t>
  </si>
  <si>
    <t>MDC CXP VALÂ OVERNIGHT SWAP             2NC</t>
  </si>
  <si>
    <t>VALOR CCS COBERTURA                     2 C</t>
  </si>
  <si>
    <t>VALORIZACION CCS COBERTURA MESA COMPRA  2NC</t>
  </si>
  <si>
    <t>OBLIG.CDN BCRP - PACTOS DE RECOMPRA     2NC</t>
  </si>
  <si>
    <t>MDC REPO INTERBANCARIO ENAJENANTE       2NC</t>
  </si>
  <si>
    <t>BONOS 2DO PROG 5TA EMISION SERIE A      2NC</t>
  </si>
  <si>
    <t>BONO CORPORATIVO SOLES 2026             2NC</t>
  </si>
  <si>
    <t>CCNT OVERNIGHT INTEREST SWAP            7NC</t>
  </si>
  <si>
    <t>BONOS CORPORATIVOS EMP. SIST FINANC     1ND</t>
  </si>
  <si>
    <t>CDBCRP TRADING ESP                      1ND</t>
  </si>
  <si>
    <t>CDBCRP ALM DPV ESTRATEGICO              1ND</t>
  </si>
  <si>
    <t>BONOS SOBERANOS INV A VENCIMIENTO       1ND</t>
  </si>
  <si>
    <t>BONOS SOB A VENCIMIENTO                 1ND</t>
  </si>
  <si>
    <t>MDC DEP PLAZO VAC - PSFL                2NC</t>
  </si>
  <si>
    <t>BONOS SOBERANOS PAIS                    1ND</t>
  </si>
  <si>
    <t>MDC DEP PLAZO - PJFL  AJUSTE VAC        2NC</t>
  </si>
  <si>
    <t>MDC REPOÂ  BONOS SOB ALM ESTRA          1ND</t>
  </si>
  <si>
    <t>BONOS ORD.- SOC.NO FINANCIERAS          1ND</t>
  </si>
  <si>
    <t>BANCO CENTRAL DE RESERVA                1ND</t>
  </si>
  <si>
    <t>BONOS SOBERANOS TRADING                 1ND</t>
  </si>
  <si>
    <t>IM LIN NO UTILIZADA CTA CTE REVOL CESF  7NC</t>
  </si>
  <si>
    <t>SOBREGIROS EN CTA CTE PN                1ND</t>
  </si>
  <si>
    <t>OPERACIONES - CONVENIOS                 2NC</t>
  </si>
  <si>
    <t>IM LIN.CTA CTE CONSUMO REVOL            7NC</t>
  </si>
  <si>
    <t>IM LIN NO UTILIZADA CTA CTE REVOL CCOR  7NC</t>
  </si>
  <si>
    <t>DEPOSITOS CTA CTE PJ S/F LUCRO          2NC</t>
  </si>
  <si>
    <t>IM SOBREGIRO CTA CTE PJ S/F CESP        1ND</t>
  </si>
  <si>
    <t>IM SOBREGIRO CTA CTE PJ S/F CCOR        1ND</t>
  </si>
  <si>
    <t>DEPOSITO CTA CTE GARANT INMOBIL OTRAS PJ2NC</t>
  </si>
  <si>
    <t>INT CRED VENC.SUSP-SOBREG PN PJ S/F LUCR7ND</t>
  </si>
  <si>
    <t>DEPOSITOS CTA CTE PN                    2NC</t>
  </si>
  <si>
    <t>IM SOBREGIRO CTA CTE PJ S/F CPEM        1ND</t>
  </si>
  <si>
    <t>DEPOSITO GTIA CTA CTE-PJ S/F LUCRO      2NC</t>
  </si>
  <si>
    <t>CTA CTE BPE PERSONA JURIDICA            2NC</t>
  </si>
  <si>
    <t>SOBREGIRO VENC MES SIN FINES            1ND</t>
  </si>
  <si>
    <t>DEPOSITO GTIA CTA CTE-OTRAS PJ          2NC</t>
  </si>
  <si>
    <t>DEPOSITO CTA CTE PJ S/F LUCRO SIN MOV   2NC</t>
  </si>
  <si>
    <t>CTA CTE BPE PERSONA NATURAL             2NC</t>
  </si>
  <si>
    <t>IM SOBREG VENC CTA CTE PJ S/F CGEM      1ND</t>
  </si>
  <si>
    <t>IM SOBREGIRO CTA CTE PJ S/F CGEM        1ND</t>
  </si>
  <si>
    <t>IM SOBREG VENC CTA CTE PJ S/F CMED      1ND</t>
  </si>
  <si>
    <t>IM LIN NO UTILIZADA CTA CTE REVOL CIVA  7NC</t>
  </si>
  <si>
    <t>IM LIN NO UTILIZADA CTA CTE REVOL CGEM  7NC</t>
  </si>
  <si>
    <t>IM SOBREG VENC CTA CTE PJ S/F CPEM      1ND</t>
  </si>
  <si>
    <t>SOBREGIRO CTAS CTE S/F PJ MES106        1ND</t>
  </si>
  <si>
    <t>MANT SUSPENSO PJ SF IB                  7ND</t>
  </si>
  <si>
    <t>DEPOSITOS CTA CTE PJ                    2NC</t>
  </si>
  <si>
    <t>IM SOBREGIRO CTA CTE PJ S/F CMED        1ND</t>
  </si>
  <si>
    <t>RET.JUD.CTAS.CTES.- PN Y PJ PRIV.S/F LUC2NC</t>
  </si>
  <si>
    <t>RETENC.JUD.CTAS.CTES.- OTRAS PJ         2NC</t>
  </si>
  <si>
    <t>BL-CB GTIA CONTING PJ S/F LUCRO         2NC</t>
  </si>
  <si>
    <t>BENEFICIOS SOCIALES DE TRABAJADORES     2NC</t>
  </si>
  <si>
    <t>AHORROS CTA.ALCANCIA VIRTUAL            2NC</t>
  </si>
  <si>
    <t>DEP PLAZO CAPITAL PJSL                  2NC</t>
  </si>
  <si>
    <t>AHORROS MILLONARIA GTIA CAPITAL PN      2NC</t>
  </si>
  <si>
    <t>AHORROS GTIA.CONTING.- OTRAS PJ         2NC</t>
  </si>
  <si>
    <t>AHORROS CTA.MILLONARIA PN               2NC</t>
  </si>
  <si>
    <t>AHORROS CTA ALCANCIA VIRTUAL INACT      2NC</t>
  </si>
  <si>
    <t>CBME CAPITAL ACTIVO PJFL                2NC</t>
  </si>
  <si>
    <t>CTS CAPITAL                             2NC</t>
  </si>
  <si>
    <t>AHORROS CAPITAL PARALIZADO PJFL         2NC</t>
  </si>
  <si>
    <t>RET JUD AHORROS OTRAS PJ                2NC</t>
  </si>
  <si>
    <t>CTS CONVENIOS - PN Y PJ PRIV.S/F LUCR   2NC</t>
  </si>
  <si>
    <t>AHORROS CTA MILLONARIA PN INACT         2NC</t>
  </si>
  <si>
    <t>AHORROS CAPITAL ACTIVO PJFL             2NC</t>
  </si>
  <si>
    <t>AHORROS ESP.OTRAS PJ - INACTIVAS        2NC</t>
  </si>
  <si>
    <t>DEP PLAZO CAPITAL PJFL                  2NC</t>
  </si>
  <si>
    <t>AHORROS RETENCION JUD PN                2NC</t>
  </si>
  <si>
    <t>AHORROS CAPITAL PARALIZADO PJSL         2NC</t>
  </si>
  <si>
    <t>RET.JUD.- CTAS A PLAZO PN Y PJ PRIV.S   2NC</t>
  </si>
  <si>
    <t>CTAS A PLAZO FDO GARANTIA - OTRAS PJ    2NC</t>
  </si>
  <si>
    <t>AHORROS CAPITAL ACTIVO PN               2NC</t>
  </si>
  <si>
    <t>AHORROS ESP - OTRAS PJ                  2NC</t>
  </si>
  <si>
    <t>DEP PLAZO MESA CAPITAL PJSL             2NC</t>
  </si>
  <si>
    <t>RET.JUD.- CTAS A PLAZO PN Y PJ PRIV.S/F 2NC</t>
  </si>
  <si>
    <t>CBME GTIA CAPITAL PJFL                  2NC</t>
  </si>
  <si>
    <t>DEP PLAZO CAPITAL PN                    2NC</t>
  </si>
  <si>
    <t>AHORROS CAPITAL PARALIZADO PN           2NC</t>
  </si>
  <si>
    <t>CBME CAPITAL - INTERES VCDO PJFL        2NC</t>
  </si>
  <si>
    <t>DEP PLAZO GTIA CAPITAL PJFL             2NC</t>
  </si>
  <si>
    <t>AHORROS CAPITAL ACTIVO PJSL             2NC</t>
  </si>
  <si>
    <t>DEP PLAZO GTIA CAPITAL PN               2NC</t>
  </si>
  <si>
    <t>CBME CAPITAL ACTIVO PN                  2NC</t>
  </si>
  <si>
    <t>AHORROS GTIA CAPITAL PN                 2NC</t>
  </si>
  <si>
    <t>RETENCION JUDICIAL CTS                  2NC</t>
  </si>
  <si>
    <t>BL-CB GTIA CONTING PN                   2NC</t>
  </si>
  <si>
    <t>D.GTIA. CRED.-CTAS PLAZO PN PJ PRIV.S/F 2NC</t>
  </si>
  <si>
    <t>CB CAP INT.VCDO PN                      2NC</t>
  </si>
  <si>
    <t>DCHO C/C EMIT NO NEG S/CTRAGTIA-PJ      7ND</t>
  </si>
  <si>
    <t>CHQS REC POR IMPORTACIONES              7NC</t>
  </si>
  <si>
    <t>VALORES FACTORING INT                   7NC</t>
  </si>
  <si>
    <t>VALORES REC COB EXPORTACION             7NC</t>
  </si>
  <si>
    <t>STAND BY RECIBIDAS C/C AVISADAS         7NC</t>
  </si>
  <si>
    <t>DCHOS C/C PJ CONFIRMADAS                7ND</t>
  </si>
  <si>
    <t>DERECHOS POR ACEPTACIONES BCARIAS SIN CT7ND</t>
  </si>
  <si>
    <t>DCHO C/C EMIT NO NEG S/CGTIA-STAND BY   7ND</t>
  </si>
  <si>
    <t>VAL.REC.EN COBR.POR ACEPTAR             7NC</t>
  </si>
  <si>
    <t>CARTAS DE CREDITO CONTIGENTE SBLC       7ND</t>
  </si>
  <si>
    <t>VAL REC EN COB ACEPTADA                 7NC</t>
  </si>
  <si>
    <t>VAL.RECIB.EN COB.DOC.VISTA              7NC</t>
  </si>
  <si>
    <t>DCHO C/C CONF. NONEG C/GARANT 1ERA CATEG7ND</t>
  </si>
  <si>
    <t>CARTAS DE CREDITO AVISADAS              7NC</t>
  </si>
  <si>
    <t>BKT STAND BY Confirmados   1ER CATEGORIA7ND</t>
  </si>
  <si>
    <t>TC VISA COMPRA REV VIG CCRV             1ND</t>
  </si>
  <si>
    <t>TC VISA COMPRA CUOTAS VIG CCRV          1ND</t>
  </si>
  <si>
    <t>TC VISA COMPRA REV VIG CMIE             1ND</t>
  </si>
  <si>
    <t>TC MC COMPRA CUOTAS VIG CCRV            1ND</t>
  </si>
  <si>
    <t>TC VISA COMPRA REV VIG CMED             1ND</t>
  </si>
  <si>
    <t>TC AMEX CDEUDA PAR VEN CCNR             1ND</t>
  </si>
  <si>
    <t>TC VISA COMPRA CUOTAS VEN CCRV          1ND</t>
  </si>
  <si>
    <t>TC MC COMPRA REV VIG CCRV               1ND</t>
  </si>
  <si>
    <t>TC AMEX REPROG REV VEN CCRV             1ND</t>
  </si>
  <si>
    <t>TC MC COMPRA REV VEN CCRV               1ND</t>
  </si>
  <si>
    <t>TC AMEX REPROG PAR VEN CCNR             1ND</t>
  </si>
  <si>
    <t>TC VISA REPROG REV VEN CCRV             1ND</t>
  </si>
  <si>
    <t>TC AMEX CDEUDA PAR VIG CCNR             1ND</t>
  </si>
  <si>
    <t>TC VISA REPROG REV VIG CCRV             1ND</t>
  </si>
  <si>
    <t>TC AMEX D/E REV VIG CCRV                1ND</t>
  </si>
  <si>
    <t>TC AMEX COMPRA REV VIG CCRV             1ND</t>
  </si>
  <si>
    <t>TC AMEX D/E CUOTAS VIG CCRV             1ND</t>
  </si>
  <si>
    <t>TC AMEX COMPRA REV VEN CCRV             1ND</t>
  </si>
  <si>
    <t>TC VISA CDEUDA PAR VEN CCNR             1ND</t>
  </si>
  <si>
    <t>TC VISA CDEUDA PAR VIG CCNR             1ND</t>
  </si>
  <si>
    <t>TC VISA COMPRA REV VIG CPEM             1ND</t>
  </si>
  <si>
    <t>TC VISA REPROG PAR VEN CCNR             1ND</t>
  </si>
  <si>
    <t>TC AMEX D/E REV VEN CCRV                1ND</t>
  </si>
  <si>
    <t>TC VISA COMERC COLOC.COMPRAS CESP       1ND</t>
  </si>
  <si>
    <t>TC VISA COMPRA REV VIG CCOR             1ND</t>
  </si>
  <si>
    <t>TC AMEX REPROG REV VIG CCRV             1ND</t>
  </si>
  <si>
    <t>TC SALDOS ACREEDORES                    2NC</t>
  </si>
  <si>
    <t>TC VISA COMPRA REV VEN CMED             1ND</t>
  </si>
  <si>
    <t>TC VISA COMPRA REV VEN CCRV             1ND</t>
  </si>
  <si>
    <t>TC VISA D/E REV VIG CCRV                1ND</t>
  </si>
  <si>
    <t>TC VISA D/E CUOTAS VIG CCRV             1ND</t>
  </si>
  <si>
    <t>TC AMEX COMPRA CUOTAS VIG CCRV          1ND</t>
  </si>
  <si>
    <t>TC VISA REPROG PAR VIG CCNR             1ND</t>
  </si>
  <si>
    <t>TC VISA COMERCIAL COLOC.COMPRAS CGEM    1ND</t>
  </si>
  <si>
    <t>TC VISA D/E REV VEN CCRV                1ND</t>
  </si>
  <si>
    <t>TC VISA COMPRA REV VIG CGEM             1ND</t>
  </si>
  <si>
    <t>TC VISA COMPRA REV VIG CIVA             1ND</t>
  </si>
  <si>
    <t>TC VISA COMPRA REV IBK VIG CESF         1ND</t>
  </si>
  <si>
    <t>TC AMEX REPROG PAR VIG CCNR             1ND</t>
  </si>
  <si>
    <t>TC AMEX COMPRA CUOTAS VEN CCRV          1ND</t>
  </si>
  <si>
    <t>HPC ADEUD CAP TECHO PROP COF LP         2NC</t>
  </si>
  <si>
    <t>HPC D/P CAP VENC-90 HIP. RP. BONOS C/HIP1ND</t>
  </si>
  <si>
    <t>HPC CRED EFECTIVO NRV VIGEN             1ND</t>
  </si>
  <si>
    <t>HPC REF CAP.VENC-90 HIPOT.TRAD          1ND</t>
  </si>
  <si>
    <t>GTIA RECIB X RIESGO FONDO MIVIVIENDA    7NC</t>
  </si>
  <si>
    <t>HPC CAP.VIG.HIPOT (SHI) TASA MIXTA REC P1ND</t>
  </si>
  <si>
    <t>HPC CAP.VIG.HIPOT.REC PROP              1ND</t>
  </si>
  <si>
    <t>HPC D/P CAP VENCIDO HIPOT.TASA MIXTA REC1ND</t>
  </si>
  <si>
    <t>HPC D/P CRED EFECTIVO NRV V             1ND</t>
  </si>
  <si>
    <t>HPC D/P CAP VENC-90 MI VIV REC PR       1ND</t>
  </si>
  <si>
    <t>HPC CAP.VENCIDO HIPOT.TASA MIXTA REC    1ND</t>
  </si>
  <si>
    <t>GAC HIPOTECAS MI VIVIENDAÂ Â Â Â Â Â Â Â7NC</t>
  </si>
  <si>
    <t>HPC CRED VEHICULAR NRV VIGE             1ND</t>
  </si>
  <si>
    <t>HPC CAP.VENC-90 HIPOT.REC PROP S/HIP. IN1ND</t>
  </si>
  <si>
    <t>HPC CAP.VENC 90 MI VIV COFIDE           1ND</t>
  </si>
  <si>
    <t>HPC CAP.VENC. 2DA HIPOT.REC PROP C/HIP. 1ND</t>
  </si>
  <si>
    <t>HPC CAP.VIG. HIP. RP. BONOS             1ND</t>
  </si>
  <si>
    <t>HPC CONV PRIVADO NRV VIG NORM GRUPO IBK 1 D</t>
  </si>
  <si>
    <t>HPC D/P CAP VIG HIPOT.REC PROP          1ND</t>
  </si>
  <si>
    <t>HPC CAP.VENC-90 HIPOT.REC PROP. C/HIP. I1ND</t>
  </si>
  <si>
    <t>HPC D/P CAP VENC-90 HIPOT.REC PROP C/HIP1ND</t>
  </si>
  <si>
    <t>HPC CAP.VIG.MI VIV REC PROP.            1ND</t>
  </si>
  <si>
    <t>HPC CAP.VENC-90 MI VIV REC PROP         1ND</t>
  </si>
  <si>
    <t>HPC CAP.VIG. EFEC C/GARANT. HIP         1ND</t>
  </si>
  <si>
    <t>HPC D/P CAP VENC-90 2DA HIPOT.REC PROP C1ND</t>
  </si>
  <si>
    <t>HPC CAP.VIG. 2DA HIPOT.REC PROP (S/HIP. 1ND</t>
  </si>
  <si>
    <t>HPC CAP.VIG.HIPOT.TRAD.FINAN .PROV.RE   1ND</t>
  </si>
  <si>
    <t>HPC CONV PRIVADO NRV VIG NORM           1ND</t>
  </si>
  <si>
    <t>HPC D/P CAP VIG 2DA HIPOT.REC PROP C/HIP1ND</t>
  </si>
  <si>
    <t>HPC D/P CAP VIG HIPOT.TASA MIXTO REC PRO1ND</t>
  </si>
  <si>
    <t>HPC CAP.VEN. PARALELO HIP. MIVIVIENDA   1ND</t>
  </si>
  <si>
    <t>HPC CAPVIGEFEC C/GARANTHIPFIN           1ND</t>
  </si>
  <si>
    <t>HPC CAP.VIG.MI VIV COFIDE               1ND</t>
  </si>
  <si>
    <t>HPC CAP.VIG.HIPOT. TASA MIXTA REC PRO   1ND</t>
  </si>
  <si>
    <t>HPC CRED VEHICULAR NRV VENC             1ND</t>
  </si>
  <si>
    <t>GAC GTIA CRED HIPOT.TECHO PROPIOÂ Â Â Â 7NC</t>
  </si>
  <si>
    <t>HPC ADEUD CAP MIVIV COFIDE LP           2NC</t>
  </si>
  <si>
    <t>HPC D/P CAP VIG MI VIV REC PROP         1ND</t>
  </si>
  <si>
    <t>HPC REF CAP.VIG.HIPOT.TRAD. C/HIP. INSCR1ND</t>
  </si>
  <si>
    <t>HPC CAP.VIG.TEC PROPIO COF              1ND</t>
  </si>
  <si>
    <t>HPC CAP.VIG.2DA HIPOT.REC PROP (C/HIP. I1ND</t>
  </si>
  <si>
    <t>PR LETRAS BNES.ADJUDICADOS VIG          7ND</t>
  </si>
  <si>
    <t>FCD  DSCTO ELECTR SM PERU VIG CMED      1ND</t>
  </si>
  <si>
    <t>FCD DESC. LET. VENC. CPEM DUPE          1ND</t>
  </si>
  <si>
    <t>FCD  LETR./FACT.DSCTO.MES VIG           1ND</t>
  </si>
  <si>
    <t>FCD  DSCTO ELECTR SM PERU VIG CGEM      1ND</t>
  </si>
  <si>
    <t>FCD LETRAS  DSCTO VC   CCOR             1ND</t>
  </si>
  <si>
    <t>FCD  LETRASÂ  DSCTO VCÂ Â  CGEM         1ND</t>
  </si>
  <si>
    <t>FCD  LETRASÂ  DSCTO CPÂ  CGEM           1ND</t>
  </si>
  <si>
    <t>FCD  LETRASÂ  DSCTO CPÂ  CMED           1ND</t>
  </si>
  <si>
    <t>FCD  DSCTO ELECTR SM PERUAN VIG MES     1ND</t>
  </si>
  <si>
    <t>FCD  LETRASÂ  DSCTO CPÂ  CPEM           1ND</t>
  </si>
  <si>
    <t>FCD  COBRANZA LIBRE FACTURAS            7NC</t>
  </si>
  <si>
    <t>PR LETRAS  DSCTO VC   CPEM              1ND</t>
  </si>
  <si>
    <t>FCD  LETRASÂ  DSCTO CPÂ  CCOR           1ND</t>
  </si>
  <si>
    <t>FCD  DSCTO ELECTR SM PERU VIG CCOR      1ND</t>
  </si>
  <si>
    <t>FCD  FACT ELECTR LET/FACT VIG CGEM      1ND</t>
  </si>
  <si>
    <t>FCD  COB.LBR.F.BL                       7NC</t>
  </si>
  <si>
    <t>FCD  FACT ELECTR LET/FACT VIG CCOR      1ND</t>
  </si>
  <si>
    <t>JCC PRE JUD FONDO CRECER CGEM           1 D</t>
  </si>
  <si>
    <t>JCC COBJUD EFEC.NO REV LIBR.DISP        1ND</t>
  </si>
  <si>
    <t>JCC CASTIG PRINC MYP A.F. CYBER. MES    7ND</t>
  </si>
  <si>
    <t>JCC COB JUD PREST EFEC GTIA HIPOT       1ND</t>
  </si>
  <si>
    <t>JCC MYP AF CYBERPL  NRV CPEM            1ND</t>
  </si>
  <si>
    <t>JCC  CAPITAL TECHO PROPIO VENC -90      1ND</t>
  </si>
  <si>
    <t>JCC  PREST COBR JUDIC EXPORT CPEM       1ND</t>
  </si>
  <si>
    <t>JCC COB JUD TC VISA PN-CONSUMOS         1ND</t>
  </si>
  <si>
    <t>JCC CASTIGADA RFA FINANCIAMIENTO        7ND</t>
  </si>
  <si>
    <t>JCC CAPITAL CASTIG. RFA SUBORDINADO MES 7ND</t>
  </si>
  <si>
    <t>JCC BTC COB JUD RAPPIBANK REV           1 D</t>
  </si>
  <si>
    <t>JCC PRE JUD FONDO CRECER CMED           1 D</t>
  </si>
  <si>
    <t>JCC JUDIC.HIPOT.MI VIVIENDA COFIDE      1ND</t>
  </si>
  <si>
    <t>JCC PRE JUDIC RP CAP.TRAB VENC NO REVOLV1 D</t>
  </si>
  <si>
    <t>JCC COBJUD NO REVOL CRE.VEHICULAR       1ND</t>
  </si>
  <si>
    <t>JCC COB JUD FONDO CRECER CGEM           1 D</t>
  </si>
  <si>
    <t>JCC COB JUD CRED HIPOTEC-RECUPER CHPV   1ND</t>
  </si>
  <si>
    <t>JCC PRE JUD SOBR C.CTE.PN VENC GL7003   1ND</t>
  </si>
  <si>
    <t>JCC  PREST COBR JUDIC EXPORT CMED       1ND</t>
  </si>
  <si>
    <t>JCC CAPIT CASTIGO H. MIVIVIENDA RP      7ND</t>
  </si>
  <si>
    <t>JCC COB.JUD.DSCTO.PAG.MES               1ND</t>
  </si>
  <si>
    <t>JCC PREJUD EFEC.NO REV LIBR.DIS         1ND</t>
  </si>
  <si>
    <t>JCC CASTIGADA RFA SUBORDINADO           7ND</t>
  </si>
  <si>
    <t>JCC TRAM SENT JUD-IMPORT RP JCC         7ND</t>
  </si>
  <si>
    <t>JCC COB. JUD. SOBREG CCTE. PJ CGEM      1ND</t>
  </si>
  <si>
    <t>JCC COB JUD PAG.TV NO REV. CMIE         1 D</t>
  </si>
  <si>
    <t>JCC PRE JUDIC DSCTO.LETRAS VENC CPEM GL71ND</t>
  </si>
  <si>
    <t>JCC COB.JUD.DSCTO.LETRA MES             1ND</t>
  </si>
  <si>
    <t>JCC COB.JUD. DESCTO. DE PAGARE CGEM     1ND</t>
  </si>
  <si>
    <t>JCC COB JUD H. MIVIVIENDA RP CHPV       1ND</t>
  </si>
  <si>
    <t>JCC COB.JUD.REFINANCIADOS               1ND</t>
  </si>
  <si>
    <t>JCC BTC PRE JUD RAPPIBANK REV           1 D</t>
  </si>
  <si>
    <t>JCC JUD.MYP LEASING BPE CMIE            1ND</t>
  </si>
  <si>
    <t>JCC CASTIGO CAPITAL P.RP EXPORT         7ND</t>
  </si>
  <si>
    <t>JCC PREJUD HIPOT.MI VIVIEND VEN COFIDE  1ND</t>
  </si>
  <si>
    <t>JCC COB.JUD.PAG.IMPORTAC CMED           1ND</t>
  </si>
  <si>
    <t>JCC PREJUD NO REVOL CRE.VEHICULAR       1ND</t>
  </si>
  <si>
    <t>JCC COB.JUD CARTAS DE CRED. CMED        1ND</t>
  </si>
  <si>
    <t>JCC CASTIGO CAPITAL CART.CREDITO        7ND</t>
  </si>
  <si>
    <t>JCC PRE JUD TC VISA PN-CONSUMOS         1ND</t>
  </si>
  <si>
    <t>JCC CASTIGO CAPITAL REF.HIPOT.          7ND</t>
  </si>
  <si>
    <t>JCC PRE JUD CRED HIPOT-REC JCC VENC CHPV1ND</t>
  </si>
  <si>
    <t>LPC COFIDE FONDOS CRECER CMED  VEN\NORM 1ND</t>
  </si>
  <si>
    <t>LPC COFIDE FONDOS CRECER CCOR  VIG\NORM 1ND</t>
  </si>
  <si>
    <t>LPC LEASEBACK SEGUROS RP CMED           1ND</t>
  </si>
  <si>
    <t>LPC PAG PAPERLESS DERIVADOS REVOL CMED D1ND</t>
  </si>
  <si>
    <t>LPC IMPORT. CARTA CREDITO  FINANC. VIG. 1ND</t>
  </si>
  <si>
    <t>LPC POST EMBARQUE FINANC. VIG. NORM CMED1ND</t>
  </si>
  <si>
    <t>LPC PRE EMBARQUE FINANC. VEN. DUPE CGEM 1ND</t>
  </si>
  <si>
    <t>LPC PAG TV REF VIG REVOL CGEM           1ND</t>
  </si>
  <si>
    <t>LPC PAGARE FORFAITING CESF              1ND</t>
  </si>
  <si>
    <t>LPC PAG TV RP MED PLAZO NO REV D/P CMED 1ND</t>
  </si>
  <si>
    <t>LPC IMPORT.  FINANC. VEN. NORM CMED     1ND</t>
  </si>
  <si>
    <t>LPC PAG TV RP MED PLAZO NO REV          1 D</t>
  </si>
  <si>
    <t>PAG TV REFINANCIADO VENC - LPC CPEM     1ND</t>
  </si>
  <si>
    <t>LPC PAG TV REF VIG NO REV CMED          1ND</t>
  </si>
  <si>
    <t>LPC POST EMBARQUE FINANC. VEN. DUPE CGEM1ND</t>
  </si>
  <si>
    <t>FINANCIACIÃ“N DE PROYECTOS GE           1ND</t>
  </si>
  <si>
    <t>LPC VENC PAG TV RP NO REVOL CPEM        1ND</t>
  </si>
  <si>
    <t>LPC LEASEBACK DEL BIEN RP CMED          1ND</t>
  </si>
  <si>
    <t>LPC COFIDE FONDOS CRECER CGEM  VEN\DUPE 1ND</t>
  </si>
  <si>
    <t>LPC LEAS DEL BIEN D/P RP CGEM           1ND</t>
  </si>
  <si>
    <t>LPC POST EMBARQUE FINANC. VIG. NORM CGEM1ND</t>
  </si>
  <si>
    <t>LPC LEAS D/P SEG RP CGEM                1ND</t>
  </si>
  <si>
    <t>LPC ADEUDADO COFIDE CORTO PLAZO         2NC</t>
  </si>
  <si>
    <t>LPC PTV RECCOFIDE NO REVOL VIG CGEM     1ND</t>
  </si>
  <si>
    <t>CL CARTA FIANZA SECTOR PUBLICO          7ND</t>
  </si>
  <si>
    <t>SWAP CAMBIARIO BCR                      7ND</t>
  </si>
  <si>
    <t>US TREASURY TRADING                     1ND</t>
  </si>
  <si>
    <t>BONOS DEL TESORO AMERICANO              1ND</t>
  </si>
  <si>
    <t>BONOS GLOBALES DISP PARA LA VTA         1ND</t>
  </si>
  <si>
    <t>BONO CORPORATIVO US.D 2026              2NC</t>
  </si>
  <si>
    <t>MDC ADEUDADO INSTITUCIONES FINANCIERAS E2NC</t>
  </si>
  <si>
    <t>BONOS CORP EMP FIN TRADING MESA         1ND</t>
  </si>
  <si>
    <t>SWAP DE MONEDASÂ  COMPRA COBERTURA      7ND</t>
  </si>
  <si>
    <t>SWAPS DE TASA DE INTERES-NEGOCIACION    1ND</t>
  </si>
  <si>
    <t>SWAP DE MONEDASÂ  VENTAS                7ND</t>
  </si>
  <si>
    <t>MDC NOMINAL BONO SUBORDINADO IBK 7.625% 2NC</t>
  </si>
  <si>
    <t>SWAP CC  COBERTURA  COMPRA              7ND</t>
  </si>
  <si>
    <t>BONOS GLOBALES TRADING                  1ND</t>
  </si>
  <si>
    <t>SWAPS TASAS INT NEGOCIACION - CAPITAL   7NC</t>
  </si>
  <si>
    <t>SWAPS VAL DE TASA DE INTERES-NEGOCIACION2NC</t>
  </si>
  <si>
    <t>DEUDORES POR VENTA - FWD.DIVISAS TESORER7 D</t>
  </si>
  <si>
    <t>SWAP DE MONEDAS ESPECU COMPRAS          7ND</t>
  </si>
  <si>
    <t>DEPÃ“SITOS OVERNIGHT                    1ND</t>
  </si>
  <si>
    <t>BONOS GLOB MEXICO DISPO VENTA           1ND</t>
  </si>
  <si>
    <t>FWD Venta OPC NDF                       7ND</t>
  </si>
  <si>
    <t>ACREEDORES POR COMPRA - FWD.DIVISAS TESO7 D</t>
  </si>
  <si>
    <t>BONOS GLOB MEXICO TRADING MESA          1ND</t>
  </si>
  <si>
    <t>SWAP CAMBIARIO BCR COMPRA               7ND</t>
  </si>
  <si>
    <t>BONO SUBORDINADO REDIMIBLE 2020 USD 300M2NC</t>
  </si>
  <si>
    <t>FWD Compra OPC NDF                      7ND</t>
  </si>
  <si>
    <t>DERIV VALORIZ OPC DEUD VTA CALL EUROP CT1ND</t>
  </si>
  <si>
    <t>MDC ADEUDADOSÂ  INSTITUCIONES FINA DEL E2NC</t>
  </si>
  <si>
    <t>DERIVADOS OPC DEUD VTA CALL EUROPEO     7ND</t>
  </si>
  <si>
    <t>COMPRAS A FUTURO - FWD NON DELIVERY E   7ND</t>
  </si>
  <si>
    <t>DEUDORES POR VENTAS A FUTURO - FWD NO   7ND</t>
  </si>
  <si>
    <t>CMAC                                    2NC</t>
  </si>
  <si>
    <t>MDC. NOMINAL BONO BONO CORPORATIVO 2030 2 C</t>
  </si>
  <si>
    <t>DERIV VALORIZ OPC VTA CALL EURP CTAXPAG 2NC</t>
  </si>
  <si>
    <t>MDC. NOMINAL BONO SUBORDINADO 2035      2 C</t>
  </si>
  <si>
    <t>BONO SUBORDINADO DPV FINANZAS           1ND</t>
  </si>
  <si>
    <t>BONOS SUBORDINADOS REDIMIBLES 6.625%    2NC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</si>
</sst>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E8B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43" fontId="0" fillId="0" borderId="1" xfId="0" applyNumberForma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3" fillId="6" borderId="1" xfId="0" applyNumberFormat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Millares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DICC%20CUENTAS%20CONTABLES.xlsx" TargetMode="External"/><Relationship Id="rId2" Type="http://schemas.openxmlformats.org/officeDocument/2006/relationships/externalLinkPath" Target="file:///C:\Users\x16267\Desktop\DICC%20CUENTAS%20CONTABLES.xlsx" TargetMode="External"/><Relationship Id="rId1" Type="http://schemas.openxmlformats.org/officeDocument/2006/relationships/externalLinkPath" Target="/Users/x16267/Desktop/DICC%20CUENTAS%20CON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LOCUENTAS (1)"/>
      <sheetName val="Hoja1"/>
    </sheetNames>
    <sheetDataSet>
      <sheetData sheetId="0">
        <row r="1">
          <cell r="B1" t="str">
            <v>Column2</v>
          </cell>
          <cell r="C1" t="str">
            <v>Column3</v>
          </cell>
        </row>
        <row r="2">
          <cell r="B2" t="str">
            <v>11010100000101</v>
          </cell>
          <cell r="C2" t="str">
            <v>BILLETES Y MONEDAS LIMA                 1ND</v>
          </cell>
        </row>
        <row r="3">
          <cell r="B3" t="str">
            <v>11010101000102</v>
          </cell>
          <cell r="C3" t="str">
            <v>BILLETES Y MONEDAS HERMES PROVINCIA     1ND</v>
          </cell>
        </row>
        <row r="4">
          <cell r="B4" t="str">
            <v>11010101000103</v>
          </cell>
          <cell r="C4" t="str">
            <v>BILLETES Y MONEDAS PROSEGUR PROVINCIA   1ND</v>
          </cell>
        </row>
        <row r="5">
          <cell r="B5" t="str">
            <v>11010101000104</v>
          </cell>
          <cell r="C5" t="str">
            <v>BILLETES Y MONEDAS RECIBIDAS            1ND</v>
          </cell>
        </row>
        <row r="6">
          <cell r="B6" t="str">
            <v>11010200000101</v>
          </cell>
          <cell r="C6" t="str">
            <v>BILLETES Y MONEDAS TIENDAS              1ND</v>
          </cell>
        </row>
        <row r="7">
          <cell r="B7" t="str">
            <v>11010200000102</v>
          </cell>
          <cell r="C7" t="str">
            <v>CAJEROS AUTOMATICOS                     1ND</v>
          </cell>
        </row>
        <row r="8">
          <cell r="B8" t="str">
            <v>11010200000103</v>
          </cell>
          <cell r="C8" t="str">
            <v>DISPENSADOR DE MONEDAS-MONEDEROS        1ND</v>
          </cell>
        </row>
        <row r="9">
          <cell r="B9" t="str">
            <v>11010900000101</v>
          </cell>
          <cell r="C9" t="str">
            <v>HERMES-TDAS LIMA EFECTIVO EN TRANSITO   1YD</v>
          </cell>
        </row>
        <row r="10">
          <cell r="B10" t="str">
            <v>11010900000102</v>
          </cell>
          <cell r="C10" t="str">
            <v>REMESASÂ  PROSEGUR TIENDAS LIMA         1YD</v>
          </cell>
        </row>
        <row r="11">
          <cell r="B11" t="str">
            <v>11010900000108</v>
          </cell>
          <cell r="C11" t="str">
            <v>HERMES-ATM/MON LIMA EFECTIVO EN TRANSITO1YD</v>
          </cell>
        </row>
        <row r="12">
          <cell r="B12" t="str">
            <v>11010900000109</v>
          </cell>
          <cell r="C12" t="str">
            <v>REMESASÂ  PROSEGUR ATM LIMA             1YD</v>
          </cell>
        </row>
        <row r="13">
          <cell r="B13" t="str">
            <v>11010900000111</v>
          </cell>
          <cell r="C13" t="str">
            <v>AUTOABASTECIMIENTO TIENDAS              1YD</v>
          </cell>
        </row>
        <row r="14">
          <cell r="B14" t="str">
            <v>11010900000112</v>
          </cell>
          <cell r="C14" t="str">
            <v>HERMES-TDAS PROV. EFECTIVO EN TRANSITO  1ND</v>
          </cell>
        </row>
        <row r="15">
          <cell r="B15" t="str">
            <v>11010900000113</v>
          </cell>
          <cell r="C15" t="str">
            <v>PROSEGUR-TDAS PROV. EFECTIVO EN TRANSITO1ND</v>
          </cell>
        </row>
        <row r="16">
          <cell r="B16" t="str">
            <v>11010900000114</v>
          </cell>
          <cell r="C16" t="str">
            <v>REMESAS PASES AÃ‰REOS Y CENTRALIZACION D1YD</v>
          </cell>
        </row>
        <row r="17">
          <cell r="B17" t="str">
            <v>11010900000115</v>
          </cell>
          <cell r="C17" t="str">
            <v>REMESASÂ  PROSEGUR ATM PROVINCIA        1YD</v>
          </cell>
        </row>
        <row r="18">
          <cell r="B18" t="str">
            <v>11010900000116</v>
          </cell>
          <cell r="C18" t="str">
            <v>REMESASÂ  HERMES ATM PROVINCIA          1YD</v>
          </cell>
        </row>
        <row r="19">
          <cell r="B19" t="str">
            <v>11010900000117</v>
          </cell>
          <cell r="C19" t="str">
            <v>ABASTEC/REMANENTES/RECOJOS ATM          1YD</v>
          </cell>
        </row>
        <row r="20">
          <cell r="B20" t="str">
            <v>11010900000118</v>
          </cell>
          <cell r="C20" t="str">
            <v>EFECTIVO TRÃNSITO CENTRALIZACIÃ“N HERME1YD</v>
          </cell>
        </row>
        <row r="21">
          <cell r="B21" t="str">
            <v>11010900000119</v>
          </cell>
          <cell r="C21" t="str">
            <v>EFECTIVO TRÃNSITO CENTRALIZACIÃ“N PROSE1YD</v>
          </cell>
        </row>
        <row r="22">
          <cell r="B22" t="str">
            <v>11010900000120</v>
          </cell>
          <cell r="C22" t="str">
            <v>REMESAS TRÃNSITO TDAS PROVINCIA        1YD</v>
          </cell>
        </row>
        <row r="23">
          <cell r="B23" t="str">
            <v>11010900000121</v>
          </cell>
          <cell r="C23" t="str">
            <v>110109000001210000                      1ND</v>
          </cell>
        </row>
        <row r="24">
          <cell r="B24" t="str">
            <v>11010900000123</v>
          </cell>
          <cell r="C24" t="str">
            <v>BILLETES Y MONEDAS MAE PROSEGUR_LIMA    1YD</v>
          </cell>
        </row>
        <row r="25">
          <cell r="B25" t="str">
            <v>11010900000124</v>
          </cell>
          <cell r="C25" t="str">
            <v>BILLETES Y MONEDAS MAES-HERMES          1YD</v>
          </cell>
        </row>
        <row r="26">
          <cell r="B26" t="str">
            <v>11010900000125</v>
          </cell>
          <cell r="C26" t="str">
            <v>BILLETES Y MONEDAS MAE  PROSEGUR_PROV   1ND</v>
          </cell>
        </row>
        <row r="27">
          <cell r="B27" t="str">
            <v>11010900000126</v>
          </cell>
          <cell r="C27" t="str">
            <v>BILLETES Y MONEDAS MAE MULTIABONO       1YD</v>
          </cell>
        </row>
        <row r="28">
          <cell r="B28" t="str">
            <v>11010900000128</v>
          </cell>
          <cell r="C28" t="str">
            <v>EFECTIVO EN TRÃNSITO EXPORTACIÃ“N/IMPOR1YD</v>
          </cell>
        </row>
        <row r="29">
          <cell r="B29" t="str">
            <v>11010900000129</v>
          </cell>
          <cell r="C29" t="str">
            <v>EFECTIVO EN TRÃNSITO TRASLADO ENTRE BÃ“1YD</v>
          </cell>
        </row>
        <row r="30">
          <cell r="B30" t="str">
            <v>11010900000130</v>
          </cell>
          <cell r="C30" t="str">
            <v>EFECTIVO EN TRÃNSITO TRASLADOÂ  DE NETO1YD</v>
          </cell>
        </row>
        <row r="31">
          <cell r="B31" t="str">
            <v>11010900000131</v>
          </cell>
          <cell r="C31" t="str">
            <v>EFECTIVO EN TRÃNSITO TRASLADOÂ  DE NETO1YD</v>
          </cell>
        </row>
        <row r="32">
          <cell r="B32" t="str">
            <v>11010900000132</v>
          </cell>
          <cell r="C32" t="str">
            <v>EFECTIVO EN TRÃNSITO ABA ATM EN TIENDAS1YD</v>
          </cell>
        </row>
        <row r="33">
          <cell r="B33" t="str">
            <v>11010900000133</v>
          </cell>
          <cell r="C33" t="str">
            <v>EFECTIVO EN TRÃNSITO IZP               1YD</v>
          </cell>
        </row>
        <row r="34">
          <cell r="B34" t="str">
            <v>11020100000101</v>
          </cell>
          <cell r="C34" t="str">
            <v>CUENTA CORRIENTE ORDINARIA              1ND</v>
          </cell>
        </row>
        <row r="35">
          <cell r="B35" t="str">
            <v>11020400000101</v>
          </cell>
          <cell r="C35" t="str">
            <v>DEPÃ“SITOS OVERNIGHT                    1ND</v>
          </cell>
        </row>
        <row r="36">
          <cell r="B36" t="str">
            <v>11020500000101</v>
          </cell>
          <cell r="C36" t="str">
            <v>DEPOSITOS A PLAZO EN EL BCRP            1ND</v>
          </cell>
        </row>
        <row r="37">
          <cell r="B37" t="str">
            <v>11020900000101</v>
          </cell>
          <cell r="C37" t="str">
            <v>DEPOSITOS OVERNIGHT                     1ND</v>
          </cell>
        </row>
        <row r="38">
          <cell r="B38" t="str">
            <v>11020900000102</v>
          </cell>
          <cell r="C38" t="str">
            <v>DEPOSITOS A PLAZO MN                    1ND</v>
          </cell>
        </row>
        <row r="39">
          <cell r="B39" t="str">
            <v>11030102000102</v>
          </cell>
          <cell r="C39" t="str">
            <v>BCO DE LA NACION-COBRO DE PRODUCTOS     1ND</v>
          </cell>
        </row>
        <row r="40">
          <cell r="B40" t="str">
            <v>11030103000103</v>
          </cell>
          <cell r="C40" t="str">
            <v>BCO.DE CRED.TARJ.DE CREDITO             1ND</v>
          </cell>
        </row>
        <row r="41">
          <cell r="B41" t="str">
            <v>11030105000102</v>
          </cell>
          <cell r="C41" t="str">
            <v>SCOTIABANK PERU S.A.A.                  1ND</v>
          </cell>
        </row>
        <row r="42">
          <cell r="B42" t="str">
            <v>11030106000102</v>
          </cell>
          <cell r="C42" t="str">
            <v>COFIGAS-VEHICULAR (BBVA)                1ND</v>
          </cell>
        </row>
        <row r="43">
          <cell r="B43" t="str">
            <v>11030106000103</v>
          </cell>
          <cell r="C43" t="str">
            <v>FONDO BBVA DOLARES                      1ND</v>
          </cell>
        </row>
        <row r="44">
          <cell r="B44" t="str">
            <v>11030122000102</v>
          </cell>
          <cell r="C44" t="str">
            <v>DEP.PLAZO-BCO.SUDAMERICANO              1ND</v>
          </cell>
        </row>
        <row r="45">
          <cell r="B45" t="str">
            <v>11030128000101</v>
          </cell>
          <cell r="C45" t="str">
            <v>CORP FINANC DE DESARROLLO S.A. COFIDE   1ND</v>
          </cell>
        </row>
        <row r="46">
          <cell r="B46" t="str">
            <v>11030133000101</v>
          </cell>
          <cell r="C46" t="str">
            <v>DEP PLAZO SAGA FALABELA                 1ND</v>
          </cell>
        </row>
        <row r="47">
          <cell r="B47" t="str">
            <v>11030140000101</v>
          </cell>
          <cell r="C47" t="str">
            <v>DEP PLAZO SAGA FALABELA                 1ND</v>
          </cell>
        </row>
        <row r="48">
          <cell r="B48" t="str">
            <v>11030900000102</v>
          </cell>
          <cell r="C48" t="str">
            <v>DEP PLAZO COFIDE                        1ND</v>
          </cell>
        </row>
        <row r="49">
          <cell r="B49" t="str">
            <v>11040100000103</v>
          </cell>
          <cell r="C49" t="str">
            <v>STANDARD CHARTERED GERMANY              1ND</v>
          </cell>
        </row>
        <row r="50">
          <cell r="B50" t="str">
            <v>11040100000105</v>
          </cell>
          <cell r="C50" t="str">
            <v>UNION BANK OF SWITZERLAND               1ND</v>
          </cell>
        </row>
        <row r="51">
          <cell r="B51" t="str">
            <v>11040100000106</v>
          </cell>
          <cell r="C51" t="str">
            <v>UNIONÂ  PLATERS BANK NATIONAL ASSOC     1ND</v>
          </cell>
        </row>
        <row r="52">
          <cell r="B52" t="str">
            <v>11040100000107</v>
          </cell>
          <cell r="C52" t="str">
            <v>UNION BANK OF CALIFORNIAÂ               1ND</v>
          </cell>
        </row>
        <row r="53">
          <cell r="B53" t="str">
            <v>11040100000109</v>
          </cell>
          <cell r="C53" t="str">
            <v>BANK OF AMERICA  N.A.                   1ND</v>
          </cell>
        </row>
        <row r="54">
          <cell r="B54" t="str">
            <v>11040100000111</v>
          </cell>
          <cell r="C54" t="str">
            <v>BANK OF NEW YORK N.Y.                   1ND</v>
          </cell>
        </row>
        <row r="55">
          <cell r="B55" t="str">
            <v>11040100000115</v>
          </cell>
          <cell r="C55" t="str">
            <v>BARCLAYS BANK PLC                       1ND</v>
          </cell>
        </row>
        <row r="56">
          <cell r="B56" t="str">
            <v>11040100000116</v>
          </cell>
          <cell r="C56" t="str">
            <v>BARCLAYS BANK MIAMI PLC                 1ND</v>
          </cell>
        </row>
        <row r="57">
          <cell r="B57" t="str">
            <v>11040100000118</v>
          </cell>
          <cell r="C57" t="str">
            <v>CANADIAN IMPERIAL BANK OF COMMERCE      1ND</v>
          </cell>
        </row>
        <row r="58">
          <cell r="B58" t="str">
            <v>11040100000119</v>
          </cell>
          <cell r="C58" t="str">
            <v>JP MORGAN CHASE BANK-DPR                1ND</v>
          </cell>
        </row>
        <row r="59">
          <cell r="B59" t="str">
            <v>11040100000120</v>
          </cell>
          <cell r="C59" t="str">
            <v>CITIBANK NATIONAL ASSOCIATION           1ND</v>
          </cell>
        </row>
        <row r="60">
          <cell r="B60" t="str">
            <v>11040100000122</v>
          </cell>
          <cell r="C60" t="str">
            <v>COMMERZBANK AG FRANKFURT                1ND</v>
          </cell>
        </row>
        <row r="61">
          <cell r="B61" t="str">
            <v>11040100000124</v>
          </cell>
          <cell r="C61" t="str">
            <v>WACHOVIA BANK N.A.                      1ND</v>
          </cell>
        </row>
        <row r="62">
          <cell r="B62" t="str">
            <v>11040100000126</v>
          </cell>
          <cell r="C62" t="str">
            <v>DEN DANSKE BANK COPENHAGEN              1ND</v>
          </cell>
        </row>
        <row r="63">
          <cell r="B63" t="str">
            <v>11040100000127</v>
          </cell>
          <cell r="C63" t="str">
            <v>DEUTSCHE BANK                           1ND</v>
          </cell>
        </row>
        <row r="64">
          <cell r="B64" t="str">
            <v>11040100000128</v>
          </cell>
          <cell r="C64" t="str">
            <v>DEUTSCH SUDAMERIKANISCHE HAMBU          1ND</v>
          </cell>
        </row>
        <row r="65">
          <cell r="B65" t="str">
            <v>11040100000129</v>
          </cell>
          <cell r="C65" t="str">
            <v>DRESDNER BANKÂ  LATEINAMERIKA           1ND</v>
          </cell>
        </row>
        <row r="66">
          <cell r="B66" t="str">
            <v>11040100000133</v>
          </cell>
          <cell r="C66" t="str">
            <v>HONG KONG SHANGAI TOKIO                 1ND</v>
          </cell>
        </row>
        <row r="67">
          <cell r="B67" t="str">
            <v>11040100000135</v>
          </cell>
          <cell r="C67" t="str">
            <v>SKANDINAVISKA ENSKIL BANKEN AKTIEBOLAG  1ND</v>
          </cell>
        </row>
        <row r="68">
          <cell r="B68" t="str">
            <v>11040100000137</v>
          </cell>
          <cell r="C68" t="str">
            <v>STANDARD CHARTERED BANK -DPR            1ND</v>
          </cell>
        </row>
        <row r="69">
          <cell r="B69" t="str">
            <v>11040100000147</v>
          </cell>
          <cell r="C69" t="str">
            <v>LANDESBANK SCHLESWIG-HOLSTEIN           1ND</v>
          </cell>
        </row>
        <row r="70">
          <cell r="B70" t="str">
            <v>11040100000148</v>
          </cell>
          <cell r="C70" t="str">
            <v>DEPOSITOS OVERNIGHT BANCOS PRIMERA      1ND</v>
          </cell>
        </row>
        <row r="71">
          <cell r="B71" t="str">
            <v>11040100000149</v>
          </cell>
          <cell r="C71" t="str">
            <v>BANESPA JAPON                           1ND</v>
          </cell>
        </row>
        <row r="72">
          <cell r="B72" t="str">
            <v>11040100000150</v>
          </cell>
          <cell r="C72" t="str">
            <v>COMMERZBANK  AG - DEPOSITO A PLAZO      1ND</v>
          </cell>
        </row>
        <row r="73">
          <cell r="B73" t="str">
            <v>11040100000152</v>
          </cell>
          <cell r="C73" t="str">
            <v>CAJA DE MADRID                          1ND</v>
          </cell>
        </row>
        <row r="74">
          <cell r="B74" t="str">
            <v>11040100000153</v>
          </cell>
          <cell r="C74" t="str">
            <v>BANK OF AMERICA-BLADEX                  1ND</v>
          </cell>
        </row>
        <row r="75">
          <cell r="B75" t="str">
            <v>11040100000154</v>
          </cell>
          <cell r="C75" t="str">
            <v>BILBAO BIZKAIA KUTXA                    1ND</v>
          </cell>
        </row>
        <row r="76">
          <cell r="B76" t="str">
            <v>11040100000155</v>
          </cell>
          <cell r="C76" t="str">
            <v>SUMITOMO MITSUI BANKING CORP TOKYO JA   1ND</v>
          </cell>
        </row>
        <row r="77">
          <cell r="B77" t="str">
            <v>11040100000156</v>
          </cell>
          <cell r="C77" t="str">
            <v>UNICREDITO ITALIANO - MILAN             1ND</v>
          </cell>
        </row>
        <row r="78">
          <cell r="B78" t="str">
            <v>11040100000157</v>
          </cell>
          <cell r="C78" t="str">
            <v>AMERICAN EXPRESS NY DPL                 1ND</v>
          </cell>
        </row>
        <row r="79">
          <cell r="B79" t="str">
            <v>11040100000158</v>
          </cell>
          <cell r="C79" t="str">
            <v>AMERICAN EXPRESS FRANKFURT DPL          1ND</v>
          </cell>
        </row>
        <row r="80">
          <cell r="B80" t="str">
            <v>11040100000159</v>
          </cell>
          <cell r="C80" t="str">
            <v>STANDARD CHARTERED LONDON DEPÃ€SITO A   1ND</v>
          </cell>
        </row>
        <row r="81">
          <cell r="B81" t="str">
            <v>11040100000160</v>
          </cell>
          <cell r="C81" t="str">
            <v>ING BANK - BRUSELAS                     1ND</v>
          </cell>
        </row>
        <row r="82">
          <cell r="B82" t="str">
            <v>11040100000161</v>
          </cell>
          <cell r="C82" t="str">
            <v>LA CAIXA CAJA DE AHORROS PENSIONES BA   1ND</v>
          </cell>
        </row>
        <row r="83">
          <cell r="B83" t="str">
            <v>11040100000162</v>
          </cell>
          <cell r="C83" t="str">
            <v>STANDARD CHARTERED B.                   1ND</v>
          </cell>
        </row>
        <row r="84">
          <cell r="B84" t="str">
            <v>11040100000163</v>
          </cell>
          <cell r="C84" t="str">
            <v>JP MORGAN CHASE B.                      1ND</v>
          </cell>
        </row>
        <row r="85">
          <cell r="B85" t="str">
            <v>11040100000164</v>
          </cell>
          <cell r="C85" t="str">
            <v>WELLS FARGO                             1ND</v>
          </cell>
        </row>
        <row r="86">
          <cell r="B86" t="str">
            <v>11040100000165</v>
          </cell>
          <cell r="C86" t="str">
            <v>CITIBANK NATIONAL B                     1ND</v>
          </cell>
        </row>
        <row r="87">
          <cell r="B87" t="str">
            <v>11040100000166</v>
          </cell>
          <cell r="C87" t="str">
            <v>BANK OF NEW YORK B                      1ND</v>
          </cell>
        </row>
        <row r="88">
          <cell r="B88" t="str">
            <v>11040100000167</v>
          </cell>
          <cell r="C88" t="str">
            <v>WACHOVIA BANK NA NEWARK-NJ              1ND</v>
          </cell>
        </row>
        <row r="89">
          <cell r="B89" t="str">
            <v>11040100000168</v>
          </cell>
          <cell r="C89" t="str">
            <v>ROYAL BANK-CANADA                       1ND</v>
          </cell>
        </row>
        <row r="90">
          <cell r="B90" t="str">
            <v>11040100000169</v>
          </cell>
          <cell r="C90" t="str">
            <v>BANK OF AMERICA SUC PANAMA              1ND</v>
          </cell>
        </row>
        <row r="91">
          <cell r="B91" t="str">
            <v>11040100000170</v>
          </cell>
          <cell r="C91" t="str">
            <v>ICBC -'INDUSTRIAL &amp; COMMERCIAL BANK OF C1ND</v>
          </cell>
        </row>
        <row r="92">
          <cell r="B92" t="str">
            <v>11040100000171</v>
          </cell>
          <cell r="C92" t="str">
            <v>HSBC BANK AUSTRALIA LIMITED             1ND</v>
          </cell>
        </row>
        <row r="93">
          <cell r="B93" t="str">
            <v>11040100000172</v>
          </cell>
          <cell r="C93" t="str">
            <v>BANK OF AMERICA MEXICO                  1ND</v>
          </cell>
        </row>
        <row r="94">
          <cell r="B94" t="str">
            <v>11040100000173</v>
          </cell>
          <cell r="C94" t="str">
            <v>DEUTSCHE BANK                           1ND</v>
          </cell>
        </row>
        <row r="95">
          <cell r="B95" t="str">
            <v>11040100000174</v>
          </cell>
          <cell r="C95" t="str">
            <v>STANDARD CHARTERED BANK HONG KONG       1ND</v>
          </cell>
        </row>
        <row r="96">
          <cell r="B96" t="str">
            <v>11040100000175</v>
          </cell>
          <cell r="C96" t="str">
            <v>BANK OF CHINA (SHANGHAI RMB TRADING UNIT1ND</v>
          </cell>
        </row>
        <row r="97">
          <cell r="B97" t="str">
            <v>11040100000176</v>
          </cell>
          <cell r="C97" t="str">
            <v>STANDARD CHARTERED BANK (HONG KONG) LIMI1ND</v>
          </cell>
        </row>
        <row r="98">
          <cell r="B98" t="str">
            <v>11040100000177</v>
          </cell>
          <cell r="C98" t="str">
            <v>SCBLCNSXSHA STANDARD CHARTERED          1ND</v>
          </cell>
        </row>
        <row r="99">
          <cell r="B99" t="str">
            <v>11040100000178</v>
          </cell>
          <cell r="C99" t="str">
            <v>BANK OF CHINA (SHANGHAI RMB TRADING UNIT1ND</v>
          </cell>
        </row>
        <row r="100">
          <cell r="B100" t="str">
            <v>11040100000179</v>
          </cell>
          <cell r="C100" t="str">
            <v>STANDARD CHARTERED BANK CHINA           1ND</v>
          </cell>
        </row>
        <row r="101">
          <cell r="B101" t="str">
            <v>11040100000180</v>
          </cell>
          <cell r="C101" t="str">
            <v>STANDARD CHARTERED BANK LONDON GBP      1ND</v>
          </cell>
        </row>
        <row r="102">
          <cell r="B102" t="str">
            <v>11040100000181</v>
          </cell>
          <cell r="C102" t="str">
            <v>CLEARSTREAM BANKING SA                  1ND</v>
          </cell>
        </row>
        <row r="103">
          <cell r="B103" t="str">
            <v>11040100000182</v>
          </cell>
          <cell r="C103" t="str">
            <v>CAIXABANK SA BARCELONA                  1ND</v>
          </cell>
        </row>
        <row r="104">
          <cell r="B104" t="str">
            <v>11040100000184</v>
          </cell>
          <cell r="C104" t="str">
            <v>COMMERZBANK AG                          1ND</v>
          </cell>
        </row>
        <row r="105">
          <cell r="B105" t="str">
            <v>11040100000185</v>
          </cell>
          <cell r="C105" t="str">
            <v>BANK OF NEW YORK - EUR                  1 D</v>
          </cell>
        </row>
        <row r="106">
          <cell r="B106" t="str">
            <v>11040100000186</v>
          </cell>
          <cell r="C106" t="str">
            <v>BANK OF NEW YORK - CAD                  1 D</v>
          </cell>
        </row>
        <row r="107">
          <cell r="B107" t="str">
            <v>11040100000187</v>
          </cell>
          <cell r="C107" t="str">
            <v>BANK OF NEW YORK - AUD                  1 D</v>
          </cell>
        </row>
        <row r="108">
          <cell r="B108" t="str">
            <v>11040100000801</v>
          </cell>
          <cell r="C108" t="str">
            <v>PAN JPMORGAN CHASE BANK                 1ND</v>
          </cell>
        </row>
        <row r="109">
          <cell r="B109" t="str">
            <v>11040100000802</v>
          </cell>
          <cell r="C109" t="str">
            <v>PAN STANDARD CHARTERED BANK             1ND</v>
          </cell>
        </row>
        <row r="110">
          <cell r="B110" t="str">
            <v>11040100000803</v>
          </cell>
          <cell r="C110" t="str">
            <v>PAN BANK OF AMERICA                     1ND</v>
          </cell>
        </row>
        <row r="111">
          <cell r="B111" t="str">
            <v>11040100000805</v>
          </cell>
          <cell r="C111" t="str">
            <v>PAN STANDARD CHARTERED BANK             1ND</v>
          </cell>
        </row>
        <row r="112">
          <cell r="B112" t="str">
            <v>11040200000102</v>
          </cell>
          <cell r="C112" t="str">
            <v>CORPBANCA                               1ND</v>
          </cell>
        </row>
        <row r="113">
          <cell r="B113" t="str">
            <v>11040200000105</v>
          </cell>
          <cell r="C113" t="str">
            <v>HEMISPHERE BANK-MIAMI                   1ND</v>
          </cell>
        </row>
        <row r="114">
          <cell r="B114" t="str">
            <v>11040200000117</v>
          </cell>
          <cell r="C114" t="str">
            <v>CLEARSTREAM BANKING LUXEMBURGO          1ND</v>
          </cell>
        </row>
        <row r="115">
          <cell r="B115" t="str">
            <v>11040200000126</v>
          </cell>
          <cell r="C115" t="str">
            <v>INTELIGO BANK LTD                       1ND</v>
          </cell>
        </row>
        <row r="116">
          <cell r="B116" t="str">
            <v>11040200000127</v>
          </cell>
          <cell r="C116" t="str">
            <v>INTERBANK OVERSEAS  DEP A PLAZO         1ND</v>
          </cell>
        </row>
        <row r="117">
          <cell r="B117" t="str">
            <v>11040200000146</v>
          </cell>
          <cell r="C117" t="str">
            <v>ATLANTIC SECURITY BANK                  1ND</v>
          </cell>
        </row>
        <row r="118">
          <cell r="B118" t="str">
            <v>11040200000148</v>
          </cell>
          <cell r="C118" t="str">
            <v>DEP.PLAZO ATLANTIC SECURITY BANK        1ND</v>
          </cell>
        </row>
        <row r="119">
          <cell r="B119" t="str">
            <v>11040200000150</v>
          </cell>
          <cell r="C119" t="str">
            <v>CONFEDERAC ESPAÃ‘OLA DE CAJAS DE AHORRO 1ND</v>
          </cell>
        </row>
        <row r="120">
          <cell r="B120" t="str">
            <v>11040200000151</v>
          </cell>
          <cell r="C120" t="str">
            <v>BANCO ITAU S.A.TOKIO BRANCH ITUA        1ND</v>
          </cell>
        </row>
        <row r="121">
          <cell r="B121" t="str">
            <v>11040200000152</v>
          </cell>
          <cell r="C121" t="str">
            <v>BANKIA S.A                              1ND</v>
          </cell>
        </row>
        <row r="122">
          <cell r="B122" t="str">
            <v>11040200000153</v>
          </cell>
          <cell r="C122" t="str">
            <v>BANCO DO BRASIL                         1ND</v>
          </cell>
        </row>
        <row r="123">
          <cell r="B123" t="str">
            <v>11040200000161</v>
          </cell>
          <cell r="C123" t="str">
            <v>LA CAIXA CAJA DE AHORROS PENSIONES      1ND</v>
          </cell>
        </row>
        <row r="124">
          <cell r="B124" t="str">
            <v>11040200000162</v>
          </cell>
          <cell r="C124" t="str">
            <v>BROWN BROTHERS HARRIMAN &amp; CO            1ND</v>
          </cell>
        </row>
        <row r="125">
          <cell r="B125" t="str">
            <v>11040200000163</v>
          </cell>
          <cell r="C125" t="str">
            <v>BBH CUSTODIA IF                         1ND</v>
          </cell>
        </row>
        <row r="126">
          <cell r="B126" t="str">
            <v>11040200000164</v>
          </cell>
          <cell r="C126" t="str">
            <v>BANQUERO BANESCO PANAMA                 1ND</v>
          </cell>
        </row>
        <row r="127">
          <cell r="B127" t="str">
            <v>11040200000801</v>
          </cell>
          <cell r="C127" t="str">
            <v>PAN INTELIGO BANK                       1ND</v>
          </cell>
        </row>
        <row r="128">
          <cell r="B128" t="str">
            <v>11040200000802</v>
          </cell>
          <cell r="C128" t="str">
            <v>PAN HSBC PLANILLA                       1ND</v>
          </cell>
        </row>
        <row r="129">
          <cell r="B129" t="str">
            <v>11040200000803</v>
          </cell>
          <cell r="C129" t="str">
            <v>PAN HSBC PROVEEDORES                    1ND</v>
          </cell>
        </row>
        <row r="130">
          <cell r="B130" t="str">
            <v>11040200000806</v>
          </cell>
          <cell r="C130" t="str">
            <v>PAN CLEARSTREAM BANKING                 1ND</v>
          </cell>
        </row>
        <row r="131">
          <cell r="B131" t="str">
            <v>11040300000101</v>
          </cell>
          <cell r="C131" t="str">
            <v>INTELIGO  BANK  - DEP. A PLAZO EN EL EXT1ND</v>
          </cell>
        </row>
        <row r="132">
          <cell r="B132" t="str">
            <v>11040600000802</v>
          </cell>
          <cell r="C132" t="str">
            <v>PAN INTERBANK PERU - OPERATIVA          1ND</v>
          </cell>
        </row>
        <row r="133">
          <cell r="B133" t="str">
            <v>11040900000103</v>
          </cell>
          <cell r="C133" t="str">
            <v>BANCO LATINOAM. DE EXP. S.A.(BLADEX)Â   1ND</v>
          </cell>
        </row>
        <row r="134">
          <cell r="B134" t="str">
            <v>11040900000107</v>
          </cell>
          <cell r="C134" t="str">
            <v>RETENCION JUDICIAL - CTA CTE BCO BBV    1ND</v>
          </cell>
        </row>
        <row r="135">
          <cell r="B135" t="str">
            <v>11050101000101</v>
          </cell>
          <cell r="C135" t="str">
            <v>CANJE LOCAL - OBLIGACIONES INMEDIATAS   1ND</v>
          </cell>
        </row>
        <row r="136">
          <cell r="B136" t="str">
            <v>11050101000103</v>
          </cell>
          <cell r="C136" t="str">
            <v>CANJE LOCAL TIB                         1ND</v>
          </cell>
        </row>
        <row r="137">
          <cell r="B137" t="str">
            <v>11050101000104</v>
          </cell>
          <cell r="C137" t="str">
            <v>CANJE LOCAL                             1ND</v>
          </cell>
        </row>
        <row r="138">
          <cell r="B138" t="str">
            <v>11050101000105</v>
          </cell>
          <cell r="C138" t="str">
            <v>CANJE LOCAL TIB EN LINEA                1ND</v>
          </cell>
        </row>
        <row r="139">
          <cell r="B139" t="str">
            <v>11050102000101</v>
          </cell>
          <cell r="C139" t="str">
            <v>CANJE LOCAL.- DEP. AHORRO Y PLAZO       1ND</v>
          </cell>
        </row>
        <row r="140">
          <cell r="B140" t="str">
            <v>11050103000101</v>
          </cell>
          <cell r="C140" t="str">
            <v>CANJE LOCAL.- CREDITOS Y FINANC         1ND</v>
          </cell>
        </row>
        <row r="141">
          <cell r="B141" t="str">
            <v>11050109000101</v>
          </cell>
          <cell r="C141" t="str">
            <v>OTROS-CANJE LOCAL OF.SIN BCR            1ND</v>
          </cell>
        </row>
        <row r="142">
          <cell r="B142" t="str">
            <v>11050201000101</v>
          </cell>
          <cell r="C142" t="str">
            <v>OBLIG.INMED - CJE PROV.OB / OP OF.SIN RE1ND</v>
          </cell>
        </row>
        <row r="143">
          <cell r="B143" t="str">
            <v>11050202000101</v>
          </cell>
          <cell r="C143" t="str">
            <v>DEP.AH Y PZO - CJE PROV.OB/OP OF.SIN REP1ND</v>
          </cell>
        </row>
        <row r="144">
          <cell r="B144" t="str">
            <v>11050203000101</v>
          </cell>
          <cell r="C144" t="str">
            <v>CRED.Y FINANC.- CJE PROV.OB/OP OF S/ REP1ND</v>
          </cell>
        </row>
        <row r="145">
          <cell r="B145" t="str">
            <v>11050209000101</v>
          </cell>
          <cell r="C145" t="str">
            <v>OTROS-CANJE PROV.SALDOS OF.SIN BCR      1ND</v>
          </cell>
        </row>
        <row r="146">
          <cell r="B146" t="str">
            <v>11060300000101</v>
          </cell>
          <cell r="C146" t="str">
            <v>DOC S/ EXT- CHQ GIROS U OTROS VALORES   1ND</v>
          </cell>
        </row>
        <row r="147">
          <cell r="B147" t="str">
            <v>11070100000201</v>
          </cell>
          <cell r="C147" t="str">
            <v>AP   CAJA CHICA  - CTROL GASTOS         1ND</v>
          </cell>
        </row>
        <row r="148">
          <cell r="B148" t="str">
            <v>11070100000801</v>
          </cell>
          <cell r="C148" t="str">
            <v>PAN CAJA MENUDA                         1ND</v>
          </cell>
        </row>
        <row r="149">
          <cell r="B149" t="str">
            <v>11070209000102</v>
          </cell>
          <cell r="C149" t="str">
            <v>FONDO DE GARANTÃA SUC PANAMA           1ND</v>
          </cell>
        </row>
        <row r="150">
          <cell r="B150" t="str">
            <v>11070209000201</v>
          </cell>
          <cell r="C150" t="str">
            <v>MDC FONDOS EN GARANTÃA OP CON VALORES  1ND</v>
          </cell>
        </row>
        <row r="151">
          <cell r="B151" t="str">
            <v>11070209000202</v>
          </cell>
          <cell r="C151" t="str">
            <v>CANJE LOCAL - FONDOS EN GARANTIA        1ND</v>
          </cell>
        </row>
        <row r="152">
          <cell r="B152" t="str">
            <v>11070209000801</v>
          </cell>
          <cell r="C152" t="str">
            <v>PAN  BANCO NACIONAL DE PANAMA           1ND</v>
          </cell>
        </row>
        <row r="153">
          <cell r="B153" t="str">
            <v>11070300000102</v>
          </cell>
          <cell r="C153" t="str">
            <v>OTROS DISPONIBLES RESTRINGIDOS BCR      1ND</v>
          </cell>
        </row>
        <row r="154">
          <cell r="B154" t="str">
            <v>11070300000103</v>
          </cell>
          <cell r="C154" t="str">
            <v>BANCO CENTRAL DE RESERVA                1ND</v>
          </cell>
        </row>
        <row r="155">
          <cell r="B155" t="str">
            <v>11070300000104</v>
          </cell>
          <cell r="C155" t="str">
            <v>BCRP RESTRINGIDOÂ  - OP EXPANSION       1ND</v>
          </cell>
        </row>
        <row r="156">
          <cell r="B156" t="str">
            <v>11070300000105</v>
          </cell>
          <cell r="C156" t="str">
            <v>BCRP RESTRINGIDOÂ  - OP SUSTITUCION     1ND</v>
          </cell>
        </row>
        <row r="157">
          <cell r="B157" t="str">
            <v>11070300000106</v>
          </cell>
          <cell r="C157" t="str">
            <v>MDC Repo Interbancarios BCR             1ND</v>
          </cell>
        </row>
        <row r="158">
          <cell r="B158" t="str">
            <v>11070900000104</v>
          </cell>
          <cell r="C158" t="str">
            <v>MARGIN CALL  DE BANK OF NOVA SCOTIA     1ND</v>
          </cell>
        </row>
        <row r="159">
          <cell r="B159" t="str">
            <v>11070900000106</v>
          </cell>
          <cell r="C159" t="str">
            <v>DEP MARGIN CALL MORGAN JPMORGAN         1ND</v>
          </cell>
        </row>
        <row r="160">
          <cell r="B160" t="str">
            <v>11070900000107</v>
          </cell>
          <cell r="C160" t="str">
            <v>RETENCION JUDICIAL - CTA CTE BCO BBVA   1ND</v>
          </cell>
        </row>
        <row r="161">
          <cell r="B161" t="str">
            <v>11070900000108</v>
          </cell>
          <cell r="C161" t="str">
            <v>DEP MARGIN CALL MORGAN DEUTSCHE BANK    1ND</v>
          </cell>
        </row>
        <row r="162">
          <cell r="B162" t="str">
            <v>11070900000109</v>
          </cell>
          <cell r="C162" t="str">
            <v>DEP MARGIN CALL MORGAN STANLEY          1ND</v>
          </cell>
        </row>
        <row r="163">
          <cell r="B163" t="str">
            <v>11070900000110</v>
          </cell>
          <cell r="C163" t="str">
            <v>RESTR DPR CITIBANK -CREDIT SU           1ND</v>
          </cell>
        </row>
        <row r="164">
          <cell r="B164" t="str">
            <v>11070900000111</v>
          </cell>
          <cell r="C164" t="str">
            <v>RESTR DPR JP MORGAN CHASE -CREDIT SU    1ND</v>
          </cell>
        </row>
        <row r="165">
          <cell r="B165" t="str">
            <v>11070900000112</v>
          </cell>
          <cell r="C165" t="str">
            <v>RESTR DPR JP MORGAN CHASE - DEUSTCHE    1ND</v>
          </cell>
        </row>
        <row r="166">
          <cell r="B166" t="str">
            <v>11070900000113</v>
          </cell>
          <cell r="C166" t="str">
            <v>DEP EN GARANTIA MARGIN CALL CITIBANK    1ND</v>
          </cell>
        </row>
        <row r="167">
          <cell r="B167" t="str">
            <v>11070900000114</v>
          </cell>
          <cell r="C167" t="str">
            <v>DEP EN GARANTIA MARGIN CALL BANK OF AMER1ND</v>
          </cell>
        </row>
        <row r="168">
          <cell r="B168" t="str">
            <v>11070900000115</v>
          </cell>
          <cell r="C168" t="str">
            <v>DEP EN GARANTIA MARGIN CALL STANDARD CHA1ND</v>
          </cell>
        </row>
        <row r="169">
          <cell r="B169" t="str">
            <v>11070900000116</v>
          </cell>
          <cell r="C169" t="str">
            <v>DEP EN GARANTIA MARGIN CALL BNP PARIBAS 1ND</v>
          </cell>
        </row>
        <row r="170">
          <cell r="B170" t="str">
            <v>11070900000117</v>
          </cell>
          <cell r="C170" t="str">
            <v>DEP EN GARANTIA MARGIN CALL GOLDMAN SACH1ND</v>
          </cell>
        </row>
        <row r="171">
          <cell r="B171" t="str">
            <v>11070900000118</v>
          </cell>
          <cell r="C171" t="str">
            <v>DEP. GARANTIA MARGIN CALL SANTANDER     1ND</v>
          </cell>
        </row>
        <row r="172">
          <cell r="B172" t="str">
            <v>11070900000119</v>
          </cell>
          <cell r="C172" t="str">
            <v>DEP. GARANTIA MARGIN CALL BANK OF MONTRE1ND</v>
          </cell>
        </row>
        <row r="173">
          <cell r="B173" t="str">
            <v>11070900000120</v>
          </cell>
          <cell r="C173" t="str">
            <v>MC BANCO SANTANDER                      1ND</v>
          </cell>
        </row>
        <row r="174">
          <cell r="B174" t="str">
            <v>11070900000121</v>
          </cell>
          <cell r="C174" t="str">
            <v>MC STANDARD CHARTERED                   1ND</v>
          </cell>
        </row>
        <row r="175">
          <cell r="B175" t="str">
            <v>11070900000122</v>
          </cell>
          <cell r="C175" t="str">
            <v>MC ING BANK NV                          1ND</v>
          </cell>
        </row>
        <row r="176">
          <cell r="B176" t="str">
            <v>11070900000123</v>
          </cell>
          <cell r="C176" t="str">
            <v>HSBC BANK USA                           1ND</v>
          </cell>
        </row>
        <row r="177">
          <cell r="B177" t="str">
            <v>11070900000124</v>
          </cell>
          <cell r="C177" t="str">
            <v>RETENCION JUDICIAL - SCOTIABANK PERU S.A1ND</v>
          </cell>
        </row>
        <row r="178">
          <cell r="B178" t="str">
            <v>11070900000125</v>
          </cell>
          <cell r="C178" t="str">
            <v>DEP EN GARANTIA MARGIN CALL Barclays Ban1ND</v>
          </cell>
        </row>
        <row r="179">
          <cell r="B179" t="str">
            <v>11070900000126</v>
          </cell>
          <cell r="C179" t="str">
            <v>MC DOMINION BANK TORONTO                1ND</v>
          </cell>
        </row>
        <row r="180">
          <cell r="B180" t="str">
            <v>11070900000127</v>
          </cell>
          <cell r="C180" t="str">
            <v>MC UBS AG ZURICH                        1ND</v>
          </cell>
        </row>
        <row r="181">
          <cell r="B181" t="str">
            <v>11070900000128</v>
          </cell>
          <cell r="C181" t="str">
            <v>MC ROYAL BANK OF CANADA                 1ND</v>
          </cell>
        </row>
        <row r="182">
          <cell r="B182" t="str">
            <v>11070900000129</v>
          </cell>
          <cell r="C182" t="str">
            <v>MC NATIXIS                              1ND</v>
          </cell>
        </row>
        <row r="183">
          <cell r="B183" t="str">
            <v>11070900000130</v>
          </cell>
          <cell r="C183" t="str">
            <v>MC WELLS FARGO BANK                     1ND</v>
          </cell>
        </row>
        <row r="184">
          <cell r="B184" t="str">
            <v>11070900000131</v>
          </cell>
          <cell r="C184" t="str">
            <v>MDC MC BANCO BILBAO VIZCAYA ARGENTARIA  1ND</v>
          </cell>
        </row>
        <row r="185">
          <cell r="B185" t="str">
            <v>11080140000101</v>
          </cell>
          <cell r="C185" t="str">
            <v>INT. DEP PLAZO SAGA FALABELA            1ND</v>
          </cell>
        </row>
        <row r="186">
          <cell r="B186" t="str">
            <v>11080200000101</v>
          </cell>
          <cell r="C186" t="str">
            <v>INT. BCR ENCAJE ME                      1ND</v>
          </cell>
        </row>
        <row r="187">
          <cell r="B187" t="str">
            <v>11080200000102</v>
          </cell>
          <cell r="C187" t="str">
            <v>INT.DEP.OVERNIGHT BCR ME                1ND</v>
          </cell>
        </row>
        <row r="188">
          <cell r="B188" t="str">
            <v>11080200000103</v>
          </cell>
          <cell r="C188" t="str">
            <v>INTERESES DEP OVERNIGHT MN              1ND</v>
          </cell>
        </row>
        <row r="189">
          <cell r="B189" t="str">
            <v>11080200000104</v>
          </cell>
          <cell r="C189" t="str">
            <v>INTERESES DEP PLAZO MN                  1ND</v>
          </cell>
        </row>
        <row r="190">
          <cell r="B190" t="str">
            <v>11080301220102</v>
          </cell>
          <cell r="C190" t="str">
            <v>INT DEP PLAZO BCO.SUDAMERICANO          1ND</v>
          </cell>
        </row>
        <row r="191">
          <cell r="B191" t="str">
            <v>11080301280101</v>
          </cell>
          <cell r="C191" t="str">
            <v>INT. DEP PLAZO COFIDE                   1ND</v>
          </cell>
        </row>
        <row r="192">
          <cell r="B192" t="str">
            <v>11080301330101</v>
          </cell>
          <cell r="C192" t="str">
            <v>INT. DEP PLAZO SAGA FALABELA            1ND</v>
          </cell>
        </row>
        <row r="193">
          <cell r="B193" t="str">
            <v>11080400000104</v>
          </cell>
          <cell r="C193" t="str">
            <v>INT DEPOSITO A PLAZO-BCO.EXTERIOR       1ND</v>
          </cell>
        </row>
        <row r="194">
          <cell r="B194" t="str">
            <v>11080400000105</v>
          </cell>
          <cell r="C194" t="str">
            <v>INTERES DEVEGADOS WACHOVIA BANK NA      1ND</v>
          </cell>
        </row>
        <row r="195">
          <cell r="B195" t="str">
            <v>11080400000106</v>
          </cell>
          <cell r="C195" t="str">
            <v>INTERES DEVEGADOS -ROYAL BANK           1ND</v>
          </cell>
        </row>
        <row r="196">
          <cell r="B196" t="str">
            <v>11080400000107</v>
          </cell>
          <cell r="C196" t="str">
            <v>INTELIGO BANK INT.  DEP. A  PLAZO EN EL 1ND</v>
          </cell>
        </row>
        <row r="197">
          <cell r="B197" t="str">
            <v>11080400000801</v>
          </cell>
          <cell r="C197" t="str">
            <v>PAN STANDARD CHARTERED BANK             1ND</v>
          </cell>
        </row>
        <row r="198">
          <cell r="B198" t="str">
            <v>11080700000101</v>
          </cell>
          <cell r="C198" t="str">
            <v>MDC INT MARGIN CALL                     1ND</v>
          </cell>
        </row>
        <row r="199">
          <cell r="B199" t="str">
            <v>11080900000102</v>
          </cell>
          <cell r="C199" t="str">
            <v>INT. DEP PLAZO COFIDE                   1ND</v>
          </cell>
        </row>
        <row r="200">
          <cell r="B200" t="str">
            <v>12010102000100</v>
          </cell>
          <cell r="C200" t="str">
            <v>BANCO DE LA NACION                      1ND</v>
          </cell>
        </row>
        <row r="201">
          <cell r="B201" t="str">
            <v>12010103000101</v>
          </cell>
          <cell r="C201" t="str">
            <v>BANCO DE CREDITO DEL PERU               1ND</v>
          </cell>
        </row>
        <row r="202">
          <cell r="B202" t="str">
            <v>12010105000101</v>
          </cell>
          <cell r="C202" t="str">
            <v>SCOTIABANK PERU S.A.A.                  1ND</v>
          </cell>
        </row>
        <row r="203">
          <cell r="B203" t="str">
            <v>12010106000101</v>
          </cell>
          <cell r="C203" t="str">
            <v>BBVA                                    1ND</v>
          </cell>
        </row>
        <row r="204">
          <cell r="B204" t="str">
            <v>12010108000101</v>
          </cell>
          <cell r="C204" t="str">
            <v>BANCO DE COMERCIO                       1ND</v>
          </cell>
        </row>
        <row r="205">
          <cell r="B205" t="str">
            <v>12010109000101</v>
          </cell>
          <cell r="C205" t="str">
            <v>BANCO FINANCIERO                        1ND</v>
          </cell>
        </row>
        <row r="206">
          <cell r="B206" t="str">
            <v>12010116000101</v>
          </cell>
          <cell r="C206" t="str">
            <v>CITIBANK N.A.  SUCURSAL EN EL PERU      1ND</v>
          </cell>
        </row>
        <row r="207">
          <cell r="B207" t="str">
            <v>12010121000101</v>
          </cell>
          <cell r="C207" t="str">
            <v>BCO INTERAMERIC DE FINANZAS-S.A.E.M.A.  1ND</v>
          </cell>
        </row>
        <row r="208">
          <cell r="B208" t="str">
            <v>12010129000101</v>
          </cell>
          <cell r="C208" t="str">
            <v>MIBANCO BCO DE LA MICROEMPRESA          1ND</v>
          </cell>
        </row>
        <row r="209">
          <cell r="B209" t="str">
            <v>12010132000101</v>
          </cell>
          <cell r="C209" t="str">
            <v>BANCO GNB PERU OTORGADO                 1ND</v>
          </cell>
        </row>
        <row r="210">
          <cell r="B210" t="str">
            <v>12010133000101</v>
          </cell>
          <cell r="C210" t="str">
            <v>BANCO FALABELLA                         1ND</v>
          </cell>
        </row>
        <row r="211">
          <cell r="B211" t="str">
            <v>12010134000101</v>
          </cell>
          <cell r="C211" t="str">
            <v>BANCO SANTANDER PERU S.A.               1ND</v>
          </cell>
        </row>
        <row r="212">
          <cell r="B212" t="str">
            <v>12010135000101</v>
          </cell>
          <cell r="C212" t="str">
            <v>BANCO RIPLEY                            1ND</v>
          </cell>
        </row>
        <row r="213">
          <cell r="B213" t="str">
            <v>12010136000101</v>
          </cell>
          <cell r="C213" t="str">
            <v>ALFIN BANCO  OTORGADO                   1ND</v>
          </cell>
        </row>
        <row r="214">
          <cell r="B214" t="str">
            <v>12010137000101</v>
          </cell>
          <cell r="C214" t="str">
            <v>BANCO DEUTSCHE BANK (PER) S.A           1ND</v>
          </cell>
        </row>
        <row r="215">
          <cell r="B215" t="str">
            <v>12010138000101</v>
          </cell>
          <cell r="C215" t="str">
            <v>BANCO CENCOSUD                          1ND</v>
          </cell>
        </row>
        <row r="216">
          <cell r="B216" t="str">
            <v>12010139000101</v>
          </cell>
          <cell r="C216" t="str">
            <v>ICBC PERU BANK                          1ND</v>
          </cell>
        </row>
        <row r="217">
          <cell r="B217" t="str">
            <v>12010141000100</v>
          </cell>
          <cell r="C217" t="str">
            <v>BANCO BCI PERU INTERBANCARIO OTORGADO   1ND</v>
          </cell>
        </row>
        <row r="218">
          <cell r="B218" t="str">
            <v>12010143000001</v>
          </cell>
          <cell r="C218" t="str">
            <v>SANTANDER CONSUMER BANK S.A             1 D</v>
          </cell>
        </row>
        <row r="219">
          <cell r="B219" t="str">
            <v>12010209000101</v>
          </cell>
          <cell r="C219" t="str">
            <v>FINANCIERA EDYFICAR                     1ND</v>
          </cell>
        </row>
        <row r="220">
          <cell r="B220" t="str">
            <v>12010210000101</v>
          </cell>
          <cell r="C220" t="str">
            <v>CREDISCOTIA FINANCIERA                  1ND</v>
          </cell>
        </row>
        <row r="221">
          <cell r="B221" t="str">
            <v>12010219000101</v>
          </cell>
          <cell r="C221" t="str">
            <v>FINANCIERA CREDINKA                     1ND</v>
          </cell>
        </row>
        <row r="222">
          <cell r="B222" t="str">
            <v>12010301000101</v>
          </cell>
          <cell r="C222" t="str">
            <v>CAJA MUNI SULLANA                       1ND</v>
          </cell>
        </row>
        <row r="223">
          <cell r="B223" t="str">
            <v>12010304000101</v>
          </cell>
          <cell r="C223" t="str">
            <v>CAJA MUNICIPAL DE AHO Y CREDITO DE AREQU1ND</v>
          </cell>
        </row>
        <row r="224">
          <cell r="B224" t="str">
            <v>12011801000101</v>
          </cell>
          <cell r="C224" t="str">
            <v>BANCO JP MORGAN                         1ND</v>
          </cell>
        </row>
        <row r="225">
          <cell r="B225" t="str">
            <v>12080102000100</v>
          </cell>
          <cell r="C225" t="str">
            <v>BANCO DE LA NACION                      1ND</v>
          </cell>
        </row>
        <row r="226">
          <cell r="B226" t="str">
            <v>12080103000101</v>
          </cell>
          <cell r="C226" t="str">
            <v>BANCO DE CREDITO DEL PERU               1ND</v>
          </cell>
        </row>
        <row r="227">
          <cell r="B227" t="str">
            <v>12080105000101</v>
          </cell>
          <cell r="C227" t="str">
            <v>SCOTIABANK PERU S.A.A.                  1ND</v>
          </cell>
        </row>
        <row r="228">
          <cell r="B228" t="str">
            <v>12080106000101</v>
          </cell>
          <cell r="C228" t="str">
            <v>BBVA                                    1ND</v>
          </cell>
        </row>
        <row r="229">
          <cell r="B229" t="str">
            <v>12080108000101</v>
          </cell>
          <cell r="C229" t="str">
            <v>BANCO DE COMERCIO                       1ND</v>
          </cell>
        </row>
        <row r="230">
          <cell r="B230" t="str">
            <v>12080109000101</v>
          </cell>
          <cell r="C230" t="str">
            <v>BANCO FINANCIERO                        1ND</v>
          </cell>
        </row>
        <row r="231">
          <cell r="B231" t="str">
            <v>12080116000101</v>
          </cell>
          <cell r="C231" t="str">
            <v>CITIBANK N.A.  SUCURSAL EN EL PERU      1ND</v>
          </cell>
        </row>
        <row r="232">
          <cell r="B232" t="str">
            <v>12080121000101</v>
          </cell>
          <cell r="C232" t="str">
            <v>BCO INTERAMERIC DE FINANZAS-S.A.E.M.A.  1ND</v>
          </cell>
        </row>
        <row r="233">
          <cell r="B233" t="str">
            <v>12080129000101</v>
          </cell>
          <cell r="C233" t="str">
            <v>MIBANCO BANCO DE LA MICROEMPRESA        1ND</v>
          </cell>
        </row>
        <row r="234">
          <cell r="B234" t="str">
            <v>12080132000101</v>
          </cell>
          <cell r="C234" t="str">
            <v>INTERESES BANCO GNB PERU OTORGADO       1ND</v>
          </cell>
        </row>
        <row r="235">
          <cell r="B235" t="str">
            <v>12080133000101</v>
          </cell>
          <cell r="C235" t="str">
            <v>BANCO FALABELLA                         1ND</v>
          </cell>
        </row>
        <row r="236">
          <cell r="B236" t="str">
            <v>12080134000101</v>
          </cell>
          <cell r="C236" t="str">
            <v>BANCO SANTANDER PERU S.A.               1ND</v>
          </cell>
        </row>
        <row r="237">
          <cell r="B237" t="str">
            <v>12080135000101</v>
          </cell>
          <cell r="C237" t="str">
            <v>BANCO RIPLEY                            1ND</v>
          </cell>
        </row>
        <row r="238">
          <cell r="B238" t="str">
            <v>12080136000101</v>
          </cell>
          <cell r="C238" t="str">
            <v>INTERESES ALFIN BANCO  OTORGADO         1ND</v>
          </cell>
        </row>
        <row r="239">
          <cell r="B239" t="str">
            <v>12080137000101</v>
          </cell>
          <cell r="C239" t="str">
            <v>BANCO DEUTSCHE BANK (PER) S.A           1ND</v>
          </cell>
        </row>
        <row r="240">
          <cell r="B240" t="str">
            <v>12080138000101</v>
          </cell>
          <cell r="C240" t="str">
            <v>BANCO CENCOSUD Intereses                1ND</v>
          </cell>
        </row>
        <row r="241">
          <cell r="B241" t="str">
            <v>12080139000101</v>
          </cell>
          <cell r="C241" t="str">
            <v>ICBC PERU BANK INTERESES                1ND</v>
          </cell>
        </row>
        <row r="242">
          <cell r="B242" t="str">
            <v>12080141000100</v>
          </cell>
          <cell r="C242" t="str">
            <v>BANCO BCI PERU INTERBANCARIO OTORGADO   1ND</v>
          </cell>
        </row>
        <row r="243">
          <cell r="B243" t="str">
            <v>12080143000001</v>
          </cell>
          <cell r="C243" t="str">
            <v>SANTANDER CONSUMER BANK S.A INT         1 D</v>
          </cell>
        </row>
        <row r="244">
          <cell r="B244" t="str">
            <v>12080209000101</v>
          </cell>
          <cell r="C244" t="str">
            <v>FINANCIERA EDYFICAR INT                 1ND</v>
          </cell>
        </row>
        <row r="245">
          <cell r="B245" t="str">
            <v>12080210000101</v>
          </cell>
          <cell r="C245" t="str">
            <v>CREDISCOTIA FINANCIERA INT              1ND</v>
          </cell>
        </row>
        <row r="246">
          <cell r="B246" t="str">
            <v>12080219000101</v>
          </cell>
          <cell r="C246" t="str">
            <v>FINANCIERA CREDINKA                     1ND</v>
          </cell>
        </row>
        <row r="247">
          <cell r="B247" t="str">
            <v>12080301000101</v>
          </cell>
          <cell r="C247" t="str">
            <v>CAJA MUNI SULLANA Intereses             1ND</v>
          </cell>
        </row>
        <row r="248">
          <cell r="B248" t="str">
            <v>12080304000101</v>
          </cell>
          <cell r="C248" t="str">
            <v>CAJA MUNICIPAL DE AHO Y CREDITO DE AREQU1ND</v>
          </cell>
        </row>
        <row r="249">
          <cell r="B249" t="str">
            <v>12081801000101</v>
          </cell>
          <cell r="C249" t="str">
            <v>BANCO JP MORGAN Intereses               1ND</v>
          </cell>
        </row>
        <row r="250">
          <cell r="B250" t="str">
            <v>13010705000103</v>
          </cell>
          <cell r="C250" t="str">
            <v>CUOTAS DE PARTICIP FDO INV SIGMA        1ND</v>
          </cell>
        </row>
        <row r="251">
          <cell r="B251" t="str">
            <v>13020101010105</v>
          </cell>
          <cell r="C251" t="str">
            <v>BONOS GLOBALES TRADING                  1ND</v>
          </cell>
        </row>
        <row r="252">
          <cell r="B252" t="str">
            <v>13020101010106</v>
          </cell>
          <cell r="C252" t="str">
            <v>BONOS SOBERANOS TRADING                 1ND</v>
          </cell>
        </row>
        <row r="253">
          <cell r="B253" t="str">
            <v>13020101010107</v>
          </cell>
          <cell r="C253" t="str">
            <v>BONOS GLOBALES TRADING                  1ND</v>
          </cell>
        </row>
        <row r="254">
          <cell r="B254" t="str">
            <v>13020101010108</v>
          </cell>
          <cell r="C254" t="str">
            <v>BONOS SOBERANOS TRADING                 1ND</v>
          </cell>
        </row>
        <row r="255">
          <cell r="B255" t="str">
            <v>13020101010109</v>
          </cell>
          <cell r="C255" t="str">
            <v>US TREASURIES TRADING ESP               1ND</v>
          </cell>
        </row>
        <row r="256">
          <cell r="B256" t="str">
            <v>13020101010110</v>
          </cell>
          <cell r="C256" t="str">
            <v>BONOS SOBERANOS TRADING PLUS            1ND</v>
          </cell>
        </row>
        <row r="257">
          <cell r="B257" t="str">
            <v>13020101010111</v>
          </cell>
          <cell r="C257" t="str">
            <v>BONOS GLOBALES TRADING PLUS             1ND</v>
          </cell>
        </row>
        <row r="258">
          <cell r="B258" t="str">
            <v>13020101010201</v>
          </cell>
          <cell r="C258" t="str">
            <v>REND BONOS GLOBALES TRADING             1ND</v>
          </cell>
        </row>
        <row r="259">
          <cell r="B259" t="str">
            <v>13020101010202</v>
          </cell>
          <cell r="C259" t="str">
            <v>RENDIMIENTO BONOS SOBERANOS             1ND</v>
          </cell>
        </row>
        <row r="260">
          <cell r="B260" t="str">
            <v>13020101010203</v>
          </cell>
          <cell r="C260" t="str">
            <v>REND BONOS GLOBALES TRADING ESP         1ND</v>
          </cell>
        </row>
        <row r="261">
          <cell r="B261" t="str">
            <v>13020101010204</v>
          </cell>
          <cell r="C261" t="str">
            <v>REND BONOS SOBERANOS TRADING            1ND</v>
          </cell>
        </row>
        <row r="262">
          <cell r="B262" t="str">
            <v>13020101010205</v>
          </cell>
          <cell r="C262" t="str">
            <v>INT US TREASURIES TRADING ESP           1ND</v>
          </cell>
        </row>
        <row r="263">
          <cell r="B263" t="str">
            <v>13020101010206</v>
          </cell>
          <cell r="C263" t="str">
            <v>REND BONOS SOBERANOS TRADING PLUS       1ND</v>
          </cell>
        </row>
        <row r="264">
          <cell r="B264" t="str">
            <v>13020101010207</v>
          </cell>
          <cell r="C264" t="str">
            <v>REND BONOS GLOBALES TRADING PLUS        1ND</v>
          </cell>
        </row>
        <row r="265">
          <cell r="B265" t="str">
            <v>13020101010301</v>
          </cell>
          <cell r="C265" t="str">
            <v>BONOS SOB TRADING INF VAC               1ND</v>
          </cell>
        </row>
        <row r="266">
          <cell r="B266" t="str">
            <v>13020101010302</v>
          </cell>
          <cell r="C266" t="str">
            <v>BONOS SOB TRADING ESP INF VAC           1ND</v>
          </cell>
        </row>
        <row r="267">
          <cell r="B267" t="str">
            <v>13020101020102</v>
          </cell>
          <cell r="C267" t="str">
            <v>BONOS GLOB GRADO DE INVERSION TRD       1ND</v>
          </cell>
        </row>
        <row r="268">
          <cell r="B268" t="str">
            <v>13020101020103</v>
          </cell>
          <cell r="C268" t="str">
            <v>US TREASURY TRADING                     1ND</v>
          </cell>
        </row>
        <row r="269">
          <cell r="B269" t="str">
            <v>13020101020104</v>
          </cell>
          <cell r="C269" t="str">
            <v>BONOS GOB COLOMBIA TRADING MESA         1ND</v>
          </cell>
        </row>
        <row r="270">
          <cell r="B270" t="str">
            <v>13020101020105</v>
          </cell>
          <cell r="C270" t="str">
            <v>BONOS GOB COLOMBIA TRADING ESP          1ND</v>
          </cell>
        </row>
        <row r="271">
          <cell r="B271" t="str">
            <v>13020101020106</v>
          </cell>
          <cell r="C271" t="str">
            <v>BONOS GOB MEXICO TRADING MESA           1ND</v>
          </cell>
        </row>
        <row r="272">
          <cell r="B272" t="str">
            <v>13020101020107</v>
          </cell>
          <cell r="C272" t="str">
            <v>BONOS GOB MEXICO TRADING ESP            1ND</v>
          </cell>
        </row>
        <row r="273">
          <cell r="B273" t="str">
            <v>13020101020108</v>
          </cell>
          <cell r="C273" t="str">
            <v>BONOS GLOB BRASIL TRADING MESA          1ND</v>
          </cell>
        </row>
        <row r="274">
          <cell r="B274" t="str">
            <v>13020101020109</v>
          </cell>
          <cell r="C274" t="str">
            <v>INT BONOS GLOB BRASIL TRADING MESA      1ND</v>
          </cell>
        </row>
        <row r="275">
          <cell r="B275" t="str">
            <v>13020101020110</v>
          </cell>
          <cell r="C275" t="str">
            <v>BONOS GLOB COLOMBIA TRAD ESPECIAL       1ND</v>
          </cell>
        </row>
        <row r="276">
          <cell r="B276" t="str">
            <v>13020101020111</v>
          </cell>
          <cell r="C276" t="str">
            <v>BONOS GLOB COLOMBIA TRADING MESA        1ND</v>
          </cell>
        </row>
        <row r="277">
          <cell r="B277" t="str">
            <v>13020101020112</v>
          </cell>
          <cell r="C277" t="str">
            <v>BONOS GLOB MEXICO TRAD ESPECIAL         1ND</v>
          </cell>
        </row>
        <row r="278">
          <cell r="B278" t="str">
            <v>13020101020113</v>
          </cell>
          <cell r="C278" t="str">
            <v>BONOS GLOB MEXICO TRADING MESA          1ND</v>
          </cell>
        </row>
        <row r="279">
          <cell r="B279" t="str">
            <v>13020101020114</v>
          </cell>
          <cell r="C279" t="str">
            <v>BONOS GLOB CHILE TRAD ESPECIAL          1ND</v>
          </cell>
        </row>
        <row r="280">
          <cell r="B280" t="str">
            <v>13020101020115</v>
          </cell>
          <cell r="C280" t="str">
            <v>BONOS GLOB CHILE TRADING MESA           1ND</v>
          </cell>
        </row>
        <row r="281">
          <cell r="B281" t="str">
            <v>13020101020116</v>
          </cell>
          <cell r="C281" t="str">
            <v>BONOS US TREASURIES TRADING PLUS        1ND</v>
          </cell>
        </row>
        <row r="282">
          <cell r="B282" t="str">
            <v>13020101020201</v>
          </cell>
          <cell r="C282" t="str">
            <v>INT CORRIDOS US TREASURY TRADING        1ND</v>
          </cell>
        </row>
        <row r="283">
          <cell r="B283" t="str">
            <v>13020101020202</v>
          </cell>
          <cell r="C283" t="str">
            <v>INT BONOS GLOB COLOMBIA TRAD ESPECIAL   1ND</v>
          </cell>
        </row>
        <row r="284">
          <cell r="B284" t="str">
            <v>13020101020203</v>
          </cell>
          <cell r="C284" t="str">
            <v>INT BONOS GLOB COLOMBIA TRADING MESA    1ND</v>
          </cell>
        </row>
        <row r="285">
          <cell r="B285" t="str">
            <v>13020101020204</v>
          </cell>
          <cell r="C285" t="str">
            <v>INT BONOS GLOB MEXICO TRAD ESPECIAL     1ND</v>
          </cell>
        </row>
        <row r="286">
          <cell r="B286" t="str">
            <v>13020101020205</v>
          </cell>
          <cell r="C286" t="str">
            <v>INT BONOS GLOB MEXICO TRADING MESA      1ND</v>
          </cell>
        </row>
        <row r="287">
          <cell r="B287" t="str">
            <v>13020101020206</v>
          </cell>
          <cell r="C287" t="str">
            <v>INT BONOS GLOB CHILE TRAD ESPECIAL      1ND</v>
          </cell>
        </row>
        <row r="288">
          <cell r="B288" t="str">
            <v>13020101020207</v>
          </cell>
          <cell r="C288" t="str">
            <v>INT BONOS GLOB CHILE TRADING MESA       1ND</v>
          </cell>
        </row>
        <row r="289">
          <cell r="B289" t="str">
            <v>13020101020208</v>
          </cell>
          <cell r="C289" t="str">
            <v>REND US TREASURIES TRADING PLUS         1ND</v>
          </cell>
        </row>
        <row r="290">
          <cell r="B290" t="str">
            <v>13020201000101</v>
          </cell>
          <cell r="C290" t="str">
            <v>CDBCRP TRADING ESP                      1ND</v>
          </cell>
        </row>
        <row r="291">
          <cell r="B291" t="str">
            <v>13020201000102</v>
          </cell>
          <cell r="C291" t="str">
            <v>MDC  CDR ALM TRADING ESP                1ND</v>
          </cell>
        </row>
        <row r="292">
          <cell r="B292" t="str">
            <v>13020319000101</v>
          </cell>
          <cell r="C292" t="str">
            <v>BONOS COFIDE TRD ESP                    1ND</v>
          </cell>
        </row>
        <row r="293">
          <cell r="B293" t="str">
            <v>13020508000101</v>
          </cell>
          <cell r="C293" t="str">
            <v>BONOS CORP EMP FIN TRADING ESP          1ND</v>
          </cell>
        </row>
        <row r="294">
          <cell r="B294" t="str">
            <v>13020508000102</v>
          </cell>
          <cell r="C294" t="str">
            <v>BONOS CORP EMP FIN TRADING MESA         1ND</v>
          </cell>
        </row>
        <row r="295">
          <cell r="B295" t="str">
            <v>13020508000103</v>
          </cell>
          <cell r="C295" t="str">
            <v>BONOS CORP SIST FIN COLOMBIA TRADING MES1ND</v>
          </cell>
        </row>
        <row r="296">
          <cell r="B296" t="str">
            <v>13020508000104</v>
          </cell>
          <cell r="C296" t="str">
            <v>BONOS CORP SIST FIN COLOMBIA TRADING ESP1ND</v>
          </cell>
        </row>
        <row r="297">
          <cell r="B297" t="str">
            <v>13020508000105</v>
          </cell>
          <cell r="C297" t="str">
            <v>BONOS CORP EMP FIN TRADING MESA         1ND</v>
          </cell>
        </row>
        <row r="298">
          <cell r="B298" t="str">
            <v>13020508000201</v>
          </cell>
          <cell r="C298" t="str">
            <v>INT BONOS CORP EMP FIN TRAD ESP         1ND</v>
          </cell>
        </row>
        <row r="299">
          <cell r="B299" t="str">
            <v>13020508000202</v>
          </cell>
          <cell r="C299" t="str">
            <v>INT BONOS CORP EMP FIN TRADING MESA     1ND</v>
          </cell>
        </row>
        <row r="300">
          <cell r="B300" t="str">
            <v>13020508000203</v>
          </cell>
          <cell r="C300" t="str">
            <v>BONOS CORP EMP FIN TRAD PLUS            1ND</v>
          </cell>
        </row>
        <row r="301">
          <cell r="B301" t="str">
            <v>13020508000204</v>
          </cell>
          <cell r="C301" t="str">
            <v>INT BONOS CORP EMP FIN TRAD PLUS        1ND</v>
          </cell>
        </row>
        <row r="302">
          <cell r="B302" t="str">
            <v>13020708000102</v>
          </cell>
          <cell r="C302" t="str">
            <v>BONOS ORD. SOC.NO FINANC. TRADING MESA  1ND</v>
          </cell>
        </row>
        <row r="303">
          <cell r="B303" t="str">
            <v>13020708000103</v>
          </cell>
          <cell r="C303" t="str">
            <v>BONOS ORD SOC NO FIN TRADIN ESP         1ND</v>
          </cell>
        </row>
        <row r="304">
          <cell r="B304" t="str">
            <v>13020708000201</v>
          </cell>
          <cell r="C304" t="str">
            <v>RENDIMIENTO BONOS ORDINARIOS SOC NO FINA1ND</v>
          </cell>
        </row>
        <row r="305">
          <cell r="B305" t="str">
            <v>13020708000202</v>
          </cell>
          <cell r="C305" t="str">
            <v>INT BONOS ORD SOC NO FIN TRADIN ESP     1ND</v>
          </cell>
        </row>
        <row r="306">
          <cell r="B306" t="str">
            <v>13020708000203</v>
          </cell>
          <cell r="C306" t="str">
            <v>BONOS CORP SOC NO FIN TRAD PLUS         1ND</v>
          </cell>
        </row>
        <row r="307">
          <cell r="B307" t="str">
            <v>13020708000204</v>
          </cell>
          <cell r="C307" t="str">
            <v>INT BONOS CORP SOC NO FIN TRAD PLUS     1ND</v>
          </cell>
        </row>
        <row r="308">
          <cell r="B308" t="str">
            <v>13030501000101</v>
          </cell>
          <cell r="C308" t="str">
            <v>BL ACCIONES COMUNES                     1ND</v>
          </cell>
        </row>
        <row r="309">
          <cell r="B309" t="str">
            <v>13030501000103</v>
          </cell>
          <cell r="C309" t="str">
            <v>ACCIONES COMUNES EMPRESAS FINANCIERAS   1ND</v>
          </cell>
        </row>
        <row r="310">
          <cell r="B310" t="str">
            <v>13030501000801</v>
          </cell>
          <cell r="C310" t="str">
            <v>PAN ACCIONES RPI                        1ND</v>
          </cell>
        </row>
        <row r="311">
          <cell r="B311" t="str">
            <v>13030501000802</v>
          </cell>
          <cell r="C311" t="str">
            <v>PAN ACCIONES RPS                        1ND</v>
          </cell>
        </row>
        <row r="312">
          <cell r="B312" t="str">
            <v>13030601000101</v>
          </cell>
          <cell r="C312" t="str">
            <v>ACC.COMUNES - EMP ASEGURADORAS          1ND</v>
          </cell>
        </row>
        <row r="313">
          <cell r="B313" t="str">
            <v>13030701000101</v>
          </cell>
          <cell r="C313" t="str">
            <v>ACC.COMUNES - SOC.NO FINANCIERAS        1ND</v>
          </cell>
        </row>
        <row r="314">
          <cell r="B314" t="str">
            <v>13030701000102</v>
          </cell>
          <cell r="C314" t="str">
            <v>ACC DPV PJ DEL EXTERIOR                 1ND</v>
          </cell>
        </row>
        <row r="315">
          <cell r="B315" t="str">
            <v>13030701000103</v>
          </cell>
          <cell r="C315" t="str">
            <v>ACC DPV CAF                             1ND</v>
          </cell>
        </row>
        <row r="316">
          <cell r="B316" t="str">
            <v>13030701000104</v>
          </cell>
          <cell r="C316" t="str">
            <v>ACC DPV COMPASS                         1ND</v>
          </cell>
        </row>
        <row r="317">
          <cell r="B317" t="str">
            <v>13030702000101</v>
          </cell>
          <cell r="C317" t="str">
            <v>ACCIONES DE INVERSION                   1ND</v>
          </cell>
        </row>
        <row r="318">
          <cell r="B318" t="str">
            <v>13030705000103</v>
          </cell>
          <cell r="C318" t="str">
            <v>CUOTAS DE PARTICIP FDOS MUTUOS PAIS     1ND</v>
          </cell>
        </row>
        <row r="319">
          <cell r="B319" t="str">
            <v>13030705000104</v>
          </cell>
          <cell r="C319" t="str">
            <v>FONDOS MUTUOS DPV ESP                   1ND</v>
          </cell>
        </row>
        <row r="320">
          <cell r="B320" t="str">
            <v>13030705000105</v>
          </cell>
          <cell r="C320" t="str">
            <v>CUOTAS DE PARTICIPACION FFMM ESTRATEGICO1ND</v>
          </cell>
        </row>
        <row r="321">
          <cell r="B321" t="str">
            <v>13030706000102</v>
          </cell>
          <cell r="C321" t="str">
            <v>INVERSIONES LEND UP                     1ND</v>
          </cell>
        </row>
        <row r="322">
          <cell r="B322" t="str">
            <v>13030706000103</v>
          </cell>
          <cell r="C322" t="str">
            <v>RENDIMIENTOS LEND UP                    1ND</v>
          </cell>
        </row>
        <row r="323">
          <cell r="B323" t="str">
            <v>13030719000801</v>
          </cell>
          <cell r="C323" t="str">
            <v>PAN OTROS VALORES RPI                   1ND</v>
          </cell>
        </row>
        <row r="324">
          <cell r="B324" t="str">
            <v>13030719000802</v>
          </cell>
          <cell r="C324" t="str">
            <v>PAN OTROS VALORES RPS                   1ND</v>
          </cell>
        </row>
        <row r="325">
          <cell r="B325" t="str">
            <v>13030801000101</v>
          </cell>
          <cell r="C325" t="str">
            <v>ACCIONES EN TESORERIA                   1ND</v>
          </cell>
        </row>
        <row r="326">
          <cell r="B326" t="str">
            <v>13030802000101</v>
          </cell>
          <cell r="C326" t="str">
            <v>ACCIONES TESORERIA -  (DSCTO PRIMA)ACCIO1ND</v>
          </cell>
        </row>
        <row r="327">
          <cell r="B327" t="str">
            <v>13030901000101</v>
          </cell>
          <cell r="C327" t="str">
            <v>ACCIONES COMUNES HOLDING  MATRIZ Y SU   1ND</v>
          </cell>
        </row>
        <row r="328">
          <cell r="B328" t="str">
            <v>13030901000102</v>
          </cell>
          <cell r="C328" t="str">
            <v>ACC COM HOLDING ESTRATEGICO             1ND</v>
          </cell>
        </row>
        <row r="329">
          <cell r="B329" t="str">
            <v>13030901000201</v>
          </cell>
          <cell r="C329" t="str">
            <v>RENDIMIENTO IFS                         1ND</v>
          </cell>
        </row>
        <row r="330">
          <cell r="B330" t="str">
            <v>13030901000801</v>
          </cell>
          <cell r="C330" t="str">
            <v>PAN  IFS                                1ND</v>
          </cell>
        </row>
        <row r="331">
          <cell r="B331" t="str">
            <v>13030901000803</v>
          </cell>
          <cell r="C331" t="str">
            <v>PAN RPS                                 1ND</v>
          </cell>
        </row>
        <row r="332">
          <cell r="B332" t="str">
            <v>13030905000101</v>
          </cell>
          <cell r="C332" t="str">
            <v>CUOTAS DE PARTICIP FDOS MUTUOS PAIS     1ND</v>
          </cell>
        </row>
        <row r="333">
          <cell r="B333" t="str">
            <v>13031302000104</v>
          </cell>
          <cell r="C333" t="str">
            <v>INV. TEXTIL SAN CRISTOBAL               1ND</v>
          </cell>
        </row>
        <row r="334">
          <cell r="B334" t="str">
            <v>13031302000105</v>
          </cell>
          <cell r="C334" t="str">
            <v>INV. SOCIEDAD MINERA AUSTRIA DUVAZ      1ND</v>
          </cell>
        </row>
        <row r="335">
          <cell r="B335" t="str">
            <v>13031900000101</v>
          </cell>
          <cell r="C335" t="str">
            <v>INVERSIONES ETF DPV                     1ND</v>
          </cell>
        </row>
        <row r="336">
          <cell r="B336" t="str">
            <v>13040101010103</v>
          </cell>
          <cell r="C336" t="str">
            <v>BONOS GLOBALES DISP PARA LA VTA         1ND</v>
          </cell>
        </row>
        <row r="337">
          <cell r="B337" t="str">
            <v>13040101010109</v>
          </cell>
          <cell r="C337" t="str">
            <v>BONOS SOBERANOS PAIS                    1ND</v>
          </cell>
        </row>
        <row r="338">
          <cell r="B338" t="str">
            <v>13040101010110</v>
          </cell>
          <cell r="C338" t="str">
            <v>BONOS SOBERANOS                         1ND</v>
          </cell>
        </row>
        <row r="339">
          <cell r="B339" t="str">
            <v>13040101010111</v>
          </cell>
          <cell r="C339" t="str">
            <v>BONOS GLOBALES PERU DPV                 1ND</v>
          </cell>
        </row>
        <row r="340">
          <cell r="B340" t="str">
            <v>13040101010112</v>
          </cell>
          <cell r="C340" t="str">
            <v>BONOS GLOBALES DPV ESPECIAL             1ND</v>
          </cell>
        </row>
        <row r="341">
          <cell r="B341" t="str">
            <v>13040101010113</v>
          </cell>
          <cell r="C341" t="str">
            <v>BONOS SOBERANOS DPV ESPECIAL            1ND</v>
          </cell>
        </row>
        <row r="342">
          <cell r="B342" t="str">
            <v>13040101010114</v>
          </cell>
          <cell r="C342" t="str">
            <v>BONOS SOB ALM DPV ESTRATEGICO           1ND</v>
          </cell>
        </row>
        <row r="343">
          <cell r="B343" t="str">
            <v>13040101010115</v>
          </cell>
          <cell r="C343" t="str">
            <v>BONOS GLOB PERU ALM DPV ESTRATEGICO     1ND</v>
          </cell>
        </row>
        <row r="344">
          <cell r="B344" t="str">
            <v>13040101010116</v>
          </cell>
          <cell r="C344" t="str">
            <v>LETRAS MEFÂ  ALM ESTRAT                 1ND</v>
          </cell>
        </row>
        <row r="345">
          <cell r="B345" t="str">
            <v>13040101010117</v>
          </cell>
          <cell r="C345" t="str">
            <v>BONOS GLOBALES DISP VTA PLUS            1ND</v>
          </cell>
        </row>
        <row r="346">
          <cell r="B346" t="str">
            <v>13040101010118</v>
          </cell>
          <cell r="C346" t="str">
            <v>BONOS SOBERANOS DPV PLUS                1ND</v>
          </cell>
        </row>
        <row r="347">
          <cell r="B347" t="str">
            <v>13040101010201</v>
          </cell>
          <cell r="C347" t="str">
            <v>RENDIMIENTOS BONOS GLOBALES REPO        1ND</v>
          </cell>
        </row>
        <row r="348">
          <cell r="B348" t="str">
            <v>13040101010202</v>
          </cell>
          <cell r="C348" t="str">
            <v>RENDIMIENTO BONOS SOBERANOS PAIS        1ND</v>
          </cell>
        </row>
        <row r="349">
          <cell r="B349" t="str">
            <v>13040101010203</v>
          </cell>
          <cell r="C349" t="str">
            <v>RENDIMIENTO BONOS SOBERANOS PAIS PORTAFO1ND</v>
          </cell>
        </row>
        <row r="350">
          <cell r="B350" t="str">
            <v>13040101010204</v>
          </cell>
          <cell r="C350" t="str">
            <v>REND BONOS GLOBALES DISP PARA LA VTA    1ND</v>
          </cell>
        </row>
        <row r="351">
          <cell r="B351" t="str">
            <v>13040101010205</v>
          </cell>
          <cell r="C351" t="str">
            <v>REND BONOS GLOBALES DPV ESP             1ND</v>
          </cell>
        </row>
        <row r="352">
          <cell r="B352" t="str">
            <v>13040101010206</v>
          </cell>
          <cell r="C352" t="str">
            <v>REND BONOS SOBERANOS DPV ESPECIAL       1ND</v>
          </cell>
        </row>
        <row r="353">
          <cell r="B353" t="str">
            <v>13040101010207</v>
          </cell>
          <cell r="C353" t="str">
            <v>REND BONOS GLOBALES DISP PARA LA VTA    1ND</v>
          </cell>
        </row>
        <row r="354">
          <cell r="B354" t="str">
            <v>13040101010208</v>
          </cell>
          <cell r="C354" t="str">
            <v>INT BONOS SOB ALM DPV ESTRATEGICO       1ND</v>
          </cell>
        </row>
        <row r="355">
          <cell r="B355" t="str">
            <v>13040101010209</v>
          </cell>
          <cell r="C355" t="str">
            <v>INT BONOS GLOB PERU ALM DPV ESTRATEGICO 1ND</v>
          </cell>
        </row>
        <row r="356">
          <cell r="B356" t="str">
            <v>13040101010210</v>
          </cell>
          <cell r="C356" t="str">
            <v>REND LETRAS MEFÂ Â  ALM ESTRAT          1ND</v>
          </cell>
        </row>
        <row r="357">
          <cell r="B357" t="str">
            <v>13040101010211</v>
          </cell>
          <cell r="C357" t="str">
            <v>RENDIMIENTO BONOS GLOBALES DISP VTA PLUS1ND</v>
          </cell>
        </row>
        <row r="358">
          <cell r="B358" t="str">
            <v>13040101010212</v>
          </cell>
          <cell r="C358" t="str">
            <v>RENDIMIENTO BONOS SOBERANOS DPV PLUS    1ND</v>
          </cell>
        </row>
        <row r="359">
          <cell r="B359" t="str">
            <v>13040101010301</v>
          </cell>
          <cell r="C359" t="str">
            <v>BONOS SOB PAIS DISP PARA LA VTA INF VAC 1ND</v>
          </cell>
        </row>
        <row r="360">
          <cell r="B360" t="str">
            <v>13040101010302</v>
          </cell>
          <cell r="C360" t="str">
            <v>BONOS SOB PORTAFOLIO ESTRATEGICO INF VAC1ND</v>
          </cell>
        </row>
        <row r="361">
          <cell r="B361" t="str">
            <v>13040101010303</v>
          </cell>
          <cell r="C361" t="str">
            <v>BONOS SOB PORTAFOLIO ALM ESTRATEGICO INF1ND</v>
          </cell>
        </row>
        <row r="362">
          <cell r="B362" t="str">
            <v>13040101010304</v>
          </cell>
          <cell r="C362" t="str">
            <v>BONOS SOB DPV ESPECIAL INF VAC          1ND</v>
          </cell>
        </row>
        <row r="363">
          <cell r="B363" t="str">
            <v>13040101010305</v>
          </cell>
          <cell r="C363" t="str">
            <v>BONOS SOB DPV BANKING BOOK              1ND</v>
          </cell>
        </row>
        <row r="364">
          <cell r="B364" t="str">
            <v>13040101010306</v>
          </cell>
          <cell r="C364" t="str">
            <v>REND. BONOS SOB DPV BANKING BOOK        1ND</v>
          </cell>
        </row>
        <row r="365">
          <cell r="B365" t="str">
            <v>13040101010307</v>
          </cell>
          <cell r="C365" t="str">
            <v>MDC LETRAS GLOBALES DPV ESPECIAL        1ND</v>
          </cell>
        </row>
        <row r="366">
          <cell r="B366" t="str">
            <v>13040101010308</v>
          </cell>
          <cell r="C366" t="str">
            <v>MDC REND LETRAS GLOBALES DPV ESPECIAL   1ND</v>
          </cell>
        </row>
        <row r="367">
          <cell r="B367" t="str">
            <v>13040101010801</v>
          </cell>
          <cell r="C367" t="str">
            <v>PAN BONOS GLOBALES PERUANOS             1ND</v>
          </cell>
        </row>
        <row r="368">
          <cell r="B368" t="str">
            <v>13040101020102</v>
          </cell>
          <cell r="C368" t="str">
            <v>BONOS GLOBALES BRASIL DPV MESA          1ND</v>
          </cell>
        </row>
        <row r="369">
          <cell r="B369" t="str">
            <v>13040101020103</v>
          </cell>
          <cell r="C369" t="str">
            <v>BONOS GLOBALES BRASIL DPV ESTRATEGICO   1ND</v>
          </cell>
        </row>
        <row r="370">
          <cell r="B370" t="str">
            <v>13040101020104</v>
          </cell>
          <cell r="C370" t="str">
            <v>BONOS DEL TESORO AMERICANO              1ND</v>
          </cell>
        </row>
        <row r="371">
          <cell r="B371" t="str">
            <v>13040101020105</v>
          </cell>
          <cell r="C371" t="str">
            <v>BONOS GLOBALES BRASIL DPV ESPECIAL      1ND</v>
          </cell>
        </row>
        <row r="372">
          <cell r="B372" t="str">
            <v>13040101020106</v>
          </cell>
          <cell r="C372" t="str">
            <v>US TREASURY DVP ESP                     1ND</v>
          </cell>
        </row>
        <row r="373">
          <cell r="B373" t="str">
            <v>13040101020107</v>
          </cell>
          <cell r="C373" t="str">
            <v>US TREASURY DVP EST                     1ND</v>
          </cell>
        </row>
        <row r="374">
          <cell r="B374" t="str">
            <v>13040101020108</v>
          </cell>
          <cell r="C374" t="str">
            <v>BONOS GOB COLOMBIA DPV MESA             1ND</v>
          </cell>
        </row>
        <row r="375">
          <cell r="B375" t="str">
            <v>13040101020109</v>
          </cell>
          <cell r="C375" t="str">
            <v>BONOS GOB COLOMBIA DPV EST              1ND</v>
          </cell>
        </row>
        <row r="376">
          <cell r="B376" t="str">
            <v>13040101020110</v>
          </cell>
          <cell r="C376" t="str">
            <v>BONOS GOB MEXICO DPV MESA               1ND</v>
          </cell>
        </row>
        <row r="377">
          <cell r="B377" t="str">
            <v>13040101020111</v>
          </cell>
          <cell r="C377" t="str">
            <v>BONOS GOB MEXICO DPV EST                1ND</v>
          </cell>
        </row>
        <row r="378">
          <cell r="B378" t="str">
            <v>13040101020112</v>
          </cell>
          <cell r="C378" t="str">
            <v>BONOS GLOB COLOMBIA DISPO VENTA         1ND</v>
          </cell>
        </row>
        <row r="379">
          <cell r="B379" t="str">
            <v>13040101020113</v>
          </cell>
          <cell r="C379" t="str">
            <v>BONOS GLOB COLOMBIA DPV ESPECIAL        1ND</v>
          </cell>
        </row>
        <row r="380">
          <cell r="B380" t="str">
            <v>13040101020114</v>
          </cell>
          <cell r="C380" t="str">
            <v>BONOS GLOB COLOMBIA DPV ESTRATEGICO     1ND</v>
          </cell>
        </row>
        <row r="381">
          <cell r="B381" t="str">
            <v>13040101020115</v>
          </cell>
          <cell r="C381" t="str">
            <v>BONOS GLOB MEXICO DISPO VENTA           1ND</v>
          </cell>
        </row>
        <row r="382">
          <cell r="B382" t="str">
            <v>13040101020116</v>
          </cell>
          <cell r="C382" t="str">
            <v>BONOS GLOB MEXICO DPV ESPECIAL          1ND</v>
          </cell>
        </row>
        <row r="383">
          <cell r="B383" t="str">
            <v>13040101020117</v>
          </cell>
          <cell r="C383" t="str">
            <v>BONOS GLOB MEXICO DPV ESTRATEGICO       1ND</v>
          </cell>
        </row>
        <row r="384">
          <cell r="B384" t="str">
            <v>13040101020118</v>
          </cell>
          <cell r="C384" t="str">
            <v>BONOS GLOB CHILE DISPO VENTA            1ND</v>
          </cell>
        </row>
        <row r="385">
          <cell r="B385" t="str">
            <v>13040101020119</v>
          </cell>
          <cell r="C385" t="str">
            <v>BONOS GLOB CHILE DPV ESPECIAL           1ND</v>
          </cell>
        </row>
        <row r="386">
          <cell r="B386" t="str">
            <v>13040101020120</v>
          </cell>
          <cell r="C386" t="str">
            <v>BONOS GLOB CHILE DPV ESTRATEGICO        1ND</v>
          </cell>
        </row>
        <row r="387">
          <cell r="B387" t="str">
            <v>13040101020121</v>
          </cell>
          <cell r="C387" t="str">
            <v>BONOS TESORO US ALM DPV ESTRATEGICO     1ND</v>
          </cell>
        </row>
        <row r="388">
          <cell r="B388" t="str">
            <v>13040101020122</v>
          </cell>
          <cell r="C388" t="str">
            <v>BONOS GLOB COLOMBIA ALM DPV ESTRATETICO 1ND</v>
          </cell>
        </row>
        <row r="389">
          <cell r="B389" t="str">
            <v>13040101020123</v>
          </cell>
          <cell r="C389" t="str">
            <v>BONOS GLOB MEXICO ALM DPV ESTRATETICO   1ND</v>
          </cell>
        </row>
        <row r="390">
          <cell r="B390" t="str">
            <v>13040101020124</v>
          </cell>
          <cell r="C390" t="str">
            <v>BONOS GLOB CHILE ALM DPV ESTRATETICO    1ND</v>
          </cell>
        </row>
        <row r="391">
          <cell r="B391" t="str">
            <v>13040101020125</v>
          </cell>
          <cell r="C391" t="str">
            <v>BONOS GLOB BRASIL ALM DPV ESTRATETICO   1ND</v>
          </cell>
        </row>
        <row r="392">
          <cell r="B392" t="str">
            <v>13040101020126</v>
          </cell>
          <cell r="C392" t="str">
            <v>BONOS GLOB COLOMBIA IB-RESTRINGIDO      1ND</v>
          </cell>
        </row>
        <row r="393">
          <cell r="B393" t="str">
            <v>13040101020127</v>
          </cell>
          <cell r="C393" t="str">
            <v>BONOS DEL TESORO USA DVTA PLUS          1ND</v>
          </cell>
        </row>
        <row r="394">
          <cell r="B394" t="str">
            <v>13040101020201</v>
          </cell>
          <cell r="C394" t="str">
            <v>INT BONOS GLOBALES BRASIL DPV MESA      1ND</v>
          </cell>
        </row>
        <row r="395">
          <cell r="B395" t="str">
            <v>13040101020202</v>
          </cell>
          <cell r="C395" t="str">
            <v>INT BONOS GLOBALES BRASIL DPV ESTRATEGIC1ND</v>
          </cell>
        </row>
        <row r="396">
          <cell r="B396" t="str">
            <v>13040101020203</v>
          </cell>
          <cell r="C396" t="str">
            <v>INT US TREASURIES DPV MESA              1ND</v>
          </cell>
        </row>
        <row r="397">
          <cell r="B397" t="str">
            <v>13040101020204</v>
          </cell>
          <cell r="C397" t="str">
            <v>INT BONOS GLOBALES BRASIL DPV ESPECIAL  1ND</v>
          </cell>
        </row>
        <row r="398">
          <cell r="B398" t="str">
            <v>13040101020205</v>
          </cell>
          <cell r="C398" t="str">
            <v>INT US TREASURIES DPV ESP               1ND</v>
          </cell>
        </row>
        <row r="399">
          <cell r="B399" t="str">
            <v>13040101020206</v>
          </cell>
          <cell r="C399" t="str">
            <v>INT US TREASURIES DPV ESTRATEGICO       1ND</v>
          </cell>
        </row>
        <row r="400">
          <cell r="B400" t="str">
            <v>13040101020207</v>
          </cell>
          <cell r="C400" t="str">
            <v>INT BONOS GLOB COLOMBIA DISPO VENTA     1ND</v>
          </cell>
        </row>
        <row r="401">
          <cell r="B401" t="str">
            <v>13040101020208</v>
          </cell>
          <cell r="C401" t="str">
            <v>INT BONOS GLOB COLOMBIA DPV ESPECIAL    1ND</v>
          </cell>
        </row>
        <row r="402">
          <cell r="B402" t="str">
            <v>13040101020209</v>
          </cell>
          <cell r="C402" t="str">
            <v>INT BONOS GLOB COLOMBIA DPV ESTRATEGICO 1ND</v>
          </cell>
        </row>
        <row r="403">
          <cell r="B403" t="str">
            <v>13040101020210</v>
          </cell>
          <cell r="C403" t="str">
            <v>INT BONOS GLOB MEXICO DISPO VENTA       1ND</v>
          </cell>
        </row>
        <row r="404">
          <cell r="B404" t="str">
            <v>13040101020211</v>
          </cell>
          <cell r="C404" t="str">
            <v>INT BONOS GLOB MEXICO DPV ESPECIAL      1ND</v>
          </cell>
        </row>
        <row r="405">
          <cell r="B405" t="str">
            <v>13040101020212</v>
          </cell>
          <cell r="C405" t="str">
            <v>INT BONOS GLOB MEXICO DPV ESTRATEGICO   1ND</v>
          </cell>
        </row>
        <row r="406">
          <cell r="B406" t="str">
            <v>13040101020213</v>
          </cell>
          <cell r="C406" t="str">
            <v>INT BONOS GLOB CHILE DISPO VENTA        1ND</v>
          </cell>
        </row>
        <row r="407">
          <cell r="B407" t="str">
            <v>13040101020214</v>
          </cell>
          <cell r="C407" t="str">
            <v>INT BONOS GLOB CHILE DPV ESPECIAL       1ND</v>
          </cell>
        </row>
        <row r="408">
          <cell r="B408" t="str">
            <v>13040101020215</v>
          </cell>
          <cell r="C408" t="str">
            <v>INT BONOS GLOB CHILE DPV ESTRATEGICO    1ND</v>
          </cell>
        </row>
        <row r="409">
          <cell r="B409" t="str">
            <v>13040101020216</v>
          </cell>
          <cell r="C409" t="str">
            <v>INT BONOS TESORO US ALM DPV ESTRATEGICO 1ND</v>
          </cell>
        </row>
        <row r="410">
          <cell r="B410" t="str">
            <v>13040101020217</v>
          </cell>
          <cell r="C410" t="str">
            <v>INT BONOS GLOB COLOMBIA ALM DPV ESTRATET1ND</v>
          </cell>
        </row>
        <row r="411">
          <cell r="B411" t="str">
            <v>13040101020218</v>
          </cell>
          <cell r="C411" t="str">
            <v>INT BONOS GLOB MEXICO ALM DPV ESTRATETIC1ND</v>
          </cell>
        </row>
        <row r="412">
          <cell r="B412" t="str">
            <v>13040101020219</v>
          </cell>
          <cell r="C412" t="str">
            <v>INT BONOS GLOB CHILE ALM DPV ESTRATETICO1ND</v>
          </cell>
        </row>
        <row r="413">
          <cell r="B413" t="str">
            <v>13040101020220</v>
          </cell>
          <cell r="C413" t="str">
            <v>INT BONOS GLOB BRASIL ALM DPV ESTRATETIC1ND</v>
          </cell>
        </row>
        <row r="414">
          <cell r="B414" t="str">
            <v>13040101020221</v>
          </cell>
          <cell r="C414" t="str">
            <v>INT BONOS GLOB COLOMBIA IB-RESTRINGIDO  1ND</v>
          </cell>
        </row>
        <row r="415">
          <cell r="B415" t="str">
            <v>13040101020222</v>
          </cell>
          <cell r="C415" t="str">
            <v>RENDIMIENTO BONOS DEL TESORO USA DVTA PL1ND</v>
          </cell>
        </row>
        <row r="416">
          <cell r="B416" t="str">
            <v>13040101020801</v>
          </cell>
          <cell r="C416" t="str">
            <v>PAN BONOS GLOBALES BRASIL               1ND</v>
          </cell>
        </row>
        <row r="417">
          <cell r="B417" t="str">
            <v>13040109010101</v>
          </cell>
          <cell r="C417" t="str">
            <v>BONOS DE REACTIVACION-FOPE              1ND</v>
          </cell>
        </row>
        <row r="418">
          <cell r="B418" t="str">
            <v>13040109010103</v>
          </cell>
          <cell r="C418" t="str">
            <v>BONOS DE REACTIVACION-RFA               1ND</v>
          </cell>
        </row>
        <row r="419">
          <cell r="B419" t="str">
            <v>13040109010201</v>
          </cell>
          <cell r="C419" t="str">
            <v>RENDIMIENTO BONOS FOPE Y RFA LIBRES     1ND</v>
          </cell>
        </row>
        <row r="420">
          <cell r="B420" t="str">
            <v>13040201000104</v>
          </cell>
          <cell r="C420" t="str">
            <v>CDN - BCRP AL DESCTO.                   1ND</v>
          </cell>
        </row>
        <row r="421">
          <cell r="B421" t="str">
            <v>13040201000109</v>
          </cell>
          <cell r="C421" t="str">
            <v>CD BCRP NR AL DESCTO                    1ND</v>
          </cell>
        </row>
        <row r="422">
          <cell r="B422" t="str">
            <v>13040201000110</v>
          </cell>
          <cell r="C422" t="str">
            <v>CERTIFICADO DEP TASA VAR  INVERSION     1ND</v>
          </cell>
        </row>
        <row r="423">
          <cell r="B423" t="str">
            <v>13040201000111</v>
          </cell>
          <cell r="C423" t="str">
            <v>CDBCRP DPV ESP                          1ND</v>
          </cell>
        </row>
        <row r="424">
          <cell r="B424" t="str">
            <v>13040201000112</v>
          </cell>
          <cell r="C424" t="str">
            <v>CDBCRP ALM DPV ESTRATEGICO              1ND</v>
          </cell>
        </row>
        <row r="425">
          <cell r="B425" t="str">
            <v>13040201000113</v>
          </cell>
          <cell r="C425" t="str">
            <v>CDLD BCRP ALM ESTRATEGICO               1ND</v>
          </cell>
        </row>
        <row r="426">
          <cell r="B426" t="str">
            <v>13040201000201</v>
          </cell>
          <cell r="C426" t="str">
            <v>INTERESES CERTIFICADO DEP TASA VAR      1ND</v>
          </cell>
        </row>
        <row r="427">
          <cell r="B427" t="str">
            <v>13040201000202</v>
          </cell>
          <cell r="C427" t="str">
            <v>CDBCRP DPVESTRAT                        1ND</v>
          </cell>
        </row>
        <row r="428">
          <cell r="B428" t="str">
            <v>13040201000203</v>
          </cell>
          <cell r="C428" t="str">
            <v>CD ION ALM ESTRAT                       1 D</v>
          </cell>
        </row>
        <row r="429">
          <cell r="B429" t="str">
            <v>13040201000204</v>
          </cell>
          <cell r="C429" t="str">
            <v>REND CD ION ALM ESTRAT                  1 D</v>
          </cell>
        </row>
        <row r="430">
          <cell r="B430" t="str">
            <v>13040201000205</v>
          </cell>
          <cell r="C430" t="str">
            <v>CERTIFICADOS DEPÃ“SITO TASA VARIABLE    1ND</v>
          </cell>
        </row>
        <row r="431">
          <cell r="B431" t="str">
            <v>13040201000206</v>
          </cell>
          <cell r="C431" t="str">
            <v>REND CERTIFICADOS DEPÃ“SITO TASA VARIABL1ND</v>
          </cell>
        </row>
        <row r="432">
          <cell r="B432" t="str">
            <v>13040201000207</v>
          </cell>
          <cell r="C432" t="str">
            <v>CERTIFICADOS DEPÃ“SITO                  1ND</v>
          </cell>
        </row>
        <row r="433">
          <cell r="B433" t="str">
            <v>13040201000208</v>
          </cell>
          <cell r="C433" t="str">
            <v>REND CERTIFICADOS DEPÃ“SITO             1ND</v>
          </cell>
        </row>
        <row r="434">
          <cell r="B434" t="str">
            <v>13040201000209</v>
          </cell>
          <cell r="C434" t="str">
            <v>MDC  CDR ALM ESTRATEGICO                1ND</v>
          </cell>
        </row>
        <row r="435">
          <cell r="B435" t="str">
            <v>13040201000210</v>
          </cell>
          <cell r="C435" t="str">
            <v>MDC CDBCRPÂ TRADING MESA                1ND</v>
          </cell>
        </row>
        <row r="436">
          <cell r="B436" t="str">
            <v>13040301000101</v>
          </cell>
          <cell r="C436" t="str">
            <v>BONOS COFIDE                            1ND</v>
          </cell>
        </row>
        <row r="437">
          <cell r="B437" t="str">
            <v>13040303000101</v>
          </cell>
          <cell r="C437" t="str">
            <v>BONOS CAF                               1ND</v>
          </cell>
        </row>
        <row r="438">
          <cell r="B438" t="str">
            <v>13040303000102</v>
          </cell>
          <cell r="C438" t="str">
            <v>BONOS BLADEX                            1ND</v>
          </cell>
        </row>
        <row r="439">
          <cell r="B439" t="str">
            <v>13040303000103</v>
          </cell>
          <cell r="C439" t="str">
            <v>BONOS CAF                               1ND</v>
          </cell>
        </row>
        <row r="440">
          <cell r="B440" t="str">
            <v>13040303000104</v>
          </cell>
          <cell r="C440" t="str">
            <v>CERTIFICADO DE DEPOSITO A VENCIMIENTO   1ND</v>
          </cell>
        </row>
        <row r="441">
          <cell r="B441" t="str">
            <v>13040303000105</v>
          </cell>
          <cell r="C441" t="str">
            <v>CD YANKEE DISPO VENTA                   1ND</v>
          </cell>
        </row>
        <row r="442">
          <cell r="B442" t="str">
            <v>13040303000201</v>
          </cell>
          <cell r="C442" t="str">
            <v>RENDIMIENTO DEV BONOS CAF               1ND</v>
          </cell>
        </row>
        <row r="443">
          <cell r="B443" t="str">
            <v>13040303000202</v>
          </cell>
          <cell r="C443" t="str">
            <v>RENDIMIENTO DEV BONOS BLADEX            1ND</v>
          </cell>
        </row>
        <row r="444">
          <cell r="B444" t="str">
            <v>13040303000203</v>
          </cell>
          <cell r="C444" t="str">
            <v>REND BONOS ORGAN FINANC INT ESTR        1ND</v>
          </cell>
        </row>
        <row r="445">
          <cell r="B445" t="str">
            <v>13040303000204</v>
          </cell>
          <cell r="C445" t="str">
            <v>RENDIMIENTO CERTIFICADO DE DEPOSITO A VE1ND</v>
          </cell>
        </row>
        <row r="446">
          <cell r="B446" t="str">
            <v>13040303000205</v>
          </cell>
          <cell r="C446" t="str">
            <v>REND CD YANKEE DISPO VENTA              1ND</v>
          </cell>
        </row>
        <row r="447">
          <cell r="B447" t="str">
            <v>13040303000801</v>
          </cell>
          <cell r="C447" t="str">
            <v>PAN BONOS CAF                           1ND</v>
          </cell>
        </row>
        <row r="448">
          <cell r="B448" t="str">
            <v>13040503000101</v>
          </cell>
          <cell r="C448" t="str">
            <v>CDN EMPRESAS FINANCIERAS                1ND</v>
          </cell>
        </row>
        <row r="449">
          <cell r="B449" t="str">
            <v>13040506000101</v>
          </cell>
          <cell r="C449" t="str">
            <v>BONOS HIPOTECARIOS IB                   1ND</v>
          </cell>
        </row>
        <row r="450">
          <cell r="B450" t="str">
            <v>13040506000102</v>
          </cell>
          <cell r="C450" t="str">
            <v>BONOS HIPOTECARIOS                      1ND</v>
          </cell>
        </row>
        <row r="451">
          <cell r="B451" t="str">
            <v>13040506000201</v>
          </cell>
          <cell r="C451" t="str">
            <v>RENDIMIENTO BONOS HIPOTECARIOS IB       1ND</v>
          </cell>
        </row>
        <row r="452">
          <cell r="B452" t="str">
            <v>13040506000202</v>
          </cell>
          <cell r="C452" t="str">
            <v>RENDIMIENTO BONOS HIPOTECARIOS          1ND</v>
          </cell>
        </row>
        <row r="453">
          <cell r="B453" t="str">
            <v>13040507000101</v>
          </cell>
          <cell r="C453" t="str">
            <v>BAF EMPRESAS SISTEMA FINANCIERO         1ND</v>
          </cell>
        </row>
        <row r="454">
          <cell r="B454" t="str">
            <v>13040507000201</v>
          </cell>
          <cell r="C454" t="str">
            <v>RENDIMIENTO DEV BONOS ARRENDAMIENTO FIN 1ND</v>
          </cell>
        </row>
        <row r="455">
          <cell r="B455" t="str">
            <v>13040508000104</v>
          </cell>
          <cell r="C455" t="str">
            <v>BONOS CORPORATIVOS EMP. SIST FINANC     1ND</v>
          </cell>
        </row>
        <row r="456">
          <cell r="B456" t="str">
            <v>13040508000105</v>
          </cell>
          <cell r="C456" t="str">
            <v>BONOS CORP SIST FIN DPV EST             1ND</v>
          </cell>
        </row>
        <row r="457">
          <cell r="B457" t="str">
            <v>13040508000106</v>
          </cell>
          <cell r="C457" t="str">
            <v>BONOS CORP SIST FIN DVP ESP             1ND</v>
          </cell>
        </row>
        <row r="458">
          <cell r="B458" t="str">
            <v>13040508000107</v>
          </cell>
          <cell r="C458" t="str">
            <v>BONOS CORP SIST FIN COLOMBIA DPV MESA   1ND</v>
          </cell>
        </row>
        <row r="459">
          <cell r="B459" t="str">
            <v>13040508000108</v>
          </cell>
          <cell r="C459" t="str">
            <v>BONOS CORP SIST FIN COLOMBIA DPV EST    1ND</v>
          </cell>
        </row>
        <row r="460">
          <cell r="B460" t="str">
            <v>13040508000109</v>
          </cell>
          <cell r="C460" t="str">
            <v>BONOS CORP SIST FIN ALM EST             1ND</v>
          </cell>
        </row>
        <row r="461">
          <cell r="B461" t="str">
            <v>13040508000201</v>
          </cell>
          <cell r="C461" t="str">
            <v>REND BONOS CORPORATIVOS EMP SIST FINA   1ND</v>
          </cell>
        </row>
        <row r="462">
          <cell r="B462" t="str">
            <v>13040508000202</v>
          </cell>
          <cell r="C462" t="str">
            <v>INT CORRIDOS BONOS CORP SIST FIN DPV EST1ND</v>
          </cell>
        </row>
        <row r="463">
          <cell r="B463" t="str">
            <v>13040508000203</v>
          </cell>
          <cell r="C463" t="str">
            <v>INT BONOS CORP SIST FIN DVP ESP         1ND</v>
          </cell>
        </row>
        <row r="464">
          <cell r="B464" t="str">
            <v>13040508000209</v>
          </cell>
          <cell r="C464" t="str">
            <v>INT BONOS CORP SIST FIN ALM EST         1ND</v>
          </cell>
        </row>
        <row r="465">
          <cell r="B465" t="str">
            <v>13040508000210</v>
          </cell>
          <cell r="C465" t="str">
            <v>BONOS CORPORATIVOS EMP FIN DPLUS        1ND</v>
          </cell>
        </row>
        <row r="466">
          <cell r="B466" t="str">
            <v>13040508000211</v>
          </cell>
          <cell r="C466" t="str">
            <v>REND BONOS CORPORATIVOS EMP FIN DPLUS   1ND</v>
          </cell>
        </row>
        <row r="467">
          <cell r="B467" t="str">
            <v>13040509000101</v>
          </cell>
          <cell r="C467" t="str">
            <v>BONOS ESTRUCTURADOS  ACCIONES           1ND</v>
          </cell>
        </row>
        <row r="468">
          <cell r="B468" t="str">
            <v>13040509000102</v>
          </cell>
          <cell r="C468" t="str">
            <v>BONOS ESTRUCTURADOS  BONOS              1ND</v>
          </cell>
        </row>
        <row r="469">
          <cell r="B469" t="str">
            <v>13040509000801</v>
          </cell>
          <cell r="C469" t="str">
            <v>PAN NOTAS CREDITO SUISSE-ACCIONES       1ND</v>
          </cell>
        </row>
        <row r="470">
          <cell r="B470" t="str">
            <v>13040509000802</v>
          </cell>
          <cell r="C470" t="str">
            <v>PAN NOTAS CREDITO SUISSE-DEPOSITOS      1ND</v>
          </cell>
        </row>
        <row r="471">
          <cell r="B471" t="str">
            <v>13040510000101</v>
          </cell>
          <cell r="C471" t="str">
            <v>BONOS SUBORDINADOS                      1ND</v>
          </cell>
        </row>
        <row r="472">
          <cell r="B472" t="str">
            <v>13040510000104</v>
          </cell>
          <cell r="C472" t="str">
            <v>BONOS SUBORDINADOS IB                   1ND</v>
          </cell>
        </row>
        <row r="473">
          <cell r="B473" t="str">
            <v>13040510000201</v>
          </cell>
          <cell r="C473" t="str">
            <v>REND BONOS SUBORD IB                    1ND</v>
          </cell>
        </row>
        <row r="474">
          <cell r="B474" t="str">
            <v>13040510000202</v>
          </cell>
          <cell r="C474" t="str">
            <v>BONO SUBORDINADO DPV FINANZAS           1ND</v>
          </cell>
        </row>
        <row r="475">
          <cell r="B475" t="str">
            <v>13040510000203</v>
          </cell>
          <cell r="C475" t="str">
            <v>REND BONO SUBORDINADO DPV FINANZAS      1ND</v>
          </cell>
        </row>
        <row r="476">
          <cell r="B476" t="str">
            <v>13040512000102</v>
          </cell>
          <cell r="C476" t="str">
            <v>MDC CD NEGOC ALM ESTRAT                 1ND</v>
          </cell>
        </row>
        <row r="477">
          <cell r="B477" t="str">
            <v>13040512000103</v>
          </cell>
          <cell r="C477" t="str">
            <v>MDC REND CD NEGOC ALM ESTRAT            1ND</v>
          </cell>
        </row>
        <row r="478">
          <cell r="B478" t="str">
            <v>13040519000101</v>
          </cell>
          <cell r="C478" t="str">
            <v>BONOS DE TITULIZACION                   1ND</v>
          </cell>
        </row>
        <row r="479">
          <cell r="B479" t="str">
            <v>13040519000102</v>
          </cell>
          <cell r="C479" t="str">
            <v>CDN EMPRESAS FINANCIERAS                1ND</v>
          </cell>
        </row>
        <row r="480">
          <cell r="B480" t="str">
            <v>13040519000103</v>
          </cell>
          <cell r="C480" t="str">
            <v>BONOS COFIDE                            1ND</v>
          </cell>
        </row>
        <row r="481">
          <cell r="B481" t="str">
            <v>13040519000104</v>
          </cell>
          <cell r="C481" t="str">
            <v>BONOS COFIDE DPV ESP                    1ND</v>
          </cell>
        </row>
        <row r="482">
          <cell r="B482" t="str">
            <v>13040519000105</v>
          </cell>
          <cell r="C482" t="str">
            <v>BONOS TITUL SOC FIN DPV EST             1ND</v>
          </cell>
        </row>
        <row r="483">
          <cell r="B483" t="str">
            <v>13040519000106</v>
          </cell>
          <cell r="C483" t="str">
            <v>BONOS COFIDE DPV EST                    1ND</v>
          </cell>
        </row>
        <row r="484">
          <cell r="B484" t="str">
            <v>13040519000201</v>
          </cell>
          <cell r="C484" t="str">
            <v>RENDIMIENTO  DEV BONOS DE TITULIZACIO   1ND</v>
          </cell>
        </row>
        <row r="485">
          <cell r="B485" t="str">
            <v>13040519000202</v>
          </cell>
          <cell r="C485" t="str">
            <v>RENDIMIENTO DEV BONOS COFIDE            1ND</v>
          </cell>
        </row>
        <row r="486">
          <cell r="B486" t="str">
            <v>13040519000203</v>
          </cell>
          <cell r="C486" t="str">
            <v>INT BONOS COFIDE DPV ESP                1ND</v>
          </cell>
        </row>
        <row r="487">
          <cell r="B487" t="str">
            <v>13040519000204</v>
          </cell>
          <cell r="C487" t="str">
            <v>INT BONOS TITUL SOC FIN DPV EST         1ND</v>
          </cell>
        </row>
        <row r="488">
          <cell r="B488" t="str">
            <v>13040519000205</v>
          </cell>
          <cell r="C488" t="str">
            <v>REND BONOS COFIDE DPV EST               1ND</v>
          </cell>
        </row>
        <row r="489">
          <cell r="B489" t="str">
            <v>13040708000101</v>
          </cell>
          <cell r="C489" t="str">
            <v>BONOS ORD.- SOC.NO FINANCIERAS          1ND</v>
          </cell>
        </row>
        <row r="490">
          <cell r="B490" t="str">
            <v>13040708000105</v>
          </cell>
          <cell r="C490" t="str">
            <v>BONOS CORP DPV EST                      1ND</v>
          </cell>
        </row>
        <row r="491">
          <cell r="B491" t="str">
            <v>13040708000106</v>
          </cell>
          <cell r="C491" t="str">
            <v>BONOS ORD SOC NO FIN DPV ESP            1ND</v>
          </cell>
        </row>
        <row r="492">
          <cell r="B492" t="str">
            <v>13040708000107</v>
          </cell>
          <cell r="C492" t="str">
            <v>BONOS CORP ORD ALM EST                  1ND</v>
          </cell>
        </row>
        <row r="493">
          <cell r="B493" t="str">
            <v>13040708000201</v>
          </cell>
          <cell r="C493" t="str">
            <v>RENDTOS.DEV.BONOS ORD. - SOC.NO FINANCIE1ND</v>
          </cell>
        </row>
        <row r="494">
          <cell r="B494" t="str">
            <v>13040708000202</v>
          </cell>
          <cell r="C494" t="str">
            <v>INT BONOS CORP ORD FIN DPV EST          1ND</v>
          </cell>
        </row>
        <row r="495">
          <cell r="B495" t="str">
            <v>13040708000203</v>
          </cell>
          <cell r="C495" t="str">
            <v>INT BONOS CORP SOC NO FIN DVP ESP       1ND</v>
          </cell>
        </row>
        <row r="496">
          <cell r="B496" t="str">
            <v>13040708000207</v>
          </cell>
          <cell r="C496" t="str">
            <v>INT BONOS CORP ORD FIN ALM EST          1ND</v>
          </cell>
        </row>
        <row r="497">
          <cell r="B497" t="str">
            <v>13040708000208</v>
          </cell>
          <cell r="C497" t="str">
            <v>BONOS CORPORATIVOS SOC NO FIN DPLUS     1ND</v>
          </cell>
        </row>
        <row r="498">
          <cell r="B498" t="str">
            <v>13040708000209</v>
          </cell>
          <cell r="C498" t="str">
            <v>REND BONOS CORPORATIVOS SOC NO FIN DPLUS1ND</v>
          </cell>
        </row>
        <row r="499">
          <cell r="B499" t="str">
            <v>13041801000100</v>
          </cell>
          <cell r="C499" t="str">
            <v>MDC REPOÂ  BONOS SOB ALM ESTRA          1ND</v>
          </cell>
        </row>
        <row r="500">
          <cell r="B500" t="str">
            <v>13041801000101</v>
          </cell>
          <cell r="C500" t="str">
            <v>MDC REPO INT BONOS SOB ALM ESTRA        1ND</v>
          </cell>
        </row>
        <row r="501">
          <cell r="B501" t="str">
            <v>13041801000102</v>
          </cell>
          <cell r="C501" t="str">
            <v>MDC REPOÂ  BONOS SOB DVP ESTRA          1ND</v>
          </cell>
        </row>
        <row r="502">
          <cell r="B502" t="str">
            <v>13041801000103</v>
          </cell>
          <cell r="C502" t="str">
            <v>MDC REPO INT BONOS SOB DVP ESTRA        1ND</v>
          </cell>
        </row>
        <row r="503">
          <cell r="B503" t="str">
            <v>13041801000104</v>
          </cell>
          <cell r="C503" t="str">
            <v>MDC REPOÂ  BONOS SOB BANKING BOOK       1ND</v>
          </cell>
        </row>
        <row r="504">
          <cell r="B504" t="str">
            <v>13041801000105</v>
          </cell>
          <cell r="C504" t="str">
            <v>MDC REPO INT BONOS SOB BANKING BOOK     1ND</v>
          </cell>
        </row>
        <row r="505">
          <cell r="B505" t="str">
            <v>13041801000106</v>
          </cell>
          <cell r="C505" t="str">
            <v>MDC BONOS GLOBALES PERUANOS RESTRINGIDOS1 D</v>
          </cell>
        </row>
        <row r="506">
          <cell r="B506" t="str">
            <v>13041801000107</v>
          </cell>
          <cell r="C506" t="str">
            <v>MDC INT BONOS GLOB PERUANOS RESTRINGIDOS1 D</v>
          </cell>
        </row>
        <row r="507">
          <cell r="B507" t="str">
            <v>13041802000101</v>
          </cell>
          <cell r="C507" t="str">
            <v>CDN BCRP PACTOS DE RECOMPRA             1ND</v>
          </cell>
        </row>
        <row r="508">
          <cell r="B508" t="str">
            <v>13041802010107</v>
          </cell>
          <cell r="C508" t="str">
            <v>BONOS GLOBALES DISP VTA PACTO RECOM     1ND</v>
          </cell>
        </row>
        <row r="509">
          <cell r="B509" t="str">
            <v>13041802010108</v>
          </cell>
          <cell r="C509" t="str">
            <v>BONOS SOBERANOS CARTERA RESTRINGIDA     1ND</v>
          </cell>
        </row>
        <row r="510">
          <cell r="B510" t="str">
            <v>13041802020101</v>
          </cell>
          <cell r="C510" t="str">
            <v>CDN BCRP PACTOS DE RECOMPRA             1ND</v>
          </cell>
        </row>
        <row r="511">
          <cell r="B511" t="str">
            <v>13041802020103</v>
          </cell>
          <cell r="C511" t="str">
            <v>CD BCRP NR PACTOS DE RECOMPRA           1ND</v>
          </cell>
        </row>
        <row r="512">
          <cell r="B512" t="str">
            <v>13041802020104</v>
          </cell>
          <cell r="C512" t="str">
            <v>BONOS GLOBALES DISP VTA PACTO RECOM     1 D</v>
          </cell>
        </row>
        <row r="513">
          <cell r="B513" t="str">
            <v>13041802020105</v>
          </cell>
          <cell r="C513" t="str">
            <v>CDN BCRP PACTOS DE RECOMPRA             1 D</v>
          </cell>
        </row>
        <row r="514">
          <cell r="B514" t="str">
            <v>13050101010103</v>
          </cell>
          <cell r="C514" t="str">
            <v>BONOS GLOBALES A VCTO                   1ND</v>
          </cell>
        </row>
        <row r="515">
          <cell r="B515" t="str">
            <v>13050101010104</v>
          </cell>
          <cell r="C515" t="str">
            <v>BONOS SOBERANOS INV A VENCIMIENTO       1ND</v>
          </cell>
        </row>
        <row r="516">
          <cell r="B516" t="str">
            <v>13050101010201</v>
          </cell>
          <cell r="C516" t="str">
            <v>INT BONOS SOBERANOS INV A VENCIMIENTO   1ND</v>
          </cell>
        </row>
        <row r="517">
          <cell r="B517" t="str">
            <v>13050509000101</v>
          </cell>
          <cell r="C517" t="str">
            <v>BONOS ESTRUCTURADOS                     1ND</v>
          </cell>
        </row>
        <row r="518">
          <cell r="B518" t="str">
            <v>13050509000201</v>
          </cell>
          <cell r="C518" t="str">
            <v>REND BONOS ESTRUCTURADOS DPV            1ND</v>
          </cell>
        </row>
        <row r="519">
          <cell r="B519" t="str">
            <v>13051801000101</v>
          </cell>
          <cell r="C519" t="str">
            <v>BONOS SOB A VENCIMIENTO                 1ND</v>
          </cell>
        </row>
        <row r="520">
          <cell r="B520" t="str">
            <v>13051801000201</v>
          </cell>
          <cell r="C520" t="str">
            <v>BONOS INT SOB A VENCIMIENTO             1ND</v>
          </cell>
        </row>
        <row r="521">
          <cell r="B521" t="str">
            <v>13051801000202</v>
          </cell>
          <cell r="C521" t="str">
            <v>MDC REPOÂ  BONOS SOB ALM ESTRA          1ND</v>
          </cell>
        </row>
        <row r="522">
          <cell r="B522" t="str">
            <v>13051801000203</v>
          </cell>
          <cell r="C522" t="str">
            <v>MDC REPO INT BONOS SOB ALM ESTRA        1ND</v>
          </cell>
        </row>
        <row r="523">
          <cell r="B523" t="str">
            <v>13051801000204</v>
          </cell>
          <cell r="C523" t="str">
            <v>MDC REPOÂ  BONOS SOB DVP ESTRA          1ND</v>
          </cell>
        </row>
        <row r="524">
          <cell r="B524" t="str">
            <v>13051801000205</v>
          </cell>
          <cell r="C524" t="str">
            <v>MDC REPO INT BONOS SOB DVP ESTRA        1ND</v>
          </cell>
        </row>
        <row r="525">
          <cell r="B525" t="str">
            <v>13051801000206</v>
          </cell>
          <cell r="C525" t="str">
            <v>MDC REPOÂ  BONOS SOB BANKING BOOK       1ND</v>
          </cell>
        </row>
        <row r="526">
          <cell r="B526" t="str">
            <v>13051801000207</v>
          </cell>
          <cell r="C526" t="str">
            <v>MDC REPO INT BONOS SOB BANKING BOOK     1ND</v>
          </cell>
        </row>
        <row r="527">
          <cell r="B527" t="str">
            <v>13080107000101</v>
          </cell>
          <cell r="C527" t="str">
            <v>REND CTAS DE PARTICIP  INV SIGMA        1ND</v>
          </cell>
        </row>
        <row r="528">
          <cell r="B528" t="str">
            <v>13080201000106</v>
          </cell>
          <cell r="C528" t="str">
            <v>130802010001060000                      1ND</v>
          </cell>
        </row>
        <row r="529">
          <cell r="B529" t="str">
            <v>13080201000108</v>
          </cell>
          <cell r="C529" t="str">
            <v>RENDTOS DEV BONOS GLOBALES - TRADING    1ND</v>
          </cell>
        </row>
        <row r="530">
          <cell r="B530" t="str">
            <v>13080201000110</v>
          </cell>
          <cell r="C530" t="str">
            <v>REN B GLOB GRADO DE INVERSION TRD       1ND</v>
          </cell>
        </row>
        <row r="531">
          <cell r="B531" t="str">
            <v>13080201000111</v>
          </cell>
          <cell r="C531" t="str">
            <v>INT CORRIDOS US TREASURY TRADING        1ND</v>
          </cell>
        </row>
        <row r="532">
          <cell r="B532" t="str">
            <v>13080201000113</v>
          </cell>
          <cell r="C532" t="str">
            <v>INT BONOS GOB COLOMBIA TRADING MESA     1ND</v>
          </cell>
        </row>
        <row r="533">
          <cell r="B533" t="str">
            <v>13080201000114</v>
          </cell>
          <cell r="C533" t="str">
            <v>INT BONOS GOB COLOMBIA TRADING ESP      1ND</v>
          </cell>
        </row>
        <row r="534">
          <cell r="B534" t="str">
            <v>13080201000115</v>
          </cell>
          <cell r="C534" t="str">
            <v>INT BONOS GOB MEXICO TRADING MESA       1ND</v>
          </cell>
        </row>
        <row r="535">
          <cell r="B535" t="str">
            <v>13080201000116</v>
          </cell>
          <cell r="C535" t="str">
            <v>INT BONOS GOB MEXICO TRADING ESP        1ND</v>
          </cell>
        </row>
        <row r="536">
          <cell r="B536" t="str">
            <v>13080203000101</v>
          </cell>
          <cell r="C536" t="str">
            <v>REND BONOS COFIDE TRD ESP               1ND</v>
          </cell>
        </row>
        <row r="537">
          <cell r="B537" t="str">
            <v>13080205000101</v>
          </cell>
          <cell r="C537" t="str">
            <v>INT BONOS CORP EMP FIN TRADING ESP      1ND</v>
          </cell>
        </row>
        <row r="538">
          <cell r="B538" t="str">
            <v>13080205000102</v>
          </cell>
          <cell r="C538" t="str">
            <v>INT BONOS CORP EMP FIN TRADING MESA     1ND</v>
          </cell>
        </row>
        <row r="539">
          <cell r="B539" t="str">
            <v>13080205000103</v>
          </cell>
          <cell r="C539" t="str">
            <v>INT BONOS CORP SIST FIN COLOMBIA DPV TRA1ND</v>
          </cell>
        </row>
        <row r="540">
          <cell r="B540" t="str">
            <v>13080205000104</v>
          </cell>
          <cell r="C540" t="str">
            <v>INT BONOS CORP SIST FIN COLOMBIA DPV TRA1ND</v>
          </cell>
        </row>
        <row r="541">
          <cell r="B541" t="str">
            <v>13080207000102</v>
          </cell>
          <cell r="C541" t="str">
            <v>130802070001020000                      1ND</v>
          </cell>
        </row>
        <row r="542">
          <cell r="B542" t="str">
            <v>13080207000103</v>
          </cell>
          <cell r="C542" t="str">
            <v>INT BONOS ORD SOC NO FIN TRADIN ESP     1ND</v>
          </cell>
        </row>
        <row r="543">
          <cell r="B543" t="str">
            <v>13080305000101</v>
          </cell>
          <cell r="C543" t="str">
            <v>REND ACC COMUNES EMPRESAS FINANCIERAS   1ND</v>
          </cell>
        </row>
        <row r="544">
          <cell r="B544" t="str">
            <v>13080307000103</v>
          </cell>
          <cell r="C544" t="str">
            <v>REND ACC COM DPV PJ DEL EXTERIOR        1ND</v>
          </cell>
        </row>
        <row r="545">
          <cell r="B545" t="str">
            <v>13080307000801</v>
          </cell>
          <cell r="C545" t="str">
            <v>PAN DIVIDENDOS RPI                      1ND</v>
          </cell>
        </row>
        <row r="546">
          <cell r="B546" t="str">
            <v>13080307000802</v>
          </cell>
          <cell r="C546" t="str">
            <v>PAN DIVIDENDOS RPS                      1ND</v>
          </cell>
        </row>
        <row r="547">
          <cell r="B547" t="str">
            <v>13080309000101</v>
          </cell>
          <cell r="C547" t="str">
            <v>REND ACC COM DPV HOLDING MATRIZ Y SUB   1ND</v>
          </cell>
        </row>
        <row r="548">
          <cell r="B548" t="str">
            <v>13080309000102</v>
          </cell>
          <cell r="C548" t="str">
            <v>RENDIMIENTO IFS - IDV                   1ND</v>
          </cell>
        </row>
        <row r="549">
          <cell r="B549" t="str">
            <v>13080309000801</v>
          </cell>
          <cell r="C549" t="str">
            <v>PAN-VALORES Y TITULOS EMITIDOS POR OTRAS1ND</v>
          </cell>
        </row>
        <row r="550">
          <cell r="B550" t="str">
            <v>13080401000106</v>
          </cell>
          <cell r="C550" t="str">
            <v>REND BONOS DE REACTIVACION-FOPE         1ND</v>
          </cell>
        </row>
        <row r="551">
          <cell r="B551" t="str">
            <v>13080401000108</v>
          </cell>
          <cell r="C551" t="str">
            <v>REND BONOS GLOBALES DISP PARA LA VTA    1ND</v>
          </cell>
        </row>
        <row r="552">
          <cell r="B552" t="str">
            <v>13080401000109</v>
          </cell>
          <cell r="C552" t="str">
            <v>REND BONOS DE REACTIVACION-RFA          1ND</v>
          </cell>
        </row>
        <row r="553">
          <cell r="B553" t="str">
            <v>13080401000111</v>
          </cell>
          <cell r="C553" t="str">
            <v>INT BONOS GLOBALES BRASIL               1ND</v>
          </cell>
        </row>
        <row r="554">
          <cell r="B554" t="str">
            <v>13080401000113</v>
          </cell>
          <cell r="C554" t="str">
            <v>REN BONOS GLOB GRADO DE INVERSION       1ND</v>
          </cell>
        </row>
        <row r="555">
          <cell r="B555" t="str">
            <v>13080401000114</v>
          </cell>
          <cell r="C555" t="str">
            <v>130804010001140000                      1ND</v>
          </cell>
        </row>
        <row r="556">
          <cell r="B556" t="str">
            <v>13080401000115</v>
          </cell>
          <cell r="C556" t="str">
            <v>130804010001150000                      1ND</v>
          </cell>
        </row>
        <row r="557">
          <cell r="B557" t="str">
            <v>13080401000116</v>
          </cell>
          <cell r="C557" t="str">
            <v>130804010001160000                      1ND</v>
          </cell>
        </row>
        <row r="558">
          <cell r="B558" t="str">
            <v>13080401000118</v>
          </cell>
          <cell r="C558" t="str">
            <v>130804010001180000                      1ND</v>
          </cell>
        </row>
        <row r="559">
          <cell r="B559" t="str">
            <v>13080401000119</v>
          </cell>
          <cell r="C559" t="str">
            <v>INT CORRIDOS US TREASURIES DPV ESP      1ND</v>
          </cell>
        </row>
        <row r="560">
          <cell r="B560" t="str">
            <v>13080401000120</v>
          </cell>
          <cell r="C560" t="str">
            <v>INT CORRIDOS US TREASURIES DPV EST      1ND</v>
          </cell>
        </row>
        <row r="561">
          <cell r="B561" t="str">
            <v>13080401000121</v>
          </cell>
          <cell r="C561" t="str">
            <v>INT BONOS GOB COLOMBIA DPV MESA         1ND</v>
          </cell>
        </row>
        <row r="562">
          <cell r="B562" t="str">
            <v>13080401000122</v>
          </cell>
          <cell r="C562" t="str">
            <v>INT BONOS GOB COLOMBIA DPV EST          1ND</v>
          </cell>
        </row>
        <row r="563">
          <cell r="B563" t="str">
            <v>13080401000123</v>
          </cell>
          <cell r="C563" t="str">
            <v>INT BONOS GOB MEXICO DPV MESA           1ND</v>
          </cell>
        </row>
        <row r="564">
          <cell r="B564" t="str">
            <v>13080401000124</v>
          </cell>
          <cell r="C564" t="str">
            <v>INT BONOS GOB MEXICO DPV EST            1ND</v>
          </cell>
        </row>
        <row r="565">
          <cell r="B565" t="str">
            <v>13080401000801</v>
          </cell>
          <cell r="C565" t="str">
            <v>PAN BONOS GLOBALES PERUANOS             1ND</v>
          </cell>
        </row>
        <row r="566">
          <cell r="B566" t="str">
            <v>13080401000802</v>
          </cell>
          <cell r="C566" t="str">
            <v>PAN BONOS GLOBALES BRASIL               1ND</v>
          </cell>
        </row>
        <row r="567">
          <cell r="B567" t="str">
            <v>13080402000101</v>
          </cell>
          <cell r="C567" t="str">
            <v>RENDTOS.DEV.- CDN BCRP                  1ND</v>
          </cell>
        </row>
        <row r="568">
          <cell r="B568" t="str">
            <v>13080402000104</v>
          </cell>
          <cell r="C568" t="str">
            <v>INTERESES CERTIFICADO DEP TAS VAR       1ND</v>
          </cell>
        </row>
        <row r="569">
          <cell r="B569" t="str">
            <v>13080403000102</v>
          </cell>
          <cell r="C569" t="str">
            <v>INT BONOS CAF                           1ND</v>
          </cell>
        </row>
        <row r="570">
          <cell r="B570" t="str">
            <v>13080403000103</v>
          </cell>
          <cell r="C570" t="str">
            <v>130804030001030000                      1ND</v>
          </cell>
        </row>
        <row r="571">
          <cell r="B571" t="str">
            <v>13080403000301</v>
          </cell>
          <cell r="C571" t="str">
            <v>RENDIMIENTO DEV BONOS CAF               1ND</v>
          </cell>
        </row>
        <row r="572">
          <cell r="B572" t="str">
            <v>13080403000801</v>
          </cell>
          <cell r="C572" t="str">
            <v>PAN INT BONOS CAF                       1ND</v>
          </cell>
        </row>
        <row r="573">
          <cell r="B573" t="str">
            <v>13080405000101</v>
          </cell>
          <cell r="C573" t="str">
            <v>INT BONOS SUBORDINADOS                  1ND</v>
          </cell>
        </row>
        <row r="574">
          <cell r="B574" t="str">
            <v>13080405000102</v>
          </cell>
          <cell r="C574" t="str">
            <v>REND DEV BAF EMPRESAS SIST FINANC       1ND</v>
          </cell>
        </row>
        <row r="575">
          <cell r="B575" t="str">
            <v>13080405000103</v>
          </cell>
          <cell r="C575" t="str">
            <v>REND DEV CDN EMP SIST FINANCIERO        1ND</v>
          </cell>
        </row>
        <row r="576">
          <cell r="B576" t="str">
            <v>13080405000104</v>
          </cell>
          <cell r="C576" t="str">
            <v>REND BONOS SUBORD IB                    1ND</v>
          </cell>
        </row>
        <row r="577">
          <cell r="B577" t="str">
            <v>13080405000105</v>
          </cell>
          <cell r="C577" t="str">
            <v>RENDIMIENTO BONOS HIPOTECARIOS IB       1ND</v>
          </cell>
        </row>
        <row r="578">
          <cell r="B578" t="str">
            <v>13080405000106</v>
          </cell>
          <cell r="C578" t="str">
            <v>REND BONOS CORPORATIVOS EMP SIST FINA   1ND</v>
          </cell>
        </row>
        <row r="579">
          <cell r="B579" t="str">
            <v>13080405000107</v>
          </cell>
          <cell r="C579" t="str">
            <v>RENDIMIENTO DEV BONOS DE TITULIZACIO    1ND</v>
          </cell>
        </row>
        <row r="580">
          <cell r="B580" t="str">
            <v>13080405000108</v>
          </cell>
          <cell r="C580" t="str">
            <v>RENDIMIENTOS BONOS ESTRUCTURADOS EMP.SF 1ND</v>
          </cell>
        </row>
        <row r="581">
          <cell r="B581" t="str">
            <v>13080405000109</v>
          </cell>
          <cell r="C581" t="str">
            <v>REND BONOS HIPOTECARIOS                 1ND</v>
          </cell>
        </row>
        <row r="582">
          <cell r="B582" t="str">
            <v>13080405000110</v>
          </cell>
          <cell r="C582" t="str">
            <v>INTERESES BONOS ESTRUCTURADOS EMP       1ND</v>
          </cell>
        </row>
        <row r="583">
          <cell r="B583" t="str">
            <v>13080405000111</v>
          </cell>
          <cell r="C583" t="str">
            <v>INT CORRIDOS BONOS CORP SIST FIN DPV EST1ND</v>
          </cell>
        </row>
        <row r="584">
          <cell r="B584" t="str">
            <v>13080405000112</v>
          </cell>
          <cell r="C584" t="str">
            <v>130804050001120000                      1ND</v>
          </cell>
        </row>
        <row r="585">
          <cell r="B585" t="str">
            <v>13080405000113</v>
          </cell>
          <cell r="C585" t="str">
            <v>INT BONOS CORP SIST FIN COLOMBIA DPV MES1ND</v>
          </cell>
        </row>
        <row r="586">
          <cell r="B586" t="str">
            <v>13080405000114</v>
          </cell>
          <cell r="C586" t="str">
            <v>INT BONOS CORP SIST FIN COLOMBIA DPV EST1ND</v>
          </cell>
        </row>
        <row r="587">
          <cell r="B587" t="str">
            <v>13080405000801</v>
          </cell>
          <cell r="C587" t="str">
            <v>PAN NOTAS ESTRUCT BONOS ESTRUCTURADOS   1ND</v>
          </cell>
        </row>
        <row r="588">
          <cell r="B588" t="str">
            <v>13080407000101</v>
          </cell>
          <cell r="C588" t="str">
            <v>RENDTOS.DEV.BONOS ORD. - SOC.NO FINANCIE1ND</v>
          </cell>
        </row>
        <row r="589">
          <cell r="B589" t="str">
            <v>13080407000104</v>
          </cell>
          <cell r="C589" t="str">
            <v>INT BONOS CORP DPV EST                  1ND</v>
          </cell>
        </row>
        <row r="590">
          <cell r="B590" t="str">
            <v>13080407000105</v>
          </cell>
          <cell r="C590" t="str">
            <v>130804070001050000                      1ND</v>
          </cell>
        </row>
        <row r="591">
          <cell r="B591" t="str">
            <v>13080418000208</v>
          </cell>
          <cell r="C591" t="str">
            <v>130804180002080000                      1ND</v>
          </cell>
        </row>
        <row r="592">
          <cell r="B592" t="str">
            <v>13080418000209</v>
          </cell>
          <cell r="C592" t="str">
            <v>REND BONOS SOBERANOS CARTERA RESTRINGIDA1ND</v>
          </cell>
        </row>
        <row r="593">
          <cell r="B593" t="str">
            <v>13080501000103</v>
          </cell>
          <cell r="C593" t="str">
            <v>REND BONOS GLOBALES A VCTO              1ND</v>
          </cell>
        </row>
        <row r="594">
          <cell r="B594" t="str">
            <v>13080518000203</v>
          </cell>
          <cell r="C594" t="str">
            <v>RENDTOS BONOS GLOBALES-PACTO            1ND</v>
          </cell>
        </row>
        <row r="595">
          <cell r="B595" t="str">
            <v>13090305010101</v>
          </cell>
          <cell r="C595" t="str">
            <v>BL PROV SOCIEDADES FINANCIERAS          1ND</v>
          </cell>
        </row>
        <row r="596">
          <cell r="B596" t="str">
            <v>13090306010101</v>
          </cell>
          <cell r="C596" t="str">
            <v>PROV.FLUCT.ACCIONES - EMP.ASEGURADORAS  1ND</v>
          </cell>
        </row>
        <row r="597">
          <cell r="B597" t="str">
            <v>13090307010101</v>
          </cell>
          <cell r="C597" t="str">
            <v>PROV.ACC COMUNES - SOC.NO FINANCIERAS   1ND</v>
          </cell>
        </row>
        <row r="598">
          <cell r="B598" t="str">
            <v>13090307020101</v>
          </cell>
          <cell r="C598" t="str">
            <v>PROV.ACC.DE INVERSION - SOC.NO FINANCIER1ND</v>
          </cell>
        </row>
        <row r="599">
          <cell r="B599" t="str">
            <v>13090313020104</v>
          </cell>
          <cell r="C599" t="str">
            <v>PERD. VALORIZ INV. TEXTIL SAN CRISTOB   1ND</v>
          </cell>
        </row>
        <row r="600">
          <cell r="B600" t="str">
            <v>13090313020105</v>
          </cell>
          <cell r="C600" t="str">
            <v>PERD. VALORIZ. INV. SOC.MINERA AUSTRI   1ND</v>
          </cell>
        </row>
        <row r="601">
          <cell r="B601" t="str">
            <v>13090401010101</v>
          </cell>
          <cell r="C601" t="str">
            <v>PROV. REPRESENTACION DEUDA PAIS         1ND</v>
          </cell>
        </row>
        <row r="602">
          <cell r="B602" t="str">
            <v>13090402000101</v>
          </cell>
          <cell r="C602" t="str">
            <v>PROV. BANCOS CENTRALES                  1ND</v>
          </cell>
        </row>
        <row r="603">
          <cell r="B603" t="str">
            <v>13090403000101</v>
          </cell>
          <cell r="C603" t="str">
            <v>PROV. COFIDE                            1ND</v>
          </cell>
        </row>
        <row r="604">
          <cell r="B604" t="str">
            <v>13090403000102</v>
          </cell>
          <cell r="C604" t="str">
            <v>PROV. ORGA FINANCIEROS INTERNACIONALE   1ND</v>
          </cell>
        </row>
        <row r="605">
          <cell r="B605" t="str">
            <v>13090405060101</v>
          </cell>
          <cell r="C605" t="str">
            <v>PROV. BONOS HIPOTECARIOS                1ND</v>
          </cell>
        </row>
        <row r="606">
          <cell r="B606" t="str">
            <v>13090405070101</v>
          </cell>
          <cell r="C606" t="str">
            <v>PROV BAF EMPRESAS SISTEMA FINA          1ND</v>
          </cell>
        </row>
        <row r="607">
          <cell r="B607" t="str">
            <v>13090405080101</v>
          </cell>
          <cell r="C607" t="str">
            <v>PROV. EMI ESF BONOS ORDINARIOS          1ND</v>
          </cell>
        </row>
        <row r="608">
          <cell r="B608" t="str">
            <v>13090405100101</v>
          </cell>
          <cell r="C608" t="str">
            <v>PROV. CERTIFICADOS BANCARIOS            1ND</v>
          </cell>
        </row>
        <row r="609">
          <cell r="B609" t="str">
            <v>13090407080101</v>
          </cell>
          <cell r="C609" t="str">
            <v>PROV.BONOS ORD.- SOC.NO FINANCIERAS     1ND</v>
          </cell>
        </row>
        <row r="610">
          <cell r="B610" t="str">
            <v>13090407080102</v>
          </cell>
          <cell r="C610" t="str">
            <v>PROV.BONOS AJEPER                       1ND</v>
          </cell>
        </row>
        <row r="611">
          <cell r="B611" t="str">
            <v>13090418020101</v>
          </cell>
          <cell r="C611" t="str">
            <v>PROV.CDN BCRP - PACTOS DE RECOMPRA      1ND</v>
          </cell>
        </row>
        <row r="612">
          <cell r="B612" t="str">
            <v>14010101000101</v>
          </cell>
          <cell r="C612" t="str">
            <v>CTA.CTE DEUDORA PJ                      1ND</v>
          </cell>
        </row>
        <row r="613">
          <cell r="B613" t="str">
            <v>14010101000103</v>
          </cell>
          <cell r="C613" t="str">
            <v>BL AVANCE CTA.CTE. PJ-BL                1ND</v>
          </cell>
        </row>
        <row r="614">
          <cell r="B614" t="str">
            <v>14010101000104</v>
          </cell>
          <cell r="C614" t="str">
            <v>AVANCE CTA CTE PJ S/F LUCRO             1ND</v>
          </cell>
        </row>
        <row r="615">
          <cell r="B615" t="str">
            <v>14010101000105</v>
          </cell>
          <cell r="C615" t="str">
            <v>LPC AVANCE EN CTA CTE COMERCIAL         1ND</v>
          </cell>
        </row>
        <row r="616">
          <cell r="B616" t="str">
            <v>14010102010101</v>
          </cell>
          <cell r="C616" t="str">
            <v>TC VISA COMERCIAL COLOC.DISP.EFECTIVO   1ND</v>
          </cell>
        </row>
        <row r="617">
          <cell r="B617" t="str">
            <v>14010102010102</v>
          </cell>
          <cell r="C617" t="str">
            <v>TC MASTERCARD COMERCIAL. COLOC. DISP.   1ND</v>
          </cell>
        </row>
        <row r="618">
          <cell r="B618" t="str">
            <v>14010102020101</v>
          </cell>
          <cell r="C618" t="str">
            <v>TC VISA COMERCIAL COLOC.COMPRAS         1ND</v>
          </cell>
        </row>
        <row r="619">
          <cell r="B619" t="str">
            <v>14010102020102</v>
          </cell>
          <cell r="C619" t="str">
            <v>TC MASTERCARD COMERCIAL. COLOC. COMPRAS 1ND</v>
          </cell>
        </row>
        <row r="620">
          <cell r="B620" t="str">
            <v>14010104000102</v>
          </cell>
          <cell r="C620" t="str">
            <v>SOBREGIROS EN CTA CTE PJ                1ND</v>
          </cell>
        </row>
        <row r="621">
          <cell r="B621" t="str">
            <v>14010104000103</v>
          </cell>
          <cell r="C621" t="str">
            <v>BL SOBREGIROS CTA.CTE.PJ-BL             1ND</v>
          </cell>
        </row>
        <row r="622">
          <cell r="B622" t="str">
            <v>14010104000104</v>
          </cell>
          <cell r="C622" t="str">
            <v>CTAS CTES DEUDOR SOBREG PJ S/F LUCRO    1ND</v>
          </cell>
        </row>
        <row r="623">
          <cell r="B623" t="str">
            <v>14010104000106</v>
          </cell>
          <cell r="C623" t="str">
            <v>CTAS CTE DEUDORAS CAST CH S/F PN        1ND</v>
          </cell>
        </row>
        <row r="624">
          <cell r="B624" t="str">
            <v>14010104000107</v>
          </cell>
          <cell r="C624" t="str">
            <v>CTAS CTE DEUDORAS CAST CH S/F PJ        1ND</v>
          </cell>
        </row>
        <row r="625">
          <cell r="B625" t="str">
            <v>14010105000103</v>
          </cell>
          <cell r="C625" t="str">
            <v>BL PAG VIG EN DSCTO CL                  1ND</v>
          </cell>
        </row>
        <row r="626">
          <cell r="B626" t="str">
            <v>14010105000104</v>
          </cell>
          <cell r="C626" t="str">
            <v>BL LETRAS EN DSCTO CP PR                1ND</v>
          </cell>
        </row>
        <row r="627">
          <cell r="B627" t="str">
            <v>14010105010101</v>
          </cell>
          <cell r="C627" t="str">
            <v>CL PAG.TASA DESCONTADA VIG              1ND</v>
          </cell>
        </row>
        <row r="628">
          <cell r="B628" t="str">
            <v>14010105010102</v>
          </cell>
          <cell r="C628" t="str">
            <v>CL D/P PAG.TASA DSCTDA.VIG              1ND</v>
          </cell>
        </row>
        <row r="629">
          <cell r="B629" t="str">
            <v>14010105020101</v>
          </cell>
          <cell r="C629" t="str">
            <v>PR LETR./FACT.DSCTO.VIG                 1ND</v>
          </cell>
        </row>
        <row r="630">
          <cell r="B630" t="str">
            <v>14010105020102</v>
          </cell>
          <cell r="C630" t="str">
            <v>PR D/P LETRAS DSCTO. VIG                1ND</v>
          </cell>
        </row>
        <row r="631">
          <cell r="B631" t="str">
            <v>14010105020103</v>
          </cell>
          <cell r="C631" t="str">
            <v>PR DSCTO ELECTR SM PERUANOS VIG         1ND</v>
          </cell>
        </row>
        <row r="632">
          <cell r="B632" t="str">
            <v>14010106000101</v>
          </cell>
          <cell r="C632" t="str">
            <v>CL PAG.TASA VENCIDA VIGENTE             1ND</v>
          </cell>
        </row>
        <row r="633">
          <cell r="B633" t="str">
            <v>14010106000105</v>
          </cell>
          <cell r="C633" t="str">
            <v>LPC PRI PAG.COFIDE VAC VIG VN           1ND</v>
          </cell>
        </row>
        <row r="634">
          <cell r="B634" t="str">
            <v>14010106000108</v>
          </cell>
          <cell r="C634" t="str">
            <v>CL P.T.VENCIDA COFIDE VIG               1ND</v>
          </cell>
        </row>
        <row r="635">
          <cell r="B635" t="str">
            <v>14010106000120</v>
          </cell>
          <cell r="C635" t="str">
            <v>BL PAGARE TASA VENCIDA -CL              1ND</v>
          </cell>
        </row>
        <row r="636">
          <cell r="B636" t="str">
            <v>14010106000123</v>
          </cell>
          <cell r="C636" t="str">
            <v>LPC PRX P.OTRO SUS.VAC INDX.VIG         1ND</v>
          </cell>
        </row>
        <row r="637">
          <cell r="B637" t="str">
            <v>14010106000124</v>
          </cell>
          <cell r="C637" t="str">
            <v>LPC PRX PAG.COFIDE VAC VIG INDX.        1ND</v>
          </cell>
        </row>
        <row r="638">
          <cell r="B638" t="str">
            <v>14010106000125</v>
          </cell>
          <cell r="C638" t="str">
            <v>CL D/P PAG.TASA VENCIDA VIGENTE         1ND</v>
          </cell>
        </row>
        <row r="639">
          <cell r="B639" t="str">
            <v>14010106000134</v>
          </cell>
          <cell r="C639" t="str">
            <v>LPC PAG.TASA VENCIDA VIG                1ND</v>
          </cell>
        </row>
        <row r="640">
          <cell r="B640" t="str">
            <v>14010106000135</v>
          </cell>
          <cell r="C640" t="str">
            <v>LPC PAGARE TASA VENCIDA D/P VIG.        1ND</v>
          </cell>
        </row>
        <row r="641">
          <cell r="B641" t="str">
            <v>14010106000138</v>
          </cell>
          <cell r="C641" t="str">
            <v>CL P.T.V.OTROS SUSPENSO VIG             1ND</v>
          </cell>
        </row>
        <row r="642">
          <cell r="B642" t="str">
            <v>14010106000141</v>
          </cell>
          <cell r="C642" t="str">
            <v>LPC P.TV OTROS SUSPENSO VIG.            1ND</v>
          </cell>
        </row>
        <row r="643">
          <cell r="B643" t="str">
            <v>14010106000145</v>
          </cell>
          <cell r="C643" t="str">
            <v>LPC PRI P.OTROS SUSP.VAC VN VIG         1ND</v>
          </cell>
        </row>
        <row r="644">
          <cell r="B644" t="str">
            <v>14010106010101</v>
          </cell>
          <cell r="C644" t="str">
            <v>CL PAG.TV REVOLVENTE VIG                1ND</v>
          </cell>
        </row>
        <row r="645">
          <cell r="B645" t="str">
            <v>14010106010104</v>
          </cell>
          <cell r="C645" t="str">
            <v>CL P.TV NEG.INMOB.REVOLV VIG            1ND</v>
          </cell>
        </row>
        <row r="646">
          <cell r="B646" t="str">
            <v>14010106010105</v>
          </cell>
          <cell r="C646" t="str">
            <v>CL P.TV REC.COFIDE REVOL VI             1ND</v>
          </cell>
        </row>
        <row r="647">
          <cell r="B647" t="str">
            <v>14010106010108</v>
          </cell>
          <cell r="C647" t="str">
            <v>LPC PAG.TV REVOLV VIG                   1ND</v>
          </cell>
        </row>
        <row r="648">
          <cell r="B648" t="str">
            <v>14010106010109</v>
          </cell>
          <cell r="C648" t="str">
            <v>LPC PAG.TV D/P REVOLV VIG               1ND</v>
          </cell>
        </row>
        <row r="649">
          <cell r="B649" t="str">
            <v>14010106010110</v>
          </cell>
          <cell r="C649" t="str">
            <v>LPC P.TV OTRS SUSP.REVOL VIG            1ND</v>
          </cell>
        </row>
        <row r="650">
          <cell r="B650" t="str">
            <v>14010106010113</v>
          </cell>
          <cell r="C650" t="str">
            <v>MYP C LINEA REVOLVENTE VIG              1ND</v>
          </cell>
        </row>
        <row r="651">
          <cell r="B651" t="str">
            <v>14010106010114</v>
          </cell>
          <cell r="C651" t="str">
            <v>MYP D/P C LINEA REVOLVENTE VIG          1ND</v>
          </cell>
        </row>
        <row r="652">
          <cell r="B652" t="str">
            <v>14010106010201</v>
          </cell>
          <cell r="C652" t="str">
            <v>LPC SISMO PAG TV REVOL VIG1200140101    1ND</v>
          </cell>
        </row>
        <row r="653">
          <cell r="B653" t="str">
            <v>14010106010202</v>
          </cell>
          <cell r="C653" t="str">
            <v>LPC P.TV NEG.INMOB.REVOLV VIG           1ND</v>
          </cell>
        </row>
        <row r="654">
          <cell r="B654" t="str">
            <v>14010106020105</v>
          </cell>
          <cell r="C654" t="str">
            <v>MYP C.CAP.VIG.FIN. CAP.TRAB.            1ND</v>
          </cell>
        </row>
        <row r="655">
          <cell r="B655" t="str">
            <v>14010106020106</v>
          </cell>
          <cell r="C655" t="str">
            <v>MYP D/P C CAP VIG FIN.CAP.TRAB          1ND</v>
          </cell>
        </row>
        <row r="656">
          <cell r="B656" t="str">
            <v>14010106020107</v>
          </cell>
          <cell r="C656" t="str">
            <v>MYP C CAP.VIG.FIN. COMPRA. AF.          1ND</v>
          </cell>
        </row>
        <row r="657">
          <cell r="B657" t="str">
            <v>14010106020108</v>
          </cell>
          <cell r="C657" t="str">
            <v>MYP D/P C CAP VIG FIN.COMPRA. AF.       1ND</v>
          </cell>
        </row>
        <row r="658">
          <cell r="B658" t="str">
            <v>14010106020109</v>
          </cell>
          <cell r="C658" t="str">
            <v>MYP C CAP.VIG.FIN. CRED. PARAL.         1ND</v>
          </cell>
        </row>
        <row r="659">
          <cell r="B659" t="str">
            <v>14010106020111</v>
          </cell>
          <cell r="C659" t="str">
            <v>MYP CAP.VIG. FIN. COMPRA DE DEUDA CAP   1ND</v>
          </cell>
        </row>
        <row r="660">
          <cell r="B660" t="str">
            <v>14010106020112</v>
          </cell>
          <cell r="C660" t="str">
            <v>MYP D/P CAP VIG FIN. COMPRA DE D        1ND</v>
          </cell>
        </row>
        <row r="661">
          <cell r="B661" t="str">
            <v>14010106020113</v>
          </cell>
          <cell r="C661" t="str">
            <v>MYP C.CAP.VIG.TRANSP PUBLICO CAP T      1ND</v>
          </cell>
        </row>
        <row r="662">
          <cell r="B662" t="str">
            <v>14010106020114</v>
          </cell>
          <cell r="C662" t="str">
            <v>MYP D/P C CAP VIG TRANSP PUBLICO CAP    1ND</v>
          </cell>
        </row>
        <row r="663">
          <cell r="B663" t="str">
            <v>14010106020115</v>
          </cell>
          <cell r="C663" t="str">
            <v>MYP E.R.C.CAP.VIG.FIN.CAP.TRAB          1ND</v>
          </cell>
        </row>
        <row r="664">
          <cell r="B664" t="str">
            <v>14010106090101</v>
          </cell>
          <cell r="C664" t="str">
            <v>CL PAG.TV NO REVOLVENTE VIG             1ND</v>
          </cell>
        </row>
        <row r="665">
          <cell r="B665" t="str">
            <v>14010106090102</v>
          </cell>
          <cell r="C665" t="str">
            <v>CL PAG.TV D/P NO REVOLVENTE VIG         1ND</v>
          </cell>
        </row>
        <row r="666">
          <cell r="B666" t="str">
            <v>14010106090103</v>
          </cell>
          <cell r="C666" t="str">
            <v>CL P.TV OTROS SUSP.NO REVOL VI          1ND</v>
          </cell>
        </row>
        <row r="667">
          <cell r="B667" t="str">
            <v>14010106090104</v>
          </cell>
          <cell r="C667" t="str">
            <v>CL P.TV NEG.INMOB.NO REVOL VIG          1ND</v>
          </cell>
        </row>
        <row r="668">
          <cell r="B668" t="str">
            <v>14010106090105</v>
          </cell>
          <cell r="C668" t="str">
            <v>CL P.TV REC.COFIDE NO REVOL VI          1ND</v>
          </cell>
        </row>
        <row r="669">
          <cell r="B669" t="str">
            <v>14010106090108</v>
          </cell>
          <cell r="C669" t="str">
            <v>LPC PAG.TV NO REVOLV VIG                1ND</v>
          </cell>
        </row>
        <row r="670">
          <cell r="B670" t="str">
            <v>14010106090109</v>
          </cell>
          <cell r="C670" t="str">
            <v>LPC PAG.TV D/P NO REVOLV VIG            1ND</v>
          </cell>
        </row>
        <row r="671">
          <cell r="B671" t="str">
            <v>14010106090110</v>
          </cell>
          <cell r="C671" t="str">
            <v>LPC P.TV OTRS SUSP.NO REVOL VIG         1ND</v>
          </cell>
        </row>
        <row r="672">
          <cell r="B672" t="str">
            <v>14010106090111</v>
          </cell>
          <cell r="C672" t="str">
            <v>LPC P.TV REC.COFIDE NO REVOL VIG        1ND</v>
          </cell>
        </row>
        <row r="673">
          <cell r="B673" t="str">
            <v>14010106090201</v>
          </cell>
          <cell r="C673" t="str">
            <v>LPC SISMO PAG TV NO REVOL VIG           1ND</v>
          </cell>
        </row>
        <row r="674">
          <cell r="B674" t="str">
            <v>14010106090202</v>
          </cell>
          <cell r="C674" t="str">
            <v>LPC P.TV NEG.INMOB.NO REVOL VIG         1ND</v>
          </cell>
        </row>
        <row r="675">
          <cell r="B675" t="str">
            <v>14010110000101</v>
          </cell>
          <cell r="C675" t="str">
            <v>PR LETRAS FACTORING VIG                 1ND</v>
          </cell>
        </row>
        <row r="676">
          <cell r="B676" t="str">
            <v>14010110000102</v>
          </cell>
          <cell r="C676" t="str">
            <v>PR FACTORING FACTURA VIGENTE            1ND</v>
          </cell>
        </row>
        <row r="677">
          <cell r="B677" t="str">
            <v>14010110000103</v>
          </cell>
          <cell r="C677" t="str">
            <v>PR LET.FACTORING TITULIZ.VIG            1ND</v>
          </cell>
        </row>
        <row r="678">
          <cell r="B678" t="str">
            <v>14010110000105</v>
          </cell>
          <cell r="C678" t="str">
            <v>BL FACTORING VIG PR                     1ND</v>
          </cell>
        </row>
        <row r="679">
          <cell r="B679" t="str">
            <v>14010110000106</v>
          </cell>
          <cell r="C679" t="str">
            <v>PR FACT ELECTR LET.FACT VIG             1ND</v>
          </cell>
        </row>
        <row r="680">
          <cell r="B680" t="str">
            <v>14010110000107</v>
          </cell>
          <cell r="C680" t="str">
            <v>PR. FACTORING INTEL VIGENTE             1ND</v>
          </cell>
        </row>
        <row r="681">
          <cell r="B681" t="str">
            <v>14010111000111</v>
          </cell>
          <cell r="C681" t="str">
            <v>LPC PRI LEASING EN PROCESO              1ND</v>
          </cell>
        </row>
        <row r="682">
          <cell r="B682" t="str">
            <v>14010111000112</v>
          </cell>
          <cell r="C682" t="str">
            <v>LPC PRI LS BIEN RP CAPITAL VIG          1ND</v>
          </cell>
        </row>
        <row r="683">
          <cell r="B683" t="str">
            <v>14010111000113</v>
          </cell>
          <cell r="C683" t="str">
            <v>LPC PDL LS BIEN RP INT.DIFE.VIG         1ND</v>
          </cell>
        </row>
        <row r="684">
          <cell r="B684" t="str">
            <v>14010111000114</v>
          </cell>
          <cell r="C684" t="str">
            <v>LPC PSG LS BIEN RP CIA SEG VIG          1ND</v>
          </cell>
        </row>
        <row r="685">
          <cell r="B685" t="str">
            <v>14010111000115</v>
          </cell>
          <cell r="C685" t="str">
            <v>LPC PDS LS BIEN RP INT.SEG VIG          1ND</v>
          </cell>
        </row>
        <row r="686">
          <cell r="B686" t="str">
            <v>14010111000116</v>
          </cell>
          <cell r="C686" t="str">
            <v>LPC PIG LS BIEN RP IGV VIG              1ND</v>
          </cell>
        </row>
        <row r="687">
          <cell r="B687" t="str">
            <v>14010111000117</v>
          </cell>
          <cell r="C687" t="str">
            <v>LPC PRI LS BIEN D/P CAPITAL VIG         1ND</v>
          </cell>
        </row>
        <row r="688">
          <cell r="B688" t="str">
            <v>14010111000118</v>
          </cell>
          <cell r="C688" t="str">
            <v>LPC PDL LS BIEN D/P INT.DIFE VIG        1ND</v>
          </cell>
        </row>
        <row r="689">
          <cell r="B689" t="str">
            <v>14010111000119</v>
          </cell>
          <cell r="C689" t="str">
            <v>LPC PSG LS BIEN D/P CIA.SEG VIG         1ND</v>
          </cell>
        </row>
        <row r="690">
          <cell r="B690" t="str">
            <v>14010111000120</v>
          </cell>
          <cell r="C690" t="str">
            <v>LPC PDS LS BIEN D/P INT.SEG VIG         1ND</v>
          </cell>
        </row>
        <row r="691">
          <cell r="B691" t="str">
            <v>14010111000121</v>
          </cell>
          <cell r="C691" t="str">
            <v>LPC PIG LS BIEN D/P IGV VIG             1ND</v>
          </cell>
        </row>
        <row r="692">
          <cell r="B692" t="str">
            <v>14010111000132</v>
          </cell>
          <cell r="C692" t="str">
            <v>LPC PRI LS BIEN ADJU.CAPITAL VIG        1ND</v>
          </cell>
        </row>
        <row r="693">
          <cell r="B693" t="str">
            <v>14010111000133</v>
          </cell>
          <cell r="C693" t="str">
            <v>LPC PDL LS BIEN ADJU.INT.DIF VIG        1ND</v>
          </cell>
        </row>
        <row r="694">
          <cell r="B694" t="str">
            <v>14010111000134</v>
          </cell>
          <cell r="C694" t="str">
            <v>LPC PDS LS BIEN ADJU.INT.SEG VIG        1ND</v>
          </cell>
        </row>
        <row r="695">
          <cell r="B695" t="str">
            <v>14010111000135</v>
          </cell>
          <cell r="C695" t="str">
            <v>LPC PSG LS BIEN ADJU.CIA SEG VIG        1ND</v>
          </cell>
        </row>
        <row r="696">
          <cell r="B696" t="str">
            <v>14010111000136</v>
          </cell>
          <cell r="C696" t="str">
            <v>LPC PIG LS BIEN ADJU. IGV VIG           1ND</v>
          </cell>
        </row>
        <row r="697">
          <cell r="B697" t="str">
            <v>14010111000137</v>
          </cell>
          <cell r="C697" t="str">
            <v>LPC LCG BIEN ADJUD DIFOS D/P            1ND</v>
          </cell>
        </row>
        <row r="698">
          <cell r="B698" t="str">
            <v>14010111000150</v>
          </cell>
          <cell r="C698" t="str">
            <v>LPC PRI LS BIEN BPE CAPITAL VIG         1ND</v>
          </cell>
        </row>
        <row r="699">
          <cell r="B699" t="str">
            <v>14010111000151</v>
          </cell>
          <cell r="C699" t="str">
            <v>LPC PDL LS BIEN BPE INT.DIFE.VIG        1ND</v>
          </cell>
        </row>
        <row r="700">
          <cell r="B700" t="str">
            <v>14010111000152</v>
          </cell>
          <cell r="C700" t="str">
            <v>LPC PSG LS BIEN BPE CIA SEG VIG         1ND</v>
          </cell>
        </row>
        <row r="701">
          <cell r="B701" t="str">
            <v>14010111000153</v>
          </cell>
          <cell r="C701" t="str">
            <v>LPC PDS LS BIEN BPE INT.SEG VIG         1ND</v>
          </cell>
        </row>
        <row r="702">
          <cell r="B702" t="str">
            <v>14010111000154</v>
          </cell>
          <cell r="C702" t="str">
            <v>LPC PIG LS BIEN BPE IGV VIG             1ND</v>
          </cell>
        </row>
        <row r="703">
          <cell r="B703" t="str">
            <v>14010111000155</v>
          </cell>
          <cell r="C703" t="str">
            <v>LPC PRI LS DEL BIEN D/P BPE LPC         1ND</v>
          </cell>
        </row>
        <row r="704">
          <cell r="B704" t="str">
            <v>14010111000156</v>
          </cell>
          <cell r="C704" t="str">
            <v>LPC LS DEL BIEN D/P INT DIF.BPE         1ND</v>
          </cell>
        </row>
        <row r="705">
          <cell r="B705" t="str">
            <v>14010111000157</v>
          </cell>
          <cell r="C705" t="str">
            <v>LPC LEASING D/P SEG BPE                 1ND</v>
          </cell>
        </row>
        <row r="706">
          <cell r="B706" t="str">
            <v>14010111000158</v>
          </cell>
          <cell r="C706" t="str">
            <v>LPC PDS LS B.D/P INT.SEG VIG BPE        1ND</v>
          </cell>
        </row>
        <row r="707">
          <cell r="B707" t="str">
            <v>14010111000159</v>
          </cell>
          <cell r="C707" t="str">
            <v>LPC LS DEL BIEN D/P IGV BPE LPC         1ND</v>
          </cell>
        </row>
        <row r="708">
          <cell r="B708" t="str">
            <v>14010111000201</v>
          </cell>
          <cell r="C708" t="str">
            <v>LPC SISMO PDL LSG INT DIF VIG           1ND</v>
          </cell>
        </row>
        <row r="709">
          <cell r="B709" t="str">
            <v>14010111000202</v>
          </cell>
          <cell r="C709" t="str">
            <v>LPC SISM PDS LSG INT DIF SEG VIG        1ND</v>
          </cell>
        </row>
        <row r="710">
          <cell r="B710" t="str">
            <v>14010111000203</v>
          </cell>
          <cell r="C710" t="str">
            <v>LPC SISM PSG LSG PRIMA SEG VIG          1ND</v>
          </cell>
        </row>
        <row r="711">
          <cell r="B711" t="str">
            <v>14010111000204</v>
          </cell>
          <cell r="C711" t="str">
            <v>LPC SISM PRI LEASING VIGENTE            1ND</v>
          </cell>
        </row>
        <row r="712">
          <cell r="B712" t="str">
            <v>14010111000205</v>
          </cell>
          <cell r="C712" t="str">
            <v>LPC SISM PIG LEASING IGV VIGENTE        1ND</v>
          </cell>
        </row>
        <row r="713">
          <cell r="B713" t="str">
            <v>14010112000101</v>
          </cell>
          <cell r="C713" t="str">
            <v>LPC PRI LEASEBACK DEL BIEN RP           1ND</v>
          </cell>
        </row>
        <row r="714">
          <cell r="B714" t="str">
            <v>14010112000102</v>
          </cell>
          <cell r="C714" t="str">
            <v>LPC PDL LEASEBACK DEL BIEN INT DIFER    1ND</v>
          </cell>
        </row>
        <row r="715">
          <cell r="B715" t="str">
            <v>14010112000103</v>
          </cell>
          <cell r="C715" t="str">
            <v>LPC PSG LSBACK BIEN CIA.SEG             1ND</v>
          </cell>
        </row>
        <row r="716">
          <cell r="B716" t="str">
            <v>14010112000104</v>
          </cell>
          <cell r="C716" t="str">
            <v>LPC PDS LSBACK BIEN INT.SEG VIG         1ND</v>
          </cell>
        </row>
        <row r="717">
          <cell r="B717" t="str">
            <v>14010112000105</v>
          </cell>
          <cell r="C717" t="str">
            <v>LEASEBACK IGV RP LPC                    1ND</v>
          </cell>
        </row>
        <row r="718">
          <cell r="B718" t="str">
            <v>14010112000106</v>
          </cell>
          <cell r="C718" t="str">
            <v>LPC PRI LSBACK BIEN D/P CAPI.VIG        1ND</v>
          </cell>
        </row>
        <row r="719">
          <cell r="B719" t="str">
            <v>14010112000107</v>
          </cell>
          <cell r="C719" t="str">
            <v>LPC PDL LSBACK BIEN D/P DIFE.VIG        1ND</v>
          </cell>
        </row>
        <row r="720">
          <cell r="B720" t="str">
            <v>14010112000110</v>
          </cell>
          <cell r="C720" t="str">
            <v>LPC PIG LSBACK BIEN D/P IGV VIG         1ND</v>
          </cell>
        </row>
        <row r="721">
          <cell r="B721" t="str">
            <v>14010112000111</v>
          </cell>
          <cell r="C721" t="str">
            <v>LPC PDL LSBACK OTRO SUS.DIF.VIG         1ND</v>
          </cell>
        </row>
        <row r="722">
          <cell r="B722" t="str">
            <v>14010112000114</v>
          </cell>
          <cell r="C722" t="str">
            <v>LPC PRI LSBACK OTRO.SUS.CAPI VIG        1ND</v>
          </cell>
        </row>
        <row r="723">
          <cell r="B723" t="str">
            <v>14010114000101</v>
          </cell>
          <cell r="C723" t="str">
            <v>CL PAG.DEUD.VTA CARTERA VIG.            1ND</v>
          </cell>
        </row>
        <row r="724">
          <cell r="B724" t="str">
            <v>14010114000102</v>
          </cell>
          <cell r="C724" t="str">
            <v>LPC PAG.DEUD.POR VTA.CARTERA VIG        1ND</v>
          </cell>
        </row>
        <row r="725">
          <cell r="B725" t="str">
            <v>14010115000102</v>
          </cell>
          <cell r="C725" t="str">
            <v>CL P.VTA.BIENES ADJUDICADOS VIG         1ND</v>
          </cell>
        </row>
        <row r="726">
          <cell r="B726" t="str">
            <v>14010115000106</v>
          </cell>
          <cell r="C726" t="str">
            <v>LPC PAG TV. B.ADJUD.VIG                 1ND</v>
          </cell>
        </row>
        <row r="727">
          <cell r="B727" t="str">
            <v>14010116010128</v>
          </cell>
          <cell r="C727" t="str">
            <v>LPC CORP.FINANC.DESAR.-COFIDE           1 D</v>
          </cell>
        </row>
        <row r="728">
          <cell r="B728" t="str">
            <v>14010116010129</v>
          </cell>
          <cell r="C728" t="str">
            <v>LPC MI BANCO VIGENTE                    1ND</v>
          </cell>
        </row>
        <row r="729">
          <cell r="B729" t="str">
            <v>14010116010131</v>
          </cell>
          <cell r="C729" t="str">
            <v>LPC BANCO AGROPECUARIO VIG              1 D</v>
          </cell>
        </row>
        <row r="730">
          <cell r="B730" t="str">
            <v>14010116010133</v>
          </cell>
          <cell r="C730" t="str">
            <v>LPC BANCO FALABELLA VIGENTE             1ND</v>
          </cell>
        </row>
        <row r="731">
          <cell r="B731" t="str">
            <v>14010116010135</v>
          </cell>
          <cell r="C731" t="str">
            <v>BANCO RIPLEY S.A.                       1ND</v>
          </cell>
        </row>
        <row r="732">
          <cell r="B732" t="str">
            <v>14010116010206</v>
          </cell>
          <cell r="C732" t="str">
            <v>LPC FINANCIERA CMR VIGENTE              1ND</v>
          </cell>
        </row>
        <row r="733">
          <cell r="B733" t="str">
            <v>14010116010207</v>
          </cell>
          <cell r="C733" t="str">
            <v>LPC FINANC TFC (VOLVO FINAN) VIG        1ND</v>
          </cell>
        </row>
        <row r="734">
          <cell r="B734" t="str">
            <v>14010116010209</v>
          </cell>
          <cell r="C734" t="str">
            <v>FINANCIERA EDYFICAR S.A                 1ND</v>
          </cell>
        </row>
        <row r="735">
          <cell r="B735" t="str">
            <v>14010116010211</v>
          </cell>
          <cell r="C735" t="str">
            <v>FINANCIERA CREAR                        1 D</v>
          </cell>
        </row>
        <row r="736">
          <cell r="B736" t="str">
            <v>14010116010212</v>
          </cell>
          <cell r="C736" t="str">
            <v>FINANCIERA CONFIANZA S.A.               1ND</v>
          </cell>
        </row>
        <row r="737">
          <cell r="B737" t="str">
            <v>14010116010215</v>
          </cell>
          <cell r="C737" t="str">
            <v>LPC FINANCIERA EFECTIVA S.A VIG         1ND</v>
          </cell>
        </row>
        <row r="738">
          <cell r="B738" t="str">
            <v>14010116010216</v>
          </cell>
          <cell r="C738" t="str">
            <v>LPC AMERIKA FINANCIERA S.A VIG          1ND</v>
          </cell>
        </row>
        <row r="739">
          <cell r="B739" t="str">
            <v>14010116010301</v>
          </cell>
          <cell r="C739" t="str">
            <v>LPC CJA.MUNI.AHO.CRED.SULLANA VI        1ND</v>
          </cell>
        </row>
        <row r="740">
          <cell r="B740" t="str">
            <v>14010116010307</v>
          </cell>
          <cell r="C740" t="str">
            <v>LPC CJA MUNI AHO CRED MAYNAS VIG        1ND</v>
          </cell>
        </row>
        <row r="741">
          <cell r="B741" t="str">
            <v>14010116010312</v>
          </cell>
          <cell r="C741" t="str">
            <v>LPC CJA MUNI AHO CRED TACNA VIG         1ND</v>
          </cell>
        </row>
        <row r="742">
          <cell r="B742" t="str">
            <v>14010116010407</v>
          </cell>
          <cell r="C742" t="str">
            <v>LPC CJA.RUR.AH.Y CRED.CHAVIN VIG        1 D</v>
          </cell>
        </row>
        <row r="743">
          <cell r="B743" t="str">
            <v>14010116010410</v>
          </cell>
          <cell r="C743" t="str">
            <v>LPC CJA.RUR.AH.YCRED.PROFINANZAS        1 D</v>
          </cell>
        </row>
        <row r="744">
          <cell r="B744" t="str">
            <v>14010116010502</v>
          </cell>
          <cell r="C744" t="str">
            <v>LPC EDPYME EDYFICAR S.A. VIG            1ND</v>
          </cell>
        </row>
        <row r="745">
          <cell r="B745" t="str">
            <v>14010116010505</v>
          </cell>
          <cell r="C745" t="str">
            <v>LPC EDPY.CREDITOS AREQUIPA VIG          1ND</v>
          </cell>
        </row>
        <row r="746">
          <cell r="B746" t="str">
            <v>14010116010507</v>
          </cell>
          <cell r="C746" t="str">
            <v>LPC EDPYME CONFIANZA S.A. VIG           1ND</v>
          </cell>
        </row>
        <row r="747">
          <cell r="B747" t="str">
            <v>14010116010510</v>
          </cell>
          <cell r="C747" t="str">
            <v>LPC EDPYME SOLIDARIDAD S.A VIG          1 D</v>
          </cell>
        </row>
        <row r="748">
          <cell r="B748" t="str">
            <v>14010116010513</v>
          </cell>
          <cell r="C748" t="str">
            <v>LPC EDPY. EFECTIVA/CAMCO PIURA VIGENTE  1ND</v>
          </cell>
        </row>
        <row r="749">
          <cell r="B749" t="str">
            <v>14010116010514</v>
          </cell>
          <cell r="C749" t="str">
            <v>LPC EDPYME ALTERNATIVA VIG              1ND</v>
          </cell>
        </row>
        <row r="750">
          <cell r="B750" t="str">
            <v>14010116010601</v>
          </cell>
          <cell r="C750" t="str">
            <v>LPC PAG COOP DE AHO Y CRED VIG          1ND</v>
          </cell>
        </row>
        <row r="751">
          <cell r="B751" t="str">
            <v>14010116010705</v>
          </cell>
          <cell r="C751" t="str">
            <v>LPC AMERICAN LEASING S.A VIG            1 D</v>
          </cell>
        </row>
        <row r="752">
          <cell r="B752" t="str">
            <v>14010116011012</v>
          </cell>
          <cell r="C752" t="str">
            <v>LPC MAPFRE PERU CIA SEG Y REAS          1 D</v>
          </cell>
        </row>
        <row r="753">
          <cell r="B753" t="str">
            <v>14010121000103</v>
          </cell>
          <cell r="C753" t="str">
            <v>CL CXL AVAL ACEPTACION BKT VIG          1ND</v>
          </cell>
        </row>
        <row r="754">
          <cell r="B754" t="str">
            <v>14010121000105</v>
          </cell>
          <cell r="C754" t="str">
            <v>CL CXL COBRA.AVALADA BKT VIG            1ND</v>
          </cell>
        </row>
        <row r="755">
          <cell r="B755" t="str">
            <v>14010121000106</v>
          </cell>
          <cell r="C755" t="str">
            <v>CL CXL CC ACEPTACIONES BKT VIG          1ND</v>
          </cell>
        </row>
        <row r="756">
          <cell r="B756" t="str">
            <v>14010121000108</v>
          </cell>
          <cell r="C756" t="str">
            <v>CL CXL C.C VISTA BKT VIG                1ND</v>
          </cell>
        </row>
        <row r="757">
          <cell r="B757" t="str">
            <v>14010121000119</v>
          </cell>
          <cell r="C757" t="str">
            <v>BL C X L C/C AVAL BKT CL                1ND</v>
          </cell>
        </row>
        <row r="758">
          <cell r="B758" t="str">
            <v>14010126000101</v>
          </cell>
          <cell r="C758" t="str">
            <v>CL P. EXP.PRE EM.RP VIG                 1ND</v>
          </cell>
        </row>
        <row r="759">
          <cell r="B759" t="str">
            <v>14010126000102</v>
          </cell>
          <cell r="C759" t="str">
            <v>CL P.EXP.POST EMB RP VIG                1ND</v>
          </cell>
        </row>
        <row r="760">
          <cell r="B760" t="str">
            <v>14010126000103</v>
          </cell>
          <cell r="C760" t="str">
            <v>CL PAGARE IMPOR RP VIG                  1ND</v>
          </cell>
        </row>
        <row r="761">
          <cell r="B761" t="str">
            <v>14010126000106</v>
          </cell>
          <cell r="C761" t="str">
            <v>CL D/P PAG.PRE EXP.EMBAR.VIG            1ND</v>
          </cell>
        </row>
        <row r="762">
          <cell r="B762" t="str">
            <v>14010126000107</v>
          </cell>
          <cell r="C762" t="str">
            <v>CL D/P PAG.IMPORT RP VIG                1ND</v>
          </cell>
        </row>
        <row r="763">
          <cell r="B763" t="str">
            <v>14010126000110</v>
          </cell>
          <cell r="C763" t="str">
            <v>CL WORKING CAPITAL EXPORT VIG           1ND</v>
          </cell>
        </row>
        <row r="764">
          <cell r="B764" t="str">
            <v>14010126000111</v>
          </cell>
          <cell r="C764" t="str">
            <v>MYP FINANC IMPORT CAPITAL DE TRAB COM   1ND</v>
          </cell>
        </row>
        <row r="765">
          <cell r="B765" t="str">
            <v>14010126000112</v>
          </cell>
          <cell r="C765" t="str">
            <v>MYP FINANC IMPORT ACT FIJO  COMER VIG   1ND</v>
          </cell>
        </row>
        <row r="766">
          <cell r="B766" t="str">
            <v>14010126000201</v>
          </cell>
          <cell r="C766" t="str">
            <v>CL EX FORFAITING VIGENTE                1ND</v>
          </cell>
        </row>
        <row r="767">
          <cell r="B767" t="str">
            <v>14010126000301</v>
          </cell>
          <cell r="C767" t="str">
            <v>LPC PAGARE IMPORT RP VIG                1ND</v>
          </cell>
        </row>
        <row r="768">
          <cell r="B768" t="str">
            <v>14010126000302</v>
          </cell>
          <cell r="C768" t="str">
            <v>LPC PAGARE IMPORT RP D/P VIG            1ND</v>
          </cell>
        </row>
        <row r="769">
          <cell r="B769" t="str">
            <v>14010201000101</v>
          </cell>
          <cell r="C769" t="str">
            <v>AVANCE CTA CTE PJ S/F LUCRO MES         1ND</v>
          </cell>
        </row>
        <row r="770">
          <cell r="B770" t="str">
            <v>14010201000102</v>
          </cell>
          <cell r="C770" t="str">
            <v>AVANCE CTA CTE PJ MES                   1ND</v>
          </cell>
        </row>
        <row r="771">
          <cell r="B771" t="str">
            <v>14010201000106</v>
          </cell>
          <cell r="C771" t="str">
            <v>LPC AVANCE EN CUENTA NORM CMIE          1ND</v>
          </cell>
        </row>
        <row r="772">
          <cell r="B772" t="str">
            <v>14010201000107</v>
          </cell>
          <cell r="C772" t="str">
            <v>LPC AVANCE EN CUENTA  DUPE CMIE         1ND</v>
          </cell>
        </row>
        <row r="773">
          <cell r="B773" t="str">
            <v>14010201000109</v>
          </cell>
          <cell r="C773" t="str">
            <v>IM AVANCE CTA CTE PJ CMIE               1ND</v>
          </cell>
        </row>
        <row r="774">
          <cell r="B774" t="str">
            <v>14010202010101</v>
          </cell>
          <cell r="C774" t="str">
            <v>TC MES COLOC. REVOLV.DISP.EFECTIVO      1ND</v>
          </cell>
        </row>
        <row r="775">
          <cell r="B775" t="str">
            <v>14010202010102</v>
          </cell>
          <cell r="C775" t="str">
            <v>TC MC COMERC. COLOC. DISP. CMIE         1ND</v>
          </cell>
        </row>
        <row r="776">
          <cell r="B776" t="str">
            <v>14010202010103</v>
          </cell>
          <cell r="C776" t="str">
            <v>TC AMEX COMERC COLOC.DISP.EFECT. CMIE   1ND</v>
          </cell>
        </row>
        <row r="777">
          <cell r="B777" t="str">
            <v>14010202010104</v>
          </cell>
          <cell r="C777" t="str">
            <v>TC VEA COMERC. COLOC. DISP. CMIE        1ND</v>
          </cell>
        </row>
        <row r="778">
          <cell r="B778" t="str">
            <v>14010202010105</v>
          </cell>
          <cell r="C778" t="str">
            <v>TC COLOC. DISP.EFECTIVO EN CUOTAS VIG. C1ND</v>
          </cell>
        </row>
        <row r="779">
          <cell r="B779" t="str">
            <v>14010202010106</v>
          </cell>
          <cell r="C779" t="str">
            <v>TC VISA COMERC COLOC.DISP.EFECT. CMIE   1ND</v>
          </cell>
        </row>
        <row r="780">
          <cell r="B780" t="str">
            <v>14010202010107</v>
          </cell>
          <cell r="C780" t="str">
            <v>TC AMEX D/E CUOTAS VIG CMIE             1ND</v>
          </cell>
        </row>
        <row r="781">
          <cell r="B781" t="str">
            <v>14010202010108</v>
          </cell>
          <cell r="C781" t="str">
            <v>TC AMEX D/E REV VIG CMIE                1ND</v>
          </cell>
        </row>
        <row r="782">
          <cell r="B782" t="str">
            <v>14010202010109</v>
          </cell>
          <cell r="C782" t="str">
            <v>TC MC D/E CUOTAS VIG CMIE               1ND</v>
          </cell>
        </row>
        <row r="783">
          <cell r="B783" t="str">
            <v>14010202010110</v>
          </cell>
          <cell r="C783" t="str">
            <v>TC MC D/E REV VIG CMIE                  1ND</v>
          </cell>
        </row>
        <row r="784">
          <cell r="B784" t="str">
            <v>14010202010111</v>
          </cell>
          <cell r="C784" t="str">
            <v>TC VISA D/E CUOTAS VIG CMIE             1ND</v>
          </cell>
        </row>
        <row r="785">
          <cell r="B785" t="str">
            <v>14010202010112</v>
          </cell>
          <cell r="C785" t="str">
            <v>TC VISA D/E REV VIG CMIE                1ND</v>
          </cell>
        </row>
        <row r="786">
          <cell r="B786" t="str">
            <v>14010202020101</v>
          </cell>
          <cell r="C786" t="str">
            <v>TC MES COLOC. REVOLV.COMPRAS            1ND</v>
          </cell>
        </row>
        <row r="787">
          <cell r="B787" t="str">
            <v>14010202020102</v>
          </cell>
          <cell r="C787" t="str">
            <v>TC MC COMERCIAL. COLOC. COMPRA CMIE     1ND</v>
          </cell>
        </row>
        <row r="788">
          <cell r="B788" t="str">
            <v>14010202020103</v>
          </cell>
          <cell r="C788" t="str">
            <v>TC AMEX COMERC COLOC.COMPRA CMIE        1ND</v>
          </cell>
        </row>
        <row r="789">
          <cell r="B789" t="str">
            <v>14010202020104</v>
          </cell>
          <cell r="C789" t="str">
            <v>TC VEA COMERCIAL. COLOC. COMPRA CMIE    1ND</v>
          </cell>
        </row>
        <row r="790">
          <cell r="B790" t="str">
            <v>14010202020105</v>
          </cell>
          <cell r="C790" t="str">
            <v>TC COLOC.COMPRAS EN CUOTAS VIG. CMIE    1ND</v>
          </cell>
        </row>
        <row r="791">
          <cell r="B791" t="str">
            <v>14010202020106</v>
          </cell>
          <cell r="C791" t="str">
            <v>TC VISA COMERC COLOC.COMPRA CMIE        1ND</v>
          </cell>
        </row>
        <row r="792">
          <cell r="B792" t="str">
            <v>14010202020107</v>
          </cell>
          <cell r="C792" t="str">
            <v>TC AMEX COMPRA CUOTAS VIG CMIE          1ND</v>
          </cell>
        </row>
        <row r="793">
          <cell r="B793" t="str">
            <v>14010202020108</v>
          </cell>
          <cell r="C793" t="str">
            <v>TC AMEX COMPRA REV VIG CMIE             1ND</v>
          </cell>
        </row>
        <row r="794">
          <cell r="B794" t="str">
            <v>14010202020109</v>
          </cell>
          <cell r="C794" t="str">
            <v>TC MC COMPRA CUOTAS VIG CMIE            1ND</v>
          </cell>
        </row>
        <row r="795">
          <cell r="B795" t="str">
            <v>14010202020110</v>
          </cell>
          <cell r="C795" t="str">
            <v>TC MC COMPRA REV VIG CMIE               1ND</v>
          </cell>
        </row>
        <row r="796">
          <cell r="B796" t="str">
            <v>14010202020111</v>
          </cell>
          <cell r="C796" t="str">
            <v>TC VISA COMPRA CUOTAS VIG CMIE          1ND</v>
          </cell>
        </row>
        <row r="797">
          <cell r="B797" t="str">
            <v>14010202020112</v>
          </cell>
          <cell r="C797" t="str">
            <v>TC VISA COMPRA REV VIG CMIE             1ND</v>
          </cell>
        </row>
        <row r="798">
          <cell r="B798" t="str">
            <v>14010202020201</v>
          </cell>
          <cell r="C798" t="str">
            <v>TC REPROGRAMACION MES VIG               1ND</v>
          </cell>
        </row>
        <row r="799">
          <cell r="B799" t="str">
            <v>14010202090101</v>
          </cell>
          <cell r="C799" t="str">
            <v>TC VISA COMERCIAL. COLOC. OTROS CMIE    1ND</v>
          </cell>
        </row>
        <row r="800">
          <cell r="B800" t="str">
            <v>14010202090102</v>
          </cell>
          <cell r="C800" t="str">
            <v>TC MC COMERCIAL. COLOC. OTROS CMIE      1ND</v>
          </cell>
        </row>
        <row r="801">
          <cell r="B801" t="str">
            <v>14010202090103</v>
          </cell>
          <cell r="C801" t="str">
            <v>TC AMEX COMERCIAL. COLOC. OTROS CMIE    1ND</v>
          </cell>
        </row>
        <row r="802">
          <cell r="B802" t="str">
            <v>14010202090104</v>
          </cell>
          <cell r="C802" t="str">
            <v>TC VEA COMERCIAL. COLOC. OTROS CMIE     1ND</v>
          </cell>
        </row>
        <row r="803">
          <cell r="B803" t="str">
            <v>14010202090105</v>
          </cell>
          <cell r="C803" t="str">
            <v>TC REPROGRAMACION VIG. CMIE             1ND</v>
          </cell>
        </row>
        <row r="804">
          <cell r="B804" t="str">
            <v>14010202090106</v>
          </cell>
          <cell r="C804" t="str">
            <v>TC AMEX CDEUDA PAR VIG CMIE             1ND</v>
          </cell>
        </row>
        <row r="805">
          <cell r="B805" t="str">
            <v>14010202090107</v>
          </cell>
          <cell r="C805" t="str">
            <v>TC AMEX CDEUDA REV VIG CMIE             1ND</v>
          </cell>
        </row>
        <row r="806">
          <cell r="B806" t="str">
            <v>14010202090108</v>
          </cell>
          <cell r="C806" t="str">
            <v>TC AMEX EXTRACASH VIG CMIE              1ND</v>
          </cell>
        </row>
        <row r="807">
          <cell r="B807" t="str">
            <v>14010202090109</v>
          </cell>
          <cell r="C807" t="str">
            <v>TC AMEX REPROG PAR VIG CMIE             1ND</v>
          </cell>
        </row>
        <row r="808">
          <cell r="B808" t="str">
            <v>14010202090110</v>
          </cell>
          <cell r="C808" t="str">
            <v>TC AMEX REPROG REV VIG CMIE             1ND</v>
          </cell>
        </row>
        <row r="809">
          <cell r="B809" t="str">
            <v>14010202090111</v>
          </cell>
          <cell r="C809" t="str">
            <v>TC MC CDEUDA PAR VIG CMIE               1ND</v>
          </cell>
        </row>
        <row r="810">
          <cell r="B810" t="str">
            <v>14010202090112</v>
          </cell>
          <cell r="C810" t="str">
            <v>TC MC CDEUDA REV VIG CMIE               1ND</v>
          </cell>
        </row>
        <row r="811">
          <cell r="B811" t="str">
            <v>14010202090113</v>
          </cell>
          <cell r="C811" t="str">
            <v>TC MC EXTRACASH VIG CMIE                1ND</v>
          </cell>
        </row>
        <row r="812">
          <cell r="B812" t="str">
            <v>14010202090114</v>
          </cell>
          <cell r="C812" t="str">
            <v>TC MC REPROG PAR VIG CMIE               1ND</v>
          </cell>
        </row>
        <row r="813">
          <cell r="B813" t="str">
            <v>14010202090115</v>
          </cell>
          <cell r="C813" t="str">
            <v>TC MC REPROG REV VIG CMIE               1ND</v>
          </cell>
        </row>
        <row r="814">
          <cell r="B814" t="str">
            <v>14010202090116</v>
          </cell>
          <cell r="C814" t="str">
            <v>TC VISA CDEUDA PAR VIG CMIE             1ND</v>
          </cell>
        </row>
        <row r="815">
          <cell r="B815" t="str">
            <v>14010202090117</v>
          </cell>
          <cell r="C815" t="str">
            <v>TC VISA CDEUDA REV VIG CMIE             1ND</v>
          </cell>
        </row>
        <row r="816">
          <cell r="B816" t="str">
            <v>14010202090118</v>
          </cell>
          <cell r="C816" t="str">
            <v>TC VISA EXTRACASH VIG CMIE              1ND</v>
          </cell>
        </row>
        <row r="817">
          <cell r="B817" t="str">
            <v>14010202090119</v>
          </cell>
          <cell r="C817" t="str">
            <v>TC VISA REPROG PAR VIG CMIE             1ND</v>
          </cell>
        </row>
        <row r="818">
          <cell r="B818" t="str">
            <v>14010202090120</v>
          </cell>
          <cell r="C818" t="str">
            <v>TC VISA REPROG REV VIG CMIE             1ND</v>
          </cell>
        </row>
        <row r="819">
          <cell r="B819" t="str">
            <v>14010204000105</v>
          </cell>
          <cell r="C819" t="str">
            <v>SOBREGIRO CTAS CTE C/F PJ MES           1ND</v>
          </cell>
        </row>
        <row r="820">
          <cell r="B820" t="str">
            <v>14010204000106</v>
          </cell>
          <cell r="C820" t="str">
            <v>SOBREGIRO CTAS CTE S/F PJ MES106        1ND</v>
          </cell>
        </row>
        <row r="821">
          <cell r="B821" t="str">
            <v>14010205010101</v>
          </cell>
          <cell r="C821" t="str">
            <v>CL PAG.DSCTO MES VIG                    1ND</v>
          </cell>
        </row>
        <row r="822">
          <cell r="B822" t="str">
            <v>14010205010102</v>
          </cell>
          <cell r="C822" t="str">
            <v>CL PAG. EN DSCTO CALIF.DUDOSA CL MES    1ND</v>
          </cell>
        </row>
        <row r="823">
          <cell r="B823" t="str">
            <v>14010205010103</v>
          </cell>
          <cell r="C823" t="str">
            <v>LPC PAG.TSA.DSCTO D/P VIGC CMIE         1ND</v>
          </cell>
        </row>
        <row r="824">
          <cell r="B824" t="str">
            <v>14010205010104</v>
          </cell>
          <cell r="C824" t="str">
            <v>LPC PAG.TSA.DSCTO VIGC CMIE             1ND</v>
          </cell>
        </row>
        <row r="825">
          <cell r="B825" t="str">
            <v>14010205020101</v>
          </cell>
          <cell r="C825" t="str">
            <v>FCD  LETR./FACT.DSCTO.MES VIG           1ND</v>
          </cell>
        </row>
        <row r="826">
          <cell r="B826" t="str">
            <v>14010205020102</v>
          </cell>
          <cell r="C826" t="str">
            <v>FCD  DSCTO ELECTR SM PERUAN VIG MES     1ND</v>
          </cell>
        </row>
        <row r="827">
          <cell r="B827" t="str">
            <v>14010205020104</v>
          </cell>
          <cell r="C827" t="str">
            <v>PR LETRAS T. DESCONTADAÂ  VIGÂ Â  CMIE  1ND</v>
          </cell>
        </row>
        <row r="828">
          <cell r="B828" t="str">
            <v>14010205020105</v>
          </cell>
          <cell r="C828" t="str">
            <v>FCD DSCTO ELECTR VIG DUDOSO CMIE        1ND</v>
          </cell>
        </row>
        <row r="829">
          <cell r="B829" t="str">
            <v>14010205020106</v>
          </cell>
          <cell r="C829" t="str">
            <v>FCD DESC. LET. VIG. CMIE DUPE           1ND</v>
          </cell>
        </row>
        <row r="830">
          <cell r="B830" t="str">
            <v>14010205020107</v>
          </cell>
          <cell r="C830" t="str">
            <v>FCD DESC. FACT. VIG. CMIE DUPE          1ND</v>
          </cell>
        </row>
        <row r="831">
          <cell r="B831" t="str">
            <v>14010205020108</v>
          </cell>
          <cell r="C831" t="str">
            <v>FCD DESC. VIRTUAL VIG. CMIE DUPE        1ND</v>
          </cell>
        </row>
        <row r="832">
          <cell r="B832" t="str">
            <v>14010205020109</v>
          </cell>
          <cell r="C832" t="str">
            <v>FCD DESC. FACT. NEG. VIG. CMIE DUPE     1ND</v>
          </cell>
        </row>
        <row r="833">
          <cell r="B833" t="str">
            <v>14010205020110</v>
          </cell>
          <cell r="C833" t="str">
            <v>FCD DESC. VIRTUAL VIG. CMIE NORMAL      1ND</v>
          </cell>
        </row>
        <row r="834">
          <cell r="B834" t="str">
            <v>14010206000101</v>
          </cell>
          <cell r="C834" t="str">
            <v>CL PAG.TASA VENCIDA MES VIG             1ND</v>
          </cell>
        </row>
        <row r="835">
          <cell r="B835" t="str">
            <v>14010206000108</v>
          </cell>
          <cell r="C835" t="str">
            <v>LPC PAG TASA VENCIDA - MES              1ND</v>
          </cell>
        </row>
        <row r="836">
          <cell r="B836" t="str">
            <v>14010206010101</v>
          </cell>
          <cell r="C836" t="str">
            <v>CL PAG.TV REVOLVENTE MES VIG            1ND</v>
          </cell>
        </row>
        <row r="837">
          <cell r="B837" t="str">
            <v>14010206010102</v>
          </cell>
          <cell r="C837" t="str">
            <v>CL PAG.TV D/P REVOLVENT MES VIG         1ND</v>
          </cell>
        </row>
        <row r="838">
          <cell r="B838" t="str">
            <v>14010206010107</v>
          </cell>
          <cell r="C838" t="str">
            <v>LPC PAG.TV REVOLV VIG MES               1ND</v>
          </cell>
        </row>
        <row r="839">
          <cell r="B839" t="str">
            <v>14010206010108</v>
          </cell>
          <cell r="C839" t="str">
            <v>LPC PAG.TV D/P REVOLV VIG MES           1ND</v>
          </cell>
        </row>
        <row r="840">
          <cell r="B840" t="str">
            <v>14010206010112</v>
          </cell>
          <cell r="C840" t="str">
            <v>MYP LINEA REVOLVENTE VIG                1ND</v>
          </cell>
        </row>
        <row r="841">
          <cell r="B841" t="str">
            <v>14010206010113</v>
          </cell>
          <cell r="C841" t="str">
            <v>MYP D/P LINEA REVOLVENTE VIG            1ND</v>
          </cell>
        </row>
        <row r="842">
          <cell r="B842" t="str">
            <v>14010206010114</v>
          </cell>
          <cell r="C842" t="str">
            <v>MYP LINEA REVOL PROVREFVIG CMIE         1ND</v>
          </cell>
        </row>
        <row r="843">
          <cell r="B843" t="str">
            <v>14010206010115</v>
          </cell>
          <cell r="C843" t="str">
            <v>MYP LINEA REVOL REUT.VIG CMIE           1ND</v>
          </cell>
        </row>
        <row r="844">
          <cell r="B844" t="str">
            <v>14010206010201</v>
          </cell>
          <cell r="C844" t="str">
            <v>LPC PAG TV RP MED PLAZO REVOL CMIE      1ND</v>
          </cell>
        </row>
        <row r="845">
          <cell r="B845" t="str">
            <v>14010206010202</v>
          </cell>
          <cell r="C845" t="str">
            <v>LPC PAG TV RP MED PLAZO REVOL D/P CMIE  1ND</v>
          </cell>
        </row>
        <row r="846">
          <cell r="B846" t="str">
            <v>14010206010203</v>
          </cell>
          <cell r="C846" t="str">
            <v>LPC PAG TV INMOBILIARIO REV CMIE        1ND</v>
          </cell>
        </row>
        <row r="847">
          <cell r="B847" t="str">
            <v>14010206010204</v>
          </cell>
          <cell r="C847" t="str">
            <v>LPC PAG TV INMOBILIARIO REV D/P CMIE    1ND</v>
          </cell>
        </row>
        <row r="848">
          <cell r="B848" t="str">
            <v>14010206010205</v>
          </cell>
          <cell r="C848" t="str">
            <v>LPC P.TV REC.COFIDE REVOL VIG CMIE      1ND</v>
          </cell>
        </row>
        <row r="849">
          <cell r="B849" t="str">
            <v>14010206010206</v>
          </cell>
          <cell r="C849" t="str">
            <v>LPC PAGARE  TV  COFIDE  D/P CMIE        1ND</v>
          </cell>
        </row>
        <row r="850">
          <cell r="B850" t="str">
            <v>14010206010207</v>
          </cell>
          <cell r="C850" t="str">
            <v>LPC PAG REPROGRAMADO VIG NORM CMIE      1ND</v>
          </cell>
        </row>
        <row r="851">
          <cell r="B851" t="str">
            <v>14010206010208</v>
          </cell>
          <cell r="C851" t="str">
            <v>LPC PAG REPROGRAMADO VIG DUPE CMIE      1ND</v>
          </cell>
        </row>
        <row r="852">
          <cell r="B852" t="str">
            <v>14010206010217</v>
          </cell>
          <cell r="C852" t="str">
            <v>LPC REACTIVA PERU VIG CMIE\NORM         1ND</v>
          </cell>
        </row>
        <row r="853">
          <cell r="B853" t="str">
            <v>14010206010218</v>
          </cell>
          <cell r="C853" t="str">
            <v>LPC REACTIVA PERU VIG CMIE\DUPE         1ND</v>
          </cell>
        </row>
        <row r="854">
          <cell r="B854" t="str">
            <v>14010206010219</v>
          </cell>
          <cell r="C854" t="str">
            <v>LPC COFIDE FONDOS PERU VIG CMIE\NORM    1ND</v>
          </cell>
        </row>
        <row r="855">
          <cell r="B855" t="str">
            <v>14010206010220</v>
          </cell>
          <cell r="C855" t="str">
            <v>LPC COFIDE FONDOS PERU VIG CMIE\DUPE    1ND</v>
          </cell>
        </row>
        <row r="856">
          <cell r="B856" t="str">
            <v>14010206010221</v>
          </cell>
          <cell r="C856" t="str">
            <v>LPC COFIDE FONDO CRECER VIG CMIE\DUPE   1ND</v>
          </cell>
        </row>
        <row r="857">
          <cell r="B857" t="str">
            <v>14010206010222</v>
          </cell>
          <cell r="C857" t="str">
            <v>LPC COFIDE FONDO CRECER VIG CMIE\NORM   1ND</v>
          </cell>
        </row>
        <row r="858">
          <cell r="B858" t="str">
            <v>14010206010223</v>
          </cell>
          <cell r="C858" t="str">
            <v>LPC REACTIVA PERU VIG CMIE\DUPE         1ND</v>
          </cell>
        </row>
        <row r="859">
          <cell r="B859" t="str">
            <v>14010206010224</v>
          </cell>
          <cell r="C859" t="str">
            <v>LPC REACTIVA PERU VIG CMIE\NORM         1ND</v>
          </cell>
        </row>
        <row r="860">
          <cell r="B860" t="str">
            <v>14010206010225</v>
          </cell>
          <cell r="C860" t="str">
            <v>LPC IMPULSO MYPERU CORTO PLAZO VIG REV C1 D</v>
          </cell>
        </row>
        <row r="861">
          <cell r="B861" t="str">
            <v>14010206010226</v>
          </cell>
          <cell r="C861" t="str">
            <v>LPC IMPULSO MYPERU MEDIANO PLAZO VIG REV1 D</v>
          </cell>
        </row>
        <row r="862">
          <cell r="B862" t="str">
            <v>14010206010227</v>
          </cell>
          <cell r="C862" t="str">
            <v>MYP LINEA REVOLV CIMA VIG NORM CMIE     1 D</v>
          </cell>
        </row>
        <row r="863">
          <cell r="B863" t="str">
            <v>14010206010228</v>
          </cell>
          <cell r="C863" t="str">
            <v>MYP LINEA REVOLV CIMA VIG DUPE CMIE     1 D</v>
          </cell>
        </row>
        <row r="864">
          <cell r="B864" t="str">
            <v>14010206010229</v>
          </cell>
          <cell r="C864" t="str">
            <v>CCD-BPE LINEA REVOLVENTE_CMIE VIG NORM  1 D</v>
          </cell>
        </row>
        <row r="865">
          <cell r="B865" t="str">
            <v>14010206010230</v>
          </cell>
          <cell r="C865" t="str">
            <v>CCD-BPE LINEA REVOLVENTE_CMIE VIG DUPE  1 D</v>
          </cell>
        </row>
        <row r="866">
          <cell r="B866" t="str">
            <v>14010206020105</v>
          </cell>
          <cell r="C866" t="str">
            <v>MYP CAP.VIG.FIN. CAP. TRAB              1ND</v>
          </cell>
        </row>
        <row r="867">
          <cell r="B867" t="str">
            <v>14010206020106</v>
          </cell>
          <cell r="C867" t="str">
            <v>MYP D/P CAP VIG FIN.CAP.TRAB            1ND</v>
          </cell>
        </row>
        <row r="868">
          <cell r="B868" t="str">
            <v>14010206020107</v>
          </cell>
          <cell r="C868" t="str">
            <v>MYP CAP.VIG.FIN. COMPRA. AF             1ND</v>
          </cell>
        </row>
        <row r="869">
          <cell r="B869" t="str">
            <v>14010206020108</v>
          </cell>
          <cell r="C869" t="str">
            <v>MYP D/P CAP VIG FIN.COMPRA. AF          1ND</v>
          </cell>
        </row>
        <row r="870">
          <cell r="B870" t="str">
            <v>14010206020109</v>
          </cell>
          <cell r="C870" t="str">
            <v>MYP CAP.VIG.FIN. CRED. PARAL            1ND</v>
          </cell>
        </row>
        <row r="871">
          <cell r="B871" t="str">
            <v>14010206020110</v>
          </cell>
          <cell r="C871" t="str">
            <v>MYP D/P CAP VIG FIN.CRED. PARAL         1ND</v>
          </cell>
        </row>
        <row r="872">
          <cell r="B872" t="str">
            <v>14010206020111</v>
          </cell>
          <cell r="C872" t="str">
            <v>MYP CAP.VIG. FIN. COMPRA DE DEUDA C     1ND</v>
          </cell>
        </row>
        <row r="873">
          <cell r="B873" t="str">
            <v>14010206020112</v>
          </cell>
          <cell r="C873" t="str">
            <v>MYP D/P CAP VIG FIN. COMPRA DE DEUD     1ND</v>
          </cell>
        </row>
        <row r="874">
          <cell r="B874" t="str">
            <v>14010206020113</v>
          </cell>
          <cell r="C874" t="str">
            <v>MYP CAP.VIG.TRANSP PUBLICO CAP TRA      1ND</v>
          </cell>
        </row>
        <row r="875">
          <cell r="B875" t="str">
            <v>14010206020114</v>
          </cell>
          <cell r="C875" t="str">
            <v>MYP D/P CAP VIG TRANSP PUBLICO CAP      1ND</v>
          </cell>
        </row>
        <row r="876">
          <cell r="B876" t="str">
            <v>14010206020115</v>
          </cell>
          <cell r="C876" t="str">
            <v>MYP E.R.CAP.VIG.FIN. CAP. TRAB.         1ND</v>
          </cell>
        </row>
        <row r="877">
          <cell r="B877" t="str">
            <v>14010206020116</v>
          </cell>
          <cell r="C877" t="str">
            <v>MYP E.R.C.VIG FIN CAP TRA DUPE CMIE     1ND</v>
          </cell>
        </row>
        <row r="878">
          <cell r="B878" t="str">
            <v>14010206020117</v>
          </cell>
          <cell r="C878" t="str">
            <v>MYP CAP.VIG.FIN. CAP. TRABÂ  PRO.REFIN  1ND</v>
          </cell>
        </row>
        <row r="879">
          <cell r="B879" t="str">
            <v>14010206020118</v>
          </cell>
          <cell r="C879" t="str">
            <v>MYP CAP.TRAB.REUT.VIG.CMIE              1ND</v>
          </cell>
        </row>
        <row r="880">
          <cell r="B880" t="str">
            <v>14010206020119</v>
          </cell>
          <cell r="C880" t="str">
            <v>MYP CAP VIG CAP.TRAB CIMA NOR/DUPE CMIE 1ND</v>
          </cell>
        </row>
        <row r="881">
          <cell r="B881" t="str">
            <v>14010206020120</v>
          </cell>
          <cell r="C881" t="str">
            <v>MYP CAP.TRAB.REUT.VIG.CMIE DUPE         1ND</v>
          </cell>
        </row>
        <row r="882">
          <cell r="B882" t="str">
            <v>14010206020121</v>
          </cell>
          <cell r="C882" t="str">
            <v>MYP CODIFE FONDO CRECER VIG CMIE\DUPE   1ND</v>
          </cell>
        </row>
        <row r="883">
          <cell r="B883" t="str">
            <v>14010206020122</v>
          </cell>
          <cell r="C883" t="str">
            <v>MYP CODIFE FONDO CRECER VIG CMIE\NORM   1ND</v>
          </cell>
        </row>
        <row r="884">
          <cell r="B884" t="str">
            <v>14010206020123</v>
          </cell>
          <cell r="C884" t="str">
            <v>MYP CODIFE REACTIVA PERU VIG CMIE\DUPE  1ND</v>
          </cell>
        </row>
        <row r="885">
          <cell r="B885" t="str">
            <v>14010206020124</v>
          </cell>
          <cell r="C885" t="str">
            <v>MYP CODIFE REACTIVA PERU VIG CMIE\NORM  1ND</v>
          </cell>
        </row>
        <row r="886">
          <cell r="B886" t="str">
            <v>14010206020125</v>
          </cell>
          <cell r="C886" t="str">
            <v>LPC PAG TV INMOBILIARIO NO REV CMIE     1ND</v>
          </cell>
        </row>
        <row r="887">
          <cell r="B887" t="str">
            <v>14010206020126</v>
          </cell>
          <cell r="C887" t="str">
            <v>LPC REACTIVA PERU VIG CMIE\NORM         1ND</v>
          </cell>
        </row>
        <row r="888">
          <cell r="B888" t="str">
            <v>14010206020127</v>
          </cell>
          <cell r="C888" t="str">
            <v>LPC PAG TV INMOBILIARIO NO REV CMIE     1ND</v>
          </cell>
        </row>
        <row r="889">
          <cell r="B889" t="str">
            <v>14010206020128</v>
          </cell>
          <cell r="C889" t="str">
            <v>LPC REACTIVA PERU VIG CMIE\NORM         1ND</v>
          </cell>
        </row>
        <row r="890">
          <cell r="B890" t="str">
            <v>14010206020129</v>
          </cell>
          <cell r="C890" t="str">
            <v>LPC PAG.TV NO REVOLV VIG MES            1ND</v>
          </cell>
        </row>
        <row r="891">
          <cell r="B891" t="str">
            <v>14010206020130</v>
          </cell>
          <cell r="C891" t="str">
            <v>LPC PAG.TV D/P NO REVOLV VIG MES        1ND</v>
          </cell>
        </row>
        <row r="892">
          <cell r="B892" t="str">
            <v>14010206020131</v>
          </cell>
          <cell r="C892" t="str">
            <v>LPC PAG.TV NO REVOLV VIG MES            1ND</v>
          </cell>
        </row>
        <row r="893">
          <cell r="B893" t="str">
            <v>14010206020132</v>
          </cell>
          <cell r="C893" t="str">
            <v>LPC PAG.TV D/P NO REVOLV VIG MES        1ND</v>
          </cell>
        </row>
        <row r="894">
          <cell r="B894" t="str">
            <v>14010206020135</v>
          </cell>
          <cell r="C894" t="str">
            <v>LPC 30K REACTIVA CORTO PLAZO REPROG VIG 1 D</v>
          </cell>
        </row>
        <row r="895">
          <cell r="B895" t="str">
            <v>14010206020136</v>
          </cell>
          <cell r="C895" t="str">
            <v>LPC 30K REACTIVA CORTO PLAZO REPROG VIG 1 D</v>
          </cell>
        </row>
        <row r="896">
          <cell r="B896" t="str">
            <v>14010206020137</v>
          </cell>
          <cell r="C896" t="str">
            <v>MYP REACTIVA REPROG VIG CMIE            1 D</v>
          </cell>
        </row>
        <row r="897">
          <cell r="B897" t="str">
            <v>14010206020138</v>
          </cell>
          <cell r="C897" t="str">
            <v>LPC REACTIVA PERU VIG CMIE\DUPE         1 D</v>
          </cell>
        </row>
        <row r="898">
          <cell r="B898" t="str">
            <v>14010206020139</v>
          </cell>
          <cell r="C898" t="str">
            <v>LPC REPROG REACTIVA DIFE CMIE VIG       1 D</v>
          </cell>
        </row>
        <row r="899">
          <cell r="B899" t="str">
            <v>14010206020140</v>
          </cell>
          <cell r="C899" t="str">
            <v>LPC FONDOS CRECER PERU VIG CMIE\NORM    1ND</v>
          </cell>
        </row>
        <row r="900">
          <cell r="B900" t="str">
            <v>14010206020141</v>
          </cell>
          <cell r="C900" t="str">
            <v>LPC REPROG REACTIVA DS.011-2022 CMIE NOR1 D</v>
          </cell>
        </row>
        <row r="901">
          <cell r="B901" t="str">
            <v>14010206020142</v>
          </cell>
          <cell r="C901" t="str">
            <v>LPC REPROG REACTIVA DS.011-2022 CMIE DUP1 D</v>
          </cell>
        </row>
        <row r="902">
          <cell r="B902" t="str">
            <v>14010206020143</v>
          </cell>
          <cell r="C902" t="str">
            <v>MYP REPROG REACTIVA DS.011-2022 CMIE DUP1 D</v>
          </cell>
        </row>
        <row r="903">
          <cell r="B903" t="str">
            <v>14010206020144</v>
          </cell>
          <cell r="C903" t="str">
            <v>MYP REPROG REACTIVA DS.011-2022 CMIE NOR1 D</v>
          </cell>
        </row>
        <row r="904">
          <cell r="B904" t="str">
            <v>14010206020155</v>
          </cell>
          <cell r="C904" t="str">
            <v>MYP CAP_TRAB_CIMA CMIE VIG NORM         1 D</v>
          </cell>
        </row>
        <row r="905">
          <cell r="B905" t="str">
            <v>14010206020156</v>
          </cell>
          <cell r="C905" t="str">
            <v>MYP CAP_TRAB_CIMA CMIE VIG DUPE         1 D</v>
          </cell>
        </row>
        <row r="906">
          <cell r="B906" t="str">
            <v>14010206020157</v>
          </cell>
          <cell r="C906" t="str">
            <v>MYP REPROGRAMADO CIMA CMIE VIG NORM     1 D</v>
          </cell>
        </row>
        <row r="907">
          <cell r="B907" t="str">
            <v>14010206020158</v>
          </cell>
          <cell r="C907" t="str">
            <v>MYP REPROGRAMADO CIMA CMIE VIG DUPE     1 D</v>
          </cell>
        </row>
        <row r="908">
          <cell r="B908" t="str">
            <v>14010206020159</v>
          </cell>
          <cell r="C908" t="str">
            <v>MYP REPROG REACTIVA 2023 CMIE DUPE VIG  1 D</v>
          </cell>
        </row>
        <row r="909">
          <cell r="B909" t="str">
            <v>14010206020160</v>
          </cell>
          <cell r="C909" t="str">
            <v>MYP REPROG REACTIVA 2023 CMIE NORM VIG  1 D</v>
          </cell>
        </row>
        <row r="910">
          <cell r="B910" t="str">
            <v>14010206020161</v>
          </cell>
          <cell r="C910" t="str">
            <v>LPC REPROG REACTIVA 2023 VIG CMIE NORM  1 D</v>
          </cell>
        </row>
        <row r="911">
          <cell r="B911" t="str">
            <v>14010206020162</v>
          </cell>
          <cell r="C911" t="str">
            <v>LPC REPROG REACTIVA 2023 VIG CMIE DUPE  1 D</v>
          </cell>
        </row>
        <row r="912">
          <cell r="B912" t="str">
            <v>14010206020163</v>
          </cell>
          <cell r="C912" t="str">
            <v>MYP CAP. TRAB - PAGARE DIGITAL_CMIE NORM1 D</v>
          </cell>
        </row>
        <row r="913">
          <cell r="B913" t="str">
            <v>14010206020164</v>
          </cell>
          <cell r="C913" t="str">
            <v>MYP CAP. TRAB - PAGARE DIGITAL_CMIE DUPE1 D</v>
          </cell>
        </row>
        <row r="914">
          <cell r="B914" t="str">
            <v>14010206020165</v>
          </cell>
          <cell r="C914" t="str">
            <v>MYP IMPULSO MYPERU VIG CMIE DUPE        1 D</v>
          </cell>
        </row>
        <row r="915">
          <cell r="B915" t="str">
            <v>14010206020166</v>
          </cell>
          <cell r="C915" t="str">
            <v>MYP IMPULSO MYPERU VIG CMIE NORM        1 D</v>
          </cell>
        </row>
        <row r="916">
          <cell r="B916" t="str">
            <v>14010206020167</v>
          </cell>
          <cell r="C916" t="str">
            <v>LPC IMPULSO MYPERU CORTO PLAZO VIG NREV 1 D</v>
          </cell>
        </row>
        <row r="917">
          <cell r="B917" t="str">
            <v>14010206020168</v>
          </cell>
          <cell r="C917" t="str">
            <v>LPC IMPULSO MYPERU MEDIANO PLAZO VIG NRE1 D</v>
          </cell>
        </row>
        <row r="918">
          <cell r="B918" t="str">
            <v>14010206020169</v>
          </cell>
          <cell r="C918" t="str">
            <v>MYP CAPITAL DE TRAB CIMA REUT DIF VIG CM1 D</v>
          </cell>
        </row>
        <row r="919">
          <cell r="B919" t="str">
            <v>14010206020170</v>
          </cell>
          <cell r="C919" t="str">
            <v>MYP CAPITAL DE TRAB CIMA REUT DIF VIG CM1 D</v>
          </cell>
        </row>
        <row r="920">
          <cell r="B920" t="str">
            <v>14010206020171</v>
          </cell>
          <cell r="C920" t="str">
            <v>MYP CAP TRAB PER GRACIA PARCIAL VIG NORM1 D</v>
          </cell>
        </row>
        <row r="921">
          <cell r="B921" t="str">
            <v>14010206020172</v>
          </cell>
          <cell r="C921" t="str">
            <v>MYP CAP TRAB PER GRACIA PARCIAL VIG DUPE1 D</v>
          </cell>
        </row>
        <row r="922">
          <cell r="B922" t="str">
            <v>14010206020173</v>
          </cell>
          <cell r="C922" t="str">
            <v>MYP REPROG PERIODO GRACIA PARCIAL VIG CM1 D</v>
          </cell>
        </row>
        <row r="923">
          <cell r="B923" t="str">
            <v>14010206020174</v>
          </cell>
          <cell r="C923" t="str">
            <v>MYP REPROG PERIODO GRACIA PARCIAL VIG CM1 D</v>
          </cell>
        </row>
        <row r="924">
          <cell r="B924" t="str">
            <v>14010206020175</v>
          </cell>
          <cell r="C924" t="str">
            <v>CCD-BPE CAPITAL DE TRABAJO_CMIE VIG NORM1 D</v>
          </cell>
        </row>
        <row r="925">
          <cell r="B925" t="str">
            <v>14010206020176</v>
          </cell>
          <cell r="C925" t="str">
            <v>CCD-BPE CAPITAL DE TRABAJO_CMIE VIG DUPE1 D</v>
          </cell>
        </row>
        <row r="926">
          <cell r="B926" t="str">
            <v>14010206020177</v>
          </cell>
          <cell r="C926" t="str">
            <v>CCD-BPE CAP DE TRAB REPROG_CMIE VIG NORM1 D</v>
          </cell>
        </row>
        <row r="927">
          <cell r="B927" t="str">
            <v>14010206020178</v>
          </cell>
          <cell r="C927" t="str">
            <v>CCD-BPE CAP DE TRAB REPROG_CMIE VIG DUPE1 D</v>
          </cell>
        </row>
        <row r="928">
          <cell r="B928" t="str">
            <v>14010206090101</v>
          </cell>
          <cell r="C928" t="str">
            <v>CL PAG.TV NO REVOLVENTE MES VI          1ND</v>
          </cell>
        </row>
        <row r="929">
          <cell r="B929" t="str">
            <v>14010206090102</v>
          </cell>
          <cell r="C929" t="str">
            <v>CL PAG.TV D/P NO REVOLV MES VIG         1ND</v>
          </cell>
        </row>
        <row r="930">
          <cell r="B930" t="str">
            <v>14010206090104</v>
          </cell>
          <cell r="C930" t="str">
            <v>CL P.TV RE.COFI NO REVO MES VIG         1ND</v>
          </cell>
        </row>
        <row r="931">
          <cell r="B931" t="str">
            <v>14010206090107</v>
          </cell>
          <cell r="C931" t="str">
            <v>LPC PAG.TV NO REVOLV VIG MES            1ND</v>
          </cell>
        </row>
        <row r="932">
          <cell r="B932" t="str">
            <v>14010206090108</v>
          </cell>
          <cell r="C932" t="str">
            <v>LPC PAG.TV D/P NO REVOLV VIG MES        1ND</v>
          </cell>
        </row>
        <row r="933">
          <cell r="B933" t="str">
            <v>14010206090201</v>
          </cell>
          <cell r="C933" t="str">
            <v>LPC PAG TV RP MED PLAZO NO REV CMIE     1ND</v>
          </cell>
        </row>
        <row r="934">
          <cell r="B934" t="str">
            <v>14010206090202</v>
          </cell>
          <cell r="C934" t="str">
            <v>LPC PAG TV RP MED PLAZO NO REV D/P CMIE 1ND</v>
          </cell>
        </row>
        <row r="935">
          <cell r="B935" t="str">
            <v>14010206090203</v>
          </cell>
          <cell r="C935" t="str">
            <v>LPC PAG TV INMOBILIARIO NO REV CMIE     1ND</v>
          </cell>
        </row>
        <row r="936">
          <cell r="B936" t="str">
            <v>14010206090204</v>
          </cell>
          <cell r="C936" t="str">
            <v>LPC PAG TV INMOBILIARIO NO REV D/P CMIE 1ND</v>
          </cell>
        </row>
        <row r="937">
          <cell r="B937" t="str">
            <v>14010206090205</v>
          </cell>
          <cell r="C937" t="str">
            <v>LPC P.TV REC.COFIDE NO REVOL VIG CMIE   1ND</v>
          </cell>
        </row>
        <row r="938">
          <cell r="B938" t="str">
            <v>14010206090206</v>
          </cell>
          <cell r="C938" t="str">
            <v>LPC PAGARE  TV  COFIDE  D/P CMIE        1ND</v>
          </cell>
        </row>
        <row r="939">
          <cell r="B939" t="str">
            <v>14010206090207</v>
          </cell>
          <cell r="C939" t="str">
            <v>LPC PAG REPROGRAMADO NO REV CMIE        1ND</v>
          </cell>
        </row>
        <row r="940">
          <cell r="B940" t="str">
            <v>14010206090208</v>
          </cell>
          <cell r="C940" t="str">
            <v>LPC PAG REPROGRAMADO NO REVOL VIG D/P CM1ND</v>
          </cell>
        </row>
        <row r="941">
          <cell r="B941" t="str">
            <v>14010206090217</v>
          </cell>
          <cell r="C941" t="str">
            <v>LPC REACTIVA PERU VIG CMIE\NORM         1ND</v>
          </cell>
        </row>
        <row r="942">
          <cell r="B942" t="str">
            <v>14010206090218</v>
          </cell>
          <cell r="C942" t="str">
            <v>LPC REACTIVA PERU VIG CMIE\DUPE         1ND</v>
          </cell>
        </row>
        <row r="943">
          <cell r="B943" t="str">
            <v>14010206090219</v>
          </cell>
          <cell r="C943" t="str">
            <v>LPC COFIDE FONDOS PERU VIG CMIE\NORM    1ND</v>
          </cell>
        </row>
        <row r="944">
          <cell r="B944" t="str">
            <v>14010206090220</v>
          </cell>
          <cell r="C944" t="str">
            <v>LPC COFIDE FONDOS PERU VIG CMIE\DUPE    1ND</v>
          </cell>
        </row>
        <row r="945">
          <cell r="B945" t="str">
            <v>14010206090221</v>
          </cell>
          <cell r="C945" t="str">
            <v>LPC COFIDE FONDO CRECER VIG CMIE\DUPE   1ND</v>
          </cell>
        </row>
        <row r="946">
          <cell r="B946" t="str">
            <v>14010206090222</v>
          </cell>
          <cell r="C946" t="str">
            <v>LPC COFIDE FONDO CRECER VIG CMIE\NORM   1ND</v>
          </cell>
        </row>
        <row r="947">
          <cell r="B947" t="str">
            <v>14010206090223</v>
          </cell>
          <cell r="C947" t="str">
            <v>LPC REACTIVA PERU VIG CMIE\DUPE         1ND</v>
          </cell>
        </row>
        <row r="948">
          <cell r="B948" t="str">
            <v>14010206090224</v>
          </cell>
          <cell r="C948" t="str">
            <v>LPC REACTIVA PERU VIG CMIE\NORM         1ND</v>
          </cell>
        </row>
        <row r="949">
          <cell r="B949" t="str">
            <v>14010210000101</v>
          </cell>
          <cell r="C949" t="str">
            <v>PR LETRAS FACTORING MES VIG.            1ND</v>
          </cell>
        </row>
        <row r="950">
          <cell r="B950" t="str">
            <v>14010210000102</v>
          </cell>
          <cell r="C950" t="str">
            <v>PR FACTORING FACTURAS MES VIG           1ND</v>
          </cell>
        </row>
        <row r="951">
          <cell r="B951" t="str">
            <v>14010210000105</v>
          </cell>
          <cell r="C951" t="str">
            <v>PR FACT ELECTR LET/FACT VIG MES         1ND</v>
          </cell>
        </row>
        <row r="952">
          <cell r="B952" t="str">
            <v>14010210000106</v>
          </cell>
          <cell r="C952" t="str">
            <v>PR PERU FACTORING CAP. VIG MES          1ND</v>
          </cell>
        </row>
        <row r="953">
          <cell r="B953" t="str">
            <v>14010210000107</v>
          </cell>
          <cell r="C953" t="str">
            <v>PR FORFAITING EXPORTACIÃ“N VIG CMIE     1ND</v>
          </cell>
        </row>
        <row r="954">
          <cell r="B954" t="str">
            <v>14010210000108</v>
          </cell>
          <cell r="C954" t="str">
            <v>PR FACT INTERN VIG CMIE                 1ND</v>
          </cell>
        </row>
        <row r="955">
          <cell r="B955" t="str">
            <v>14010210000109</v>
          </cell>
          <cell r="C955" t="str">
            <v>FCD fAC. FIS. LET. VIG. CMIE DUPE       1ND</v>
          </cell>
        </row>
        <row r="956">
          <cell r="B956" t="str">
            <v>14010210000110</v>
          </cell>
          <cell r="C956" t="str">
            <v>FCD FAC. FIS. fAC.. VIG. CMIE DUPE      1ND</v>
          </cell>
        </row>
        <row r="957">
          <cell r="B957" t="str">
            <v>14010210000111</v>
          </cell>
          <cell r="C957" t="str">
            <v>FACT INTER IMPORT VIG. CMIE DUPE        1ND</v>
          </cell>
        </row>
        <row r="958">
          <cell r="B958" t="str">
            <v>14010210000112</v>
          </cell>
          <cell r="C958" t="str">
            <v>FACT INTER IMPORT  VIG. CMIE NORMAL     1ND</v>
          </cell>
        </row>
        <row r="959">
          <cell r="B959" t="str">
            <v>14010210000113</v>
          </cell>
          <cell r="C959" t="str">
            <v>FCD FACT INTER EXPO VIG NORM CMIE       1ND</v>
          </cell>
        </row>
        <row r="960">
          <cell r="B960" t="str">
            <v>14010210000114</v>
          </cell>
          <cell r="C960" t="str">
            <v>FCD FACT INTER EXPO VIG DUPE CMIE       1ND</v>
          </cell>
        </row>
        <row r="961">
          <cell r="B961" t="str">
            <v>14010210000115</v>
          </cell>
          <cell r="C961" t="str">
            <v>FCD FORFAITING EXPO VIG NORM CMIE       1ND</v>
          </cell>
        </row>
        <row r="962">
          <cell r="B962" t="str">
            <v>14010210000116</v>
          </cell>
          <cell r="C962" t="str">
            <v>FCD FORFAITING EXPO VIG DUPE CMIE       1ND</v>
          </cell>
        </row>
        <row r="963">
          <cell r="B963" t="str">
            <v>14010210000201</v>
          </cell>
          <cell r="C963" t="str">
            <v>FCD FACT ELECTR VIG DUDOSO CMIE         1ND</v>
          </cell>
        </row>
        <row r="964">
          <cell r="B964" t="str">
            <v>14010210000202</v>
          </cell>
          <cell r="C964" t="str">
            <v>FCD FACT INTER EXPO VIG NORM CMIE       1ND</v>
          </cell>
        </row>
        <row r="965">
          <cell r="B965" t="str">
            <v>14010210000203</v>
          </cell>
          <cell r="C965" t="str">
            <v>FCD FACT INTER EXPO VIG DUPE CMIE       1ND</v>
          </cell>
        </row>
        <row r="966">
          <cell r="B966" t="str">
            <v>14010211000101</v>
          </cell>
          <cell r="C966" t="str">
            <v>LPC LEASING EN PROCESO MES              1ND</v>
          </cell>
        </row>
        <row r="967">
          <cell r="B967" t="str">
            <v>14010211000102</v>
          </cell>
          <cell r="C967" t="str">
            <v>LPC LEASING DEL BIEN RP MES             1ND</v>
          </cell>
        </row>
        <row r="968">
          <cell r="B968" t="str">
            <v>14010211000103</v>
          </cell>
          <cell r="C968" t="str">
            <v>LPC LEASING DEL BIEN INT DIFERIDOS RP   1ND</v>
          </cell>
        </row>
        <row r="969">
          <cell r="B969" t="str">
            <v>14010211000104</v>
          </cell>
          <cell r="C969" t="str">
            <v>LPC LEASING SEGUROS RP MES              1ND</v>
          </cell>
        </row>
        <row r="970">
          <cell r="B970" t="str">
            <v>14010211000105</v>
          </cell>
          <cell r="C970" t="str">
            <v>LPC LEASING SEGUROS INT DIFERIDOS RP    1ND</v>
          </cell>
        </row>
        <row r="971">
          <cell r="B971" t="str">
            <v>14010211000106</v>
          </cell>
          <cell r="C971" t="str">
            <v>LPC LEASING IGV RP MES                  1ND</v>
          </cell>
        </row>
        <row r="972">
          <cell r="B972" t="str">
            <v>14010211000107</v>
          </cell>
          <cell r="C972" t="str">
            <v>LPC LEASING DEL BIEN D/P RP MES         1ND</v>
          </cell>
        </row>
        <row r="973">
          <cell r="B973" t="str">
            <v>14010211000108</v>
          </cell>
          <cell r="C973" t="str">
            <v>LPC LEASING DEL BIEN D/P INT DIFERIDO   1ND</v>
          </cell>
        </row>
        <row r="974">
          <cell r="B974" t="str">
            <v>14010211000109</v>
          </cell>
          <cell r="C974" t="str">
            <v>LPC LEASING D/P SEG RP MES              1ND</v>
          </cell>
        </row>
        <row r="975">
          <cell r="B975" t="str">
            <v>14010211000110</v>
          </cell>
          <cell r="C975" t="str">
            <v>REGISTRO CRUCE DE MONEDAS CHI LPC LEASIN1ND</v>
          </cell>
        </row>
        <row r="976">
          <cell r="B976" t="str">
            <v>14010211000111</v>
          </cell>
          <cell r="C976" t="str">
            <v>LPC LEASING D/P IGV RP MES              1ND</v>
          </cell>
        </row>
        <row r="977">
          <cell r="B977" t="str">
            <v>14010211000117</v>
          </cell>
          <cell r="C977" t="str">
            <v>LPC LSG ADJ.BIEN D/P INT DIF MES RP     1ND</v>
          </cell>
        </row>
        <row r="978">
          <cell r="B978" t="str">
            <v>14010211000118</v>
          </cell>
          <cell r="C978" t="str">
            <v>LPC LSG ADJ. D/P SEG INT DIF.MES RP     1ND</v>
          </cell>
        </row>
        <row r="979">
          <cell r="B979" t="str">
            <v>14010211000119</v>
          </cell>
          <cell r="C979" t="str">
            <v>LPC LSG ADJ. D/P SEG MES RP             1ND</v>
          </cell>
        </row>
        <row r="980">
          <cell r="B980" t="str">
            <v>14010211000120</v>
          </cell>
          <cell r="C980" t="str">
            <v>LPC LSG ADJ. DEL BIEN D/P MES RP        1ND</v>
          </cell>
        </row>
        <row r="981">
          <cell r="B981" t="str">
            <v>14010211000121</v>
          </cell>
          <cell r="C981" t="str">
            <v>LPC LSG ADJ. D/P IGV MES RP             1ND</v>
          </cell>
        </row>
        <row r="982">
          <cell r="B982" t="str">
            <v>14010211000150</v>
          </cell>
          <cell r="C982" t="str">
            <v>LPC PRI LEASING MYP CMIE                1ND</v>
          </cell>
        </row>
        <row r="983">
          <cell r="B983" t="str">
            <v>14010211000151</v>
          </cell>
          <cell r="C983" t="str">
            <v>LPC PDL LEASING MYP INT DIFERIDOS CMIE  1ND</v>
          </cell>
        </row>
        <row r="984">
          <cell r="B984" t="str">
            <v>14010211000152</v>
          </cell>
          <cell r="C984" t="str">
            <v>LPC PSG LEASING MYP  CMIE               1ND</v>
          </cell>
        </row>
        <row r="985">
          <cell r="B985" t="str">
            <v>14010211000153</v>
          </cell>
          <cell r="C985" t="str">
            <v>LPC PDS LEASING MYP INT DIFERIDOS CMIE  1ND</v>
          </cell>
        </row>
        <row r="986">
          <cell r="B986" t="str">
            <v>14010211000154</v>
          </cell>
          <cell r="C986" t="str">
            <v>LPC PIG LEASING IGV MYP CMIE            1ND</v>
          </cell>
        </row>
        <row r="987">
          <cell r="B987" t="str">
            <v>14010211000155</v>
          </cell>
          <cell r="C987" t="str">
            <v>LPC PIG LEASING IGV MYP D/P CMIE        1ND</v>
          </cell>
        </row>
        <row r="988">
          <cell r="B988" t="str">
            <v>14010211000156</v>
          </cell>
          <cell r="C988" t="str">
            <v>LPC PDL LEASING MYP INT DIF D/P CMIE    1ND</v>
          </cell>
        </row>
        <row r="989">
          <cell r="B989" t="str">
            <v>14010211000157</v>
          </cell>
          <cell r="C989" t="str">
            <v>LPC PSG LEASING MYP D/P CMIE            1ND</v>
          </cell>
        </row>
        <row r="990">
          <cell r="B990" t="str">
            <v>14010211000158</v>
          </cell>
          <cell r="C990" t="str">
            <v>LPC PDS LEASING MYP INT DIF D/P CMIE    1ND</v>
          </cell>
        </row>
        <row r="991">
          <cell r="B991" t="str">
            <v>14010211000159</v>
          </cell>
          <cell r="C991" t="str">
            <v>LPC LS D/P IGV BPE MES                  1ND</v>
          </cell>
        </row>
        <row r="992">
          <cell r="B992" t="str">
            <v>14010211000201</v>
          </cell>
          <cell r="C992" t="str">
            <v>LPC LEASING COFIDE INT DIF PDL CMIE     1ND</v>
          </cell>
        </row>
        <row r="993">
          <cell r="B993" t="str">
            <v>14010211000202</v>
          </cell>
          <cell r="C993" t="str">
            <v>LPC LS COFIDE SEGUROS INT DIF PDS CMIE  1ND</v>
          </cell>
        </row>
        <row r="994">
          <cell r="B994" t="str">
            <v>14010211000203</v>
          </cell>
          <cell r="C994" t="str">
            <v>LPC LEASING COFIDE SEGUROS PSG CMIE     1ND</v>
          </cell>
        </row>
        <row r="995">
          <cell r="B995" t="str">
            <v>14010211000204</v>
          </cell>
          <cell r="C995" t="str">
            <v>LPC LEASING COFIDE IGV PIG CMIE         1ND</v>
          </cell>
        </row>
        <row r="996">
          <cell r="B996" t="str">
            <v>14010211000205</v>
          </cell>
          <cell r="C996" t="str">
            <v>LPC LEASING COFIDE PRI CMIE             1ND</v>
          </cell>
        </row>
        <row r="997">
          <cell r="B997" t="str">
            <v>14010211000206</v>
          </cell>
          <cell r="C997" t="str">
            <v>LPC LS COFIDE D/P INT DIF PDL CMIE      1ND</v>
          </cell>
        </row>
        <row r="998">
          <cell r="B998" t="str">
            <v>14010211000207</v>
          </cell>
          <cell r="C998" t="str">
            <v>LPC LS COFIDE D/P SEG INT DIF PDS CMIE  1ND</v>
          </cell>
        </row>
        <row r="999">
          <cell r="B999" t="str">
            <v>14010211000208</v>
          </cell>
          <cell r="C999" t="str">
            <v>LPC LS COFIDE D/P SEG PSG CMIE          1ND</v>
          </cell>
        </row>
        <row r="1000">
          <cell r="B1000" t="str">
            <v>14010211000209</v>
          </cell>
          <cell r="C1000" t="str">
            <v>LPC LEASING COFIDE D/P IGV PIG CMIE     1ND</v>
          </cell>
        </row>
        <row r="1001">
          <cell r="B1001" t="str">
            <v>14010211000210</v>
          </cell>
          <cell r="C1001" t="str">
            <v>LPC LEASING COFIDE D/P PRI CMIE         1ND</v>
          </cell>
        </row>
        <row r="1002">
          <cell r="B1002" t="str">
            <v>14010212000101</v>
          </cell>
          <cell r="C1002" t="str">
            <v>LPC LEASEBACK DEL BIEN RP MES           1ND</v>
          </cell>
        </row>
        <row r="1003">
          <cell r="B1003" t="str">
            <v>14010212000102</v>
          </cell>
          <cell r="C1003" t="str">
            <v>LPC LEASEBACK DEL BIEN INT DIFER RP MES 1ND</v>
          </cell>
        </row>
        <row r="1004">
          <cell r="B1004" t="str">
            <v>14010212000103</v>
          </cell>
          <cell r="C1004" t="str">
            <v>LPC LEASEBACK SEGUROS RP MES            1ND</v>
          </cell>
        </row>
        <row r="1005">
          <cell r="B1005" t="str">
            <v>14010212000104</v>
          </cell>
          <cell r="C1005" t="str">
            <v>LPC LEASEBACK SEG INT DIFERIDOS RP MES  1ND</v>
          </cell>
        </row>
        <row r="1006">
          <cell r="B1006" t="str">
            <v>14010212000105</v>
          </cell>
          <cell r="C1006" t="str">
            <v>LPC LEASE BACK IGV RP MES               1ND</v>
          </cell>
        </row>
        <row r="1007">
          <cell r="B1007" t="str">
            <v>14010212000106</v>
          </cell>
          <cell r="C1007" t="str">
            <v>LPC LSBACK DEL BIEN D/P RP MES          1ND</v>
          </cell>
        </row>
        <row r="1008">
          <cell r="B1008" t="str">
            <v>14010212000107</v>
          </cell>
          <cell r="C1008" t="str">
            <v>LPC LEASEBACK DEL BIEN D/P INT DIFE RP M1ND</v>
          </cell>
        </row>
        <row r="1009">
          <cell r="B1009" t="str">
            <v>14010212000108</v>
          </cell>
          <cell r="C1009" t="str">
            <v>LPC LEASEBACK D/P SEG RP CMIE           1ND</v>
          </cell>
        </row>
        <row r="1010">
          <cell r="B1010" t="str">
            <v>14010212000109</v>
          </cell>
          <cell r="C1010" t="str">
            <v>LPC LSBACK D/P SEG INT DIFERIDOS RP CMIE1ND</v>
          </cell>
        </row>
        <row r="1011">
          <cell r="B1011" t="str">
            <v>14010212000110</v>
          </cell>
          <cell r="C1011" t="str">
            <v>LPC LSBACK D/P IGV RP MES               1ND</v>
          </cell>
        </row>
        <row r="1012">
          <cell r="B1012" t="str">
            <v>14010221000101</v>
          </cell>
          <cell r="C1012" t="str">
            <v>CL CXL CC ACEP. VIG-MES                 1ND</v>
          </cell>
        </row>
        <row r="1013">
          <cell r="B1013" t="str">
            <v>14010221000102</v>
          </cell>
          <cell r="C1013" t="str">
            <v>CL CXL AVA. X ACEP.-VIG.-MES            1ND</v>
          </cell>
        </row>
        <row r="1014">
          <cell r="B1014" t="str">
            <v>14010221000103</v>
          </cell>
          <cell r="C1014" t="str">
            <v>CL CXL CC AVAL VIG.-MES                 1ND</v>
          </cell>
        </row>
        <row r="1015">
          <cell r="B1015" t="str">
            <v>14010221000104</v>
          </cell>
          <cell r="C1015" t="str">
            <v>CL CXL CAR. CRED. VISTA VIG.-MES        1ND</v>
          </cell>
        </row>
        <row r="1016">
          <cell r="B1016" t="str">
            <v>14010221000105</v>
          </cell>
          <cell r="C1016" t="str">
            <v>CL CXL STAND BYE VIG.-MES               1ND</v>
          </cell>
        </row>
        <row r="1017">
          <cell r="B1017" t="str">
            <v>14010221000201</v>
          </cell>
          <cell r="C1017" t="str">
            <v>CL CRED.POR LIQ. CARTA FIANZA VIG CMIE  1ND</v>
          </cell>
        </row>
        <row r="1018">
          <cell r="B1018" t="str">
            <v>14010226000101</v>
          </cell>
          <cell r="C1018" t="str">
            <v>CL PAG. EXP PRE EM.RP MES VIG           1ND</v>
          </cell>
        </row>
        <row r="1019">
          <cell r="B1019" t="str">
            <v>14010226000102</v>
          </cell>
          <cell r="C1019" t="str">
            <v>CL PAG.PRE EX EMBAR. DUD./PER. VIG. M   1ND</v>
          </cell>
        </row>
        <row r="1020">
          <cell r="B1020" t="str">
            <v>14010226000106</v>
          </cell>
          <cell r="C1020" t="str">
            <v>CL PAG. EXP POST EMB RP VIG MES         1ND</v>
          </cell>
        </row>
        <row r="1021">
          <cell r="B1021" t="str">
            <v>14010226000109</v>
          </cell>
          <cell r="C1021" t="str">
            <v>CL PAG. IMPOR RP MES VIG                1ND</v>
          </cell>
        </row>
        <row r="1022">
          <cell r="B1022" t="str">
            <v>14010226000110</v>
          </cell>
          <cell r="C1022" t="str">
            <v>CL PAG. IMPORT. RP D/P VIG MES          1ND</v>
          </cell>
        </row>
        <row r="1023">
          <cell r="B1023" t="str">
            <v>14010226000114</v>
          </cell>
          <cell r="C1023" t="str">
            <v>MYP IMPORT REC PROP MES VIG             1ND</v>
          </cell>
        </row>
        <row r="1024">
          <cell r="B1024" t="str">
            <v>14010226000115</v>
          </cell>
          <cell r="C1024" t="str">
            <v>MYP D/P IMPOR REC PROP MES VIG          1ND</v>
          </cell>
        </row>
        <row r="1025">
          <cell r="B1025" t="str">
            <v>14010226000116</v>
          </cell>
          <cell r="C1025" t="str">
            <v>MYP EXPORT.POST EMB PROP VIG CPEM       1ND</v>
          </cell>
        </row>
        <row r="1026">
          <cell r="B1026" t="str">
            <v>14010226000117</v>
          </cell>
          <cell r="C1026" t="str">
            <v>MYP D/P EXPOR.POST EMB VIG CPEM         1ND</v>
          </cell>
        </row>
        <row r="1027">
          <cell r="B1027" t="str">
            <v>14010226000118</v>
          </cell>
          <cell r="C1027" t="str">
            <v>MYP EXPORT.PRE EMBARQUE REC PROP        1ND</v>
          </cell>
        </row>
        <row r="1028">
          <cell r="B1028" t="str">
            <v>14010226000119</v>
          </cell>
          <cell r="C1028" t="str">
            <v>MYP D/P EXPORT.PRE EMBARQ VIG CPEM      1ND</v>
          </cell>
        </row>
        <row r="1029">
          <cell r="B1029" t="str">
            <v>14010226000120</v>
          </cell>
          <cell r="C1029" t="str">
            <v>MYP FINANC IMPORT CAPITAL DE TRAB MES   1ND</v>
          </cell>
        </row>
        <row r="1030">
          <cell r="B1030" t="str">
            <v>14010226000121</v>
          </cell>
          <cell r="C1030" t="str">
            <v>MYP FINANC IMPORT ACT FIJO MES VIG      1ND</v>
          </cell>
        </row>
        <row r="1031">
          <cell r="B1031" t="str">
            <v>14010226000122</v>
          </cell>
          <cell r="C1031" t="str">
            <v>MYP FINANC IMPORT CAPITAL DE TRAB MES   1ND</v>
          </cell>
        </row>
        <row r="1032">
          <cell r="B1032" t="str">
            <v>14010226000123</v>
          </cell>
          <cell r="C1032" t="str">
            <v>MYP FINANC IMPORT ACT FIJO  MES  VIG    1ND</v>
          </cell>
        </row>
        <row r="1033">
          <cell r="B1033" t="str">
            <v>14010226000201</v>
          </cell>
          <cell r="C1033" t="str">
            <v>LPC PAGARE IMPORT RP MES VIG            1ND</v>
          </cell>
        </row>
        <row r="1034">
          <cell r="B1034" t="str">
            <v>14010226000202</v>
          </cell>
          <cell r="C1034" t="str">
            <v>LPC PAGARE IMPORT RP MES D/P VIG        1ND</v>
          </cell>
        </row>
        <row r="1035">
          <cell r="B1035" t="str">
            <v>14010226000203</v>
          </cell>
          <cell r="C1035" t="str">
            <v>LPC FINANC PRE EMBARQUE-SEPYMEX CMIE    1ND</v>
          </cell>
        </row>
        <row r="1036">
          <cell r="B1036" t="str">
            <v>14010226000204</v>
          </cell>
          <cell r="C1036" t="str">
            <v>LPC FINANC PRE EMBARQUE  D/P-SEPYMEX CMI1ND</v>
          </cell>
        </row>
        <row r="1037">
          <cell r="B1037" t="str">
            <v>14010226000205</v>
          </cell>
          <cell r="C1037" t="str">
            <v>LPC PRE EMBARQUE FINANC. VIG. NORM CMIE 1ND</v>
          </cell>
        </row>
        <row r="1038">
          <cell r="B1038" t="str">
            <v>14010226000206</v>
          </cell>
          <cell r="C1038" t="str">
            <v>LPC PRE EMBARQUE FINANC. VIG. DUPE CMIE 1ND</v>
          </cell>
        </row>
        <row r="1039">
          <cell r="B1039" t="str">
            <v>14010226000207</v>
          </cell>
          <cell r="C1039" t="str">
            <v>LPC POST EMBARQUE FINANC. VIG. NORM CMIE1ND</v>
          </cell>
        </row>
        <row r="1040">
          <cell r="B1040" t="str">
            <v>14010226000208</v>
          </cell>
          <cell r="C1040" t="str">
            <v>LPC POST EMBARQUE FINANC. VIG. DUPE CMIE1ND</v>
          </cell>
        </row>
        <row r="1041">
          <cell r="B1041" t="str">
            <v>14010226000209</v>
          </cell>
          <cell r="C1041" t="str">
            <v>LPC IMPORT. CARTA CREDITO  FINANC. VIG. 1ND</v>
          </cell>
        </row>
        <row r="1042">
          <cell r="B1042" t="str">
            <v>14010226000210</v>
          </cell>
          <cell r="C1042" t="str">
            <v>LPC IMPORT. CARTA CREDITO  FINANC. VIG. 1ND</v>
          </cell>
        </row>
        <row r="1043">
          <cell r="B1043" t="str">
            <v>14010226000211</v>
          </cell>
          <cell r="C1043" t="str">
            <v>LPC IMPORT.  FINANC. VIG. NORM CMIE     1ND</v>
          </cell>
        </row>
        <row r="1044">
          <cell r="B1044" t="str">
            <v>14010226000212</v>
          </cell>
          <cell r="C1044" t="str">
            <v>LPC IMPORT.  FINANC. VIG. DUPE CMIE     1ND</v>
          </cell>
        </row>
        <row r="1045">
          <cell r="B1045" t="str">
            <v>14010301000101</v>
          </cell>
          <cell r="C1045" t="str">
            <v>AVANCES EN CTA CTE CONTRATADOS PN       1ND</v>
          </cell>
        </row>
        <row r="1046">
          <cell r="B1046" t="str">
            <v>14010301000102</v>
          </cell>
          <cell r="C1046" t="str">
            <v>CTAS CTES DEUDORAS PN                   1ND</v>
          </cell>
        </row>
        <row r="1047">
          <cell r="B1047" t="str">
            <v>14010301000103</v>
          </cell>
          <cell r="C1047" t="str">
            <v>BL AVANCES CTA.CTE.PN-BL                1ND</v>
          </cell>
        </row>
        <row r="1048">
          <cell r="B1048" t="str">
            <v>14010301000105</v>
          </cell>
          <cell r="C1048" t="str">
            <v>AVANCES CTA CTE CONTRAT PJ S/F LUCRO    1ND</v>
          </cell>
        </row>
        <row r="1049">
          <cell r="B1049" t="str">
            <v>14010302010101</v>
          </cell>
          <cell r="C1049" t="str">
            <v>TC VISA COLOC.REVOLV.DISP.EFECTIVO      1ND</v>
          </cell>
        </row>
        <row r="1050">
          <cell r="B1050" t="str">
            <v>14010302010102</v>
          </cell>
          <cell r="C1050" t="str">
            <v>TC AMEX COLOC.REVOLV.DISP.EFECTIVO      1ND</v>
          </cell>
        </row>
        <row r="1051">
          <cell r="B1051" t="str">
            <v>14010302010103</v>
          </cell>
          <cell r="C1051" t="str">
            <v>TC MASTERCARD COLOC.REVOLV.DISP.EFECTIVO1ND</v>
          </cell>
        </row>
        <row r="1052">
          <cell r="B1052" t="str">
            <v>14010302010104</v>
          </cell>
          <cell r="C1052" t="str">
            <v>TC VEA COLOC.REVOLV.DISP.EFECTIVO       1ND</v>
          </cell>
        </row>
        <row r="1053">
          <cell r="B1053" t="str">
            <v>14010302010105</v>
          </cell>
          <cell r="C1053" t="str">
            <v>TC COLOC. DISP.EFECTIVO EN CUOTAS       1ND</v>
          </cell>
        </row>
        <row r="1054">
          <cell r="B1054" t="str">
            <v>14010302010106</v>
          </cell>
          <cell r="C1054" t="str">
            <v>TC COLOC. VEA DISP. EFECTIVO EN CUOTAS  1ND</v>
          </cell>
        </row>
        <row r="1055">
          <cell r="B1055" t="str">
            <v>14010302010108</v>
          </cell>
          <cell r="C1055" t="str">
            <v>TC COLOC.CUOTAS DISP.EFECTIVO EMPLEAD   1ND</v>
          </cell>
        </row>
        <row r="1056">
          <cell r="B1056" t="str">
            <v>14010302010109</v>
          </cell>
          <cell r="C1056" t="str">
            <v>TC COLOC. EXTRACASH                     1ND</v>
          </cell>
        </row>
        <row r="1057">
          <cell r="B1057" t="str">
            <v>14010302010110</v>
          </cell>
          <cell r="C1057" t="str">
            <v>TC COLOC. VEA EXTRACASH                 1ND</v>
          </cell>
        </row>
        <row r="1058">
          <cell r="B1058" t="str">
            <v>14010302010111</v>
          </cell>
          <cell r="C1058" t="str">
            <v>TC COMPRA DE DEUDA INTERNA              1ND</v>
          </cell>
        </row>
        <row r="1059">
          <cell r="B1059" t="str">
            <v>14010302010112</v>
          </cell>
          <cell r="C1059" t="str">
            <v>TC COMPRA DE DEUDA VEA                  1ND</v>
          </cell>
        </row>
        <row r="1060">
          <cell r="B1060" t="str">
            <v>14010302010113</v>
          </cell>
          <cell r="C1060" t="str">
            <v>TC COMPRA DE DEUDA                      1ND</v>
          </cell>
        </row>
        <row r="1061">
          <cell r="B1061" t="str">
            <v>14010302010115</v>
          </cell>
          <cell r="C1061" t="str">
            <v>TC VISA D/E REV VIG CCRV                1ND</v>
          </cell>
        </row>
        <row r="1062">
          <cell r="B1062" t="str">
            <v>14010302010116</v>
          </cell>
          <cell r="C1062" t="str">
            <v>TC VISA D/E CUOTAS VIG CCRV             1ND</v>
          </cell>
        </row>
        <row r="1063">
          <cell r="B1063" t="str">
            <v>14010302010117</v>
          </cell>
          <cell r="C1063" t="str">
            <v>TC AMEX D/E CUOTAS VIG CCRV             1ND</v>
          </cell>
        </row>
        <row r="1064">
          <cell r="B1064" t="str">
            <v>14010302010118</v>
          </cell>
          <cell r="C1064" t="str">
            <v>TC AMEX D/E REV VIG CCRV                1ND</v>
          </cell>
        </row>
        <row r="1065">
          <cell r="B1065" t="str">
            <v>14010302010119</v>
          </cell>
          <cell r="C1065" t="str">
            <v>TC MC D/E CUOTAS VIG CCRV               1ND</v>
          </cell>
        </row>
        <row r="1066">
          <cell r="B1066" t="str">
            <v>14010302010120</v>
          </cell>
          <cell r="C1066" t="str">
            <v>TC MC D/E REV VIG CCRV                  1ND</v>
          </cell>
        </row>
        <row r="1067">
          <cell r="B1067" t="str">
            <v>14010302010201</v>
          </cell>
          <cell r="C1067" t="str">
            <v>TC COLOC. DISP.EFECTIVO EMPLEADOS       1ND</v>
          </cell>
        </row>
        <row r="1068">
          <cell r="B1068" t="str">
            <v>14010302010202</v>
          </cell>
          <cell r="C1068" t="str">
            <v>TC COLOC.CUOTAS DISP.EFECTIVO EMPLEAD   1ND</v>
          </cell>
        </row>
        <row r="1069">
          <cell r="B1069" t="str">
            <v>14010302010203</v>
          </cell>
          <cell r="C1069" t="str">
            <v>BTC VISA D/E REV VIG CCRV               1ND</v>
          </cell>
        </row>
        <row r="1070">
          <cell r="B1070" t="str">
            <v>14010302010204</v>
          </cell>
          <cell r="C1070" t="str">
            <v>BTC VISA D/E CUOTAS VIG CCRV            1ND</v>
          </cell>
        </row>
        <row r="1071">
          <cell r="B1071" t="str">
            <v>14010302010205</v>
          </cell>
          <cell r="C1071" t="str">
            <v>TC VISA EXTRACASH VIG CCNR              1ND</v>
          </cell>
        </row>
        <row r="1072">
          <cell r="B1072" t="str">
            <v>14010302010206</v>
          </cell>
          <cell r="C1072" t="str">
            <v>TC AMEX EXTRACASH VIG CCNR              1ND</v>
          </cell>
        </row>
        <row r="1073">
          <cell r="B1073" t="str">
            <v>14010302010207</v>
          </cell>
          <cell r="C1073" t="str">
            <v>TC MC EXTRACASH VIG CCNR                1ND</v>
          </cell>
        </row>
        <row r="1074">
          <cell r="B1074" t="str">
            <v>14010302010208</v>
          </cell>
          <cell r="C1074" t="str">
            <v>TC VISA EXTRACASH VIG CCNR              1ND</v>
          </cell>
        </row>
        <row r="1075">
          <cell r="B1075" t="str">
            <v>14010302010209</v>
          </cell>
          <cell r="C1075" t="str">
            <v>TC AMEX EXTRACASH VIG CCNR              1ND</v>
          </cell>
        </row>
        <row r="1076">
          <cell r="B1076" t="str">
            <v>14010302010210</v>
          </cell>
          <cell r="C1076" t="str">
            <v>TC MC EXTRACASH VIG CCNR                1ND</v>
          </cell>
        </row>
        <row r="1077">
          <cell r="B1077" t="str">
            <v>14010302010211</v>
          </cell>
          <cell r="C1077" t="str">
            <v>BTC VISA D/E CUOTAS VIG CCRV            1ND</v>
          </cell>
        </row>
        <row r="1078">
          <cell r="B1078" t="str">
            <v>14010302020101</v>
          </cell>
          <cell r="C1078" t="str">
            <v>TC VISA COLOC.REVOLV COMPRAS            1ND</v>
          </cell>
        </row>
        <row r="1079">
          <cell r="B1079" t="str">
            <v>14010302020102</v>
          </cell>
          <cell r="C1079" t="str">
            <v>TC AMEX COLOC.REVOLV COMPRAS            1ND</v>
          </cell>
        </row>
        <row r="1080">
          <cell r="B1080" t="str">
            <v>14010302020103</v>
          </cell>
          <cell r="C1080" t="str">
            <v>TC MC COLOC.REVOLV COMPRAS              1ND</v>
          </cell>
        </row>
        <row r="1081">
          <cell r="B1081" t="str">
            <v>14010302020104</v>
          </cell>
          <cell r="C1081" t="str">
            <v>TC VEA COLOC.REVOLV COMPRAS             1ND</v>
          </cell>
        </row>
        <row r="1082">
          <cell r="B1082" t="str">
            <v>14010302020105</v>
          </cell>
          <cell r="C1082" t="str">
            <v>TC COLOC.COMPRAS EN CUOTAS              1ND</v>
          </cell>
        </row>
        <row r="1083">
          <cell r="B1083" t="str">
            <v>14010302020106</v>
          </cell>
          <cell r="C1083" t="str">
            <v>TC COLOC. VEA COMPRAS EN CUOTAS         1ND</v>
          </cell>
        </row>
        <row r="1084">
          <cell r="B1084" t="str">
            <v>14010302020108</v>
          </cell>
          <cell r="C1084" t="str">
            <v>TC COLOC.CUOTAS COMPRAS EMPLEADOS       1ND</v>
          </cell>
        </row>
        <row r="1085">
          <cell r="B1085" t="str">
            <v>14010302020110</v>
          </cell>
          <cell r="C1085" t="str">
            <v>TC VISA COMPRA REV VIG CCRV             1ND</v>
          </cell>
        </row>
        <row r="1086">
          <cell r="B1086" t="str">
            <v>14010302020111</v>
          </cell>
          <cell r="C1086" t="str">
            <v>TC VISA COMPRA CUOTAS VIG CCRV          1ND</v>
          </cell>
        </row>
        <row r="1087">
          <cell r="B1087" t="str">
            <v>14010302020112</v>
          </cell>
          <cell r="C1087" t="str">
            <v>TC AMEX COMPRA CUOTAS VIG CCRV          1ND</v>
          </cell>
        </row>
        <row r="1088">
          <cell r="B1088" t="str">
            <v>14010302020113</v>
          </cell>
          <cell r="C1088" t="str">
            <v>TC AMEX COMPRA REV VIG CCRV             1ND</v>
          </cell>
        </row>
        <row r="1089">
          <cell r="B1089" t="str">
            <v>14010302020114</v>
          </cell>
          <cell r="C1089" t="str">
            <v>TC MC COMPRA CUOTAS VIG CCRV            1ND</v>
          </cell>
        </row>
        <row r="1090">
          <cell r="B1090" t="str">
            <v>14010302020115</v>
          </cell>
          <cell r="C1090" t="str">
            <v>TC MC COMPRA REV VIG CCRV               1ND</v>
          </cell>
        </row>
        <row r="1091">
          <cell r="B1091" t="str">
            <v>14010302020201</v>
          </cell>
          <cell r="C1091" t="str">
            <v>TC REPROGRAMACION CON VIG               1ND</v>
          </cell>
        </row>
        <row r="1092">
          <cell r="B1092" t="str">
            <v>14010302020301</v>
          </cell>
          <cell r="C1092" t="str">
            <v>TC COLOC.COMPRAS EMPLEADOS              1ND</v>
          </cell>
        </row>
        <row r="1093">
          <cell r="B1093" t="str">
            <v>14010302020302</v>
          </cell>
          <cell r="C1093" t="str">
            <v>TC COLOC.CUOTAS COMPRAS EMPLEADOS       1ND</v>
          </cell>
        </row>
        <row r="1094">
          <cell r="B1094" t="str">
            <v>14010302020303</v>
          </cell>
          <cell r="C1094" t="str">
            <v>BTC VISA COMPRA REV VIG CCRV            1ND</v>
          </cell>
        </row>
        <row r="1095">
          <cell r="B1095" t="str">
            <v>14010302020304</v>
          </cell>
          <cell r="C1095" t="str">
            <v>BTC VISA COMPRA CUOTAS VIG CCRV         1ND</v>
          </cell>
        </row>
        <row r="1096">
          <cell r="B1096" t="str">
            <v>14010302020305</v>
          </cell>
          <cell r="C1096" t="str">
            <v>TC AMEX REPROG REV VIG CCRV             1ND</v>
          </cell>
        </row>
        <row r="1097">
          <cell r="B1097" t="str">
            <v>14010302020306</v>
          </cell>
          <cell r="C1097" t="str">
            <v>TC MC REPROG REV VIG CCRV               1ND</v>
          </cell>
        </row>
        <row r="1098">
          <cell r="B1098" t="str">
            <v>14010302020307</v>
          </cell>
          <cell r="C1098" t="str">
            <v>TC VISA REPROG REV VIG CCRV             1ND</v>
          </cell>
        </row>
        <row r="1099">
          <cell r="B1099" t="str">
            <v>14010302020308</v>
          </cell>
          <cell r="C1099" t="str">
            <v>HPC CAPVIGTC FINAN PROVREFIN            1ND</v>
          </cell>
        </row>
        <row r="1100">
          <cell r="B1100" t="str">
            <v>14010302020309</v>
          </cell>
          <cell r="C1100" t="str">
            <v>TC AMEX REPROG REV VIG CCRV             1ND</v>
          </cell>
        </row>
        <row r="1101">
          <cell r="B1101" t="str">
            <v>14010302020310</v>
          </cell>
          <cell r="C1101" t="str">
            <v>TC MC REPROG REV VIG CCRV               1ND</v>
          </cell>
        </row>
        <row r="1102">
          <cell r="B1102" t="str">
            <v>14010302020311</v>
          </cell>
          <cell r="C1102" t="str">
            <v>TC VISA REPROG REV VIG CCRV             1ND</v>
          </cell>
        </row>
        <row r="1103">
          <cell r="B1103" t="str">
            <v>14010302020312</v>
          </cell>
          <cell r="C1103" t="str">
            <v>HPC CAPVIGTC FINAN PROVREFIN            1ND</v>
          </cell>
        </row>
        <row r="1104">
          <cell r="B1104" t="str">
            <v>14010302020313</v>
          </cell>
          <cell r="C1104" t="str">
            <v>TC VISA EXTRACASH VIG                   1ND</v>
          </cell>
        </row>
        <row r="1105">
          <cell r="B1105" t="str">
            <v>14010302020314</v>
          </cell>
          <cell r="C1105" t="str">
            <v>TC AMEX EXTRACASH VIG                   1ND</v>
          </cell>
        </row>
        <row r="1106">
          <cell r="B1106" t="str">
            <v>14010302020315</v>
          </cell>
          <cell r="C1106" t="str">
            <v>TC MC EXTRACASH VIG                     1ND</v>
          </cell>
        </row>
        <row r="1107">
          <cell r="B1107" t="str">
            <v>14010302020316</v>
          </cell>
          <cell r="C1107" t="str">
            <v>TC AMEX REPROG PAR VIG                  1ND</v>
          </cell>
        </row>
        <row r="1108">
          <cell r="B1108" t="str">
            <v>14010302020317</v>
          </cell>
          <cell r="C1108" t="str">
            <v>TC MC REPROG PAR VIG                    1ND</v>
          </cell>
        </row>
        <row r="1109">
          <cell r="B1109" t="str">
            <v>14010302020318</v>
          </cell>
          <cell r="C1109" t="str">
            <v>TC VISA REPROG PAR VIG                  1ND</v>
          </cell>
        </row>
        <row r="1110">
          <cell r="B1110" t="str">
            <v>14010302020319</v>
          </cell>
          <cell r="C1110" t="str">
            <v>CDO VISA EXTRACASH REV VIG CCRV         1ND</v>
          </cell>
        </row>
        <row r="1111">
          <cell r="B1111" t="str">
            <v>14010302020320</v>
          </cell>
          <cell r="C1111" t="str">
            <v>CDO MC EXTRACASH REV VIG CCRV           1ND</v>
          </cell>
        </row>
        <row r="1112">
          <cell r="B1112" t="str">
            <v>14010302020321</v>
          </cell>
          <cell r="C1112" t="str">
            <v>CDO AMEX EXTRACASH REV VIG CCRV         1ND</v>
          </cell>
        </row>
        <row r="1113">
          <cell r="B1113" t="str">
            <v>14010302030100</v>
          </cell>
          <cell r="C1113" t="str">
            <v>TC VISA CDEUDA REV VIG CCRV             1ND</v>
          </cell>
        </row>
        <row r="1114">
          <cell r="B1114" t="str">
            <v>14010302030101</v>
          </cell>
          <cell r="C1114" t="str">
            <v>TC VISA CDEUDA PAR VIG CCNR             1ND</v>
          </cell>
        </row>
        <row r="1115">
          <cell r="B1115" t="str">
            <v>14010302030102</v>
          </cell>
          <cell r="C1115" t="str">
            <v>TC AMEX CDEUDA PAR VIG CCNR             1ND</v>
          </cell>
        </row>
        <row r="1116">
          <cell r="B1116" t="str">
            <v>14010302030103</v>
          </cell>
          <cell r="C1116" t="str">
            <v>TC AMEX CDEUDA REV VIG CCRV             1ND</v>
          </cell>
        </row>
        <row r="1117">
          <cell r="B1117" t="str">
            <v>14010302030104</v>
          </cell>
          <cell r="C1117" t="str">
            <v>TC MC CDEUDA PAR VIG CCNR               1ND</v>
          </cell>
        </row>
        <row r="1118">
          <cell r="B1118" t="str">
            <v>14010302030105</v>
          </cell>
          <cell r="C1118" t="str">
            <v>TC MC CDEUDA REV VIG CCRV               1ND</v>
          </cell>
        </row>
        <row r="1119">
          <cell r="B1119" t="str">
            <v>14010302030106</v>
          </cell>
          <cell r="C1119" t="str">
            <v>TC VISA CDEUDA REV VIG CCRV             1ND</v>
          </cell>
        </row>
        <row r="1120">
          <cell r="B1120" t="str">
            <v>14010302030107</v>
          </cell>
          <cell r="C1120" t="str">
            <v>TC VISA CDEUDA PAR VIG CCNR             1ND</v>
          </cell>
        </row>
        <row r="1121">
          <cell r="B1121" t="str">
            <v>14010302030108</v>
          </cell>
          <cell r="C1121" t="str">
            <v>TC AMEX CDEUDA PAR VIG CCNR             1ND</v>
          </cell>
        </row>
        <row r="1122">
          <cell r="B1122" t="str">
            <v>14010302030109</v>
          </cell>
          <cell r="C1122" t="str">
            <v>TC AMEX CDEUDA REV VIG CCRV             1ND</v>
          </cell>
        </row>
        <row r="1123">
          <cell r="B1123" t="str">
            <v>14010302030110</v>
          </cell>
          <cell r="C1123" t="str">
            <v>TC MC CDEUDA PAR VIG CCNR               1ND</v>
          </cell>
        </row>
        <row r="1124">
          <cell r="B1124" t="str">
            <v>14010302030111</v>
          </cell>
          <cell r="C1124" t="str">
            <v>TC MC CDEUDA REV VIG CCRV               1ND</v>
          </cell>
        </row>
        <row r="1125">
          <cell r="B1125" t="str">
            <v>14010302030112</v>
          </cell>
          <cell r="C1125" t="str">
            <v>TC AMEX CDEUDA PAR VIG                  1ND</v>
          </cell>
        </row>
        <row r="1126">
          <cell r="B1126" t="str">
            <v>14010302030113</v>
          </cell>
          <cell r="C1126" t="str">
            <v>TC MC CDEUDA PAR VIG                    1ND</v>
          </cell>
        </row>
        <row r="1127">
          <cell r="B1127" t="str">
            <v>14010302030114</v>
          </cell>
          <cell r="C1127" t="str">
            <v>TC VISA CDEUDA PAR VIG                  1ND</v>
          </cell>
        </row>
        <row r="1128">
          <cell r="B1128" t="str">
            <v>14010302090101</v>
          </cell>
          <cell r="C1128" t="str">
            <v>TC COLOC. EXTRACASH                     1ND</v>
          </cell>
        </row>
        <row r="1129">
          <cell r="B1129" t="str">
            <v>14010302090102</v>
          </cell>
          <cell r="C1129" t="str">
            <v>TC  COLOC. VEA EXTRACASH                1ND</v>
          </cell>
        </row>
        <row r="1130">
          <cell r="B1130" t="str">
            <v>14010302090103</v>
          </cell>
          <cell r="C1130" t="str">
            <v>TC COMPRA DE DEUDA INTERNA              1ND</v>
          </cell>
        </row>
        <row r="1131">
          <cell r="B1131" t="str">
            <v>14010302090104</v>
          </cell>
          <cell r="C1131" t="str">
            <v>TC COMPRA DE DEUDA VEA                  1ND</v>
          </cell>
        </row>
        <row r="1132">
          <cell r="B1132" t="str">
            <v>14010302090105</v>
          </cell>
          <cell r="C1132" t="str">
            <v>TC COMPRA DE DEUDA REV.                 1ND</v>
          </cell>
        </row>
        <row r="1133">
          <cell r="B1133" t="str">
            <v>14010302090106</v>
          </cell>
          <cell r="C1133" t="str">
            <v>TC COMPRA DEUDA PARALELA VIG. CCNR      1ND</v>
          </cell>
        </row>
        <row r="1134">
          <cell r="B1134" t="str">
            <v>14010302090107</v>
          </cell>
          <cell r="C1134" t="str">
            <v>TC REPROGRAMACION VIG. CCRV             1ND</v>
          </cell>
        </row>
        <row r="1135">
          <cell r="B1135" t="str">
            <v>14010302090108</v>
          </cell>
          <cell r="C1135" t="str">
            <v>TC REPROGRAMACION VIG. CCNR             1ND</v>
          </cell>
        </row>
        <row r="1136">
          <cell r="B1136" t="str">
            <v>14010302090109</v>
          </cell>
          <cell r="C1136" t="str">
            <v>TC VISA EXTRACASH VIG CCNR              1ND</v>
          </cell>
        </row>
        <row r="1137">
          <cell r="B1137" t="str">
            <v>14010302090110</v>
          </cell>
          <cell r="C1137" t="str">
            <v>TC VISA CDEUDA REV VIG CCRV             1ND</v>
          </cell>
        </row>
        <row r="1138">
          <cell r="B1138" t="str">
            <v>14010302090111</v>
          </cell>
          <cell r="C1138" t="str">
            <v>TC VISA CDEUDA PAR VIG CCNR             1ND</v>
          </cell>
        </row>
        <row r="1139">
          <cell r="B1139" t="str">
            <v>14010302090112</v>
          </cell>
          <cell r="C1139" t="str">
            <v>TC AMEX CDEUDA PAR VIG CCNR             1ND</v>
          </cell>
        </row>
        <row r="1140">
          <cell r="B1140" t="str">
            <v>14010302090113</v>
          </cell>
          <cell r="C1140" t="str">
            <v>TC AMEX CDEUDA REV VIG CCRV             1ND</v>
          </cell>
        </row>
        <row r="1141">
          <cell r="B1141" t="str">
            <v>14010302090114</v>
          </cell>
          <cell r="C1141" t="str">
            <v>TC AMEX EXTRACASH VIG CCNR              1ND</v>
          </cell>
        </row>
        <row r="1142">
          <cell r="B1142" t="str">
            <v>14010302090115</v>
          </cell>
          <cell r="C1142" t="str">
            <v>TC AMEX REPROG PAR VIG CCNR             1ND</v>
          </cell>
        </row>
        <row r="1143">
          <cell r="B1143" t="str">
            <v>14010302090116</v>
          </cell>
          <cell r="C1143" t="str">
            <v>TC AMEX REPROG REV VIG CCRV             1ND</v>
          </cell>
        </row>
        <row r="1144">
          <cell r="B1144" t="str">
            <v>14010302090117</v>
          </cell>
          <cell r="C1144" t="str">
            <v>TC MC CDEUDA PAR VIG CCNR               1ND</v>
          </cell>
        </row>
        <row r="1145">
          <cell r="B1145" t="str">
            <v>14010302090118</v>
          </cell>
          <cell r="C1145" t="str">
            <v>TC MC CDEUDA REV VIG CCRV               1ND</v>
          </cell>
        </row>
        <row r="1146">
          <cell r="B1146" t="str">
            <v>14010302090119</v>
          </cell>
          <cell r="C1146" t="str">
            <v>TC MC EXTRACASH VIG CCNR                1ND</v>
          </cell>
        </row>
        <row r="1147">
          <cell r="B1147" t="str">
            <v>14010302090120</v>
          </cell>
          <cell r="C1147" t="str">
            <v>TC MC REPROG PAR VIG CCNR               1ND</v>
          </cell>
        </row>
        <row r="1148">
          <cell r="B1148" t="str">
            <v>14010302090121</v>
          </cell>
          <cell r="C1148" t="str">
            <v>TC MC REPROG REV VIG CCRV               1ND</v>
          </cell>
        </row>
        <row r="1149">
          <cell r="B1149" t="str">
            <v>14010302090122</v>
          </cell>
          <cell r="C1149" t="str">
            <v>TC VISA REPROG PAR VIG CCNR             1ND</v>
          </cell>
        </row>
        <row r="1150">
          <cell r="B1150" t="str">
            <v>14010302090123</v>
          </cell>
          <cell r="C1150" t="str">
            <v>TC VISA REPROG REV VIG CCRV             1ND</v>
          </cell>
        </row>
        <row r="1151">
          <cell r="B1151" t="str">
            <v>14010302090301</v>
          </cell>
          <cell r="C1151" t="str">
            <v>HPC CAP.VIG.TC FINAN .PROV.REFIN        1ND</v>
          </cell>
        </row>
        <row r="1152">
          <cell r="B1152" t="str">
            <v>14010302090302</v>
          </cell>
          <cell r="C1152" t="str">
            <v>HPC DP CAP.VIG.TC FINAN .PROV.REFIN     1ND</v>
          </cell>
        </row>
        <row r="1153">
          <cell r="B1153" t="str">
            <v>14010302090303</v>
          </cell>
          <cell r="C1153" t="str">
            <v>BTC VISA EXTRACASH VIG CCNR             1ND</v>
          </cell>
        </row>
        <row r="1154">
          <cell r="B1154" t="str">
            <v>14010303020100</v>
          </cell>
          <cell r="C1154" t="str">
            <v>LIC CAP CONV REVOL ADEL SUELDO VIG      1ND</v>
          </cell>
        </row>
        <row r="1155">
          <cell r="B1155" t="str">
            <v>14010303020101</v>
          </cell>
          <cell r="C1155" t="str">
            <v>LIC CAP CONV REVOL ADEL SUELDO DP VIG   1ND</v>
          </cell>
        </row>
        <row r="1156">
          <cell r="B1156" t="str">
            <v>14010304000101</v>
          </cell>
          <cell r="C1156" t="str">
            <v>SOBREGIROS EN CTA CTE PN                1ND</v>
          </cell>
        </row>
        <row r="1157">
          <cell r="B1157" t="str">
            <v>14010304000103</v>
          </cell>
          <cell r="C1157" t="str">
            <v>BL SOBREGIROS CTA.CTE. PN-BL            1ND</v>
          </cell>
        </row>
        <row r="1158">
          <cell r="B1158" t="str">
            <v>14010304000104</v>
          </cell>
          <cell r="C1158" t="str">
            <v>CTAS CTES DEUDORAS PJ S/F DE LUCRO      1ND</v>
          </cell>
        </row>
        <row r="1159">
          <cell r="B1159" t="str">
            <v>14010304000105</v>
          </cell>
          <cell r="C1159" t="str">
            <v>SOBREGIROS CTS PUBLICO                  1ND</v>
          </cell>
        </row>
        <row r="1160">
          <cell r="B1160" t="str">
            <v>14010304000201</v>
          </cell>
          <cell r="C1160" t="str">
            <v>IM SOBREG CTA CTE CAST CH S/F PN        1ND</v>
          </cell>
        </row>
        <row r="1161">
          <cell r="B1161" t="str">
            <v>14010306000101</v>
          </cell>
          <cell r="C1161" t="str">
            <v>PRESTAMOS PERSONALES CONSUMO            1ND</v>
          </cell>
        </row>
        <row r="1162">
          <cell r="B1162" t="str">
            <v>14010306000102</v>
          </cell>
          <cell r="C1162" t="str">
            <v>IC CRED PERSON. EFECTIVO VIG            1ND</v>
          </cell>
        </row>
        <row r="1163">
          <cell r="B1163" t="str">
            <v>14010306000105</v>
          </cell>
          <cell r="C1163" t="str">
            <v>IC CRED PERS CONVENIO VIG               1ND</v>
          </cell>
        </row>
        <row r="1164">
          <cell r="B1164" t="str">
            <v>14010306000110</v>
          </cell>
          <cell r="C1164" t="str">
            <v>PRESTAMO CONSUMO-COMPRA DE DEUDA        1ND</v>
          </cell>
        </row>
        <row r="1165">
          <cell r="B1165" t="str">
            <v>14010306000114</v>
          </cell>
          <cell r="C1165" t="str">
            <v>BL PRESTAMOS GTIA CTS CTA CTE BL-CTS    1ND</v>
          </cell>
        </row>
        <row r="1166">
          <cell r="B1166" t="str">
            <v>14010306000115</v>
          </cell>
          <cell r="C1166" t="str">
            <v>LIC CREDITOS POR CONVENIO VIG           1ND</v>
          </cell>
        </row>
        <row r="1167">
          <cell r="B1167" t="str">
            <v>14010306000116</v>
          </cell>
          <cell r="C1167" t="str">
            <v>LIC CREDITOS POR CONVENIO D/P VIG       1ND</v>
          </cell>
        </row>
        <row r="1168">
          <cell r="B1168" t="str">
            <v>14010306000120</v>
          </cell>
          <cell r="C1168" t="str">
            <v>IC CRED. PERS C/GART HIPOT VIG          1ND</v>
          </cell>
        </row>
        <row r="1169">
          <cell r="B1169" t="str">
            <v>14010306000122</v>
          </cell>
          <cell r="C1169" t="str">
            <v>IC D/P CRED CONVENIO VIG                1ND</v>
          </cell>
        </row>
        <row r="1170">
          <cell r="B1170" t="str">
            <v>14010306010101</v>
          </cell>
          <cell r="C1170" t="str">
            <v>LIC CRED REVOL POR CONVENIO VIG         1ND</v>
          </cell>
        </row>
        <row r="1171">
          <cell r="B1171" t="str">
            <v>14010306010102</v>
          </cell>
          <cell r="C1171" t="str">
            <v>LIC DP CRED REVOL POR CONVENIO V        1ND</v>
          </cell>
        </row>
        <row r="1172">
          <cell r="B1172" t="str">
            <v>14010306010103</v>
          </cell>
          <cell r="C1172" t="str">
            <v>LIC CAP CONV REVOL ADEL SUELDO VIG      1ND</v>
          </cell>
        </row>
        <row r="1173">
          <cell r="B1173" t="str">
            <v>14010306010104</v>
          </cell>
          <cell r="C1173" t="str">
            <v>LIC DP CAP CONV REVOL ADEL SUELDO VIG   1ND</v>
          </cell>
        </row>
        <row r="1174">
          <cell r="B1174" t="str">
            <v>14010306010105</v>
          </cell>
          <cell r="C1174" t="str">
            <v>LIC CRED CONVENIO PREF VIG              1ND</v>
          </cell>
        </row>
        <row r="1175">
          <cell r="B1175" t="str">
            <v>14010306010106</v>
          </cell>
          <cell r="C1175" t="str">
            <v>LIC DP CRED CONV PREF VIG               1ND</v>
          </cell>
        </row>
        <row r="1176">
          <cell r="B1176" t="str">
            <v>14010306010201</v>
          </cell>
          <cell r="C1176" t="str">
            <v>LIC S CRED REVOL POR CONVEN VIG         1ND</v>
          </cell>
        </row>
        <row r="1177">
          <cell r="B1177" t="str">
            <v>14010306020101</v>
          </cell>
          <cell r="C1177" t="str">
            <v>IC CRED NRV P/AUTOMOVIL VIGENTE         1ND</v>
          </cell>
        </row>
        <row r="1178">
          <cell r="B1178" t="str">
            <v>14010306020102</v>
          </cell>
          <cell r="C1178" t="str">
            <v>IC D/P VEHIC PREST NRV CAP VIG          1ND</v>
          </cell>
        </row>
        <row r="1179">
          <cell r="B1179" t="str">
            <v>14010306020106</v>
          </cell>
          <cell r="C1179" t="str">
            <v>HPC CRED VEHICULAR NRV VIGE             1ND</v>
          </cell>
        </row>
        <row r="1180">
          <cell r="B1180" t="str">
            <v>14010306020107</v>
          </cell>
          <cell r="C1180" t="str">
            <v>HPC D/P CRED VEHICULAR NRV              1ND</v>
          </cell>
        </row>
        <row r="1181">
          <cell r="B1181" t="str">
            <v>14010306020111</v>
          </cell>
          <cell r="C1181" t="str">
            <v>HPC CAP.VIG. CRED VEHIC FINAN .PROV.REFI1ND</v>
          </cell>
        </row>
        <row r="1182">
          <cell r="B1182" t="str">
            <v>14010306020112</v>
          </cell>
          <cell r="C1182" t="str">
            <v>HPC DP CAP.VIG. CRED VEHIC FINAN .PROV.R1ND</v>
          </cell>
        </row>
        <row r="1183">
          <cell r="B1183" t="str">
            <v>14010306020113</v>
          </cell>
          <cell r="C1183" t="str">
            <v>HPC CRED VEH PROV REF NRV VIG           1ND</v>
          </cell>
        </row>
        <row r="1184">
          <cell r="B1184" t="str">
            <v>14010306020114</v>
          </cell>
          <cell r="C1184" t="str">
            <v>HPC D/P CRED VEH PROV REF NRV VIG       1ND</v>
          </cell>
        </row>
        <row r="1185">
          <cell r="B1185" t="str">
            <v>14010306020201</v>
          </cell>
          <cell r="C1185" t="str">
            <v>IC S PREST VEHIC VIG                    1ND</v>
          </cell>
        </row>
        <row r="1186">
          <cell r="B1186" t="str">
            <v>14010306030101</v>
          </cell>
          <cell r="C1186" t="str">
            <v>IC CRED NRV P/LIBRE DISPON VIG          1ND</v>
          </cell>
        </row>
        <row r="1187">
          <cell r="B1187" t="str">
            <v>14010306030102</v>
          </cell>
          <cell r="C1187" t="str">
            <v>UIC DP CRED NRV P/LIBRE DISPON V        1ND</v>
          </cell>
        </row>
        <row r="1188">
          <cell r="B1188" t="str">
            <v>14010306030105</v>
          </cell>
          <cell r="C1188" t="str">
            <v>IC CRED NRV P/LIBRE DISP C/G HIP VIG    1ND</v>
          </cell>
        </row>
        <row r="1189">
          <cell r="B1189" t="str">
            <v>14010306030106</v>
          </cell>
          <cell r="C1189" t="str">
            <v>IC DP CRED NRV P/LIBRE DISP C/G HIP     1ND</v>
          </cell>
        </row>
        <row r="1190">
          <cell r="B1190" t="str">
            <v>14010306030107</v>
          </cell>
          <cell r="C1190" t="str">
            <v>HPC D/P CAP VIG EFEC C/GARANT. HIP      1ND</v>
          </cell>
        </row>
        <row r="1191">
          <cell r="B1191" t="str">
            <v>14010306030108</v>
          </cell>
          <cell r="C1191" t="str">
            <v>HPC CAP.VIG. EFEC C/GARANT. HIP         1ND</v>
          </cell>
        </row>
        <row r="1192">
          <cell r="B1192" t="str">
            <v>14010306030109</v>
          </cell>
          <cell r="C1192" t="str">
            <v>HPC CAP.VIG. EFEC REGULAR               1ND</v>
          </cell>
        </row>
        <row r="1193">
          <cell r="B1193" t="str">
            <v>14010306030110</v>
          </cell>
          <cell r="C1193" t="str">
            <v>HPC D/P CAP VIG EFEC REGULAR.           1ND</v>
          </cell>
        </row>
        <row r="1194">
          <cell r="B1194" t="str">
            <v>14010306030111</v>
          </cell>
          <cell r="C1194" t="str">
            <v>HPC CRED EFECTIVO NRV VIGEN             1ND</v>
          </cell>
        </row>
        <row r="1195">
          <cell r="B1195" t="str">
            <v>14010306030112</v>
          </cell>
          <cell r="C1195" t="str">
            <v>HPC D/P CRED EFECTIVO NRV V             1ND</v>
          </cell>
        </row>
        <row r="1196">
          <cell r="B1196" t="str">
            <v>14010306030116</v>
          </cell>
          <cell r="C1196" t="str">
            <v>HPC CAP.VIG. CRED EFECT FINAN .PROV.REFI1ND</v>
          </cell>
        </row>
        <row r="1197">
          <cell r="B1197" t="str">
            <v>14010306030117</v>
          </cell>
          <cell r="C1197" t="str">
            <v>HPC DP CAP.VIG. CRED EFECT FINAN .PROV.R1ND</v>
          </cell>
        </row>
        <row r="1198">
          <cell r="B1198" t="str">
            <v>14010306030201</v>
          </cell>
          <cell r="C1198" t="str">
            <v>IC S CRED. PERS C/GARANTIA HIPOT VIG    1ND</v>
          </cell>
        </row>
        <row r="1199">
          <cell r="B1199" t="str">
            <v>14010306030202</v>
          </cell>
          <cell r="C1199" t="str">
            <v>IC S PREST PERS EFECT VIG.              1ND</v>
          </cell>
        </row>
        <row r="1200">
          <cell r="B1200" t="str">
            <v>14010306030203</v>
          </cell>
          <cell r="C1200" t="str">
            <v>HPC CAP.VIG. PARALELO PREST. PERSONAL   1ND</v>
          </cell>
        </row>
        <row r="1201">
          <cell r="B1201" t="str">
            <v>14010306030204</v>
          </cell>
          <cell r="C1201" t="str">
            <v>HPC CAP.VIG. PARALELO PREST. VEHICULAR  1ND</v>
          </cell>
        </row>
        <row r="1202">
          <cell r="B1202" t="str">
            <v>14010306030205</v>
          </cell>
          <cell r="C1202" t="str">
            <v>HPC CAP.VIG. PARALELO HIP. REGULAR      1ND</v>
          </cell>
        </row>
        <row r="1203">
          <cell r="B1203" t="str">
            <v>14010306030206</v>
          </cell>
          <cell r="C1203" t="str">
            <v>HPC CAP.VIG. PARALELO HIP. MIVIVIENDA   1ND</v>
          </cell>
        </row>
        <row r="1204">
          <cell r="B1204" t="str">
            <v>14010306030207</v>
          </cell>
          <cell r="C1204" t="str">
            <v>HPC CAPVIGEFEC C/GARANTHIPFIN           1ND</v>
          </cell>
        </row>
        <row r="1205">
          <cell r="B1205" t="str">
            <v>14010306030208</v>
          </cell>
          <cell r="C1205" t="str">
            <v>HPC CAPVIGEFEC C/GARANTHIPFIN           1ND</v>
          </cell>
        </row>
        <row r="1206">
          <cell r="B1206" t="str">
            <v>14010306030209</v>
          </cell>
          <cell r="C1206" t="str">
            <v>HPC MICROPRESTAMOS NRV VIG NORM         1 D</v>
          </cell>
        </row>
        <row r="1207">
          <cell r="B1207" t="str">
            <v>14010306030210</v>
          </cell>
          <cell r="C1207" t="str">
            <v>HPC MICROPRESTAMOS NRV VIG DUPE         1 D</v>
          </cell>
        </row>
        <row r="1208">
          <cell r="B1208" t="str">
            <v>14010306030211</v>
          </cell>
          <cell r="C1208" t="str">
            <v>HPC CONV PRIVADO NRV VIG NORM GRUPO IBK 1 D</v>
          </cell>
        </row>
        <row r="1209">
          <cell r="B1209" t="str">
            <v>14010306030212</v>
          </cell>
          <cell r="C1209" t="str">
            <v>HPC CONV PRIVADO NRV VIG DP GRUPO IBK   1 D</v>
          </cell>
        </row>
        <row r="1210">
          <cell r="B1210" t="str">
            <v>14010306030213</v>
          </cell>
          <cell r="C1210" t="str">
            <v>HPC EFECT.C/GTIA HIP.FINAN.PROV.REF.VIG 1 D</v>
          </cell>
        </row>
        <row r="1211">
          <cell r="B1211" t="str">
            <v>14010306040101</v>
          </cell>
          <cell r="C1211" t="str">
            <v>IC CRED NRV OT B/CONV ELEG VIG          1ND</v>
          </cell>
        </row>
        <row r="1212">
          <cell r="B1212" t="str">
            <v>14010306040102</v>
          </cell>
          <cell r="C1212" t="str">
            <v>IC D/P CRED NRV OT B/CONV ELEG VIG      1ND</v>
          </cell>
        </row>
        <row r="1213">
          <cell r="B1213" t="str">
            <v>14010306040201</v>
          </cell>
          <cell r="C1213" t="str">
            <v>LIC CONV NRV OTOR BAJ C NO ELEG VIG     1ND</v>
          </cell>
        </row>
        <row r="1214">
          <cell r="B1214" t="str">
            <v>14010306040202</v>
          </cell>
          <cell r="C1214" t="str">
            <v>LIC DP CONV NRV OTOR BAJ C ELE VIG      1ND</v>
          </cell>
        </row>
        <row r="1215">
          <cell r="B1215" t="str">
            <v>14010306050101</v>
          </cell>
          <cell r="C1215" t="str">
            <v>IC CRED NRV OT B/CONV NO ELEG VIG       1ND</v>
          </cell>
        </row>
        <row r="1216">
          <cell r="B1216" t="str">
            <v>14010306050102</v>
          </cell>
          <cell r="C1216" t="str">
            <v>IC DP CRED NRV OT B/CONV NO ELEG VIG    1ND</v>
          </cell>
        </row>
        <row r="1217">
          <cell r="B1217" t="str">
            <v>14010306050104</v>
          </cell>
          <cell r="C1217" t="str">
            <v>LIC CONV NRV OTOR BAJ C NO ELEG VIG     1ND</v>
          </cell>
        </row>
        <row r="1218">
          <cell r="B1218" t="str">
            <v>14010306050105</v>
          </cell>
          <cell r="C1218" t="str">
            <v>LIC DP CONV NRV OTOR BAJ C VIG          1ND</v>
          </cell>
        </row>
        <row r="1219">
          <cell r="B1219" t="str">
            <v>14010306050106</v>
          </cell>
          <cell r="C1219" t="str">
            <v>LIC PREF NRV OTOR BAJ C NO ELE VIG      1ND</v>
          </cell>
        </row>
        <row r="1220">
          <cell r="B1220" t="str">
            <v>14010306050107</v>
          </cell>
          <cell r="C1220" t="str">
            <v>LIC DP PREF NRV OTOR BAJ C NO ELE VIG   1ND</v>
          </cell>
        </row>
        <row r="1221">
          <cell r="B1221" t="str">
            <v>14010306050201</v>
          </cell>
          <cell r="C1221" t="str">
            <v>IC S PREST PERS EFECT CONV              1ND</v>
          </cell>
        </row>
        <row r="1222">
          <cell r="B1222" t="str">
            <v>14010306050202</v>
          </cell>
          <cell r="C1222" t="str">
            <v>HPC CAP.VIG.LIC CONVENIO PROV.REFIN     1ND</v>
          </cell>
        </row>
        <row r="1223">
          <cell r="B1223" t="str">
            <v>14010306050203</v>
          </cell>
          <cell r="C1223" t="str">
            <v>HPC DP CAP.VIG.LIC CONVENIO PROV.REFIN  1ND</v>
          </cell>
        </row>
        <row r="1224">
          <cell r="B1224" t="str">
            <v>14010306050204</v>
          </cell>
          <cell r="C1224" t="str">
            <v>HPC CAP.VIG.CRED PREF CONV PROV.REFIN   1ND</v>
          </cell>
        </row>
        <row r="1225">
          <cell r="B1225" t="str">
            <v>14010306050205</v>
          </cell>
          <cell r="C1225" t="str">
            <v>HPC DP CAP.VIG.CRED PREF CONV PROV.REFIN1ND</v>
          </cell>
        </row>
        <row r="1226">
          <cell r="B1226" t="str">
            <v>14010306060101</v>
          </cell>
          <cell r="C1226" t="str">
            <v>LIC CREDITOS POR CONVENIO VIG           1ND</v>
          </cell>
        </row>
        <row r="1227">
          <cell r="B1227" t="str">
            <v>14010306060102</v>
          </cell>
          <cell r="C1227" t="str">
            <v>LIC CREDITOS POR CONVENIO D/P VIG       1ND</v>
          </cell>
        </row>
        <row r="1228">
          <cell r="B1228" t="str">
            <v>14010306090101</v>
          </cell>
          <cell r="C1228" t="str">
            <v>140103060901010000                      1ND</v>
          </cell>
        </row>
        <row r="1229">
          <cell r="B1229" t="str">
            <v>14010306090102</v>
          </cell>
          <cell r="C1229" t="str">
            <v>HPC D/P CAP.VIG.EFEC C/GARANT.HIP       1ND</v>
          </cell>
        </row>
        <row r="1230">
          <cell r="B1230" t="str">
            <v>14010306090103</v>
          </cell>
          <cell r="C1230" t="str">
            <v>HPC CAP.VIG.PRESTAMO PERSONAL.FIN       1ND</v>
          </cell>
        </row>
        <row r="1231">
          <cell r="B1231" t="str">
            <v>14010306090104</v>
          </cell>
          <cell r="C1231" t="str">
            <v>HPC D/P CAP.VIG.PRESTAMO PERSONAL       1ND</v>
          </cell>
        </row>
        <row r="1232">
          <cell r="B1232" t="str">
            <v>14010306120101</v>
          </cell>
          <cell r="C1232" t="str">
            <v>LIC CONV NRV OTOR BAJ DSCTO PLANILLA NO 1ND</v>
          </cell>
        </row>
        <row r="1233">
          <cell r="B1233" t="str">
            <v>14010306120102</v>
          </cell>
          <cell r="C1233" t="str">
            <v>LIC CONV NRV OTOR BAJ DSCTO PLANILLA NO 1ND</v>
          </cell>
        </row>
        <row r="1234">
          <cell r="B1234" t="str">
            <v>14010306120103</v>
          </cell>
          <cell r="C1234" t="str">
            <v>LIC CAP CONV REVOL ADEL SUELDO VIG      1ND</v>
          </cell>
        </row>
        <row r="1235">
          <cell r="B1235" t="str">
            <v>14010306120104</v>
          </cell>
          <cell r="C1235" t="str">
            <v>LIC DP CAP CONV REVOL ADEL SUELDO VIG   1ND</v>
          </cell>
        </row>
        <row r="1236">
          <cell r="B1236" t="str">
            <v>14010306120105</v>
          </cell>
          <cell r="C1236" t="str">
            <v>LIC CAP CONV REVOL ADEL SUELDO VIG      1ND</v>
          </cell>
        </row>
        <row r="1237">
          <cell r="B1237" t="str">
            <v>14010306120106</v>
          </cell>
          <cell r="C1237" t="str">
            <v>LIC DP CAP CONV REVOL ADEL SUELDO VIG   1ND</v>
          </cell>
        </row>
        <row r="1238">
          <cell r="B1238" t="str">
            <v>14010306120107</v>
          </cell>
          <cell r="C1238" t="str">
            <v>HPC CONV PRIVADO NRV VIG NORM           1ND</v>
          </cell>
        </row>
        <row r="1239">
          <cell r="B1239" t="str">
            <v>14010306120108</v>
          </cell>
          <cell r="C1239" t="str">
            <v>HPC CONV PRIVADO NRV VIG DP             1ND</v>
          </cell>
        </row>
        <row r="1240">
          <cell r="B1240" t="str">
            <v>14010306130101</v>
          </cell>
          <cell r="C1240" t="str">
            <v>TC VISA EXTRACASH VIG CCNR              1ND</v>
          </cell>
        </row>
        <row r="1241">
          <cell r="B1241" t="str">
            <v>14010306130102</v>
          </cell>
          <cell r="C1241" t="str">
            <v>TC AMEX EXTRACASH VIG CCNR              1ND</v>
          </cell>
        </row>
        <row r="1242">
          <cell r="B1242" t="str">
            <v>14010306130103</v>
          </cell>
          <cell r="C1242" t="str">
            <v>TC MC EXTRACASH VIG CCNR                1ND</v>
          </cell>
        </row>
        <row r="1243">
          <cell r="B1243" t="str">
            <v>14010306130104</v>
          </cell>
          <cell r="C1243" t="str">
            <v>TC AMEX REPROG PAR VIG CCNR             1ND</v>
          </cell>
        </row>
        <row r="1244">
          <cell r="B1244" t="str">
            <v>14010306130105</v>
          </cell>
          <cell r="C1244" t="str">
            <v>TC MC REPROG PAR VIG CCNR               1ND</v>
          </cell>
        </row>
        <row r="1245">
          <cell r="B1245" t="str">
            <v>14010306130106</v>
          </cell>
          <cell r="C1245" t="str">
            <v>TC VISA REPROG PAR VIG CCNR             1ND</v>
          </cell>
        </row>
        <row r="1246">
          <cell r="B1246" t="str">
            <v>14010306130107</v>
          </cell>
          <cell r="C1246" t="str">
            <v>TC AMEX CDEUDA PAR VIG CCNR             1ND</v>
          </cell>
        </row>
        <row r="1247">
          <cell r="B1247" t="str">
            <v>14010306130108</v>
          </cell>
          <cell r="C1247" t="str">
            <v>TC MC CDEUDA PAR VIG CCNR               1ND</v>
          </cell>
        </row>
        <row r="1248">
          <cell r="B1248" t="str">
            <v>14010306130109</v>
          </cell>
          <cell r="C1248" t="str">
            <v>TC VISA CDEUDA PAR VIG CCNR             1ND</v>
          </cell>
        </row>
        <row r="1249">
          <cell r="B1249" t="str">
            <v>14010306130110</v>
          </cell>
          <cell r="C1249" t="str">
            <v>HPC CAPVIGTC FINAN PROVREFIN            1ND</v>
          </cell>
        </row>
        <row r="1250">
          <cell r="B1250" t="str">
            <v>14010306160101</v>
          </cell>
          <cell r="C1250" t="str">
            <v>TC VISA CDEUDA PAR VIG CCNR             1ND</v>
          </cell>
        </row>
        <row r="1251">
          <cell r="B1251" t="str">
            <v>14010306160102</v>
          </cell>
          <cell r="C1251" t="str">
            <v>TC AMEX CDEUDA PAR VIG CCNR             1ND</v>
          </cell>
        </row>
        <row r="1252">
          <cell r="B1252" t="str">
            <v>14010306160103</v>
          </cell>
          <cell r="C1252" t="str">
            <v>TC MC CDEUDA PAR VIG CCNR               1ND</v>
          </cell>
        </row>
        <row r="1253">
          <cell r="B1253" t="str">
            <v>14010306190101</v>
          </cell>
          <cell r="C1253" t="str">
            <v>HPC CAP.VIG.EFEC C/GARANT.HIP.FIN       1ND</v>
          </cell>
        </row>
        <row r="1254">
          <cell r="B1254" t="str">
            <v>14010306190701</v>
          </cell>
          <cell r="C1254" t="str">
            <v>RCC  OTROS NO REVOLVENTES               1ND</v>
          </cell>
        </row>
        <row r="1255">
          <cell r="B1255" t="str">
            <v>14010308020100</v>
          </cell>
          <cell r="C1255" t="str">
            <v>TC AMEX REPROG PAR VIG CCNR             1ND</v>
          </cell>
        </row>
        <row r="1256">
          <cell r="B1256" t="str">
            <v>14010308020101</v>
          </cell>
          <cell r="C1256" t="str">
            <v>TC MC REPROG PAR VIG CCNR               1ND</v>
          </cell>
        </row>
        <row r="1257">
          <cell r="B1257" t="str">
            <v>14010308020102</v>
          </cell>
          <cell r="C1257" t="str">
            <v>TC VISA REPROG PAR VIG CCNR             1ND</v>
          </cell>
        </row>
        <row r="1258">
          <cell r="B1258" t="str">
            <v>14010308020103</v>
          </cell>
          <cell r="C1258" t="str">
            <v>TC AMEX REPROG PAR VIG CCNR             1ND</v>
          </cell>
        </row>
        <row r="1259">
          <cell r="B1259" t="str">
            <v>14010308020104</v>
          </cell>
          <cell r="C1259" t="str">
            <v>TC MC REPROG PAR VIG CCNR               1ND</v>
          </cell>
        </row>
        <row r="1260">
          <cell r="B1260" t="str">
            <v>14010308020105</v>
          </cell>
          <cell r="C1260" t="str">
            <v>TC VISA REPROG PAR VIG CCNR             1ND</v>
          </cell>
        </row>
        <row r="1261">
          <cell r="B1261" t="str">
            <v>14010308020106</v>
          </cell>
          <cell r="C1261" t="str">
            <v>CDO VISA EXTRACASH NO REV VIG CNRV      1ND</v>
          </cell>
        </row>
        <row r="1262">
          <cell r="B1262" t="str">
            <v>14010308020107</v>
          </cell>
          <cell r="C1262" t="str">
            <v>CDO MC EXTRACASH NO REV VIG CNRV        1ND</v>
          </cell>
        </row>
        <row r="1263">
          <cell r="B1263" t="str">
            <v>14010308020108</v>
          </cell>
          <cell r="C1263" t="str">
            <v>CDO AMEX EXTRACASH NO REV VIG CNRV      1ND</v>
          </cell>
        </row>
        <row r="1264">
          <cell r="B1264" t="str">
            <v>14010320020103</v>
          </cell>
          <cell r="C1264" t="str">
            <v>TC COLOC. DISP.EFECTIVO EMPLEADOS       1ND</v>
          </cell>
        </row>
        <row r="1265">
          <cell r="B1265" t="str">
            <v>14010320020104</v>
          </cell>
          <cell r="C1265" t="str">
            <v>TC COLOC.CUOTAS DISP.EFECTIVO EMPLEAD   1ND</v>
          </cell>
        </row>
        <row r="1266">
          <cell r="B1266" t="str">
            <v>14010320020105</v>
          </cell>
          <cell r="C1266" t="str">
            <v>TC COLOC.COMPRAS EMPLEADOS              1ND</v>
          </cell>
        </row>
        <row r="1267">
          <cell r="B1267" t="str">
            <v>14010320020106</v>
          </cell>
          <cell r="C1267" t="str">
            <v>TC COLOC.CUOTAS COMPRAS EMPLEADOS       1ND</v>
          </cell>
        </row>
        <row r="1268">
          <cell r="B1268" t="str">
            <v>14010320090101</v>
          </cell>
          <cell r="C1268" t="str">
            <v>CREDITO A EMPLEADOS-CTS                 1ND</v>
          </cell>
        </row>
        <row r="1269">
          <cell r="B1269" t="str">
            <v>14010320090102</v>
          </cell>
          <cell r="C1269" t="str">
            <v>IC CRED EMPLEADOS EFECT VIGENTE         1ND</v>
          </cell>
        </row>
        <row r="1270">
          <cell r="B1270" t="str">
            <v>14010320090103</v>
          </cell>
          <cell r="C1270" t="str">
            <v>IC PRESTAMOS EMPLEADOS VEHICULAR        1ND</v>
          </cell>
        </row>
        <row r="1271">
          <cell r="B1271" t="str">
            <v>14010320090104</v>
          </cell>
          <cell r="C1271" t="str">
            <v>IC D/P CRED EMPLEAD EFECT VIG           1ND</v>
          </cell>
        </row>
        <row r="1272">
          <cell r="B1272" t="str">
            <v>14010320090106</v>
          </cell>
          <cell r="C1272" t="str">
            <v>HPC CAP.VIG.EFEC C/GARANT.HIP.EMPL      1ND</v>
          </cell>
        </row>
        <row r="1273">
          <cell r="B1273" t="str">
            <v>14010320090110</v>
          </cell>
          <cell r="C1273" t="str">
            <v>IM AVANCE EN CTA CTE DIRECTORES Y TR    1ND</v>
          </cell>
        </row>
        <row r="1274">
          <cell r="B1274" t="str">
            <v>14010320090111</v>
          </cell>
          <cell r="C1274" t="str">
            <v>HPC CRED EMPLEADO EFECTIVO NRV          1 D</v>
          </cell>
        </row>
        <row r="1275">
          <cell r="B1275" t="str">
            <v>14010320090112</v>
          </cell>
          <cell r="C1275" t="str">
            <v>HPC D/P.CRED EMPLEADO EFECTIVO NRV      1ND</v>
          </cell>
        </row>
        <row r="1276">
          <cell r="B1276" t="str">
            <v>14010320090113</v>
          </cell>
          <cell r="C1276" t="str">
            <v>HPC CRED EMPLEADO VEHICULAR NRV         1ND</v>
          </cell>
        </row>
        <row r="1277">
          <cell r="B1277" t="str">
            <v>14010399010101</v>
          </cell>
          <cell r="C1277" t="str">
            <v>IM CTA CTS EMPLEADO CCRV                1ND</v>
          </cell>
        </row>
        <row r="1278">
          <cell r="B1278" t="str">
            <v>14010399010102</v>
          </cell>
          <cell r="C1278" t="str">
            <v>IM AVAN CTA CTE PN DIRECT TRABAJ CCRV   1ND</v>
          </cell>
        </row>
        <row r="1279">
          <cell r="B1279" t="str">
            <v>14010399010401</v>
          </cell>
          <cell r="C1279" t="str">
            <v>IM SOBREG CTA CTE PN DIRECT TRABAJ CCRV 1ND</v>
          </cell>
        </row>
        <row r="1280">
          <cell r="B1280" t="str">
            <v>14010399020101</v>
          </cell>
          <cell r="C1280" t="str">
            <v>IM CTA CTS EMPLEADO CCNR                1ND</v>
          </cell>
        </row>
        <row r="1281">
          <cell r="B1281" t="str">
            <v>14010399020102</v>
          </cell>
          <cell r="C1281" t="str">
            <v>IM AVAN CTA CTE PN DIRECT TRABAJ CCNR   1ND</v>
          </cell>
        </row>
        <row r="1282">
          <cell r="B1282" t="str">
            <v>14010399020401</v>
          </cell>
          <cell r="C1282" t="str">
            <v>IM SOBREG CTA CTE PN DIRECT TRABAJ CCNR 1ND</v>
          </cell>
        </row>
        <row r="1283">
          <cell r="B1283" t="str">
            <v>14010406000130</v>
          </cell>
          <cell r="C1283" t="str">
            <v>IC CRED. HIPOTECARIO VIGENTE            1ND</v>
          </cell>
        </row>
        <row r="1284">
          <cell r="B1284" t="str">
            <v>14010406000132</v>
          </cell>
          <cell r="C1284" t="str">
            <v>CHI CAPIT VN HIP REC PROP VIG VAC .NCO  1ND</v>
          </cell>
        </row>
        <row r="1285">
          <cell r="B1285" t="str">
            <v>14010406000135</v>
          </cell>
          <cell r="C1285" t="str">
            <v>IC CRED HIPOTEC BONOS VIGENTE           1ND</v>
          </cell>
        </row>
        <row r="1286">
          <cell r="B1286" t="str">
            <v>14010406000136</v>
          </cell>
          <cell r="C1286" t="str">
            <v>CHI CRED HIPOT RP RREE CONV VIG         1ND</v>
          </cell>
        </row>
        <row r="1287">
          <cell r="B1287" t="str">
            <v>14010406000138</v>
          </cell>
          <cell r="C1287" t="str">
            <v>CHI CAP VIG MIVIVIENDA REC PROP         1ND</v>
          </cell>
        </row>
        <row r="1288">
          <cell r="B1288" t="str">
            <v>14010406000139</v>
          </cell>
          <cell r="C1288" t="str">
            <v>CHI D/P CAPITAL VIG CRED.HIPOT. RP      1ND</v>
          </cell>
        </row>
        <row r="1289">
          <cell r="B1289" t="str">
            <v>14010406000141</v>
          </cell>
          <cell r="C1289" t="str">
            <v>HPC CAP.VIG.HIPOT.REC PROP              1ND</v>
          </cell>
        </row>
        <row r="1290">
          <cell r="B1290" t="str">
            <v>14010406000142</v>
          </cell>
          <cell r="C1290" t="str">
            <v>HPC D/P CAP VIG HIPOT.REC PROP          1ND</v>
          </cell>
        </row>
        <row r="1291">
          <cell r="B1291" t="str">
            <v>14010406000143</v>
          </cell>
          <cell r="C1291" t="str">
            <v>HPC CAP.VIG. HIP. RP. BONOS             1ND</v>
          </cell>
        </row>
        <row r="1292">
          <cell r="B1292" t="str">
            <v>14010406000144</v>
          </cell>
          <cell r="C1292" t="str">
            <v>HPC D/P CAP VIG HIP. RP. BONOS          1ND</v>
          </cell>
        </row>
        <row r="1293">
          <cell r="B1293" t="str">
            <v>14010406000201</v>
          </cell>
          <cell r="C1293" t="str">
            <v>IC S CRED HIPOTEC VIG                   1ND</v>
          </cell>
        </row>
        <row r="1294">
          <cell r="B1294" t="str">
            <v>14010406010101</v>
          </cell>
          <cell r="C1294" t="str">
            <v>HPC CAP.VIG.HIPOT.REC PROP              1ND</v>
          </cell>
        </row>
        <row r="1295">
          <cell r="B1295" t="str">
            <v>14010406010102</v>
          </cell>
          <cell r="C1295" t="str">
            <v>HPC D/P CAP VIG HIPOT.REC PROP          1ND</v>
          </cell>
        </row>
        <row r="1296">
          <cell r="B1296" t="str">
            <v>14010406010103</v>
          </cell>
          <cell r="C1296" t="str">
            <v>HPC CAP.VIG. HIP. RP. BONOS             1ND</v>
          </cell>
        </row>
        <row r="1297">
          <cell r="B1297" t="str">
            <v>14010406010104</v>
          </cell>
          <cell r="C1297" t="str">
            <v>HPC D/P CAP VIG HIP. RP. BONOS          1ND</v>
          </cell>
        </row>
        <row r="1298">
          <cell r="B1298" t="str">
            <v>14010406010105</v>
          </cell>
          <cell r="C1298" t="str">
            <v>HPC CAP.VIG.HIPOT.TRAD.FINAN .PROV.RE   1ND</v>
          </cell>
        </row>
        <row r="1299">
          <cell r="B1299" t="str">
            <v>14010406010106</v>
          </cell>
          <cell r="C1299" t="str">
            <v>HPC D/P CAP.VIG.HIPOT.TRAD.FINAN.PROV   1ND</v>
          </cell>
        </row>
        <row r="1300">
          <cell r="B1300" t="str">
            <v>14010406010107</v>
          </cell>
          <cell r="C1300" t="str">
            <v>HPC CAP.VIG.HIPOT.FINAN.PROV.REFIN.AD   1ND</v>
          </cell>
        </row>
        <row r="1301">
          <cell r="B1301" t="str">
            <v>14010406010108</v>
          </cell>
          <cell r="C1301" t="str">
            <v>HPC D/P CAP.VIG.HIPOT.TRAD.FINAN.PROV   1ND</v>
          </cell>
        </row>
        <row r="1302">
          <cell r="B1302" t="str">
            <v>14010406010117</v>
          </cell>
          <cell r="C1302" t="str">
            <v>PRESTAMOS HIPOTECARIOS IC               1ND</v>
          </cell>
        </row>
        <row r="1303">
          <cell r="B1303" t="str">
            <v>14010406010118</v>
          </cell>
          <cell r="C1303" t="str">
            <v>PREST. HIPOTECARIO VIG BONOS IC         1ND</v>
          </cell>
        </row>
        <row r="1304">
          <cell r="B1304" t="str">
            <v>14010406010121</v>
          </cell>
          <cell r="C1304" t="str">
            <v>CHI CAP VN HIPOT REC PROP VIG VAC HIP   1ND</v>
          </cell>
        </row>
        <row r="1305">
          <cell r="B1305" t="str">
            <v>14010406010122</v>
          </cell>
          <cell r="C1305" t="str">
            <v>CHI CAP INDEX HIPOT REC.PROPIO. VIG V   1ND</v>
          </cell>
        </row>
        <row r="1306">
          <cell r="B1306" t="str">
            <v>14010406010201</v>
          </cell>
          <cell r="C1306" t="str">
            <v>HPC D/P CAP VIG HIPOT.TASA MIXTO REC PRO1ND</v>
          </cell>
        </row>
        <row r="1307">
          <cell r="B1307" t="str">
            <v>14010406010202</v>
          </cell>
          <cell r="C1307" t="str">
            <v>HPC CAP.VIG.HIPOT. TASA MIXTA REC PRO   1ND</v>
          </cell>
        </row>
        <row r="1308">
          <cell r="B1308" t="str">
            <v>14010406010203</v>
          </cell>
          <cell r="C1308" t="str">
            <v>HPC CAP.VIG.2DA HIPOT.REC PROP (C/HIP. I1ND</v>
          </cell>
        </row>
        <row r="1309">
          <cell r="B1309" t="str">
            <v>14010406010204</v>
          </cell>
          <cell r="C1309" t="str">
            <v>HPC D/P CAP VIG 2DA HIPOT.REC PROP C/HIP1ND</v>
          </cell>
        </row>
        <row r="1310">
          <cell r="B1310" t="str">
            <v>14010406010205</v>
          </cell>
          <cell r="C1310" t="str">
            <v>HPC CAP.VIG. 2DA HIP. RP. BONOS C/HIP. I1ND</v>
          </cell>
        </row>
        <row r="1311">
          <cell r="B1311" t="str">
            <v>14010406010206</v>
          </cell>
          <cell r="C1311" t="str">
            <v>HPC D/P CAP.VIG. 2DA HIP. RP. BONOS C/HI1ND</v>
          </cell>
        </row>
        <row r="1312">
          <cell r="B1312" t="str">
            <v>14010406010207</v>
          </cell>
          <cell r="C1312" t="str">
            <v>HPC CAP.VIG. 2DA HIPOT. TASA MIXTA REC P1ND</v>
          </cell>
        </row>
        <row r="1313">
          <cell r="B1313" t="str">
            <v>14010406010208</v>
          </cell>
          <cell r="C1313" t="str">
            <v>HPC D/P CAP.VIG. 2DA HIPOT. TASA MIXTA R1ND</v>
          </cell>
        </row>
        <row r="1314">
          <cell r="B1314" t="str">
            <v>14010406020109</v>
          </cell>
          <cell r="C1314" t="str">
            <v>HPC CAP.VIG.HIPOT.REC PROP              1ND</v>
          </cell>
        </row>
        <row r="1315">
          <cell r="B1315" t="str">
            <v>14010406020110</v>
          </cell>
          <cell r="C1315" t="str">
            <v>HPC D/P CAP VIG HIPOT.REC PROP          1ND</v>
          </cell>
        </row>
        <row r="1316">
          <cell r="B1316" t="str">
            <v>14010406020111</v>
          </cell>
          <cell r="C1316" t="str">
            <v>HPC CAP.VIG. HIP. RP. BONOS             1ND</v>
          </cell>
        </row>
        <row r="1317">
          <cell r="B1317" t="str">
            <v>14010406020112</v>
          </cell>
          <cell r="C1317" t="str">
            <v>HPC D/P CAP VIG HIP. RP. BONOS          1ND</v>
          </cell>
        </row>
        <row r="1318">
          <cell r="B1318" t="str">
            <v>14010406020119</v>
          </cell>
          <cell r="C1318" t="str">
            <v>PRESTAMOS HIPOTECARIOS IC               1ND</v>
          </cell>
        </row>
        <row r="1319">
          <cell r="B1319" t="str">
            <v>14010406020201</v>
          </cell>
          <cell r="C1319" t="str">
            <v>HPC D/P CAP VIG HIPOT.(SHI) TASA MIXTA R1ND</v>
          </cell>
        </row>
        <row r="1320">
          <cell r="B1320" t="str">
            <v>14010406020202</v>
          </cell>
          <cell r="C1320" t="str">
            <v>HPC CAP.VIG.HIPOT (SHI) TASA MIXTA REC P1ND</v>
          </cell>
        </row>
        <row r="1321">
          <cell r="B1321" t="str">
            <v>14010406020203</v>
          </cell>
          <cell r="C1321" t="str">
            <v>HPC CAP.VIG. 2DA HIPOT.REC PROP (S/HIP. 1ND</v>
          </cell>
        </row>
        <row r="1322">
          <cell r="B1322" t="str">
            <v>14010406020204</v>
          </cell>
          <cell r="C1322" t="str">
            <v>HPC D/P CAP VIG 2DA HIPOT.REC PROP (S/HI1ND</v>
          </cell>
        </row>
        <row r="1323">
          <cell r="B1323" t="str">
            <v>14010406020205</v>
          </cell>
          <cell r="C1323" t="str">
            <v>HPC CAP.VIG. 2DA HIP. RP. BONOS S/HIP. I1ND</v>
          </cell>
        </row>
        <row r="1324">
          <cell r="B1324" t="str">
            <v>14010406020206</v>
          </cell>
          <cell r="C1324" t="str">
            <v>HPC D/P CAP.VIG. 2DA HIP. RP. BONOS S/HI1ND</v>
          </cell>
        </row>
        <row r="1325">
          <cell r="B1325" t="str">
            <v>14010406020207</v>
          </cell>
          <cell r="C1325" t="str">
            <v>HPC CAP.VIG. 2DA HIPOT TASA MIXTA REC PR1ND</v>
          </cell>
        </row>
        <row r="1326">
          <cell r="B1326" t="str">
            <v>14010406020208</v>
          </cell>
          <cell r="C1326" t="str">
            <v>HPC D/P CAP.VIG. 2DA HIPOT TASA MIXTA RE1ND</v>
          </cell>
        </row>
        <row r="1327">
          <cell r="B1327" t="str">
            <v>14010420000130</v>
          </cell>
          <cell r="C1327" t="str">
            <v>IC CRED EMPLEAD HIPOTECARIOS            1ND</v>
          </cell>
        </row>
        <row r="1328">
          <cell r="B1328" t="str">
            <v>14010420000132</v>
          </cell>
          <cell r="C1328" t="str">
            <v>HPC CAP.VIG.RP EMPLEAD                  1ND</v>
          </cell>
        </row>
        <row r="1329">
          <cell r="B1329" t="str">
            <v>14010420000133</v>
          </cell>
          <cell r="C1329" t="str">
            <v>HPC D/P CAP.VIG.RP EMPLEAD              1ND</v>
          </cell>
        </row>
        <row r="1330">
          <cell r="B1330" t="str">
            <v>14010420000134</v>
          </cell>
          <cell r="C1330" t="str">
            <v>CHI CAPIT MIVIVIENDA EMPL VIG           1ND</v>
          </cell>
        </row>
        <row r="1331">
          <cell r="B1331" t="str">
            <v>14010420000135</v>
          </cell>
          <cell r="C1331" t="str">
            <v>CHI CAPIT INDX BT EMPL MIVIVI           1ND</v>
          </cell>
        </row>
        <row r="1332">
          <cell r="B1332" t="str">
            <v>14010420000138</v>
          </cell>
          <cell r="C1332" t="str">
            <v>HPC CAP.VIG.MI VIV COF EMPLEAD          1ND</v>
          </cell>
        </row>
        <row r="1333">
          <cell r="B1333" t="str">
            <v>14010420000139</v>
          </cell>
          <cell r="C1333" t="str">
            <v>HPC D/P CAP.VIG.MI VIV COF EMPLEAD      1ND</v>
          </cell>
        </row>
        <row r="1334">
          <cell r="B1334" t="str">
            <v>14010420000202</v>
          </cell>
          <cell r="C1334" t="str">
            <v>HPC CAP.VIG.MI VIV REC PROP. EMPL       1ND</v>
          </cell>
        </row>
        <row r="1335">
          <cell r="B1335" t="str">
            <v>14010423000101</v>
          </cell>
          <cell r="C1335" t="str">
            <v>CHI CAPITAL MI VIVIENDA VIG             1ND</v>
          </cell>
        </row>
        <row r="1336">
          <cell r="B1336" t="str">
            <v>14010423000103</v>
          </cell>
          <cell r="C1336" t="str">
            <v>CHI CAPIT MIVIVIENDA EMPL VIG           1ND</v>
          </cell>
        </row>
        <row r="1337">
          <cell r="B1337" t="str">
            <v>14010423000105</v>
          </cell>
          <cell r="C1337" t="str">
            <v>CHI CAPIT INDX VIG MI VIVIENDA .NCO     1ND</v>
          </cell>
        </row>
        <row r="1338">
          <cell r="B1338" t="str">
            <v>14010423000106</v>
          </cell>
          <cell r="C1338" t="str">
            <v>CHI CAPIT INDX BT EMPL MIVIVI           1ND</v>
          </cell>
        </row>
        <row r="1339">
          <cell r="B1339" t="str">
            <v>14010423000108</v>
          </cell>
          <cell r="C1339" t="str">
            <v>CHI D/P CAPITAL VIG CRED HIP REC COFI   1ND</v>
          </cell>
        </row>
        <row r="1340">
          <cell r="B1340" t="str">
            <v>14010423000109</v>
          </cell>
          <cell r="C1340" t="str">
            <v>CHI D/P CAP.INDEX VIG CRED HIP REC CO   1ND</v>
          </cell>
        </row>
        <row r="1341">
          <cell r="B1341" t="str">
            <v>14010423000110</v>
          </cell>
          <cell r="C1341" t="str">
            <v>CHI PREST HIPOT TECHO PROPIO VIG        1ND</v>
          </cell>
        </row>
        <row r="1342">
          <cell r="B1342" t="str">
            <v>14010423000112</v>
          </cell>
          <cell r="C1342" t="str">
            <v>HPC CAP.VIG.MI VIV COFIDE               1ND</v>
          </cell>
        </row>
        <row r="1343">
          <cell r="B1343" t="str">
            <v>14010423000114</v>
          </cell>
          <cell r="C1343" t="str">
            <v>HPC CAP.VIG.TEC PROPIO COF              1ND</v>
          </cell>
        </row>
        <row r="1344">
          <cell r="B1344" t="str">
            <v>14010423000115</v>
          </cell>
          <cell r="C1344" t="str">
            <v>HPC D/P CAP VIG TEC PROP COF            1ND</v>
          </cell>
        </row>
        <row r="1345">
          <cell r="B1345" t="str">
            <v>14010423000116</v>
          </cell>
          <cell r="C1345" t="str">
            <v>HPC D/P CAP VIG MI VIV COFIDE           1ND</v>
          </cell>
        </row>
        <row r="1346">
          <cell r="B1346" t="str">
            <v>14010423000118</v>
          </cell>
          <cell r="C1346" t="str">
            <v>CHI CAPITAL MI HOGAR VIG                1ND</v>
          </cell>
        </row>
        <row r="1347">
          <cell r="B1347" t="str">
            <v>14010423000119</v>
          </cell>
          <cell r="C1347" t="str">
            <v>CHI CAPIT BT MIVIVIEN VIG               1ND</v>
          </cell>
        </row>
        <row r="1348">
          <cell r="B1348" t="str">
            <v>14010423000120</v>
          </cell>
          <cell r="C1348" t="str">
            <v>CHI CAPIT INDX VIG BT MIVIVIENDA        1ND</v>
          </cell>
        </row>
        <row r="1349">
          <cell r="B1349" t="str">
            <v>14010423000122</v>
          </cell>
          <cell r="C1349" t="str">
            <v>HPC CAP.VIG.MI HOGAR                    1ND</v>
          </cell>
        </row>
        <row r="1350">
          <cell r="B1350" t="str">
            <v>14010423000123</v>
          </cell>
          <cell r="C1350" t="str">
            <v>HPC D/P CAP VIG MI HOGAR                1ND</v>
          </cell>
        </row>
        <row r="1351">
          <cell r="B1351" t="str">
            <v>14010423000202</v>
          </cell>
          <cell r="C1351" t="str">
            <v>CHI S PREST HIPOT TECHO PROPIO VIG      1ND</v>
          </cell>
        </row>
        <row r="1352">
          <cell r="B1352" t="str">
            <v>14010423000203</v>
          </cell>
          <cell r="C1352" t="str">
            <v>CHI SISMO CAP BT MI VIVIENDA VIG        1ND</v>
          </cell>
        </row>
        <row r="1353">
          <cell r="B1353" t="str">
            <v>14010423000205</v>
          </cell>
          <cell r="C1353" t="str">
            <v>HPC CAPIT INDX VIG MIVIVIENDA           1ND</v>
          </cell>
        </row>
        <row r="1354">
          <cell r="B1354" t="str">
            <v>14010423000206</v>
          </cell>
          <cell r="C1354" t="str">
            <v>HPC DP CAPIT INDX VIG MIVIVIENDA        1ND</v>
          </cell>
        </row>
        <row r="1355">
          <cell r="B1355" t="str">
            <v>14010423000301</v>
          </cell>
          <cell r="C1355" t="str">
            <v>HPC CAP.VIG.NUEVO MVV COFIDE            1ND</v>
          </cell>
        </row>
        <row r="1356">
          <cell r="B1356" t="str">
            <v>14010423000302</v>
          </cell>
          <cell r="C1356" t="str">
            <v>HPC D/P CAP VIG NUEVO MVV COFIDE        1ND</v>
          </cell>
        </row>
        <row r="1357">
          <cell r="B1357" t="str">
            <v>14010424000101</v>
          </cell>
          <cell r="C1357" t="str">
            <v>CHI CAP VIG MIVIVIENDA REC PROP         1ND</v>
          </cell>
        </row>
        <row r="1358">
          <cell r="B1358" t="str">
            <v>14010424000102</v>
          </cell>
          <cell r="C1358" t="str">
            <v>CHI D/P CAPITAL VIG CRED.HIPOTEC.       1ND</v>
          </cell>
        </row>
        <row r="1359">
          <cell r="B1359" t="str">
            <v>14010424000103</v>
          </cell>
          <cell r="C1359" t="str">
            <v>HPC CAP.VIG.MI VIV REC PROP.            1ND</v>
          </cell>
        </row>
        <row r="1360">
          <cell r="B1360" t="str">
            <v>14010424000104</v>
          </cell>
          <cell r="C1360" t="str">
            <v>HPC D/P CAP VIG MI VIV REC PROP         1ND</v>
          </cell>
        </row>
        <row r="1361">
          <cell r="B1361" t="str">
            <v>14010429000101</v>
          </cell>
          <cell r="C1361" t="str">
            <v>IC CRED HIPOT BS.ADJUDICA VIGENTE       1ND</v>
          </cell>
        </row>
        <row r="1362">
          <cell r="B1362" t="str">
            <v>14010429000102</v>
          </cell>
          <cell r="C1362" t="str">
            <v>CHI CRED HIPOT TECHO PROPIO VIG         1ND</v>
          </cell>
        </row>
        <row r="1363">
          <cell r="B1363" t="str">
            <v>14010429000107</v>
          </cell>
          <cell r="C1363" t="str">
            <v>IC D/P CRED HIPOTECARIOS VIG            1ND</v>
          </cell>
        </row>
        <row r="1364">
          <cell r="B1364" t="str">
            <v>14010429000108</v>
          </cell>
          <cell r="C1364" t="str">
            <v>HPC CAP.VIG.HIP RP ADJUDIC              1ND</v>
          </cell>
        </row>
        <row r="1365">
          <cell r="B1365" t="str">
            <v>14010499000101</v>
          </cell>
          <cell r="C1365" t="str">
            <v>HPC CAP.VIG.HIP RP ADJUDIC              1ND</v>
          </cell>
        </row>
        <row r="1366">
          <cell r="B1366" t="str">
            <v>14010499000102</v>
          </cell>
          <cell r="C1366" t="str">
            <v>HPC D/P CAP VIG HIP RP ADJUDIC          1ND</v>
          </cell>
        </row>
        <row r="1367">
          <cell r="B1367" t="str">
            <v>14010506010101</v>
          </cell>
          <cell r="C1367" t="str">
            <v>LPC PAG TV RP REVOL CBMD                1ND</v>
          </cell>
        </row>
        <row r="1368">
          <cell r="B1368" t="str">
            <v>14010506010102</v>
          </cell>
          <cell r="C1368" t="str">
            <v>LPC P.TV REC.COFIDE REVOL VIG  CBMD     1ND</v>
          </cell>
        </row>
        <row r="1369">
          <cell r="B1369" t="str">
            <v>14010506010103</v>
          </cell>
          <cell r="C1369" t="str">
            <v>LPC PAGARE TV COFIDE D/P CBMD           1ND</v>
          </cell>
        </row>
        <row r="1370">
          <cell r="B1370" t="str">
            <v>14010506010104</v>
          </cell>
          <cell r="C1370" t="str">
            <v>LPC PAG TV RP MED PLAZO REVOL           1ND</v>
          </cell>
        </row>
        <row r="1371">
          <cell r="B1371" t="str">
            <v>14010506010105</v>
          </cell>
          <cell r="C1371" t="str">
            <v>LPC PAG TV RP MED PLAZO REVOL D/P       1ND</v>
          </cell>
        </row>
        <row r="1372">
          <cell r="B1372" t="str">
            <v>14010506010106</v>
          </cell>
          <cell r="C1372" t="str">
            <v>LPC PAG TV INMOBILIARIO REV             1ND</v>
          </cell>
        </row>
        <row r="1373">
          <cell r="B1373" t="str">
            <v>14010506010107</v>
          </cell>
          <cell r="C1373" t="str">
            <v>LPC PAG TV REVOL EUROS                  1ND</v>
          </cell>
        </row>
        <row r="1374">
          <cell r="B1374" t="str">
            <v>14010506010108</v>
          </cell>
          <cell r="C1374" t="str">
            <v>LPC PAG TV REVOL EUROS                  1ND</v>
          </cell>
        </row>
        <row r="1375">
          <cell r="B1375" t="str">
            <v>14010506010201</v>
          </cell>
          <cell r="C1375" t="str">
            <v>CL PAG TV REVOLV VIG  CBMD              1ND</v>
          </cell>
        </row>
        <row r="1376">
          <cell r="B1376" t="str">
            <v>14010506010202</v>
          </cell>
          <cell r="C1376" t="str">
            <v>CL PAG. TV D/P REVOL VIG CBMD           1ND</v>
          </cell>
        </row>
        <row r="1377">
          <cell r="B1377" t="str">
            <v>14010506010203</v>
          </cell>
          <cell r="C1377" t="str">
            <v>FCD  FORFAITING EXPO VIG NORM CBMD      1ND</v>
          </cell>
        </row>
        <row r="1378">
          <cell r="B1378" t="str">
            <v>14010506090101</v>
          </cell>
          <cell r="C1378" t="str">
            <v>LPC PAG TV RP NO REVOL CBMD             1ND</v>
          </cell>
        </row>
        <row r="1379">
          <cell r="B1379" t="str">
            <v>14010506090102</v>
          </cell>
          <cell r="C1379" t="str">
            <v>LPC P.TV REC.COFIDE NO REVOL VIG CBMD   1ND</v>
          </cell>
        </row>
        <row r="1380">
          <cell r="B1380" t="str">
            <v>14010506090103</v>
          </cell>
          <cell r="C1380" t="str">
            <v>LPC PAGARE TV COFIDE D/P CBMD           1ND</v>
          </cell>
        </row>
        <row r="1381">
          <cell r="B1381" t="str">
            <v>14010506090104</v>
          </cell>
          <cell r="C1381" t="str">
            <v>LPC PAG TV RP MED PLAZO NO REV          1ND</v>
          </cell>
        </row>
        <row r="1382">
          <cell r="B1382" t="str">
            <v>14010506090105</v>
          </cell>
          <cell r="C1382" t="str">
            <v>LPC PAG TV RP MED PLAZO NO REV D/P      1ND</v>
          </cell>
        </row>
        <row r="1383">
          <cell r="B1383" t="str">
            <v>14010506090106</v>
          </cell>
          <cell r="C1383" t="str">
            <v>LPC PAG TV INMOBILIARIO NO REV          1ND</v>
          </cell>
        </row>
        <row r="1384">
          <cell r="B1384" t="str">
            <v>14010506090107</v>
          </cell>
          <cell r="C1384" t="str">
            <v>LPC PAG TV INMOBILIARIO NO REV D/P      1ND</v>
          </cell>
        </row>
        <row r="1385">
          <cell r="B1385" t="str">
            <v>14010506090108</v>
          </cell>
          <cell r="C1385" t="str">
            <v>LPC PAG TV NO REVOL EUROS               1ND</v>
          </cell>
        </row>
        <row r="1386">
          <cell r="B1386" t="str">
            <v>14010506090109</v>
          </cell>
          <cell r="C1386" t="str">
            <v>LPC PAG TV NO REVOL EUROS               1ND</v>
          </cell>
        </row>
        <row r="1387">
          <cell r="B1387" t="str">
            <v>14010506090201</v>
          </cell>
          <cell r="C1387" t="str">
            <v>CL PAG TV NO REVOLV VIG CBMD            1ND</v>
          </cell>
        </row>
        <row r="1388">
          <cell r="B1388" t="str">
            <v>14010506090202</v>
          </cell>
          <cell r="C1388" t="str">
            <v>CL PAG. TV D/P NO REVOL VIG CBMD        1ND</v>
          </cell>
        </row>
        <row r="1389">
          <cell r="B1389" t="str">
            <v>14010506090207</v>
          </cell>
          <cell r="C1389" t="str">
            <v>LPC COFIDE FONDO CRECER VIG CBMD\NORM   1ND</v>
          </cell>
        </row>
        <row r="1390">
          <cell r="B1390" t="str">
            <v>14010506090208</v>
          </cell>
          <cell r="C1390" t="str">
            <v>LPC COFIDE FONDO CRECER VIG CBMD\NORM   1ND</v>
          </cell>
        </row>
        <row r="1391">
          <cell r="B1391" t="str">
            <v>14010506090209</v>
          </cell>
          <cell r="C1391" t="str">
            <v>LPC REACTIVA PERU VIG CBMD\NORM         1ND</v>
          </cell>
        </row>
        <row r="1392">
          <cell r="B1392" t="str">
            <v>14010506090210</v>
          </cell>
          <cell r="C1392" t="str">
            <v>LPC REACTIVA PERU VIG CBMD\NORM         1ND</v>
          </cell>
        </row>
        <row r="1393">
          <cell r="B1393" t="str">
            <v>14010506090211</v>
          </cell>
          <cell r="C1393" t="str">
            <v>LPC REACTIVA PERU VIG CBMD\NORM         1ND</v>
          </cell>
        </row>
        <row r="1394">
          <cell r="B1394" t="str">
            <v>14010506090212</v>
          </cell>
          <cell r="C1394" t="str">
            <v>LPC REACTIVA PERU VIG CBMD\NORM         1ND</v>
          </cell>
        </row>
        <row r="1395">
          <cell r="B1395" t="str">
            <v>14010506090213</v>
          </cell>
          <cell r="C1395" t="str">
            <v>LPC COFIDE FONDOS PERU VIG CBMD\NORM    1ND</v>
          </cell>
        </row>
        <row r="1396">
          <cell r="B1396" t="str">
            <v>14010506090214</v>
          </cell>
          <cell r="C1396" t="str">
            <v>LPC COFIDE FONDOS PERU VIG CBMD\NORM    1ND</v>
          </cell>
        </row>
        <row r="1397">
          <cell r="B1397" t="str">
            <v>14010599010101</v>
          </cell>
          <cell r="C1397" t="str">
            <v>IM AVANCE CTA CTE PJ CBMD               1ND</v>
          </cell>
        </row>
        <row r="1398">
          <cell r="B1398" t="str">
            <v>14010599010102</v>
          </cell>
          <cell r="C1398" t="str">
            <v>IM AVANCE CTA CTE PJ S/F CBMD           1ND</v>
          </cell>
        </row>
        <row r="1399">
          <cell r="B1399" t="str">
            <v>14010599040101</v>
          </cell>
          <cell r="C1399" t="str">
            <v>IM SOBREGIRO CTA CTE PJ CBMD            1ND</v>
          </cell>
        </row>
        <row r="1400">
          <cell r="B1400" t="str">
            <v>14010599040102</v>
          </cell>
          <cell r="C1400" t="str">
            <v>IM SOBREGIRO CTA CTE PJ S/F CBMD        1ND</v>
          </cell>
        </row>
        <row r="1401">
          <cell r="B1401" t="str">
            <v>14010599040103</v>
          </cell>
          <cell r="C1401" t="str">
            <v>IM SOBRG CTA CTE S/F PJ CBMD            1ND</v>
          </cell>
        </row>
        <row r="1402">
          <cell r="B1402" t="str">
            <v>14010599040104</v>
          </cell>
          <cell r="C1402" t="str">
            <v>IM SOBRG CTA CASTIG S/F PJ CBMD         1ND</v>
          </cell>
        </row>
        <row r="1403">
          <cell r="B1403" t="str">
            <v>14010606010101</v>
          </cell>
          <cell r="C1403" t="str">
            <v>LPC PAG TV RP REVOL CSOB                1ND</v>
          </cell>
        </row>
        <row r="1404">
          <cell r="B1404" t="str">
            <v>14010606010102</v>
          </cell>
          <cell r="C1404" t="str">
            <v>LPC P.TV REC.COFIDE REVOL VIG CSOB      1ND</v>
          </cell>
        </row>
        <row r="1405">
          <cell r="B1405" t="str">
            <v>14010606010103</v>
          </cell>
          <cell r="C1405" t="str">
            <v>LPC PAGARE TV COFIDE D/P CSOB           1ND</v>
          </cell>
        </row>
        <row r="1406">
          <cell r="B1406" t="str">
            <v>14010606010104</v>
          </cell>
          <cell r="C1406" t="str">
            <v>LPC PAG TV RP MED PLAZO REVOL           1ND</v>
          </cell>
        </row>
        <row r="1407">
          <cell r="B1407" t="str">
            <v>14010606010105</v>
          </cell>
          <cell r="C1407" t="str">
            <v>LPC PAG TV RP MED PLAZO REVOL D/P       1ND</v>
          </cell>
        </row>
        <row r="1408">
          <cell r="B1408" t="str">
            <v>14010606010106</v>
          </cell>
          <cell r="C1408" t="str">
            <v>LPC PAG TV INMOBILIARIO REV             1ND</v>
          </cell>
        </row>
        <row r="1409">
          <cell r="B1409" t="str">
            <v>14010606010107</v>
          </cell>
          <cell r="C1409" t="str">
            <v>LPC PAG TV INMOBILIARIO REV D/P         1ND</v>
          </cell>
        </row>
        <row r="1410">
          <cell r="B1410" t="str">
            <v>14010606010108</v>
          </cell>
          <cell r="C1410" t="str">
            <v>LPC PAG TV REVOL EUROS                  1ND</v>
          </cell>
        </row>
        <row r="1411">
          <cell r="B1411" t="str">
            <v>14010606010109</v>
          </cell>
          <cell r="C1411" t="str">
            <v>LPC PAG TV REVOL EUROS                  1ND</v>
          </cell>
        </row>
        <row r="1412">
          <cell r="B1412" t="str">
            <v>14010606010201</v>
          </cell>
          <cell r="C1412" t="str">
            <v>CL PAG TV REVOLV VIG SOB                1ND</v>
          </cell>
        </row>
        <row r="1413">
          <cell r="B1413" t="str">
            <v>14010606010202</v>
          </cell>
          <cell r="C1413" t="str">
            <v>CL PAG. TV D/P REVOL VIG CSOB           1ND</v>
          </cell>
        </row>
        <row r="1414">
          <cell r="B1414" t="str">
            <v>14010606090101</v>
          </cell>
          <cell r="C1414" t="str">
            <v>LPC PAG TV RP NO REVOL CSOB             1ND</v>
          </cell>
        </row>
        <row r="1415">
          <cell r="B1415" t="str">
            <v>14010606090102</v>
          </cell>
          <cell r="C1415" t="str">
            <v>LPC P.TV REC.COFIDE NO REVOL VIG CSOB   1ND</v>
          </cell>
        </row>
        <row r="1416">
          <cell r="B1416" t="str">
            <v>14010606090103</v>
          </cell>
          <cell r="C1416" t="str">
            <v>LPC PAGARE TV COFIDE D/P CSOB           1ND</v>
          </cell>
        </row>
        <row r="1417">
          <cell r="B1417" t="str">
            <v>14010606090104</v>
          </cell>
          <cell r="C1417" t="str">
            <v>LPC PAG TV RP MED PLAZO NO REV          1ND</v>
          </cell>
        </row>
        <row r="1418">
          <cell r="B1418" t="str">
            <v>14010606090105</v>
          </cell>
          <cell r="C1418" t="str">
            <v>LPC PAG TV RP MED PLAZO NO REV D/P      1ND</v>
          </cell>
        </row>
        <row r="1419">
          <cell r="B1419" t="str">
            <v>14010606090106</v>
          </cell>
          <cell r="C1419" t="str">
            <v>LPC PAG TV INMOBILIARIO NO REV          1ND</v>
          </cell>
        </row>
        <row r="1420">
          <cell r="B1420" t="str">
            <v>14010606090107</v>
          </cell>
          <cell r="C1420" t="str">
            <v>LPC PAG TV INMOBILIARIO NO REV D/P      1ND</v>
          </cell>
        </row>
        <row r="1421">
          <cell r="B1421" t="str">
            <v>14010606090108</v>
          </cell>
          <cell r="C1421" t="str">
            <v>LPC PAG TV NO REVOL EUROS               1ND</v>
          </cell>
        </row>
        <row r="1422">
          <cell r="B1422" t="str">
            <v>14010606090109</v>
          </cell>
          <cell r="C1422" t="str">
            <v>LPC PAG TV NO REVOL EUROS               1ND</v>
          </cell>
        </row>
        <row r="1423">
          <cell r="B1423" t="str">
            <v>14010606090201</v>
          </cell>
          <cell r="C1423" t="str">
            <v>CL PAG TV NO REVOLV VIG SOB             1ND</v>
          </cell>
        </row>
        <row r="1424">
          <cell r="B1424" t="str">
            <v>14010606090202</v>
          </cell>
          <cell r="C1424" t="str">
            <v>CL PAG. TV D/P NO REVOL VIG CSOB        1ND</v>
          </cell>
        </row>
        <row r="1425">
          <cell r="B1425" t="str">
            <v>14010606090211</v>
          </cell>
          <cell r="C1425" t="str">
            <v>LPC REACTIVA PERU VIG CSOB\NORM         1ND</v>
          </cell>
        </row>
        <row r="1426">
          <cell r="B1426" t="str">
            <v>14010606090212</v>
          </cell>
          <cell r="C1426" t="str">
            <v>LPC REACTIVA PERU VIG CSOB\NORM         1ND</v>
          </cell>
        </row>
        <row r="1427">
          <cell r="B1427" t="str">
            <v>14010606090213</v>
          </cell>
          <cell r="C1427" t="str">
            <v>LPC COFIDE FONDOS PERU VIG CSOB\NORM    1ND</v>
          </cell>
        </row>
        <row r="1428">
          <cell r="B1428" t="str">
            <v>14010606090214</v>
          </cell>
          <cell r="C1428" t="str">
            <v>LPC COFIDE FONDOS PERU VIG CSOB\NORM    1ND</v>
          </cell>
        </row>
        <row r="1429">
          <cell r="B1429" t="str">
            <v>14010606090215</v>
          </cell>
          <cell r="C1429" t="str">
            <v>LPC COFIDE FONDO CRECER VIG CSOB\NORM   1ND</v>
          </cell>
        </row>
        <row r="1430">
          <cell r="B1430" t="str">
            <v>14010606090216</v>
          </cell>
          <cell r="C1430" t="str">
            <v>LPC COFIDE FONDO CRECER VIG CSOB\NORM   1ND</v>
          </cell>
        </row>
        <row r="1431">
          <cell r="B1431" t="str">
            <v>14010606090217</v>
          </cell>
          <cell r="C1431" t="str">
            <v>LPC REACTIVA PERU VIG CSOB\NORM         1ND</v>
          </cell>
        </row>
        <row r="1432">
          <cell r="B1432" t="str">
            <v>14010606090218</v>
          </cell>
          <cell r="C1432" t="str">
            <v>LPC REACTIVA PERU VIG CSOB\NORM         1ND</v>
          </cell>
        </row>
        <row r="1433">
          <cell r="B1433" t="str">
            <v>14010699010101</v>
          </cell>
          <cell r="C1433" t="str">
            <v>IM AVANCE CTA CTE PJ CSOB               1ND</v>
          </cell>
        </row>
        <row r="1434">
          <cell r="B1434" t="str">
            <v>14010699010102</v>
          </cell>
          <cell r="C1434" t="str">
            <v>IM AVANCE CTA CTE PJ S/F CSOB           1ND</v>
          </cell>
        </row>
        <row r="1435">
          <cell r="B1435" t="str">
            <v>14010699020101</v>
          </cell>
          <cell r="C1435" t="str">
            <v>TC MC COLOC. REV. COMP.EFEC. VIG. CSOB  1ND</v>
          </cell>
        </row>
        <row r="1436">
          <cell r="B1436" t="str">
            <v>14010699040101</v>
          </cell>
          <cell r="C1436" t="str">
            <v>IM SOBREGIRO CTA CTE PJ CSOB            1ND</v>
          </cell>
        </row>
        <row r="1437">
          <cell r="B1437" t="str">
            <v>14010699040102</v>
          </cell>
          <cell r="C1437" t="str">
            <v>IM SOBREGIRO CTA CTE PJ S/F CSOB        1ND</v>
          </cell>
        </row>
        <row r="1438">
          <cell r="B1438" t="str">
            <v>14010699040103</v>
          </cell>
          <cell r="C1438" t="str">
            <v>IM SOBRG CTA CTE S/F PJ CSOB            1ND</v>
          </cell>
        </row>
        <row r="1439">
          <cell r="B1439" t="str">
            <v>14010699040104</v>
          </cell>
          <cell r="C1439" t="str">
            <v>IM SOBRG CTA CASTIG S/F PJ CSOB         1ND</v>
          </cell>
        </row>
        <row r="1440">
          <cell r="B1440" t="str">
            <v>14010701000101</v>
          </cell>
          <cell r="C1440" t="str">
            <v>IM AVANCE CTA CTE PJ CESP               1ND</v>
          </cell>
        </row>
        <row r="1441">
          <cell r="B1441" t="str">
            <v>14010701000102</v>
          </cell>
          <cell r="C1441" t="str">
            <v>IM AVANCE CTA CTE PJ S/F CESP           1ND</v>
          </cell>
        </row>
        <row r="1442">
          <cell r="B1442" t="str">
            <v>14010701000103</v>
          </cell>
          <cell r="C1442" t="str">
            <v>LPC AVANCE EN CUENTA NORM CESP          1ND</v>
          </cell>
        </row>
        <row r="1443">
          <cell r="B1443" t="str">
            <v>14010701000104</v>
          </cell>
          <cell r="C1443" t="str">
            <v>LPC AVANCE EN CUENTA  DUPE CESP         1ND</v>
          </cell>
        </row>
        <row r="1444">
          <cell r="B1444" t="str">
            <v>14010701000105</v>
          </cell>
          <cell r="C1444" t="str">
            <v>IM AVANCE CTA CTE PJ CESP               1ND</v>
          </cell>
        </row>
        <row r="1445">
          <cell r="B1445" t="str">
            <v>14010702010101</v>
          </cell>
          <cell r="C1445" t="str">
            <v>TC VISA COMERC COLOC.DISP.EFECT. CESP   1ND</v>
          </cell>
        </row>
        <row r="1446">
          <cell r="B1446" t="str">
            <v>14010702010102</v>
          </cell>
          <cell r="C1446" t="str">
            <v>TC MC COMERC. COLOC. DISP. CESP         1ND</v>
          </cell>
        </row>
        <row r="1447">
          <cell r="B1447" t="str">
            <v>14010702010103</v>
          </cell>
          <cell r="C1447" t="str">
            <v>TC AMEX COMERC COLOC.DISP.EFECT. CESP   1ND</v>
          </cell>
        </row>
        <row r="1448">
          <cell r="B1448" t="str">
            <v>14010702010104</v>
          </cell>
          <cell r="C1448" t="str">
            <v>TC VEA COMERC. COLOC. DISP. CESP        1ND</v>
          </cell>
        </row>
        <row r="1449">
          <cell r="B1449" t="str">
            <v>14010702010105</v>
          </cell>
          <cell r="C1449" t="str">
            <v>TC AMEX D/E CUOTAS VIG CESP             1ND</v>
          </cell>
        </row>
        <row r="1450">
          <cell r="B1450" t="str">
            <v>14010702010106</v>
          </cell>
          <cell r="C1450" t="str">
            <v>TC AMEX D/E REV VIG CESP                1ND</v>
          </cell>
        </row>
        <row r="1451">
          <cell r="B1451" t="str">
            <v>14010702010107</v>
          </cell>
          <cell r="C1451" t="str">
            <v>TC MC D/E CUOTAS VIG CESP               1ND</v>
          </cell>
        </row>
        <row r="1452">
          <cell r="B1452" t="str">
            <v>14010702010108</v>
          </cell>
          <cell r="C1452" t="str">
            <v>TC MC D/E REV VIG CESP                  1ND</v>
          </cell>
        </row>
        <row r="1453">
          <cell r="B1453" t="str">
            <v>14010702010109</v>
          </cell>
          <cell r="C1453" t="str">
            <v>TC VISA D/E CUOTAS VIG CESP             1ND</v>
          </cell>
        </row>
        <row r="1454">
          <cell r="B1454" t="str">
            <v>14010702010110</v>
          </cell>
          <cell r="C1454" t="str">
            <v>TC VISA D/E REV VIG CESP                1ND</v>
          </cell>
        </row>
        <row r="1455">
          <cell r="B1455" t="str">
            <v>14010702020101</v>
          </cell>
          <cell r="C1455" t="str">
            <v>TC VISA COMERC COLOC.COMPRAS CESP       1ND</v>
          </cell>
        </row>
        <row r="1456">
          <cell r="B1456" t="str">
            <v>14010702020102</v>
          </cell>
          <cell r="C1456" t="str">
            <v>TC MC COMERCIAL. COLOC. COMPRA CESP     1ND</v>
          </cell>
        </row>
        <row r="1457">
          <cell r="B1457" t="str">
            <v>14010702020103</v>
          </cell>
          <cell r="C1457" t="str">
            <v>TC AMEX COMERC COLOC.COMPRAS CESP       1ND</v>
          </cell>
        </row>
        <row r="1458">
          <cell r="B1458" t="str">
            <v>14010702020104</v>
          </cell>
          <cell r="C1458" t="str">
            <v>TC VEA COMERCIAL. COLOC. COMPRA CESP    1ND</v>
          </cell>
        </row>
        <row r="1459">
          <cell r="B1459" t="str">
            <v>14010702020105</v>
          </cell>
          <cell r="C1459" t="str">
            <v>TC AMEX COMPRA CUOTAS VIG CESP          1ND</v>
          </cell>
        </row>
        <row r="1460">
          <cell r="B1460" t="str">
            <v>14010702020106</v>
          </cell>
          <cell r="C1460" t="str">
            <v>TC AMEX COMPRA REV VIG CESP             1ND</v>
          </cell>
        </row>
        <row r="1461">
          <cell r="B1461" t="str">
            <v>14010702020107</v>
          </cell>
          <cell r="C1461" t="str">
            <v>TC MC COMPRA CUOTAS VIG CESP            1ND</v>
          </cell>
        </row>
        <row r="1462">
          <cell r="B1462" t="str">
            <v>14010702020108</v>
          </cell>
          <cell r="C1462" t="str">
            <v>TC MC COMPRA REV VIG CESP               1ND</v>
          </cell>
        </row>
        <row r="1463">
          <cell r="B1463" t="str">
            <v>14010702020109</v>
          </cell>
          <cell r="C1463" t="str">
            <v>TC VISA COMPRA CUOTAS VIG CESP          1ND</v>
          </cell>
        </row>
        <row r="1464">
          <cell r="B1464" t="str">
            <v>14010702020110</v>
          </cell>
          <cell r="C1464" t="str">
            <v>TC VISA COMPRA REV VIG CESP             1ND</v>
          </cell>
        </row>
        <row r="1465">
          <cell r="B1465" t="str">
            <v>14010702090101</v>
          </cell>
          <cell r="C1465" t="str">
            <v>TC AMEX CDEUDA PAR VIG CESP             1ND</v>
          </cell>
        </row>
        <row r="1466">
          <cell r="B1466" t="str">
            <v>14010702090102</v>
          </cell>
          <cell r="C1466" t="str">
            <v>TC AMEX CDEUDA REV VIG CESP             1ND</v>
          </cell>
        </row>
        <row r="1467">
          <cell r="B1467" t="str">
            <v>14010702090103</v>
          </cell>
          <cell r="C1467" t="str">
            <v>TC AMEX EXTRACASH VIG CESP              1ND</v>
          </cell>
        </row>
        <row r="1468">
          <cell r="B1468" t="str">
            <v>14010702090104</v>
          </cell>
          <cell r="C1468" t="str">
            <v>TC AMEX REPROG PAR VIG CESP             1ND</v>
          </cell>
        </row>
        <row r="1469">
          <cell r="B1469" t="str">
            <v>14010702090105</v>
          </cell>
          <cell r="C1469" t="str">
            <v>TC AMEX REPROG REV VIG CESP             1ND</v>
          </cell>
        </row>
        <row r="1470">
          <cell r="B1470" t="str">
            <v>14010702090106</v>
          </cell>
          <cell r="C1470" t="str">
            <v>TC MC CDEUDA PAR VIG CESP               1ND</v>
          </cell>
        </row>
        <row r="1471">
          <cell r="B1471" t="str">
            <v>14010702090107</v>
          </cell>
          <cell r="C1471" t="str">
            <v>TC MC CDEUDA REV VIG CESP               1ND</v>
          </cell>
        </row>
        <row r="1472">
          <cell r="B1472" t="str">
            <v>14010702090108</v>
          </cell>
          <cell r="C1472" t="str">
            <v>TC MC EXTRACASH VIG CESP                1ND</v>
          </cell>
        </row>
        <row r="1473">
          <cell r="B1473" t="str">
            <v>14010702090109</v>
          </cell>
          <cell r="C1473" t="str">
            <v>TC MC REPROG PAR VIG CESP               1ND</v>
          </cell>
        </row>
        <row r="1474">
          <cell r="B1474" t="str">
            <v>14010702090110</v>
          </cell>
          <cell r="C1474" t="str">
            <v>TC MC REPROG REV VIG CESP               1ND</v>
          </cell>
        </row>
        <row r="1475">
          <cell r="B1475" t="str">
            <v>14010702090111</v>
          </cell>
          <cell r="C1475" t="str">
            <v>TC VISA CDEUDA PAR VIG CESP             1ND</v>
          </cell>
        </row>
        <row r="1476">
          <cell r="B1476" t="str">
            <v>14010702090112</v>
          </cell>
          <cell r="C1476" t="str">
            <v>TC VISA CDEUDA REV VIG CESP             1ND</v>
          </cell>
        </row>
        <row r="1477">
          <cell r="B1477" t="str">
            <v>14010702090113</v>
          </cell>
          <cell r="C1477" t="str">
            <v>TC VISA EXTRACASH VIG CESP              1ND</v>
          </cell>
        </row>
        <row r="1478">
          <cell r="B1478" t="str">
            <v>14010702090114</v>
          </cell>
          <cell r="C1478" t="str">
            <v>TC VISA REPROG PAR VIG CESP             1ND</v>
          </cell>
        </row>
        <row r="1479">
          <cell r="B1479" t="str">
            <v>14010702090115</v>
          </cell>
          <cell r="C1479" t="str">
            <v>TC VISA REPROG REV VIG CESP             1ND</v>
          </cell>
        </row>
        <row r="1480">
          <cell r="B1480" t="str">
            <v>14010704000101</v>
          </cell>
          <cell r="C1480" t="str">
            <v>IM SOBREGIRO CTA CTE PJ CESP            1ND</v>
          </cell>
        </row>
        <row r="1481">
          <cell r="B1481" t="str">
            <v>14010704000102</v>
          </cell>
          <cell r="C1481" t="str">
            <v>IM SOBREGIRO CTA CTE PJ S/F CESP        1ND</v>
          </cell>
        </row>
        <row r="1482">
          <cell r="B1482" t="str">
            <v>14010704000103</v>
          </cell>
          <cell r="C1482" t="str">
            <v>IM SOBRG CTA CTE S/F PJ CESP            1ND</v>
          </cell>
        </row>
        <row r="1483">
          <cell r="B1483" t="str">
            <v>14010704000104</v>
          </cell>
          <cell r="C1483" t="str">
            <v>IM SOBRG CTA CASTIG S/F PJ CESP         1ND</v>
          </cell>
        </row>
        <row r="1484">
          <cell r="B1484" t="str">
            <v>14010705010101</v>
          </cell>
          <cell r="C1484" t="str">
            <v>CL PAG DSCTO VIG CESP                   1ND</v>
          </cell>
        </row>
        <row r="1485">
          <cell r="B1485" t="str">
            <v>14010705010102</v>
          </cell>
          <cell r="C1485" t="str">
            <v>CL PAG.DSCTO D/P VIG CESP               1ND</v>
          </cell>
        </row>
        <row r="1486">
          <cell r="B1486" t="str">
            <v>14010705010103</v>
          </cell>
          <cell r="C1486" t="str">
            <v>LPC PAG.TSA.DSCTO D/P VIGC CESP         1ND</v>
          </cell>
        </row>
        <row r="1487">
          <cell r="B1487" t="str">
            <v>14010705010104</v>
          </cell>
          <cell r="C1487" t="str">
            <v>LPC PAG.TSA.DSCTO VIGC CESP             1ND</v>
          </cell>
        </row>
        <row r="1488">
          <cell r="B1488" t="str">
            <v>14010705020101</v>
          </cell>
          <cell r="C1488" t="str">
            <v>PR LETRAS  DSCTO CP  CESP               1ND</v>
          </cell>
        </row>
        <row r="1489">
          <cell r="B1489" t="str">
            <v>14010705020102</v>
          </cell>
          <cell r="C1489" t="str">
            <v>PR DSCTO ELECTR SM PERU VIG CCOR        1ND</v>
          </cell>
        </row>
        <row r="1490">
          <cell r="B1490" t="str">
            <v>14010705020104</v>
          </cell>
          <cell r="C1490" t="str">
            <v>PR LETRAS T. DESCONTADAÂ  VIGÂ Â  CESP  1ND</v>
          </cell>
        </row>
        <row r="1491">
          <cell r="B1491" t="str">
            <v>14010705020105</v>
          </cell>
          <cell r="C1491" t="str">
            <v>FCD DSCTO ELECTR VIG DUDOSO CESP        1ND</v>
          </cell>
        </row>
        <row r="1492">
          <cell r="B1492" t="str">
            <v>14010705020106</v>
          </cell>
          <cell r="C1492" t="str">
            <v>FCD DESC. LET. VIG. CESP DUPE           1ND</v>
          </cell>
        </row>
        <row r="1493">
          <cell r="B1493" t="str">
            <v>14010705020107</v>
          </cell>
          <cell r="C1493" t="str">
            <v>FCD DESC. FACT. VIG. CESP DUPE          1ND</v>
          </cell>
        </row>
        <row r="1494">
          <cell r="B1494" t="str">
            <v>14010705020108</v>
          </cell>
          <cell r="C1494" t="str">
            <v>FCD DESC. VIRTUAL VIG. CESP DUPE        1ND</v>
          </cell>
        </row>
        <row r="1495">
          <cell r="B1495" t="str">
            <v>14010705020109</v>
          </cell>
          <cell r="C1495" t="str">
            <v>FCD DESC. FACT. NEG. VIG. CESP DUPE     1ND</v>
          </cell>
        </row>
        <row r="1496">
          <cell r="B1496" t="str">
            <v>14010705020110</v>
          </cell>
          <cell r="C1496" t="str">
            <v>FCD DESC. VIRTUAL VIG. CESP NORMAL      1ND</v>
          </cell>
        </row>
        <row r="1497">
          <cell r="B1497" t="str">
            <v>14010706010101</v>
          </cell>
          <cell r="C1497" t="str">
            <v>LPC PAG TV D/P REVOL VIG CESP           1ND</v>
          </cell>
        </row>
        <row r="1498">
          <cell r="B1498" t="str">
            <v>14010706010102</v>
          </cell>
          <cell r="C1498" t="str">
            <v>LPC PAG TV RP REVOL CESP                1ND</v>
          </cell>
        </row>
        <row r="1499">
          <cell r="B1499" t="str">
            <v>14010706010103</v>
          </cell>
          <cell r="C1499" t="str">
            <v>LPC P.TV REC.COFIDE REVOL VIG CESP      1ND</v>
          </cell>
        </row>
        <row r="1500">
          <cell r="B1500" t="str">
            <v>14010706010104</v>
          </cell>
          <cell r="C1500" t="str">
            <v>LPC PAGARE TV COFIDE D/P CESP           1ND</v>
          </cell>
        </row>
        <row r="1501">
          <cell r="B1501" t="str">
            <v>14010706010105</v>
          </cell>
          <cell r="C1501" t="str">
            <v>LPC PAG TV RP MED PLAZO REVOL           1ND</v>
          </cell>
        </row>
        <row r="1502">
          <cell r="B1502" t="str">
            <v>14010706010106</v>
          </cell>
          <cell r="C1502" t="str">
            <v>LPC PAG TV RP MED PLAZO REVOL D/P       1ND</v>
          </cell>
        </row>
        <row r="1503">
          <cell r="B1503" t="str">
            <v>14010706010107</v>
          </cell>
          <cell r="C1503" t="str">
            <v>LPC PAG TV INMOBILIARIO REV             1ND</v>
          </cell>
        </row>
        <row r="1504">
          <cell r="B1504" t="str">
            <v>14010706010108</v>
          </cell>
          <cell r="C1504" t="str">
            <v>LPC PAG TV INMOBILIARIO REV D/P         1ND</v>
          </cell>
        </row>
        <row r="1505">
          <cell r="B1505" t="str">
            <v>14010706010109</v>
          </cell>
          <cell r="C1505" t="str">
            <v>LPC PAG TV REVOL EUROS                  1ND</v>
          </cell>
        </row>
        <row r="1506">
          <cell r="B1506" t="str">
            <v>14010706010110</v>
          </cell>
          <cell r="C1506" t="str">
            <v>LPC PAG TV REVOL EUROS                  1ND</v>
          </cell>
        </row>
        <row r="1507">
          <cell r="B1507" t="str">
            <v>14010706010201</v>
          </cell>
          <cell r="C1507" t="str">
            <v>CL PAG. TV D/P REVOL VIG CESP           1ND</v>
          </cell>
        </row>
        <row r="1508">
          <cell r="B1508" t="str">
            <v>14010706010202</v>
          </cell>
          <cell r="C1508" t="str">
            <v>CL PAG TV REVOLV VIG  CESP              1ND</v>
          </cell>
        </row>
        <row r="1509">
          <cell r="B1509" t="str">
            <v>14010706010203</v>
          </cell>
          <cell r="C1509" t="str">
            <v>CL PAG.TV NEG.INMOBIL REVOLV VIG CESP   1ND</v>
          </cell>
        </row>
        <row r="1510">
          <cell r="B1510" t="str">
            <v>14010706010204</v>
          </cell>
          <cell r="C1510" t="str">
            <v>CL P.TV OTROS SUSP.REVOL VIG CESP       1ND</v>
          </cell>
        </row>
        <row r="1511">
          <cell r="B1511" t="str">
            <v>14010706010205</v>
          </cell>
          <cell r="C1511" t="str">
            <v>CL P.TV REC.COFIDE.REV VIG CESP         1ND</v>
          </cell>
        </row>
        <row r="1512">
          <cell r="B1512" t="str">
            <v>14010706010212</v>
          </cell>
          <cell r="C1512" t="str">
            <v>LPC REACTIVA PERU VIG CESP\NORM         1ND</v>
          </cell>
        </row>
        <row r="1513">
          <cell r="B1513" t="str">
            <v>14010706010213</v>
          </cell>
          <cell r="C1513" t="str">
            <v>LPC REACTIVA PERU VIG CESP\DUPE         1ND</v>
          </cell>
        </row>
        <row r="1514">
          <cell r="B1514" t="str">
            <v>14010706010214</v>
          </cell>
          <cell r="C1514" t="str">
            <v>LPC COFIDE FONDOS PERU VIG CESP\NORM    1ND</v>
          </cell>
        </row>
        <row r="1515">
          <cell r="B1515" t="str">
            <v>14010706010215</v>
          </cell>
          <cell r="C1515" t="str">
            <v>LPC COFIDE FONDOS PERU VIG CESP\DUPE    1ND</v>
          </cell>
        </row>
        <row r="1516">
          <cell r="B1516" t="str">
            <v>14010706010216</v>
          </cell>
          <cell r="C1516" t="str">
            <v>LPC COFIDE FONDO CRECER VIG CESP\NORM   1ND</v>
          </cell>
        </row>
        <row r="1517">
          <cell r="B1517" t="str">
            <v>14010706010217</v>
          </cell>
          <cell r="C1517" t="str">
            <v>LPC REACTIVA PERU VIG CESP\NORM         1ND</v>
          </cell>
        </row>
        <row r="1518">
          <cell r="B1518" t="str">
            <v>14010706020100</v>
          </cell>
          <cell r="C1518" t="str">
            <v>LPC PAG TV RP MED PLAZO NO REV          1ND</v>
          </cell>
        </row>
        <row r="1519">
          <cell r="B1519" t="str">
            <v>14010706020101</v>
          </cell>
          <cell r="C1519" t="str">
            <v>LPC PAG TV RP NO REVOL CCOR             1ND</v>
          </cell>
        </row>
        <row r="1520">
          <cell r="B1520" t="str">
            <v>14010706020102</v>
          </cell>
          <cell r="C1520" t="str">
            <v>LPC PAG TV RP MED PLAZO NO REV          1ND</v>
          </cell>
        </row>
        <row r="1521">
          <cell r="B1521" t="str">
            <v>14010706020103</v>
          </cell>
          <cell r="C1521" t="str">
            <v>LPC PAG TV RP NO REVOL CCOR             1ND</v>
          </cell>
        </row>
        <row r="1522">
          <cell r="B1522" t="str">
            <v>14010706020104</v>
          </cell>
          <cell r="C1522" t="str">
            <v>LPC PAG TV RP REVOL CESP NORM            ND</v>
          </cell>
        </row>
        <row r="1523">
          <cell r="B1523" t="str">
            <v>14010706020105</v>
          </cell>
          <cell r="C1523" t="str">
            <v>LPC PAG TV RP REVOL CESP DUPE            ND</v>
          </cell>
        </row>
        <row r="1524">
          <cell r="B1524" t="str">
            <v>14010706020106</v>
          </cell>
          <cell r="C1524" t="str">
            <v>MYP D/P CAP VIG CAP.TRAB CESP           1 D</v>
          </cell>
        </row>
        <row r="1525">
          <cell r="B1525" t="str">
            <v>14010706020107</v>
          </cell>
          <cell r="C1525" t="str">
            <v>MYP CAP.VIG CAP. TRAB. CESP             1 D</v>
          </cell>
        </row>
        <row r="1526">
          <cell r="B1526" t="str">
            <v>14010706090101</v>
          </cell>
          <cell r="C1526" t="str">
            <v>LPC PAG TV D/P NO REV VIG CESP          1ND</v>
          </cell>
        </row>
        <row r="1527">
          <cell r="B1527" t="str">
            <v>14010706090102</v>
          </cell>
          <cell r="C1527" t="str">
            <v>LPC PAG TV RP NO REVOL CESP             1ND</v>
          </cell>
        </row>
        <row r="1528">
          <cell r="B1528" t="str">
            <v>14010706090105</v>
          </cell>
          <cell r="C1528" t="str">
            <v>LPC P.TV REC.COFIDE NO REVOL VIG CESP   1ND</v>
          </cell>
        </row>
        <row r="1529">
          <cell r="B1529" t="str">
            <v>14010706090106</v>
          </cell>
          <cell r="C1529" t="str">
            <v>LPC PAGARE TV COFIDE D/P CESP           1ND</v>
          </cell>
        </row>
        <row r="1530">
          <cell r="B1530" t="str">
            <v>14010706090107</v>
          </cell>
          <cell r="C1530" t="str">
            <v>LPC PAG TV RP MED PLAZO NO REV          1ND</v>
          </cell>
        </row>
        <row r="1531">
          <cell r="B1531" t="str">
            <v>14010706090108</v>
          </cell>
          <cell r="C1531" t="str">
            <v>LPC PAG TV RP MED PLAZO NO REV D/P      1ND</v>
          </cell>
        </row>
        <row r="1532">
          <cell r="B1532" t="str">
            <v>14010706090109</v>
          </cell>
          <cell r="C1532" t="str">
            <v>LPC PAG TV INMOBILIARIO NO REV          1ND</v>
          </cell>
        </row>
        <row r="1533">
          <cell r="B1533" t="str">
            <v>14010706090110</v>
          </cell>
          <cell r="C1533" t="str">
            <v>LPC PAG TV INMOBILIARIO NO REV D/P      1ND</v>
          </cell>
        </row>
        <row r="1534">
          <cell r="B1534" t="str">
            <v>14010706090111</v>
          </cell>
          <cell r="C1534" t="str">
            <v>LPC PAG TV NO REVOL EUROS               1ND</v>
          </cell>
        </row>
        <row r="1535">
          <cell r="B1535" t="str">
            <v>14010706090112</v>
          </cell>
          <cell r="C1535" t="str">
            <v>LPC PAG TV NO REVOL EUROS               1ND</v>
          </cell>
        </row>
        <row r="1536">
          <cell r="B1536" t="str">
            <v>14010706090201</v>
          </cell>
          <cell r="C1536" t="str">
            <v>CL PAG. TV D/P NO REVOL VIG CESP        1ND</v>
          </cell>
        </row>
        <row r="1537">
          <cell r="B1537" t="str">
            <v>14010706090202</v>
          </cell>
          <cell r="C1537" t="str">
            <v>CL PAG TV NO REVOLV VIG  CESP           1ND</v>
          </cell>
        </row>
        <row r="1538">
          <cell r="B1538" t="str">
            <v>14010706090203</v>
          </cell>
          <cell r="C1538" t="str">
            <v>CL PAG.TV NEG.INMOBIL NO REVOLV VIG CESP1ND</v>
          </cell>
        </row>
        <row r="1539">
          <cell r="B1539" t="str">
            <v>14010706090204</v>
          </cell>
          <cell r="C1539" t="str">
            <v>CL P.TV OTROS SUSP.NO REV VIG CESP      1ND</v>
          </cell>
        </row>
        <row r="1540">
          <cell r="B1540" t="str">
            <v>14010706090205</v>
          </cell>
          <cell r="C1540" t="str">
            <v>CL P.TV REC.COFIDE.  NO REV VIG CESP    1ND</v>
          </cell>
        </row>
        <row r="1541">
          <cell r="B1541" t="str">
            <v>14010706090212</v>
          </cell>
          <cell r="C1541" t="str">
            <v>LPC REACTIVA PERU VIG CESP\NORM         1ND</v>
          </cell>
        </row>
        <row r="1542">
          <cell r="B1542" t="str">
            <v>14010706090213</v>
          </cell>
          <cell r="C1542" t="str">
            <v>LPC REACTIVA PERU VIG CESP\DUPE         1ND</v>
          </cell>
        </row>
        <row r="1543">
          <cell r="B1543" t="str">
            <v>14010706090214</v>
          </cell>
          <cell r="C1543" t="str">
            <v>LPC COFIDE FONDOS PERU VIG CESP\NORM    1ND</v>
          </cell>
        </row>
        <row r="1544">
          <cell r="B1544" t="str">
            <v>14010706090215</v>
          </cell>
          <cell r="C1544" t="str">
            <v>LPC COFIDE FONDOS PERU VIG CESP\DUPE    1ND</v>
          </cell>
        </row>
        <row r="1545">
          <cell r="B1545" t="str">
            <v>14010706090216</v>
          </cell>
          <cell r="C1545" t="str">
            <v>LPC COFIDE FONDO CRECER VIG CESP\NORM   1ND</v>
          </cell>
        </row>
        <row r="1546">
          <cell r="B1546" t="str">
            <v>14010706090217</v>
          </cell>
          <cell r="C1546" t="str">
            <v>LPC REACTIVA PERU VIG CESP\NORM         1ND</v>
          </cell>
        </row>
        <row r="1547">
          <cell r="B1547" t="str">
            <v>14010710000101</v>
          </cell>
          <cell r="C1547" t="str">
            <v>PR FACT EN FACTORING VIG CESP           1ND</v>
          </cell>
        </row>
        <row r="1548">
          <cell r="B1548" t="str">
            <v>14010710000102</v>
          </cell>
          <cell r="C1548" t="str">
            <v>FCD  FACT ELECTR LET/FACT VIG CESP      1ND</v>
          </cell>
        </row>
        <row r="1549">
          <cell r="B1549" t="str">
            <v>14010710000103</v>
          </cell>
          <cell r="C1549" t="str">
            <v>PR LETRAS FACTORING VIG CESP            1ND</v>
          </cell>
        </row>
        <row r="1550">
          <cell r="B1550" t="str">
            <v>14010710000104</v>
          </cell>
          <cell r="C1550" t="str">
            <v>PR FACT INTERN VIG CESP                 1ND</v>
          </cell>
        </row>
        <row r="1551">
          <cell r="B1551" t="str">
            <v>14010710000105</v>
          </cell>
          <cell r="C1551" t="str">
            <v>PR PERU FACTORING CAP. VIG CESP         1ND</v>
          </cell>
        </row>
        <row r="1552">
          <cell r="B1552" t="str">
            <v>14010710000106</v>
          </cell>
          <cell r="C1552" t="str">
            <v>PR FORFAITING EXPORTACIÃ“N VIG CESP     1ND</v>
          </cell>
        </row>
        <row r="1553">
          <cell r="B1553" t="str">
            <v>14010710000201</v>
          </cell>
          <cell r="C1553" t="str">
            <v>CL EX FACTORING FORFAITING VIG CESP     1ND</v>
          </cell>
        </row>
        <row r="1554">
          <cell r="B1554" t="str">
            <v>14010710000202</v>
          </cell>
          <cell r="C1554" t="str">
            <v>FACT INTER IMPORT VIG. CESP DUPE        1ND</v>
          </cell>
        </row>
        <row r="1555">
          <cell r="B1555" t="str">
            <v>14010710000203</v>
          </cell>
          <cell r="C1555" t="str">
            <v>FACT INTER IMPORT  VIG. CESP NORMAL     1ND</v>
          </cell>
        </row>
        <row r="1556">
          <cell r="B1556" t="str">
            <v>14010710000301</v>
          </cell>
          <cell r="C1556" t="str">
            <v>CL  CONFIRMING INTER VIG CESP           1ND</v>
          </cell>
        </row>
        <row r="1557">
          <cell r="B1557" t="str">
            <v>14010710000401</v>
          </cell>
          <cell r="C1557" t="str">
            <v>FCD FACT ELECTR VIG DUDOSO CESP         1ND</v>
          </cell>
        </row>
        <row r="1558">
          <cell r="B1558" t="str">
            <v>14010710000402</v>
          </cell>
          <cell r="C1558" t="str">
            <v>FCD FACT INTER EXPO VIG NORM CESP       1ND</v>
          </cell>
        </row>
        <row r="1559">
          <cell r="B1559" t="str">
            <v>14010710000403</v>
          </cell>
          <cell r="C1559" t="str">
            <v>FCD FORFAITING EXPO VIG NORM CESP       1ND</v>
          </cell>
        </row>
        <row r="1560">
          <cell r="B1560" t="str">
            <v>14010710000404</v>
          </cell>
          <cell r="C1560" t="str">
            <v>FCD FACT INTER EXPO VIG DUPE CESP       1ND</v>
          </cell>
        </row>
        <row r="1561">
          <cell r="B1561" t="str">
            <v>14010710000405</v>
          </cell>
          <cell r="C1561" t="str">
            <v>FCD FORFAITING EXPO VIG DUPE CESP       1ND</v>
          </cell>
        </row>
        <row r="1562">
          <cell r="B1562" t="str">
            <v>14010710000406</v>
          </cell>
          <cell r="C1562" t="str">
            <v>FCD CONFIRMING INTERNACIONALVIG NORM CES1ND</v>
          </cell>
        </row>
        <row r="1563">
          <cell r="B1563" t="str">
            <v>14010710000407</v>
          </cell>
          <cell r="C1563" t="str">
            <v>FCD CONFIRMING INTERNACIONAL VIG DUPE CE1ND</v>
          </cell>
        </row>
        <row r="1564">
          <cell r="B1564" t="str">
            <v>14010710000408</v>
          </cell>
          <cell r="C1564" t="str">
            <v>FCD fAC. FIS. LET. VIG. CESP DUPE       1ND</v>
          </cell>
        </row>
        <row r="1565">
          <cell r="B1565" t="str">
            <v>14010710000409</v>
          </cell>
          <cell r="C1565" t="str">
            <v>FCD FAC. FIS. fAC.. VIG. CESP DUPE      1ND</v>
          </cell>
        </row>
        <row r="1566">
          <cell r="B1566" t="str">
            <v>14010711000101</v>
          </cell>
          <cell r="C1566" t="str">
            <v>LPC LEASING BIEN INT DIFE RP CESP       1ND</v>
          </cell>
        </row>
        <row r="1567">
          <cell r="B1567" t="str">
            <v>14010711000102</v>
          </cell>
          <cell r="C1567" t="str">
            <v>LPC LEASING SEGUROS INT DIF RP CESP     1ND</v>
          </cell>
        </row>
        <row r="1568">
          <cell r="B1568" t="str">
            <v>14010711000103</v>
          </cell>
          <cell r="C1568" t="str">
            <v>LPC LEASING SEGUROS RP CESP             1ND</v>
          </cell>
        </row>
        <row r="1569">
          <cell r="B1569" t="str">
            <v>14010711000104</v>
          </cell>
          <cell r="C1569" t="str">
            <v>LPC LEASING IGV RP CESP                 1ND</v>
          </cell>
        </row>
        <row r="1570">
          <cell r="B1570" t="str">
            <v>14010711000105</v>
          </cell>
          <cell r="C1570" t="str">
            <v>LPC LEASING DEL BIEN RP CESP            1ND</v>
          </cell>
        </row>
        <row r="1571">
          <cell r="B1571" t="str">
            <v>14010711000106</v>
          </cell>
          <cell r="C1571" t="str">
            <v>LPC LEAS DEL BIEN D/P INT DIF RP CESP   1ND</v>
          </cell>
        </row>
        <row r="1572">
          <cell r="B1572" t="str">
            <v>14010711000107</v>
          </cell>
          <cell r="C1572" t="str">
            <v>LPC LEAS D/P SEG INT DIF RP CESP        1ND</v>
          </cell>
        </row>
        <row r="1573">
          <cell r="B1573" t="str">
            <v>14010711000108</v>
          </cell>
          <cell r="C1573" t="str">
            <v>LPC LEAS D/P SEG RP CESP                1ND</v>
          </cell>
        </row>
        <row r="1574">
          <cell r="B1574" t="str">
            <v>14010711000109</v>
          </cell>
          <cell r="C1574" t="str">
            <v>LPC LEAS DEL BIEN D/P RP CESP           1ND</v>
          </cell>
        </row>
        <row r="1575">
          <cell r="B1575" t="str">
            <v>14010711000110</v>
          </cell>
          <cell r="C1575" t="str">
            <v>LPC LEASING D/P IGV RP CESP             1ND</v>
          </cell>
        </row>
        <row r="1576">
          <cell r="B1576" t="str">
            <v>14010711000201</v>
          </cell>
          <cell r="C1576" t="str">
            <v>LPC LEASING COFIDE INT DIF PDL CESP     1ND</v>
          </cell>
        </row>
        <row r="1577">
          <cell r="B1577" t="str">
            <v>14010711000202</v>
          </cell>
          <cell r="C1577" t="str">
            <v>LPC LS COFIDE SEGUROS INT DIF PDS CESP  1ND</v>
          </cell>
        </row>
        <row r="1578">
          <cell r="B1578" t="str">
            <v>14010711000203</v>
          </cell>
          <cell r="C1578" t="str">
            <v>LPC LEASING COFIDE SEGUROS PSG CESP     1ND</v>
          </cell>
        </row>
        <row r="1579">
          <cell r="B1579" t="str">
            <v>14010711000204</v>
          </cell>
          <cell r="C1579" t="str">
            <v>LPC LEASING COFIDE IGV PIG CESP         1ND</v>
          </cell>
        </row>
        <row r="1580">
          <cell r="B1580" t="str">
            <v>14010711000205</v>
          </cell>
          <cell r="C1580" t="str">
            <v>LPC LEASING COFIDE PRI CESP             1ND</v>
          </cell>
        </row>
        <row r="1581">
          <cell r="B1581" t="str">
            <v>14010711000206</v>
          </cell>
          <cell r="C1581" t="str">
            <v>LPC LS COFIDE D/P INT DIF PDL CESP      1ND</v>
          </cell>
        </row>
        <row r="1582">
          <cell r="B1582" t="str">
            <v>14010711000207</v>
          </cell>
          <cell r="C1582" t="str">
            <v>LPC LS COFIDE D/P SEG INT DIF PDS CESP  1ND</v>
          </cell>
        </row>
        <row r="1583">
          <cell r="B1583" t="str">
            <v>14010711000208</v>
          </cell>
          <cell r="C1583" t="str">
            <v>LPC LS COFIDE D/P SEG PSG CESP          1ND</v>
          </cell>
        </row>
        <row r="1584">
          <cell r="B1584" t="str">
            <v>14010711000209</v>
          </cell>
          <cell r="C1584" t="str">
            <v>LPC LEASING COFIDE D/P IGV PIG CESP     1ND</v>
          </cell>
        </row>
        <row r="1585">
          <cell r="B1585" t="str">
            <v>14010711000210</v>
          </cell>
          <cell r="C1585" t="str">
            <v>LPC LEASING COFIDE D/P PRI CESP         1ND</v>
          </cell>
        </row>
        <row r="1586">
          <cell r="B1586" t="str">
            <v>14010721000101</v>
          </cell>
          <cell r="C1586" t="str">
            <v>CL CXL CC ACEPTAC BKT  VIG CESP         1ND</v>
          </cell>
        </row>
        <row r="1587">
          <cell r="B1587" t="str">
            <v>14010721000102</v>
          </cell>
          <cell r="C1587" t="str">
            <v>CL CXL AVAL X ACEPTAC VIG CESP          1ND</v>
          </cell>
        </row>
        <row r="1588">
          <cell r="B1588" t="str">
            <v>14010721000103</v>
          </cell>
          <cell r="C1588" t="str">
            <v>CL CXL CRED. X LIQUI.CC AVAL VIG CESP   1ND</v>
          </cell>
        </row>
        <row r="1589">
          <cell r="B1589" t="str">
            <v>14010721000104</v>
          </cell>
          <cell r="C1589" t="str">
            <v>CL CXL.CAR CRED VISTA VIG CESP          1ND</v>
          </cell>
        </row>
        <row r="1590">
          <cell r="B1590" t="str">
            <v>14010721000105</v>
          </cell>
          <cell r="C1590" t="str">
            <v>CL CXL.STAND BY VIG CESP                1ND</v>
          </cell>
        </row>
        <row r="1591">
          <cell r="B1591" t="str">
            <v>14010721000106</v>
          </cell>
          <cell r="C1591" t="str">
            <v>CL CXL.COBRA AVALA VIG CESP             1ND</v>
          </cell>
        </row>
        <row r="1592">
          <cell r="B1592" t="str">
            <v>14010721000201</v>
          </cell>
          <cell r="C1592" t="str">
            <v>CL CRED.POR LIQ. CARTA FIANZA VIG CESP  1ND</v>
          </cell>
        </row>
        <row r="1593">
          <cell r="B1593" t="str">
            <v>14010726000101</v>
          </cell>
          <cell r="C1593" t="str">
            <v>LPC PAG IMPORT.D/P CL CESP              1ND</v>
          </cell>
        </row>
        <row r="1594">
          <cell r="B1594" t="str">
            <v>14010726000102</v>
          </cell>
          <cell r="C1594" t="str">
            <v>LPC PAG.PRE EX EMB D/P CESP             1ND</v>
          </cell>
        </row>
        <row r="1595">
          <cell r="B1595" t="str">
            <v>14010726000103</v>
          </cell>
          <cell r="C1595" t="str">
            <v>LPC PAG EXP POST EMB RP D/P CESP        1ND</v>
          </cell>
        </row>
        <row r="1596">
          <cell r="B1596" t="str">
            <v>14010726000104</v>
          </cell>
          <cell r="C1596" t="str">
            <v>LPC PAG EXP PRE EM.RP VIG CESP          1ND</v>
          </cell>
        </row>
        <row r="1597">
          <cell r="B1597" t="str">
            <v>14010726000105</v>
          </cell>
          <cell r="C1597" t="str">
            <v>LPC PAG EXP POST EMB RP CESP VIG        1ND</v>
          </cell>
        </row>
        <row r="1598">
          <cell r="B1598" t="str">
            <v>14010726000106</v>
          </cell>
          <cell r="C1598" t="str">
            <v>LPC WORK CAP. EX PRE EMB.VIG CESP       1ND</v>
          </cell>
        </row>
        <row r="1599">
          <cell r="B1599" t="str">
            <v>14010726000107</v>
          </cell>
          <cell r="C1599" t="str">
            <v>LPC FINANC PRE EMBARQUE                 1ND</v>
          </cell>
        </row>
        <row r="1600">
          <cell r="B1600" t="str">
            <v>14010726000108</v>
          </cell>
          <cell r="C1600" t="str">
            <v>LPC FINANC PRE EMBARQUE  D/P            1ND</v>
          </cell>
        </row>
        <row r="1601">
          <cell r="B1601" t="str">
            <v>14010726000109</v>
          </cell>
          <cell r="C1601" t="str">
            <v>LPC FINANC PRE EMBARQUE-SEPYMEX CESP    1ND</v>
          </cell>
        </row>
        <row r="1602">
          <cell r="B1602" t="str">
            <v>14010726000110</v>
          </cell>
          <cell r="C1602" t="str">
            <v>LPC FINANC PRE EMBARQUE  D/P-SEPYMEX CES1ND</v>
          </cell>
        </row>
        <row r="1603">
          <cell r="B1603" t="str">
            <v>14010726000201</v>
          </cell>
          <cell r="C1603" t="str">
            <v>CL EX FORFAITING VIG CESP               1ND</v>
          </cell>
        </row>
        <row r="1604">
          <cell r="B1604" t="str">
            <v>14010726000202</v>
          </cell>
          <cell r="C1604" t="str">
            <v>CL PAG.PRE EX EMBAR. D/P. VIG. CESP     1ND</v>
          </cell>
        </row>
        <row r="1605">
          <cell r="B1605" t="str">
            <v>14010726000203</v>
          </cell>
          <cell r="C1605" t="str">
            <v>CL PAG.POST. EX EMBAR. D/P. VIG. CCOR   1ND</v>
          </cell>
        </row>
        <row r="1606">
          <cell r="B1606" t="str">
            <v>14010726000204</v>
          </cell>
          <cell r="C1606" t="str">
            <v>CL EX VIG PAG.IMPORTAC.D/P CESP         1ND</v>
          </cell>
        </row>
        <row r="1607">
          <cell r="B1607" t="str">
            <v>14010726000205</v>
          </cell>
          <cell r="C1607" t="str">
            <v>CL PAGARE IMPORT VIG CESP               1ND</v>
          </cell>
        </row>
        <row r="1608">
          <cell r="B1608" t="str">
            <v>14010726000206</v>
          </cell>
          <cell r="C1608" t="str">
            <v>LPC PRE EMBARQUE FINANC. VIG. NORM CESP 1ND</v>
          </cell>
        </row>
        <row r="1609">
          <cell r="B1609" t="str">
            <v>14010726000207</v>
          </cell>
          <cell r="C1609" t="str">
            <v>LPC PRE EMBARQUE FINANC. VIG. DUPE CESP 1ND</v>
          </cell>
        </row>
        <row r="1610">
          <cell r="B1610" t="str">
            <v>14010726000208</v>
          </cell>
          <cell r="C1610" t="str">
            <v>LPC POST EMBARQUE FINANC. VIG. NORM CESP1ND</v>
          </cell>
        </row>
        <row r="1611">
          <cell r="B1611" t="str">
            <v>14010726000209</v>
          </cell>
          <cell r="C1611" t="str">
            <v>LPC POST EMBARQUE FINANC. VIG. DUPE CESP1ND</v>
          </cell>
        </row>
        <row r="1612">
          <cell r="B1612" t="str">
            <v>14010726000210</v>
          </cell>
          <cell r="C1612" t="str">
            <v>LPC IMPORT. CARTA CREDITO  FINANC. VIG. 1ND</v>
          </cell>
        </row>
        <row r="1613">
          <cell r="B1613" t="str">
            <v>14010726000211</v>
          </cell>
          <cell r="C1613" t="str">
            <v>LPC IMPORT. CARTA CREDITO  FINANC. VIG. 1ND</v>
          </cell>
        </row>
        <row r="1614">
          <cell r="B1614" t="str">
            <v>14010726000212</v>
          </cell>
          <cell r="C1614" t="str">
            <v>LPC IMPORT.  FINANC. VIG. NORM CESP     1ND</v>
          </cell>
        </row>
        <row r="1615">
          <cell r="B1615" t="str">
            <v>14010726000213</v>
          </cell>
          <cell r="C1615" t="str">
            <v>LPC IMPORT.  FINANC. VIG. DUPE CESP     1ND</v>
          </cell>
        </row>
        <row r="1616">
          <cell r="B1616" t="str">
            <v>14010726000801</v>
          </cell>
          <cell r="C1616" t="str">
            <v>PAN CREDITOS COMERCIO EXTERIOR SP       1ND</v>
          </cell>
        </row>
        <row r="1617">
          <cell r="B1617" t="str">
            <v>14010801000101</v>
          </cell>
          <cell r="C1617" t="str">
            <v>IM AVANCE CTA CTE PJ CIVA               1ND</v>
          </cell>
        </row>
        <row r="1618">
          <cell r="B1618" t="str">
            <v>14010801000102</v>
          </cell>
          <cell r="C1618" t="str">
            <v>IM AVANCE CTA CTE PJ S/F CIVA           1ND</v>
          </cell>
        </row>
        <row r="1619">
          <cell r="B1619" t="str">
            <v>14010801000103</v>
          </cell>
          <cell r="C1619" t="str">
            <v>LPC AVANCE EN CUENTA NORM CIVA          1ND</v>
          </cell>
        </row>
        <row r="1620">
          <cell r="B1620" t="str">
            <v>14010801000104</v>
          </cell>
          <cell r="C1620" t="str">
            <v>LPC AVANCE EN CUENTA  DUPE CIVA         1ND</v>
          </cell>
        </row>
        <row r="1621">
          <cell r="B1621" t="str">
            <v>14010801000105</v>
          </cell>
          <cell r="C1621" t="str">
            <v>IM AVANCE CTA CTE PJ CIVA               1ND</v>
          </cell>
        </row>
        <row r="1622">
          <cell r="B1622" t="str">
            <v>14010802010101</v>
          </cell>
          <cell r="C1622" t="str">
            <v>TC AMEX COLOC. REV. DISP.EFECT. VIG. CIV1ND</v>
          </cell>
        </row>
        <row r="1623">
          <cell r="B1623" t="str">
            <v>14010802010102</v>
          </cell>
          <cell r="C1623" t="str">
            <v>TC MC COLOC. REV. DISP.EFEC. VIG. CIVA  1ND</v>
          </cell>
        </row>
        <row r="1624">
          <cell r="B1624" t="str">
            <v>14010802010103</v>
          </cell>
          <cell r="C1624" t="str">
            <v>TC VEA COLOC. REV. DISP. EFEC. VIG. CIVA1ND</v>
          </cell>
        </row>
        <row r="1625">
          <cell r="B1625" t="str">
            <v>14010802010104</v>
          </cell>
          <cell r="C1625" t="str">
            <v>TC VISA COLOC. REV. DISP.EFECT. VIG. CIV1ND</v>
          </cell>
        </row>
        <row r="1626">
          <cell r="B1626" t="str">
            <v>14010802010105</v>
          </cell>
          <cell r="C1626" t="str">
            <v>TC AMEX D/E CUOTAS VIG CIVA             1ND</v>
          </cell>
        </row>
        <row r="1627">
          <cell r="B1627" t="str">
            <v>14010802010106</v>
          </cell>
          <cell r="C1627" t="str">
            <v>TC AMEX D/E REV VIG CIVA                1ND</v>
          </cell>
        </row>
        <row r="1628">
          <cell r="B1628" t="str">
            <v>14010802010107</v>
          </cell>
          <cell r="C1628" t="str">
            <v>TC MC D/E CUOTAS VIG CIVA               1ND</v>
          </cell>
        </row>
        <row r="1629">
          <cell r="B1629" t="str">
            <v>14010802010108</v>
          </cell>
          <cell r="C1629" t="str">
            <v>TC MC D/E REV VIG CIVA                  1ND</v>
          </cell>
        </row>
        <row r="1630">
          <cell r="B1630" t="str">
            <v>14010802010109</v>
          </cell>
          <cell r="C1630" t="str">
            <v>TC VISA D/E CUOTAS VIG CIVA             1ND</v>
          </cell>
        </row>
        <row r="1631">
          <cell r="B1631" t="str">
            <v>14010802010110</v>
          </cell>
          <cell r="C1631" t="str">
            <v>TC VISA D/E REV VIG CIVA                1ND</v>
          </cell>
        </row>
        <row r="1632">
          <cell r="B1632" t="str">
            <v>14010802020101</v>
          </cell>
          <cell r="C1632" t="str">
            <v>TC AMEX COLOC. REV. COMPRAS VIG. CIVA   1ND</v>
          </cell>
        </row>
        <row r="1633">
          <cell r="B1633" t="str">
            <v>14010802020102</v>
          </cell>
          <cell r="C1633" t="str">
            <v>TC MC COLOC. REV. COMPRA VIG. CIVA      1ND</v>
          </cell>
        </row>
        <row r="1634">
          <cell r="B1634" t="str">
            <v>14010802020103</v>
          </cell>
          <cell r="C1634" t="str">
            <v>TC VEA COLOC. REV. COMPRA VIG. CIVA     1ND</v>
          </cell>
        </row>
        <row r="1635">
          <cell r="B1635" t="str">
            <v>14010802020104</v>
          </cell>
          <cell r="C1635" t="str">
            <v>TC VISA COLOC. REV. COMPRAS VIG. CIVA   1ND</v>
          </cell>
        </row>
        <row r="1636">
          <cell r="B1636" t="str">
            <v>14010802020105</v>
          </cell>
          <cell r="C1636" t="str">
            <v>TC AMEX COMPRA CUOTAS VIG CIVA          1ND</v>
          </cell>
        </row>
        <row r="1637">
          <cell r="B1637" t="str">
            <v>14010802020106</v>
          </cell>
          <cell r="C1637" t="str">
            <v>TC AMEX COMPRA REV VIG CIVA             1ND</v>
          </cell>
        </row>
        <row r="1638">
          <cell r="B1638" t="str">
            <v>14010802020107</v>
          </cell>
          <cell r="C1638" t="str">
            <v>TC MC COMPRA CUOTAS VIG CIVA            1ND</v>
          </cell>
        </row>
        <row r="1639">
          <cell r="B1639" t="str">
            <v>14010802020108</v>
          </cell>
          <cell r="C1639" t="str">
            <v>TC MC COMPRA REV VIG CIVA               1ND</v>
          </cell>
        </row>
        <row r="1640">
          <cell r="B1640" t="str">
            <v>14010802020109</v>
          </cell>
          <cell r="C1640" t="str">
            <v>TC VISA COMPRA CUOTAS VIG CIVA          1ND</v>
          </cell>
        </row>
        <row r="1641">
          <cell r="B1641" t="str">
            <v>14010802020110</v>
          </cell>
          <cell r="C1641" t="str">
            <v>TC VISA COMPRA REV VIG CIVA             1ND</v>
          </cell>
        </row>
        <row r="1642">
          <cell r="B1642" t="str">
            <v>14010802090101</v>
          </cell>
          <cell r="C1642" t="str">
            <v>TC AMEX CDEUDA PAR VIG CIVA             1ND</v>
          </cell>
        </row>
        <row r="1643">
          <cell r="B1643" t="str">
            <v>14010802090102</v>
          </cell>
          <cell r="C1643" t="str">
            <v>TC AMEX CDEUDA REV VIG CIVA             1ND</v>
          </cell>
        </row>
        <row r="1644">
          <cell r="B1644" t="str">
            <v>14010802090103</v>
          </cell>
          <cell r="C1644" t="str">
            <v>TC AMEX EXTRACASH VIG CIVA              1ND</v>
          </cell>
        </row>
        <row r="1645">
          <cell r="B1645" t="str">
            <v>14010802090104</v>
          </cell>
          <cell r="C1645" t="str">
            <v>TC AMEX REPROG PAR VIG CIVA             1ND</v>
          </cell>
        </row>
        <row r="1646">
          <cell r="B1646" t="str">
            <v>14010802090105</v>
          </cell>
          <cell r="C1646" t="str">
            <v>TC AMEX REPROG REV VIG CIVA             1ND</v>
          </cell>
        </row>
        <row r="1647">
          <cell r="B1647" t="str">
            <v>14010802090106</v>
          </cell>
          <cell r="C1647" t="str">
            <v>TC MC CDEUDA PAR VIG CIVA               1ND</v>
          </cell>
        </row>
        <row r="1648">
          <cell r="B1648" t="str">
            <v>14010802090107</v>
          </cell>
          <cell r="C1648" t="str">
            <v>TC MC CDEUDA REV VIG CIVA               1ND</v>
          </cell>
        </row>
        <row r="1649">
          <cell r="B1649" t="str">
            <v>14010802090108</v>
          </cell>
          <cell r="C1649" t="str">
            <v>TC MC EXTRACASH VIG CIVA                1ND</v>
          </cell>
        </row>
        <row r="1650">
          <cell r="B1650" t="str">
            <v>14010802090109</v>
          </cell>
          <cell r="C1650" t="str">
            <v>TC MC REPROG PAR VIG CIVA               1ND</v>
          </cell>
        </row>
        <row r="1651">
          <cell r="B1651" t="str">
            <v>14010802090110</v>
          </cell>
          <cell r="C1651" t="str">
            <v>TC MC REPROG REV VIG CIVA               1ND</v>
          </cell>
        </row>
        <row r="1652">
          <cell r="B1652" t="str">
            <v>14010802090111</v>
          </cell>
          <cell r="C1652" t="str">
            <v>TC VISA CDEUDA PAR VIG CIVA             1ND</v>
          </cell>
        </row>
        <row r="1653">
          <cell r="B1653" t="str">
            <v>14010802090112</v>
          </cell>
          <cell r="C1653" t="str">
            <v>TC VISA CDEUDA REV VIG CIVA             1ND</v>
          </cell>
        </row>
        <row r="1654">
          <cell r="B1654" t="str">
            <v>14010802090113</v>
          </cell>
          <cell r="C1654" t="str">
            <v>TC VISA EXTRACASH VIG CIVA              1ND</v>
          </cell>
        </row>
        <row r="1655">
          <cell r="B1655" t="str">
            <v>14010802090114</v>
          </cell>
          <cell r="C1655" t="str">
            <v>TC VISA REPROG PAR VIG CIVA             1ND</v>
          </cell>
        </row>
        <row r="1656">
          <cell r="B1656" t="str">
            <v>14010802090115</v>
          </cell>
          <cell r="C1656" t="str">
            <v>TC VISA REPROG REV VIG CIVA             1ND</v>
          </cell>
        </row>
        <row r="1657">
          <cell r="B1657" t="str">
            <v>14010804000101</v>
          </cell>
          <cell r="C1657" t="str">
            <v>IM SOBREGIRO CTA CTE PJ CIVA            1ND</v>
          </cell>
        </row>
        <row r="1658">
          <cell r="B1658" t="str">
            <v>14010804000102</v>
          </cell>
          <cell r="C1658" t="str">
            <v>IM SOBREGIRO CTA CTE PJ S/F CIVA        1ND</v>
          </cell>
        </row>
        <row r="1659">
          <cell r="B1659" t="str">
            <v>14010804000103</v>
          </cell>
          <cell r="C1659" t="str">
            <v>IM SOBRG CTA CTE S/F PJ CIVA            1ND</v>
          </cell>
        </row>
        <row r="1660">
          <cell r="B1660" t="str">
            <v>14010804000104</v>
          </cell>
          <cell r="C1660" t="str">
            <v>IM SOBRG CTA CASTIG S/F PJ CIVA         1ND</v>
          </cell>
        </row>
        <row r="1661">
          <cell r="B1661" t="str">
            <v>14010806010101</v>
          </cell>
          <cell r="C1661" t="str">
            <v>LPC PAG TV D/P REVOL VIG CIVA           1ND</v>
          </cell>
        </row>
        <row r="1662">
          <cell r="B1662" t="str">
            <v>14010806010102</v>
          </cell>
          <cell r="C1662" t="str">
            <v>LPC PAG TV RP REVOL CIVA                1ND</v>
          </cell>
        </row>
        <row r="1663">
          <cell r="B1663" t="str">
            <v>14010806010103</v>
          </cell>
          <cell r="C1663" t="str">
            <v>LPC P.TV REC.COFIDE REVOL VIG CIVA      1ND</v>
          </cell>
        </row>
        <row r="1664">
          <cell r="B1664" t="str">
            <v>14010806010104</v>
          </cell>
          <cell r="C1664" t="str">
            <v>LPC PAGARE TV COFIDE D/P CIVA           1ND</v>
          </cell>
        </row>
        <row r="1665">
          <cell r="B1665" t="str">
            <v>14010806010105</v>
          </cell>
          <cell r="C1665" t="str">
            <v>LPC PAG TV RP MED PLAZO REVOL           1ND</v>
          </cell>
        </row>
        <row r="1666">
          <cell r="B1666" t="str">
            <v>14010806010106</v>
          </cell>
          <cell r="C1666" t="str">
            <v>LPC PAG TV RP MED PLAZO REVOL D/P       1ND</v>
          </cell>
        </row>
        <row r="1667">
          <cell r="B1667" t="str">
            <v>14010806010107</v>
          </cell>
          <cell r="C1667" t="str">
            <v>LPC PAG TV INMOBILIARIO REV             1ND</v>
          </cell>
        </row>
        <row r="1668">
          <cell r="B1668" t="str">
            <v>14010806010108</v>
          </cell>
          <cell r="C1668" t="str">
            <v>LPC PAG TV INMOBILIARIO REV D/P         1ND</v>
          </cell>
        </row>
        <row r="1669">
          <cell r="B1669" t="str">
            <v>14010806010109</v>
          </cell>
          <cell r="C1669" t="str">
            <v>LPC PAG TV REVOL EUROS                  1ND</v>
          </cell>
        </row>
        <row r="1670">
          <cell r="B1670" t="str">
            <v>14010806010110</v>
          </cell>
          <cell r="C1670" t="str">
            <v>LPC PAG TV REVOL EUROS                  1ND</v>
          </cell>
        </row>
        <row r="1671">
          <cell r="B1671" t="str">
            <v>14010806010201</v>
          </cell>
          <cell r="C1671" t="str">
            <v>CL PAG TV REVOLV VIG  CIVA              1ND</v>
          </cell>
        </row>
        <row r="1672">
          <cell r="B1672" t="str">
            <v>14010806010202</v>
          </cell>
          <cell r="C1672" t="str">
            <v>CL PAG. TV D/P REVOL VIG CIVA           1ND</v>
          </cell>
        </row>
        <row r="1673">
          <cell r="B1673" t="str">
            <v>14010806010209</v>
          </cell>
          <cell r="C1673" t="str">
            <v>LPC REACTIVA PERU VIG CIVA\NORM         1ND</v>
          </cell>
        </row>
        <row r="1674">
          <cell r="B1674" t="str">
            <v>14010806010210</v>
          </cell>
          <cell r="C1674" t="str">
            <v>LPC REACTIVA PERU VIG CIVA\DUPE         1ND</v>
          </cell>
        </row>
        <row r="1675">
          <cell r="B1675" t="str">
            <v>14010806010211</v>
          </cell>
          <cell r="C1675" t="str">
            <v>LPC COFIDE FONDOS PERU VIG CIVA\NORM    1ND</v>
          </cell>
        </row>
        <row r="1676">
          <cell r="B1676" t="str">
            <v>14010806010212</v>
          </cell>
          <cell r="C1676" t="str">
            <v>LPC COFIDE FONDOS PERU VIG CIVA\DUPE    1ND</v>
          </cell>
        </row>
        <row r="1677">
          <cell r="B1677" t="str">
            <v>14010806010213</v>
          </cell>
          <cell r="C1677" t="str">
            <v>LPC COFIDE FONDO CRECER VIG CIVA\NORM   1ND</v>
          </cell>
        </row>
        <row r="1678">
          <cell r="B1678" t="str">
            <v>14010806010214</v>
          </cell>
          <cell r="C1678" t="str">
            <v>LPC REACTIVA PERU VIG CIVA\NORM         1ND</v>
          </cell>
        </row>
        <row r="1679">
          <cell r="B1679" t="str">
            <v>14010806020100</v>
          </cell>
          <cell r="C1679" t="str">
            <v>LPC PAG TV D/P RP NO REVOL CIVA         1ND</v>
          </cell>
        </row>
        <row r="1680">
          <cell r="B1680" t="str">
            <v>14010806020101</v>
          </cell>
          <cell r="C1680" t="str">
            <v>LPC PAG TV RP NO REVOL CIVA             1ND</v>
          </cell>
        </row>
        <row r="1681">
          <cell r="B1681" t="str">
            <v>14010806020102</v>
          </cell>
          <cell r="C1681" t="str">
            <v>LPC PAG TV D/P RP NO REVOL CIVA         1ND</v>
          </cell>
        </row>
        <row r="1682">
          <cell r="B1682" t="str">
            <v>14010806020103</v>
          </cell>
          <cell r="C1682" t="str">
            <v>LPC PAG TV RP NO REVOL CIVA             1ND</v>
          </cell>
        </row>
        <row r="1683">
          <cell r="B1683" t="str">
            <v>14010806020104</v>
          </cell>
          <cell r="C1683" t="str">
            <v>LPC PAG TV RP MED PLAZO NO REV NORM     1ND</v>
          </cell>
        </row>
        <row r="1684">
          <cell r="B1684" t="str">
            <v>14010806090101</v>
          </cell>
          <cell r="C1684" t="str">
            <v>LPC PAG TV D/P NO REV VIG CIVA          1ND</v>
          </cell>
        </row>
        <row r="1685">
          <cell r="B1685" t="str">
            <v>14010806090102</v>
          </cell>
          <cell r="C1685" t="str">
            <v>LPC PAG TV RP NO REVOL CIVA             1ND</v>
          </cell>
        </row>
        <row r="1686">
          <cell r="B1686" t="str">
            <v>14010806090103</v>
          </cell>
          <cell r="C1686" t="str">
            <v>LPC PAG TV RP MED PLAZO NO REV          1ND</v>
          </cell>
        </row>
        <row r="1687">
          <cell r="B1687" t="str">
            <v>14010806090104</v>
          </cell>
          <cell r="C1687" t="str">
            <v>LPC PAG TV RP MED PLAZO NO REV D/P      1ND</v>
          </cell>
        </row>
        <row r="1688">
          <cell r="B1688" t="str">
            <v>14010806090105</v>
          </cell>
          <cell r="C1688" t="str">
            <v>LPC PAG TV INMOBILIARIO NO REV          1ND</v>
          </cell>
        </row>
        <row r="1689">
          <cell r="B1689" t="str">
            <v>14010806090106</v>
          </cell>
          <cell r="C1689" t="str">
            <v>LPC PAG TV INMOBILIARIO NO REV D/P      1ND</v>
          </cell>
        </row>
        <row r="1690">
          <cell r="B1690" t="str">
            <v>14010806090107</v>
          </cell>
          <cell r="C1690" t="str">
            <v>LPC PAG TV NO REVOL EUROS               1ND</v>
          </cell>
        </row>
        <row r="1691">
          <cell r="B1691" t="str">
            <v>14010806090108</v>
          </cell>
          <cell r="C1691" t="str">
            <v>LPC PAG TV NO REVOL EUROS               1ND</v>
          </cell>
        </row>
        <row r="1692">
          <cell r="B1692" t="str">
            <v>14010806090201</v>
          </cell>
          <cell r="C1692" t="str">
            <v>CL PAG TV NO REVOLV VIG CIVA            1ND</v>
          </cell>
        </row>
        <row r="1693">
          <cell r="B1693" t="str">
            <v>14010806090202</v>
          </cell>
          <cell r="C1693" t="str">
            <v>CL PAG. TV D/P NO REVOL VIG CIVA        1ND</v>
          </cell>
        </row>
        <row r="1694">
          <cell r="B1694" t="str">
            <v>14010806090203</v>
          </cell>
          <cell r="C1694" t="str">
            <v>LPC P.TV REC.COFIDE NO REVOL VIG CIVA   1ND</v>
          </cell>
        </row>
        <row r="1695">
          <cell r="B1695" t="str">
            <v>14010806090204</v>
          </cell>
          <cell r="C1695" t="str">
            <v>LPC PAGARE TV COFIDE D/P CIVA           1ND</v>
          </cell>
        </row>
        <row r="1696">
          <cell r="B1696" t="str">
            <v>14010806090211</v>
          </cell>
          <cell r="C1696" t="str">
            <v>LPC REACTIVA PERU VIG CIVA\NORM         1ND</v>
          </cell>
        </row>
        <row r="1697">
          <cell r="B1697" t="str">
            <v>14010806090212</v>
          </cell>
          <cell r="C1697" t="str">
            <v>LPC REACTIVA PERU VIG CIVA\DUPE         1ND</v>
          </cell>
        </row>
        <row r="1698">
          <cell r="B1698" t="str">
            <v>14010806090213</v>
          </cell>
          <cell r="C1698" t="str">
            <v>LPC COFIDE FONDOS PERU VIG CIVA\NORM    1ND</v>
          </cell>
        </row>
        <row r="1699">
          <cell r="B1699" t="str">
            <v>14010806090214</v>
          </cell>
          <cell r="C1699" t="str">
            <v>LPC COFIDE FONDOS PERU VIG CIVA\DUPE    1ND</v>
          </cell>
        </row>
        <row r="1700">
          <cell r="B1700" t="str">
            <v>14010806090215</v>
          </cell>
          <cell r="C1700" t="str">
            <v>LPC COFIDE FONDO CRECER VIG CIVA\NORM   1ND</v>
          </cell>
        </row>
        <row r="1701">
          <cell r="B1701" t="str">
            <v>14010806090216</v>
          </cell>
          <cell r="C1701" t="str">
            <v>LPC REACTIVA PERU VIG CIVA\NORM         1ND</v>
          </cell>
        </row>
        <row r="1702">
          <cell r="B1702" t="str">
            <v>14010811000101</v>
          </cell>
          <cell r="C1702" t="str">
            <v>LPC LEASING BIEN INT DIFE RP CIVA       1ND</v>
          </cell>
        </row>
        <row r="1703">
          <cell r="B1703" t="str">
            <v>14010811000102</v>
          </cell>
          <cell r="C1703" t="str">
            <v>LPC LEASING SEGUROS INT DIF RP CIVA     1ND</v>
          </cell>
        </row>
        <row r="1704">
          <cell r="B1704" t="str">
            <v>14010811000103</v>
          </cell>
          <cell r="C1704" t="str">
            <v>LPC LEASING SEGUROS RP CIVA             1ND</v>
          </cell>
        </row>
        <row r="1705">
          <cell r="B1705" t="str">
            <v>14010811000104</v>
          </cell>
          <cell r="C1705" t="str">
            <v>LPC LEASING IGV RP CIVA                 1ND</v>
          </cell>
        </row>
        <row r="1706">
          <cell r="B1706" t="str">
            <v>14010811000105</v>
          </cell>
          <cell r="C1706" t="str">
            <v>LPC LEASING DEL BIEN RP CIVA            1ND</v>
          </cell>
        </row>
        <row r="1707">
          <cell r="B1707" t="str">
            <v>14010811000106</v>
          </cell>
          <cell r="C1707" t="str">
            <v>LPC LEAS DEL BIEN D/P INT DIF RP CIVA   1ND</v>
          </cell>
        </row>
        <row r="1708">
          <cell r="B1708" t="str">
            <v>14010811000107</v>
          </cell>
          <cell r="C1708" t="str">
            <v>LPC LEAS D/P SEG INT DIF RP CIVA        1ND</v>
          </cell>
        </row>
        <row r="1709">
          <cell r="B1709" t="str">
            <v>14010811000108</v>
          </cell>
          <cell r="C1709" t="str">
            <v>LPC LEAS D/P SEG RP CIVA                1ND</v>
          </cell>
        </row>
        <row r="1710">
          <cell r="B1710" t="str">
            <v>14010811000109</v>
          </cell>
          <cell r="C1710" t="str">
            <v>LPC LEAS DEL BIEN D/P RP CIVA           1ND</v>
          </cell>
        </row>
        <row r="1711">
          <cell r="B1711" t="str">
            <v>14010811000110</v>
          </cell>
          <cell r="C1711" t="str">
            <v>LPC LEASING D/P IGV RP CIVA             1ND</v>
          </cell>
        </row>
        <row r="1712">
          <cell r="B1712" t="str">
            <v>14010811000111</v>
          </cell>
          <cell r="C1712" t="str">
            <v>LPC LEASING EN PROCESO CIVA             1ND</v>
          </cell>
        </row>
        <row r="1713">
          <cell r="B1713" t="str">
            <v>14010811000201</v>
          </cell>
          <cell r="C1713" t="str">
            <v>LPC LEASING COFIDE INT DIF PDL CIVA     1ND</v>
          </cell>
        </row>
        <row r="1714">
          <cell r="B1714" t="str">
            <v>14010811000202</v>
          </cell>
          <cell r="C1714" t="str">
            <v>LPC LS COFIDE SEGUROS INT DIF PDS CIVA  1ND</v>
          </cell>
        </row>
        <row r="1715">
          <cell r="B1715" t="str">
            <v>14010811000203</v>
          </cell>
          <cell r="C1715" t="str">
            <v>LPC LEASING COFIDE SEGUROS PSG CIVA     1ND</v>
          </cell>
        </row>
        <row r="1716">
          <cell r="B1716" t="str">
            <v>14010811000204</v>
          </cell>
          <cell r="C1716" t="str">
            <v>LPC LEASING COFIDE IGV PIG CIVA         1ND</v>
          </cell>
        </row>
        <row r="1717">
          <cell r="B1717" t="str">
            <v>14010811000205</v>
          </cell>
          <cell r="C1717" t="str">
            <v>LPC LEASING COFIDE PRI CIVA             1ND</v>
          </cell>
        </row>
        <row r="1718">
          <cell r="B1718" t="str">
            <v>14010811000206</v>
          </cell>
          <cell r="C1718" t="str">
            <v>LPC LS COFIDE D/P INT DIF PDL CIVA      1ND</v>
          </cell>
        </row>
        <row r="1719">
          <cell r="B1719" t="str">
            <v>14010811000207</v>
          </cell>
          <cell r="C1719" t="str">
            <v>LPC LS COFIDE D/P SEG INT DIF PDS CIVA  1ND</v>
          </cell>
        </row>
        <row r="1720">
          <cell r="B1720" t="str">
            <v>14010811000208</v>
          </cell>
          <cell r="C1720" t="str">
            <v>LPC LS COFIDE D/P SEG PSG CIVA          1ND</v>
          </cell>
        </row>
        <row r="1721">
          <cell r="B1721" t="str">
            <v>14010811000209</v>
          </cell>
          <cell r="C1721" t="str">
            <v>LPC LEASING COFIDE D/P IGV PIG CIVA     1ND</v>
          </cell>
        </row>
        <row r="1722">
          <cell r="B1722" t="str">
            <v>14010811000210</v>
          </cell>
          <cell r="C1722" t="str">
            <v>LPC LEASING COFIDE D/P PRI CIVA         1ND</v>
          </cell>
        </row>
        <row r="1723">
          <cell r="B1723" t="str">
            <v>14010821000101</v>
          </cell>
          <cell r="C1723" t="str">
            <v>CL CXL AVAL X ACEPTAC VIG CIVA          1ND</v>
          </cell>
        </row>
        <row r="1724">
          <cell r="B1724" t="str">
            <v>14010901000101</v>
          </cell>
          <cell r="C1724" t="str">
            <v>IM AVANCE CTA CTE PJ CESF               1ND</v>
          </cell>
        </row>
        <row r="1725">
          <cell r="B1725" t="str">
            <v>14010901000102</v>
          </cell>
          <cell r="C1725" t="str">
            <v>IM AVANCE CTA CTE PJ S/F CESF           1ND</v>
          </cell>
        </row>
        <row r="1726">
          <cell r="B1726" t="str">
            <v>14010904000101</v>
          </cell>
          <cell r="C1726" t="str">
            <v>IM SOBREGIRO CTA CTE PJ CESF            1ND</v>
          </cell>
        </row>
        <row r="1727">
          <cell r="B1727" t="str">
            <v>14010904000102</v>
          </cell>
          <cell r="C1727" t="str">
            <v>IM SOBREGIRO CTA CTE PJ S/F CESF        1ND</v>
          </cell>
        </row>
        <row r="1728">
          <cell r="B1728" t="str">
            <v>14010904000103</v>
          </cell>
          <cell r="C1728" t="str">
            <v>IM SOBRG CTA CTE S/F PJ CESF            1ND</v>
          </cell>
        </row>
        <row r="1729">
          <cell r="B1729" t="str">
            <v>14010904000104</v>
          </cell>
          <cell r="C1729" t="str">
            <v>IM SOBRG CTA CASTIG S/F PJ CESF         1ND</v>
          </cell>
        </row>
        <row r="1730">
          <cell r="B1730" t="str">
            <v>14010906060101</v>
          </cell>
          <cell r="C1730" t="str">
            <v>BANCO CENTRAL DE RESERVA DEL PERU       1ND</v>
          </cell>
        </row>
        <row r="1731">
          <cell r="B1731" t="str">
            <v>14010906060102</v>
          </cell>
          <cell r="C1731" t="str">
            <v>BANCO DE LA NACIÃ“N                     1ND</v>
          </cell>
        </row>
        <row r="1732">
          <cell r="B1732" t="str">
            <v>14010906060103</v>
          </cell>
          <cell r="C1732" t="str">
            <v>BANCODE CREDITO DEL PERU                1ND</v>
          </cell>
        </row>
        <row r="1733">
          <cell r="B1733" t="str">
            <v>14010906060104</v>
          </cell>
          <cell r="C1733" t="str">
            <v>BANCO INTERNACIONAL DEL PERU - INTERBANK1ND</v>
          </cell>
        </row>
        <row r="1734">
          <cell r="B1734" t="str">
            <v>14010906060105</v>
          </cell>
          <cell r="C1734" t="str">
            <v>SCOTIABANK PERU S. A. A.                1ND</v>
          </cell>
        </row>
        <row r="1735">
          <cell r="B1735" t="str">
            <v>14010906060106</v>
          </cell>
          <cell r="C1735" t="str">
            <v>BANCO CONTINENTAL                       1ND</v>
          </cell>
        </row>
        <row r="1736">
          <cell r="B1736" t="str">
            <v>14010906060108</v>
          </cell>
          <cell r="C1736" t="str">
            <v>BANCO DE COMERCIO                       1ND</v>
          </cell>
        </row>
        <row r="1737">
          <cell r="B1737" t="str">
            <v>14010906060109</v>
          </cell>
          <cell r="C1737" t="str">
            <v>BANCO FINANCIERO DEL PERU               1ND</v>
          </cell>
        </row>
        <row r="1738">
          <cell r="B1738" t="str">
            <v>14010906060116</v>
          </cell>
          <cell r="C1738" t="str">
            <v>CITIBANK N. A.   SUCURSAL EN EL PERU DEL1ND</v>
          </cell>
        </row>
        <row r="1739">
          <cell r="B1739" t="str">
            <v>14010906060121</v>
          </cell>
          <cell r="C1739" t="str">
            <v>BANCO INTERAMERICANO DE FINANZAS - S. A.1ND</v>
          </cell>
        </row>
        <row r="1740">
          <cell r="B1740" t="str">
            <v>14010906060128</v>
          </cell>
          <cell r="C1740" t="str">
            <v>CORPORACIÃ“N FINANCIERA DE DESARROLLO S.1ND</v>
          </cell>
        </row>
        <row r="1741">
          <cell r="B1741" t="str">
            <v>14010906060129</v>
          </cell>
          <cell r="C1741" t="str">
            <v>MIBANCO BANCO DE LA MICROEMPRESA - MIBAN1ND</v>
          </cell>
        </row>
        <row r="1742">
          <cell r="B1742" t="str">
            <v>14010906060131</v>
          </cell>
          <cell r="C1742" t="str">
            <v>BANCO AGROPECUARIO - AGROBANCO          1ND</v>
          </cell>
        </row>
        <row r="1743">
          <cell r="B1743" t="str">
            <v>14010906060132</v>
          </cell>
          <cell r="C1743" t="str">
            <v>HSBC BANK PERU S. A.                    1ND</v>
          </cell>
        </row>
        <row r="1744">
          <cell r="B1744" t="str">
            <v>14010906060133</v>
          </cell>
          <cell r="C1744" t="str">
            <v>BANCO FALABELLA DEL PERU                1ND</v>
          </cell>
        </row>
        <row r="1745">
          <cell r="B1745" t="str">
            <v>14010906060134</v>
          </cell>
          <cell r="C1745" t="str">
            <v>BANCO SANTANDER PERU S. A.              1ND</v>
          </cell>
        </row>
        <row r="1746">
          <cell r="B1746" t="str">
            <v>14010906060135</v>
          </cell>
          <cell r="C1746" t="str">
            <v>BANCO RIPLEY S. A.                      1ND</v>
          </cell>
        </row>
        <row r="1747">
          <cell r="B1747" t="str">
            <v>14010906060136</v>
          </cell>
          <cell r="C1747" t="str">
            <v>BANCO AZTECA DEL PERU S. A.             1ND</v>
          </cell>
        </row>
        <row r="1748">
          <cell r="B1748" t="str">
            <v>14010906060137</v>
          </cell>
          <cell r="C1748" t="str">
            <v>DEUTSCHE BANK (PERU) S. A.              1ND</v>
          </cell>
        </row>
        <row r="1749">
          <cell r="B1749" t="str">
            <v>14010906060199</v>
          </cell>
          <cell r="C1749" t="str">
            <v>BANCOS EN LIQUIDACIÃ“N                  1ND</v>
          </cell>
        </row>
        <row r="1750">
          <cell r="B1750" t="str">
            <v>14010906060203</v>
          </cell>
          <cell r="C1750" t="str">
            <v>SOLUCIÃ“N FINANCIERADE CREDITO DEL PERU 1ND</v>
          </cell>
        </row>
        <row r="1751">
          <cell r="B1751" t="str">
            <v>14010906060207</v>
          </cell>
          <cell r="C1751" t="str">
            <v>FINANCIERA TFC S. A.                    1ND</v>
          </cell>
        </row>
        <row r="1752">
          <cell r="B1752" t="str">
            <v>14010906060209</v>
          </cell>
          <cell r="C1752" t="str">
            <v>FINANCIERA EDYFICAR S. A.               1ND</v>
          </cell>
        </row>
        <row r="1753">
          <cell r="B1753" t="str">
            <v>14010906060210</v>
          </cell>
          <cell r="C1753" t="str">
            <v>CREDISCOTIA FINANCIERA S. A.            1ND</v>
          </cell>
        </row>
        <row r="1754">
          <cell r="B1754" t="str">
            <v>14010906060211</v>
          </cell>
          <cell r="C1754" t="str">
            <v>FINANCIERA CREAR S. A.                  1ND</v>
          </cell>
        </row>
        <row r="1755">
          <cell r="B1755" t="str">
            <v>14010906060212</v>
          </cell>
          <cell r="C1755" t="str">
            <v>FINANCIERA CONFIANZA S. A.              1ND</v>
          </cell>
        </row>
        <row r="1756">
          <cell r="B1756" t="str">
            <v>14010906060213</v>
          </cell>
          <cell r="C1756" t="str">
            <v>FINANCIERA UNIVERSAL S. A.              1ND</v>
          </cell>
        </row>
        <row r="1757">
          <cell r="B1757" t="str">
            <v>14010906060214</v>
          </cell>
          <cell r="C1757" t="str">
            <v>FINANCIERA UNO S. A.                    1ND</v>
          </cell>
        </row>
        <row r="1758">
          <cell r="B1758" t="str">
            <v>14010906060215</v>
          </cell>
          <cell r="C1758" t="str">
            <v>FINANCIERA EFECTIVA S. A.               1ND</v>
          </cell>
        </row>
        <row r="1759">
          <cell r="B1759" t="str">
            <v>14010906060216</v>
          </cell>
          <cell r="C1759" t="str">
            <v>AMERIKA FINANCIERA S. A.                1ND</v>
          </cell>
        </row>
        <row r="1760">
          <cell r="B1760" t="str">
            <v>14010906060217</v>
          </cell>
          <cell r="C1760" t="str">
            <v>MITSUI AUTO FINANCE PERU S.A.           1ND</v>
          </cell>
        </row>
        <row r="1761">
          <cell r="B1761" t="str">
            <v>14010906060299</v>
          </cell>
          <cell r="C1761" t="str">
            <v>FINANCIERAS EN LIQUIDACIÃ“N             1ND</v>
          </cell>
        </row>
        <row r="1762">
          <cell r="B1762" t="str">
            <v>14010906060301</v>
          </cell>
          <cell r="C1762" t="str">
            <v>CAJA MUNICIPAL DE AHORRO YCREDITO DE SUL1ND</v>
          </cell>
        </row>
        <row r="1763">
          <cell r="B1763" t="str">
            <v>14010906060302</v>
          </cell>
          <cell r="C1763" t="str">
            <v>CAJA MUNICIPALDE CREDITO POPULAR DE LIMA1ND</v>
          </cell>
        </row>
        <row r="1764">
          <cell r="B1764" t="str">
            <v>14010906060303</v>
          </cell>
          <cell r="C1764" t="str">
            <v>CAJA MUNICIPAL DE AHORRO YCREDITO DE PIU1ND</v>
          </cell>
        </row>
        <row r="1765">
          <cell r="B1765" t="str">
            <v>14010906060304</v>
          </cell>
          <cell r="C1765" t="str">
            <v>CAJA MUNICIPAL DE AHORRO YCREDITO DE ARE1ND</v>
          </cell>
        </row>
        <row r="1766">
          <cell r="B1766" t="str">
            <v>14010906060305</v>
          </cell>
          <cell r="C1766" t="str">
            <v>CAJA MUNICIPAL DE AHORRO YCREDITO DE HUA1ND</v>
          </cell>
        </row>
        <row r="1767">
          <cell r="B1767" t="str">
            <v>14010906060306</v>
          </cell>
          <cell r="C1767" t="str">
            <v>CAJA MUNICIPAL DE AHORRO YCREDITO CUSCO 1ND</v>
          </cell>
        </row>
        <row r="1768">
          <cell r="B1768" t="str">
            <v>14010906060307</v>
          </cell>
          <cell r="C1768" t="str">
            <v>CAJA MUNICIPAL DE AHORRO YCREDITO DE MAY1ND</v>
          </cell>
        </row>
        <row r="1769">
          <cell r="B1769" t="str">
            <v>14010906060308</v>
          </cell>
          <cell r="C1769" t="str">
            <v>CAJA MUNICIPAL DE AHORRO YCREDITO DE ICA1ND</v>
          </cell>
        </row>
        <row r="1770">
          <cell r="B1770" t="str">
            <v>14010906060309</v>
          </cell>
          <cell r="C1770" t="str">
            <v>CAJA MUNICIPAL DE AHORRO YCREDITO DE PAI1ND</v>
          </cell>
        </row>
        <row r="1771">
          <cell r="B1771" t="str">
            <v>14010906060310</v>
          </cell>
          <cell r="C1771" t="str">
            <v>CAJA MUNICIPAL DE AHORRO YCREDITO DEL SA1ND</v>
          </cell>
        </row>
        <row r="1772">
          <cell r="B1772" t="str">
            <v>14010906060311</v>
          </cell>
          <cell r="C1772" t="str">
            <v>CAJA MUNICIPAL DE AHORRO YCREDITO DE TRU1ND</v>
          </cell>
        </row>
        <row r="1773">
          <cell r="B1773" t="str">
            <v>14010906060312</v>
          </cell>
          <cell r="C1773" t="str">
            <v>CAJA MUNICIPAL DE AHORRO YCREDITO DE TAC1ND</v>
          </cell>
        </row>
        <row r="1774">
          <cell r="B1774" t="str">
            <v>14010906060313</v>
          </cell>
          <cell r="C1774" t="str">
            <v>CAJA MUNICIPAL DE AHORRO YCREDITO DE PIS1ND</v>
          </cell>
        </row>
        <row r="1775">
          <cell r="B1775" t="str">
            <v>14010906060399</v>
          </cell>
          <cell r="C1775" t="str">
            <v>CAJAS MUNICIPALES DE AHORRO YCREDITO EN 1ND</v>
          </cell>
        </row>
        <row r="1776">
          <cell r="B1776" t="str">
            <v>14010906060401</v>
          </cell>
          <cell r="C1776" t="str">
            <v>LPC MITSUI AUTO FINANCE PERU CAP.VIG    1ND</v>
          </cell>
        </row>
        <row r="1777">
          <cell r="B1777" t="str">
            <v>14010906060403</v>
          </cell>
          <cell r="C1777" t="str">
            <v>CAJA RURAL DE AHORRO YCREDITO QUILLABAMB1ND</v>
          </cell>
        </row>
        <row r="1778">
          <cell r="B1778" t="str">
            <v>14010906060405</v>
          </cell>
          <cell r="C1778" t="str">
            <v>CAJA RURAL DE AHORRO YCREDITO LOS LIBERT1ND</v>
          </cell>
        </row>
        <row r="1779">
          <cell r="B1779" t="str">
            <v>14010906060406</v>
          </cell>
          <cell r="C1779" t="str">
            <v>CAJA RURAL DE AHORRO YCREDITO SEÃ‘OR DE 1ND</v>
          </cell>
        </row>
        <row r="1780">
          <cell r="B1780" t="str">
            <v>14010906060407</v>
          </cell>
          <cell r="C1780" t="str">
            <v>CAJA RURAL DE AHORRO YCREDITO CHAVÃN S.1ND</v>
          </cell>
        </row>
        <row r="1781">
          <cell r="B1781" t="str">
            <v>14010906060408</v>
          </cell>
          <cell r="C1781" t="str">
            <v>CAJA RURAL DE AHORRO YCREDITO NUESTRA GE1ND</v>
          </cell>
        </row>
        <row r="1782">
          <cell r="B1782" t="str">
            <v>14010906060409</v>
          </cell>
          <cell r="C1782" t="str">
            <v>CAJA RURAL DE AHORRO YCREDITO CAJAMARCA 1ND</v>
          </cell>
        </row>
        <row r="1783">
          <cell r="B1783" t="str">
            <v>14010906060410</v>
          </cell>
          <cell r="C1783" t="str">
            <v>CAJA RURAL DE AHORRO YCREDITO PROFINANZA1ND</v>
          </cell>
        </row>
        <row r="1784">
          <cell r="B1784" t="str">
            <v>14010906060412</v>
          </cell>
          <cell r="C1784" t="str">
            <v>CAJA RURAL DE AHORRO YCREDITO SIPÃN S. 1ND</v>
          </cell>
        </row>
        <row r="1785">
          <cell r="B1785" t="str">
            <v>14010906060414</v>
          </cell>
          <cell r="C1785" t="str">
            <v>CAJA RURAL DE AHORRO YCREDITO PRYMERA S.1ND</v>
          </cell>
        </row>
        <row r="1786">
          <cell r="B1786" t="str">
            <v>14010906060415</v>
          </cell>
          <cell r="C1786" t="str">
            <v>CAJA RURAL DE AHORRO YCREDITO LOS ANDES 1ND</v>
          </cell>
        </row>
        <row r="1787">
          <cell r="B1787" t="str">
            <v>14010906060499</v>
          </cell>
          <cell r="C1787" t="str">
            <v>CAJAS RURALES DE AHORRO YCREDITO EN LIQU1ND</v>
          </cell>
        </row>
        <row r="1788">
          <cell r="B1788" t="str">
            <v>14010906060503</v>
          </cell>
          <cell r="C1788" t="str">
            <v>PROEMPRESA S. A.                        1ND</v>
          </cell>
        </row>
        <row r="1789">
          <cell r="B1789" t="str">
            <v>14010906060506</v>
          </cell>
          <cell r="C1789" t="str">
            <v>NUEVA VISIÃ“N S. A.                     1ND</v>
          </cell>
        </row>
        <row r="1790">
          <cell r="B1790" t="str">
            <v>14010906060508</v>
          </cell>
          <cell r="C1790" t="str">
            <v>RAIZ S. A.                              1ND</v>
          </cell>
        </row>
        <row r="1791">
          <cell r="B1791" t="str">
            <v>14010906060510</v>
          </cell>
          <cell r="C1791" t="str">
            <v>SOLIDARIDAD S. A.                       1ND</v>
          </cell>
        </row>
        <row r="1792">
          <cell r="B1792" t="str">
            <v>14010906060511</v>
          </cell>
          <cell r="C1792" t="str">
            <v>CREDIVISIÃ“N S. A.                      1ND</v>
          </cell>
        </row>
        <row r="1793">
          <cell r="B1793" t="str">
            <v>14010906060512</v>
          </cell>
          <cell r="C1793" t="str">
            <v>ACCESO CREDITICIO S. A.                 1ND</v>
          </cell>
        </row>
        <row r="1794">
          <cell r="B1794" t="str">
            <v>14010906060514</v>
          </cell>
          <cell r="C1794" t="str">
            <v>ALTERNATIVA S. A.                       1ND</v>
          </cell>
        </row>
        <row r="1795">
          <cell r="B1795" t="str">
            <v>14010906060515</v>
          </cell>
          <cell r="C1795" t="str">
            <v>PRONEGOCIOS S. A.                       1ND</v>
          </cell>
        </row>
        <row r="1796">
          <cell r="B1796" t="str">
            <v>14010906060516</v>
          </cell>
          <cell r="C1796" t="str">
            <v>MICASITA S. A.                          1ND</v>
          </cell>
        </row>
        <row r="1797">
          <cell r="B1797" t="str">
            <v>14010906060517</v>
          </cell>
          <cell r="C1797" t="str">
            <v>CREDIJET DEL PERU S. A.                 1ND</v>
          </cell>
        </row>
        <row r="1798">
          <cell r="B1798" t="str">
            <v>14010906060599</v>
          </cell>
          <cell r="C1798" t="str">
            <v>EDPYMES EN LIQUIDACIÃ“N                 1ND</v>
          </cell>
        </row>
        <row r="1799">
          <cell r="B1799" t="str">
            <v>14010906060710</v>
          </cell>
          <cell r="C1799" t="str">
            <v>LEASING TOTAL S. A.                     1ND</v>
          </cell>
        </row>
        <row r="1800">
          <cell r="B1800" t="str">
            <v>14010906060711</v>
          </cell>
          <cell r="C1800" t="str">
            <v>MITSUI - MASA LEASING S. A.             1ND</v>
          </cell>
        </row>
        <row r="1801">
          <cell r="B1801" t="str">
            <v>14010906060799</v>
          </cell>
          <cell r="C1801" t="str">
            <v>LEASING EN LIQUIDACIÃ“N                 1ND</v>
          </cell>
        </row>
        <row r="1802">
          <cell r="B1802" t="str">
            <v>14010906060801</v>
          </cell>
          <cell r="C1802" t="str">
            <v>FONDO DE GARANTÃA PARA PRSTAMOS A LA PE1ND</v>
          </cell>
        </row>
        <row r="1803">
          <cell r="B1803" t="str">
            <v>14010906061301</v>
          </cell>
          <cell r="C1803" t="str">
            <v>LA FIDUCIARIA S. A.                     1ND</v>
          </cell>
        </row>
        <row r="1804">
          <cell r="B1804" t="str">
            <v>14010906061302</v>
          </cell>
          <cell r="C1804" t="str">
            <v>FIDUCIARIA GBC S. A.                    1ND</v>
          </cell>
        </row>
        <row r="1805">
          <cell r="B1805" t="str">
            <v>14010906061401</v>
          </cell>
          <cell r="C1805" t="str">
            <v>FONDO MIVIVIENDA S. A.                  1ND</v>
          </cell>
        </row>
        <row r="1806">
          <cell r="B1806" t="str">
            <v>14010906061501</v>
          </cell>
          <cell r="C1806" t="str">
            <v>AMRICA FACTORING S. A.                  1ND</v>
          </cell>
        </row>
        <row r="1807">
          <cell r="B1807" t="str">
            <v>14010906061601</v>
          </cell>
          <cell r="C1807" t="str">
            <v>INCASA S. A.                            1ND</v>
          </cell>
        </row>
        <row r="1808">
          <cell r="B1808" t="str">
            <v>14010906061701</v>
          </cell>
          <cell r="C1808" t="str">
            <v>BANCOS DEL EXTERIOR                     1ND</v>
          </cell>
        </row>
        <row r="1809">
          <cell r="B1809" t="str">
            <v>14010906061702</v>
          </cell>
          <cell r="C1809" t="str">
            <v>OTRAS EMPRESAS DEL SISTEMA FINANCIERO DE1ND</v>
          </cell>
        </row>
        <row r="1810">
          <cell r="B1810" t="str">
            <v>14010906070101</v>
          </cell>
          <cell r="C1810" t="str">
            <v>LPC COOPERATIVA DE AHORRO Y CREDITO     1ND</v>
          </cell>
        </row>
        <row r="1811">
          <cell r="B1811" t="str">
            <v>14010906070104</v>
          </cell>
          <cell r="C1811" t="str">
            <v>BANCO INTERNACIONAL DEL PERU - INTERBANK1ND</v>
          </cell>
        </row>
        <row r="1812">
          <cell r="B1812" t="str">
            <v>14010906070105</v>
          </cell>
          <cell r="C1812" t="str">
            <v>SCOTIABANK PERU S. A. A.                1ND</v>
          </cell>
        </row>
        <row r="1813">
          <cell r="B1813" t="str">
            <v>14010906070106</v>
          </cell>
          <cell r="C1813" t="str">
            <v>BANCO CONTINENTAL                       1ND</v>
          </cell>
        </row>
        <row r="1814">
          <cell r="B1814" t="str">
            <v>14010906070108</v>
          </cell>
          <cell r="C1814" t="str">
            <v>BANCO DE COMERCIO                       1ND</v>
          </cell>
        </row>
        <row r="1815">
          <cell r="B1815" t="str">
            <v>14010906070109</v>
          </cell>
          <cell r="C1815" t="str">
            <v>BANCO FINANCIERO DEL PERU               1ND</v>
          </cell>
        </row>
        <row r="1816">
          <cell r="B1816" t="str">
            <v>14010906070116</v>
          </cell>
          <cell r="C1816" t="str">
            <v>CITIBANK N. A.   SUCURSAL EN EL PERU DEL1ND</v>
          </cell>
        </row>
        <row r="1817">
          <cell r="B1817" t="str">
            <v>14010906070121</v>
          </cell>
          <cell r="C1817" t="str">
            <v>BANCO INTERAMERICANO DE FINANZAS - S. A.1ND</v>
          </cell>
        </row>
        <row r="1818">
          <cell r="B1818" t="str">
            <v>14010906070128</v>
          </cell>
          <cell r="C1818" t="str">
            <v>LPC CORPORACION FINANCIERA DE DESARROLO 1ND</v>
          </cell>
        </row>
        <row r="1819">
          <cell r="B1819" t="str">
            <v>14010906070129</v>
          </cell>
          <cell r="C1819" t="str">
            <v>LPC MI BANCO                            1ND</v>
          </cell>
        </row>
        <row r="1820">
          <cell r="B1820" t="str">
            <v>14010906070131</v>
          </cell>
          <cell r="C1820" t="str">
            <v>LPC BANO AGROPECUARIO                   1ND</v>
          </cell>
        </row>
        <row r="1821">
          <cell r="B1821" t="str">
            <v>14010906070132</v>
          </cell>
          <cell r="C1821" t="str">
            <v>HSBC BANK PERU S. A.                    1ND</v>
          </cell>
        </row>
        <row r="1822">
          <cell r="B1822" t="str">
            <v>14010906070133</v>
          </cell>
          <cell r="C1822" t="str">
            <v>LPC BANCO FALABELLA VIG CESF            1ND</v>
          </cell>
        </row>
        <row r="1823">
          <cell r="B1823" t="str">
            <v>14010906070134</v>
          </cell>
          <cell r="C1823" t="str">
            <v>BANCO SANTANDER PERU S. A.              1ND</v>
          </cell>
        </row>
        <row r="1824">
          <cell r="B1824" t="str">
            <v>14010906070135</v>
          </cell>
          <cell r="C1824" t="str">
            <v>LPC BANCO RIPLEY VIG                    1ND</v>
          </cell>
        </row>
        <row r="1825">
          <cell r="B1825" t="str">
            <v>14010906070136</v>
          </cell>
          <cell r="C1825" t="str">
            <v>BANCO AZTECA DEL PERU S. A.             1ND</v>
          </cell>
        </row>
        <row r="1826">
          <cell r="B1826" t="str">
            <v>14010906070137</v>
          </cell>
          <cell r="C1826" t="str">
            <v>DEUTSCHE BANK (PERU) S. A.              1ND</v>
          </cell>
        </row>
        <row r="1827">
          <cell r="B1827" t="str">
            <v>14010906070138</v>
          </cell>
          <cell r="C1827" t="str">
            <v>LPC BANCO FINANCIERO CAP.VIG            1ND</v>
          </cell>
        </row>
        <row r="1828">
          <cell r="B1828" t="str">
            <v>14010906070199</v>
          </cell>
          <cell r="C1828" t="str">
            <v>BANCOS EN LIQUIDACIÃ“N                  1ND</v>
          </cell>
        </row>
        <row r="1829">
          <cell r="B1829" t="str">
            <v>14010906070203</v>
          </cell>
          <cell r="C1829" t="str">
            <v>SOLUCIÃ“N FINANCIERADE CREDITO DEL PERU 1ND</v>
          </cell>
        </row>
        <row r="1830">
          <cell r="B1830" t="str">
            <v>14010906070207</v>
          </cell>
          <cell r="C1830" t="str">
            <v>LPC FINANCIERA TFC (VOLVO FINANCE DEL PE1ND</v>
          </cell>
        </row>
        <row r="1831">
          <cell r="B1831" t="str">
            <v>14010906070209</v>
          </cell>
          <cell r="C1831" t="str">
            <v>LPC FINANCIERA EDYFICAR S.A.            1ND</v>
          </cell>
        </row>
        <row r="1832">
          <cell r="B1832" t="str">
            <v>14010906070210</v>
          </cell>
          <cell r="C1832" t="str">
            <v>CREDISCOTIA FINANCIERA S. A.            1ND</v>
          </cell>
        </row>
        <row r="1833">
          <cell r="B1833" t="str">
            <v>14010906070211</v>
          </cell>
          <cell r="C1833" t="str">
            <v>LPC FINANCIERA CREAR                    1ND</v>
          </cell>
        </row>
        <row r="1834">
          <cell r="B1834" t="str">
            <v>14010906070212</v>
          </cell>
          <cell r="C1834" t="str">
            <v>LPC EDPYME CONFIANZA S.A. VIG CESF      1ND</v>
          </cell>
        </row>
        <row r="1835">
          <cell r="B1835" t="str">
            <v>14010906070213</v>
          </cell>
          <cell r="C1835" t="str">
            <v>FINANCIERA UNIVERSAL S. A.              1ND</v>
          </cell>
        </row>
        <row r="1836">
          <cell r="B1836" t="str">
            <v>14010906070214</v>
          </cell>
          <cell r="C1836" t="str">
            <v>FINANCIERA UNO S. A.                    1ND</v>
          </cell>
        </row>
        <row r="1837">
          <cell r="B1837" t="str">
            <v>14010906070215</v>
          </cell>
          <cell r="C1837" t="str">
            <v>LPC FINANCIERA EFECTIVA CESF            1ND</v>
          </cell>
        </row>
        <row r="1838">
          <cell r="B1838" t="str">
            <v>14010906070216</v>
          </cell>
          <cell r="C1838" t="str">
            <v>LPC AMERIKA FINANCIERA SA.              1ND</v>
          </cell>
        </row>
        <row r="1839">
          <cell r="B1839" t="str">
            <v>14010906070217</v>
          </cell>
          <cell r="C1839" t="str">
            <v>LPC MITSUI AUTO FINANCE PERU CAP.VIG    1ND</v>
          </cell>
        </row>
        <row r="1840">
          <cell r="B1840" t="str">
            <v>14010906070219</v>
          </cell>
          <cell r="C1840" t="str">
            <v>LPC FINANCIERA CREDINKA CAP VIG         1ND</v>
          </cell>
        </row>
        <row r="1841">
          <cell r="B1841" t="str">
            <v>14010906070299</v>
          </cell>
          <cell r="C1841" t="str">
            <v>FINANCIERAS EN LIQUIDACIÃ“N             1ND</v>
          </cell>
        </row>
        <row r="1842">
          <cell r="B1842" t="str">
            <v>14010906070301</v>
          </cell>
          <cell r="C1842" t="str">
            <v>LPC CAJA MUNICIPAL DE AHORRO Y CRED. SUL1ND</v>
          </cell>
        </row>
        <row r="1843">
          <cell r="B1843" t="str">
            <v>14010906070302</v>
          </cell>
          <cell r="C1843" t="str">
            <v>LPC CAJA MUNIC.DE CRED.POPULAR DE LIMA C1ND</v>
          </cell>
        </row>
        <row r="1844">
          <cell r="B1844" t="str">
            <v>14010906070303</v>
          </cell>
          <cell r="C1844" t="str">
            <v>CAJA MUNICIPAL DE AHORRO YCREDITO DE PIU1ND</v>
          </cell>
        </row>
        <row r="1845">
          <cell r="B1845" t="str">
            <v>14010906070304</v>
          </cell>
          <cell r="C1845" t="str">
            <v>LPC CJA MUNI.AHO.Y CRED.AREQUIPA VIG    1ND</v>
          </cell>
        </row>
        <row r="1846">
          <cell r="B1846" t="str">
            <v>14010906070305</v>
          </cell>
          <cell r="C1846" t="str">
            <v>LPC CAJA MUNICIPAL DE AHORRO Y CRED. HUA1ND</v>
          </cell>
        </row>
        <row r="1847">
          <cell r="B1847" t="str">
            <v>14010906070306</v>
          </cell>
          <cell r="C1847" t="str">
            <v>LPC CAJA MUNICIPAL DE AH.Y CRED.CUSCO CA1ND</v>
          </cell>
        </row>
        <row r="1848">
          <cell r="B1848" t="str">
            <v>14010906070307</v>
          </cell>
          <cell r="C1848" t="str">
            <v>LPC CAJA MUNICIPAL DE AHORRO Y CRED. MAY1ND</v>
          </cell>
        </row>
        <row r="1849">
          <cell r="B1849" t="str">
            <v>14010906070308</v>
          </cell>
          <cell r="C1849" t="str">
            <v>CAJA MUNICIPAL DE AHORRO YCREDITO DE ICA1ND</v>
          </cell>
        </row>
        <row r="1850">
          <cell r="B1850" t="str">
            <v>14010906070309</v>
          </cell>
          <cell r="C1850" t="str">
            <v>CAJA MUNICIPAL DE AHORRO YCREDITO DE PAI1ND</v>
          </cell>
        </row>
        <row r="1851">
          <cell r="B1851" t="str">
            <v>14010906070310</v>
          </cell>
          <cell r="C1851" t="str">
            <v>LPC CAJA MUNIC. DE AHORRO Y CRED DEL SAN1ND</v>
          </cell>
        </row>
        <row r="1852">
          <cell r="B1852" t="str">
            <v>14010906070311</v>
          </cell>
          <cell r="C1852" t="str">
            <v>LPC CAJA MUNICIPAL DE AHORRO Y CRED. TRU1ND</v>
          </cell>
        </row>
        <row r="1853">
          <cell r="B1853" t="str">
            <v>14010906070312</v>
          </cell>
          <cell r="C1853" t="str">
            <v>LPC CAJA MUNICIPAL DE AHORRO Y CRED. TAC1ND</v>
          </cell>
        </row>
        <row r="1854">
          <cell r="B1854" t="str">
            <v>14010906070313</v>
          </cell>
          <cell r="C1854" t="str">
            <v>CAJA MUNICIPAL DE AHORRO YCREDITO DE PIS1ND</v>
          </cell>
        </row>
        <row r="1855">
          <cell r="B1855" t="str">
            <v>14010906070314</v>
          </cell>
          <cell r="C1855" t="str">
            <v>LPC CAJA MUNIC.DE CRED.POPULAR DE LIMA C1ND</v>
          </cell>
        </row>
        <row r="1856">
          <cell r="B1856" t="str">
            <v>14010906070399</v>
          </cell>
          <cell r="C1856" t="str">
            <v>CAJAS MUNICIPALES DE AHORRO YCREDITO EN 1ND</v>
          </cell>
        </row>
        <row r="1857">
          <cell r="B1857" t="str">
            <v>14010906070403</v>
          </cell>
          <cell r="C1857" t="str">
            <v>LPC CAJA RURAL DE AH.Y CREDITO CREDINKA 1ND</v>
          </cell>
        </row>
        <row r="1858">
          <cell r="B1858" t="str">
            <v>14010906070405</v>
          </cell>
          <cell r="C1858" t="str">
            <v>CAJA RURAL DE AHORRO YCREDITO LOS LIBERT1ND</v>
          </cell>
        </row>
        <row r="1859">
          <cell r="B1859" t="str">
            <v>14010906070406</v>
          </cell>
          <cell r="C1859" t="str">
            <v>CAJA RURAL DE AHORRO YCREDITO SEÃ‘OR DE 1ND</v>
          </cell>
        </row>
        <row r="1860">
          <cell r="B1860" t="str">
            <v>14010906070407</v>
          </cell>
          <cell r="C1860" t="str">
            <v>LPC CAJA RURAL DE AHORRO Y CREDITO CHAVI1ND</v>
          </cell>
        </row>
        <row r="1861">
          <cell r="B1861" t="str">
            <v>14010906070408</v>
          </cell>
          <cell r="C1861" t="str">
            <v>CAJA RURAL DE AHORRO YCREDITO NUESTRA GE1ND</v>
          </cell>
        </row>
        <row r="1862">
          <cell r="B1862" t="str">
            <v>14010906070409</v>
          </cell>
          <cell r="C1862" t="str">
            <v>CAJA RURAL DE AHORRO YCREDITO CAJAMARCA 1ND</v>
          </cell>
        </row>
        <row r="1863">
          <cell r="B1863" t="str">
            <v>14010906070410</v>
          </cell>
          <cell r="C1863" t="str">
            <v>LPC CAJA RURAL DE AHORRO Y CREDITO PROFI1ND</v>
          </cell>
        </row>
        <row r="1864">
          <cell r="B1864" t="str">
            <v>14010906070412</v>
          </cell>
          <cell r="C1864" t="str">
            <v>CAJA RURAL DE AHORRO YCREDITO SIPÃN S. 1ND</v>
          </cell>
        </row>
        <row r="1865">
          <cell r="B1865" t="str">
            <v>14010906070414</v>
          </cell>
          <cell r="C1865" t="str">
            <v>CAJA RURAL DE AHORRO YCREDITO PRYMERA S.1ND</v>
          </cell>
        </row>
        <row r="1866">
          <cell r="B1866" t="str">
            <v>14010906070415</v>
          </cell>
          <cell r="C1866" t="str">
            <v>CAJA RURAL DE AHORRO YCREDITO LOS ANDES 1ND</v>
          </cell>
        </row>
        <row r="1867">
          <cell r="B1867" t="str">
            <v>14010906070499</v>
          </cell>
          <cell r="C1867" t="str">
            <v>CAJAS RURALES DE AHORRO YCREDITO EN LIQU1ND</v>
          </cell>
        </row>
        <row r="1868">
          <cell r="B1868" t="str">
            <v>14010906070503</v>
          </cell>
          <cell r="C1868" t="str">
            <v>PROEMPRESA S. A.                        1ND</v>
          </cell>
        </row>
        <row r="1869">
          <cell r="B1869" t="str">
            <v>14010906070506</v>
          </cell>
          <cell r="C1869" t="str">
            <v>NUEVA VISIÃ“N S. A.                     1ND</v>
          </cell>
        </row>
        <row r="1870">
          <cell r="B1870" t="str">
            <v>14010906070508</v>
          </cell>
          <cell r="C1870" t="str">
            <v>RAIZ S. A.                              1ND</v>
          </cell>
        </row>
        <row r="1871">
          <cell r="B1871" t="str">
            <v>14010906070510</v>
          </cell>
          <cell r="C1871" t="str">
            <v>LPC EDPYME SOLIDARIDAD                  1ND</v>
          </cell>
        </row>
        <row r="1872">
          <cell r="B1872" t="str">
            <v>14010906070511</v>
          </cell>
          <cell r="C1872" t="str">
            <v>CREDIVISIÃ“N S. A.                      1ND</v>
          </cell>
        </row>
        <row r="1873">
          <cell r="B1873" t="str">
            <v>14010906070512</v>
          </cell>
          <cell r="C1873" t="str">
            <v>ACCESO CREDITICIO S. A.                 1ND</v>
          </cell>
        </row>
        <row r="1874">
          <cell r="B1874" t="str">
            <v>14010906070514</v>
          </cell>
          <cell r="C1874" t="str">
            <v>LPC EDPYME ALTERNATIVA VIG CESF         1ND</v>
          </cell>
        </row>
        <row r="1875">
          <cell r="B1875" t="str">
            <v>14010906070515</v>
          </cell>
          <cell r="C1875" t="str">
            <v>PRONEGOCIOS S. A.                       1ND</v>
          </cell>
        </row>
        <row r="1876">
          <cell r="B1876" t="str">
            <v>14010906070516</v>
          </cell>
          <cell r="C1876" t="str">
            <v>MICASITA S. A.                          1ND</v>
          </cell>
        </row>
        <row r="1877">
          <cell r="B1877" t="str">
            <v>14010906070517</v>
          </cell>
          <cell r="C1877" t="str">
            <v>CREDIJET DEL PERU S. A.                 1ND</v>
          </cell>
        </row>
        <row r="1878">
          <cell r="B1878" t="str">
            <v>14010906070521</v>
          </cell>
          <cell r="C1878" t="str">
            <v>LPC EDPYME SANTANDER                    1ND</v>
          </cell>
        </row>
        <row r="1879">
          <cell r="B1879" t="str">
            <v>14010906070522</v>
          </cell>
          <cell r="C1879" t="str">
            <v>LPC EDPYME SANTANDER                    1ND</v>
          </cell>
        </row>
        <row r="1880">
          <cell r="B1880" t="str">
            <v>14010906070599</v>
          </cell>
          <cell r="C1880" t="str">
            <v>EDPYMES EN LIQUIDACIÃ“N                 1ND</v>
          </cell>
        </row>
        <row r="1881">
          <cell r="B1881" t="str">
            <v>14010906070601</v>
          </cell>
          <cell r="C1881" t="str">
            <v>LPC CAJA RURAL DE AH.Y CREDITO CREDINKA 1ND</v>
          </cell>
        </row>
        <row r="1882">
          <cell r="B1882" t="str">
            <v>14010906070710</v>
          </cell>
          <cell r="C1882" t="str">
            <v>LEASING TOTAL S. A.                     1ND</v>
          </cell>
        </row>
        <row r="1883">
          <cell r="B1883" t="str">
            <v>14010906070711</v>
          </cell>
          <cell r="C1883" t="str">
            <v>MITSUI - MASA LEASING S. A.             1ND</v>
          </cell>
        </row>
        <row r="1884">
          <cell r="B1884" t="str">
            <v>14010906070799</v>
          </cell>
          <cell r="C1884" t="str">
            <v>LEASING EN LIQUIDACIÃ“N                 1ND</v>
          </cell>
        </row>
        <row r="1885">
          <cell r="B1885" t="str">
            <v>14010906070801</v>
          </cell>
          <cell r="C1885" t="str">
            <v>FONDO DE GARANTÃA PARA PRSTAMOS A LA PE1ND</v>
          </cell>
        </row>
        <row r="1886">
          <cell r="B1886" t="str">
            <v>14010906071301</v>
          </cell>
          <cell r="C1886" t="str">
            <v>LA FIDUCIARIA S. A.                     1ND</v>
          </cell>
        </row>
        <row r="1887">
          <cell r="B1887" t="str">
            <v>14010906071302</v>
          </cell>
          <cell r="C1887" t="str">
            <v>FIDUCIARIA GBC S. A.                    1ND</v>
          </cell>
        </row>
        <row r="1888">
          <cell r="B1888" t="str">
            <v>14010906071401</v>
          </cell>
          <cell r="C1888" t="str">
            <v>FONDO MIVIVIENDA S. A.                  1ND</v>
          </cell>
        </row>
        <row r="1889">
          <cell r="B1889" t="str">
            <v>14010906071501</v>
          </cell>
          <cell r="C1889" t="str">
            <v>AMRICA FACTORING S. A.                  1ND</v>
          </cell>
        </row>
        <row r="1890">
          <cell r="B1890" t="str">
            <v>14010906071601</v>
          </cell>
          <cell r="C1890" t="str">
            <v>INCASA S. A.                            1ND</v>
          </cell>
        </row>
        <row r="1891">
          <cell r="B1891" t="str">
            <v>14010906071701</v>
          </cell>
          <cell r="C1891" t="str">
            <v>BANCOS DEL EXTERIOR                     1ND</v>
          </cell>
        </row>
        <row r="1892">
          <cell r="B1892" t="str">
            <v>14010906071702</v>
          </cell>
          <cell r="C1892" t="str">
            <v>OTRAS EMPRESAS DEL SISTEMA FINANCIERO DE1ND</v>
          </cell>
        </row>
        <row r="1893">
          <cell r="B1893" t="str">
            <v>14010906071703</v>
          </cell>
          <cell r="C1893" t="str">
            <v>LPC SURGIR SANTANDER FINANCIAMIENTO CAP 1ND</v>
          </cell>
        </row>
        <row r="1894">
          <cell r="B1894" t="str">
            <v>14010918010101</v>
          </cell>
          <cell r="C1894" t="str">
            <v>BANCO CENTRAL DE RESERVA DEL PERU       1ND</v>
          </cell>
        </row>
        <row r="1895">
          <cell r="B1895" t="str">
            <v>14010918010102</v>
          </cell>
          <cell r="C1895" t="str">
            <v>BANCO DE LA NACIÃ“N                     1ND</v>
          </cell>
        </row>
        <row r="1896">
          <cell r="B1896" t="str">
            <v>14010918010103</v>
          </cell>
          <cell r="C1896" t="str">
            <v>BANCODE CREDITO DEL PERU                1ND</v>
          </cell>
        </row>
        <row r="1897">
          <cell r="B1897" t="str">
            <v>14010918010104</v>
          </cell>
          <cell r="C1897" t="str">
            <v>BANCO INTERNACIONAL DEL PERU - INTERBANK1ND</v>
          </cell>
        </row>
        <row r="1898">
          <cell r="B1898" t="str">
            <v>14010918010105</v>
          </cell>
          <cell r="C1898" t="str">
            <v>SCOTIABANK PERU S. A. A.                1ND</v>
          </cell>
        </row>
        <row r="1899">
          <cell r="B1899" t="str">
            <v>14010918010106</v>
          </cell>
          <cell r="C1899" t="str">
            <v>BANCO CONTINENTAL                       1ND</v>
          </cell>
        </row>
        <row r="1900">
          <cell r="B1900" t="str">
            <v>14010918010108</v>
          </cell>
          <cell r="C1900" t="str">
            <v>BANCO DE COMERCIO                       1ND</v>
          </cell>
        </row>
        <row r="1901">
          <cell r="B1901" t="str">
            <v>14010918010109</v>
          </cell>
          <cell r="C1901" t="str">
            <v>BANCO FINANCIERO DEL PERU               1ND</v>
          </cell>
        </row>
        <row r="1902">
          <cell r="B1902" t="str">
            <v>14010918010116</v>
          </cell>
          <cell r="C1902" t="str">
            <v>CITIBANK N. A.   SUCURSAL EN EL PERU DEL1ND</v>
          </cell>
        </row>
        <row r="1903">
          <cell r="B1903" t="str">
            <v>14010918010121</v>
          </cell>
          <cell r="C1903" t="str">
            <v>BANCO INTERAMERICANO DE FINANZAS - S. A.1ND</v>
          </cell>
        </row>
        <row r="1904">
          <cell r="B1904" t="str">
            <v>14010918010128</v>
          </cell>
          <cell r="C1904" t="str">
            <v>CORPORACIÃ“N FINANCIERA DE DESARROLLO S.1ND</v>
          </cell>
        </row>
        <row r="1905">
          <cell r="B1905" t="str">
            <v>14010918010129</v>
          </cell>
          <cell r="C1905" t="str">
            <v>MIBANCO BANCO DE LA MICROEMPRESA - MIBAN1ND</v>
          </cell>
        </row>
        <row r="1906">
          <cell r="B1906" t="str">
            <v>14010918010131</v>
          </cell>
          <cell r="C1906" t="str">
            <v>BANCO AGROPECUARIO - AGROBANCO          1ND</v>
          </cell>
        </row>
        <row r="1907">
          <cell r="B1907" t="str">
            <v>14010918010132</v>
          </cell>
          <cell r="C1907" t="str">
            <v>HSBC BANK PERU S. A.                    1ND</v>
          </cell>
        </row>
        <row r="1908">
          <cell r="B1908" t="str">
            <v>14010918010133</v>
          </cell>
          <cell r="C1908" t="str">
            <v>BANCO FALABELLA DEL PERU                1ND</v>
          </cell>
        </row>
        <row r="1909">
          <cell r="B1909" t="str">
            <v>14010918010134</v>
          </cell>
          <cell r="C1909" t="str">
            <v>BANCO SANTANDER PERU S. A.              1ND</v>
          </cell>
        </row>
        <row r="1910">
          <cell r="B1910" t="str">
            <v>14010918010135</v>
          </cell>
          <cell r="C1910" t="str">
            <v>BANCO RIPLEY S. A.                      1ND</v>
          </cell>
        </row>
        <row r="1911">
          <cell r="B1911" t="str">
            <v>14010918010136</v>
          </cell>
          <cell r="C1911" t="str">
            <v>BANCO AZTECA DEL PERU S. A.             1ND</v>
          </cell>
        </row>
        <row r="1912">
          <cell r="B1912" t="str">
            <v>14010918010137</v>
          </cell>
          <cell r="C1912" t="str">
            <v>DEUTSCHE BANK (PERU) S. A.              1ND</v>
          </cell>
        </row>
        <row r="1913">
          <cell r="B1913" t="str">
            <v>14010918010199</v>
          </cell>
          <cell r="C1913" t="str">
            <v>BANCOS EN LIQUIDACIÃ“N                  1ND</v>
          </cell>
        </row>
        <row r="1914">
          <cell r="B1914" t="str">
            <v>14010918010203</v>
          </cell>
          <cell r="C1914" t="str">
            <v>SOLUCIÃ“N FINANCIERADE CREDITO DEL PERU 1ND</v>
          </cell>
        </row>
        <row r="1915">
          <cell r="B1915" t="str">
            <v>14010918010207</v>
          </cell>
          <cell r="C1915" t="str">
            <v>FINANCIERA TFC S. A.                    1ND</v>
          </cell>
        </row>
        <row r="1916">
          <cell r="B1916" t="str">
            <v>14010918010209</v>
          </cell>
          <cell r="C1916" t="str">
            <v>FINANCIERA EDYFICAR S. A.               1ND</v>
          </cell>
        </row>
        <row r="1917">
          <cell r="B1917" t="str">
            <v>14010918010210</v>
          </cell>
          <cell r="C1917" t="str">
            <v>CREDISCOTIA FINANCIERA S. A.            1ND</v>
          </cell>
        </row>
        <row r="1918">
          <cell r="B1918" t="str">
            <v>14010918010211</v>
          </cell>
          <cell r="C1918" t="str">
            <v>FINANCIERA CREAR S. A.                  1ND</v>
          </cell>
        </row>
        <row r="1919">
          <cell r="B1919" t="str">
            <v>14010918010212</v>
          </cell>
          <cell r="C1919" t="str">
            <v>FINANCIERA CONFIANZA S. A.              1ND</v>
          </cell>
        </row>
        <row r="1920">
          <cell r="B1920" t="str">
            <v>14010918010213</v>
          </cell>
          <cell r="C1920" t="str">
            <v>FINANCIERA UNIVERSAL S. A.              1ND</v>
          </cell>
        </row>
        <row r="1921">
          <cell r="B1921" t="str">
            <v>14010918010214</v>
          </cell>
          <cell r="C1921" t="str">
            <v>FINANCIERA UNO S. A.                    1ND</v>
          </cell>
        </row>
        <row r="1922">
          <cell r="B1922" t="str">
            <v>14010918010215</v>
          </cell>
          <cell r="C1922" t="str">
            <v>FINANCIERA EFECTIVA S. A.               1ND</v>
          </cell>
        </row>
        <row r="1923">
          <cell r="B1923" t="str">
            <v>14010918010216</v>
          </cell>
          <cell r="C1923" t="str">
            <v>AMERIKA FINANCIERA S. A.                1ND</v>
          </cell>
        </row>
        <row r="1924">
          <cell r="B1924" t="str">
            <v>14010918010299</v>
          </cell>
          <cell r="C1924" t="str">
            <v>FINANCIERAS EN LIQUIDACIÃ“N             1ND</v>
          </cell>
        </row>
        <row r="1925">
          <cell r="B1925" t="str">
            <v>14010918010301</v>
          </cell>
          <cell r="C1925" t="str">
            <v>CAJA MUNICIPAL DE AHORRO YCREDITO DE SUL1ND</v>
          </cell>
        </row>
        <row r="1926">
          <cell r="B1926" t="str">
            <v>14010918010302</v>
          </cell>
          <cell r="C1926" t="str">
            <v>CAJA MUNICIPALDE CREDITO POPULAR DE LIMA1ND</v>
          </cell>
        </row>
        <row r="1927">
          <cell r="B1927" t="str">
            <v>14010918010303</v>
          </cell>
          <cell r="C1927" t="str">
            <v>CAJA MUNICIPAL DE AHORRO YCREDITO DE PIU1ND</v>
          </cell>
        </row>
        <row r="1928">
          <cell r="B1928" t="str">
            <v>14010918010304</v>
          </cell>
          <cell r="C1928" t="str">
            <v>CAJA MUNICIPAL DE AHORRO YCREDITO DE ARE1ND</v>
          </cell>
        </row>
        <row r="1929">
          <cell r="B1929" t="str">
            <v>14010918010305</v>
          </cell>
          <cell r="C1929" t="str">
            <v>CAJA MUNICIPAL DE AHORRO YCREDITO DE HUA1ND</v>
          </cell>
        </row>
        <row r="1930">
          <cell r="B1930" t="str">
            <v>14010918010306</v>
          </cell>
          <cell r="C1930" t="str">
            <v>CAJA MUNICIPAL DE AHORRO YCREDITO CUSCO 1ND</v>
          </cell>
        </row>
        <row r="1931">
          <cell r="B1931" t="str">
            <v>14010918010307</v>
          </cell>
          <cell r="C1931" t="str">
            <v>CAJA MUNICIPAL DE AHORRO YCREDITO DE MAY1ND</v>
          </cell>
        </row>
        <row r="1932">
          <cell r="B1932" t="str">
            <v>14010918010308</v>
          </cell>
          <cell r="C1932" t="str">
            <v>CAJA MUNICIPAL DE AHORRO YCREDITO DE ICA1ND</v>
          </cell>
        </row>
        <row r="1933">
          <cell r="B1933" t="str">
            <v>14010918010309</v>
          </cell>
          <cell r="C1933" t="str">
            <v>CAJA MUNICIPAL DE AHORRO YCREDITO DE PAI1ND</v>
          </cell>
        </row>
        <row r="1934">
          <cell r="B1934" t="str">
            <v>14010918010310</v>
          </cell>
          <cell r="C1934" t="str">
            <v>CAJA MUNICIPAL DE AHORRO YCREDITO DEL SA1ND</v>
          </cell>
        </row>
        <row r="1935">
          <cell r="B1935" t="str">
            <v>14010918010311</v>
          </cell>
          <cell r="C1935" t="str">
            <v>CAJA MUNICIPAL DE AHORRO YCREDITO DE TRU1ND</v>
          </cell>
        </row>
        <row r="1936">
          <cell r="B1936" t="str">
            <v>14010918010312</v>
          </cell>
          <cell r="C1936" t="str">
            <v>CAJA MUNICIPAL DE AHORRO YCREDITO DE TAC1ND</v>
          </cell>
        </row>
        <row r="1937">
          <cell r="B1937" t="str">
            <v>14010918010313</v>
          </cell>
          <cell r="C1937" t="str">
            <v>CAJA MUNICIPAL DE AHORRO YCREDITO DE PIS1ND</v>
          </cell>
        </row>
        <row r="1938">
          <cell r="B1938" t="str">
            <v>14010918010399</v>
          </cell>
          <cell r="C1938" t="str">
            <v>CAJAS MUNICIPALES DE AHORRO YCREDITO EN 1ND</v>
          </cell>
        </row>
        <row r="1939">
          <cell r="B1939" t="str">
            <v>14010918010403</v>
          </cell>
          <cell r="C1939" t="str">
            <v>CAJA RURAL DE AHORRO YCREDITO QUILLABAMB1ND</v>
          </cell>
        </row>
        <row r="1940">
          <cell r="B1940" t="str">
            <v>14010918010405</v>
          </cell>
          <cell r="C1940" t="str">
            <v>CAJA RURAL DE AHORRO YCREDITO LOS LIBERT1ND</v>
          </cell>
        </row>
        <row r="1941">
          <cell r="B1941" t="str">
            <v>14010918010406</v>
          </cell>
          <cell r="C1941" t="str">
            <v>CAJA RURAL DE AHORRO YCREDITO SEÃ‘OR DE 1ND</v>
          </cell>
        </row>
        <row r="1942">
          <cell r="B1942" t="str">
            <v>14010918010407</v>
          </cell>
          <cell r="C1942" t="str">
            <v>CAJA RURAL DE AHORRO YCREDITO CHAVÃN S.1ND</v>
          </cell>
        </row>
        <row r="1943">
          <cell r="B1943" t="str">
            <v>14010918010408</v>
          </cell>
          <cell r="C1943" t="str">
            <v>CAJA RURAL DE AHORRO YCREDITO NUESTRA GE1ND</v>
          </cell>
        </row>
        <row r="1944">
          <cell r="B1944" t="str">
            <v>14010918010409</v>
          </cell>
          <cell r="C1944" t="str">
            <v>CAJA RURAL DE AHORRO YCREDITO CAJAMARCA 1ND</v>
          </cell>
        </row>
        <row r="1945">
          <cell r="B1945" t="str">
            <v>14010918010410</v>
          </cell>
          <cell r="C1945" t="str">
            <v>CAJA RURAL DE AHORRO YCREDITO PROFINANZA1ND</v>
          </cell>
        </row>
        <row r="1946">
          <cell r="B1946" t="str">
            <v>14010918010412</v>
          </cell>
          <cell r="C1946" t="str">
            <v>CAJA RURAL DE AHORRO YCREDITO SIPÃN S. 1ND</v>
          </cell>
        </row>
        <row r="1947">
          <cell r="B1947" t="str">
            <v>14010918010414</v>
          </cell>
          <cell r="C1947" t="str">
            <v>CAJA RURAL DE AHORRO YCREDITO PRYMERA S.1ND</v>
          </cell>
        </row>
        <row r="1948">
          <cell r="B1948" t="str">
            <v>14010918010415</v>
          </cell>
          <cell r="C1948" t="str">
            <v>CAJA RURAL DE AHORRO YCREDITO LOS ANDES 1ND</v>
          </cell>
        </row>
        <row r="1949">
          <cell r="B1949" t="str">
            <v>14010918010499</v>
          </cell>
          <cell r="C1949" t="str">
            <v>CAJAS RURALES DE AHORRO YCREDITO EN LIQU1ND</v>
          </cell>
        </row>
        <row r="1950">
          <cell r="B1950" t="str">
            <v>14010918010503</v>
          </cell>
          <cell r="C1950" t="str">
            <v>PROEMPRESA S. A.                        1ND</v>
          </cell>
        </row>
        <row r="1951">
          <cell r="B1951" t="str">
            <v>14010918010506</v>
          </cell>
          <cell r="C1951" t="str">
            <v>NUEVA VISIÃ“N S. A.                     1ND</v>
          </cell>
        </row>
        <row r="1952">
          <cell r="B1952" t="str">
            <v>14010918010508</v>
          </cell>
          <cell r="C1952" t="str">
            <v>RAIZ S. A.                              1ND</v>
          </cell>
        </row>
        <row r="1953">
          <cell r="B1953" t="str">
            <v>14010918010510</v>
          </cell>
          <cell r="C1953" t="str">
            <v>SOLIDARIDAD S. A.                       1ND</v>
          </cell>
        </row>
        <row r="1954">
          <cell r="B1954" t="str">
            <v>14010918010511</v>
          </cell>
          <cell r="C1954" t="str">
            <v>CREDIVISIÃ“N S. A.                      1ND</v>
          </cell>
        </row>
        <row r="1955">
          <cell r="B1955" t="str">
            <v>14010918010512</v>
          </cell>
          <cell r="C1955" t="str">
            <v>ACCESO CREDITICIO S. A.                 1ND</v>
          </cell>
        </row>
        <row r="1956">
          <cell r="B1956" t="str">
            <v>14010918010514</v>
          </cell>
          <cell r="C1956" t="str">
            <v>ALTERNATIVA S. A.                       1ND</v>
          </cell>
        </row>
        <row r="1957">
          <cell r="B1957" t="str">
            <v>14010918010515</v>
          </cell>
          <cell r="C1957" t="str">
            <v>PRONEGOCIOS S. A.                       1ND</v>
          </cell>
        </row>
        <row r="1958">
          <cell r="B1958" t="str">
            <v>14010918010516</v>
          </cell>
          <cell r="C1958" t="str">
            <v>MICASITA S. A.                          1ND</v>
          </cell>
        </row>
        <row r="1959">
          <cell r="B1959" t="str">
            <v>14010918010517</v>
          </cell>
          <cell r="C1959" t="str">
            <v>CREDIJET DEL PERU S. A.                 1ND</v>
          </cell>
        </row>
        <row r="1960">
          <cell r="B1960" t="str">
            <v>14010918010599</v>
          </cell>
          <cell r="C1960" t="str">
            <v>EDPYMES EN LIQUIDACIÃ“N                 1ND</v>
          </cell>
        </row>
        <row r="1961">
          <cell r="B1961" t="str">
            <v>14010918010710</v>
          </cell>
          <cell r="C1961" t="str">
            <v>LEASING TOTAL S. A.                     1ND</v>
          </cell>
        </row>
        <row r="1962">
          <cell r="B1962" t="str">
            <v>14010918010711</v>
          </cell>
          <cell r="C1962" t="str">
            <v>MITSUI - MASA LEASING S. A.             1ND</v>
          </cell>
        </row>
        <row r="1963">
          <cell r="B1963" t="str">
            <v>14010918010799</v>
          </cell>
          <cell r="C1963" t="str">
            <v>LEASING EN LIQUIDACIÃ“N                 1ND</v>
          </cell>
        </row>
        <row r="1964">
          <cell r="B1964" t="str">
            <v>14010918010801</v>
          </cell>
          <cell r="C1964" t="str">
            <v>FONDO DE GARANTÃA PARA PRSTAMOS A LA PE1ND</v>
          </cell>
        </row>
        <row r="1965">
          <cell r="B1965" t="str">
            <v>14010918011301</v>
          </cell>
          <cell r="C1965" t="str">
            <v>LA FIDUCIARIA S. A.                     1ND</v>
          </cell>
        </row>
        <row r="1966">
          <cell r="B1966" t="str">
            <v>14010918011302</v>
          </cell>
          <cell r="C1966" t="str">
            <v>FIDUCIARIA GBC S. A.                    1ND</v>
          </cell>
        </row>
        <row r="1967">
          <cell r="B1967" t="str">
            <v>14010918011401</v>
          </cell>
          <cell r="C1967" t="str">
            <v>FONDO MIVIVIENDA S. A.                  1ND</v>
          </cell>
        </row>
        <row r="1968">
          <cell r="B1968" t="str">
            <v>14010918011501</v>
          </cell>
          <cell r="C1968" t="str">
            <v>AMRICA FACTORING S. A.                  1ND</v>
          </cell>
        </row>
        <row r="1969">
          <cell r="B1969" t="str">
            <v>14010918011601</v>
          </cell>
          <cell r="C1969" t="str">
            <v>INCASA S. A.                            1ND</v>
          </cell>
        </row>
        <row r="1970">
          <cell r="B1970" t="str">
            <v>14010918011701</v>
          </cell>
          <cell r="C1970" t="str">
            <v>BANCOS DEL EXTERIOR                     1ND</v>
          </cell>
        </row>
        <row r="1971">
          <cell r="B1971" t="str">
            <v>14010918011702</v>
          </cell>
          <cell r="C1971" t="str">
            <v>OTRAS EMPRESAS DEL SISTEMA FINANCIERO DE1ND</v>
          </cell>
        </row>
        <row r="1972">
          <cell r="B1972" t="str">
            <v>14010918020101</v>
          </cell>
          <cell r="C1972" t="str">
            <v>BANCO CENTRAL DE RESERVA DEL PERU       1ND</v>
          </cell>
        </row>
        <row r="1973">
          <cell r="B1973" t="str">
            <v>14010918020102</v>
          </cell>
          <cell r="C1973" t="str">
            <v>BANCO DE LA NACIÃ“N                     1ND</v>
          </cell>
        </row>
        <row r="1974">
          <cell r="B1974" t="str">
            <v>14010918020103</v>
          </cell>
          <cell r="C1974" t="str">
            <v>BANCODE CREDITO DEL PERU                1ND</v>
          </cell>
        </row>
        <row r="1975">
          <cell r="B1975" t="str">
            <v>14010918020104</v>
          </cell>
          <cell r="C1975" t="str">
            <v>BANCO INTERNACIONAL DEL PERU - INTERBANK1ND</v>
          </cell>
        </row>
        <row r="1976">
          <cell r="B1976" t="str">
            <v>14010918020105</v>
          </cell>
          <cell r="C1976" t="str">
            <v>SCOTIABANK PERU S. A. A.                1ND</v>
          </cell>
        </row>
        <row r="1977">
          <cell r="B1977" t="str">
            <v>14010918020106</v>
          </cell>
          <cell r="C1977" t="str">
            <v>BANCO CONTINENTAL                       1ND</v>
          </cell>
        </row>
        <row r="1978">
          <cell r="B1978" t="str">
            <v>14010918020108</v>
          </cell>
          <cell r="C1978" t="str">
            <v>BANCO DE COMERCIO                       1ND</v>
          </cell>
        </row>
        <row r="1979">
          <cell r="B1979" t="str">
            <v>14010918020109</v>
          </cell>
          <cell r="C1979" t="str">
            <v>BANCO FINANCIERO DEL PERU               1ND</v>
          </cell>
        </row>
        <row r="1980">
          <cell r="B1980" t="str">
            <v>14010918020116</v>
          </cell>
          <cell r="C1980" t="str">
            <v>CITIBANK N. A.   SUCURSAL EN EL PERU DEL1ND</v>
          </cell>
        </row>
        <row r="1981">
          <cell r="B1981" t="str">
            <v>14010918020121</v>
          </cell>
          <cell r="C1981" t="str">
            <v>BANCO INTERAMERICANO DE FINANZAS - S. A.1ND</v>
          </cell>
        </row>
        <row r="1982">
          <cell r="B1982" t="str">
            <v>14010918020128</v>
          </cell>
          <cell r="C1982" t="str">
            <v>CORPORACIÃ“N FINANCIERA DE DESARROLLO S.1ND</v>
          </cell>
        </row>
        <row r="1983">
          <cell r="B1983" t="str">
            <v>14010918020129</v>
          </cell>
          <cell r="C1983" t="str">
            <v>MIBANCO BANCO DE LA MICROEMPRESA - MIBAN1ND</v>
          </cell>
        </row>
        <row r="1984">
          <cell r="B1984" t="str">
            <v>14010918020131</v>
          </cell>
          <cell r="C1984" t="str">
            <v>BANCO AGROPECUARIO - AGROBANCO          1ND</v>
          </cell>
        </row>
        <row r="1985">
          <cell r="B1985" t="str">
            <v>14010918020132</v>
          </cell>
          <cell r="C1985" t="str">
            <v>HSBC BANK PERU S. A.                    1ND</v>
          </cell>
        </row>
        <row r="1986">
          <cell r="B1986" t="str">
            <v>14010918020133</v>
          </cell>
          <cell r="C1986" t="str">
            <v>BANCO FALABELLA DEL PERU                1ND</v>
          </cell>
        </row>
        <row r="1987">
          <cell r="B1987" t="str">
            <v>14010918020134</v>
          </cell>
          <cell r="C1987" t="str">
            <v>BANCO SANTANDER PERU S. A.              1ND</v>
          </cell>
        </row>
        <row r="1988">
          <cell r="B1988" t="str">
            <v>14010918020135</v>
          </cell>
          <cell r="C1988" t="str">
            <v>BANCO RIPLEY S. A.                      1ND</v>
          </cell>
        </row>
        <row r="1989">
          <cell r="B1989" t="str">
            <v>14010918020136</v>
          </cell>
          <cell r="C1989" t="str">
            <v>BANCO AZTECA DEL PERU S. A.             1ND</v>
          </cell>
        </row>
        <row r="1990">
          <cell r="B1990" t="str">
            <v>14010918020137</v>
          </cell>
          <cell r="C1990" t="str">
            <v>DEUTSCHE BANK (PERU) S. A.              1ND</v>
          </cell>
        </row>
        <row r="1991">
          <cell r="B1991" t="str">
            <v>14010918020199</v>
          </cell>
          <cell r="C1991" t="str">
            <v>BANCOS EN LIQUIDACIÃ“N                  1ND</v>
          </cell>
        </row>
        <row r="1992">
          <cell r="B1992" t="str">
            <v>14010918020203</v>
          </cell>
          <cell r="C1992" t="str">
            <v>SOLUCIÃ“N FINANCIERADE CREDITO DEL PERU 1ND</v>
          </cell>
        </row>
        <row r="1993">
          <cell r="B1993" t="str">
            <v>14010918020207</v>
          </cell>
          <cell r="C1993" t="str">
            <v>FINANCIERA TFC S. A.                    1ND</v>
          </cell>
        </row>
        <row r="1994">
          <cell r="B1994" t="str">
            <v>14010918020209</v>
          </cell>
          <cell r="C1994" t="str">
            <v>FINANCIERA EDYFICAR S. A.               1ND</v>
          </cell>
        </row>
        <row r="1995">
          <cell r="B1995" t="str">
            <v>14010918020210</v>
          </cell>
          <cell r="C1995" t="str">
            <v>CREDISCOTIA FINANCIERA S. A.            1ND</v>
          </cell>
        </row>
        <row r="1996">
          <cell r="B1996" t="str">
            <v>14010918020211</v>
          </cell>
          <cell r="C1996" t="str">
            <v>FINANCIERA CREAR S. A.                  1ND</v>
          </cell>
        </row>
        <row r="1997">
          <cell r="B1997" t="str">
            <v>14010918020212</v>
          </cell>
          <cell r="C1997" t="str">
            <v>FINANCIERA CONFIANZA S. A.              1ND</v>
          </cell>
        </row>
        <row r="1998">
          <cell r="B1998" t="str">
            <v>14010918020213</v>
          </cell>
          <cell r="C1998" t="str">
            <v>FINANCIERA UNIVERSAL S. A.              1ND</v>
          </cell>
        </row>
        <row r="1999">
          <cell r="B1999" t="str">
            <v>14010918020214</v>
          </cell>
          <cell r="C1999" t="str">
            <v>FINANCIERA UNO S. A.                    1ND</v>
          </cell>
        </row>
        <row r="2000">
          <cell r="B2000" t="str">
            <v>14010918020215</v>
          </cell>
          <cell r="C2000" t="str">
            <v>FINANCIERA EFECTIVA S. A.               1ND</v>
          </cell>
        </row>
        <row r="2001">
          <cell r="B2001" t="str">
            <v>14010918020216</v>
          </cell>
          <cell r="C2001" t="str">
            <v>AMERIKA FINANCIERA S. A.                1ND</v>
          </cell>
        </row>
        <row r="2002">
          <cell r="B2002" t="str">
            <v>14010918020299</v>
          </cell>
          <cell r="C2002" t="str">
            <v>FINANCIERAS EN LIQUIDACIÃ“N             1ND</v>
          </cell>
        </row>
        <row r="2003">
          <cell r="B2003" t="str">
            <v>14010918020301</v>
          </cell>
          <cell r="C2003" t="str">
            <v>CAJA MUNICIPAL DE AHORRO YCREDITO DE SUL1ND</v>
          </cell>
        </row>
        <row r="2004">
          <cell r="B2004" t="str">
            <v>14010918020302</v>
          </cell>
          <cell r="C2004" t="str">
            <v>CAJA MUNICIPALDE CREDITO POPULAR DE LIMA1ND</v>
          </cell>
        </row>
        <row r="2005">
          <cell r="B2005" t="str">
            <v>14010918020303</v>
          </cell>
          <cell r="C2005" t="str">
            <v>CAJA MUNICIPAL DE AHORRO YCREDITO DE PIU1ND</v>
          </cell>
        </row>
        <row r="2006">
          <cell r="B2006" t="str">
            <v>14010918020304</v>
          </cell>
          <cell r="C2006" t="str">
            <v>CAJA MUNICIPAL DE AHORRO YCREDITO DE ARE1ND</v>
          </cell>
        </row>
        <row r="2007">
          <cell r="B2007" t="str">
            <v>14010918020305</v>
          </cell>
          <cell r="C2007" t="str">
            <v>CAJA MUNICIPAL DE AHORRO YCREDITO DE HUA1ND</v>
          </cell>
        </row>
        <row r="2008">
          <cell r="B2008" t="str">
            <v>14010918020306</v>
          </cell>
          <cell r="C2008" t="str">
            <v>CAJA MUNICIPAL DE AHORRO YCREDITO CUSCO 1ND</v>
          </cell>
        </row>
        <row r="2009">
          <cell r="B2009" t="str">
            <v>14010918020307</v>
          </cell>
          <cell r="C2009" t="str">
            <v>CAJA MUNICIPAL DE AHORRO YCREDITO DE MAY1ND</v>
          </cell>
        </row>
        <row r="2010">
          <cell r="B2010" t="str">
            <v>14010918020308</v>
          </cell>
          <cell r="C2010" t="str">
            <v>CAJA MUNICIPAL DE AHORRO YCREDITO DE ICA1ND</v>
          </cell>
        </row>
        <row r="2011">
          <cell r="B2011" t="str">
            <v>14010918020309</v>
          </cell>
          <cell r="C2011" t="str">
            <v>CAJA MUNICIPAL DE AHORRO YCREDITO DE PAI1ND</v>
          </cell>
        </row>
        <row r="2012">
          <cell r="B2012" t="str">
            <v>14010918020310</v>
          </cell>
          <cell r="C2012" t="str">
            <v>CAJA MUNICIPAL DE AHORRO YCREDITO DEL SA1ND</v>
          </cell>
        </row>
        <row r="2013">
          <cell r="B2013" t="str">
            <v>14010918020311</v>
          </cell>
          <cell r="C2013" t="str">
            <v>CAJA MUNICIPAL DE AHORRO YCREDITO DE TRU1ND</v>
          </cell>
        </row>
        <row r="2014">
          <cell r="B2014" t="str">
            <v>14010918020312</v>
          </cell>
          <cell r="C2014" t="str">
            <v>CAJA MUNICIPAL DE AHORRO YCREDITO DE TAC1ND</v>
          </cell>
        </row>
        <row r="2015">
          <cell r="B2015" t="str">
            <v>14010918020313</v>
          </cell>
          <cell r="C2015" t="str">
            <v>CAJA MUNICIPAL DE AHORRO YCREDITO DE PIS1ND</v>
          </cell>
        </row>
        <row r="2016">
          <cell r="B2016" t="str">
            <v>14010918020399</v>
          </cell>
          <cell r="C2016" t="str">
            <v>CAJAS MUNICIPALES DE AHORRO YCREDITO EN 1ND</v>
          </cell>
        </row>
        <row r="2017">
          <cell r="B2017" t="str">
            <v>14010918020403</v>
          </cell>
          <cell r="C2017" t="str">
            <v>CAJA RURAL DE AHORRO YCREDITO QUILLABAMB1ND</v>
          </cell>
        </row>
        <row r="2018">
          <cell r="B2018" t="str">
            <v>14010918020405</v>
          </cell>
          <cell r="C2018" t="str">
            <v>CAJA RURAL DE AHORRO YCREDITO LOS LIBERT1ND</v>
          </cell>
        </row>
        <row r="2019">
          <cell r="B2019" t="str">
            <v>14010918020406</v>
          </cell>
          <cell r="C2019" t="str">
            <v>CAJA RURAL DE AHORRO YCREDITO SEÃ‘OR DE 1ND</v>
          </cell>
        </row>
        <row r="2020">
          <cell r="B2020" t="str">
            <v>14010918020407</v>
          </cell>
          <cell r="C2020" t="str">
            <v>CAJA RURAL DE AHORRO YCREDITO CHAVÃN S.1ND</v>
          </cell>
        </row>
        <row r="2021">
          <cell r="B2021" t="str">
            <v>14010918020408</v>
          </cell>
          <cell r="C2021" t="str">
            <v>CAJA RURAL DE AHORRO YCREDITO NUESTRA GE1ND</v>
          </cell>
        </row>
        <row r="2022">
          <cell r="B2022" t="str">
            <v>14010918020409</v>
          </cell>
          <cell r="C2022" t="str">
            <v>CAJA RURAL DE AHORRO YCREDITO CAJAMARCA 1ND</v>
          </cell>
        </row>
        <row r="2023">
          <cell r="B2023" t="str">
            <v>14010918020410</v>
          </cell>
          <cell r="C2023" t="str">
            <v>CAJA RURAL DE AHORRO YCREDITO PROFINANZA1ND</v>
          </cell>
        </row>
        <row r="2024">
          <cell r="B2024" t="str">
            <v>14010918020412</v>
          </cell>
          <cell r="C2024" t="str">
            <v>CAJA RURAL DE AHORRO YCREDITO SIPÃN S. 1ND</v>
          </cell>
        </row>
        <row r="2025">
          <cell r="B2025" t="str">
            <v>14010918020414</v>
          </cell>
          <cell r="C2025" t="str">
            <v>CAJA RURAL DE AHORRO YCREDITO PRYMERA S.1ND</v>
          </cell>
        </row>
        <row r="2026">
          <cell r="B2026" t="str">
            <v>14010918020415</v>
          </cell>
          <cell r="C2026" t="str">
            <v>CAJA RURAL DE AHORRO YCREDITO LOS ANDES 1ND</v>
          </cell>
        </row>
        <row r="2027">
          <cell r="B2027" t="str">
            <v>14010918020499</v>
          </cell>
          <cell r="C2027" t="str">
            <v>CAJAS RURALES DE AHORRO YCREDITO EN LIQU1ND</v>
          </cell>
        </row>
        <row r="2028">
          <cell r="B2028" t="str">
            <v>14010918020503</v>
          </cell>
          <cell r="C2028" t="str">
            <v>PROEMPRESA S. A.                        1ND</v>
          </cell>
        </row>
        <row r="2029">
          <cell r="B2029" t="str">
            <v>14010918020506</v>
          </cell>
          <cell r="C2029" t="str">
            <v>NUEVA VISIÃ“N S. A.                     1ND</v>
          </cell>
        </row>
        <row r="2030">
          <cell r="B2030" t="str">
            <v>14010918020508</v>
          </cell>
          <cell r="C2030" t="str">
            <v>RAIZ S. A.                              1ND</v>
          </cell>
        </row>
        <row r="2031">
          <cell r="B2031" t="str">
            <v>14010918020510</v>
          </cell>
          <cell r="C2031" t="str">
            <v>SOLIDARIDAD S. A.                       1ND</v>
          </cell>
        </row>
        <row r="2032">
          <cell r="B2032" t="str">
            <v>14010918020511</v>
          </cell>
          <cell r="C2032" t="str">
            <v>CREDIVISIÃ“N S. A.                      1ND</v>
          </cell>
        </row>
        <row r="2033">
          <cell r="B2033" t="str">
            <v>14010918020512</v>
          </cell>
          <cell r="C2033" t="str">
            <v>ACCESO CREDITICIO S. A.                 1ND</v>
          </cell>
        </row>
        <row r="2034">
          <cell r="B2034" t="str">
            <v>14010918020514</v>
          </cell>
          <cell r="C2034" t="str">
            <v>ALTERNATIVA S. A.                       1ND</v>
          </cell>
        </row>
        <row r="2035">
          <cell r="B2035" t="str">
            <v>14010918020515</v>
          </cell>
          <cell r="C2035" t="str">
            <v>PRONEGOCIOS S. A.                       1ND</v>
          </cell>
        </row>
        <row r="2036">
          <cell r="B2036" t="str">
            <v>14010918020516</v>
          </cell>
          <cell r="C2036" t="str">
            <v>MICASITA S. A.                          1ND</v>
          </cell>
        </row>
        <row r="2037">
          <cell r="B2037" t="str">
            <v>14010918020517</v>
          </cell>
          <cell r="C2037" t="str">
            <v>CREDIJET DEL PERU S. A.                 1ND</v>
          </cell>
        </row>
        <row r="2038">
          <cell r="B2038" t="str">
            <v>14010918020599</v>
          </cell>
          <cell r="C2038" t="str">
            <v>EDPYMES EN LIQUIDACIÃ“N                 1ND</v>
          </cell>
        </row>
        <row r="2039">
          <cell r="B2039" t="str">
            <v>14010918020710</v>
          </cell>
          <cell r="C2039" t="str">
            <v>LEASING TOTAL S. A.                     1ND</v>
          </cell>
        </row>
        <row r="2040">
          <cell r="B2040" t="str">
            <v>14010918020711</v>
          </cell>
          <cell r="C2040" t="str">
            <v>MITSUI - MASA LEASING S. A.             1ND</v>
          </cell>
        </row>
        <row r="2041">
          <cell r="B2041" t="str">
            <v>14010918020799</v>
          </cell>
          <cell r="C2041" t="str">
            <v>LEASING EN LIQUIDACIÃ“N                 1ND</v>
          </cell>
        </row>
        <row r="2042">
          <cell r="B2042" t="str">
            <v>14010918020801</v>
          </cell>
          <cell r="C2042" t="str">
            <v>FONDO DE GARANTÃA PARA PRSTAMOS A LA PE1ND</v>
          </cell>
        </row>
        <row r="2043">
          <cell r="B2043" t="str">
            <v>14010918021301</v>
          </cell>
          <cell r="C2043" t="str">
            <v>LA FIDUCIARIA S. A.                     1ND</v>
          </cell>
        </row>
        <row r="2044">
          <cell r="B2044" t="str">
            <v>14010918021302</v>
          </cell>
          <cell r="C2044" t="str">
            <v>FIDUCIARIA GBC S. A.                    1ND</v>
          </cell>
        </row>
        <row r="2045">
          <cell r="B2045" t="str">
            <v>14010918021401</v>
          </cell>
          <cell r="C2045" t="str">
            <v>FONDO MIVIVIENDA S. A.                  1ND</v>
          </cell>
        </row>
        <row r="2046">
          <cell r="B2046" t="str">
            <v>14010918021501</v>
          </cell>
          <cell r="C2046" t="str">
            <v>AMRICA FACTORING S. A.                  1ND</v>
          </cell>
        </row>
        <row r="2047">
          <cell r="B2047" t="str">
            <v>14010918021601</v>
          </cell>
          <cell r="C2047" t="str">
            <v>INCASA S. A.                            1ND</v>
          </cell>
        </row>
        <row r="2048">
          <cell r="B2048" t="str">
            <v>14010918021701</v>
          </cell>
          <cell r="C2048" t="str">
            <v>BANCOS DEL EXTERIOR                     1ND</v>
          </cell>
        </row>
        <row r="2049">
          <cell r="B2049" t="str">
            <v>14010918021702</v>
          </cell>
          <cell r="C2049" t="str">
            <v>OTRAS EMPRESAS DEL SISTEMA FINANCIERO DE1ND</v>
          </cell>
        </row>
        <row r="2050">
          <cell r="B2050" t="str">
            <v>14010999010103</v>
          </cell>
          <cell r="C2050" t="str">
            <v>IM CAJ.MUN. AHORROS Y CRÃ‰DITOS ICA CESF1ND</v>
          </cell>
        </row>
        <row r="2051">
          <cell r="B2051" t="str">
            <v>14010999010104</v>
          </cell>
          <cell r="C2051" t="str">
            <v>IM CAJ.MUN.AHORRO CREDTACNA S.A. CESF   1ND</v>
          </cell>
        </row>
        <row r="2052">
          <cell r="B2052" t="str">
            <v>14010999010105</v>
          </cell>
          <cell r="C2052" t="str">
            <v>IM BANCO CONTINENTAL CESF               1ND</v>
          </cell>
        </row>
        <row r="2053">
          <cell r="B2053" t="str">
            <v>14010999010106</v>
          </cell>
          <cell r="C2053" t="str">
            <v>IM CAJ.MUN. AHORROS Y CRÃ‰DITOS ICA CESF1ND</v>
          </cell>
        </row>
        <row r="2054">
          <cell r="B2054" t="str">
            <v>14010999010107</v>
          </cell>
          <cell r="C2054" t="str">
            <v>COOP.SERV.MULT.TRAB.SECTOR SALUD LTDA CE1ND</v>
          </cell>
        </row>
        <row r="2055">
          <cell r="B2055" t="str">
            <v>14010999010108</v>
          </cell>
          <cell r="C2055" t="str">
            <v>BANCO DE CREDITO DEL PERU CESF          1ND</v>
          </cell>
        </row>
        <row r="2056">
          <cell r="B2056" t="str">
            <v>14010999010109</v>
          </cell>
          <cell r="C2056" t="str">
            <v>IM SOBREGIRO CTA CTE PJ FINANCIERA EFECT1ND</v>
          </cell>
        </row>
        <row r="2057">
          <cell r="B2057" t="str">
            <v>14010999010110</v>
          </cell>
          <cell r="C2057" t="str">
            <v>IM SCOTIABANK PERU                      1ND</v>
          </cell>
        </row>
        <row r="2058">
          <cell r="B2058" t="str">
            <v>14010999010301</v>
          </cell>
          <cell r="C2058" t="str">
            <v>BANCO DE CREDITO DEL PERU CESF          1ND</v>
          </cell>
        </row>
        <row r="2059">
          <cell r="B2059" t="str">
            <v>14010999010401</v>
          </cell>
          <cell r="C2059" t="str">
            <v>TC VISA COMPRA REV IBK VIG CESF         1ND</v>
          </cell>
        </row>
        <row r="2060">
          <cell r="B2060" t="str">
            <v>14010999010402</v>
          </cell>
          <cell r="C2060" t="str">
            <v>TC VISA D/E REV IBK VIG CESF            1ND</v>
          </cell>
        </row>
        <row r="2061">
          <cell r="B2061" t="str">
            <v>14010999010403</v>
          </cell>
          <cell r="C2061" t="str">
            <v>TC VISA  REV. COMPRAS VIG. CESF         1ND</v>
          </cell>
        </row>
        <row r="2062">
          <cell r="B2062" t="str">
            <v>14010999010405</v>
          </cell>
          <cell r="C2062" t="str">
            <v>TC VISA REV MITSUI AUTO FINANCE VIG CESF1ND</v>
          </cell>
        </row>
        <row r="2063">
          <cell r="B2063" t="str">
            <v>14010999010501</v>
          </cell>
          <cell r="C2063" t="str">
            <v>IM SCOTIABANK PERU                      1ND</v>
          </cell>
        </row>
        <row r="2064">
          <cell r="B2064" t="str">
            <v>14010999010601</v>
          </cell>
          <cell r="C2064" t="str">
            <v>IM BANCO CONTINENTAL CESF               1ND</v>
          </cell>
        </row>
        <row r="2065">
          <cell r="B2065" t="str">
            <v>14010999010901</v>
          </cell>
          <cell r="C2065" t="str">
            <v>BANCO FINANCIERO DEL PERU               1ND</v>
          </cell>
        </row>
        <row r="2066">
          <cell r="B2066" t="str">
            <v>14010999011601</v>
          </cell>
          <cell r="C2066" t="str">
            <v>IM CITIBANK N. A.                       1ND</v>
          </cell>
        </row>
        <row r="2067">
          <cell r="B2067" t="str">
            <v>14010999012101</v>
          </cell>
          <cell r="C2067" t="str">
            <v>BANCO INTERAMERICANO DE FINANZAS        1ND</v>
          </cell>
        </row>
        <row r="2068">
          <cell r="B2068" t="str">
            <v>14010999012102</v>
          </cell>
          <cell r="C2068" t="str">
            <v>BANCO INTERAMERICANO DE FINANZAS        1ND</v>
          </cell>
        </row>
        <row r="2069">
          <cell r="B2069" t="str">
            <v>14010999012110</v>
          </cell>
          <cell r="C2069" t="str">
            <v>CL EX FACTORING FORFAIT                 1ND</v>
          </cell>
        </row>
        <row r="2070">
          <cell r="B2070" t="str">
            <v>14010999013501</v>
          </cell>
          <cell r="C2070" t="str">
            <v>IM COLOCACION VIGENTE CTA CTE BANCO RIPL1ND</v>
          </cell>
        </row>
        <row r="2071">
          <cell r="B2071" t="str">
            <v>14010999014301</v>
          </cell>
          <cell r="C2071" t="str">
            <v>SANTANDER CONSUMER BANK S.A.            1 D</v>
          </cell>
        </row>
        <row r="2072">
          <cell r="B2072" t="str">
            <v>14010999019901</v>
          </cell>
          <cell r="C2072" t="str">
            <v>BANCOS EN LIQUIDACIÃ“N                  1ND</v>
          </cell>
        </row>
        <row r="2073">
          <cell r="B2073" t="str">
            <v>14010999021001</v>
          </cell>
          <cell r="C2073" t="str">
            <v>CREDISCOTIA FINANCIERA S.A.             1ND</v>
          </cell>
        </row>
        <row r="2074">
          <cell r="B2074" t="str">
            <v>14010999021101</v>
          </cell>
          <cell r="C2074" t="str">
            <v>IM  VIG CTA CTE CESF CREDISCOTIA FINANCI1ND</v>
          </cell>
        </row>
        <row r="2075">
          <cell r="B2075" t="str">
            <v>14010999021301</v>
          </cell>
          <cell r="C2075" t="str">
            <v>TC MC REV.DISP.EFE FINANCIERA UNIVERSAL 1ND</v>
          </cell>
        </row>
        <row r="2076">
          <cell r="B2076" t="str">
            <v>14010999021302</v>
          </cell>
          <cell r="C2076" t="str">
            <v>TC VISA REV.COMPRAS FINANCIERA UNIVERSAL1ND</v>
          </cell>
        </row>
        <row r="2077">
          <cell r="B2077" t="str">
            <v>14010999021401</v>
          </cell>
          <cell r="C2077" t="str">
            <v>TC MC REV.DISP.EFE FINANCIERA UNO VIG CE1ND</v>
          </cell>
        </row>
        <row r="2078">
          <cell r="B2078" t="str">
            <v>14010999021402</v>
          </cell>
          <cell r="C2078" t="str">
            <v>TC VISA REV.COMPRAS FINANCIERA UNO VIG. 1ND</v>
          </cell>
        </row>
        <row r="2079">
          <cell r="B2079" t="str">
            <v>14010999021501</v>
          </cell>
          <cell r="C2079" t="str">
            <v>PR Forfaiting ExportaciÃ³n Vig CESF     1ND</v>
          </cell>
        </row>
        <row r="2080">
          <cell r="B2080" t="str">
            <v>14010999022001</v>
          </cell>
          <cell r="C2080" t="str">
            <v>$IM AVAN VIG SANTANDER FINANCIAMIENTOS  1ND</v>
          </cell>
        </row>
        <row r="2081">
          <cell r="B2081" t="str">
            <v>14010999022002</v>
          </cell>
          <cell r="C2081" t="str">
            <v>$IM SOBREGIRO VIG SANTANDER FINANCIAMIEN1ND</v>
          </cell>
        </row>
        <row r="2082">
          <cell r="B2082" t="str">
            <v>14010999030101</v>
          </cell>
          <cell r="C2082" t="str">
            <v>GARANTIA LEASEBACK BIENES INMUEBLES     1ND</v>
          </cell>
        </row>
        <row r="2083">
          <cell r="B2083" t="str">
            <v>14010999030102</v>
          </cell>
          <cell r="C2083" t="str">
            <v>IM COLOC VIG CTA CTE CESF CMAC SULLAN   1ND</v>
          </cell>
        </row>
        <row r="2084">
          <cell r="B2084" t="str">
            <v>14010999031201</v>
          </cell>
          <cell r="C2084" t="str">
            <v>IM COLOC VIG CTA CTE CESF CMAC TACNA    1ND</v>
          </cell>
        </row>
        <row r="2085">
          <cell r="B2085" t="str">
            <v>14010999051201</v>
          </cell>
          <cell r="C2085" t="str">
            <v>TC VISA REV.DISP.EFE EDPYME ACCESO CREDI1ND</v>
          </cell>
        </row>
        <row r="2086">
          <cell r="B2086" t="str">
            <v>14010999051202</v>
          </cell>
          <cell r="C2086" t="str">
            <v>TC VISA REV.COMPRAS EDPYME ACCESO CREDIT1ND</v>
          </cell>
        </row>
        <row r="2087">
          <cell r="B2087" t="str">
            <v>14010999052101</v>
          </cell>
          <cell r="C2087" t="str">
            <v>LPC EDPYME SANTANDER                    1ND</v>
          </cell>
        </row>
        <row r="2088">
          <cell r="B2088" t="str">
            <v>14010999130101</v>
          </cell>
          <cell r="C2088" t="str">
            <v>LPC LS LA FIDUCIARIA INT DIF PDL CESF   1ND</v>
          </cell>
        </row>
        <row r="2089">
          <cell r="B2089" t="str">
            <v>14010999130102</v>
          </cell>
          <cell r="C2089" t="str">
            <v>LPC LS LA FIDUC SEGUROS INT DIF PDS CESF1ND</v>
          </cell>
        </row>
        <row r="2090">
          <cell r="B2090" t="str">
            <v>14010999130103</v>
          </cell>
          <cell r="C2090" t="str">
            <v>LPC LS LA FIDUCIARIA SEGUROS PSG CESF   1ND</v>
          </cell>
        </row>
        <row r="2091">
          <cell r="B2091" t="str">
            <v>14010999130104</v>
          </cell>
          <cell r="C2091" t="str">
            <v>LPC LEASING LA FIDUCIARIA IGV PIG CESF  1ND</v>
          </cell>
        </row>
        <row r="2092">
          <cell r="B2092" t="str">
            <v>14010999130105</v>
          </cell>
          <cell r="C2092" t="str">
            <v>LPC LEASING LA FIDUCIARIA PRI CESF      1ND</v>
          </cell>
        </row>
        <row r="2093">
          <cell r="B2093" t="str">
            <v>14010999130106</v>
          </cell>
          <cell r="C2093" t="str">
            <v>LPC LS LA FIDUCIARIA D/P INT DIF PDL CES1ND</v>
          </cell>
        </row>
        <row r="2094">
          <cell r="B2094" t="str">
            <v>14010999130107</v>
          </cell>
          <cell r="C2094" t="str">
            <v>LPC LS LA FIDUC D/P SEG INT DIF PDS CESF1ND</v>
          </cell>
        </row>
        <row r="2095">
          <cell r="B2095" t="str">
            <v>14010999130108</v>
          </cell>
          <cell r="C2095" t="str">
            <v>LPC LS LA FIDUC D/P SEG PSG CESF        1ND</v>
          </cell>
        </row>
        <row r="2096">
          <cell r="B2096" t="str">
            <v>14010999130109</v>
          </cell>
          <cell r="C2096" t="str">
            <v>LPC LS LA FIDUCIARIA D/P IGV PIG CESF   1ND</v>
          </cell>
        </row>
        <row r="2097">
          <cell r="B2097" t="str">
            <v>14010999130110</v>
          </cell>
          <cell r="C2097" t="str">
            <v>LPC LS LA FIDUCIARIA D/P PRI CESF       1ND</v>
          </cell>
        </row>
        <row r="2098">
          <cell r="B2098" t="str">
            <v>14010999170101</v>
          </cell>
          <cell r="C2098" t="str">
            <v>LPC FACT INTER BRITISH ARAB COMMERCIAL B1ND</v>
          </cell>
        </row>
        <row r="2099">
          <cell r="B2099" t="str">
            <v>14010999170102</v>
          </cell>
          <cell r="C2099" t="str">
            <v>LPC PAGARE FORFAITING CESF              1ND</v>
          </cell>
        </row>
        <row r="2100">
          <cell r="B2100" t="str">
            <v>14010999170201</v>
          </cell>
          <cell r="C2100" t="str">
            <v>PR FACT INTERN VIG CESF                 1ND</v>
          </cell>
        </row>
        <row r="2101">
          <cell r="B2101" t="str">
            <v>14010999170202</v>
          </cell>
          <cell r="C2101" t="str">
            <v>OTRAS EMPRESAS DEL SIST. FINAN. EXTERIOR1ND</v>
          </cell>
        </row>
        <row r="2102">
          <cell r="B2102" t="str">
            <v>14010999170203</v>
          </cell>
          <cell r="C2102" t="str">
            <v>PR  CONFIRMING INTER VIG CESF           1ND</v>
          </cell>
        </row>
        <row r="2103">
          <cell r="B2103" t="str">
            <v>14010999170204</v>
          </cell>
          <cell r="C2103" t="str">
            <v>FCD FACT INTER EXPO VIG NORM CESF       1ND</v>
          </cell>
        </row>
        <row r="2104">
          <cell r="B2104" t="str">
            <v>14010999170205</v>
          </cell>
          <cell r="C2104" t="str">
            <v>FCD  FORFAITING EXPO VIG NORM CESF      1ND</v>
          </cell>
        </row>
        <row r="2105">
          <cell r="B2105" t="str">
            <v>14010999170206</v>
          </cell>
          <cell r="C2105" t="str">
            <v>FCD FACT INTER EXPO VIG DUPE CESF       1ND</v>
          </cell>
        </row>
        <row r="2106">
          <cell r="B2106" t="str">
            <v>14010999170207</v>
          </cell>
          <cell r="C2106" t="str">
            <v>FCD  FORFAITING EXPO VIG DUPE CESF      1ND</v>
          </cell>
        </row>
        <row r="2107">
          <cell r="B2107" t="str">
            <v>14010999170208</v>
          </cell>
          <cell r="C2107" t="str">
            <v>FCD CONFIRMING INTERNACIONALVIG NORM CES1ND</v>
          </cell>
        </row>
        <row r="2108">
          <cell r="B2108" t="str">
            <v>14010999170209</v>
          </cell>
          <cell r="C2108" t="str">
            <v>FCD CONFIRMING INTERNACIONAL VIG DUPE CE1ND</v>
          </cell>
        </row>
        <row r="2109">
          <cell r="B2109" t="str">
            <v>14010999170210</v>
          </cell>
          <cell r="C2109" t="str">
            <v>LPC EDPYME SANTANDER                    1ND</v>
          </cell>
        </row>
        <row r="2110">
          <cell r="B2110" t="str">
            <v>14010999170211</v>
          </cell>
          <cell r="C2110" t="str">
            <v>IM SOBREGIRO SANTANDER FINANCIAMIENTOS  1ND</v>
          </cell>
        </row>
        <row r="2111">
          <cell r="B2111" t="str">
            <v>14010999170212</v>
          </cell>
          <cell r="C2111" t="str">
            <v>IM SOGRE/AVAN SANTANDER FINANCIAMIENTOS 1ND</v>
          </cell>
        </row>
        <row r="2112">
          <cell r="B2112" t="str">
            <v>14011001000101</v>
          </cell>
          <cell r="C2112" t="str">
            <v>IM AVANCE CTA CTE PJ CCOR               1ND</v>
          </cell>
        </row>
        <row r="2113">
          <cell r="B2113" t="str">
            <v>14011001000102</v>
          </cell>
          <cell r="C2113" t="str">
            <v>IM AVANCE CTA CTE PJ S/F CCOR           1ND</v>
          </cell>
        </row>
        <row r="2114">
          <cell r="B2114" t="str">
            <v>14011001000103</v>
          </cell>
          <cell r="C2114" t="str">
            <v>LPC AVANCE EN CUENTA NORM CCOR          1ND</v>
          </cell>
        </row>
        <row r="2115">
          <cell r="B2115" t="str">
            <v>14011001000104</v>
          </cell>
          <cell r="C2115" t="str">
            <v>LPC AVANCE EN CUENTA  DUPE CCOR         1ND</v>
          </cell>
        </row>
        <row r="2116">
          <cell r="B2116" t="str">
            <v>14011001000105</v>
          </cell>
          <cell r="C2116" t="str">
            <v>IM AVANCE CTA CTE PJ CCOR               1ND</v>
          </cell>
        </row>
        <row r="2117">
          <cell r="B2117" t="str">
            <v>14011002010101</v>
          </cell>
          <cell r="C2117" t="str">
            <v>TC VISA COMERC COLOC.DISP.EFECT. CCOR   1ND</v>
          </cell>
        </row>
        <row r="2118">
          <cell r="B2118" t="str">
            <v>14011002010102</v>
          </cell>
          <cell r="C2118" t="str">
            <v>TC MC COMERC. COLOC. DISP. CCOR         1ND</v>
          </cell>
        </row>
        <row r="2119">
          <cell r="B2119" t="str">
            <v>14011002010103</v>
          </cell>
          <cell r="C2119" t="str">
            <v>TC AMEX COMERC COLOC.DISP.EFECT. CCOR   1ND</v>
          </cell>
        </row>
        <row r="2120">
          <cell r="B2120" t="str">
            <v>14011002010104</v>
          </cell>
          <cell r="C2120" t="str">
            <v>TC VEA COMERC. COLOC. DISP. CCOR        1ND</v>
          </cell>
        </row>
        <row r="2121">
          <cell r="B2121" t="str">
            <v>14011002010105</v>
          </cell>
          <cell r="C2121" t="str">
            <v>TC AMEX D/E CUOTAS VIG CCOR             1ND</v>
          </cell>
        </row>
        <row r="2122">
          <cell r="B2122" t="str">
            <v>14011002010106</v>
          </cell>
          <cell r="C2122" t="str">
            <v>TC AMEX D/E REV VIG CCOR                1ND</v>
          </cell>
        </row>
        <row r="2123">
          <cell r="B2123" t="str">
            <v>14011002010107</v>
          </cell>
          <cell r="C2123" t="str">
            <v>TC MC D/E CUOTAS VIG CCOR               1ND</v>
          </cell>
        </row>
        <row r="2124">
          <cell r="B2124" t="str">
            <v>14011002010108</v>
          </cell>
          <cell r="C2124" t="str">
            <v>TC MC D/E REV VIG CCOR                  1ND</v>
          </cell>
        </row>
        <row r="2125">
          <cell r="B2125" t="str">
            <v>14011002010109</v>
          </cell>
          <cell r="C2125" t="str">
            <v>TC VISA D/E CUOTAS VIG CCOR             1ND</v>
          </cell>
        </row>
        <row r="2126">
          <cell r="B2126" t="str">
            <v>14011002010110</v>
          </cell>
          <cell r="C2126" t="str">
            <v>TC VISA D/E REV VIG CCOR                1ND</v>
          </cell>
        </row>
        <row r="2127">
          <cell r="B2127" t="str">
            <v>14011002020101</v>
          </cell>
          <cell r="C2127" t="str">
            <v>TC VISA COMERC COLOC.COMPRA CCOR        1ND</v>
          </cell>
        </row>
        <row r="2128">
          <cell r="B2128" t="str">
            <v>14011002020102</v>
          </cell>
          <cell r="C2128" t="str">
            <v>TC MC COMERCIAL. COLOC. COMPRA CCOR.    1ND</v>
          </cell>
        </row>
        <row r="2129">
          <cell r="B2129" t="str">
            <v>14011002020103</v>
          </cell>
          <cell r="C2129" t="str">
            <v>TC AMEX COMERC COLOC.COMPRA CCOR        1ND</v>
          </cell>
        </row>
        <row r="2130">
          <cell r="B2130" t="str">
            <v>14011002020104</v>
          </cell>
          <cell r="C2130" t="str">
            <v>TC VEA COMERCIAL. COLOC. COMPRA CCOR.   1ND</v>
          </cell>
        </row>
        <row r="2131">
          <cell r="B2131" t="str">
            <v>14011002020105</v>
          </cell>
          <cell r="C2131" t="str">
            <v>TC AMEX COMPRA CUOTAS VIG CCOR          1ND</v>
          </cell>
        </row>
        <row r="2132">
          <cell r="B2132" t="str">
            <v>14011002020106</v>
          </cell>
          <cell r="C2132" t="str">
            <v>TC AMEX COMPRA REV VIG CCOR             1ND</v>
          </cell>
        </row>
        <row r="2133">
          <cell r="B2133" t="str">
            <v>14011002020107</v>
          </cell>
          <cell r="C2133" t="str">
            <v>TC MC COMPRA CUOTAS VIG CCOR            1ND</v>
          </cell>
        </row>
        <row r="2134">
          <cell r="B2134" t="str">
            <v>14011002020108</v>
          </cell>
          <cell r="C2134" t="str">
            <v>TC MC COMPRA REV VIG CCOR               1ND</v>
          </cell>
        </row>
        <row r="2135">
          <cell r="B2135" t="str">
            <v>14011002020109</v>
          </cell>
          <cell r="C2135" t="str">
            <v>TC VISA COMPRA CUOTAS VIG CCOR          1ND</v>
          </cell>
        </row>
        <row r="2136">
          <cell r="B2136" t="str">
            <v>14011002020110</v>
          </cell>
          <cell r="C2136" t="str">
            <v>TC VISA COMPRA REV VIG CCOR             1ND</v>
          </cell>
        </row>
        <row r="2137">
          <cell r="B2137" t="str">
            <v>14011002090101</v>
          </cell>
          <cell r="C2137" t="str">
            <v>TC AMEX CDEUDA PAR VIG CCOR             1ND</v>
          </cell>
        </row>
        <row r="2138">
          <cell r="B2138" t="str">
            <v>14011002090102</v>
          </cell>
          <cell r="C2138" t="str">
            <v>TC AMEX CDEUDA REV VIG CCOR             1ND</v>
          </cell>
        </row>
        <row r="2139">
          <cell r="B2139" t="str">
            <v>14011002090103</v>
          </cell>
          <cell r="C2139" t="str">
            <v>TC AMEX EXTRACASH VIG CCOR              1ND</v>
          </cell>
        </row>
        <row r="2140">
          <cell r="B2140" t="str">
            <v>14011002090104</v>
          </cell>
          <cell r="C2140" t="str">
            <v>TC AMEX REPROG PAR VIG CCOR             1ND</v>
          </cell>
        </row>
        <row r="2141">
          <cell r="B2141" t="str">
            <v>14011002090105</v>
          </cell>
          <cell r="C2141" t="str">
            <v>TC AMEX REPROG REV VIG CCOR             1ND</v>
          </cell>
        </row>
        <row r="2142">
          <cell r="B2142" t="str">
            <v>14011002090106</v>
          </cell>
          <cell r="C2142" t="str">
            <v>TC MC CDEUDA PAR VIG CCOR               1ND</v>
          </cell>
        </row>
        <row r="2143">
          <cell r="B2143" t="str">
            <v>14011002090107</v>
          </cell>
          <cell r="C2143" t="str">
            <v>TC MC CDEUDA REV VIG CCOR               1ND</v>
          </cell>
        </row>
        <row r="2144">
          <cell r="B2144" t="str">
            <v>14011002090108</v>
          </cell>
          <cell r="C2144" t="str">
            <v>TC MC EXTRACASH VIG CCOR                1ND</v>
          </cell>
        </row>
        <row r="2145">
          <cell r="B2145" t="str">
            <v>14011002090109</v>
          </cell>
          <cell r="C2145" t="str">
            <v>TC MC REPROG PAR VIG CCOR               1ND</v>
          </cell>
        </row>
        <row r="2146">
          <cell r="B2146" t="str">
            <v>14011002090110</v>
          </cell>
          <cell r="C2146" t="str">
            <v>TC MC REPROG REV VIG CCOR               1ND</v>
          </cell>
        </row>
        <row r="2147">
          <cell r="B2147" t="str">
            <v>14011002090111</v>
          </cell>
          <cell r="C2147" t="str">
            <v>TC VISA CDEUDA PAR VIG CCOR             1ND</v>
          </cell>
        </row>
        <row r="2148">
          <cell r="B2148" t="str">
            <v>14011002090112</v>
          </cell>
          <cell r="C2148" t="str">
            <v>TC VISA CDEUDA REV VIG CCOR             1ND</v>
          </cell>
        </row>
        <row r="2149">
          <cell r="B2149" t="str">
            <v>14011002090113</v>
          </cell>
          <cell r="C2149" t="str">
            <v>TC VISA EXTRACASH VIG CCOR              1ND</v>
          </cell>
        </row>
        <row r="2150">
          <cell r="B2150" t="str">
            <v>14011002090114</v>
          </cell>
          <cell r="C2150" t="str">
            <v>TC VISA REPROG PAR VIG CCOR             1ND</v>
          </cell>
        </row>
        <row r="2151">
          <cell r="B2151" t="str">
            <v>14011002090115</v>
          </cell>
          <cell r="C2151" t="str">
            <v>TC VISA REPROG REV VIG CCOR             1ND</v>
          </cell>
        </row>
        <row r="2152">
          <cell r="B2152" t="str">
            <v>14011004000101</v>
          </cell>
          <cell r="C2152" t="str">
            <v>IM SOBREGIRO CTA CTE PJ CCOR            1ND</v>
          </cell>
        </row>
        <row r="2153">
          <cell r="B2153" t="str">
            <v>14011004000102</v>
          </cell>
          <cell r="C2153" t="str">
            <v>IM SOBREGIRO CTA CTE PJ S/F CCOR        1ND</v>
          </cell>
        </row>
        <row r="2154">
          <cell r="B2154" t="str">
            <v>14011004000103</v>
          </cell>
          <cell r="C2154" t="str">
            <v>IM SOBRG CTA CTE S/F PJ CCOR            1ND</v>
          </cell>
        </row>
        <row r="2155">
          <cell r="B2155" t="str">
            <v>14011004000104</v>
          </cell>
          <cell r="C2155" t="str">
            <v>IM SOBRG CTA CASTIG S/F PJ CCOR         1ND</v>
          </cell>
        </row>
        <row r="2156">
          <cell r="B2156" t="str">
            <v>14011005010101</v>
          </cell>
          <cell r="C2156" t="str">
            <v>CL PAG DSCTO VIG CCOR                   1ND</v>
          </cell>
        </row>
        <row r="2157">
          <cell r="B2157" t="str">
            <v>14011005010102</v>
          </cell>
          <cell r="C2157" t="str">
            <v>CL PAG.DSCTO D/P VIG CCOR               1ND</v>
          </cell>
        </row>
        <row r="2158">
          <cell r="B2158" t="str">
            <v>14011005010103</v>
          </cell>
          <cell r="C2158" t="str">
            <v>LPC PAG.TSA.DSCTO D/P VIGC CCOR         1ND</v>
          </cell>
        </row>
        <row r="2159">
          <cell r="B2159" t="str">
            <v>14011005010104</v>
          </cell>
          <cell r="C2159" t="str">
            <v>LPC PAG.TSA.DSCTO VIGC CCOR             1ND</v>
          </cell>
        </row>
        <row r="2160">
          <cell r="B2160" t="str">
            <v>14011005020101</v>
          </cell>
          <cell r="C2160" t="str">
            <v>FCD  LETRASÂ  DSCTO CPÂ  CCOR           1ND</v>
          </cell>
        </row>
        <row r="2161">
          <cell r="B2161" t="str">
            <v>14011005020102</v>
          </cell>
          <cell r="C2161" t="str">
            <v>FCD  DSCTO ELECTR SM PERU VIG CCOR      1ND</v>
          </cell>
        </row>
        <row r="2162">
          <cell r="B2162" t="str">
            <v>14011005020103</v>
          </cell>
          <cell r="C2162" t="str">
            <v>PR LETRAS EN DSCTO VIG D/P CORP         1ND</v>
          </cell>
        </row>
        <row r="2163">
          <cell r="B2163" t="str">
            <v>14011005020104</v>
          </cell>
          <cell r="C2163" t="str">
            <v>PR LETRAS T. DESCONTADAÂ  VIGÂ Â  CCOR  1ND</v>
          </cell>
        </row>
        <row r="2164">
          <cell r="B2164" t="str">
            <v>14011005020105</v>
          </cell>
          <cell r="C2164" t="str">
            <v>FCD DSCTO ELECTR VIG DUDOSO CCOR        1ND</v>
          </cell>
        </row>
        <row r="2165">
          <cell r="B2165" t="str">
            <v>14011005020106</v>
          </cell>
          <cell r="C2165" t="str">
            <v>FCD DESC. LET. VIG. CCOR DUPE           1ND</v>
          </cell>
        </row>
        <row r="2166">
          <cell r="B2166" t="str">
            <v>14011005020107</v>
          </cell>
          <cell r="C2166" t="str">
            <v>FCD DESC. FACT. VIG. CCOR DUPE          1ND</v>
          </cell>
        </row>
        <row r="2167">
          <cell r="B2167" t="str">
            <v>14011005020108</v>
          </cell>
          <cell r="C2167" t="str">
            <v>FCD DESC. VIRTUAL VIG. CCOR DUPE        1ND</v>
          </cell>
        </row>
        <row r="2168">
          <cell r="B2168" t="str">
            <v>14011005020109</v>
          </cell>
          <cell r="C2168" t="str">
            <v>FCD DESC. FACT. NEG. VIG. CCOR DUPE     1ND</v>
          </cell>
        </row>
        <row r="2169">
          <cell r="B2169" t="str">
            <v>14011005020110</v>
          </cell>
          <cell r="C2169" t="str">
            <v>FCD DESC. VIRTUAL VIG. CCOR NORMAL      1ND</v>
          </cell>
        </row>
        <row r="2170">
          <cell r="B2170" t="str">
            <v>14011006010101</v>
          </cell>
          <cell r="C2170" t="str">
            <v>LPC PAG TV D/P REVOL VIG CCOR           1ND</v>
          </cell>
        </row>
        <row r="2171">
          <cell r="B2171" t="str">
            <v>14011006010102</v>
          </cell>
          <cell r="C2171" t="str">
            <v>LPC PAG TV RP REVOL CCOR                1ND</v>
          </cell>
        </row>
        <row r="2172">
          <cell r="B2172" t="str">
            <v>14011006010103</v>
          </cell>
          <cell r="C2172" t="str">
            <v>LPC P.TV REC.COFIDE REVOL VIG CCOR      1ND</v>
          </cell>
        </row>
        <row r="2173">
          <cell r="B2173" t="str">
            <v>14011006010104</v>
          </cell>
          <cell r="C2173" t="str">
            <v>LPC PAGARE TV COFIDE D/P CCOR           1ND</v>
          </cell>
        </row>
        <row r="2174">
          <cell r="B2174" t="str">
            <v>14011006010105</v>
          </cell>
          <cell r="C2174" t="str">
            <v>LPC PAG TV RP MED PLAZO REVOL           1ND</v>
          </cell>
        </row>
        <row r="2175">
          <cell r="B2175" t="str">
            <v>14011006010106</v>
          </cell>
          <cell r="C2175" t="str">
            <v>LPC PAG TV RP MED PLAZO REVOL D/P       1ND</v>
          </cell>
        </row>
        <row r="2176">
          <cell r="B2176" t="str">
            <v>14011006010107</v>
          </cell>
          <cell r="C2176" t="str">
            <v>LPC PAG TV INMOBILIARIO REV             1ND</v>
          </cell>
        </row>
        <row r="2177">
          <cell r="B2177" t="str">
            <v>14011006010108</v>
          </cell>
          <cell r="C2177" t="str">
            <v>LPC PAG TV INMOBILIARIO REV D/P         1ND</v>
          </cell>
        </row>
        <row r="2178">
          <cell r="B2178" t="str">
            <v>14011006010109</v>
          </cell>
          <cell r="C2178" t="str">
            <v>LPC PAG TV REVOL EUROS                  1ND</v>
          </cell>
        </row>
        <row r="2179">
          <cell r="B2179" t="str">
            <v>14011006010110</v>
          </cell>
          <cell r="C2179" t="str">
            <v>LPC PAG TV REVOL EUROS D/P              1ND</v>
          </cell>
        </row>
        <row r="2180">
          <cell r="B2180" t="str">
            <v>14011006010111</v>
          </cell>
          <cell r="C2180" t="str">
            <v>LPC PAG DERIVADOS REVOL CCOR            1ND</v>
          </cell>
        </row>
        <row r="2181">
          <cell r="B2181" t="str">
            <v>14011006010112</v>
          </cell>
          <cell r="C2181" t="str">
            <v>LPC PAG DERIVADOS D/P REVOL VIG CCOR    1ND</v>
          </cell>
        </row>
        <row r="2182">
          <cell r="B2182" t="str">
            <v>14011006010113</v>
          </cell>
          <cell r="C2182" t="str">
            <v>LPC PAG REPROGRAMADO VIG NORM CCOR      1ND</v>
          </cell>
        </row>
        <row r="2183">
          <cell r="B2183" t="str">
            <v>14011006010114</v>
          </cell>
          <cell r="C2183" t="str">
            <v>LPC PAG REPROGRAMADO VIG DUPE CCOR      1ND</v>
          </cell>
        </row>
        <row r="2184">
          <cell r="B2184" t="str">
            <v>14011006010115</v>
          </cell>
          <cell r="C2184" t="str">
            <v>LPC PAG.INMOB. REPROG-SUSPENSO VIG CCOR 1ND</v>
          </cell>
        </row>
        <row r="2185">
          <cell r="B2185" t="str">
            <v>14011006010116</v>
          </cell>
          <cell r="C2185" t="str">
            <v>LPC PAG COMERC REPROG-SUSPENSO VIG CCOR 1ND</v>
          </cell>
        </row>
        <row r="2186">
          <cell r="B2186" t="str">
            <v>14011006010117</v>
          </cell>
          <cell r="C2186" t="str">
            <v>LPC PAG.INMOB. REPROG-SUSPENSO VIG CCOR 1ND</v>
          </cell>
        </row>
        <row r="2187">
          <cell r="B2187" t="str">
            <v>14011006010201</v>
          </cell>
          <cell r="C2187" t="str">
            <v>CL PAG. TV D/P REVOL VIG CCOR           1ND</v>
          </cell>
        </row>
        <row r="2188">
          <cell r="B2188" t="str">
            <v>14011006010202</v>
          </cell>
          <cell r="C2188" t="str">
            <v>CL PAG TV REVOLV VIG  CCOR              1ND</v>
          </cell>
        </row>
        <row r="2189">
          <cell r="B2189" t="str">
            <v>14011006010203</v>
          </cell>
          <cell r="C2189" t="str">
            <v>CL PAG.TV NEG.INMOB REVOL VIG CCOR      1ND</v>
          </cell>
        </row>
        <row r="2190">
          <cell r="B2190" t="str">
            <v>14011006010204</v>
          </cell>
          <cell r="C2190" t="str">
            <v>CL P.TV OTROS SUSP.REVOL VIG CCOR       1ND</v>
          </cell>
        </row>
        <row r="2191">
          <cell r="B2191" t="str">
            <v>14011006010205</v>
          </cell>
          <cell r="C2191" t="str">
            <v>CL P.TV REC.COFIDE.REV VIG CCOR         1ND</v>
          </cell>
        </row>
        <row r="2192">
          <cell r="B2192" t="str">
            <v>14011006011012</v>
          </cell>
          <cell r="C2192" t="str">
            <v>LPC MAPFRE PERU CIA DE SEGUROS Y REASEGU1ND</v>
          </cell>
        </row>
        <row r="2193">
          <cell r="B2193" t="str">
            <v>14011006011019</v>
          </cell>
          <cell r="C2193" t="str">
            <v>LPC REACTIVA PERU VIG CCOR\NORM         1ND</v>
          </cell>
        </row>
        <row r="2194">
          <cell r="B2194" t="str">
            <v>14011006011020</v>
          </cell>
          <cell r="C2194" t="str">
            <v>LPC REACTIVA PERU VIG CCOR\DUPE         1ND</v>
          </cell>
        </row>
        <row r="2195">
          <cell r="B2195" t="str">
            <v>14011006011021</v>
          </cell>
          <cell r="C2195" t="str">
            <v>LPC COFIDE FONDOS PERU VIG CCOR\NORM    1ND</v>
          </cell>
        </row>
        <row r="2196">
          <cell r="B2196" t="str">
            <v>14011006011022</v>
          </cell>
          <cell r="C2196" t="str">
            <v>LPC COFIDE FONDOS PERU VIG CCOR\DUPE    1ND</v>
          </cell>
        </row>
        <row r="2197">
          <cell r="B2197" t="str">
            <v>14011006011023</v>
          </cell>
          <cell r="C2197" t="str">
            <v>LPC COFIDE FONDO CRECER VIG CCOR\NORM   1ND</v>
          </cell>
        </row>
        <row r="2198">
          <cell r="B2198" t="str">
            <v>14011006011024</v>
          </cell>
          <cell r="C2198" t="str">
            <v>LPC REACTIVA PERU VIG CCOR\NORM         1ND</v>
          </cell>
        </row>
        <row r="2199">
          <cell r="B2199" t="str">
            <v>14011006011025</v>
          </cell>
          <cell r="C2199" t="str">
            <v>LPC REACTIVA PERU VIG CCOR\DUPE         1ND</v>
          </cell>
        </row>
        <row r="2200">
          <cell r="B2200" t="str">
            <v>14011006011027</v>
          </cell>
          <cell r="C2200" t="str">
            <v>LPC PAG MEDIANO PLAZO COVID-19 CCOR REV 1ND</v>
          </cell>
        </row>
        <row r="2201">
          <cell r="B2201" t="str">
            <v>14011006011028</v>
          </cell>
          <cell r="C2201" t="str">
            <v>LPC REF_FINAN_ESPECIALES_CCOR COVID-19  1ND</v>
          </cell>
        </row>
        <row r="2202">
          <cell r="B2202" t="str">
            <v>14011006011029</v>
          </cell>
          <cell r="C2202" t="str">
            <v>LPC REF_FINAN_ESPECIALES_CCOR COVID-19  1ND</v>
          </cell>
        </row>
        <row r="2203">
          <cell r="B2203" t="str">
            <v>14011006011030</v>
          </cell>
          <cell r="C2203" t="str">
            <v>LPC RP MED PZ PREST VERDE-SOCIAL CCOR VI1 D</v>
          </cell>
        </row>
        <row r="2204">
          <cell r="B2204" t="str">
            <v>14011006011031</v>
          </cell>
          <cell r="C2204" t="str">
            <v>LPC RP MED PZ PREST VERDE-SOCIAL CCOR VI1 D</v>
          </cell>
        </row>
        <row r="2205">
          <cell r="B2205" t="str">
            <v>14011006011032</v>
          </cell>
          <cell r="C2205" t="str">
            <v>LPC RP MED PZ PREST SOSTENIBLE CCOR VIG 1 D</v>
          </cell>
        </row>
        <row r="2206">
          <cell r="B2206" t="str">
            <v>14011006011033</v>
          </cell>
          <cell r="C2206" t="str">
            <v>LPC RP MED PZ PREST SOSTENIBLE CCOR VIG 1 D</v>
          </cell>
        </row>
        <row r="2207">
          <cell r="B2207" t="str">
            <v>14011006011034</v>
          </cell>
          <cell r="C2207" t="str">
            <v>LPC IMPULSO MYPERU CORTO PLAZO VIG REV C1 D</v>
          </cell>
        </row>
        <row r="2208">
          <cell r="B2208" t="str">
            <v>14011006011035</v>
          </cell>
          <cell r="C2208" t="str">
            <v>LPC IMPULSO MYPERU MEDIANO PLAZO VIG REV1 D</v>
          </cell>
        </row>
        <row r="2209">
          <cell r="B2209" t="str">
            <v>14011006011036</v>
          </cell>
          <cell r="C2209" t="str">
            <v>MYP LINEA REVOL REUT.VIG CCOR DUPE      1 D</v>
          </cell>
        </row>
        <row r="2210">
          <cell r="B2210" t="str">
            <v>14011006011037</v>
          </cell>
          <cell r="C2210" t="str">
            <v>MYP LINEA REVOL REUT.VIG CCOR NORM      1 D</v>
          </cell>
        </row>
        <row r="2211">
          <cell r="B2211" t="str">
            <v>14011006011038</v>
          </cell>
          <cell r="C2211" t="str">
            <v>LPC PAG TV INMOBILIARIO REV CCOR        1 D</v>
          </cell>
        </row>
        <row r="2212">
          <cell r="B2212" t="str">
            <v>14011006011039</v>
          </cell>
          <cell r="C2212" t="str">
            <v>LPC PAG PAPERLESS DERIVADOS REVOL CCOR N1ND</v>
          </cell>
        </row>
        <row r="2213">
          <cell r="B2213" t="str">
            <v>14011006011040</v>
          </cell>
          <cell r="C2213" t="str">
            <v>LPC PAG PAPERLESS DERIVADOS REVOL CCOR D1ND</v>
          </cell>
        </row>
        <row r="2214">
          <cell r="B2214" t="str">
            <v>14011006011041</v>
          </cell>
          <cell r="C2214" t="str">
            <v>CCD-BPE LINEA REVOLVENTE_CCOR VIG NORM  1 D</v>
          </cell>
        </row>
        <row r="2215">
          <cell r="B2215" t="str">
            <v>14011006011042</v>
          </cell>
          <cell r="C2215" t="str">
            <v>CCD-BPE LINEA REVOLVENTE_CCOR VIG DUPE  1 D</v>
          </cell>
        </row>
        <row r="2216">
          <cell r="B2216" t="str">
            <v>14011006020100</v>
          </cell>
          <cell r="C2216" t="str">
            <v>LPC PAG TV RP MED PLAZO NO REV          1ND</v>
          </cell>
        </row>
        <row r="2217">
          <cell r="B2217" t="str">
            <v>14011006020101</v>
          </cell>
          <cell r="C2217" t="str">
            <v>LPC PAG DERIVADOS NO REVOL CCOR         1ND</v>
          </cell>
        </row>
        <row r="2218">
          <cell r="B2218" t="str">
            <v>14011006020102</v>
          </cell>
          <cell r="C2218" t="str">
            <v>LPC PAG COMERC REPROG-SUSPENSO VIG CCOR 1ND</v>
          </cell>
        </row>
        <row r="2219">
          <cell r="B2219" t="str">
            <v>14011006020103</v>
          </cell>
          <cell r="C2219" t="str">
            <v>LPC REACTIVA PERU VIG CCOR\NORM         1ND</v>
          </cell>
        </row>
        <row r="2220">
          <cell r="B2220" t="str">
            <v>14011006020104</v>
          </cell>
          <cell r="C2220" t="str">
            <v>LPC PAG TV D/P NO REV VIG CGEM          1ND</v>
          </cell>
        </row>
        <row r="2221">
          <cell r="B2221" t="str">
            <v>14011006020105</v>
          </cell>
          <cell r="C2221" t="str">
            <v>LPC PAG TV RP MED PLAZO NO REV          1ND</v>
          </cell>
        </row>
        <row r="2222">
          <cell r="B2222" t="str">
            <v>14011006020106</v>
          </cell>
          <cell r="C2222" t="str">
            <v>LPC PAG DERIVADOS NO REVOL CCOR         1ND</v>
          </cell>
        </row>
        <row r="2223">
          <cell r="B2223" t="str">
            <v>14011006020107</v>
          </cell>
          <cell r="C2223" t="str">
            <v>LPC PAG COMERC REPROG-SUSPENSO VIG CCOR 1ND</v>
          </cell>
        </row>
        <row r="2224">
          <cell r="B2224" t="str">
            <v>14011006020108</v>
          </cell>
          <cell r="C2224" t="str">
            <v>LPC REACTIVA PERU VIG CCOR\NORM         1ND</v>
          </cell>
        </row>
        <row r="2225">
          <cell r="B2225" t="str">
            <v>14011006020109</v>
          </cell>
          <cell r="C2225" t="str">
            <v>LPC PAG TV D/P NO REV VIG CGEM          1ND</v>
          </cell>
        </row>
        <row r="2226">
          <cell r="B2226" t="str">
            <v>14011006020110</v>
          </cell>
          <cell r="C2226" t="str">
            <v>LPC PAG TV D/P NO REV VIG CCOR          1ND</v>
          </cell>
        </row>
        <row r="2227">
          <cell r="B2227" t="str">
            <v>14011006020111</v>
          </cell>
          <cell r="C2227" t="str">
            <v>LPC PAG.INMOB. REPROG-SUSPENSO VIG CCOR 1ND</v>
          </cell>
        </row>
        <row r="2228">
          <cell r="B2228" t="str">
            <v>14011006020112</v>
          </cell>
          <cell r="C2228" t="str">
            <v>LPC PAG.INMOB. REPROG-SUSPENSO VIG CCOR 1ND</v>
          </cell>
        </row>
        <row r="2229">
          <cell r="B2229" t="str">
            <v>14011006020113</v>
          </cell>
          <cell r="C2229" t="str">
            <v>LPC PAG DERIVADOS D/P NO REV VIG CCOR   1 D</v>
          </cell>
        </row>
        <row r="2230">
          <cell r="B2230" t="str">
            <v>14011006020116</v>
          </cell>
          <cell r="C2230" t="str">
            <v>LPC 30K REACTIVA CORTO PLAZO REPROG VIG 1 D</v>
          </cell>
        </row>
        <row r="2231">
          <cell r="B2231" t="str">
            <v>14011006020117</v>
          </cell>
          <cell r="C2231" t="str">
            <v>LPC 30K REACTIVA CORTO PLAZO REPROG VIG 1 D</v>
          </cell>
        </row>
        <row r="2232">
          <cell r="B2232" t="str">
            <v>14011006020118</v>
          </cell>
          <cell r="C2232" t="str">
            <v>LPC REACTIVA PERU VIG CCOR\DUPE         1 D</v>
          </cell>
        </row>
        <row r="2233">
          <cell r="B2233" t="str">
            <v>14011006020121</v>
          </cell>
          <cell r="C2233" t="str">
            <v>LPC REPROG REACTIVA DIFE CCOR VIG       1 D</v>
          </cell>
        </row>
        <row r="2234">
          <cell r="B2234" t="str">
            <v>14011006020122</v>
          </cell>
          <cell r="C2234" t="str">
            <v>LPC REPROG REACTIVA DS.011-2022 CCOR NOR1 D</v>
          </cell>
        </row>
        <row r="2235">
          <cell r="B2235" t="str">
            <v>14011006020123</v>
          </cell>
          <cell r="C2235" t="str">
            <v>LPC REPROG REACTIVA DS.011-2022 CCOR DUP1 D</v>
          </cell>
        </row>
        <row r="2236">
          <cell r="B2236" t="str">
            <v>14011006020124</v>
          </cell>
          <cell r="C2236" t="str">
            <v>LPC RP MED PZ PREST VERDE-SOCIAL CCOR VI1 D</v>
          </cell>
        </row>
        <row r="2237">
          <cell r="B2237" t="str">
            <v>14011006020125</v>
          </cell>
          <cell r="C2237" t="str">
            <v>LPC RP MED PZ PREST VERDE-SOCIAL CCOR VI1 D</v>
          </cell>
        </row>
        <row r="2238">
          <cell r="B2238" t="str">
            <v>14011006020126</v>
          </cell>
          <cell r="C2238" t="str">
            <v>LPC RP MED PZ PREST SOSTENIBLE CCOR VIG 1 D</v>
          </cell>
        </row>
        <row r="2239">
          <cell r="B2239" t="str">
            <v>14011006020127</v>
          </cell>
          <cell r="C2239" t="str">
            <v>LPC RP MED PZ PREST SOSTENIBLE CCOR VIG 1 D</v>
          </cell>
        </row>
        <row r="2240">
          <cell r="B2240" t="str">
            <v>14011006020128</v>
          </cell>
          <cell r="C2240" t="str">
            <v>LPC REPROG REACTIVA 2023 VIG CCOR NORM  1 D</v>
          </cell>
        </row>
        <row r="2241">
          <cell r="B2241" t="str">
            <v>14011006020129</v>
          </cell>
          <cell r="C2241" t="str">
            <v>LPC REPROG REACTIVA 2023 VIG CCOR DUPE  1 D</v>
          </cell>
        </row>
        <row r="2242">
          <cell r="B2242" t="str">
            <v>14011006020130</v>
          </cell>
          <cell r="C2242" t="str">
            <v>LPC IMPULSO MYPERU CORTO PLAZO VIG NREV 1 D</v>
          </cell>
        </row>
        <row r="2243">
          <cell r="B2243" t="str">
            <v>14011006020131</v>
          </cell>
          <cell r="C2243" t="str">
            <v>LPC IMPULSO MYPERU MEDIANO PLAZO VIG NRE1 D</v>
          </cell>
        </row>
        <row r="2244">
          <cell r="B2244" t="str">
            <v>14011006020132</v>
          </cell>
          <cell r="C2244" t="str">
            <v>LPC P.TV REC.COFIDE NO REVOL VIG CCOR   1 D</v>
          </cell>
        </row>
        <row r="2245">
          <cell r="B2245" t="str">
            <v>14011006020133</v>
          </cell>
          <cell r="C2245" t="str">
            <v>MYP PAG.TV REFIN.C/FIJA VIG CCOR        1 D</v>
          </cell>
        </row>
        <row r="2246">
          <cell r="B2246" t="str">
            <v>14011006020134</v>
          </cell>
          <cell r="C2246" t="str">
            <v>MYP DUPE CAP.TRAB.REUT.VIG.CCOR   DUPE  1 D</v>
          </cell>
        </row>
        <row r="2247">
          <cell r="B2247" t="str">
            <v>14011006020135</v>
          </cell>
          <cell r="C2247" t="str">
            <v>MYP CAP.TRAB.REUT.VIG.CCOR NORM         1 D</v>
          </cell>
        </row>
        <row r="2248">
          <cell r="B2248" t="str">
            <v>14011006020136</v>
          </cell>
          <cell r="C2248" t="str">
            <v>MYP CODIFE FONDO CRECER    DUPE         1 D</v>
          </cell>
        </row>
        <row r="2249">
          <cell r="B2249" t="str">
            <v>14011006020137</v>
          </cell>
          <cell r="C2249" t="str">
            <v>MYP CODIFE FONDO CRECER    NORM         1 D</v>
          </cell>
        </row>
        <row r="2250">
          <cell r="B2250" t="str">
            <v>14011006020138</v>
          </cell>
          <cell r="C2250" t="str">
            <v>MYP COFIDE REACTIVA PERU   DUPE         1 D</v>
          </cell>
        </row>
        <row r="2251">
          <cell r="B2251" t="str">
            <v>14011006020139</v>
          </cell>
          <cell r="C2251" t="str">
            <v>MYP COFIDE REACTIVA PERU   NORM         1 D</v>
          </cell>
        </row>
        <row r="2252">
          <cell r="B2252" t="str">
            <v>14011006020140</v>
          </cell>
          <cell r="C2252" t="str">
            <v>MYP REACTIVA REPRO PERU    DUPE         1 D</v>
          </cell>
        </row>
        <row r="2253">
          <cell r="B2253" t="str">
            <v>14011006020141</v>
          </cell>
          <cell r="C2253" t="str">
            <v>MYP REACTIVA REPRO PERU    NORM         1 D</v>
          </cell>
        </row>
        <row r="2254">
          <cell r="B2254" t="str">
            <v>14011006020142</v>
          </cell>
          <cell r="C2254" t="str">
            <v>MYP 30K REACTIVA PERU REPROG 2023    DUP1 D</v>
          </cell>
        </row>
        <row r="2255">
          <cell r="B2255" t="str">
            <v>14011006020143</v>
          </cell>
          <cell r="C2255" t="str">
            <v>MYP 30K REACTIVA PERU REPROG 2023    NOR1 D</v>
          </cell>
        </row>
        <row r="2256">
          <cell r="B2256" t="str">
            <v>14011006020144</v>
          </cell>
          <cell r="C2256" t="str">
            <v>MYP CAPITAL DE TRABAJO CIMA  DUPE       1 D</v>
          </cell>
        </row>
        <row r="2257">
          <cell r="B2257" t="str">
            <v>14011006020145</v>
          </cell>
          <cell r="C2257" t="str">
            <v>MYP CAPITAL DE TRABAJO CIMA  NORM       1 D</v>
          </cell>
        </row>
        <row r="2258">
          <cell r="B2258" t="str">
            <v>14011006020146</v>
          </cell>
          <cell r="C2258" t="str">
            <v>MYP D/P CAP VIG CAP.TRAB CCOR    DUPE   1 D</v>
          </cell>
        </row>
        <row r="2259">
          <cell r="B2259" t="str">
            <v>14011006020147</v>
          </cell>
          <cell r="C2259" t="str">
            <v>MYP CAP.VIG CAP. TRAB. NORM CCOR NORM   1 D</v>
          </cell>
        </row>
        <row r="2260">
          <cell r="B2260" t="str">
            <v>14011006020148</v>
          </cell>
          <cell r="C2260" t="str">
            <v>LPC PAG TV INMOBILIARIO NO REV CCOR     1 D</v>
          </cell>
        </row>
        <row r="2261">
          <cell r="B2261" t="str">
            <v>14011006020149</v>
          </cell>
          <cell r="C2261" t="str">
            <v>LPC PAG PAPERLESS DERIVADOS NO REVOL CCO1ND</v>
          </cell>
        </row>
        <row r="2262">
          <cell r="B2262" t="str">
            <v>14011006020150</v>
          </cell>
          <cell r="C2262" t="str">
            <v>LPC PAG PAPERLESS DERIVADOS NO REVOL CCO1ND</v>
          </cell>
        </row>
        <row r="2263">
          <cell r="B2263" t="str">
            <v>14011006020151</v>
          </cell>
          <cell r="C2263" t="str">
            <v>CCD-BPE CAPITAL DE TRABAJO_CCOR VIG DUPE1 D</v>
          </cell>
        </row>
        <row r="2264">
          <cell r="B2264" t="str">
            <v>14011006020152</v>
          </cell>
          <cell r="C2264" t="str">
            <v>CCD-BPE CAPITAL DE TRABAJO_CCOR VIG NORM1 D</v>
          </cell>
        </row>
        <row r="2265">
          <cell r="B2265" t="str">
            <v>14011006090101</v>
          </cell>
          <cell r="C2265" t="str">
            <v>LPC PAG TV D/P NO REV VIG CCOR          1ND</v>
          </cell>
        </row>
        <row r="2266">
          <cell r="B2266" t="str">
            <v>14011006090102</v>
          </cell>
          <cell r="C2266" t="str">
            <v>LPC PAG TV RP NO REVOL CCOR             1ND</v>
          </cell>
        </row>
        <row r="2267">
          <cell r="B2267" t="str">
            <v>14011006090103</v>
          </cell>
          <cell r="C2267" t="str">
            <v>LPC P.TV REC.COFIDE NO REVOL VIG CCOR   1ND</v>
          </cell>
        </row>
        <row r="2268">
          <cell r="B2268" t="str">
            <v>14011006090104</v>
          </cell>
          <cell r="C2268" t="str">
            <v>LPC PAGARE TV COFIDE D/P CCOR           1ND</v>
          </cell>
        </row>
        <row r="2269">
          <cell r="B2269" t="str">
            <v>14011006090105</v>
          </cell>
          <cell r="C2269" t="str">
            <v>LPC PAG TV RP MED PLAZO NO REV          1ND</v>
          </cell>
        </row>
        <row r="2270">
          <cell r="B2270" t="str">
            <v>14011006090106</v>
          </cell>
          <cell r="C2270" t="str">
            <v>LPC PAG TV RP MED PLAZO NO REV D/P      1ND</v>
          </cell>
        </row>
        <row r="2271">
          <cell r="B2271" t="str">
            <v>14011006090107</v>
          </cell>
          <cell r="C2271" t="str">
            <v>LPC PAG TV INMOBILIARIO NO REV          1ND</v>
          </cell>
        </row>
        <row r="2272">
          <cell r="B2272" t="str">
            <v>14011006090108</v>
          </cell>
          <cell r="C2272" t="str">
            <v>LPC PAG TV INMOBILIARIO NO REV D/P      1ND</v>
          </cell>
        </row>
        <row r="2273">
          <cell r="B2273" t="str">
            <v>14011006090109</v>
          </cell>
          <cell r="C2273" t="str">
            <v>LPC PAG TV NO REVOL EUROS               1ND</v>
          </cell>
        </row>
        <row r="2274">
          <cell r="B2274" t="str">
            <v>14011006090110</v>
          </cell>
          <cell r="C2274" t="str">
            <v>LPC PAG TV NO REVOL EUROS D/P           1ND</v>
          </cell>
        </row>
        <row r="2275">
          <cell r="B2275" t="str">
            <v>14011006090111</v>
          </cell>
          <cell r="C2275" t="str">
            <v>LPC PAG DERIVADOS NO REVOL CCOR         1ND</v>
          </cell>
        </row>
        <row r="2276">
          <cell r="B2276" t="str">
            <v>14011006090112</v>
          </cell>
          <cell r="C2276" t="str">
            <v>LPC PAG DERIVADOS D/P NO REV VIG CCOR   1ND</v>
          </cell>
        </row>
        <row r="2277">
          <cell r="B2277" t="str">
            <v>14011006090113</v>
          </cell>
          <cell r="C2277" t="str">
            <v>LPC PAG REPROGRAMADO NO REV CCOR        1ND</v>
          </cell>
        </row>
        <row r="2278">
          <cell r="B2278" t="str">
            <v>14011006090114</v>
          </cell>
          <cell r="C2278" t="str">
            <v>LPC PAG REPROGRAMADO NO REVOL VIG D/P CC1ND</v>
          </cell>
        </row>
        <row r="2279">
          <cell r="B2279" t="str">
            <v>14011006090115</v>
          </cell>
          <cell r="C2279" t="str">
            <v>LPC PAG.INMOB. REPROG-SUSPENSO VIG CCOR 1ND</v>
          </cell>
        </row>
        <row r="2280">
          <cell r="B2280" t="str">
            <v>14011006090116</v>
          </cell>
          <cell r="C2280" t="str">
            <v>LPC PAG COMERC REPROG-SUSPENSO VIG CCOR 1ND</v>
          </cell>
        </row>
        <row r="2281">
          <cell r="B2281" t="str">
            <v>14011006090117</v>
          </cell>
          <cell r="C2281" t="str">
            <v>LPC PAG.INMOB. REPROG-SUSPENSO VIG CCOR 1ND</v>
          </cell>
        </row>
        <row r="2282">
          <cell r="B2282" t="str">
            <v>14011006090201</v>
          </cell>
          <cell r="C2282" t="str">
            <v>CL PAG. TV D/P NO REVOL VIG CCOR        1ND</v>
          </cell>
        </row>
        <row r="2283">
          <cell r="B2283" t="str">
            <v>14011006090202</v>
          </cell>
          <cell r="C2283" t="str">
            <v>CL PAG TV NO REVOLV VIG  CCOR           1ND</v>
          </cell>
        </row>
        <row r="2284">
          <cell r="B2284" t="str">
            <v>14011006090203</v>
          </cell>
          <cell r="C2284" t="str">
            <v>CL PAG.TV NEG.INMOB NO REV VIG CCOR     1ND</v>
          </cell>
        </row>
        <row r="2285">
          <cell r="B2285" t="str">
            <v>14011006090204</v>
          </cell>
          <cell r="C2285" t="str">
            <v>CL P.TV OTROS SUSP.NO REV VIG CCOR      1ND</v>
          </cell>
        </row>
        <row r="2286">
          <cell r="B2286" t="str">
            <v>14011006090205</v>
          </cell>
          <cell r="C2286" t="str">
            <v>CL P.TV REC.COFIDE.  NO REV VIG CCOR    1ND</v>
          </cell>
        </row>
        <row r="2287">
          <cell r="B2287" t="str">
            <v>14011006090206</v>
          </cell>
          <cell r="C2287" t="str">
            <v>CL PAG.DEUD.VTA CARTERA VIG. CCOR       1ND</v>
          </cell>
        </row>
        <row r="2288">
          <cell r="B2288" t="str">
            <v>14011006090213</v>
          </cell>
          <cell r="C2288" t="str">
            <v>LPC REACTIVA PERU VIG CCOR\NORM         1ND</v>
          </cell>
        </row>
        <row r="2289">
          <cell r="B2289" t="str">
            <v>14011006090214</v>
          </cell>
          <cell r="C2289" t="str">
            <v>LPC REACTIVA PERU VIG CCOR\DUPE         1ND</v>
          </cell>
        </row>
        <row r="2290">
          <cell r="B2290" t="str">
            <v>14011006090215</v>
          </cell>
          <cell r="C2290" t="str">
            <v>LPC COFIDE FONDOS PERU VIG CCOR\NORM    1ND</v>
          </cell>
        </row>
        <row r="2291">
          <cell r="B2291" t="str">
            <v>14011006090216</v>
          </cell>
          <cell r="C2291" t="str">
            <v>LPC COFIDE FONDOS PERU VIG CCOR\DUPE    1ND</v>
          </cell>
        </row>
        <row r="2292">
          <cell r="B2292" t="str">
            <v>14011006090217</v>
          </cell>
          <cell r="C2292" t="str">
            <v>LPC COFIDE FONDO CRECER VIG CCOR\NORM   1ND</v>
          </cell>
        </row>
        <row r="2293">
          <cell r="B2293" t="str">
            <v>14011006090218</v>
          </cell>
          <cell r="C2293" t="str">
            <v>LPC REACTIVA PERU VIG CCOR\NORM         1ND</v>
          </cell>
        </row>
        <row r="2294">
          <cell r="B2294" t="str">
            <v>14011006090219</v>
          </cell>
          <cell r="C2294" t="str">
            <v>LPC REACTIVA PERU VIG CCOR\DUPE         1ND</v>
          </cell>
        </row>
        <row r="2295">
          <cell r="B2295" t="str">
            <v>14011006090221</v>
          </cell>
          <cell r="C2295" t="str">
            <v>LPC PAG MEDIANO PLAZO COVID-19 CCOR NO.R1ND</v>
          </cell>
        </row>
        <row r="2296">
          <cell r="B2296" t="str">
            <v>14011006090222</v>
          </cell>
          <cell r="C2296" t="str">
            <v>LPC REF_FINAN_ESPECIALES_CCOR COVID-19  1ND</v>
          </cell>
        </row>
        <row r="2297">
          <cell r="B2297" t="str">
            <v>14011006090223</v>
          </cell>
          <cell r="C2297" t="str">
            <v>LPC REF_FINAN_ESPECIALES_CCOR COVID-19  1ND</v>
          </cell>
        </row>
        <row r="2298">
          <cell r="B2298" t="str">
            <v>14011008000100</v>
          </cell>
          <cell r="C2298" t="str">
            <v>CDO VISA EXTRACASH NO REV VIG CCOR      1ND</v>
          </cell>
        </row>
        <row r="2299">
          <cell r="B2299" t="str">
            <v>14011008000101</v>
          </cell>
          <cell r="C2299" t="str">
            <v>CDO MC EXTRACASH NO REV VIG CCOR        1ND</v>
          </cell>
        </row>
        <row r="2300">
          <cell r="B2300" t="str">
            <v>14011008000102</v>
          </cell>
          <cell r="C2300" t="str">
            <v>CDO AMEX EXTRACASH NO REV VIG CCOR      1ND</v>
          </cell>
        </row>
        <row r="2301">
          <cell r="B2301" t="str">
            <v>14011010000101</v>
          </cell>
          <cell r="C2301" t="str">
            <v>PR LETRAS FACTORING VIG CCOR            1ND</v>
          </cell>
        </row>
        <row r="2302">
          <cell r="B2302" t="str">
            <v>14011010000102</v>
          </cell>
          <cell r="C2302" t="str">
            <v>PR FACT EN FACTORING VIG CCOR           1ND</v>
          </cell>
        </row>
        <row r="2303">
          <cell r="B2303" t="str">
            <v>14011010000103</v>
          </cell>
          <cell r="C2303" t="str">
            <v>FCD  FACT ELECTR LET/FACT VIG CCOR      1ND</v>
          </cell>
        </row>
        <row r="2304">
          <cell r="B2304" t="str">
            <v>14011010000104</v>
          </cell>
          <cell r="C2304" t="str">
            <v>PR FACT INTERN VIG CCOR                 1ND</v>
          </cell>
        </row>
        <row r="2305">
          <cell r="B2305" t="str">
            <v>14011010000105</v>
          </cell>
          <cell r="C2305" t="str">
            <v>PR PERU FACTORING CAP. VIG CCOR         1ND</v>
          </cell>
        </row>
        <row r="2306">
          <cell r="B2306" t="str">
            <v>14011010000106</v>
          </cell>
          <cell r="C2306" t="str">
            <v>PR FORFAITING EXPORTACIÃ“N VIG CCOR     1ND</v>
          </cell>
        </row>
        <row r="2307">
          <cell r="B2307" t="str">
            <v>14011010000107</v>
          </cell>
          <cell r="C2307" t="str">
            <v>FCD FACT INTER EXPO VIG NORM CCOR       1ND</v>
          </cell>
        </row>
        <row r="2308">
          <cell r="B2308" t="str">
            <v>14011010000108</v>
          </cell>
          <cell r="C2308" t="str">
            <v>FCD FORFAITING EXPO VIG NORM CCOR       1ND</v>
          </cell>
        </row>
        <row r="2309">
          <cell r="B2309" t="str">
            <v>14011010000109</v>
          </cell>
          <cell r="C2309" t="str">
            <v>FCD FACT INTER EXPO VIG DUPE CCOR       1ND</v>
          </cell>
        </row>
        <row r="2310">
          <cell r="B2310" t="str">
            <v>14011010000110</v>
          </cell>
          <cell r="C2310" t="str">
            <v>FCD FORFAITING EXPO VIG DUPE CCOR       1ND</v>
          </cell>
        </row>
        <row r="2311">
          <cell r="B2311" t="str">
            <v>14011010000111</v>
          </cell>
          <cell r="C2311" t="str">
            <v>FCD CONFIRMING INTERNACIONALVIG NORM CCO1ND</v>
          </cell>
        </row>
        <row r="2312">
          <cell r="B2312" t="str">
            <v>14011010000112</v>
          </cell>
          <cell r="C2312" t="str">
            <v>FCD CONFIRMING INTERNACIONAL VIG DUPE CC1ND</v>
          </cell>
        </row>
        <row r="2313">
          <cell r="B2313" t="str">
            <v>14011010000113</v>
          </cell>
          <cell r="C2313" t="str">
            <v>FCD FAC. FIS. LET. VIG. CCOR DUPE       1ND</v>
          </cell>
        </row>
        <row r="2314">
          <cell r="B2314" t="str">
            <v>14011010000114</v>
          </cell>
          <cell r="C2314" t="str">
            <v>FCD FAC. FIS. FAC.. VIG. CCOR DUPE      1ND</v>
          </cell>
        </row>
        <row r="2315">
          <cell r="B2315" t="str">
            <v>14011010000201</v>
          </cell>
          <cell r="C2315" t="str">
            <v>CL EX FACTORING FORFAITING VIG CCOR     1ND</v>
          </cell>
        </row>
        <row r="2316">
          <cell r="B2316" t="str">
            <v>14011010000202</v>
          </cell>
          <cell r="C2316" t="str">
            <v>CL  CONFIRMING INTER VIG CCOR           1ND</v>
          </cell>
        </row>
        <row r="2317">
          <cell r="B2317" t="str">
            <v>14011010000301</v>
          </cell>
          <cell r="C2317" t="str">
            <v>FCD FACT ELECTR VIG DUDOSO CCOR         1ND</v>
          </cell>
        </row>
        <row r="2318">
          <cell r="B2318" t="str">
            <v>14011010000302</v>
          </cell>
          <cell r="C2318" t="str">
            <v>FACT INTER IMPORT VIG. CCOR DUPE        1ND</v>
          </cell>
        </row>
        <row r="2319">
          <cell r="B2319" t="str">
            <v>14011010000303</v>
          </cell>
          <cell r="C2319" t="str">
            <v>FACT INTER IMPORT  VIG. CCOR NORMAL     1ND</v>
          </cell>
        </row>
        <row r="2320">
          <cell r="B2320" t="str">
            <v>14011011000101</v>
          </cell>
          <cell r="C2320" t="str">
            <v>LPC LEASING BIEN INT DIFE RP CCOR       1ND</v>
          </cell>
        </row>
        <row r="2321">
          <cell r="B2321" t="str">
            <v>14011011000102</v>
          </cell>
          <cell r="C2321" t="str">
            <v>LPC LEASING SEGUROS INT DIF RP CCOR     1ND</v>
          </cell>
        </row>
        <row r="2322">
          <cell r="B2322" t="str">
            <v>14011011000103</v>
          </cell>
          <cell r="C2322" t="str">
            <v>LPC LEASING SEGUROS RP CCOR             1ND</v>
          </cell>
        </row>
        <row r="2323">
          <cell r="B2323" t="str">
            <v>14011011000104</v>
          </cell>
          <cell r="C2323" t="str">
            <v>LPC LEASING IGV RP CCOR                 1ND</v>
          </cell>
        </row>
        <row r="2324">
          <cell r="B2324" t="str">
            <v>14011011000105</v>
          </cell>
          <cell r="C2324" t="str">
            <v>LPC LEASING DEL BIEN RP CCOR            1ND</v>
          </cell>
        </row>
        <row r="2325">
          <cell r="B2325" t="str">
            <v>14011011000201</v>
          </cell>
          <cell r="C2325" t="str">
            <v>LPC LEAS DEL BIEN D/P INT DIF RP CCOR   1ND</v>
          </cell>
        </row>
        <row r="2326">
          <cell r="B2326" t="str">
            <v>14011011000202</v>
          </cell>
          <cell r="C2326" t="str">
            <v>LPC LEAS D/P SEG INT DIF RP CCOR        1ND</v>
          </cell>
        </row>
        <row r="2327">
          <cell r="B2327" t="str">
            <v>14011011000203</v>
          </cell>
          <cell r="C2327" t="str">
            <v>LPC LEAS D/P SEG RP CCOR                1ND</v>
          </cell>
        </row>
        <row r="2328">
          <cell r="B2328" t="str">
            <v>14011011000204</v>
          </cell>
          <cell r="C2328" t="str">
            <v>LPC LEAS DEL BIEN D/P RP CCOR           1ND</v>
          </cell>
        </row>
        <row r="2329">
          <cell r="B2329" t="str">
            <v>14011011000205</v>
          </cell>
          <cell r="C2329" t="str">
            <v>LPC LEASING D/P IGV RP CCOR             1ND</v>
          </cell>
        </row>
        <row r="2330">
          <cell r="B2330" t="str">
            <v>14011011000301</v>
          </cell>
          <cell r="C2330" t="str">
            <v>LPC LEASING EN PROCESO CCOR             1ND</v>
          </cell>
        </row>
        <row r="2331">
          <cell r="B2331" t="str">
            <v>14011011000302</v>
          </cell>
          <cell r="C2331" t="str">
            <v>LPC CAP DIF LS  BIEN OTROS SUSP RP CCOR 1ND</v>
          </cell>
        </row>
        <row r="2332">
          <cell r="B2332" t="str">
            <v>14011011000303</v>
          </cell>
          <cell r="C2332" t="str">
            <v>LPC CAP DIF SEG.LS OTROS SUSP RP CCOR   1ND</v>
          </cell>
        </row>
        <row r="2333">
          <cell r="B2333" t="str">
            <v>14011011000304</v>
          </cell>
          <cell r="C2333" t="str">
            <v>LPC CIA SEG CAP VIG OTROS SUSP RP CCOR  1ND</v>
          </cell>
        </row>
        <row r="2334">
          <cell r="B2334" t="str">
            <v>14011011000305</v>
          </cell>
          <cell r="C2334" t="str">
            <v>LPC LS DEL BIEN OTROS SUSP RP CCOR      1ND</v>
          </cell>
        </row>
        <row r="2335">
          <cell r="B2335" t="str">
            <v>14011011000306</v>
          </cell>
          <cell r="C2335" t="str">
            <v>LPC CAP LS IGV OTROS SUSP RP CCOR       1ND</v>
          </cell>
        </row>
        <row r="2336">
          <cell r="B2336" t="str">
            <v>14011011000401</v>
          </cell>
          <cell r="C2336" t="str">
            <v>LPC LSG BIEN ADJ. DIFOS RP CCOR         1ND</v>
          </cell>
        </row>
        <row r="2337">
          <cell r="B2337" t="str">
            <v>14011011000402</v>
          </cell>
          <cell r="C2337" t="str">
            <v>LPC LSG SEG. ADJ. DIF RP CCOR           1ND</v>
          </cell>
        </row>
        <row r="2338">
          <cell r="B2338" t="str">
            <v>14011011000403</v>
          </cell>
          <cell r="C2338" t="str">
            <v>LPC LSG ADJ. CIA SEG RP CCOR            1ND</v>
          </cell>
        </row>
        <row r="2339">
          <cell r="B2339" t="str">
            <v>14011011000404</v>
          </cell>
          <cell r="C2339" t="str">
            <v>LPC LSG ADJ. PRIN IGV RP CCOR           1ND</v>
          </cell>
        </row>
        <row r="2340">
          <cell r="B2340" t="str">
            <v>14011011000405</v>
          </cell>
          <cell r="C2340" t="str">
            <v>LPC LSG DEL BIEN ADJ. RP CCOR           1ND</v>
          </cell>
        </row>
        <row r="2341">
          <cell r="B2341" t="str">
            <v>14011011000406</v>
          </cell>
          <cell r="C2341" t="str">
            <v>LPC LSG BIEN ADJ. DIF D/P CCOR          1ND</v>
          </cell>
        </row>
        <row r="2342">
          <cell r="B2342" t="str">
            <v>14011011000407</v>
          </cell>
          <cell r="C2342" t="str">
            <v>LPC LSG SEG. ADJ. DIFOS D/P CCOR        1ND</v>
          </cell>
        </row>
        <row r="2343">
          <cell r="B2343" t="str">
            <v>14011011000408</v>
          </cell>
          <cell r="C2343" t="str">
            <v>LPC LSG D/P CIA SEG ADJ. CCOR           1ND</v>
          </cell>
        </row>
        <row r="2344">
          <cell r="B2344" t="str">
            <v>14011011000409</v>
          </cell>
          <cell r="C2344" t="str">
            <v>LPC LSG BIEN D/P ADJ. CCOR              1ND</v>
          </cell>
        </row>
        <row r="2345">
          <cell r="B2345" t="str">
            <v>14011011000410</v>
          </cell>
          <cell r="C2345" t="str">
            <v>LPC LSG D/P IGV D/P ADJ. CCOR           1ND</v>
          </cell>
        </row>
        <row r="2346">
          <cell r="B2346" t="str">
            <v>14011011000501</v>
          </cell>
          <cell r="C2346" t="str">
            <v>LPC LEASING COFIDE INT DIF PDL CCOR     1ND</v>
          </cell>
        </row>
        <row r="2347">
          <cell r="B2347" t="str">
            <v>14011011000502</v>
          </cell>
          <cell r="C2347" t="str">
            <v>LPC LS COFIDE SEGUROS INT DIF PDS CCOR  1ND</v>
          </cell>
        </row>
        <row r="2348">
          <cell r="B2348" t="str">
            <v>14011011000503</v>
          </cell>
          <cell r="C2348" t="str">
            <v>LPC LEASING COFIDE SEGUROS PSG CCOR     1ND</v>
          </cell>
        </row>
        <row r="2349">
          <cell r="B2349" t="str">
            <v>14011011000504</v>
          </cell>
          <cell r="C2349" t="str">
            <v>LPC LEASING COFIDE IGV PIG CCOR         1ND</v>
          </cell>
        </row>
        <row r="2350">
          <cell r="B2350" t="str">
            <v>14011011000505</v>
          </cell>
          <cell r="C2350" t="str">
            <v>LPC LEASING COFIDE PRI CCOR             1ND</v>
          </cell>
        </row>
        <row r="2351">
          <cell r="B2351" t="str">
            <v>14011011000506</v>
          </cell>
          <cell r="C2351" t="str">
            <v>LPC LS COFIDE D/P INT DIF PDL CCOR      1ND</v>
          </cell>
        </row>
        <row r="2352">
          <cell r="B2352" t="str">
            <v>14011011000507</v>
          </cell>
          <cell r="C2352" t="str">
            <v>LPC LS COFIDE D/P SEG INT DIF PDS CCOR  1ND</v>
          </cell>
        </row>
        <row r="2353">
          <cell r="B2353" t="str">
            <v>14011011000508</v>
          </cell>
          <cell r="C2353" t="str">
            <v>LPC LS COFIDE D/P SEG PSG CCOR          1ND</v>
          </cell>
        </row>
        <row r="2354">
          <cell r="B2354" t="str">
            <v>14011011000509</v>
          </cell>
          <cell r="C2354" t="str">
            <v>LPC LEASING COFIDE D/P IGV PIG CCOR     1ND</v>
          </cell>
        </row>
        <row r="2355">
          <cell r="B2355" t="str">
            <v>14011011000510</v>
          </cell>
          <cell r="C2355" t="str">
            <v>LPC LEASING COFIDE D/P PRI CCOR         1ND</v>
          </cell>
        </row>
        <row r="2356">
          <cell r="B2356" t="str">
            <v>14011011000601</v>
          </cell>
          <cell r="C2356" t="str">
            <v>LPC LEASING DERIVADO D/P IGV RP CCOR    1ND</v>
          </cell>
        </row>
        <row r="2357">
          <cell r="B2357" t="str">
            <v>14011011000602</v>
          </cell>
          <cell r="C2357" t="str">
            <v>LPC LEASING DERIVADO IGV RP CCOR        1ND</v>
          </cell>
        </row>
        <row r="2358">
          <cell r="B2358" t="str">
            <v>14011011000603</v>
          </cell>
          <cell r="C2358" t="str">
            <v>LPC LEASING DERIVADO D/P SEG RP CCOR    1ND</v>
          </cell>
        </row>
        <row r="2359">
          <cell r="B2359" t="str">
            <v>14011011000604</v>
          </cell>
          <cell r="C2359" t="str">
            <v>LPC LEASING DERIVADO DEL BIEN D/P RP CCO1ND</v>
          </cell>
        </row>
        <row r="2360">
          <cell r="B2360" t="str">
            <v>14011011000605</v>
          </cell>
          <cell r="C2360" t="str">
            <v>LPC LEASING DERIVADO DEL BIEN RP CCOR   1ND</v>
          </cell>
        </row>
        <row r="2361">
          <cell r="B2361" t="str">
            <v>14011011000606</v>
          </cell>
          <cell r="C2361" t="str">
            <v>LPC LEASING DERIVADO SEGUROS RP CCOR    1ND</v>
          </cell>
        </row>
        <row r="2362">
          <cell r="B2362" t="str">
            <v>14011012000101</v>
          </cell>
          <cell r="C2362" t="str">
            <v>LPC LEASEBACK DEL BIEN INT DIF RP CCOR  1ND</v>
          </cell>
        </row>
        <row r="2363">
          <cell r="B2363" t="str">
            <v>14011012000102</v>
          </cell>
          <cell r="C2363" t="str">
            <v>LPC LEASEBACK SEG INT DIF RP CCOR       1ND</v>
          </cell>
        </row>
        <row r="2364">
          <cell r="B2364" t="str">
            <v>14011012000103</v>
          </cell>
          <cell r="C2364" t="str">
            <v>LPC LEASEBACK SEGUROS RP CCOR           1ND</v>
          </cell>
        </row>
        <row r="2365">
          <cell r="B2365" t="str">
            <v>14011012000104</v>
          </cell>
          <cell r="C2365" t="str">
            <v>LPC LEASEBACK IGV VIG RP LPC            1ND</v>
          </cell>
        </row>
        <row r="2366">
          <cell r="B2366" t="str">
            <v>14011012000105</v>
          </cell>
          <cell r="C2366" t="str">
            <v>LPC LEASEBACK DEL BIEN RP CCOR          1ND</v>
          </cell>
        </row>
        <row r="2367">
          <cell r="B2367" t="str">
            <v>14011012000201</v>
          </cell>
          <cell r="C2367" t="str">
            <v>LPC LSBACK DEL BIEN D/P INT DIF RP CCOR 1ND</v>
          </cell>
        </row>
        <row r="2368">
          <cell r="B2368" t="str">
            <v>14011012000202</v>
          </cell>
          <cell r="C2368" t="str">
            <v>LPC LSBACK D/P SEG INT DIFERIDOS RP CCOR1ND</v>
          </cell>
        </row>
        <row r="2369">
          <cell r="B2369" t="str">
            <v>14011012000203</v>
          </cell>
          <cell r="C2369" t="str">
            <v>LPC LEASEBACK D/P SEG RP CCOR           1ND</v>
          </cell>
        </row>
        <row r="2370">
          <cell r="B2370" t="str">
            <v>14011012000204</v>
          </cell>
          <cell r="C2370" t="str">
            <v>LPC LSBACK DEL BIEN D/P RP CCOR         1ND</v>
          </cell>
        </row>
        <row r="2371">
          <cell r="B2371" t="str">
            <v>14011012000205</v>
          </cell>
          <cell r="C2371" t="str">
            <v>LPC LSBACK D/P IGV RP CCOR              1ND</v>
          </cell>
        </row>
        <row r="2372">
          <cell r="B2372" t="str">
            <v>14011012000301</v>
          </cell>
          <cell r="C2372" t="str">
            <v>LPC PDL DIF LSB  BIEN OTRO SUSP CCOR    1ND</v>
          </cell>
        </row>
        <row r="2373">
          <cell r="B2373" t="str">
            <v>14011012000302</v>
          </cell>
          <cell r="C2373" t="str">
            <v>LPC CAP DIF SEG.LSB OTROS SUSP CCOR     1ND</v>
          </cell>
        </row>
        <row r="2374">
          <cell r="B2374" t="str">
            <v>14011012000303</v>
          </cell>
          <cell r="C2374" t="str">
            <v>LPC CIA SEG CAP VIG OTROS SUSP CCOR     1ND</v>
          </cell>
        </row>
        <row r="2375">
          <cell r="B2375" t="str">
            <v>14011012000304</v>
          </cell>
          <cell r="C2375" t="str">
            <v>LPC LSB DEL BIEN OTROS SUSP CCOR        1ND</v>
          </cell>
        </row>
        <row r="2376">
          <cell r="B2376" t="str">
            <v>14011012000305</v>
          </cell>
          <cell r="C2376" t="str">
            <v>LPC CAP LSB IGV OTROS SUSPENSO CCOR     1ND</v>
          </cell>
        </row>
        <row r="2377">
          <cell r="B2377" t="str">
            <v>14011021000101</v>
          </cell>
          <cell r="C2377" t="str">
            <v>CL CXL CC ACEPTAC BKT VIG CCOR          1ND</v>
          </cell>
        </row>
        <row r="2378">
          <cell r="B2378" t="str">
            <v>14011021000102</v>
          </cell>
          <cell r="C2378" t="str">
            <v>CL CXL AVAL X ACEPTAC VIG CCOR          1ND</v>
          </cell>
        </row>
        <row r="2379">
          <cell r="B2379" t="str">
            <v>14011021000103</v>
          </cell>
          <cell r="C2379" t="str">
            <v>CL CXL CRED. X LIQUI.CC AVAL VIG CCOR   1ND</v>
          </cell>
        </row>
        <row r="2380">
          <cell r="B2380" t="str">
            <v>14011021000104</v>
          </cell>
          <cell r="C2380" t="str">
            <v>CL CXL.CAR CRED VISTA VIG CCOR          1ND</v>
          </cell>
        </row>
        <row r="2381">
          <cell r="B2381" t="str">
            <v>14011021000105</v>
          </cell>
          <cell r="C2381" t="str">
            <v>CL CXL.STAND BY VIG CCOR                1ND</v>
          </cell>
        </row>
        <row r="2382">
          <cell r="B2382" t="str">
            <v>14011021000106</v>
          </cell>
          <cell r="C2382" t="str">
            <v>CL CXL.COBRA AVALA VIG CORP             1ND</v>
          </cell>
        </row>
        <row r="2383">
          <cell r="B2383" t="str">
            <v>14011021000201</v>
          </cell>
          <cell r="C2383" t="str">
            <v>CL CRED.POR LIQ. CARTA FIANZA VIG CCOR  1ND</v>
          </cell>
        </row>
        <row r="2384">
          <cell r="B2384" t="str">
            <v>14011026000101</v>
          </cell>
          <cell r="C2384" t="str">
            <v>LPC PAG IMPORT.D/P CL CCOR              1ND</v>
          </cell>
        </row>
        <row r="2385">
          <cell r="B2385" t="str">
            <v>14011026000102</v>
          </cell>
          <cell r="C2385" t="str">
            <v>LPC PAG.PRE EX EMB D/P CCOR             1ND</v>
          </cell>
        </row>
        <row r="2386">
          <cell r="B2386" t="str">
            <v>14011026000103</v>
          </cell>
          <cell r="C2386" t="str">
            <v>LPC PAG EXP POST EMB RP D/P CCOR        1ND</v>
          </cell>
        </row>
        <row r="2387">
          <cell r="B2387" t="str">
            <v>14011026000104</v>
          </cell>
          <cell r="C2387" t="str">
            <v>CL EX PRE EMB R.PROPIO CCOR             1ND</v>
          </cell>
        </row>
        <row r="2388">
          <cell r="B2388" t="str">
            <v>14011026000105</v>
          </cell>
          <cell r="C2388" t="str">
            <v>CL EXP.POST EMB R.PROP CCOR             1ND</v>
          </cell>
        </row>
        <row r="2389">
          <cell r="B2389" t="str">
            <v>14011026000106</v>
          </cell>
          <cell r="C2389" t="str">
            <v>CL PAGARE IMPORT CCOR                   1ND</v>
          </cell>
        </row>
        <row r="2390">
          <cell r="B2390" t="str">
            <v>14011026000107</v>
          </cell>
          <cell r="C2390" t="str">
            <v>CL WORK CAP. EX PRE EMB.VIG CCOR        1ND</v>
          </cell>
        </row>
        <row r="2391">
          <cell r="B2391" t="str">
            <v>14011026000108</v>
          </cell>
          <cell r="C2391" t="str">
            <v>LPC FINANC PRE EMBARQUE                 1ND</v>
          </cell>
        </row>
        <row r="2392">
          <cell r="B2392" t="str">
            <v>14011026000109</v>
          </cell>
          <cell r="C2392" t="str">
            <v>LPC FINANC PRE EMBARQUE D/P             1ND</v>
          </cell>
        </row>
        <row r="2393">
          <cell r="B2393" t="str">
            <v>14011026000110</v>
          </cell>
          <cell r="C2393" t="str">
            <v>LPC FINANC PRE EMBARQUE-SEPYMEX CCOR    1ND</v>
          </cell>
        </row>
        <row r="2394">
          <cell r="B2394" t="str">
            <v>14011026000111</v>
          </cell>
          <cell r="C2394" t="str">
            <v>LPC FINANC PRE EMBARQUE D/P-SEPYMEX CCOR1ND</v>
          </cell>
        </row>
        <row r="2395">
          <cell r="B2395" t="str">
            <v>14011026000112</v>
          </cell>
          <cell r="C2395" t="str">
            <v>LPC PRE EMBARQUE FINANC. VIG. NORM CCOR 1ND</v>
          </cell>
        </row>
        <row r="2396">
          <cell r="B2396" t="str">
            <v>14011026000113</v>
          </cell>
          <cell r="C2396" t="str">
            <v>LPC PRE EMBARQUE FINANC. VIG. DUPE CCOR 1ND</v>
          </cell>
        </row>
        <row r="2397">
          <cell r="B2397" t="str">
            <v>14011026000114</v>
          </cell>
          <cell r="C2397" t="str">
            <v>LPC POST EMBARQUE FINANC. VIG. NORM CCOR1ND</v>
          </cell>
        </row>
        <row r="2398">
          <cell r="B2398" t="str">
            <v>14011026000115</v>
          </cell>
          <cell r="C2398" t="str">
            <v>LPC POST EMBARQUE FINANC. VIG. DUPE CCOR1ND</v>
          </cell>
        </row>
        <row r="2399">
          <cell r="B2399" t="str">
            <v>14011026000116</v>
          </cell>
          <cell r="C2399" t="str">
            <v>LPC IMPORT. CARTA CREDITO  FINANC. VIG. 1ND</v>
          </cell>
        </row>
        <row r="2400">
          <cell r="B2400" t="str">
            <v>14011026000117</v>
          </cell>
          <cell r="C2400" t="str">
            <v>LPC IMPORT. CARTA CREDITO  FINANC. VIG. 1ND</v>
          </cell>
        </row>
        <row r="2401">
          <cell r="B2401" t="str">
            <v>14011026000118</v>
          </cell>
          <cell r="C2401" t="str">
            <v>LPC IMPORT.  FINANC. VIG. NORM CCOR     1ND</v>
          </cell>
        </row>
        <row r="2402">
          <cell r="B2402" t="str">
            <v>14011026000119</v>
          </cell>
          <cell r="C2402" t="str">
            <v>LPC IMPORT.  FINANC. VIG. DUPE CCOR     1ND</v>
          </cell>
        </row>
        <row r="2403">
          <cell r="B2403" t="str">
            <v>14011026000120</v>
          </cell>
          <cell r="C2403" t="str">
            <v>LPC PAGARE FORFAITING CCOR              1ND</v>
          </cell>
        </row>
        <row r="2404">
          <cell r="B2404" t="str">
            <v>14011026000121</v>
          </cell>
          <cell r="C2404" t="str">
            <v>LPC PAGARE FORFAITING D/P CCOR          1ND</v>
          </cell>
        </row>
        <row r="2405">
          <cell r="B2405" t="str">
            <v>14011026000201</v>
          </cell>
          <cell r="C2405" t="str">
            <v>CL EX FORFAITING VIG CCOR               1ND</v>
          </cell>
        </row>
        <row r="2406">
          <cell r="B2406" t="str">
            <v>14011026000202</v>
          </cell>
          <cell r="C2406" t="str">
            <v>CL PAG.PRE EX EMBAR. D/P. VIG. CCOR     1ND</v>
          </cell>
        </row>
        <row r="2407">
          <cell r="B2407" t="str">
            <v>14011026000203</v>
          </cell>
          <cell r="C2407" t="str">
            <v>CL PAG.POST. EX EMBAR. D/P. VIG. CCOR   1ND</v>
          </cell>
        </row>
        <row r="2408">
          <cell r="B2408" t="str">
            <v>14011026000204</v>
          </cell>
          <cell r="C2408" t="str">
            <v>CL EX VIG PAG.IMPORTAC.D/P CCOR         1ND</v>
          </cell>
        </row>
        <row r="2409">
          <cell r="B2409" t="str">
            <v>14011026000301</v>
          </cell>
          <cell r="C2409" t="str">
            <v>FCD COMEX EXPO VIG NORM CCOR            1ND</v>
          </cell>
        </row>
        <row r="2410">
          <cell r="B2410" t="str">
            <v>14011026000302</v>
          </cell>
          <cell r="C2410" t="str">
            <v>LPC COFIDE FONDOS CRECER CCOR  VIG\NORM 1ND</v>
          </cell>
        </row>
        <row r="2411">
          <cell r="B2411" t="str">
            <v>14011026000303</v>
          </cell>
          <cell r="C2411" t="str">
            <v>LPC COFIDE FONDOS CRECER CCOR  VIG\DUPE 1ND</v>
          </cell>
        </row>
        <row r="2412">
          <cell r="B2412" t="str">
            <v>14011026000304</v>
          </cell>
          <cell r="C2412" t="str">
            <v>LPC COFIDE FONDOS CRECER CCOR  VIG\NORM 1ND</v>
          </cell>
        </row>
        <row r="2413">
          <cell r="B2413" t="str">
            <v>14011026000305</v>
          </cell>
          <cell r="C2413" t="str">
            <v>LPC COFIDE FONDOS CRECER CCOR  VIG\DUPE 1ND</v>
          </cell>
        </row>
        <row r="2414">
          <cell r="B2414" t="str">
            <v>14011026000306</v>
          </cell>
          <cell r="C2414" t="str">
            <v>LPC REPROG EM COVID-19 PRE-EMBARQUE CCOR1ND</v>
          </cell>
        </row>
        <row r="2415">
          <cell r="B2415" t="str">
            <v>14011026000307</v>
          </cell>
          <cell r="C2415" t="str">
            <v>LPC REPROG EM COVID-19 PRE-EMBARQUE CCOR1ND</v>
          </cell>
        </row>
        <row r="2416">
          <cell r="B2416" t="str">
            <v>14011026000308</v>
          </cell>
          <cell r="C2416" t="str">
            <v>LPC REPROG EM COVID-19 POST-EMBARQUE CCO1ND</v>
          </cell>
        </row>
        <row r="2417">
          <cell r="B2417" t="str">
            <v>14011026000309</v>
          </cell>
          <cell r="C2417" t="str">
            <v>LPC REPROG EM COVID-19 POST-EMBARQUE CCO1ND</v>
          </cell>
        </row>
        <row r="2418">
          <cell r="B2418" t="str">
            <v>14011026000310</v>
          </cell>
          <cell r="C2418" t="str">
            <v>LPC REPROG EM COVID-19 FINAN.COMEX CCOR\1ND</v>
          </cell>
        </row>
        <row r="2419">
          <cell r="B2419" t="str">
            <v>14011026000311</v>
          </cell>
          <cell r="C2419" t="str">
            <v>LPC REPROG EM COVID-19 FINAN.COMEX CCOR\1ND</v>
          </cell>
        </row>
        <row r="2420">
          <cell r="B2420" t="str">
            <v>14011026000801</v>
          </cell>
          <cell r="C2420" t="str">
            <v>PAN CREDITOS COMERCIO EXTERIOR CCOR     1ND</v>
          </cell>
        </row>
        <row r="2421">
          <cell r="B2421" t="str">
            <v>14011026000802</v>
          </cell>
          <cell r="C2421" t="str">
            <v>PANAM FIN PRE EMBARQUE IB PANAMA CAPIT V1ND</v>
          </cell>
        </row>
        <row r="2422">
          <cell r="B2422" t="str">
            <v>14011026000803</v>
          </cell>
          <cell r="C2422" t="str">
            <v>PANAM FIN POST EMBARQUE IB PANAMA CAPIT 1ND</v>
          </cell>
        </row>
        <row r="2423">
          <cell r="B2423" t="str">
            <v>14011030000101</v>
          </cell>
          <cell r="C2423" t="str">
            <v>LPC PAG FINAN PROY D/P VIG CCOR         1ND</v>
          </cell>
        </row>
        <row r="2424">
          <cell r="B2424" t="str">
            <v>14011030000102</v>
          </cell>
          <cell r="C2424" t="str">
            <v>LPC PAG FINAN PROY  VIG CCOR            1ND</v>
          </cell>
        </row>
        <row r="2425">
          <cell r="B2425" t="str">
            <v>14011030000103</v>
          </cell>
          <cell r="C2425" t="str">
            <v>LPC PAG. FINANC PROY COFIDE VIG CCOR    1ND</v>
          </cell>
        </row>
        <row r="2426">
          <cell r="B2426" t="str">
            <v>14011030000104</v>
          </cell>
          <cell r="C2426" t="str">
            <v>LPC  PAG. FINANC PROY COFIDE  D/P CCOR  1ND</v>
          </cell>
        </row>
        <row r="2427">
          <cell r="B2427" t="str">
            <v>14011030000107</v>
          </cell>
          <cell r="C2427" t="str">
            <v>LPC PAG FINAN PROY VERDE-SOCIAL CCOR DUP1 D</v>
          </cell>
        </row>
        <row r="2428">
          <cell r="B2428" t="str">
            <v>14011030000108</v>
          </cell>
          <cell r="C2428" t="str">
            <v>LPC PAG FINAN PROY VERDE-SOCIAL CCOR NOR1 D</v>
          </cell>
        </row>
        <row r="2429">
          <cell r="B2429" t="str">
            <v>14011030000109</v>
          </cell>
          <cell r="C2429" t="str">
            <v>LPC PAG FINAN PROY VINC-SOSTENIB CCOR DU1 D</v>
          </cell>
        </row>
        <row r="2430">
          <cell r="B2430" t="str">
            <v>14011030000110</v>
          </cell>
          <cell r="C2430" t="str">
            <v>LPC PAG FINAN PROY VINC-SOSTENIB CCOR NO1 D</v>
          </cell>
        </row>
        <row r="2431">
          <cell r="B2431" t="str">
            <v>14011030000111</v>
          </cell>
          <cell r="C2431" t="str">
            <v>LPC LEASING FINANCIACION PROYECTO CCOR V1 D</v>
          </cell>
        </row>
        <row r="2432">
          <cell r="B2432" t="str">
            <v>14011030000112</v>
          </cell>
          <cell r="C2432" t="str">
            <v>LPC LEASING FINANCIACION PROYECTO CCOR V1 D</v>
          </cell>
        </row>
        <row r="2433">
          <cell r="B2433" t="str">
            <v>14011033000101</v>
          </cell>
          <cell r="C2433" t="str">
            <v>LPC PAG INMOBILIARIO CCOR               1ND</v>
          </cell>
        </row>
        <row r="2434">
          <cell r="B2434" t="str">
            <v>14011033000102</v>
          </cell>
          <cell r="C2434" t="str">
            <v>LPC PAG BIENES INMB RENTA VERDE-SOCIAL C1 D</v>
          </cell>
        </row>
        <row r="2435">
          <cell r="B2435" t="str">
            <v>14011033000103</v>
          </cell>
          <cell r="C2435" t="str">
            <v>LPC PAG BIENES INMB RENTA VERDE-SOCIAL C1 D</v>
          </cell>
        </row>
        <row r="2436">
          <cell r="B2436" t="str">
            <v>14011033000104</v>
          </cell>
          <cell r="C2436" t="str">
            <v>LPC PAG BIENES INMB RENTA VINC-SOSTENIB 1 D</v>
          </cell>
        </row>
        <row r="2437">
          <cell r="B2437" t="str">
            <v>14011033000105</v>
          </cell>
          <cell r="C2437" t="str">
            <v>LPC PAG BIENES INMB RENTA VINC-SOSTENIB 1 D</v>
          </cell>
        </row>
        <row r="2438">
          <cell r="B2438" t="str">
            <v>14011101000101</v>
          </cell>
          <cell r="C2438" t="str">
            <v>IM AVANCE CTA CTE PJ CGEM               1ND</v>
          </cell>
        </row>
        <row r="2439">
          <cell r="B2439" t="str">
            <v>14011101000102</v>
          </cell>
          <cell r="C2439" t="str">
            <v>IM AVANCE CTA CTE PJ S/F CGEM           1ND</v>
          </cell>
        </row>
        <row r="2440">
          <cell r="B2440" t="str">
            <v>14011101000103</v>
          </cell>
          <cell r="C2440" t="str">
            <v>LPC AVANCE EN CUENTA NORM CGEM          1ND</v>
          </cell>
        </row>
        <row r="2441">
          <cell r="B2441" t="str">
            <v>14011101000104</v>
          </cell>
          <cell r="C2441" t="str">
            <v>LPC AVANCE EN CUENTA  DUPE CGEM         1ND</v>
          </cell>
        </row>
        <row r="2442">
          <cell r="B2442" t="str">
            <v>14011101000105</v>
          </cell>
          <cell r="C2442" t="str">
            <v>IM AVANCE CTA CTE PJ CGEM               1ND</v>
          </cell>
        </row>
        <row r="2443">
          <cell r="B2443" t="str">
            <v>14011102010101</v>
          </cell>
          <cell r="C2443" t="str">
            <v>TC VISA COMERC COLOC.DISP.EFECT. CGEM   1ND</v>
          </cell>
        </row>
        <row r="2444">
          <cell r="B2444" t="str">
            <v>14011102010102</v>
          </cell>
          <cell r="C2444" t="str">
            <v>TC MC COMERC. COLOC. DISP. CGEM         1ND</v>
          </cell>
        </row>
        <row r="2445">
          <cell r="B2445" t="str">
            <v>14011102010103</v>
          </cell>
          <cell r="C2445" t="str">
            <v>TC AMEX COMERC COLOC.DISP.EFECT. CGEM   1ND</v>
          </cell>
        </row>
        <row r="2446">
          <cell r="B2446" t="str">
            <v>14011102010104</v>
          </cell>
          <cell r="C2446" t="str">
            <v>TC VEA COMERC. COLOC. DISP. CGEM        1ND</v>
          </cell>
        </row>
        <row r="2447">
          <cell r="B2447" t="str">
            <v>14011102010105</v>
          </cell>
          <cell r="C2447" t="str">
            <v>TC AMEX D/E CUOTAS VIG CGEM             1ND</v>
          </cell>
        </row>
        <row r="2448">
          <cell r="B2448" t="str">
            <v>14011102010106</v>
          </cell>
          <cell r="C2448" t="str">
            <v>TC AMEX D/E REV VIG CGEM                1ND</v>
          </cell>
        </row>
        <row r="2449">
          <cell r="B2449" t="str">
            <v>14011102010107</v>
          </cell>
          <cell r="C2449" t="str">
            <v>TC MC D/E CUOTAS VIG CGEM               1ND</v>
          </cell>
        </row>
        <row r="2450">
          <cell r="B2450" t="str">
            <v>14011102010108</v>
          </cell>
          <cell r="C2450" t="str">
            <v>TC MC D/E REV VIG CGEM                  1ND</v>
          </cell>
        </row>
        <row r="2451">
          <cell r="B2451" t="str">
            <v>14011102010109</v>
          </cell>
          <cell r="C2451" t="str">
            <v>TC VISA D/E CUOTAS VIG CGEM             1ND</v>
          </cell>
        </row>
        <row r="2452">
          <cell r="B2452" t="str">
            <v>14011102010110</v>
          </cell>
          <cell r="C2452" t="str">
            <v>TC VISA D/E REV VIG CGEM                1ND</v>
          </cell>
        </row>
        <row r="2453">
          <cell r="B2453" t="str">
            <v>14011102010111</v>
          </cell>
          <cell r="C2453" t="str">
            <v>TC VISA COMERC COLOC.DISEFE CCUOTA CGEM 1ND</v>
          </cell>
        </row>
        <row r="2454">
          <cell r="B2454" t="str">
            <v>14011102020101</v>
          </cell>
          <cell r="C2454" t="str">
            <v>TC VISA COMERC COLOC.COMPRA CGEM        1ND</v>
          </cell>
        </row>
        <row r="2455">
          <cell r="B2455" t="str">
            <v>14011102020102</v>
          </cell>
          <cell r="C2455" t="str">
            <v>TC MC COMERCIAL. COLOC. COMPRA CGEM     1ND</v>
          </cell>
        </row>
        <row r="2456">
          <cell r="B2456" t="str">
            <v>14011102020103</v>
          </cell>
          <cell r="C2456" t="str">
            <v>TC AMEX COMERC COLOC.COMPRA CGEM        1ND</v>
          </cell>
        </row>
        <row r="2457">
          <cell r="B2457" t="str">
            <v>14011102020104</v>
          </cell>
          <cell r="C2457" t="str">
            <v>TC VEA COMERCIAL. COLOC. COMPRA CGEM    1ND</v>
          </cell>
        </row>
        <row r="2458">
          <cell r="B2458" t="str">
            <v>14011102020105</v>
          </cell>
          <cell r="C2458" t="str">
            <v>TC AMEX COMPRA CUOTAS VIG CGEM          1ND</v>
          </cell>
        </row>
        <row r="2459">
          <cell r="B2459" t="str">
            <v>14011102020106</v>
          </cell>
          <cell r="C2459" t="str">
            <v>TC AMEX COMPRA REV VIG CGEM             1ND</v>
          </cell>
        </row>
        <row r="2460">
          <cell r="B2460" t="str">
            <v>14011102020107</v>
          </cell>
          <cell r="C2460" t="str">
            <v>TC MC COMPRA CUOTAS VIG CGEM            1ND</v>
          </cell>
        </row>
        <row r="2461">
          <cell r="B2461" t="str">
            <v>14011102020108</v>
          </cell>
          <cell r="C2461" t="str">
            <v>TC MC COMPRA REV VIG CGEM               1ND</v>
          </cell>
        </row>
        <row r="2462">
          <cell r="B2462" t="str">
            <v>14011102020109</v>
          </cell>
          <cell r="C2462" t="str">
            <v>TC VISA COMPRA CUOTAS VIG CGEM          1ND</v>
          </cell>
        </row>
        <row r="2463">
          <cell r="B2463" t="str">
            <v>14011102020110</v>
          </cell>
          <cell r="C2463" t="str">
            <v>TC VISA COMPRA REV VIG CGEM             1ND</v>
          </cell>
        </row>
        <row r="2464">
          <cell r="B2464" t="str">
            <v>14011102090101</v>
          </cell>
          <cell r="C2464" t="str">
            <v>TC AMEX CDEUDA PAR VIG CGEM             1ND</v>
          </cell>
        </row>
        <row r="2465">
          <cell r="B2465" t="str">
            <v>14011102090102</v>
          </cell>
          <cell r="C2465" t="str">
            <v>TC AMEX CDEUDA REV VIG CGEM             1ND</v>
          </cell>
        </row>
        <row r="2466">
          <cell r="B2466" t="str">
            <v>14011102090103</v>
          </cell>
          <cell r="C2466" t="str">
            <v>TC AMEX EXTRACASH VIG CGEM              1ND</v>
          </cell>
        </row>
        <row r="2467">
          <cell r="B2467" t="str">
            <v>14011102090104</v>
          </cell>
          <cell r="C2467" t="str">
            <v>TC AMEX REPROG PAR VIG CGEM             1ND</v>
          </cell>
        </row>
        <row r="2468">
          <cell r="B2468" t="str">
            <v>14011102090105</v>
          </cell>
          <cell r="C2468" t="str">
            <v>TC AMEX REPROG REV VIG CGEM             1ND</v>
          </cell>
        </row>
        <row r="2469">
          <cell r="B2469" t="str">
            <v>14011102090106</v>
          </cell>
          <cell r="C2469" t="str">
            <v>TC MC CDEUDA PAR VIG CGEM               1ND</v>
          </cell>
        </row>
        <row r="2470">
          <cell r="B2470" t="str">
            <v>14011102090107</v>
          </cell>
          <cell r="C2470" t="str">
            <v>TC MC CDEUDA REV VIG CGEM               1ND</v>
          </cell>
        </row>
        <row r="2471">
          <cell r="B2471" t="str">
            <v>14011102090108</v>
          </cell>
          <cell r="C2471" t="str">
            <v>TC MC EXTRACASH VIG CGEM                1ND</v>
          </cell>
        </row>
        <row r="2472">
          <cell r="B2472" t="str">
            <v>14011102090109</v>
          </cell>
          <cell r="C2472" t="str">
            <v>TC MC REPROG PAR VIG CGEM               1ND</v>
          </cell>
        </row>
        <row r="2473">
          <cell r="B2473" t="str">
            <v>14011102090110</v>
          </cell>
          <cell r="C2473" t="str">
            <v>TC MC REPROG REV VIG CGEM               1ND</v>
          </cell>
        </row>
        <row r="2474">
          <cell r="B2474" t="str">
            <v>14011102090111</v>
          </cell>
          <cell r="C2474" t="str">
            <v>TC VISA CDEUDA PAR VIG CGEM             1ND</v>
          </cell>
        </row>
        <row r="2475">
          <cell r="B2475" t="str">
            <v>14011102090112</v>
          </cell>
          <cell r="C2475" t="str">
            <v>TC VISA CDEUDA REV VIG CGEM             1ND</v>
          </cell>
        </row>
        <row r="2476">
          <cell r="B2476" t="str">
            <v>14011102090113</v>
          </cell>
          <cell r="C2476" t="str">
            <v>TC VISA EXTRACASH VIG CGEM              1ND</v>
          </cell>
        </row>
        <row r="2477">
          <cell r="B2477" t="str">
            <v>14011102090114</v>
          </cell>
          <cell r="C2477" t="str">
            <v>TC VISA REPROG PAR VIG CGEM             1ND</v>
          </cell>
        </row>
        <row r="2478">
          <cell r="B2478" t="str">
            <v>14011102090115</v>
          </cell>
          <cell r="C2478" t="str">
            <v>TC VISA REPROG REV VIG CGEM             1ND</v>
          </cell>
        </row>
        <row r="2479">
          <cell r="B2479" t="str">
            <v>14011104000101</v>
          </cell>
          <cell r="C2479" t="str">
            <v>IM SOBREGIRO CTA CTE PJ CGEM            1ND</v>
          </cell>
        </row>
        <row r="2480">
          <cell r="B2480" t="str">
            <v>14011104000102</v>
          </cell>
          <cell r="C2480" t="str">
            <v>IM SOBREGIRO CTA CTE PJ S/F CGEM        1ND</v>
          </cell>
        </row>
        <row r="2481">
          <cell r="B2481" t="str">
            <v>14011104000103</v>
          </cell>
          <cell r="C2481" t="str">
            <v>IM SOBRG CTA CTE S/F PJ CGEM            1ND</v>
          </cell>
        </row>
        <row r="2482">
          <cell r="B2482" t="str">
            <v>14011104000104</v>
          </cell>
          <cell r="C2482" t="str">
            <v>IM SOBRG CTA CASTIG S/F PJ CGEM         1ND</v>
          </cell>
        </row>
        <row r="2483">
          <cell r="B2483" t="str">
            <v>14011105010101</v>
          </cell>
          <cell r="C2483" t="str">
            <v>CL PAG DSCTO VIG CGEM                   1ND</v>
          </cell>
        </row>
        <row r="2484">
          <cell r="B2484" t="str">
            <v>14011105010102</v>
          </cell>
          <cell r="C2484" t="str">
            <v>CL PAG.DSCTO D/P VIG CGEM               1ND</v>
          </cell>
        </row>
        <row r="2485">
          <cell r="B2485" t="str">
            <v>14011105010103</v>
          </cell>
          <cell r="C2485" t="str">
            <v>LPC PAG.TSA.DSCTO D/P VIGC CGEM         1ND</v>
          </cell>
        </row>
        <row r="2486">
          <cell r="B2486" t="str">
            <v>14011105010104</v>
          </cell>
          <cell r="C2486" t="str">
            <v>LPC PAG.TSA.DSCTO VIGC CGEM             1ND</v>
          </cell>
        </row>
        <row r="2487">
          <cell r="B2487" t="str">
            <v>14011105020101</v>
          </cell>
          <cell r="C2487" t="str">
            <v>FCD  LETRASÂ  DSCTO CPÂ  CGEM           1ND</v>
          </cell>
        </row>
        <row r="2488">
          <cell r="B2488" t="str">
            <v>14011105020102</v>
          </cell>
          <cell r="C2488" t="str">
            <v>FCD  DSCTO ELECTR SM PERU VIG CGEM      1ND</v>
          </cell>
        </row>
        <row r="2489">
          <cell r="B2489" t="str">
            <v>14011105020103</v>
          </cell>
          <cell r="C2489" t="str">
            <v>PR LETRAS EN DSCTO VIG D/P CGEM         1ND</v>
          </cell>
        </row>
        <row r="2490">
          <cell r="B2490" t="str">
            <v>14011105020104</v>
          </cell>
          <cell r="C2490" t="str">
            <v>PR LETRAS T. DESCONTADAÂ  VIGÂ Â  CGEM  1ND</v>
          </cell>
        </row>
        <row r="2491">
          <cell r="B2491" t="str">
            <v>14011105020105</v>
          </cell>
          <cell r="C2491" t="str">
            <v>FCD DSCTO ELECTR VIG DUDOSO CGEM        1ND</v>
          </cell>
        </row>
        <row r="2492">
          <cell r="B2492" t="str">
            <v>14011105020106</v>
          </cell>
          <cell r="C2492" t="str">
            <v>FCD DESC. LET. VIG. CGEM DUPE           1ND</v>
          </cell>
        </row>
        <row r="2493">
          <cell r="B2493" t="str">
            <v>14011105020107</v>
          </cell>
          <cell r="C2493" t="str">
            <v>FCD DESC. FACT. VIG. CGEM DUPE          1ND</v>
          </cell>
        </row>
        <row r="2494">
          <cell r="B2494" t="str">
            <v>14011105020108</v>
          </cell>
          <cell r="C2494" t="str">
            <v>FCD DESC. VIRTUAL VIG. CGEM DUPE        1ND</v>
          </cell>
        </row>
        <row r="2495">
          <cell r="B2495" t="str">
            <v>14011105020109</v>
          </cell>
          <cell r="C2495" t="str">
            <v>FCD DESC. FACT. NEG. VIG. CGEM DUPE     1ND</v>
          </cell>
        </row>
        <row r="2496">
          <cell r="B2496" t="str">
            <v>14011105020110</v>
          </cell>
          <cell r="C2496" t="str">
            <v>FCD DESC. VIRTUAL VIG. CGEM NORMAL      1ND</v>
          </cell>
        </row>
        <row r="2497">
          <cell r="B2497" t="str">
            <v>14011106010101</v>
          </cell>
          <cell r="C2497" t="str">
            <v>LPC PAG TV D/P REVOL VIG CGEM           1ND</v>
          </cell>
        </row>
        <row r="2498">
          <cell r="B2498" t="str">
            <v>14011106010102</v>
          </cell>
          <cell r="C2498" t="str">
            <v>LPC PAG TV RP REVOL CGEM                1ND</v>
          </cell>
        </row>
        <row r="2499">
          <cell r="B2499" t="str">
            <v>14011106010103</v>
          </cell>
          <cell r="C2499" t="str">
            <v>LPC P.TV REC.COFIDE REVOL VIG CGEM      1ND</v>
          </cell>
        </row>
        <row r="2500">
          <cell r="B2500" t="str">
            <v>14011106010104</v>
          </cell>
          <cell r="C2500" t="str">
            <v>LPC PAGARE  TV  COFIDE  D/P             1ND</v>
          </cell>
        </row>
        <row r="2501">
          <cell r="B2501" t="str">
            <v>14011106010105</v>
          </cell>
          <cell r="C2501" t="str">
            <v>LPC PAG TV RP MED PLAZO REVOL           1ND</v>
          </cell>
        </row>
        <row r="2502">
          <cell r="B2502" t="str">
            <v>14011106010106</v>
          </cell>
          <cell r="C2502" t="str">
            <v>LPC PAG TV RP MED PLAZO REVOL D/P       1ND</v>
          </cell>
        </row>
        <row r="2503">
          <cell r="B2503" t="str">
            <v>14011106010107</v>
          </cell>
          <cell r="C2503" t="str">
            <v>LPC PAG TV INMOBILIARIO REV             1ND</v>
          </cell>
        </row>
        <row r="2504">
          <cell r="B2504" t="str">
            <v>14011106010108</v>
          </cell>
          <cell r="C2504" t="str">
            <v>LPC PAG TV INMOBILIARIO REV D/P         1ND</v>
          </cell>
        </row>
        <row r="2505">
          <cell r="B2505" t="str">
            <v>14011106010109</v>
          </cell>
          <cell r="C2505" t="str">
            <v>LPC PAG TV REVOL EUROS                  1ND</v>
          </cell>
        </row>
        <row r="2506">
          <cell r="B2506" t="str">
            <v>14011106010110</v>
          </cell>
          <cell r="C2506" t="str">
            <v>LPC PAG TV REVOL EUROS                  1ND</v>
          </cell>
        </row>
        <row r="2507">
          <cell r="B2507" t="str">
            <v>14011106010111</v>
          </cell>
          <cell r="C2507" t="str">
            <v>LPC PAG DERIVADOS REVOL CGEM            1ND</v>
          </cell>
        </row>
        <row r="2508">
          <cell r="B2508" t="str">
            <v>14011106010112</v>
          </cell>
          <cell r="C2508" t="str">
            <v>LPC PAG DERIVADOS D/P REVOL VIG CGEM    1ND</v>
          </cell>
        </row>
        <row r="2509">
          <cell r="B2509" t="str">
            <v>14011106010113</v>
          </cell>
          <cell r="C2509" t="str">
            <v>LPC PAG REPROGRAMADO VIG NORM CGEM      1ND</v>
          </cell>
        </row>
        <row r="2510">
          <cell r="B2510" t="str">
            <v>14011106010114</v>
          </cell>
          <cell r="C2510" t="str">
            <v>LPC PAG REPROGRAMADO VIG DUPE CGEM      1ND</v>
          </cell>
        </row>
        <row r="2511">
          <cell r="B2511" t="str">
            <v>14011106010115</v>
          </cell>
          <cell r="C2511" t="str">
            <v>LPC PAG.INMOB. REPROG-SUSPENSO VIG CGEM 1ND</v>
          </cell>
        </row>
        <row r="2512">
          <cell r="B2512" t="str">
            <v>14011106010116</v>
          </cell>
          <cell r="C2512" t="str">
            <v>LPC PAG COMERC REPROG-SUSPENSO VIG CGEM 1ND</v>
          </cell>
        </row>
        <row r="2513">
          <cell r="B2513" t="str">
            <v>14011106010117</v>
          </cell>
          <cell r="C2513" t="str">
            <v>LPC PAG.INMOB. REPROG-SUSPENSO VIG CGEM 1ND</v>
          </cell>
        </row>
        <row r="2514">
          <cell r="B2514" t="str">
            <v>14011106010201</v>
          </cell>
          <cell r="C2514" t="str">
            <v>CL PAG. TV D/P REVOL VIG CGEM           1ND</v>
          </cell>
        </row>
        <row r="2515">
          <cell r="B2515" t="str">
            <v>14011106010202</v>
          </cell>
          <cell r="C2515" t="str">
            <v>CL PAG TV REVOLV VIG  CGEM              1ND</v>
          </cell>
        </row>
        <row r="2516">
          <cell r="B2516" t="str">
            <v>14011106010203</v>
          </cell>
          <cell r="C2516" t="str">
            <v>CL PAG.TV NEG.INMOBIL REVOLV VIG CGEM   1ND</v>
          </cell>
        </row>
        <row r="2517">
          <cell r="B2517" t="str">
            <v>14011106010204</v>
          </cell>
          <cell r="C2517" t="str">
            <v>CL P.TV OTROS SUSP.REVOL VIG CGEM       1ND</v>
          </cell>
        </row>
        <row r="2518">
          <cell r="B2518" t="str">
            <v>14011106010205</v>
          </cell>
          <cell r="C2518" t="str">
            <v>CL P.TV REC.COFIDE.REV VIG CGEM         1ND</v>
          </cell>
        </row>
        <row r="2519">
          <cell r="B2519" t="str">
            <v>14011106010301</v>
          </cell>
          <cell r="C2519" t="str">
            <v>MYP LINEA REVOLV VIG NORM CGEM          1ND</v>
          </cell>
        </row>
        <row r="2520">
          <cell r="B2520" t="str">
            <v>14011106010302</v>
          </cell>
          <cell r="C2520" t="str">
            <v>MYP D/P LINEA REVOLV CGEM               1ND</v>
          </cell>
        </row>
        <row r="2521">
          <cell r="B2521" t="str">
            <v>14011106010303</v>
          </cell>
          <cell r="C2521" t="str">
            <v>MYP D/P LIN REV.BPE-BE COM VIG CGEM     1ND</v>
          </cell>
        </row>
        <row r="2522">
          <cell r="B2522" t="str">
            <v>14011106010304</v>
          </cell>
          <cell r="C2522" t="str">
            <v>MYP LINEA REV.BPE-BE COM VIG NORM CGEM  1ND</v>
          </cell>
        </row>
        <row r="2523">
          <cell r="B2523" t="str">
            <v>14011106010313</v>
          </cell>
          <cell r="C2523" t="str">
            <v>LPC REACTIVA PERU VIG CGEM\NORM         1ND</v>
          </cell>
        </row>
        <row r="2524">
          <cell r="B2524" t="str">
            <v>14011106010314</v>
          </cell>
          <cell r="C2524" t="str">
            <v>LPC REACTIVA PERU VIG CGEM\DUPE         1ND</v>
          </cell>
        </row>
        <row r="2525">
          <cell r="B2525" t="str">
            <v>14011106010315</v>
          </cell>
          <cell r="C2525" t="str">
            <v>LPC COFIDE FONDOS PERU VIG CGEM\NORM    1ND</v>
          </cell>
        </row>
        <row r="2526">
          <cell r="B2526" t="str">
            <v>14011106010316</v>
          </cell>
          <cell r="C2526" t="str">
            <v>LPC COFIDE FONDOS PERU VIG CGEM\DUPE    1ND</v>
          </cell>
        </row>
        <row r="2527">
          <cell r="B2527" t="str">
            <v>14011106010317</v>
          </cell>
          <cell r="C2527" t="str">
            <v>LPC COFIDE FONDO CRECER VIG CGEM\DUPE   1ND</v>
          </cell>
        </row>
        <row r="2528">
          <cell r="B2528" t="str">
            <v>14011106010318</v>
          </cell>
          <cell r="C2528" t="str">
            <v>LPC COFIDE FONDO CRECER VIG CGEM\NORM   1ND</v>
          </cell>
        </row>
        <row r="2529">
          <cell r="B2529" t="str">
            <v>14011106010319</v>
          </cell>
          <cell r="C2529" t="str">
            <v>LPC REACTIVA PERU VIG CGEM\DUPE         1ND</v>
          </cell>
        </row>
        <row r="2530">
          <cell r="B2530" t="str">
            <v>14011106010320</v>
          </cell>
          <cell r="C2530" t="str">
            <v>LPC REACTIVA PERU VIG CGEM\NORM         1ND</v>
          </cell>
        </row>
        <row r="2531">
          <cell r="B2531" t="str">
            <v>14011106010322</v>
          </cell>
          <cell r="C2531" t="str">
            <v>LPC PAG MEDIANO PLAZO COVID-19 CGEM REV 1ND</v>
          </cell>
        </row>
        <row r="2532">
          <cell r="B2532" t="str">
            <v>14011106010323</v>
          </cell>
          <cell r="C2532" t="str">
            <v>LPC REF_FINAN_ESPECIALES_CGEM COVID-19  1ND</v>
          </cell>
        </row>
        <row r="2533">
          <cell r="B2533" t="str">
            <v>14011106010324</v>
          </cell>
          <cell r="C2533" t="str">
            <v>LPC REF_FINAN_ESPECIALES_CGEM COVID-19  1ND</v>
          </cell>
        </row>
        <row r="2534">
          <cell r="B2534" t="str">
            <v>14011106010325</v>
          </cell>
          <cell r="C2534" t="str">
            <v>LPC P.TV REC.COFIDE NO REVOL VIG CGEM NO1 D</v>
          </cell>
        </row>
        <row r="2535">
          <cell r="B2535" t="str">
            <v>14011106010326</v>
          </cell>
          <cell r="C2535" t="str">
            <v>LPC P.TV REC.COFIDE NO REVOL VIG CGEM DU1 D</v>
          </cell>
        </row>
        <row r="2536">
          <cell r="B2536" t="str">
            <v>14011106010327</v>
          </cell>
          <cell r="C2536" t="str">
            <v>LPC RP MED PZ PREST VERDE-SOCIAL CGEM VI1 D</v>
          </cell>
        </row>
        <row r="2537">
          <cell r="B2537" t="str">
            <v>14011106010328</v>
          </cell>
          <cell r="C2537" t="str">
            <v>LPC RP MED PZ PREST VERDE-SOCIAL CGEM VI1 D</v>
          </cell>
        </row>
        <row r="2538">
          <cell r="B2538" t="str">
            <v>14011106010329</v>
          </cell>
          <cell r="C2538" t="str">
            <v>LPC RP MED PZ PREST SOSTENIBLE CGEM VIG 1 D</v>
          </cell>
        </row>
        <row r="2539">
          <cell r="B2539" t="str">
            <v>14011106010330</v>
          </cell>
          <cell r="C2539" t="str">
            <v>LPC RP MED PZ PREST SOSTENIBLE CGEM VIG 1 D</v>
          </cell>
        </row>
        <row r="2540">
          <cell r="B2540" t="str">
            <v>14011106010331</v>
          </cell>
          <cell r="C2540" t="str">
            <v>LPC IMPULSO MYPERU CORTO PLAZO VIG REV C1 D</v>
          </cell>
        </row>
        <row r="2541">
          <cell r="B2541" t="str">
            <v>14011106010332</v>
          </cell>
          <cell r="C2541" t="str">
            <v>LPC IMPULSO MYPERU MEDIANO PLAZO VIG REV1 D</v>
          </cell>
        </row>
        <row r="2542">
          <cell r="B2542" t="str">
            <v>14011106010333</v>
          </cell>
          <cell r="C2542" t="str">
            <v>MYP LINEA REVOLV CIMA VIG NORM CGEM     1 D</v>
          </cell>
        </row>
        <row r="2543">
          <cell r="B2543" t="str">
            <v>14011106010334</v>
          </cell>
          <cell r="C2543" t="str">
            <v>MYP LINEA REVOLV CIMA VIG DUPE CGEM     1 D</v>
          </cell>
        </row>
        <row r="2544">
          <cell r="B2544" t="str">
            <v>14011106010335</v>
          </cell>
          <cell r="C2544" t="str">
            <v>MYP LINEA REVOL REUT.VIG CGEM DUPE      1 D</v>
          </cell>
        </row>
        <row r="2545">
          <cell r="B2545" t="str">
            <v>14011106010336</v>
          </cell>
          <cell r="C2545" t="str">
            <v>MYP LINEA REVOL REUT.VIG CGEM NORM      1 D</v>
          </cell>
        </row>
        <row r="2546">
          <cell r="B2546" t="str">
            <v>14011106010337</v>
          </cell>
          <cell r="C2546" t="str">
            <v>LPC PAG PAPERLESS DERIVADOS REVOL CGEM N1ND</v>
          </cell>
        </row>
        <row r="2547">
          <cell r="B2547" t="str">
            <v>14011106010338</v>
          </cell>
          <cell r="C2547" t="str">
            <v>LPC PAG PAPERLESS DERIVADOS REVOL CGEM D1ND</v>
          </cell>
        </row>
        <row r="2548">
          <cell r="B2548" t="str">
            <v>14011106010339</v>
          </cell>
          <cell r="C2548" t="str">
            <v>CCD-BPE LINEA REVOLVENTE_CGEM VIG NORM  1 D</v>
          </cell>
        </row>
        <row r="2549">
          <cell r="B2549" t="str">
            <v>14011106010340</v>
          </cell>
          <cell r="C2549" t="str">
            <v>CCD-BPE LINEA REVOLVENTE_CGEM VIG DUPE  1 D</v>
          </cell>
        </row>
        <row r="2550">
          <cell r="B2550" t="str">
            <v>14011106020301</v>
          </cell>
          <cell r="C2550" t="str">
            <v>MYP CAP.VIG CAP. TRAB. NORM CGEM        1ND</v>
          </cell>
        </row>
        <row r="2551">
          <cell r="B2551" t="str">
            <v>14011106020302</v>
          </cell>
          <cell r="C2551" t="str">
            <v>MYP CAP COMPRA AF NORM CGEM             1ND</v>
          </cell>
        </row>
        <row r="2552">
          <cell r="B2552" t="str">
            <v>14011106020303</v>
          </cell>
          <cell r="C2552" t="str">
            <v>MYP CAP.VIG.FIN. CRED. PARAL.NORM CGEM  1ND</v>
          </cell>
        </row>
        <row r="2553">
          <cell r="B2553" t="str">
            <v>14011106020304</v>
          </cell>
          <cell r="C2553" t="str">
            <v>MYP D/P CAP VIG CAP.TRAB CGEM           1ND</v>
          </cell>
        </row>
        <row r="2554">
          <cell r="B2554" t="str">
            <v>14011106020305</v>
          </cell>
          <cell r="C2554" t="str">
            <v>MYP D/P CAP VIG.AF INMUEBLE CGEM        1ND</v>
          </cell>
        </row>
        <row r="2555">
          <cell r="B2555" t="str">
            <v>14011106020306</v>
          </cell>
          <cell r="C2555" t="str">
            <v>MYP D/P CAP VIG CRED PARAL.CGEM         1ND</v>
          </cell>
        </row>
        <row r="2556">
          <cell r="B2556" t="str">
            <v>14011106020307</v>
          </cell>
          <cell r="C2556" t="str">
            <v>MYP D/P PAG BPE-BE COMERCIAL VIG CGEM   1ND</v>
          </cell>
        </row>
        <row r="2557">
          <cell r="B2557" t="str">
            <v>14011106020308</v>
          </cell>
          <cell r="C2557" t="str">
            <v>MYP PAG BPE-BE VIG NORM COMERCIAL CGEM  1ND</v>
          </cell>
        </row>
        <row r="2558">
          <cell r="B2558" t="str">
            <v>14011106020309</v>
          </cell>
          <cell r="C2558" t="str">
            <v>MYP CAP. VIG CAP. TRAB CIMA NOR/DP CGEM 1ND</v>
          </cell>
        </row>
        <row r="2559">
          <cell r="B2559" t="str">
            <v>14011106020310</v>
          </cell>
          <cell r="C2559" t="str">
            <v>LPC PAG TV RP NO REVOL CGEM             1ND</v>
          </cell>
        </row>
        <row r="2560">
          <cell r="B2560" t="str">
            <v>14011106020311</v>
          </cell>
          <cell r="C2560" t="str">
            <v>LPC PTV RECCOFIDE NO REVOL VIG CGEM     1ND</v>
          </cell>
        </row>
        <row r="2561">
          <cell r="B2561" t="str">
            <v>14011106020312</v>
          </cell>
          <cell r="C2561" t="str">
            <v>LPC PAG TV RP MED PLAZO NO REV          1ND</v>
          </cell>
        </row>
        <row r="2562">
          <cell r="B2562" t="str">
            <v>14011106020313</v>
          </cell>
          <cell r="C2562" t="str">
            <v>LPC PAG DERIVADOS NO REVOL CGEM         1ND</v>
          </cell>
        </row>
        <row r="2563">
          <cell r="B2563" t="str">
            <v>14011106020314</v>
          </cell>
          <cell r="C2563" t="str">
            <v>LPC PAGINMOB REPROG-SUSPENSO VIG CGEM NO1ND</v>
          </cell>
        </row>
        <row r="2564">
          <cell r="B2564" t="str">
            <v>14011106020315</v>
          </cell>
          <cell r="C2564" t="str">
            <v>LPC REACTIVA PERU VIG CGEM\NORM         1ND</v>
          </cell>
        </row>
        <row r="2565">
          <cell r="B2565" t="str">
            <v>14011106020316</v>
          </cell>
          <cell r="C2565" t="str">
            <v>LPC PAG TV D/P NO REV VIG CMED          1ND</v>
          </cell>
        </row>
        <row r="2566">
          <cell r="B2566" t="str">
            <v>14011106020317</v>
          </cell>
          <cell r="C2566" t="str">
            <v>LPC PAG TV RP NO REVOL CGEM             1ND</v>
          </cell>
        </row>
        <row r="2567">
          <cell r="B2567" t="str">
            <v>14011106020318</v>
          </cell>
          <cell r="C2567" t="str">
            <v>LPC PTV RECCOFIDE NO REVOL VIG CGEM     1ND</v>
          </cell>
        </row>
        <row r="2568">
          <cell r="B2568" t="str">
            <v>14011106020319</v>
          </cell>
          <cell r="C2568" t="str">
            <v>LPC PAG TV RP MED PLAZO NO REV          1ND</v>
          </cell>
        </row>
        <row r="2569">
          <cell r="B2569" t="str">
            <v>14011106020320</v>
          </cell>
          <cell r="C2569" t="str">
            <v>LPC PAG DERIVADOS NO REVOL CGEM         1ND</v>
          </cell>
        </row>
        <row r="2570">
          <cell r="B2570" t="str">
            <v>14011106020321</v>
          </cell>
          <cell r="C2570" t="str">
            <v>LPC PAGINMOB REPROG-SUSPENSO VIG CGEM NO1ND</v>
          </cell>
        </row>
        <row r="2571">
          <cell r="B2571" t="str">
            <v>14011106020322</v>
          </cell>
          <cell r="C2571" t="str">
            <v>LPC REACTIVA PERU VIG CGEM\NORM         1ND</v>
          </cell>
        </row>
        <row r="2572">
          <cell r="B2572" t="str">
            <v>14011106020323</v>
          </cell>
          <cell r="C2572" t="str">
            <v>LPC PAG TV D/P NO REV VIG CMED          1ND</v>
          </cell>
        </row>
        <row r="2573">
          <cell r="B2573" t="str">
            <v>14011106020324</v>
          </cell>
          <cell r="C2573" t="str">
            <v>LPC PAG COMERC REPROG-SUSPENSO VIG CGEM 1ND</v>
          </cell>
        </row>
        <row r="2574">
          <cell r="B2574" t="str">
            <v>14011106020325</v>
          </cell>
          <cell r="C2574" t="str">
            <v>LPC COFIDE FONDO CRECER VIG CGEM\NORM   1ND</v>
          </cell>
        </row>
        <row r="2575">
          <cell r="B2575" t="str">
            <v>14011106020326</v>
          </cell>
          <cell r="C2575" t="str">
            <v>LPC PAG DERIVADOS D/P NO REV VIG CGEM   1 D</v>
          </cell>
        </row>
        <row r="2576">
          <cell r="B2576" t="str">
            <v>14011106020327</v>
          </cell>
          <cell r="C2576" t="str">
            <v>LPC REACTIVA PERU VIG CGEM\DUPE         1 D</v>
          </cell>
        </row>
        <row r="2577">
          <cell r="B2577" t="str">
            <v>14011106020330</v>
          </cell>
          <cell r="C2577" t="str">
            <v>LPC 30K REACTIVA CORTO PLAZO REPROG VIG 1 D</v>
          </cell>
        </row>
        <row r="2578">
          <cell r="B2578" t="str">
            <v>14011106020331</v>
          </cell>
          <cell r="C2578" t="str">
            <v>LPC 30K REACTIVA CORTO PLAZO REPROG VIG 1 D</v>
          </cell>
        </row>
        <row r="2579">
          <cell r="B2579" t="str">
            <v>14011106020334</v>
          </cell>
          <cell r="C2579" t="str">
            <v>LPC REPROG REACTIVA DIFE CGEM VIG       1 D</v>
          </cell>
        </row>
        <row r="2580">
          <cell r="B2580" t="str">
            <v>14011106020335</v>
          </cell>
          <cell r="C2580" t="str">
            <v>LPC P.TV REC.COFIDE NO REVOL VIG CGEM NO1 D</v>
          </cell>
        </row>
        <row r="2581">
          <cell r="B2581" t="str">
            <v>14011106020336</v>
          </cell>
          <cell r="C2581" t="str">
            <v>LPC P.TV REC.COFIDE NO REVOL VIG CGEM DU1 D</v>
          </cell>
        </row>
        <row r="2582">
          <cell r="B2582" t="str">
            <v>14011106020337</v>
          </cell>
          <cell r="C2582" t="str">
            <v>LPC REPROG REACTIVA DS.011-2022 CGEM NOR1 D</v>
          </cell>
        </row>
        <row r="2583">
          <cell r="B2583" t="str">
            <v>14011106020338</v>
          </cell>
          <cell r="C2583" t="str">
            <v>LPC REPROG REACTIVA DS.011-2022 CGEM DUP1 D</v>
          </cell>
        </row>
        <row r="2584">
          <cell r="B2584" t="str">
            <v>14011106020339</v>
          </cell>
          <cell r="C2584" t="str">
            <v>MYP REPROG REACTIVA DS.011-2022 CGEM NOR1 D</v>
          </cell>
        </row>
        <row r="2585">
          <cell r="B2585" t="str">
            <v>14011106020340</v>
          </cell>
          <cell r="C2585" t="str">
            <v>MYP REPROG REACTIVA DS.011-2022 CGEM DUP1 D</v>
          </cell>
        </row>
        <row r="2586">
          <cell r="B2586" t="str">
            <v>14011106020341</v>
          </cell>
          <cell r="C2586" t="str">
            <v>LPC RP MED PZ PREST VERDE-SOCIAL CGEM VI1 D</v>
          </cell>
        </row>
        <row r="2587">
          <cell r="B2587" t="str">
            <v>14011106020342</v>
          </cell>
          <cell r="C2587" t="str">
            <v>LPC RP MED PZ PREST SOSTENIBLE CGEM VIG 1 D</v>
          </cell>
        </row>
        <row r="2588">
          <cell r="B2588" t="str">
            <v>14011106020343</v>
          </cell>
          <cell r="C2588" t="str">
            <v>LPC RP MED PZ PREST VERDE-SOCIAL CGEM VI1 D</v>
          </cell>
        </row>
        <row r="2589">
          <cell r="B2589" t="str">
            <v>14011106020344</v>
          </cell>
          <cell r="C2589" t="str">
            <v>LPC RP MED PZ PREST SOSTENIBLE CGEM VIG 1 D</v>
          </cell>
        </row>
        <row r="2590">
          <cell r="B2590" t="str">
            <v>14011106020345</v>
          </cell>
          <cell r="C2590" t="str">
            <v>LPC REPROG REACTIVA 2023 VIG CGEM NORM  1 D</v>
          </cell>
        </row>
        <row r="2591">
          <cell r="B2591" t="str">
            <v>14011106020346</v>
          </cell>
          <cell r="C2591" t="str">
            <v>LPC REPROG REACTIVA 2023 VIG CGEM DUPE  1 D</v>
          </cell>
        </row>
        <row r="2592">
          <cell r="B2592" t="str">
            <v>14011106020347</v>
          </cell>
          <cell r="C2592" t="str">
            <v>MYP CAP. TRAB - PAGARE DIGITAL_CGEM NORM1 D</v>
          </cell>
        </row>
        <row r="2593">
          <cell r="B2593" t="str">
            <v>14011106020348</v>
          </cell>
          <cell r="C2593" t="str">
            <v>MYP CAP. TRAB - PAGARE DIGITAL_CGEM DUPE1 D</v>
          </cell>
        </row>
        <row r="2594">
          <cell r="B2594" t="str">
            <v>14011106020349</v>
          </cell>
          <cell r="C2594" t="str">
            <v>LPC IMPULSO MYPERU CORTO PLAZO VIG NREV 1 D</v>
          </cell>
        </row>
        <row r="2595">
          <cell r="B2595" t="str">
            <v>14011106020350</v>
          </cell>
          <cell r="C2595" t="str">
            <v>LPC IMPULSO MYPERU MEDIANO PLAZO VIG NRE1 D</v>
          </cell>
        </row>
        <row r="2596">
          <cell r="B2596" t="str">
            <v>14011106020351</v>
          </cell>
          <cell r="C2596" t="str">
            <v>MYP REACTIVA REPROG DS.011-2022  VIG CGE1 D</v>
          </cell>
        </row>
        <row r="2597">
          <cell r="B2597" t="str">
            <v>14011106020352</v>
          </cell>
          <cell r="C2597" t="str">
            <v>MYP REACTIVA REPROG DS.011-2022  VIG CGE1 D</v>
          </cell>
        </row>
        <row r="2598">
          <cell r="B2598" t="str">
            <v>14011106020353</v>
          </cell>
          <cell r="C2598" t="str">
            <v>MYP IMPULSO MYPERU VIG CGEM DUPE        1 D</v>
          </cell>
        </row>
        <row r="2599">
          <cell r="B2599" t="str">
            <v>14011106020354</v>
          </cell>
          <cell r="C2599" t="str">
            <v>MYP IMPULSO MYPERU VIG CGEM NORM        1 D</v>
          </cell>
        </row>
        <row r="2600">
          <cell r="B2600" t="str">
            <v>14011106020355</v>
          </cell>
          <cell r="C2600" t="str">
            <v>MYP DUPE CAP.TRAB.REUT.VEN.CGEM  DUPE   1 D</v>
          </cell>
        </row>
        <row r="2601">
          <cell r="B2601" t="str">
            <v>14011106020356</v>
          </cell>
          <cell r="C2601" t="str">
            <v>MYP CAP.TRAB.REUT.VEN CGEM NORM         1 D</v>
          </cell>
        </row>
        <row r="2602">
          <cell r="B2602" t="str">
            <v>14011106020357</v>
          </cell>
          <cell r="C2602" t="str">
            <v>MYP DUPE CAP.TRAB.REUT.VIG.CGEM   DUPE  1 D</v>
          </cell>
        </row>
        <row r="2603">
          <cell r="B2603" t="str">
            <v>14011106020358</v>
          </cell>
          <cell r="C2603" t="str">
            <v>MYP CAP.TRAB.REUT.VIG.CGEM NORM         1 D</v>
          </cell>
        </row>
        <row r="2604">
          <cell r="B2604" t="str">
            <v>14011106020359</v>
          </cell>
          <cell r="C2604" t="str">
            <v>MYP CODIFE FONDO CRECER    DUPE         1 D</v>
          </cell>
        </row>
        <row r="2605">
          <cell r="B2605" t="str">
            <v>14011106020360</v>
          </cell>
          <cell r="C2605" t="str">
            <v>MYP CODIFE FONDO CRECER    NORM         1 D</v>
          </cell>
        </row>
        <row r="2606">
          <cell r="B2606" t="str">
            <v>14011106020361</v>
          </cell>
          <cell r="C2606" t="str">
            <v>MYP CODIFE FONDO CRECER    DUPE         1 D</v>
          </cell>
        </row>
        <row r="2607">
          <cell r="B2607" t="str">
            <v>14011106020362</v>
          </cell>
          <cell r="C2607" t="str">
            <v>MYP CODIFE FONDO CRECER    NORM         1 D</v>
          </cell>
        </row>
        <row r="2608">
          <cell r="B2608" t="str">
            <v>14011106020363</v>
          </cell>
          <cell r="C2608" t="str">
            <v>MYP COFIDE REACTIVA PERU   DUPE         1 D</v>
          </cell>
        </row>
        <row r="2609">
          <cell r="B2609" t="str">
            <v>14011106020364</v>
          </cell>
          <cell r="C2609" t="str">
            <v>MYP COFIDE REACTIVA PERU   NORM         1 D</v>
          </cell>
        </row>
        <row r="2610">
          <cell r="B2610" t="str">
            <v>14011106020365</v>
          </cell>
          <cell r="C2610" t="str">
            <v>MYP COFIDE REACTIVA PERU   DUPE         1 D</v>
          </cell>
        </row>
        <row r="2611">
          <cell r="B2611" t="str">
            <v>14011106020366</v>
          </cell>
          <cell r="C2611" t="str">
            <v>MYP COFIDE REACTIVA PERU   NORM         1 D</v>
          </cell>
        </row>
        <row r="2612">
          <cell r="B2612" t="str">
            <v>14011106020367</v>
          </cell>
          <cell r="C2612" t="str">
            <v>MYP 30K REACTIVA PERU REPROG 2023    DUP1 D</v>
          </cell>
        </row>
        <row r="2613">
          <cell r="B2613" t="str">
            <v>14011106020368</v>
          </cell>
          <cell r="C2613" t="str">
            <v>MYP 30K REACTIVA PERU REPROG 2023    NOR1 D</v>
          </cell>
        </row>
        <row r="2614">
          <cell r="B2614" t="str">
            <v>14011106020369</v>
          </cell>
          <cell r="C2614" t="str">
            <v>MYP CAPITAL DE TRABAJO CIMA  DUPE       1 D</v>
          </cell>
        </row>
        <row r="2615">
          <cell r="B2615" t="str">
            <v>14011106020370</v>
          </cell>
          <cell r="C2615" t="str">
            <v>MYP CAPITAL DE TRABAJO CIMA  NORM       1 D</v>
          </cell>
        </row>
        <row r="2616">
          <cell r="B2616" t="str">
            <v>14011106020371</v>
          </cell>
          <cell r="C2616" t="str">
            <v>MYP CAPITAL DE TRABAJO CIMA  DUPE       1 D</v>
          </cell>
        </row>
        <row r="2617">
          <cell r="B2617" t="str">
            <v>14011106020372</v>
          </cell>
          <cell r="C2617" t="str">
            <v>MYP CAPITAL DE TRABAJO CIMA  NORM       1 D</v>
          </cell>
        </row>
        <row r="2618">
          <cell r="B2618" t="str">
            <v>14011106020373</v>
          </cell>
          <cell r="C2618" t="str">
            <v>LPC PAG PAPERLESS DERIVADOS NO REVOL CGE1ND</v>
          </cell>
        </row>
        <row r="2619">
          <cell r="B2619" t="str">
            <v>14011106020374</v>
          </cell>
          <cell r="C2619" t="str">
            <v>LPC PAG PAPERLESS DERIVADOS NO REVOL CGE1ND</v>
          </cell>
        </row>
        <row r="2620">
          <cell r="B2620" t="str">
            <v>14011106020375</v>
          </cell>
          <cell r="C2620" t="str">
            <v>CCD-BPE CAPITAL DE TRABAJO_CGEM VIG NORM1 D</v>
          </cell>
        </row>
        <row r="2621">
          <cell r="B2621" t="str">
            <v>14011106020376</v>
          </cell>
          <cell r="C2621" t="str">
            <v>CCD-BPE CAPITAL DE TRABAJO_CGEM VIG DUPE1 D</v>
          </cell>
        </row>
        <row r="2622">
          <cell r="B2622" t="str">
            <v>14011106020377</v>
          </cell>
          <cell r="C2622" t="str">
            <v>LPC COFIDE FONDOS PERU VIG CGEM\NORM    1 D</v>
          </cell>
        </row>
        <row r="2623">
          <cell r="B2623" t="str">
            <v>14011106020378</v>
          </cell>
          <cell r="C2623" t="str">
            <v>CCD-BPE CAP DE TRAB REPROG_CGEM VIG NORM1 D</v>
          </cell>
        </row>
        <row r="2624">
          <cell r="B2624" t="str">
            <v>14011106020379</v>
          </cell>
          <cell r="C2624" t="str">
            <v>CCD-BPE CAP DE TRAB REPROG_CGEM VIG DUPE1 D</v>
          </cell>
        </row>
        <row r="2625">
          <cell r="B2625" t="str">
            <v>14011106090101</v>
          </cell>
          <cell r="C2625" t="str">
            <v>LPC PAG TV D/P NO REV VIG CGEM          1ND</v>
          </cell>
        </row>
        <row r="2626">
          <cell r="B2626" t="str">
            <v>14011106090102</v>
          </cell>
          <cell r="C2626" t="str">
            <v>LPC PAG TV RP NO REVOL CGEM             1ND</v>
          </cell>
        </row>
        <row r="2627">
          <cell r="B2627" t="str">
            <v>14011106090103</v>
          </cell>
          <cell r="C2627" t="str">
            <v>LPC P.TV REC.COFIDE NO REVOL VIG CGEM   1ND</v>
          </cell>
        </row>
        <row r="2628">
          <cell r="B2628" t="str">
            <v>14011106090104</v>
          </cell>
          <cell r="C2628" t="str">
            <v>LPC PAGARE  TV  COFIDE  D/P             1ND</v>
          </cell>
        </row>
        <row r="2629">
          <cell r="B2629" t="str">
            <v>14011106090105</v>
          </cell>
          <cell r="C2629" t="str">
            <v>LPC PAG TV RP MED PLAZO NO REV          1ND</v>
          </cell>
        </row>
        <row r="2630">
          <cell r="B2630" t="str">
            <v>14011106090106</v>
          </cell>
          <cell r="C2630" t="str">
            <v>LPC PAG TV RP MED PLAZO NO REV D/P      1ND</v>
          </cell>
        </row>
        <row r="2631">
          <cell r="B2631" t="str">
            <v>14011106090107</v>
          </cell>
          <cell r="C2631" t="str">
            <v>LPC PAG TV INMOBILIARIO NO REV          1ND</v>
          </cell>
        </row>
        <row r="2632">
          <cell r="B2632" t="str">
            <v>14011106090108</v>
          </cell>
          <cell r="C2632" t="str">
            <v>LPC PAG TV INMOBILIARIO NO REV D/P      1ND</v>
          </cell>
        </row>
        <row r="2633">
          <cell r="B2633" t="str">
            <v>14011106090109</v>
          </cell>
          <cell r="C2633" t="str">
            <v>LPC PAG TV NO REVOL EUROS               1ND</v>
          </cell>
        </row>
        <row r="2634">
          <cell r="B2634" t="str">
            <v>14011106090110</v>
          </cell>
          <cell r="C2634" t="str">
            <v>LPC PAG TV NO REVOL EUROS               1ND</v>
          </cell>
        </row>
        <row r="2635">
          <cell r="B2635" t="str">
            <v>14011106090111</v>
          </cell>
          <cell r="C2635" t="str">
            <v>LPC PAG DERIVADOS NO REVOL CGEM         1ND</v>
          </cell>
        </row>
        <row r="2636">
          <cell r="B2636" t="str">
            <v>14011106090112</v>
          </cell>
          <cell r="C2636" t="str">
            <v>LPC PAG DERIVADOS D/P NO REV VIG CGEM   1ND</v>
          </cell>
        </row>
        <row r="2637">
          <cell r="B2637" t="str">
            <v>14011106090113</v>
          </cell>
          <cell r="C2637" t="str">
            <v>LPC PAG REPROGRAMADO NO REV CGEM        1ND</v>
          </cell>
        </row>
        <row r="2638">
          <cell r="B2638" t="str">
            <v>14011106090114</v>
          </cell>
          <cell r="C2638" t="str">
            <v>LPC PAG REPROGRAMADO NO REVOL VIG D/P CG1ND</v>
          </cell>
        </row>
        <row r="2639">
          <cell r="B2639" t="str">
            <v>14011106090115</v>
          </cell>
          <cell r="C2639" t="str">
            <v>LPC PAG.INMOB. REPROG-SUSPENSO VIG CGEM 1ND</v>
          </cell>
        </row>
        <row r="2640">
          <cell r="B2640" t="str">
            <v>14011106090116</v>
          </cell>
          <cell r="C2640" t="str">
            <v>LPC PAG COMERC REPROG-SUSPENSO VIG CGEM 1ND</v>
          </cell>
        </row>
        <row r="2641">
          <cell r="B2641" t="str">
            <v>14011106090117</v>
          </cell>
          <cell r="C2641" t="str">
            <v>LPC PAG.INMOB. REPROG-SUSPENSO VIG CGEM 1ND</v>
          </cell>
        </row>
        <row r="2642">
          <cell r="B2642" t="str">
            <v>14011106090201</v>
          </cell>
          <cell r="C2642" t="str">
            <v>CL PAG. TV D/P NO REVOL VIG CGEM        1ND</v>
          </cell>
        </row>
        <row r="2643">
          <cell r="B2643" t="str">
            <v>14011106090202</v>
          </cell>
          <cell r="C2643" t="str">
            <v>CL PAG TV NO REVOLV VIG  CGEM           1ND</v>
          </cell>
        </row>
        <row r="2644">
          <cell r="B2644" t="str">
            <v>14011106090203</v>
          </cell>
          <cell r="C2644" t="str">
            <v>CL PAG.TV NEG.INMOBIL NO REVOLV VIG CGEM1ND</v>
          </cell>
        </row>
        <row r="2645">
          <cell r="B2645" t="str">
            <v>14011106090204</v>
          </cell>
          <cell r="C2645" t="str">
            <v>CL P.TV OTROS SUSP.NO REV VIG CGEM      1ND</v>
          </cell>
        </row>
        <row r="2646">
          <cell r="B2646" t="str">
            <v>14011106090205</v>
          </cell>
          <cell r="C2646" t="str">
            <v>CL P.TV REC.COFIDE.  NO REV VIG CGEM    1ND</v>
          </cell>
        </row>
        <row r="2647">
          <cell r="B2647" t="str">
            <v>14011106090206</v>
          </cell>
          <cell r="C2647" t="str">
            <v>CL PAG.DEUD.VTA CARTERA VIG. CGEM       1ND</v>
          </cell>
        </row>
        <row r="2648">
          <cell r="B2648" t="str">
            <v>14011106090215</v>
          </cell>
          <cell r="C2648" t="str">
            <v>LPC REACTIVA PERU VIG CGEM\NORM         1ND</v>
          </cell>
        </row>
        <row r="2649">
          <cell r="B2649" t="str">
            <v>14011106090216</v>
          </cell>
          <cell r="C2649" t="str">
            <v>LPC REACTIVA PERU VIG CGEM\DUPE         1ND</v>
          </cell>
        </row>
        <row r="2650">
          <cell r="B2650" t="str">
            <v>14011106090217</v>
          </cell>
          <cell r="C2650" t="str">
            <v>LPC COFIDE FONDOS PERU VIG CGEM\NORM    1ND</v>
          </cell>
        </row>
        <row r="2651">
          <cell r="B2651" t="str">
            <v>14011106090218</v>
          </cell>
          <cell r="C2651" t="str">
            <v>LPC COFIDE FONDOS PERU VIG CGEM\DUPE    1ND</v>
          </cell>
        </row>
        <row r="2652">
          <cell r="B2652" t="str">
            <v>14011106090219</v>
          </cell>
          <cell r="C2652" t="str">
            <v>LPC COFIDE FONDO CRECER VIG CGEM\DUPE   1ND</v>
          </cell>
        </row>
        <row r="2653">
          <cell r="B2653" t="str">
            <v>14011106090220</v>
          </cell>
          <cell r="C2653" t="str">
            <v>LPC COFIDE FONDO CRECER VIG CGEM\NORM   1ND</v>
          </cell>
        </row>
        <row r="2654">
          <cell r="B2654" t="str">
            <v>14011106090221</v>
          </cell>
          <cell r="C2654" t="str">
            <v>LPC REACTIVA PERU VIG CGEM\DUPE         1ND</v>
          </cell>
        </row>
        <row r="2655">
          <cell r="B2655" t="str">
            <v>14011106090222</v>
          </cell>
          <cell r="C2655" t="str">
            <v>LPC REACTIVA PERU VIG CGEM\NORM         1ND</v>
          </cell>
        </row>
        <row r="2656">
          <cell r="B2656" t="str">
            <v>14011106090224</v>
          </cell>
          <cell r="C2656" t="str">
            <v>LPC PAG MEDIANO PLAZO COVID-19 CGEM NO.R1ND</v>
          </cell>
        </row>
        <row r="2657">
          <cell r="B2657" t="str">
            <v>14011106090225</v>
          </cell>
          <cell r="C2657" t="str">
            <v>LPC REF_FINAN_ESPECIALES_CGEM COVID-19  1ND</v>
          </cell>
        </row>
        <row r="2658">
          <cell r="B2658" t="str">
            <v>14011106090226</v>
          </cell>
          <cell r="C2658" t="str">
            <v>LPC REF_FINAN_ESPECIALES_CGEM COVID-19  1ND</v>
          </cell>
        </row>
        <row r="2659">
          <cell r="B2659" t="str">
            <v>14011108000100</v>
          </cell>
          <cell r="C2659" t="str">
            <v>CDO VISA EXTRACASH NO REV VIG CGEM      1ND</v>
          </cell>
        </row>
        <row r="2660">
          <cell r="B2660" t="str">
            <v>14011108000101</v>
          </cell>
          <cell r="C2660" t="str">
            <v>CDO MC EXTRACASH NO REV VIG CGEM        1ND</v>
          </cell>
        </row>
        <row r="2661">
          <cell r="B2661" t="str">
            <v>14011108000102</v>
          </cell>
          <cell r="C2661" t="str">
            <v>CDO AMEX EXTRACASH NO REV VIG CGEM      1ND</v>
          </cell>
        </row>
        <row r="2662">
          <cell r="B2662" t="str">
            <v>14011110000101</v>
          </cell>
          <cell r="C2662" t="str">
            <v>FCD  LETRAS FACTORING VIG CGEM          1ND</v>
          </cell>
        </row>
        <row r="2663">
          <cell r="B2663" t="str">
            <v>14011110000102</v>
          </cell>
          <cell r="C2663" t="str">
            <v>PR FACT EN FACTORING VIG CGEM           1ND</v>
          </cell>
        </row>
        <row r="2664">
          <cell r="B2664" t="str">
            <v>14011110000103</v>
          </cell>
          <cell r="C2664" t="str">
            <v>FCD  FACT ELECTR LET/FACT VIG CGEM      1ND</v>
          </cell>
        </row>
        <row r="2665">
          <cell r="B2665" t="str">
            <v>14011110000104</v>
          </cell>
          <cell r="C2665" t="str">
            <v>PR FACT INTERN VIG CGEM                 1ND</v>
          </cell>
        </row>
        <row r="2666">
          <cell r="B2666" t="str">
            <v>14011110000105</v>
          </cell>
          <cell r="C2666" t="str">
            <v>PR PERU FACTORING CAP. VIG CGEM         1ND</v>
          </cell>
        </row>
        <row r="2667">
          <cell r="B2667" t="str">
            <v>14011110000106</v>
          </cell>
          <cell r="C2667" t="str">
            <v>PR FORFAITING EXPORTACIÃ“N VIG CGEM     1ND</v>
          </cell>
        </row>
        <row r="2668">
          <cell r="B2668" t="str">
            <v>14011110000107</v>
          </cell>
          <cell r="C2668" t="str">
            <v>FCD FACT INTER EXPO VIG NORM CGEM       1ND</v>
          </cell>
        </row>
        <row r="2669">
          <cell r="B2669" t="str">
            <v>14011110000108</v>
          </cell>
          <cell r="C2669" t="str">
            <v>FCD FORFAITING EXPO VIG NORM CGEM       1ND</v>
          </cell>
        </row>
        <row r="2670">
          <cell r="B2670" t="str">
            <v>14011110000109</v>
          </cell>
          <cell r="C2670" t="str">
            <v>FCD FACT INTER EXPO VIG DUPE CGEM       1ND</v>
          </cell>
        </row>
        <row r="2671">
          <cell r="B2671" t="str">
            <v>14011110000110</v>
          </cell>
          <cell r="C2671" t="str">
            <v>FCD FORFAITING EXPO VIG DUPE CGEM       1ND</v>
          </cell>
        </row>
        <row r="2672">
          <cell r="B2672" t="str">
            <v>14011110000111</v>
          </cell>
          <cell r="C2672" t="str">
            <v>FCD CONFIRMING INTERNACIONALVIG NORM CGE1ND</v>
          </cell>
        </row>
        <row r="2673">
          <cell r="B2673" t="str">
            <v>14011110000112</v>
          </cell>
          <cell r="C2673" t="str">
            <v>FCD CONFIRMING INTERNACIONAL VIG DUPE CG1ND</v>
          </cell>
        </row>
        <row r="2674">
          <cell r="B2674" t="str">
            <v>14011110000113</v>
          </cell>
          <cell r="C2674" t="str">
            <v>FCD FAC. FIS. LET. VIG. CGEM DUPE       1ND</v>
          </cell>
        </row>
        <row r="2675">
          <cell r="B2675" t="str">
            <v>14011110000114</v>
          </cell>
          <cell r="C2675" t="str">
            <v>FCD FAC. FIS. FAC.. VIG. CGEM DUPE      1ND</v>
          </cell>
        </row>
        <row r="2676">
          <cell r="B2676" t="str">
            <v>14011110000201</v>
          </cell>
          <cell r="C2676" t="str">
            <v>CL EX FACTORING FORFAITING VIG CGEM     1ND</v>
          </cell>
        </row>
        <row r="2677">
          <cell r="B2677" t="str">
            <v>14011110000202</v>
          </cell>
          <cell r="C2677" t="str">
            <v>CL  CONFIRMING INTER VIG CGEM           1ND</v>
          </cell>
        </row>
        <row r="2678">
          <cell r="B2678" t="str">
            <v>14011110000301</v>
          </cell>
          <cell r="C2678" t="str">
            <v>FCD FACT ELECTR VIG DUDOSO CGEM         1ND</v>
          </cell>
        </row>
        <row r="2679">
          <cell r="B2679" t="str">
            <v>14011110000302</v>
          </cell>
          <cell r="C2679" t="str">
            <v>FACT INTER IMPORT VIG. CGEM DUPE        1ND</v>
          </cell>
        </row>
        <row r="2680">
          <cell r="B2680" t="str">
            <v>14011110000303</v>
          </cell>
          <cell r="C2680" t="str">
            <v>FACT INTER IMPORT  VIG. CGEM NORMAL     1ND</v>
          </cell>
        </row>
        <row r="2681">
          <cell r="B2681" t="str">
            <v>14011111000101</v>
          </cell>
          <cell r="C2681" t="str">
            <v>LPC LEASING BIEN INT DIFE RP CGEM       1ND</v>
          </cell>
        </row>
        <row r="2682">
          <cell r="B2682" t="str">
            <v>14011111000102</v>
          </cell>
          <cell r="C2682" t="str">
            <v>LPC LEASING SEGUROS INT DIF RP CGEM     1ND</v>
          </cell>
        </row>
        <row r="2683">
          <cell r="B2683" t="str">
            <v>14011111000103</v>
          </cell>
          <cell r="C2683" t="str">
            <v>LPC LEASING SEGUROS RP CGEM             1ND</v>
          </cell>
        </row>
        <row r="2684">
          <cell r="B2684" t="str">
            <v>14011111000104</v>
          </cell>
          <cell r="C2684" t="str">
            <v>LPC LEASING IGV RP CGEM                 1ND</v>
          </cell>
        </row>
        <row r="2685">
          <cell r="B2685" t="str">
            <v>14011111000105</v>
          </cell>
          <cell r="C2685" t="str">
            <v>LPC LEASING DEL BIEN RP CGEM            1ND</v>
          </cell>
        </row>
        <row r="2686">
          <cell r="B2686" t="str">
            <v>14011111000106</v>
          </cell>
          <cell r="C2686" t="str">
            <v>LPC CAP DIF SEG.LS OTROS SUSP RP CGEM   1ND</v>
          </cell>
        </row>
        <row r="2687">
          <cell r="B2687" t="str">
            <v>14011111000107</v>
          </cell>
          <cell r="C2687" t="str">
            <v>LPC CIA SEG CAP VIG OTROS SUSP RP CGEM  1ND</v>
          </cell>
        </row>
        <row r="2688">
          <cell r="B2688" t="str">
            <v>14011111000108</v>
          </cell>
          <cell r="C2688" t="str">
            <v>LPC LS DEL BIEN OTROS SUSP RP CGEM      1ND</v>
          </cell>
        </row>
        <row r="2689">
          <cell r="B2689" t="str">
            <v>14011111000109</v>
          </cell>
          <cell r="C2689" t="str">
            <v>LPC CAP LS IGV OTROS SUSP RP CGEM       1ND</v>
          </cell>
        </row>
        <row r="2690">
          <cell r="B2690" t="str">
            <v>14011111000110</v>
          </cell>
          <cell r="C2690" t="str">
            <v>LPC PSG LEASING MYP CGEM                1ND</v>
          </cell>
        </row>
        <row r="2691">
          <cell r="B2691" t="str">
            <v>14011111000111</v>
          </cell>
          <cell r="C2691" t="str">
            <v>LPC PIG LEASING IGV MYP CGEM            1ND</v>
          </cell>
        </row>
        <row r="2692">
          <cell r="B2692" t="str">
            <v>14011111000112</v>
          </cell>
          <cell r="C2692" t="str">
            <v>LPC PRI LEASING MYP CGEM                1ND</v>
          </cell>
        </row>
        <row r="2693">
          <cell r="B2693" t="str">
            <v>14011111000113</v>
          </cell>
          <cell r="C2693" t="str">
            <v>LPC PSG LEASING MYP D/P CGEM            1ND</v>
          </cell>
        </row>
        <row r="2694">
          <cell r="B2694" t="str">
            <v>14011111000114</v>
          </cell>
          <cell r="C2694" t="str">
            <v>LPC PIG LEASING IGV MYP D/P CGEM        1ND</v>
          </cell>
        </row>
        <row r="2695">
          <cell r="B2695" t="str">
            <v>14011111000115</v>
          </cell>
          <cell r="C2695" t="str">
            <v>LPC PRI LEASING MYP D/P CGEM            1ND</v>
          </cell>
        </row>
        <row r="2696">
          <cell r="B2696" t="str">
            <v>14011111000201</v>
          </cell>
          <cell r="C2696" t="str">
            <v>LPC LEAS DEL BIEN D/P INT DIF RP CGEM   1ND</v>
          </cell>
        </row>
        <row r="2697">
          <cell r="B2697" t="str">
            <v>14011111000202</v>
          </cell>
          <cell r="C2697" t="str">
            <v>LPC LEAS D/P SEG INT DIF RP CGEM        1ND</v>
          </cell>
        </row>
        <row r="2698">
          <cell r="B2698" t="str">
            <v>14011111000203</v>
          </cell>
          <cell r="C2698" t="str">
            <v>LPC LEAS D/P SEG RP CGEM                1ND</v>
          </cell>
        </row>
        <row r="2699">
          <cell r="B2699" t="str">
            <v>14011111000204</v>
          </cell>
          <cell r="C2699" t="str">
            <v>LPC LEAS DEL BIEN D/P RP CGEM           1ND</v>
          </cell>
        </row>
        <row r="2700">
          <cell r="B2700" t="str">
            <v>14011111000205</v>
          </cell>
          <cell r="C2700" t="str">
            <v>LPC LEASING D/P IGV RP CGEM             1ND</v>
          </cell>
        </row>
        <row r="2701">
          <cell r="B2701" t="str">
            <v>14011111000301</v>
          </cell>
          <cell r="C2701" t="str">
            <v>LPC LEASING EN PROCESO CGEM             1ND</v>
          </cell>
        </row>
        <row r="2702">
          <cell r="B2702" t="str">
            <v>14011111000302</v>
          </cell>
          <cell r="C2702" t="str">
            <v>LPC CAP DIF LS  BIEN OTROS SUSP RP CGEM 1ND</v>
          </cell>
        </row>
        <row r="2703">
          <cell r="B2703" t="str">
            <v>14011111000401</v>
          </cell>
          <cell r="C2703" t="str">
            <v>LPC LSG BIEN ADJ. DIFOS RP CGEM         1ND</v>
          </cell>
        </row>
        <row r="2704">
          <cell r="B2704" t="str">
            <v>14011111000402</v>
          </cell>
          <cell r="C2704" t="str">
            <v>LPC LSG SEG. ADJ. DIF RP CGEM           1ND</v>
          </cell>
        </row>
        <row r="2705">
          <cell r="B2705" t="str">
            <v>14011111000403</v>
          </cell>
          <cell r="C2705" t="str">
            <v>LPC LSG ADJ. CIA SEG RP CGEM            1ND</v>
          </cell>
        </row>
        <row r="2706">
          <cell r="B2706" t="str">
            <v>14011111000404</v>
          </cell>
          <cell r="C2706" t="str">
            <v>LPC LSG ADJ. PRIN IGV RP CGEM           1ND</v>
          </cell>
        </row>
        <row r="2707">
          <cell r="B2707" t="str">
            <v>14011111000405</v>
          </cell>
          <cell r="C2707" t="str">
            <v>LPC LSG DEL BIEN ADJ. RP CGEM           1ND</v>
          </cell>
        </row>
        <row r="2708">
          <cell r="B2708" t="str">
            <v>14011111000406</v>
          </cell>
          <cell r="C2708" t="str">
            <v>LPC LSG BIEN ADJ. DIF D/P CGEM          1ND</v>
          </cell>
        </row>
        <row r="2709">
          <cell r="B2709" t="str">
            <v>14011111000407</v>
          </cell>
          <cell r="C2709" t="str">
            <v>LPC LSG SEG. ADJ. DIFOS D/P CGEM        1ND</v>
          </cell>
        </row>
        <row r="2710">
          <cell r="B2710" t="str">
            <v>14011111000408</v>
          </cell>
          <cell r="C2710" t="str">
            <v>LPC LSG D/P CIA SEG ADJ. CGEM           1ND</v>
          </cell>
        </row>
        <row r="2711">
          <cell r="B2711" t="str">
            <v>14011111000409</v>
          </cell>
          <cell r="C2711" t="str">
            <v>LPC LSG BIEN D/P ADJ. CGEM              1ND</v>
          </cell>
        </row>
        <row r="2712">
          <cell r="B2712" t="str">
            <v>14011111000410</v>
          </cell>
          <cell r="C2712" t="str">
            <v>LPC LSG D/P IGV D/P ADJ. CGEM           1ND</v>
          </cell>
        </row>
        <row r="2713">
          <cell r="B2713" t="str">
            <v>14011111000501</v>
          </cell>
          <cell r="C2713" t="str">
            <v>LPC LEASING COFIDE INT DIF PDL CGEM     1ND</v>
          </cell>
        </row>
        <row r="2714">
          <cell r="B2714" t="str">
            <v>14011111000502</v>
          </cell>
          <cell r="C2714" t="str">
            <v>LPC LS COFIDE SEGUROS INT DIF PDS CGEM  1ND</v>
          </cell>
        </row>
        <row r="2715">
          <cell r="B2715" t="str">
            <v>14011111000503</v>
          </cell>
          <cell r="C2715" t="str">
            <v>LPC LEASING COFIDE SEGUROS PSG CGEM     1ND</v>
          </cell>
        </row>
        <row r="2716">
          <cell r="B2716" t="str">
            <v>14011111000504</v>
          </cell>
          <cell r="C2716" t="str">
            <v>LPC LEASING COFIDE IGV PIG CGEM         1ND</v>
          </cell>
        </row>
        <row r="2717">
          <cell r="B2717" t="str">
            <v>14011111000505</v>
          </cell>
          <cell r="C2717" t="str">
            <v>LPC LEASING COFIDE PRI CGEM             1ND</v>
          </cell>
        </row>
        <row r="2718">
          <cell r="B2718" t="str">
            <v>14011111000506</v>
          </cell>
          <cell r="C2718" t="str">
            <v>LPC LS COFIDE D/P INT DIF PDL CGEM      1ND</v>
          </cell>
        </row>
        <row r="2719">
          <cell r="B2719" t="str">
            <v>14011111000507</v>
          </cell>
          <cell r="C2719" t="str">
            <v>LPC LS COFIDE D/P SEG INT DIF PDS CGEM  1ND</v>
          </cell>
        </row>
        <row r="2720">
          <cell r="B2720" t="str">
            <v>14011111000508</v>
          </cell>
          <cell r="C2720" t="str">
            <v>LPC LS COFIDE D/P SEG PSG CGEM          1ND</v>
          </cell>
        </row>
        <row r="2721">
          <cell r="B2721" t="str">
            <v>14011111000509</v>
          </cell>
          <cell r="C2721" t="str">
            <v>LPC LEASING COFIDE D/P IGV PIG CGEM     1ND</v>
          </cell>
        </row>
        <row r="2722">
          <cell r="B2722" t="str">
            <v>14011111000510</v>
          </cell>
          <cell r="C2722" t="str">
            <v>LPC LEASING COFIDE D/P PRI CGEM         1ND</v>
          </cell>
        </row>
        <row r="2723">
          <cell r="B2723" t="str">
            <v>14011111000601</v>
          </cell>
          <cell r="C2723" t="str">
            <v>LPC LEASING DERIVADO DEL BIEN RP CGEM   1ND</v>
          </cell>
        </row>
        <row r="2724">
          <cell r="B2724" t="str">
            <v>14011111000602</v>
          </cell>
          <cell r="C2724" t="str">
            <v>LPC LEASING DERIVADO DEL BIEN D/P RP CGE1ND</v>
          </cell>
        </row>
        <row r="2725">
          <cell r="B2725" t="str">
            <v>14011111000603</v>
          </cell>
          <cell r="C2725" t="str">
            <v>LPC LEASING DERIVADO SEGUROS RP CGEM    1ND</v>
          </cell>
        </row>
        <row r="2726">
          <cell r="B2726" t="str">
            <v>14011111000604</v>
          </cell>
          <cell r="C2726" t="str">
            <v>LPC LEASING DERIVADO D/P SEG RP CGEM    1ND</v>
          </cell>
        </row>
        <row r="2727">
          <cell r="B2727" t="str">
            <v>14011111000605</v>
          </cell>
          <cell r="C2727" t="str">
            <v>LPC LEASING DERIVADO IGV RP CGEM        1ND</v>
          </cell>
        </row>
        <row r="2728">
          <cell r="B2728" t="str">
            <v>14011111000606</v>
          </cell>
          <cell r="C2728" t="str">
            <v>LPC LEASING DERIVADO D/P IGV RP CGEM    1ND</v>
          </cell>
        </row>
        <row r="2729">
          <cell r="B2729" t="str">
            <v>14011112000101</v>
          </cell>
          <cell r="C2729" t="str">
            <v>LPC LEASEBACK DEL BIEN INT DIF RP CGEM  1ND</v>
          </cell>
        </row>
        <row r="2730">
          <cell r="B2730" t="str">
            <v>14011112000102</v>
          </cell>
          <cell r="C2730" t="str">
            <v>LPC LEASEBACK SEG INT DIF RP CGEM       1ND</v>
          </cell>
        </row>
        <row r="2731">
          <cell r="B2731" t="str">
            <v>14011112000103</v>
          </cell>
          <cell r="C2731" t="str">
            <v>LPC LEASEBACK SEGUROS RP CGEM           1ND</v>
          </cell>
        </row>
        <row r="2732">
          <cell r="B2732" t="str">
            <v>14011112000104</v>
          </cell>
          <cell r="C2732" t="str">
            <v>LPC LEASEBACK IGV VIG RP LPC            1ND</v>
          </cell>
        </row>
        <row r="2733">
          <cell r="B2733" t="str">
            <v>14011112000105</v>
          </cell>
          <cell r="C2733" t="str">
            <v>LPC LEASEBACK DEL BIEN RP CGEM          1ND</v>
          </cell>
        </row>
        <row r="2734">
          <cell r="B2734" t="str">
            <v>14011112000106</v>
          </cell>
          <cell r="C2734" t="str">
            <v>LPC LEASEBACK COFIDE INT DIF VIG PDL CGE1ND</v>
          </cell>
        </row>
        <row r="2735">
          <cell r="B2735" t="str">
            <v>14011112000107</v>
          </cell>
          <cell r="C2735" t="str">
            <v>LPC LEASEBACK COFIDE SEG INT DIF VIG PDL1ND</v>
          </cell>
        </row>
        <row r="2736">
          <cell r="B2736" t="str">
            <v>14011112000108</v>
          </cell>
          <cell r="C2736" t="str">
            <v>LPC LEASEBACK COFIDE SEGUROS VIG PSG CGE1ND</v>
          </cell>
        </row>
        <row r="2737">
          <cell r="B2737" t="str">
            <v>14011112000109</v>
          </cell>
          <cell r="C2737" t="str">
            <v>LPC LEASEBACK COFIDE IGV VIG PIG CGEM   1ND</v>
          </cell>
        </row>
        <row r="2738">
          <cell r="B2738" t="str">
            <v>14011112000110</v>
          </cell>
          <cell r="C2738" t="str">
            <v>LPC CAPITAL LEASEBACK COFIDE VIG PRI CGE1ND</v>
          </cell>
        </row>
        <row r="2739">
          <cell r="B2739" t="str">
            <v>14011112000111</v>
          </cell>
          <cell r="C2739" t="str">
            <v>LPC LEASEBACK COFIDE D/P INT DIF VIG PDL1ND</v>
          </cell>
        </row>
        <row r="2740">
          <cell r="B2740" t="str">
            <v>14011112000112</v>
          </cell>
          <cell r="C2740" t="str">
            <v>LPC LEASEBACK COFIDE D/P SEG INT DIF VIG1ND</v>
          </cell>
        </row>
        <row r="2741">
          <cell r="B2741" t="str">
            <v>14011112000113</v>
          </cell>
          <cell r="C2741" t="str">
            <v>LPC LEASEBACK COFIDE D/P SEGUROS VIG PSG1ND</v>
          </cell>
        </row>
        <row r="2742">
          <cell r="B2742" t="str">
            <v>14011112000114</v>
          </cell>
          <cell r="C2742" t="str">
            <v>LPC CAPITAL LEASEBACK COFIDE D/P VIG PRI1ND</v>
          </cell>
        </row>
        <row r="2743">
          <cell r="B2743" t="str">
            <v>14011112000115</v>
          </cell>
          <cell r="C2743" t="str">
            <v>LPC LEASEBACK COFIDE D/P IGV VIG PIG CGE1ND</v>
          </cell>
        </row>
        <row r="2744">
          <cell r="B2744" t="str">
            <v>14011112000201</v>
          </cell>
          <cell r="C2744" t="str">
            <v>LPC LSBACK DEL BIEN D/P INT DIF RP CGEM 1ND</v>
          </cell>
        </row>
        <row r="2745">
          <cell r="B2745" t="str">
            <v>14011112000202</v>
          </cell>
          <cell r="C2745" t="str">
            <v>LPC LSBACK D/P SEG INT DIFERIDOS RP CGEM1ND</v>
          </cell>
        </row>
        <row r="2746">
          <cell r="B2746" t="str">
            <v>14011112000203</v>
          </cell>
          <cell r="C2746" t="str">
            <v>LPC LEASEBACK D/P SEG RP CGEM           1ND</v>
          </cell>
        </row>
        <row r="2747">
          <cell r="B2747" t="str">
            <v>14011112000204</v>
          </cell>
          <cell r="C2747" t="str">
            <v>LPC LSBACK DEL BIEN D/P RP CGEM         1ND</v>
          </cell>
        </row>
        <row r="2748">
          <cell r="B2748" t="str">
            <v>14011112000205</v>
          </cell>
          <cell r="C2748" t="str">
            <v>LPC LSBACK D/P IGV RP CGEM              1ND</v>
          </cell>
        </row>
        <row r="2749">
          <cell r="B2749" t="str">
            <v>14011112000301</v>
          </cell>
          <cell r="C2749" t="str">
            <v>LPC PDL DIF LSB  BIEN OTRO SUSP CGEM    1ND</v>
          </cell>
        </row>
        <row r="2750">
          <cell r="B2750" t="str">
            <v>14011112000302</v>
          </cell>
          <cell r="C2750" t="str">
            <v>LPC CAP DIF SEG.LSB OTROS SUSP CGEM     1ND</v>
          </cell>
        </row>
        <row r="2751">
          <cell r="B2751" t="str">
            <v>14011112000303</v>
          </cell>
          <cell r="C2751" t="str">
            <v>LPC CIA SEG CAP VIG OTROS SUSP CGEM     1ND</v>
          </cell>
        </row>
        <row r="2752">
          <cell r="B2752" t="str">
            <v>14011112000304</v>
          </cell>
          <cell r="C2752" t="str">
            <v>LPC LSB DEL BIEN OTROS SUSP CGEM        1ND</v>
          </cell>
        </row>
        <row r="2753">
          <cell r="B2753" t="str">
            <v>14011112000305</v>
          </cell>
          <cell r="C2753" t="str">
            <v>LPC CAP LSB IGV OTROS SUSPENSO CGEM     1ND</v>
          </cell>
        </row>
        <row r="2754">
          <cell r="B2754" t="str">
            <v>14011121000101</v>
          </cell>
          <cell r="C2754" t="str">
            <v>CL CXL CC ACEPTAC BKT CL VIG CGEM       1ND</v>
          </cell>
        </row>
        <row r="2755">
          <cell r="B2755" t="str">
            <v>14011121000102</v>
          </cell>
          <cell r="C2755" t="str">
            <v>CL CXL AVAL X ACEPTAC VIG CGEM          1ND</v>
          </cell>
        </row>
        <row r="2756">
          <cell r="B2756" t="str">
            <v>14011121000103</v>
          </cell>
          <cell r="C2756" t="str">
            <v>CL CXL CRED. X LIQUI.CC AVAL VIG CGEM   1ND</v>
          </cell>
        </row>
        <row r="2757">
          <cell r="B2757" t="str">
            <v>14011121000104</v>
          </cell>
          <cell r="C2757" t="str">
            <v>CL CXL.CAR CRED VISTA VIG CGEM          1ND</v>
          </cell>
        </row>
        <row r="2758">
          <cell r="B2758" t="str">
            <v>14011121000105</v>
          </cell>
          <cell r="C2758" t="str">
            <v>CL CXL.STAND BY VIG CGEM                1ND</v>
          </cell>
        </row>
        <row r="2759">
          <cell r="B2759" t="str">
            <v>14011121000106</v>
          </cell>
          <cell r="C2759" t="str">
            <v>CL CXL.COBRA AVALA VIG CGEM             1ND</v>
          </cell>
        </row>
        <row r="2760">
          <cell r="B2760" t="str">
            <v>14011121000201</v>
          </cell>
          <cell r="C2760" t="str">
            <v>CL CRED.POR LIQ. CARTA FIANZA VIG CGEM  1ND</v>
          </cell>
        </row>
        <row r="2761">
          <cell r="B2761" t="str">
            <v>14011126000101</v>
          </cell>
          <cell r="C2761" t="str">
            <v>LPC PAG IMPORT.D/P CL CGEM              1ND</v>
          </cell>
        </row>
        <row r="2762">
          <cell r="B2762" t="str">
            <v>14011126000102</v>
          </cell>
          <cell r="C2762" t="str">
            <v>LPC PAG.PRE EX EMB D/P CGEM             1ND</v>
          </cell>
        </row>
        <row r="2763">
          <cell r="B2763" t="str">
            <v>14011126000103</v>
          </cell>
          <cell r="C2763" t="str">
            <v>LPC PAG EXP POST EMB RP D/P CGEM        1ND</v>
          </cell>
        </row>
        <row r="2764">
          <cell r="B2764" t="str">
            <v>14011126000104</v>
          </cell>
          <cell r="C2764" t="str">
            <v>CL PAG EXP PRE EM.RP VIG CGEM           1ND</v>
          </cell>
        </row>
        <row r="2765">
          <cell r="B2765" t="str">
            <v>14011126000105</v>
          </cell>
          <cell r="C2765" t="str">
            <v>CL PAG EXP POST EMB RP CGEM VIG         1ND</v>
          </cell>
        </row>
        <row r="2766">
          <cell r="B2766" t="str">
            <v>14011126000106</v>
          </cell>
          <cell r="C2766" t="str">
            <v>CL PAGARE IMPORT CGEM                   1ND</v>
          </cell>
        </row>
        <row r="2767">
          <cell r="B2767" t="str">
            <v>14011126000107</v>
          </cell>
          <cell r="C2767" t="str">
            <v>LPC WORK CAP. EX PRE EMB.VIG CGEM       1ND</v>
          </cell>
        </row>
        <row r="2768">
          <cell r="B2768" t="str">
            <v>14011126000108</v>
          </cell>
          <cell r="C2768" t="str">
            <v>LPC FINANC PRE EMBARQUE                 1ND</v>
          </cell>
        </row>
        <row r="2769">
          <cell r="B2769" t="str">
            <v>14011126000109</v>
          </cell>
          <cell r="C2769" t="str">
            <v>LPC FINANC PRE EMBARQUE  D/P            1ND</v>
          </cell>
        </row>
        <row r="2770">
          <cell r="B2770" t="str">
            <v>14011126000110</v>
          </cell>
          <cell r="C2770" t="str">
            <v>LPC FINANC PRE EMBARQUE-SEPYMEX CGEM    1ND</v>
          </cell>
        </row>
        <row r="2771">
          <cell r="B2771" t="str">
            <v>14011126000111</v>
          </cell>
          <cell r="C2771" t="str">
            <v>LPC FINANC PRE EMBARQUE  D/P-SEPYMEX CGE1ND</v>
          </cell>
        </row>
        <row r="2772">
          <cell r="B2772" t="str">
            <v>14011126000112</v>
          </cell>
          <cell r="C2772" t="str">
            <v>LPC PRE EMBARQUE FINANC. VIG. NORM CGEM 1ND</v>
          </cell>
        </row>
        <row r="2773">
          <cell r="B2773" t="str">
            <v>14011126000113</v>
          </cell>
          <cell r="C2773" t="str">
            <v>LPC PRE EMBARQUE FINANC. VIG. DUPE CGEM 1ND</v>
          </cell>
        </row>
        <row r="2774">
          <cell r="B2774" t="str">
            <v>14011126000114</v>
          </cell>
          <cell r="C2774" t="str">
            <v>LPC POST EMBARQUE FINANC. VIG. NORM CGEM1ND</v>
          </cell>
        </row>
        <row r="2775">
          <cell r="B2775" t="str">
            <v>14011126000115</v>
          </cell>
          <cell r="C2775" t="str">
            <v>LPC POST EMBARQUE FINANC. VIG. DUPE CGEM1ND</v>
          </cell>
        </row>
        <row r="2776">
          <cell r="B2776" t="str">
            <v>14011126000116</v>
          </cell>
          <cell r="C2776" t="str">
            <v>LPC IMPORT. CARTA CREDITO  FINANC. VIG. 1ND</v>
          </cell>
        </row>
        <row r="2777">
          <cell r="B2777" t="str">
            <v>14011126000117</v>
          </cell>
          <cell r="C2777" t="str">
            <v>LPC IMPORT. CARTA CREDITO  FINANC. VIG. 1ND</v>
          </cell>
        </row>
        <row r="2778">
          <cell r="B2778" t="str">
            <v>14011126000118</v>
          </cell>
          <cell r="C2778" t="str">
            <v>LPC IMPORT.  FINANC. VIG. NORM CGEM     1ND</v>
          </cell>
        </row>
        <row r="2779">
          <cell r="B2779" t="str">
            <v>14011126000119</v>
          </cell>
          <cell r="C2779" t="str">
            <v>LPC IMPORT.  FINANC. VIG. DUPE CGEM     1ND</v>
          </cell>
        </row>
        <row r="2780">
          <cell r="B2780" t="str">
            <v>14011126000120</v>
          </cell>
          <cell r="C2780" t="str">
            <v>LPC PAGARE FORFAITING CGEM              1ND</v>
          </cell>
        </row>
        <row r="2781">
          <cell r="B2781" t="str">
            <v>14011126000121</v>
          </cell>
          <cell r="C2781" t="str">
            <v>LPC PAGARE FORFAITING D/P CGEM          1ND</v>
          </cell>
        </row>
        <row r="2782">
          <cell r="B2782" t="str">
            <v>14011126000201</v>
          </cell>
          <cell r="C2782" t="str">
            <v>CL EX FORFAITING VIG CGEM               1ND</v>
          </cell>
        </row>
        <row r="2783">
          <cell r="B2783" t="str">
            <v>14011126000202</v>
          </cell>
          <cell r="C2783" t="str">
            <v>CL PAG.PRE EX EMBAR. D/P. VIG. CGEM     1ND</v>
          </cell>
        </row>
        <row r="2784">
          <cell r="B2784" t="str">
            <v>14011126000203</v>
          </cell>
          <cell r="C2784" t="str">
            <v>CL PAG.POST. EX EMBAR. D/P. VIG. CCOR   1ND</v>
          </cell>
        </row>
        <row r="2785">
          <cell r="B2785" t="str">
            <v>14011126000204</v>
          </cell>
          <cell r="C2785" t="str">
            <v>CL EX VIG PAG.IMPORTAC.D/P CGEM         1ND</v>
          </cell>
        </row>
        <row r="2786">
          <cell r="B2786" t="str">
            <v>14011126000205</v>
          </cell>
          <cell r="C2786" t="str">
            <v>LPC COFIDE FONDOS CRECER CGEM  VIG\NORM 1ND</v>
          </cell>
        </row>
        <row r="2787">
          <cell r="B2787" t="str">
            <v>14011126000206</v>
          </cell>
          <cell r="C2787" t="str">
            <v>LPC COFIDE FONDOS CRECER CGEM  VIG\DUPE 1ND</v>
          </cell>
        </row>
        <row r="2788">
          <cell r="B2788" t="str">
            <v>14011126000207</v>
          </cell>
          <cell r="C2788" t="str">
            <v>LPC COFIDE FONDOS CRECER CGEM  VIG\NORM 1ND</v>
          </cell>
        </row>
        <row r="2789">
          <cell r="B2789" t="str">
            <v>14011126000208</v>
          </cell>
          <cell r="C2789" t="str">
            <v>LPC COFIDE FONDOS CRECER CGEM  VIG\DUPE 1ND</v>
          </cell>
        </row>
        <row r="2790">
          <cell r="B2790" t="str">
            <v>14011126000209</v>
          </cell>
          <cell r="C2790" t="str">
            <v>LPC REPROG EM COVID-19 PRE-EMBARQUE CGEM1ND</v>
          </cell>
        </row>
        <row r="2791">
          <cell r="B2791" t="str">
            <v>14011126000210</v>
          </cell>
          <cell r="C2791" t="str">
            <v>LPC REPROG EM COVID-19 PRE-EMBARQUE CGEM1ND</v>
          </cell>
        </row>
        <row r="2792">
          <cell r="B2792" t="str">
            <v>14011126000211</v>
          </cell>
          <cell r="C2792" t="str">
            <v>LPC REPROG EM COVID-19 POST-EMBARQUE CGE1ND</v>
          </cell>
        </row>
        <row r="2793">
          <cell r="B2793" t="str">
            <v>14011126000212</v>
          </cell>
          <cell r="C2793" t="str">
            <v>LPC REPROG EM COVID-19 POST-EMBARQUE CGE1ND</v>
          </cell>
        </row>
        <row r="2794">
          <cell r="B2794" t="str">
            <v>14011126000213</v>
          </cell>
          <cell r="C2794" t="str">
            <v>LPC REPROG EM COVID-19 FINAN.COMEX CGEM\1ND</v>
          </cell>
        </row>
        <row r="2795">
          <cell r="B2795" t="str">
            <v>14011126000214</v>
          </cell>
          <cell r="C2795" t="str">
            <v>LPC REPROG EM COVID-19 FINAN.COMEX CGEM\1ND</v>
          </cell>
        </row>
        <row r="2796">
          <cell r="B2796" t="str">
            <v>14011126000801</v>
          </cell>
          <cell r="C2796" t="str">
            <v>PAN CREDITOS COMERCIO EXTERIOR CGEM     1ND</v>
          </cell>
        </row>
        <row r="2797">
          <cell r="B2797" t="str">
            <v>14011126000802</v>
          </cell>
          <cell r="C2797" t="str">
            <v>FIN PRE EMBARQUE IB PANAMA CAPITAL VIGEN1ND</v>
          </cell>
        </row>
        <row r="2798">
          <cell r="B2798" t="str">
            <v>14011126000803</v>
          </cell>
          <cell r="C2798" t="str">
            <v>FIN POST EMBARQUE IB PANAMA CAPITAL VIGE1ND</v>
          </cell>
        </row>
        <row r="2799">
          <cell r="B2799" t="str">
            <v>14011130000101</v>
          </cell>
          <cell r="C2799" t="str">
            <v>FINANCIACIÃ“N DE PROYECTOS GE           1ND</v>
          </cell>
        </row>
        <row r="2800">
          <cell r="B2800" t="str">
            <v>14011130000102</v>
          </cell>
          <cell r="C2800" t="str">
            <v>LPC PAG. FINANC PROY COFIDE VIG CGEM    1ND</v>
          </cell>
        </row>
        <row r="2801">
          <cell r="B2801" t="str">
            <v>14011130000103</v>
          </cell>
          <cell r="C2801" t="str">
            <v>LPC  PAG. FINANC PROY COFIDE  D/P CGEM  1ND</v>
          </cell>
        </row>
        <row r="2802">
          <cell r="B2802" t="str">
            <v>14011130000106</v>
          </cell>
          <cell r="C2802" t="str">
            <v>LPC PAG FINAN PROY VERDE-SOCIAL CGEM DUP1 D</v>
          </cell>
        </row>
        <row r="2803">
          <cell r="B2803" t="str">
            <v>14011130000107</v>
          </cell>
          <cell r="C2803" t="str">
            <v>LPC PAG FINAN PROY VERDE-SOCIAL CGEM NOR1 D</v>
          </cell>
        </row>
        <row r="2804">
          <cell r="B2804" t="str">
            <v>14011130000108</v>
          </cell>
          <cell r="C2804" t="str">
            <v>LPC PAG FINAN PROY VINC-SOSTENIB CGEM DU1 D</v>
          </cell>
        </row>
        <row r="2805">
          <cell r="B2805" t="str">
            <v>14011130000109</v>
          </cell>
          <cell r="C2805" t="str">
            <v>LPC PAG FINAN PROY VINC-SOSTENIB CGEM NO1 D</v>
          </cell>
        </row>
        <row r="2806">
          <cell r="B2806" t="str">
            <v>14011130000110</v>
          </cell>
          <cell r="C2806" t="str">
            <v>LPC LEASING FINANCIACION PROYECTO CGEM V1 D</v>
          </cell>
        </row>
        <row r="2807">
          <cell r="B2807" t="str">
            <v>14011130000111</v>
          </cell>
          <cell r="C2807" t="str">
            <v>LPC LEASING FINANCIACION PROYECTO CGEM V1 D</v>
          </cell>
        </row>
        <row r="2808">
          <cell r="B2808" t="str">
            <v>14011133000101</v>
          </cell>
          <cell r="C2808" t="str">
            <v>LPC PAG INMOBILIARIO CGEM               1ND</v>
          </cell>
        </row>
        <row r="2809">
          <cell r="B2809" t="str">
            <v>14011133000701</v>
          </cell>
          <cell r="C2809" t="str">
            <v>RCC  FINANCIACION ESTRUCTURADAS DE INMUE1ND</v>
          </cell>
        </row>
        <row r="2810">
          <cell r="B2810" t="str">
            <v>14011133000702</v>
          </cell>
          <cell r="C2810" t="str">
            <v>LPC PAG BIENES INMB RENTA VERDE-SOCIAL C1 D</v>
          </cell>
        </row>
        <row r="2811">
          <cell r="B2811" t="str">
            <v>14011133000703</v>
          </cell>
          <cell r="C2811" t="str">
            <v>LPC PAG BIENES INMB RENTA VERDE-SOCIAL C1 D</v>
          </cell>
        </row>
        <row r="2812">
          <cell r="B2812" t="str">
            <v>14011133000704</v>
          </cell>
          <cell r="C2812" t="str">
            <v>LPC PAG BIENES INMB RENTA VINC-SOSTENIB 1 D</v>
          </cell>
        </row>
        <row r="2813">
          <cell r="B2813" t="str">
            <v>14011133000705</v>
          </cell>
          <cell r="C2813" t="str">
            <v>LPC PAG BIENES INMB RENTA VINC-SOSTENIB 1 D</v>
          </cell>
        </row>
        <row r="2814">
          <cell r="B2814" t="str">
            <v>14011201000101</v>
          </cell>
          <cell r="C2814" t="str">
            <v>IM AVANCE CTA CTE PJ CMED               1ND</v>
          </cell>
        </row>
        <row r="2815">
          <cell r="B2815" t="str">
            <v>14011201000102</v>
          </cell>
          <cell r="C2815" t="str">
            <v>IM AVANCE CTA CTE PJ S/F CMED           1ND</v>
          </cell>
        </row>
        <row r="2816">
          <cell r="B2816" t="str">
            <v>14011201000103</v>
          </cell>
          <cell r="C2816" t="str">
            <v>IM AVANCE CTA CTE PN CMED               1ND</v>
          </cell>
        </row>
        <row r="2817">
          <cell r="B2817" t="str">
            <v>14011201000104</v>
          </cell>
          <cell r="C2817" t="str">
            <v>LPC AVANCE EN CUENTA NORM CMED          1ND</v>
          </cell>
        </row>
        <row r="2818">
          <cell r="B2818" t="str">
            <v>14011201000105</v>
          </cell>
          <cell r="C2818" t="str">
            <v>LPC AVANCE EN CUENTA  DUPE CMED         1ND</v>
          </cell>
        </row>
        <row r="2819">
          <cell r="B2819" t="str">
            <v>14011201000106</v>
          </cell>
          <cell r="C2819" t="str">
            <v>IM AVANCE CTA CTE PJ CMED               1ND</v>
          </cell>
        </row>
        <row r="2820">
          <cell r="B2820" t="str">
            <v>14011202010101</v>
          </cell>
          <cell r="C2820" t="str">
            <v>TC VISA COMERC COLOC.DISP.EFECT. CMED   1ND</v>
          </cell>
        </row>
        <row r="2821">
          <cell r="B2821" t="str">
            <v>14011202010102</v>
          </cell>
          <cell r="C2821" t="str">
            <v>TC MC COMERC. COLOC. DISP. CMED         1ND</v>
          </cell>
        </row>
        <row r="2822">
          <cell r="B2822" t="str">
            <v>14011202010103</v>
          </cell>
          <cell r="C2822" t="str">
            <v>TC AMEX COMERC COLOC.DISP.EFECT. CMED   1ND</v>
          </cell>
        </row>
        <row r="2823">
          <cell r="B2823" t="str">
            <v>14011202010104</v>
          </cell>
          <cell r="C2823" t="str">
            <v>TC VEA COMERC. COLOC. DISP. CMED        1ND</v>
          </cell>
        </row>
        <row r="2824">
          <cell r="B2824" t="str">
            <v>14011202010105</v>
          </cell>
          <cell r="C2824" t="str">
            <v>TC COLOC. DISP.EFECTIVO EN CUOTAS VIG. C1ND</v>
          </cell>
        </row>
        <row r="2825">
          <cell r="B2825" t="str">
            <v>14011202010106</v>
          </cell>
          <cell r="C2825" t="str">
            <v>TC AMEX D/E CUOTAS VIG CMED             1ND</v>
          </cell>
        </row>
        <row r="2826">
          <cell r="B2826" t="str">
            <v>14011202010107</v>
          </cell>
          <cell r="C2826" t="str">
            <v>TC AMEX D/E REV VIG CMED                1ND</v>
          </cell>
        </row>
        <row r="2827">
          <cell r="B2827" t="str">
            <v>14011202010108</v>
          </cell>
          <cell r="C2827" t="str">
            <v>TC MC D/E CUOTAS VIG CMED               1ND</v>
          </cell>
        </row>
        <row r="2828">
          <cell r="B2828" t="str">
            <v>14011202010109</v>
          </cell>
          <cell r="C2828" t="str">
            <v>TC MC D/E REV VIG CMED                  1ND</v>
          </cell>
        </row>
        <row r="2829">
          <cell r="B2829" t="str">
            <v>14011202010110</v>
          </cell>
          <cell r="C2829" t="str">
            <v>TC VISA D/E CUOTAS VIG CMED             1ND</v>
          </cell>
        </row>
        <row r="2830">
          <cell r="B2830" t="str">
            <v>14011202010111</v>
          </cell>
          <cell r="C2830" t="str">
            <v>TC VISA D/E REV VIG CMED                1ND</v>
          </cell>
        </row>
        <row r="2831">
          <cell r="B2831" t="str">
            <v>14011202020101</v>
          </cell>
          <cell r="C2831" t="str">
            <v>TC VISA COMERC COLOC.COMPRA CMED        1ND</v>
          </cell>
        </row>
        <row r="2832">
          <cell r="B2832" t="str">
            <v>14011202020102</v>
          </cell>
          <cell r="C2832" t="str">
            <v>TC MC COMERCIAL. COLOC. COMPRA CMED     1ND</v>
          </cell>
        </row>
        <row r="2833">
          <cell r="B2833" t="str">
            <v>14011202020103</v>
          </cell>
          <cell r="C2833" t="str">
            <v>TC AMEX COMERC COLOC.COMPRA CMED        1ND</v>
          </cell>
        </row>
        <row r="2834">
          <cell r="B2834" t="str">
            <v>14011202020104</v>
          </cell>
          <cell r="C2834" t="str">
            <v>TC VEA COMERCIAL. COLOC. COMPRA CMED    1ND</v>
          </cell>
        </row>
        <row r="2835">
          <cell r="B2835" t="str">
            <v>14011202020105</v>
          </cell>
          <cell r="C2835" t="str">
            <v>TC COLOC.COMPRAS EN CUOTAS VIG. CMED    1ND</v>
          </cell>
        </row>
        <row r="2836">
          <cell r="B2836" t="str">
            <v>14011202020106</v>
          </cell>
          <cell r="C2836" t="str">
            <v>TC AMEX COMPRA CUOTAS VIG CMED          1ND</v>
          </cell>
        </row>
        <row r="2837">
          <cell r="B2837" t="str">
            <v>14011202020107</v>
          </cell>
          <cell r="C2837" t="str">
            <v>TC AMEX COMPRA REV VIG CMED             1ND</v>
          </cell>
        </row>
        <row r="2838">
          <cell r="B2838" t="str">
            <v>14011202020108</v>
          </cell>
          <cell r="C2838" t="str">
            <v>TC MC COMPRA CUOTAS VIG CMED            1ND</v>
          </cell>
        </row>
        <row r="2839">
          <cell r="B2839" t="str">
            <v>14011202020109</v>
          </cell>
          <cell r="C2839" t="str">
            <v>TC MC COMPRA REV VIG CMED               1ND</v>
          </cell>
        </row>
        <row r="2840">
          <cell r="B2840" t="str">
            <v>14011202020110</v>
          </cell>
          <cell r="C2840" t="str">
            <v>TC VISA COMPRA CUOTAS VIG CMED          1ND</v>
          </cell>
        </row>
        <row r="2841">
          <cell r="B2841" t="str">
            <v>14011202020111</v>
          </cell>
          <cell r="C2841" t="str">
            <v>TC VISA COMPRA REV VIG CMED             1ND</v>
          </cell>
        </row>
        <row r="2842">
          <cell r="B2842" t="str">
            <v>14011202090101</v>
          </cell>
          <cell r="C2842" t="str">
            <v>TC AMEX COMERC COLOC. OTROS CMED        1ND</v>
          </cell>
        </row>
        <row r="2843">
          <cell r="B2843" t="str">
            <v>14011202090102</v>
          </cell>
          <cell r="C2843" t="str">
            <v>TC VISA COMERC COLOC. OTROS CMED        1ND</v>
          </cell>
        </row>
        <row r="2844">
          <cell r="B2844" t="str">
            <v>14011202090103</v>
          </cell>
          <cell r="C2844" t="str">
            <v>TC MC COMERC COLOC. OTROS CMED          1ND</v>
          </cell>
        </row>
        <row r="2845">
          <cell r="B2845" t="str">
            <v>14011202090104</v>
          </cell>
          <cell r="C2845" t="str">
            <v>TC VEA COMERC COLOC. OTROS CMED         1ND</v>
          </cell>
        </row>
        <row r="2846">
          <cell r="B2846" t="str">
            <v>14011202090105</v>
          </cell>
          <cell r="C2846" t="str">
            <v>TC REPROGRAMACION VIG. CMED             1ND</v>
          </cell>
        </row>
        <row r="2847">
          <cell r="B2847" t="str">
            <v>14011202090106</v>
          </cell>
          <cell r="C2847" t="str">
            <v>TC AMEX CDEUDA PAR VIG CMED             1ND</v>
          </cell>
        </row>
        <row r="2848">
          <cell r="B2848" t="str">
            <v>14011202090107</v>
          </cell>
          <cell r="C2848" t="str">
            <v>TC AMEX CDEUDA REV VIG CMED             1ND</v>
          </cell>
        </row>
        <row r="2849">
          <cell r="B2849" t="str">
            <v>14011202090108</v>
          </cell>
          <cell r="C2849" t="str">
            <v>TC AMEX EXTRACASH VIG CMED              1ND</v>
          </cell>
        </row>
        <row r="2850">
          <cell r="B2850" t="str">
            <v>14011202090109</v>
          </cell>
          <cell r="C2850" t="str">
            <v>TC AMEX REPROG PAR VIG CMED             1ND</v>
          </cell>
        </row>
        <row r="2851">
          <cell r="B2851" t="str">
            <v>14011202090110</v>
          </cell>
          <cell r="C2851" t="str">
            <v>TC AMEX REPROG REV VIG CMED             1ND</v>
          </cell>
        </row>
        <row r="2852">
          <cell r="B2852" t="str">
            <v>14011202090111</v>
          </cell>
          <cell r="C2852" t="str">
            <v>TC MC CDEUDA PAR VIG CMED               1ND</v>
          </cell>
        </row>
        <row r="2853">
          <cell r="B2853" t="str">
            <v>14011202090112</v>
          </cell>
          <cell r="C2853" t="str">
            <v>TC MC CDEUDA REV VIG CMED               1ND</v>
          </cell>
        </row>
        <row r="2854">
          <cell r="B2854" t="str">
            <v>14011202090113</v>
          </cell>
          <cell r="C2854" t="str">
            <v>TC MC EXTRACASH VIG CMED                1ND</v>
          </cell>
        </row>
        <row r="2855">
          <cell r="B2855" t="str">
            <v>14011202090114</v>
          </cell>
          <cell r="C2855" t="str">
            <v>TC MC REPROG PAR VIG CMED               1ND</v>
          </cell>
        </row>
        <row r="2856">
          <cell r="B2856" t="str">
            <v>14011202090115</v>
          </cell>
          <cell r="C2856" t="str">
            <v>TC MC REPROG REV VIG CMED               1ND</v>
          </cell>
        </row>
        <row r="2857">
          <cell r="B2857" t="str">
            <v>14011202090116</v>
          </cell>
          <cell r="C2857" t="str">
            <v>TC VISA CDEUDA PAR VIG CMED             1ND</v>
          </cell>
        </row>
        <row r="2858">
          <cell r="B2858" t="str">
            <v>14011202090117</v>
          </cell>
          <cell r="C2858" t="str">
            <v>TC VISA CDEUDA REV VIG CMED             1ND</v>
          </cell>
        </row>
        <row r="2859">
          <cell r="B2859" t="str">
            <v>14011202090118</v>
          </cell>
          <cell r="C2859" t="str">
            <v>TC VISA EXTRACASH VIG CMED              1ND</v>
          </cell>
        </row>
        <row r="2860">
          <cell r="B2860" t="str">
            <v>14011202090119</v>
          </cell>
          <cell r="C2860" t="str">
            <v>TC VISA REPROG PAR VIG CMED             1ND</v>
          </cell>
        </row>
        <row r="2861">
          <cell r="B2861" t="str">
            <v>14011202090120</v>
          </cell>
          <cell r="C2861" t="str">
            <v>TC VISA REPROG REV VIG CMED             1ND</v>
          </cell>
        </row>
        <row r="2862">
          <cell r="B2862" t="str">
            <v>14011202090122</v>
          </cell>
          <cell r="C2862" t="str">
            <v>CDO VISA EXTRACASH REV VIG CMED         1ND</v>
          </cell>
        </row>
        <row r="2863">
          <cell r="B2863" t="str">
            <v>14011202090123</v>
          </cell>
          <cell r="C2863" t="str">
            <v>CDO MC EXTRACASH REV VIG CMED           1ND</v>
          </cell>
        </row>
        <row r="2864">
          <cell r="B2864" t="str">
            <v>14011202090124</v>
          </cell>
          <cell r="C2864" t="str">
            <v>CDO AMEX EXTRACASH REV VIG CMED         1ND</v>
          </cell>
        </row>
        <row r="2865">
          <cell r="B2865" t="str">
            <v>14011204000101</v>
          </cell>
          <cell r="C2865" t="str">
            <v>IM SOBREGIRO CTA CTE PJ CMED            1ND</v>
          </cell>
        </row>
        <row r="2866">
          <cell r="B2866" t="str">
            <v>14011204000102</v>
          </cell>
          <cell r="C2866" t="str">
            <v>IM SOBREGIRO CTA CTE PJ S/F CMED        1ND</v>
          </cell>
        </row>
        <row r="2867">
          <cell r="B2867" t="str">
            <v>14011204000103</v>
          </cell>
          <cell r="C2867" t="str">
            <v>IM SOBRG CTA CTE S/F PJ CMED            1ND</v>
          </cell>
        </row>
        <row r="2868">
          <cell r="B2868" t="str">
            <v>14011204000104</v>
          </cell>
          <cell r="C2868" t="str">
            <v>IM SOBRG CTA CASTIG S/F PJ CMED         1ND</v>
          </cell>
        </row>
        <row r="2869">
          <cell r="B2869" t="str">
            <v>14011204000105</v>
          </cell>
          <cell r="C2869" t="str">
            <v>IM SOBREGIRO CTA CTE PN CMED            1ND</v>
          </cell>
        </row>
        <row r="2870">
          <cell r="B2870" t="str">
            <v>14011204000106</v>
          </cell>
          <cell r="C2870" t="str">
            <v>IM SOBRG CTA CTE PN CMED                1ND</v>
          </cell>
        </row>
        <row r="2871">
          <cell r="B2871" t="str">
            <v>14011204000107</v>
          </cell>
          <cell r="C2871" t="str">
            <v>IM SOBREGIRO CTS PUB CMED               1ND</v>
          </cell>
        </row>
        <row r="2872">
          <cell r="B2872" t="str">
            <v>14011205010101</v>
          </cell>
          <cell r="C2872" t="str">
            <v>CL PAG DSCTO VIG CMED                   1ND</v>
          </cell>
        </row>
        <row r="2873">
          <cell r="B2873" t="str">
            <v>14011205010102</v>
          </cell>
          <cell r="C2873" t="str">
            <v>CL PAG.DSCTO D/P VIG CMED               1ND</v>
          </cell>
        </row>
        <row r="2874">
          <cell r="B2874" t="str">
            <v>14011205010103</v>
          </cell>
          <cell r="C2874" t="str">
            <v>LPC PAG.TSA.DSCTO D/P VIGC CMED         1ND</v>
          </cell>
        </row>
        <row r="2875">
          <cell r="B2875" t="str">
            <v>14011205010104</v>
          </cell>
          <cell r="C2875" t="str">
            <v>LPC PAG.TSA.DSCTO VIGC CMED             1ND</v>
          </cell>
        </row>
        <row r="2876">
          <cell r="B2876" t="str">
            <v>14011205020101</v>
          </cell>
          <cell r="C2876" t="str">
            <v>FCD  LETRASÂ  DSCTO CPÂ  CMED           1ND</v>
          </cell>
        </row>
        <row r="2877">
          <cell r="B2877" t="str">
            <v>14011205020102</v>
          </cell>
          <cell r="C2877" t="str">
            <v>FCD  DSCTO ELECTR SM PERU VIG CMED      1ND</v>
          </cell>
        </row>
        <row r="2878">
          <cell r="B2878" t="str">
            <v>14011205020103</v>
          </cell>
          <cell r="C2878" t="str">
            <v>PR LETRAS EN DSCTO VIG D/P CMED         1ND</v>
          </cell>
        </row>
        <row r="2879">
          <cell r="B2879" t="str">
            <v>14011205020104</v>
          </cell>
          <cell r="C2879" t="str">
            <v>PR LETRAS T. DESCONTADAÂ  VIGÂ Â  CMED  1ND</v>
          </cell>
        </row>
        <row r="2880">
          <cell r="B2880" t="str">
            <v>14011205020105</v>
          </cell>
          <cell r="C2880" t="str">
            <v>FCD DSCTO ELECTR VIG DUDOSO CMED        1ND</v>
          </cell>
        </row>
        <row r="2881">
          <cell r="B2881" t="str">
            <v>14011205020106</v>
          </cell>
          <cell r="C2881" t="str">
            <v>FCD DESC. LET. VIG. CMED DUPE           1ND</v>
          </cell>
        </row>
        <row r="2882">
          <cell r="B2882" t="str">
            <v>14011205020107</v>
          </cell>
          <cell r="C2882" t="str">
            <v>FCD DESC. FACT. VIG. CMED DUPE          1ND</v>
          </cell>
        </row>
        <row r="2883">
          <cell r="B2883" t="str">
            <v>14011205020108</v>
          </cell>
          <cell r="C2883" t="str">
            <v>FCD DESC. VIRTUAL VIG. CMED DUPE        1ND</v>
          </cell>
        </row>
        <row r="2884">
          <cell r="B2884" t="str">
            <v>14011205020109</v>
          </cell>
          <cell r="C2884" t="str">
            <v>FCD DESC. FACT. NEG. VIG. CMED DUPE     1ND</v>
          </cell>
        </row>
        <row r="2885">
          <cell r="B2885" t="str">
            <v>14011205020110</v>
          </cell>
          <cell r="C2885" t="str">
            <v>FCD DESC. VIRTUAL VIG. CMED NORMAL      1ND</v>
          </cell>
        </row>
        <row r="2886">
          <cell r="B2886" t="str">
            <v>14011206010101</v>
          </cell>
          <cell r="C2886" t="str">
            <v>LIC DP CONV NRV OTOR BAJ C NE VIG       1ND</v>
          </cell>
        </row>
        <row r="2887">
          <cell r="B2887" t="str">
            <v>14011206010102</v>
          </cell>
          <cell r="C2887" t="str">
            <v>LIC DP CRED CONV VIG MED EMPR           1ND</v>
          </cell>
        </row>
        <row r="2888">
          <cell r="B2888" t="str">
            <v>14011206010103</v>
          </cell>
          <cell r="C2888" t="str">
            <v>LPC PAG.INMOB. REPROG-SUSPENSO VIG CMED 1ND</v>
          </cell>
        </row>
        <row r="2889">
          <cell r="B2889" t="str">
            <v>14011206010201</v>
          </cell>
          <cell r="C2889" t="str">
            <v>LPC PAG TV D/P REVOL VIG CMED           1ND</v>
          </cell>
        </row>
        <row r="2890">
          <cell r="B2890" t="str">
            <v>14011206010202</v>
          </cell>
          <cell r="C2890" t="str">
            <v>LPC PAG TV RP REVOL CMED                1ND</v>
          </cell>
        </row>
        <row r="2891">
          <cell r="B2891" t="str">
            <v>14011206010203</v>
          </cell>
          <cell r="C2891" t="str">
            <v>LPC P.TV REC.COFIDE REVOL VIG CMED      1ND</v>
          </cell>
        </row>
        <row r="2892">
          <cell r="B2892" t="str">
            <v>14011206010204</v>
          </cell>
          <cell r="C2892" t="str">
            <v>LPC PAGARE  TV  COFIDE  D/P             1ND</v>
          </cell>
        </row>
        <row r="2893">
          <cell r="B2893" t="str">
            <v>14011206010205</v>
          </cell>
          <cell r="C2893" t="str">
            <v>LPC PAG TV RP MED PLAZO REVOL           1ND</v>
          </cell>
        </row>
        <row r="2894">
          <cell r="B2894" t="str">
            <v>14011206010206</v>
          </cell>
          <cell r="C2894" t="str">
            <v>LPC PAG TV RP MED PLAZO REVOL D/P       1ND</v>
          </cell>
        </row>
        <row r="2895">
          <cell r="B2895" t="str">
            <v>14011206010207</v>
          </cell>
          <cell r="C2895" t="str">
            <v>LPC PAG TV INMOBILIARIO REV             1ND</v>
          </cell>
        </row>
        <row r="2896">
          <cell r="B2896" t="str">
            <v>14011206010208</v>
          </cell>
          <cell r="C2896" t="str">
            <v>LPC PAG TV INMOBILIARIO REV D/P         1ND</v>
          </cell>
        </row>
        <row r="2897">
          <cell r="B2897" t="str">
            <v>14011206010209</v>
          </cell>
          <cell r="C2897" t="str">
            <v>LPC PAG TV REVOL EUROS                  1ND</v>
          </cell>
        </row>
        <row r="2898">
          <cell r="B2898" t="str">
            <v>14011206010210</v>
          </cell>
          <cell r="C2898" t="str">
            <v>LPC PAG TV REVOL EUROS                  1ND</v>
          </cell>
        </row>
        <row r="2899">
          <cell r="B2899" t="str">
            <v>14011206010211</v>
          </cell>
          <cell r="C2899" t="str">
            <v>LPC PAG DERIVADOS REVOL CMED            1ND</v>
          </cell>
        </row>
        <row r="2900">
          <cell r="B2900" t="str">
            <v>14011206010212</v>
          </cell>
          <cell r="C2900" t="str">
            <v>LPC PAG DERIVADOS D/P REVOL VIG CMED    1ND</v>
          </cell>
        </row>
        <row r="2901">
          <cell r="B2901" t="str">
            <v>14011206010213</v>
          </cell>
          <cell r="C2901" t="str">
            <v>LPC PAG REPROGRAMADO VIG NORM CMED      1ND</v>
          </cell>
        </row>
        <row r="2902">
          <cell r="B2902" t="str">
            <v>14011206010214</v>
          </cell>
          <cell r="C2902" t="str">
            <v>LPC PAG REPROGRAMADO VIG DUPE CMED      1ND</v>
          </cell>
        </row>
        <row r="2903">
          <cell r="B2903" t="str">
            <v>14011206010215</v>
          </cell>
          <cell r="C2903" t="str">
            <v>LPC PAG.INMOB. REPROG-SUSPENSO VIG CMED 1ND</v>
          </cell>
        </row>
        <row r="2904">
          <cell r="B2904" t="str">
            <v>14011206010216</v>
          </cell>
          <cell r="C2904" t="str">
            <v>LPC PAG COMERC REPROG-SUSPENSO VIG CMED 1ND</v>
          </cell>
        </row>
        <row r="2905">
          <cell r="B2905" t="str">
            <v>14011206010301</v>
          </cell>
          <cell r="C2905" t="str">
            <v>MYP LINEA REVOLV VIG CMED               1ND</v>
          </cell>
        </row>
        <row r="2906">
          <cell r="B2906" t="str">
            <v>14011206010302</v>
          </cell>
          <cell r="C2906" t="str">
            <v>MYP D/P LINEA REVOLV CMED               1ND</v>
          </cell>
        </row>
        <row r="2907">
          <cell r="B2907" t="str">
            <v>14011206010303</v>
          </cell>
          <cell r="C2907" t="str">
            <v>MYP D/P LIN REV.BPE-BE COM VIG CMED     1ND</v>
          </cell>
        </row>
        <row r="2908">
          <cell r="B2908" t="str">
            <v>14011206010304</v>
          </cell>
          <cell r="C2908" t="str">
            <v>MYP LINEA REV.BPE-BE COM VIG NORM CMED  1ND</v>
          </cell>
        </row>
        <row r="2909">
          <cell r="B2909" t="str">
            <v>14011206010305</v>
          </cell>
          <cell r="C2909" t="str">
            <v>MYP LINEA REVOL PROVREFVIG CMED         1ND</v>
          </cell>
        </row>
        <row r="2910">
          <cell r="B2910" t="str">
            <v>14011206010306</v>
          </cell>
          <cell r="C2910" t="str">
            <v>MYP LINEA REVOL REUT.VIG CMED           1ND</v>
          </cell>
        </row>
        <row r="2911">
          <cell r="B2911" t="str">
            <v>14011206010307</v>
          </cell>
          <cell r="C2911" t="str">
            <v>MYP DUPE LINEA REVOL REUT.VIG CMED      1ND</v>
          </cell>
        </row>
        <row r="2912">
          <cell r="B2912" t="str">
            <v>14011206010401</v>
          </cell>
          <cell r="C2912" t="str">
            <v>CL PAG. TV D/P REVOL VIG CMED           1ND</v>
          </cell>
        </row>
        <row r="2913">
          <cell r="B2913" t="str">
            <v>14011206010402</v>
          </cell>
          <cell r="C2913" t="str">
            <v>CL PAG TV REVOLV VIG  CMED              1ND</v>
          </cell>
        </row>
        <row r="2914">
          <cell r="B2914" t="str">
            <v>14011206010403</v>
          </cell>
          <cell r="C2914" t="str">
            <v>CL PAG.TV NEG.INMOBIL REVOLV VIG CMED   1ND</v>
          </cell>
        </row>
        <row r="2915">
          <cell r="B2915" t="str">
            <v>14011206010404</v>
          </cell>
          <cell r="C2915" t="str">
            <v>CL P.TV OTROS SUSP.REVOL VIG CMED       1ND</v>
          </cell>
        </row>
        <row r="2916">
          <cell r="B2916" t="str">
            <v>14011206010405</v>
          </cell>
          <cell r="C2916" t="str">
            <v>CL P.TV REC.COFIDE.REV VIG CMED         1ND</v>
          </cell>
        </row>
        <row r="2917">
          <cell r="B2917" t="str">
            <v>14011206010406</v>
          </cell>
          <cell r="C2917" t="str">
            <v>LIC CREDITO X CONV VIG CMED NORMAL      1ND</v>
          </cell>
        </row>
        <row r="2918">
          <cell r="B2918" t="str">
            <v>14011206010407</v>
          </cell>
          <cell r="C2918" t="str">
            <v>LIC CREDITO X CONV VIG CMED DUDOSO      1ND</v>
          </cell>
        </row>
        <row r="2919">
          <cell r="B2919" t="str">
            <v>14011206010416</v>
          </cell>
          <cell r="C2919" t="str">
            <v>LPC REACTIVA PERU VIG CMED\NORM         1ND</v>
          </cell>
        </row>
        <row r="2920">
          <cell r="B2920" t="str">
            <v>14011206010417</v>
          </cell>
          <cell r="C2920" t="str">
            <v>LPC REACTIVA PERU VIG CMED\DUPE         1ND</v>
          </cell>
        </row>
        <row r="2921">
          <cell r="B2921" t="str">
            <v>14011206010418</v>
          </cell>
          <cell r="C2921" t="str">
            <v>LPC COFIDE FONDOS PERU VIG CMED\NORM    1ND</v>
          </cell>
        </row>
        <row r="2922">
          <cell r="B2922" t="str">
            <v>14011206010419</v>
          </cell>
          <cell r="C2922" t="str">
            <v>LPC COFIDE FONDOS PERU VIG CMED\DUPE    1ND</v>
          </cell>
        </row>
        <row r="2923">
          <cell r="B2923" t="str">
            <v>14011206010420</v>
          </cell>
          <cell r="C2923" t="str">
            <v>LPC COFIDE FONDO CRECER VIG CMED\DUPE   1ND</v>
          </cell>
        </row>
        <row r="2924">
          <cell r="B2924" t="str">
            <v>14011206010421</v>
          </cell>
          <cell r="C2924" t="str">
            <v>LPC COFIDE FONDO CRECER VIG CMED\NORM   1ND</v>
          </cell>
        </row>
        <row r="2925">
          <cell r="B2925" t="str">
            <v>14011206010422</v>
          </cell>
          <cell r="C2925" t="str">
            <v>LPC REACTIVA PERU VIG CMED\DUPE         1ND</v>
          </cell>
        </row>
        <row r="2926">
          <cell r="B2926" t="str">
            <v>14011206010423</v>
          </cell>
          <cell r="C2926" t="str">
            <v>LPC REACTIVA PERU VIG CMED\NORM         1ND</v>
          </cell>
        </row>
        <row r="2927">
          <cell r="B2927" t="str">
            <v>14011206010425</v>
          </cell>
          <cell r="C2927" t="str">
            <v>LPC PAG MEDIANO PLAZO COVID-19 CMED REV 1ND</v>
          </cell>
        </row>
        <row r="2928">
          <cell r="B2928" t="str">
            <v>14011206010426</v>
          </cell>
          <cell r="C2928" t="str">
            <v>LPC REF_FINAN_ESPECIALES_CMED COVID-19  1ND</v>
          </cell>
        </row>
        <row r="2929">
          <cell r="B2929" t="str">
            <v>14011206010427</v>
          </cell>
          <cell r="C2929" t="str">
            <v>LPC REF_FINAN_ESPECIALES_CMED COVID-19  1ND</v>
          </cell>
        </row>
        <row r="2930">
          <cell r="B2930" t="str">
            <v>14011206010428</v>
          </cell>
          <cell r="C2930" t="str">
            <v>LPC RP MED PZ PREST VERDE-SOCIAL CMED VI1 D</v>
          </cell>
        </row>
        <row r="2931">
          <cell r="B2931" t="str">
            <v>14011206010429</v>
          </cell>
          <cell r="C2931" t="str">
            <v>LPC RP MED PZ PREST VERDE-SOCIAL CMED VI1 D</v>
          </cell>
        </row>
        <row r="2932">
          <cell r="B2932" t="str">
            <v>14011206010430</v>
          </cell>
          <cell r="C2932" t="str">
            <v>LPC RP MED PZ PREST SOSTENIBLE CMED VIG 1 D</v>
          </cell>
        </row>
        <row r="2933">
          <cell r="B2933" t="str">
            <v>14011206010431</v>
          </cell>
          <cell r="C2933" t="str">
            <v>LPC RP MED PZ PREST SOSTENIBLE CMED VIG 1 D</v>
          </cell>
        </row>
        <row r="2934">
          <cell r="B2934" t="str">
            <v>14011206010432</v>
          </cell>
          <cell r="C2934" t="str">
            <v>LPC IMPULSO MYPERU CORTO PLAZO VIG REV C1 D</v>
          </cell>
        </row>
        <row r="2935">
          <cell r="B2935" t="str">
            <v>14011206010433</v>
          </cell>
          <cell r="C2935" t="str">
            <v>LPC IMPULSO MYPERU MEDIANO PLAZO VIG REV1 D</v>
          </cell>
        </row>
        <row r="2936">
          <cell r="B2936" t="str">
            <v>14011206010434</v>
          </cell>
          <cell r="C2936" t="str">
            <v>MYP LINEA REVOLV CIMA VIG NORM CMED     1 D</v>
          </cell>
        </row>
        <row r="2937">
          <cell r="B2937" t="str">
            <v>14011206010435</v>
          </cell>
          <cell r="C2937" t="str">
            <v>MYP LINEA REVOLV CIMA VIG DUPE CMED     1 D</v>
          </cell>
        </row>
        <row r="2938">
          <cell r="B2938" t="str">
            <v>14011206010436</v>
          </cell>
          <cell r="C2938" t="str">
            <v>LPC PAG PAPERLESS DERIVADOS REVOL CMED N1ND</v>
          </cell>
        </row>
        <row r="2939">
          <cell r="B2939" t="str">
            <v>14011206010437</v>
          </cell>
          <cell r="C2939" t="str">
            <v>LPC PAG PAPERLESS DERIVADOS REVOL CMED D1ND</v>
          </cell>
        </row>
        <row r="2940">
          <cell r="B2940" t="str">
            <v>14011206010438</v>
          </cell>
          <cell r="C2940" t="str">
            <v>CCD-BPE LINEA REVOLVENTE_CMED VIG NORM  1 D</v>
          </cell>
        </row>
        <row r="2941">
          <cell r="B2941" t="str">
            <v>14011206010439</v>
          </cell>
          <cell r="C2941" t="str">
            <v>CCD-BPE LINEA REVOLVENTE_CMED VIG DUPE  1 D</v>
          </cell>
        </row>
        <row r="2942">
          <cell r="B2942" t="str">
            <v>14011206020101</v>
          </cell>
          <cell r="C2942" t="str">
            <v>MYP CAP.VIG CAP. TRAB. CMED             1ND</v>
          </cell>
        </row>
        <row r="2943">
          <cell r="B2943" t="str">
            <v>14011206020102</v>
          </cell>
          <cell r="C2943" t="str">
            <v>MYP CAP COMPRA AF CMED                  1ND</v>
          </cell>
        </row>
        <row r="2944">
          <cell r="B2944" t="str">
            <v>14011206020103</v>
          </cell>
          <cell r="C2944" t="str">
            <v>MYP CAP.VIG.FIN. CRED. PARAL.CMED       1ND</v>
          </cell>
        </row>
        <row r="2945">
          <cell r="B2945" t="str">
            <v>14011206020104</v>
          </cell>
          <cell r="C2945" t="str">
            <v>MYP D/P CAP VIG CAP.TRAB CMED           1ND</v>
          </cell>
        </row>
        <row r="2946">
          <cell r="B2946" t="str">
            <v>14011206020105</v>
          </cell>
          <cell r="C2946" t="str">
            <v>MYP D/P CAP VIG.AF INMUEBLE CMED        1ND</v>
          </cell>
        </row>
        <row r="2947">
          <cell r="B2947" t="str">
            <v>14011206020106</v>
          </cell>
          <cell r="C2947" t="str">
            <v>MYP D/P CAP VIG.AF INMUEBLE CMED        1ND</v>
          </cell>
        </row>
        <row r="2948">
          <cell r="B2948" t="str">
            <v>14011206020107</v>
          </cell>
          <cell r="C2948" t="str">
            <v>MYP D/P CAP VIG.AF INMUEBLE CMED        1ND</v>
          </cell>
        </row>
        <row r="2949">
          <cell r="B2949" t="str">
            <v>14011206020108</v>
          </cell>
          <cell r="C2949" t="str">
            <v>MYP CAP.VIG.COMP DEUDA CMED             1ND</v>
          </cell>
        </row>
        <row r="2950">
          <cell r="B2950" t="str">
            <v>14011206020109</v>
          </cell>
          <cell r="C2950" t="str">
            <v>MYP D/P CAP VIG FIN. COMP.DEU CMED      1ND</v>
          </cell>
        </row>
        <row r="2951">
          <cell r="B2951" t="str">
            <v>14011206020110</v>
          </cell>
          <cell r="C2951" t="str">
            <v>MYP CAP.VIG.FIN. CRED. PARAL. CMED      1ND</v>
          </cell>
        </row>
        <row r="2952">
          <cell r="B2952" t="str">
            <v>14011206020111</v>
          </cell>
          <cell r="C2952" t="str">
            <v>MYP CAP.VIG.TRANSP PUBLIC CMED          1ND</v>
          </cell>
        </row>
        <row r="2953">
          <cell r="B2953" t="str">
            <v>14011206020112</v>
          </cell>
          <cell r="C2953" t="str">
            <v>MYP D/P CAP VIG TRANSP PUB CMED         1ND</v>
          </cell>
        </row>
        <row r="2954">
          <cell r="B2954" t="str">
            <v>14011206020113</v>
          </cell>
          <cell r="C2954" t="str">
            <v>MYP D/P CAP VIG CRED ESTACIONAL CMED    1ND</v>
          </cell>
        </row>
        <row r="2955">
          <cell r="B2955" t="str">
            <v>14011206020114</v>
          </cell>
          <cell r="C2955" t="str">
            <v>MYP COMP DEUD AF VIG CMED VIG           1ND</v>
          </cell>
        </row>
        <row r="2956">
          <cell r="B2956" t="str">
            <v>14011206020115</v>
          </cell>
          <cell r="C2956" t="str">
            <v>MYP COMP DEUD AF VIG CMED VIG D/P       1ND</v>
          </cell>
        </row>
        <row r="2957">
          <cell r="B2957" t="str">
            <v>14011206020116</v>
          </cell>
          <cell r="C2957" t="str">
            <v>MYP E.R.CAP.VIG.FIN. CAP. TRAB CMED     1ND</v>
          </cell>
        </row>
        <row r="2958">
          <cell r="B2958" t="str">
            <v>14011206020117</v>
          </cell>
          <cell r="C2958" t="str">
            <v>MYP E.R.CAP.VIG.FIN. CAP. TRAB CMED D/P 1ND</v>
          </cell>
        </row>
        <row r="2959">
          <cell r="B2959" t="str">
            <v>14011206020118</v>
          </cell>
          <cell r="C2959" t="str">
            <v>MYP ER VIG FIN CAP TRA DUP CMED         1ND</v>
          </cell>
        </row>
        <row r="2960">
          <cell r="B2960" t="str">
            <v>14011206020119</v>
          </cell>
          <cell r="C2960" t="str">
            <v>MYP CAP.VIG CAP. TRAB. CMED PRO.REFIN   1ND</v>
          </cell>
        </row>
        <row r="2961">
          <cell r="B2961" t="str">
            <v>14011206020120</v>
          </cell>
          <cell r="C2961" t="str">
            <v>MYP CAP.TRAB.REUT.VIG.CMED              1ND</v>
          </cell>
        </row>
        <row r="2962">
          <cell r="B2962" t="str">
            <v>14011206020121</v>
          </cell>
          <cell r="C2962" t="str">
            <v>MYP DUPE CAP.VIG CAP. TRAB. CMED PRO.REF1ND</v>
          </cell>
        </row>
        <row r="2963">
          <cell r="B2963" t="str">
            <v>14011206020201</v>
          </cell>
          <cell r="C2963" t="str">
            <v>HPC ME CAP.VIG. EFEC C/GARANT. HIP.     1ND</v>
          </cell>
        </row>
        <row r="2964">
          <cell r="B2964" t="str">
            <v>14011206020202</v>
          </cell>
          <cell r="C2964" t="str">
            <v>HPC ME D/P CAP VIG EFEC C/GARANT. HIP.  1ND</v>
          </cell>
        </row>
        <row r="2965">
          <cell r="B2965" t="str">
            <v>14011206020301</v>
          </cell>
          <cell r="C2965" t="str">
            <v>MYP D/P PAG BPE-BE VIG COMERCIAL CMED   1ND</v>
          </cell>
        </row>
        <row r="2966">
          <cell r="B2966" t="str">
            <v>14011206020302</v>
          </cell>
          <cell r="C2966" t="str">
            <v>MYP PAG BPE-BE COMERCIAL VIG NORM CMED  1ND</v>
          </cell>
        </row>
        <row r="2967">
          <cell r="B2967" t="str">
            <v>14011206020303</v>
          </cell>
          <cell r="C2967" t="str">
            <v>MYP CAP VIG CAP.TRAB CIMA NOR/DP CMED   1ND</v>
          </cell>
        </row>
        <row r="2968">
          <cell r="B2968" t="str">
            <v>14011206020304</v>
          </cell>
          <cell r="C2968" t="str">
            <v>MYP CODIFE FONDO CRECER VIG CMED\DUPE   1ND</v>
          </cell>
        </row>
        <row r="2969">
          <cell r="B2969" t="str">
            <v>14011206020305</v>
          </cell>
          <cell r="C2969" t="str">
            <v>MYP CODIFE FONDO CRECER VIG CMED\NORM   1ND</v>
          </cell>
        </row>
        <row r="2970">
          <cell r="B2970" t="str">
            <v>14011206020306</v>
          </cell>
          <cell r="C2970" t="str">
            <v>MYP CODIFE REACTIVA PERU VIG CMED\DUPE  1ND</v>
          </cell>
        </row>
        <row r="2971">
          <cell r="B2971" t="str">
            <v>14011206020307</v>
          </cell>
          <cell r="C2971" t="str">
            <v>MYP CODIFE REACTIVA PERU VIG CMED\NORM  1ND</v>
          </cell>
        </row>
        <row r="2972">
          <cell r="B2972" t="str">
            <v>14011206020308</v>
          </cell>
          <cell r="C2972" t="str">
            <v>LPC PAG TV RP MED PLAZO NO REV          1ND</v>
          </cell>
        </row>
        <row r="2973">
          <cell r="B2973" t="str">
            <v>14011206020309</v>
          </cell>
          <cell r="C2973" t="str">
            <v>PAG TASA VENCIDA - LPC CMED             1ND</v>
          </cell>
        </row>
        <row r="2974">
          <cell r="B2974" t="str">
            <v>14011206020310</v>
          </cell>
          <cell r="C2974" t="str">
            <v>LPC PAG DERIVADOS NO REVOL CMED         1ND</v>
          </cell>
        </row>
        <row r="2975">
          <cell r="B2975" t="str">
            <v>14011206020311</v>
          </cell>
          <cell r="C2975" t="str">
            <v>LPC PAGINMOB REPROG-SUSPENSO VIG CMED NO1ND</v>
          </cell>
        </row>
        <row r="2976">
          <cell r="B2976" t="str">
            <v>14011206020312</v>
          </cell>
          <cell r="C2976" t="str">
            <v>LPC PAG COMERC REPROG-SUSPENSO VIG CMED 1ND</v>
          </cell>
        </row>
        <row r="2977">
          <cell r="B2977" t="str">
            <v>14011206020313</v>
          </cell>
          <cell r="C2977" t="str">
            <v>LPC COFIDE FONDO CRECER VIG CMED\NORM   1ND</v>
          </cell>
        </row>
        <row r="2978">
          <cell r="B2978" t="str">
            <v>14011206020314</v>
          </cell>
          <cell r="C2978" t="str">
            <v>LPC REACTIVA PERU VIG CMED\NORM         1ND</v>
          </cell>
        </row>
        <row r="2979">
          <cell r="B2979" t="str">
            <v>14011206020315</v>
          </cell>
          <cell r="C2979" t="str">
            <v>LPC PAG TV RP NO REVOL CPEM             1ND</v>
          </cell>
        </row>
        <row r="2980">
          <cell r="B2980" t="str">
            <v>14011206020316</v>
          </cell>
          <cell r="C2980" t="str">
            <v>LPC PAG TV RP MED PLAZO NO REV          1ND</v>
          </cell>
        </row>
        <row r="2981">
          <cell r="B2981" t="str">
            <v>14011206020317</v>
          </cell>
          <cell r="C2981" t="str">
            <v>PAG TASA VENCIDA - LPC CMED             1ND</v>
          </cell>
        </row>
        <row r="2982">
          <cell r="B2982" t="str">
            <v>14011206020318</v>
          </cell>
          <cell r="C2982" t="str">
            <v>LPC PAG DERIVADOS NO REVOL CMED         1ND</v>
          </cell>
        </row>
        <row r="2983">
          <cell r="B2983" t="str">
            <v>14011206020319</v>
          </cell>
          <cell r="C2983" t="str">
            <v>LPC PAGINMOB REPROG-SUSPENSO VIG CMED NO1ND</v>
          </cell>
        </row>
        <row r="2984">
          <cell r="B2984" t="str">
            <v>14011206020320</v>
          </cell>
          <cell r="C2984" t="str">
            <v>LPC PAG COMERC REPROG-SUSPENSO VIG CMED 1ND</v>
          </cell>
        </row>
        <row r="2985">
          <cell r="B2985" t="str">
            <v>14011206020321</v>
          </cell>
          <cell r="C2985" t="str">
            <v>LPC COFIDE FONDO CRECER VIG CMED\NORM   1ND</v>
          </cell>
        </row>
        <row r="2986">
          <cell r="B2986" t="str">
            <v>14011206020322</v>
          </cell>
          <cell r="C2986" t="str">
            <v>LPC REACTIVA PERU VIG CMED\NORM         1ND</v>
          </cell>
        </row>
        <row r="2987">
          <cell r="B2987" t="str">
            <v>14011206020323</v>
          </cell>
          <cell r="C2987" t="str">
            <v>LPC PAG TV RP NO REVOL CPEM             1ND</v>
          </cell>
        </row>
        <row r="2988">
          <cell r="B2988" t="str">
            <v>14011206020324</v>
          </cell>
          <cell r="C2988" t="str">
            <v>LPC PAG TV D/P NO REVOL CMED            1ND</v>
          </cell>
        </row>
        <row r="2989">
          <cell r="B2989" t="str">
            <v>14011206020325</v>
          </cell>
          <cell r="C2989" t="str">
            <v>LPC PAG DERIVADOS D/P NO REV VIG CMED   1 D</v>
          </cell>
        </row>
        <row r="2990">
          <cell r="B2990" t="str">
            <v>14011206020326</v>
          </cell>
          <cell r="C2990" t="str">
            <v>LPC REACTIVA PERU VIG CMED\DUPE         1 D</v>
          </cell>
        </row>
        <row r="2991">
          <cell r="B2991" t="str">
            <v>14011206020333</v>
          </cell>
          <cell r="C2991" t="str">
            <v>LPC 30K REACTIVA CORTO PLAZO REPROG VIG 1 D</v>
          </cell>
        </row>
        <row r="2992">
          <cell r="B2992" t="str">
            <v>14011206020334</v>
          </cell>
          <cell r="C2992" t="str">
            <v>LPC 30K REACTIVA CORTO PLAZO REPROG VIG 1 D</v>
          </cell>
        </row>
        <row r="2993">
          <cell r="B2993" t="str">
            <v>14011206020335</v>
          </cell>
          <cell r="C2993" t="str">
            <v>MYP REACTIVA REPROG VIG CMED            1 D</v>
          </cell>
        </row>
        <row r="2994">
          <cell r="B2994" t="str">
            <v>14011206020338</v>
          </cell>
          <cell r="C2994" t="str">
            <v>HPC ME CRED VEHICULAR NRV VIGENTE       1 D</v>
          </cell>
        </row>
        <row r="2995">
          <cell r="B2995" t="str">
            <v>14011206020339</v>
          </cell>
          <cell r="C2995" t="str">
            <v>HPC ME D/P CRED VEHICULAR NRV VIGENTE   1 D</v>
          </cell>
        </row>
        <row r="2996">
          <cell r="B2996" t="str">
            <v>14011206020340</v>
          </cell>
          <cell r="C2996" t="str">
            <v>LIC CRED CONV VIG MED EMPR NO REV       1 D</v>
          </cell>
        </row>
        <row r="2997">
          <cell r="B2997" t="str">
            <v>14011206020341</v>
          </cell>
          <cell r="C2997" t="str">
            <v>LPC PAG TV INMOBILIARIO NO REV          1 D</v>
          </cell>
        </row>
        <row r="2998">
          <cell r="B2998" t="str">
            <v>14011206020342</v>
          </cell>
          <cell r="C2998" t="str">
            <v>LPC PAG TV INMOBILIARIO NO REV D/P      1 D</v>
          </cell>
        </row>
        <row r="2999">
          <cell r="B2999" t="str">
            <v>14011206020343</v>
          </cell>
          <cell r="C2999" t="str">
            <v>LPC PAG TV RP MED PLAZO NO REV D/P      1 D</v>
          </cell>
        </row>
        <row r="3000">
          <cell r="B3000" t="str">
            <v>14011206020344</v>
          </cell>
          <cell r="C3000" t="str">
            <v>HPC ME D/P CRED EFECTIVO NRV VIG        1 D</v>
          </cell>
        </row>
        <row r="3001">
          <cell r="B3001" t="str">
            <v>14011206020345</v>
          </cell>
          <cell r="C3001" t="str">
            <v>LPC REPROG REACTIVA DIFE CMED VIG       1 D</v>
          </cell>
        </row>
        <row r="3002">
          <cell r="B3002" t="str">
            <v>14011206020346</v>
          </cell>
          <cell r="C3002" t="str">
            <v>HPC CRED NRV VEHICULAR VIGENTE CMED NORM1 D</v>
          </cell>
        </row>
        <row r="3003">
          <cell r="B3003" t="str">
            <v>14011206020347</v>
          </cell>
          <cell r="C3003" t="str">
            <v>HPC CRED NRV VEHICULAR VIGENTE CMED DUPE1 D</v>
          </cell>
        </row>
        <row r="3004">
          <cell r="B3004" t="str">
            <v>14011206020348</v>
          </cell>
          <cell r="C3004" t="str">
            <v>LPC REPROG REACTIVA DS.011-2022 CMED NOR1 D</v>
          </cell>
        </row>
        <row r="3005">
          <cell r="B3005" t="str">
            <v>14011206020349</v>
          </cell>
          <cell r="C3005" t="str">
            <v>LPC REPROG REACTIVA DS.011-2022 CMED DUP1 D</v>
          </cell>
        </row>
        <row r="3006">
          <cell r="B3006" t="str">
            <v>14011206020350</v>
          </cell>
          <cell r="C3006" t="str">
            <v>MYP REPROG REACTIVA DS.011-2022 CMED NOR1 D</v>
          </cell>
        </row>
        <row r="3007">
          <cell r="B3007" t="str">
            <v>14011206020351</v>
          </cell>
          <cell r="C3007" t="str">
            <v>MYP REPROG REACTIVA DS.011-2022 CMED DUP1 D</v>
          </cell>
        </row>
        <row r="3008">
          <cell r="B3008" t="str">
            <v>14011206020362</v>
          </cell>
          <cell r="C3008" t="str">
            <v>MYP CAP_TRAB_CIMA CMED VIG NORM         1 D</v>
          </cell>
        </row>
        <row r="3009">
          <cell r="B3009" t="str">
            <v>14011206020363</v>
          </cell>
          <cell r="C3009" t="str">
            <v>MYP CAP_TRAB_CIMA CMED VIG DUPE         1 D</v>
          </cell>
        </row>
        <row r="3010">
          <cell r="B3010" t="str">
            <v>14011206020364</v>
          </cell>
          <cell r="C3010" t="str">
            <v>MYP REPROGRAMADO CIMA CMED VIG NORM     1 D</v>
          </cell>
        </row>
        <row r="3011">
          <cell r="B3011" t="str">
            <v>14011206020365</v>
          </cell>
          <cell r="C3011" t="str">
            <v>MYP REPROGRAMADO CIMA CMED VIG DUPE     1 D</v>
          </cell>
        </row>
        <row r="3012">
          <cell r="B3012" t="str">
            <v>14011206020366</v>
          </cell>
          <cell r="C3012" t="str">
            <v>LPC RP MED PZ PREST VERDE-SOCIAL CMED VI1 D</v>
          </cell>
        </row>
        <row r="3013">
          <cell r="B3013" t="str">
            <v>14011206020367</v>
          </cell>
          <cell r="C3013" t="str">
            <v>LPC RP MED PZ PREST SOSTENIBLE CMED VIG 1 D</v>
          </cell>
        </row>
        <row r="3014">
          <cell r="B3014" t="str">
            <v>14011206020368</v>
          </cell>
          <cell r="C3014" t="str">
            <v>LPC RP MED PZ PREST VERDE-SOCIAL CMED VI1 D</v>
          </cell>
        </row>
        <row r="3015">
          <cell r="B3015" t="str">
            <v>14011206020369</v>
          </cell>
          <cell r="C3015" t="str">
            <v>LPC RP MED PZ PREST SOSTENIBLE CMED VIG 1 D</v>
          </cell>
        </row>
        <row r="3016">
          <cell r="B3016" t="str">
            <v>14011206020370</v>
          </cell>
          <cell r="C3016" t="str">
            <v>MYP REPROG REACTIVA 2023 CMED NORM VIG  1 D</v>
          </cell>
        </row>
        <row r="3017">
          <cell r="B3017" t="str">
            <v>14011206020371</v>
          </cell>
          <cell r="C3017" t="str">
            <v>MYP REPROG REACTIVA 2023 CMED DUPE VIG  1 D</v>
          </cell>
        </row>
        <row r="3018">
          <cell r="B3018" t="str">
            <v>14011206020372</v>
          </cell>
          <cell r="C3018" t="str">
            <v>LPC REPROG REACTIVA 2023 VIG CMED NORM  1 D</v>
          </cell>
        </row>
        <row r="3019">
          <cell r="B3019" t="str">
            <v>14011206020373</v>
          </cell>
          <cell r="C3019" t="str">
            <v>LPC REPROG REACTIVA 2023 VIG CMED DUPE  1 D</v>
          </cell>
        </row>
        <row r="3020">
          <cell r="B3020" t="str">
            <v>14011206020374</v>
          </cell>
          <cell r="C3020" t="str">
            <v>MYP CAP. TRAB - PAGARE DIGITAL_CMED NORM1 D</v>
          </cell>
        </row>
        <row r="3021">
          <cell r="B3021" t="str">
            <v>14011206020375</v>
          </cell>
          <cell r="C3021" t="str">
            <v>MYP CAP. TRAB - PAGARE DIGITAL_CMED DUPE1 D</v>
          </cell>
        </row>
        <row r="3022">
          <cell r="B3022" t="str">
            <v>14011206020376</v>
          </cell>
          <cell r="C3022" t="str">
            <v>LPC PAG TV INMOBILIARIO NO REV          1 D</v>
          </cell>
        </row>
        <row r="3023">
          <cell r="B3023" t="str">
            <v>14011206020377</v>
          </cell>
          <cell r="C3023" t="str">
            <v>LPC PAG TV INMOBILIARIO NO REV D/P      1 D</v>
          </cell>
        </row>
        <row r="3024">
          <cell r="B3024" t="str">
            <v>14011206020378</v>
          </cell>
          <cell r="C3024" t="str">
            <v>LPC PAG TV RP MED PLAZO NO REV D/P      1 D</v>
          </cell>
        </row>
        <row r="3025">
          <cell r="B3025" t="str">
            <v>14011206020379</v>
          </cell>
          <cell r="C3025" t="str">
            <v>LPC PAG TV RP MED PLAZO NO REV D/P      1 D</v>
          </cell>
        </row>
        <row r="3026">
          <cell r="B3026" t="str">
            <v>14011206020380</v>
          </cell>
          <cell r="C3026" t="str">
            <v>LPC PAG TV INMOBILIARIO NO REV          1 D</v>
          </cell>
        </row>
        <row r="3027">
          <cell r="B3027" t="str">
            <v>14011206020381</v>
          </cell>
          <cell r="C3027" t="str">
            <v>LPC PAG TV INMOBILIARIO NO REV D/P      1 D</v>
          </cell>
        </row>
        <row r="3028">
          <cell r="B3028" t="str">
            <v>14011206020382</v>
          </cell>
          <cell r="C3028" t="str">
            <v>LPC PAG TV RP MED PLAZO NO REV D/P      1 D</v>
          </cell>
        </row>
        <row r="3029">
          <cell r="B3029" t="str">
            <v>14011206020383</v>
          </cell>
          <cell r="C3029" t="str">
            <v>LPC PAG TV RP MED PLAZO NO REV D/P      1 D</v>
          </cell>
        </row>
        <row r="3030">
          <cell r="B3030" t="str">
            <v>14011206020384</v>
          </cell>
          <cell r="C3030" t="str">
            <v>MYP IMPULSO MYPERU VIG CMED DUPE        1 D</v>
          </cell>
        </row>
        <row r="3031">
          <cell r="B3031" t="str">
            <v>14011206020385</v>
          </cell>
          <cell r="C3031" t="str">
            <v>MYP IMPULSO MYPERU VIG CMED NORM        1 D</v>
          </cell>
        </row>
        <row r="3032">
          <cell r="B3032" t="str">
            <v>14011206020386</v>
          </cell>
          <cell r="C3032" t="str">
            <v>LPC IMPULSO MYPERU CORTO PLAZO VIG NREV 1 D</v>
          </cell>
        </row>
        <row r="3033">
          <cell r="B3033" t="str">
            <v>14011206020387</v>
          </cell>
          <cell r="C3033" t="str">
            <v>LPC IMPULSO MYPERU MEDIANO PLAZO VIG NRE1 D</v>
          </cell>
        </row>
        <row r="3034">
          <cell r="B3034" t="str">
            <v>14011206020388</v>
          </cell>
          <cell r="C3034" t="str">
            <v>LPC PAG TV INMOBILIARIO NO REV CMED     1 D</v>
          </cell>
        </row>
        <row r="3035">
          <cell r="B3035" t="str">
            <v>14011206020389</v>
          </cell>
          <cell r="C3035" t="str">
            <v>HPC ME CRED EFECT NRV VIG GRUPO IBK     1 D</v>
          </cell>
        </row>
        <row r="3036">
          <cell r="B3036" t="str">
            <v>14011206020390</v>
          </cell>
          <cell r="C3036" t="str">
            <v>MYP CAPITAL DE TRAB CIMA REUT DIF VIG CM1 D</v>
          </cell>
        </row>
        <row r="3037">
          <cell r="B3037" t="str">
            <v>14011206020391</v>
          </cell>
          <cell r="C3037" t="str">
            <v>MYP CAPITAL DE TRAB CIMA REUT DIF VIG CM1 D</v>
          </cell>
        </row>
        <row r="3038">
          <cell r="B3038" t="str">
            <v>14011206020392</v>
          </cell>
          <cell r="C3038" t="str">
            <v>MYP CAP TRAB PER GRACIA PARCIAL VIG NORM1 D</v>
          </cell>
        </row>
        <row r="3039">
          <cell r="B3039" t="str">
            <v>14011206020393</v>
          </cell>
          <cell r="C3039" t="str">
            <v>MYP CAP TRAB PER GRACIA PARCIAL VIG DUPE1 D</v>
          </cell>
        </row>
        <row r="3040">
          <cell r="B3040" t="str">
            <v>14011206020394</v>
          </cell>
          <cell r="C3040" t="str">
            <v>MYP REPROG PERIODO GRACIA PARCIAL VIG CM1 D</v>
          </cell>
        </row>
        <row r="3041">
          <cell r="B3041" t="str">
            <v>14011206020395</v>
          </cell>
          <cell r="C3041" t="str">
            <v>MYP REPROG PERIODO GRACIA PARCIAL VIG CM1 D</v>
          </cell>
        </row>
        <row r="3042">
          <cell r="B3042" t="str">
            <v>14011206020396</v>
          </cell>
          <cell r="C3042" t="str">
            <v>LPC PAG PAPERLESS DERIVADOS NO REVOL CME1ND</v>
          </cell>
        </row>
        <row r="3043">
          <cell r="B3043" t="str">
            <v>14011206020397</v>
          </cell>
          <cell r="C3043" t="str">
            <v>LPC PAG PAPERLESS DERIVADOS NO REVOL CME1ND</v>
          </cell>
        </row>
        <row r="3044">
          <cell r="B3044" t="str">
            <v>14011206020398</v>
          </cell>
          <cell r="C3044" t="str">
            <v>CCD-BPE CAPITAL DE TRABAJO_CMED VIG NORM1 D</v>
          </cell>
        </row>
        <row r="3045">
          <cell r="B3045" t="str">
            <v>14011206020399</v>
          </cell>
          <cell r="C3045" t="str">
            <v>CCD-BPE CAPITAL DE TRABAJO_CMED VIG DUPE1 D</v>
          </cell>
        </row>
        <row r="3046">
          <cell r="B3046" t="str">
            <v>14011206020400</v>
          </cell>
          <cell r="C3046" t="str">
            <v>CCD-BPE CAP DE TRAB REPROG_CMED VIG NORM1 D</v>
          </cell>
        </row>
        <row r="3047">
          <cell r="B3047" t="str">
            <v>14011206020401</v>
          </cell>
          <cell r="C3047" t="str">
            <v>CCD-BPE CAP DE TRAB REPROG_CMED VIG DUPE1 D</v>
          </cell>
        </row>
        <row r="3048">
          <cell r="B3048" t="str">
            <v>14011206090101</v>
          </cell>
          <cell r="C3048" t="str">
            <v>LIC CRED CONV VIG MED EMPR NO REV       1ND</v>
          </cell>
        </row>
        <row r="3049">
          <cell r="B3049" t="str">
            <v>14011206090102</v>
          </cell>
          <cell r="C3049" t="str">
            <v>LIC DP CRED CONV VIG MED EMPR NO REV    1ND</v>
          </cell>
        </row>
        <row r="3050">
          <cell r="B3050" t="str">
            <v>14011206090103</v>
          </cell>
          <cell r="C3050" t="str">
            <v>LPC PAG.INMOB. REPROG-SUSPENSO VIG CMED 1ND</v>
          </cell>
        </row>
        <row r="3051">
          <cell r="B3051" t="str">
            <v>14011206090201</v>
          </cell>
          <cell r="C3051" t="str">
            <v>HPC ME CRED EFECT NRV VIG               1ND</v>
          </cell>
        </row>
        <row r="3052">
          <cell r="B3052" t="str">
            <v>14011206090202</v>
          </cell>
          <cell r="C3052" t="str">
            <v>HPC ME CRED VEHICULAR NRV VIGENTE       1ND</v>
          </cell>
        </row>
        <row r="3053">
          <cell r="B3053" t="str">
            <v>14011206090203</v>
          </cell>
          <cell r="C3053" t="str">
            <v>HPC ME D/P CRED EFECTIVO NRV VIGENTE    1ND</v>
          </cell>
        </row>
        <row r="3054">
          <cell r="B3054" t="str">
            <v>14011206090204</v>
          </cell>
          <cell r="C3054" t="str">
            <v>HPC ME D/P CRED VEHICULAR NRV VIGENTE   1ND</v>
          </cell>
        </row>
        <row r="3055">
          <cell r="B3055" t="str">
            <v>14011206090301</v>
          </cell>
          <cell r="C3055" t="str">
            <v>CL PAG. TV D/P NO REVOL VIG CMED        1ND</v>
          </cell>
        </row>
        <row r="3056">
          <cell r="B3056" t="str">
            <v>14011206090302</v>
          </cell>
          <cell r="C3056" t="str">
            <v>CL PAG TV NO REVOLV VIG  CMED           1ND</v>
          </cell>
        </row>
        <row r="3057">
          <cell r="B3057" t="str">
            <v>14011206090303</v>
          </cell>
          <cell r="C3057" t="str">
            <v>CL PAG.TV NEG.INMOBIL NO REVOLV VIG CMED1ND</v>
          </cell>
        </row>
        <row r="3058">
          <cell r="B3058" t="str">
            <v>14011206090304</v>
          </cell>
          <cell r="C3058" t="str">
            <v>CL P.TV OTROS SUSP.NO REV VIG CMED      1ND</v>
          </cell>
        </row>
        <row r="3059">
          <cell r="B3059" t="str">
            <v>14011206090305</v>
          </cell>
          <cell r="C3059" t="str">
            <v>CL P.TV REC.COFIDE.  NO REV VIG CMED    1ND</v>
          </cell>
        </row>
        <row r="3060">
          <cell r="B3060" t="str">
            <v>14011206090306</v>
          </cell>
          <cell r="C3060" t="str">
            <v>CL PAG.DEUD.VTA CARTERA VIG. CMED       1ND</v>
          </cell>
        </row>
        <row r="3061">
          <cell r="B3061" t="str">
            <v>14011206090401</v>
          </cell>
          <cell r="C3061" t="str">
            <v>LPC PAG TV D/P NO REV VIG CMED          1ND</v>
          </cell>
        </row>
        <row r="3062">
          <cell r="B3062" t="str">
            <v>14011206090402</v>
          </cell>
          <cell r="C3062" t="str">
            <v>LPC PAG TV RP NO REVOL CMED             1ND</v>
          </cell>
        </row>
        <row r="3063">
          <cell r="B3063" t="str">
            <v>14011206090403</v>
          </cell>
          <cell r="C3063" t="str">
            <v>LPC PAG TV RP MED PLAZO NO REV          1ND</v>
          </cell>
        </row>
        <row r="3064">
          <cell r="B3064" t="str">
            <v>14011206090404</v>
          </cell>
          <cell r="C3064" t="str">
            <v>LPC PAG TV RP MED PLAZO NO REV D/P      1ND</v>
          </cell>
        </row>
        <row r="3065">
          <cell r="B3065" t="str">
            <v>14011206090405</v>
          </cell>
          <cell r="C3065" t="str">
            <v>LPC PAG TV INMOBILIARIO NO REV          1ND</v>
          </cell>
        </row>
        <row r="3066">
          <cell r="B3066" t="str">
            <v>14011206090406</v>
          </cell>
          <cell r="C3066" t="str">
            <v>LPC PAG TV INMOBILIARIO NO REV D/P      1ND</v>
          </cell>
        </row>
        <row r="3067">
          <cell r="B3067" t="str">
            <v>14011206090407</v>
          </cell>
          <cell r="C3067" t="str">
            <v>LPC PAG TV NO REVOL EUROS               1ND</v>
          </cell>
        </row>
        <row r="3068">
          <cell r="B3068" t="str">
            <v>14011206090408</v>
          </cell>
          <cell r="C3068" t="str">
            <v>LPC PAG TV NO REVOL EUROS               1ND</v>
          </cell>
        </row>
        <row r="3069">
          <cell r="B3069" t="str">
            <v>14011206090409</v>
          </cell>
          <cell r="C3069" t="str">
            <v>PAGARE TASA VENCIDA D/P LPC CMED        1ND</v>
          </cell>
        </row>
        <row r="3070">
          <cell r="B3070" t="str">
            <v>14011206090410</v>
          </cell>
          <cell r="C3070" t="str">
            <v>PAG TASA VENCIDA - LPC CMED             1ND</v>
          </cell>
        </row>
        <row r="3071">
          <cell r="B3071" t="str">
            <v>14011206090411</v>
          </cell>
          <cell r="C3071" t="str">
            <v>LPC PAG DERIVADOS NO REVOL CMED         1ND</v>
          </cell>
        </row>
        <row r="3072">
          <cell r="B3072" t="str">
            <v>14011206090412</v>
          </cell>
          <cell r="C3072" t="str">
            <v>LPC PAG DERIVADOS D/P NO REV VIG CMED   1ND</v>
          </cell>
        </row>
        <row r="3073">
          <cell r="B3073" t="str">
            <v>14011206090413</v>
          </cell>
          <cell r="C3073" t="str">
            <v>LPC PAG REPROGRAMADO NO REV CMED        1ND</v>
          </cell>
        </row>
        <row r="3074">
          <cell r="B3074" t="str">
            <v>14011206090414</v>
          </cell>
          <cell r="C3074" t="str">
            <v>LPC PAG REPROGRAMADO NO REVOL VIG D/P CM1ND</v>
          </cell>
        </row>
        <row r="3075">
          <cell r="B3075" t="str">
            <v>14011206090415</v>
          </cell>
          <cell r="C3075" t="str">
            <v>LPC PAG.INMOB. REPROG-SUSPENSO VIG CMED 1ND</v>
          </cell>
        </row>
        <row r="3076">
          <cell r="B3076" t="str">
            <v>14011206090416</v>
          </cell>
          <cell r="C3076" t="str">
            <v>LPC PAG COMERC REPROG-SUSPENSO VIG CMED 1ND</v>
          </cell>
        </row>
        <row r="3077">
          <cell r="B3077" t="str">
            <v>14011206090425</v>
          </cell>
          <cell r="C3077" t="str">
            <v>LPC REACTIVA PERU VIG CMED\NORM         1ND</v>
          </cell>
        </row>
        <row r="3078">
          <cell r="B3078" t="str">
            <v>14011206090426</v>
          </cell>
          <cell r="C3078" t="str">
            <v>LPC REACTIVA PERU VIG CMED\DUPE         1ND</v>
          </cell>
        </row>
        <row r="3079">
          <cell r="B3079" t="str">
            <v>14011206090427</v>
          </cell>
          <cell r="C3079" t="str">
            <v>LPC COFIDE FONDOS PERU VIG CMED\NORM    1ND</v>
          </cell>
        </row>
        <row r="3080">
          <cell r="B3080" t="str">
            <v>14011206090428</v>
          </cell>
          <cell r="C3080" t="str">
            <v>LPC COFIDE FONDOS PERU VIG CMED\DUPE    1ND</v>
          </cell>
        </row>
        <row r="3081">
          <cell r="B3081" t="str">
            <v>14011206090429</v>
          </cell>
          <cell r="C3081" t="str">
            <v>LPC COFIDE FONDO CRECER VIG CMED\DUPE   1ND</v>
          </cell>
        </row>
        <row r="3082">
          <cell r="B3082" t="str">
            <v>14011206090430</v>
          </cell>
          <cell r="C3082" t="str">
            <v>LPC COFIDE FONDO CRECER VIG CMED\NORM   1ND</v>
          </cell>
        </row>
        <row r="3083">
          <cell r="B3083" t="str">
            <v>14011206090431</v>
          </cell>
          <cell r="C3083" t="str">
            <v>LPC REACTIVA PERU VIG CMED\DUPE         1ND</v>
          </cell>
        </row>
        <row r="3084">
          <cell r="B3084" t="str">
            <v>14011206090432</v>
          </cell>
          <cell r="C3084" t="str">
            <v>LPC REACTIVA PERU VIG CMED\NORM         1ND</v>
          </cell>
        </row>
        <row r="3085">
          <cell r="B3085" t="str">
            <v>14011206090434</v>
          </cell>
          <cell r="C3085" t="str">
            <v>LPC PAG MEDIANO PLAZO COVID-19 CMED NO.R1ND</v>
          </cell>
        </row>
        <row r="3086">
          <cell r="B3086" t="str">
            <v>14011206090435</v>
          </cell>
          <cell r="C3086" t="str">
            <v>LPC REF_FINAN_ESPECIALES_CMED COVID-19  1ND</v>
          </cell>
        </row>
        <row r="3087">
          <cell r="B3087" t="str">
            <v>14011206090436</v>
          </cell>
          <cell r="C3087" t="str">
            <v>LPC REF_FINAN_ESPECIALES_CMED COVID-19  1ND</v>
          </cell>
        </row>
        <row r="3088">
          <cell r="B3088" t="str">
            <v>14011208000100</v>
          </cell>
          <cell r="C3088" t="str">
            <v>CDO VISA EXTRACASH NO REV VIG CMED      1ND</v>
          </cell>
        </row>
        <row r="3089">
          <cell r="B3089" t="str">
            <v>14011208000101</v>
          </cell>
          <cell r="C3089" t="str">
            <v>CDO MC EXTRACASH NO REV VIG CMED        1ND</v>
          </cell>
        </row>
        <row r="3090">
          <cell r="B3090" t="str">
            <v>14011208000102</v>
          </cell>
          <cell r="C3090" t="str">
            <v>CDO AMEX EXTRACASH NO REV VIG CMED      1ND</v>
          </cell>
        </row>
        <row r="3091">
          <cell r="B3091" t="str">
            <v>14011210000101</v>
          </cell>
          <cell r="C3091" t="str">
            <v>PR LETRAS FACTORING VIG CMED            1ND</v>
          </cell>
        </row>
        <row r="3092">
          <cell r="B3092" t="str">
            <v>14011210000102</v>
          </cell>
          <cell r="C3092" t="str">
            <v>FCD FACT EN FACTORING VIG CMED          1ND</v>
          </cell>
        </row>
        <row r="3093">
          <cell r="B3093" t="str">
            <v>14011210000103</v>
          </cell>
          <cell r="C3093" t="str">
            <v>FCD  FACT ELECTR LET/FACT VIG CMED      1ND</v>
          </cell>
        </row>
        <row r="3094">
          <cell r="B3094" t="str">
            <v>14011210000104</v>
          </cell>
          <cell r="C3094" t="str">
            <v>FCD FACT INTERN VIG CMED                1ND</v>
          </cell>
        </row>
        <row r="3095">
          <cell r="B3095" t="str">
            <v>14011210000105</v>
          </cell>
          <cell r="C3095" t="str">
            <v>PR PERU FACTORING CAP. VIG CMED         1ND</v>
          </cell>
        </row>
        <row r="3096">
          <cell r="B3096" t="str">
            <v>14011210000106</v>
          </cell>
          <cell r="C3096" t="str">
            <v>FCD FORFAITING EXPORTACIÃ“N VIG CMED    1ND</v>
          </cell>
        </row>
        <row r="3097">
          <cell r="B3097" t="str">
            <v>14011210000107</v>
          </cell>
          <cell r="C3097" t="str">
            <v>FCD FACT INTER EXPO VIG NORM CMED       1ND</v>
          </cell>
        </row>
        <row r="3098">
          <cell r="B3098" t="str">
            <v>14011210000108</v>
          </cell>
          <cell r="C3098" t="str">
            <v>FCD FORFAITING EXPO VIG NORM CMED       1ND</v>
          </cell>
        </row>
        <row r="3099">
          <cell r="B3099" t="str">
            <v>14011210000109</v>
          </cell>
          <cell r="C3099" t="str">
            <v>FCD FACT INTER EXPO VIG DUPE CMED       1ND</v>
          </cell>
        </row>
        <row r="3100">
          <cell r="B3100" t="str">
            <v>14011210000110</v>
          </cell>
          <cell r="C3100" t="str">
            <v>FCD FORFAITING EXPO VIG DUPE CMED       1ND</v>
          </cell>
        </row>
        <row r="3101">
          <cell r="B3101" t="str">
            <v>14011210000111</v>
          </cell>
          <cell r="C3101" t="str">
            <v>FCD CONFIRMING INTERNACIONALVIG NORM CME1ND</v>
          </cell>
        </row>
        <row r="3102">
          <cell r="B3102" t="str">
            <v>14011210000112</v>
          </cell>
          <cell r="C3102" t="str">
            <v>FCD CONFIRMING INTERNACIONAL VIG DUPE CM1ND</v>
          </cell>
        </row>
        <row r="3103">
          <cell r="B3103" t="str">
            <v>14011210000113</v>
          </cell>
          <cell r="C3103" t="str">
            <v>FCD FAC. FIS. LET. VIG. CMED DUPE       1ND</v>
          </cell>
        </row>
        <row r="3104">
          <cell r="B3104" t="str">
            <v>14011210000114</v>
          </cell>
          <cell r="C3104" t="str">
            <v>FCD FAC. FIS. FAC.. VIG. CMED DUPE      1ND</v>
          </cell>
        </row>
        <row r="3105">
          <cell r="B3105" t="str">
            <v>14011210000201</v>
          </cell>
          <cell r="C3105" t="str">
            <v>CL EX FACTORING FORFAITING VIG CMED     1ND</v>
          </cell>
        </row>
        <row r="3106">
          <cell r="B3106" t="str">
            <v>14011210000202</v>
          </cell>
          <cell r="C3106" t="str">
            <v>CL  CONFIRMING INTER VIG CMED           1ND</v>
          </cell>
        </row>
        <row r="3107">
          <cell r="B3107" t="str">
            <v>14011210000301</v>
          </cell>
          <cell r="C3107" t="str">
            <v>FCD CRED MED EMPRESAS                   1ND</v>
          </cell>
        </row>
        <row r="3108">
          <cell r="B3108" t="str">
            <v>14011210000302</v>
          </cell>
          <cell r="C3108" t="str">
            <v>FACT INTER IMPORT VIG. CMED DUPE        1ND</v>
          </cell>
        </row>
        <row r="3109">
          <cell r="B3109" t="str">
            <v>14011210000303</v>
          </cell>
          <cell r="C3109" t="str">
            <v>FACT INTER IMPORT  VIG. CMED NORMAL     1ND</v>
          </cell>
        </row>
        <row r="3110">
          <cell r="B3110" t="str">
            <v>14011211000101</v>
          </cell>
          <cell r="C3110" t="str">
            <v>LPC LEASING BIEN INT DIFE RP CMED       1ND</v>
          </cell>
        </row>
        <row r="3111">
          <cell r="B3111" t="str">
            <v>14011211000102</v>
          </cell>
          <cell r="C3111" t="str">
            <v>LPC LEASING SEGUROS INT DIF RP CMED     1ND</v>
          </cell>
        </row>
        <row r="3112">
          <cell r="B3112" t="str">
            <v>14011211000103</v>
          </cell>
          <cell r="C3112" t="str">
            <v>LPC LEASING SEGUROS RP CMED             1ND</v>
          </cell>
        </row>
        <row r="3113">
          <cell r="B3113" t="str">
            <v>14011211000104</v>
          </cell>
          <cell r="C3113" t="str">
            <v>LPC LEASING IGV RP CMED                 1ND</v>
          </cell>
        </row>
        <row r="3114">
          <cell r="B3114" t="str">
            <v>14011211000105</v>
          </cell>
          <cell r="C3114" t="str">
            <v>LPC LEASING DEL BIEN RP CMED            1ND</v>
          </cell>
        </row>
        <row r="3115">
          <cell r="B3115" t="str">
            <v>14011211000201</v>
          </cell>
          <cell r="C3115" t="str">
            <v>LPC LEAS DEL BIEN D/P INT DIF RP CMED   1ND</v>
          </cell>
        </row>
        <row r="3116">
          <cell r="B3116" t="str">
            <v>14011211000202</v>
          </cell>
          <cell r="C3116" t="str">
            <v>LPC LEAS D/P SEG INT DIF RP CMED        1ND</v>
          </cell>
        </row>
        <row r="3117">
          <cell r="B3117" t="str">
            <v>14011211000203</v>
          </cell>
          <cell r="C3117" t="str">
            <v>LPC LEAS D/P SEG RP CMED                1ND</v>
          </cell>
        </row>
        <row r="3118">
          <cell r="B3118" t="str">
            <v>14011211000204</v>
          </cell>
          <cell r="C3118" t="str">
            <v>LPC LEAS DEL BIEN D/P RP CMED           1ND</v>
          </cell>
        </row>
        <row r="3119">
          <cell r="B3119" t="str">
            <v>14011211000205</v>
          </cell>
          <cell r="C3119" t="str">
            <v>LPC LEASING D/P IGV RP CMED             1ND</v>
          </cell>
        </row>
        <row r="3120">
          <cell r="B3120" t="str">
            <v>14011211000301</v>
          </cell>
          <cell r="C3120" t="str">
            <v>LPC LEASING EN PROCESO CMED             1ND</v>
          </cell>
        </row>
        <row r="3121">
          <cell r="B3121" t="str">
            <v>14011211000302</v>
          </cell>
          <cell r="C3121" t="str">
            <v>LPC CAP DIF LS  BIEN OTROS SUSP RP CMED 1ND</v>
          </cell>
        </row>
        <row r="3122">
          <cell r="B3122" t="str">
            <v>14011211000303</v>
          </cell>
          <cell r="C3122" t="str">
            <v>LPC PRI LEASING MYP CMED PRO.REFIN      1ND</v>
          </cell>
        </row>
        <row r="3123">
          <cell r="B3123" t="str">
            <v>14011211000304</v>
          </cell>
          <cell r="C3123" t="str">
            <v>LPC PSG LEASING MYPÂ  CMED PRO.REFIN    1ND</v>
          </cell>
        </row>
        <row r="3124">
          <cell r="B3124" t="str">
            <v>14011211000305</v>
          </cell>
          <cell r="C3124" t="str">
            <v>LPC PIG LEASING IGV MYP CMED PRO.REFIN  1ND</v>
          </cell>
        </row>
        <row r="3125">
          <cell r="B3125" t="str">
            <v>14011211000401</v>
          </cell>
          <cell r="C3125" t="str">
            <v>LPC LSG BIEN ADJ. DIFOS RP CMED         1ND</v>
          </cell>
        </row>
        <row r="3126">
          <cell r="B3126" t="str">
            <v>14011211000402</v>
          </cell>
          <cell r="C3126" t="str">
            <v>LPC LSG SEG. ADJ. DIF RP CMED           1ND</v>
          </cell>
        </row>
        <row r="3127">
          <cell r="B3127" t="str">
            <v>14011211000403</v>
          </cell>
          <cell r="C3127" t="str">
            <v>LPC LSG ADJ. CIA SEG RP CMED            1ND</v>
          </cell>
        </row>
        <row r="3128">
          <cell r="B3128" t="str">
            <v>14011211000404</v>
          </cell>
          <cell r="C3128" t="str">
            <v>LPC LSG ADJ. PRIN IGV RP CMED           1ND</v>
          </cell>
        </row>
        <row r="3129">
          <cell r="B3129" t="str">
            <v>14011211000405</v>
          </cell>
          <cell r="C3129" t="str">
            <v>LPC LSG DEL BIEN ADJ. RP CMED           1ND</v>
          </cell>
        </row>
        <row r="3130">
          <cell r="B3130" t="str">
            <v>14011211000406</v>
          </cell>
          <cell r="C3130" t="str">
            <v>LPC LSG BIEN ADJ. DIF D/P CMED          1ND</v>
          </cell>
        </row>
        <row r="3131">
          <cell r="B3131" t="str">
            <v>14011211000407</v>
          </cell>
          <cell r="C3131" t="str">
            <v>LPC LSG SEG. ADJ. DIFOS D/P CMED        1ND</v>
          </cell>
        </row>
        <row r="3132">
          <cell r="B3132" t="str">
            <v>14011211000408</v>
          </cell>
          <cell r="C3132" t="str">
            <v>LPC LSG D/P CIA SEG ADJ. CMED           1ND</v>
          </cell>
        </row>
        <row r="3133">
          <cell r="B3133" t="str">
            <v>14011211000409</v>
          </cell>
          <cell r="C3133" t="str">
            <v>LPC LSG BIEN D/P ADJ. CMED              1ND</v>
          </cell>
        </row>
        <row r="3134">
          <cell r="B3134" t="str">
            <v>14011211000410</v>
          </cell>
          <cell r="C3134" t="str">
            <v>LPC LSG D/P IGV D/P ADJ. CMED           1ND</v>
          </cell>
        </row>
        <row r="3135">
          <cell r="B3135" t="str">
            <v>14011211000411</v>
          </cell>
          <cell r="C3135" t="str">
            <v>LPC CAP DIF SEG.LS OTROS SUSP RP CMED   1ND</v>
          </cell>
        </row>
        <row r="3136">
          <cell r="B3136" t="str">
            <v>14011211000412</v>
          </cell>
          <cell r="C3136" t="str">
            <v>LPC CIA SEG CAP VIG OTROS SUSP RP CMED  1ND</v>
          </cell>
        </row>
        <row r="3137">
          <cell r="B3137" t="str">
            <v>14011211000413</v>
          </cell>
          <cell r="C3137" t="str">
            <v>LPC LS DEL BIEN OTROS SUSP RP CMED      1ND</v>
          </cell>
        </row>
        <row r="3138">
          <cell r="B3138" t="str">
            <v>14011211000414</v>
          </cell>
          <cell r="C3138" t="str">
            <v>LPC CAP LS IGV OTROS SUSP RP CMED       1ND</v>
          </cell>
        </row>
        <row r="3139">
          <cell r="B3139" t="str">
            <v>14011211000501</v>
          </cell>
          <cell r="C3139" t="str">
            <v>LPC PDL LEASING MYP INT DIFERIDOS CMED  1ND</v>
          </cell>
        </row>
        <row r="3140">
          <cell r="B3140" t="str">
            <v>14011211000502</v>
          </cell>
          <cell r="C3140" t="str">
            <v>LPC PDS LEASING MYP INT DIFERIDOS CMED  1ND</v>
          </cell>
        </row>
        <row r="3141">
          <cell r="B3141" t="str">
            <v>14011211000503</v>
          </cell>
          <cell r="C3141" t="str">
            <v>LPC PSG LEASING MYP  CMED               1ND</v>
          </cell>
        </row>
        <row r="3142">
          <cell r="B3142" t="str">
            <v>14011211000504</v>
          </cell>
          <cell r="C3142" t="str">
            <v>LPC PIG LEASING IGV MYP CMED            1ND</v>
          </cell>
        </row>
        <row r="3143">
          <cell r="B3143" t="str">
            <v>14011211000505</v>
          </cell>
          <cell r="C3143" t="str">
            <v>LPC PRI LEASING MYP CMED                1ND</v>
          </cell>
        </row>
        <row r="3144">
          <cell r="B3144" t="str">
            <v>14011211000506</v>
          </cell>
          <cell r="C3144" t="str">
            <v>LPC PDL LEASING MYP INT DIF D/P CMED    1ND</v>
          </cell>
        </row>
        <row r="3145">
          <cell r="B3145" t="str">
            <v>14011211000507</v>
          </cell>
          <cell r="C3145" t="str">
            <v>LPC PDS LEASING MYP INT DIF D/P CMED    1ND</v>
          </cell>
        </row>
        <row r="3146">
          <cell r="B3146" t="str">
            <v>14011211000508</v>
          </cell>
          <cell r="C3146" t="str">
            <v>LPC PSG LEASING MYP D/P CMED            1ND</v>
          </cell>
        </row>
        <row r="3147">
          <cell r="B3147" t="str">
            <v>14011211000509</v>
          </cell>
          <cell r="C3147" t="str">
            <v>LPC PIG LEASING IGV MYP D/P CMED        1ND</v>
          </cell>
        </row>
        <row r="3148">
          <cell r="B3148" t="str">
            <v>14011211000510</v>
          </cell>
          <cell r="C3148" t="str">
            <v>LPC PRI LEASING MYP D/P CMED            1ND</v>
          </cell>
        </row>
        <row r="3149">
          <cell r="B3149" t="str">
            <v>14011211000601</v>
          </cell>
          <cell r="C3149" t="str">
            <v>LPC LEASING COFIDE INT DIF PDL CMED     1ND</v>
          </cell>
        </row>
        <row r="3150">
          <cell r="B3150" t="str">
            <v>14011211000602</v>
          </cell>
          <cell r="C3150" t="str">
            <v>LPC LS COFIDE SEGUROS INT DIF PDS CMED  1ND</v>
          </cell>
        </row>
        <row r="3151">
          <cell r="B3151" t="str">
            <v>14011211000603</v>
          </cell>
          <cell r="C3151" t="str">
            <v>LPC LEASING COFIDE SEGUROS PSG CMED     1ND</v>
          </cell>
        </row>
        <row r="3152">
          <cell r="B3152" t="str">
            <v>14011211000604</v>
          </cell>
          <cell r="C3152" t="str">
            <v>LPC LEASING COFIDE IGV PIG CMED         1ND</v>
          </cell>
        </row>
        <row r="3153">
          <cell r="B3153" t="str">
            <v>14011211000605</v>
          </cell>
          <cell r="C3153" t="str">
            <v>LPC LEASING COFIDE PRI CMED             1ND</v>
          </cell>
        </row>
        <row r="3154">
          <cell r="B3154" t="str">
            <v>14011211000606</v>
          </cell>
          <cell r="C3154" t="str">
            <v>LPC LS COFIDE D/P INT DIF PDL CMED      1ND</v>
          </cell>
        </row>
        <row r="3155">
          <cell r="B3155" t="str">
            <v>14011211000607</v>
          </cell>
          <cell r="C3155" t="str">
            <v>LPC LS COFIDE D/P SEG INT DIF PDS CMED  1ND</v>
          </cell>
        </row>
        <row r="3156">
          <cell r="B3156" t="str">
            <v>14011211000608</v>
          </cell>
          <cell r="C3156" t="str">
            <v>LPC LS COFIDE D/P SEG PSG CMED          1ND</v>
          </cell>
        </row>
        <row r="3157">
          <cell r="B3157" t="str">
            <v>14011211000609</v>
          </cell>
          <cell r="C3157" t="str">
            <v>LPC LEASING COFIDE D/P IGV PIG CMED     1ND</v>
          </cell>
        </row>
        <row r="3158">
          <cell r="B3158" t="str">
            <v>14011211000610</v>
          </cell>
          <cell r="C3158" t="str">
            <v>LPC LEASING COFIDE D/P PRI CMED         1ND</v>
          </cell>
        </row>
        <row r="3159">
          <cell r="B3159" t="str">
            <v>14011212000101</v>
          </cell>
          <cell r="C3159" t="str">
            <v>LPC LEASEBACK DEL BIEN INT DIF RP CMED  1ND</v>
          </cell>
        </row>
        <row r="3160">
          <cell r="B3160" t="str">
            <v>14011212000102</v>
          </cell>
          <cell r="C3160" t="str">
            <v>LPC LEASEBACK SEG INT DIF RP CMED       1ND</v>
          </cell>
        </row>
        <row r="3161">
          <cell r="B3161" t="str">
            <v>14011212000103</v>
          </cell>
          <cell r="C3161" t="str">
            <v>LPC LEASEBACK SEGUROS RP CMED           1ND</v>
          </cell>
        </row>
        <row r="3162">
          <cell r="B3162" t="str">
            <v>14011212000104</v>
          </cell>
          <cell r="C3162" t="str">
            <v>LPC LEASEBACK IGV VIG RP LPC            1ND</v>
          </cell>
        </row>
        <row r="3163">
          <cell r="B3163" t="str">
            <v>14011212000105</v>
          </cell>
          <cell r="C3163" t="str">
            <v>LPC LEASEBACK DEL BIEN RP CMED          1ND</v>
          </cell>
        </row>
        <row r="3164">
          <cell r="B3164" t="str">
            <v>14011212000201</v>
          </cell>
          <cell r="C3164" t="str">
            <v>LPC LSBACK DEL BIEN D/P INT DIF RP CMED 1ND</v>
          </cell>
        </row>
        <row r="3165">
          <cell r="B3165" t="str">
            <v>14011212000202</v>
          </cell>
          <cell r="C3165" t="str">
            <v>LPC LSBACK D/P SEG INT DIFERIDOS RP CMED1ND</v>
          </cell>
        </row>
        <row r="3166">
          <cell r="B3166" t="str">
            <v>14011212000203</v>
          </cell>
          <cell r="C3166" t="str">
            <v>LPC LEASEBACK D/P SEG RP CMED           1ND</v>
          </cell>
        </row>
        <row r="3167">
          <cell r="B3167" t="str">
            <v>14011212000204</v>
          </cell>
          <cell r="C3167" t="str">
            <v>LPC LSBACK DEL BIEN D/P RP CMED         1ND</v>
          </cell>
        </row>
        <row r="3168">
          <cell r="B3168" t="str">
            <v>14011212000205</v>
          </cell>
          <cell r="C3168" t="str">
            <v>LPC LSBACK D/P IGV RP CMED              1ND</v>
          </cell>
        </row>
        <row r="3169">
          <cell r="B3169" t="str">
            <v>14011212000301</v>
          </cell>
          <cell r="C3169" t="str">
            <v>LPC PDL DIF LSB  BIEN OTRO SUSP CMED    1ND</v>
          </cell>
        </row>
        <row r="3170">
          <cell r="B3170" t="str">
            <v>14011212000302</v>
          </cell>
          <cell r="C3170" t="str">
            <v>LPC CAP DIF SEG.LSB OTROS SUSP CMED     1ND</v>
          </cell>
        </row>
        <row r="3171">
          <cell r="B3171" t="str">
            <v>14011212000303</v>
          </cell>
          <cell r="C3171" t="str">
            <v>LPC CIA SEG CAP VIG OTROS SUSP CMED     1ND</v>
          </cell>
        </row>
        <row r="3172">
          <cell r="B3172" t="str">
            <v>14011212000304</v>
          </cell>
          <cell r="C3172" t="str">
            <v>LPC LSB DEL BIEN OTROS SUSP CMED        1ND</v>
          </cell>
        </row>
        <row r="3173">
          <cell r="B3173" t="str">
            <v>14011212000305</v>
          </cell>
          <cell r="C3173" t="str">
            <v>LPC CAP LSB IGV OTROS SUSPENSO CMED     1ND</v>
          </cell>
        </row>
        <row r="3174">
          <cell r="B3174" t="str">
            <v>14011212000401</v>
          </cell>
          <cell r="C3174" t="str">
            <v>LPC LEASE-BACK COFIDE INT DIF PDL CMED  1ND</v>
          </cell>
        </row>
        <row r="3175">
          <cell r="B3175" t="str">
            <v>14011212000402</v>
          </cell>
          <cell r="C3175" t="str">
            <v>LPC LB COFIDE SEGUROS INT DIF PDS CMED  1ND</v>
          </cell>
        </row>
        <row r="3176">
          <cell r="B3176" t="str">
            <v>14011212000403</v>
          </cell>
          <cell r="C3176" t="str">
            <v>LPC LEASE-BACK COFIDE SEGUROS PSG CMED  1ND</v>
          </cell>
        </row>
        <row r="3177">
          <cell r="B3177" t="str">
            <v>14011212000404</v>
          </cell>
          <cell r="C3177" t="str">
            <v>LPC LEASE-BACK COFIDE IGV PIG CMED      1ND</v>
          </cell>
        </row>
        <row r="3178">
          <cell r="B3178" t="str">
            <v>14011212000405</v>
          </cell>
          <cell r="C3178" t="str">
            <v>LPC LEASE-BACK COFIDE PRI CMED          1ND</v>
          </cell>
        </row>
        <row r="3179">
          <cell r="B3179" t="str">
            <v>14011212000406</v>
          </cell>
          <cell r="C3179" t="str">
            <v>LPC LB COFIDE D/P INT DIF PDL CMED      1ND</v>
          </cell>
        </row>
        <row r="3180">
          <cell r="B3180" t="str">
            <v>14011212000407</v>
          </cell>
          <cell r="C3180" t="str">
            <v>LPC LB COFIDE D/P SEG INT DIF PDS CMED  1ND</v>
          </cell>
        </row>
        <row r="3181">
          <cell r="B3181" t="str">
            <v>14011212000408</v>
          </cell>
          <cell r="C3181" t="str">
            <v>LPC LB COFIDE D/P SEG PSG CMED          1ND</v>
          </cell>
        </row>
        <row r="3182">
          <cell r="B3182" t="str">
            <v>14011212000409</v>
          </cell>
          <cell r="C3182" t="str">
            <v>LPC LEASE-BACK COFIDE D/P IGV PIG CMED  1ND</v>
          </cell>
        </row>
        <row r="3183">
          <cell r="B3183" t="str">
            <v>14011212000410</v>
          </cell>
          <cell r="C3183" t="str">
            <v>LPC LEASE-BACK COFIDE D/P PRI CMED      1ND</v>
          </cell>
        </row>
        <row r="3184">
          <cell r="B3184" t="str">
            <v>14011212000601</v>
          </cell>
          <cell r="C3184" t="str">
            <v>LPC LEASING DERIVADO D/P IGV RP CMED    1ND</v>
          </cell>
        </row>
        <row r="3185">
          <cell r="B3185" t="str">
            <v>14011212000602</v>
          </cell>
          <cell r="C3185" t="str">
            <v>LPC LEASING DERIVADO D/P SEG RP CMED    1ND</v>
          </cell>
        </row>
        <row r="3186">
          <cell r="B3186" t="str">
            <v>14011212000603</v>
          </cell>
          <cell r="C3186" t="str">
            <v>LPC LEASING DERIVADO DEL BIEN D/P RP CME1ND</v>
          </cell>
        </row>
        <row r="3187">
          <cell r="B3187" t="str">
            <v>14011212000604</v>
          </cell>
          <cell r="C3187" t="str">
            <v>LPC LEASING DERIVADO DEL BIEN RP CMED   1ND</v>
          </cell>
        </row>
        <row r="3188">
          <cell r="B3188" t="str">
            <v>14011212000605</v>
          </cell>
          <cell r="C3188" t="str">
            <v>LPC LEASING DERIVADO IGV RP CMED        1ND</v>
          </cell>
        </row>
        <row r="3189">
          <cell r="B3189" t="str">
            <v>14011212000606</v>
          </cell>
          <cell r="C3189" t="str">
            <v>LPC LEASING DERIVADO SEGUROS RP CMED    1ND</v>
          </cell>
        </row>
        <row r="3190">
          <cell r="B3190" t="str">
            <v>14011221000101</v>
          </cell>
          <cell r="C3190" t="str">
            <v>CL CXL CC ACEPTAC BKT CL VIG CMED       1ND</v>
          </cell>
        </row>
        <row r="3191">
          <cell r="B3191" t="str">
            <v>14011221000102</v>
          </cell>
          <cell r="C3191" t="str">
            <v>CL CXL AVAL X ACEPTAC VIG CMED          1ND</v>
          </cell>
        </row>
        <row r="3192">
          <cell r="B3192" t="str">
            <v>14011221000103</v>
          </cell>
          <cell r="C3192" t="str">
            <v>CL CXL CRED. X LIQUI.CC AVAL VIG CMED   1ND</v>
          </cell>
        </row>
        <row r="3193">
          <cell r="B3193" t="str">
            <v>14011221000104</v>
          </cell>
          <cell r="C3193" t="str">
            <v>CL CXL.CAR CRED VISTA VIG CMED          1ND</v>
          </cell>
        </row>
        <row r="3194">
          <cell r="B3194" t="str">
            <v>14011221000105</v>
          </cell>
          <cell r="C3194" t="str">
            <v>CL CXL.STAND BY VIG CMED                1ND</v>
          </cell>
        </row>
        <row r="3195">
          <cell r="B3195" t="str">
            <v>14011221000106</v>
          </cell>
          <cell r="C3195" t="str">
            <v>CL CXL.COBRA AVALA VIG CMED             1ND</v>
          </cell>
        </row>
        <row r="3196">
          <cell r="B3196" t="str">
            <v>14011221000107</v>
          </cell>
          <cell r="C3196" t="str">
            <v>CL CRED.POR LIQ. CARTA FIANZA VIG CMED  1ND</v>
          </cell>
        </row>
        <row r="3197">
          <cell r="B3197" t="str">
            <v>14011226000101</v>
          </cell>
          <cell r="C3197" t="str">
            <v>MYP EXPORT.POST EMBARQ REC PROP MES VIG 1ND</v>
          </cell>
        </row>
        <row r="3198">
          <cell r="B3198" t="str">
            <v>14011226000102</v>
          </cell>
          <cell r="C3198" t="str">
            <v>MYP EXPORT.PRE EMBARQ REC PROP CMED     1ND</v>
          </cell>
        </row>
        <row r="3199">
          <cell r="B3199" t="str">
            <v>14011226000103</v>
          </cell>
          <cell r="C3199" t="str">
            <v>MYP D/P EXPORT.POST EMB VIG CMED        1ND</v>
          </cell>
        </row>
        <row r="3200">
          <cell r="B3200" t="str">
            <v>14011226000104</v>
          </cell>
          <cell r="C3200" t="str">
            <v>CL EXP.PRE EMB CMED                     1ND</v>
          </cell>
        </row>
        <row r="3201">
          <cell r="B3201" t="str">
            <v>14011226000105</v>
          </cell>
          <cell r="C3201" t="str">
            <v>CL PAG EXP POST EMB CMED VIG            1ND</v>
          </cell>
        </row>
        <row r="3202">
          <cell r="B3202" t="str">
            <v>14011226000106</v>
          </cell>
          <cell r="C3202" t="str">
            <v>CL PAGARE IMPORT CMED                   1ND</v>
          </cell>
        </row>
        <row r="3203">
          <cell r="B3203" t="str">
            <v>14011226000107</v>
          </cell>
          <cell r="C3203" t="str">
            <v>MYP FINANC IMPORT ACT FIJO VIG CMED     1ND</v>
          </cell>
        </row>
        <row r="3204">
          <cell r="B3204" t="str">
            <v>14011226000108</v>
          </cell>
          <cell r="C3204" t="str">
            <v>MYP IMPANC IMPORT CAPITAL DE TRAB  VIG-D1ND</v>
          </cell>
        </row>
        <row r="3205">
          <cell r="B3205" t="str">
            <v>14011226000109</v>
          </cell>
          <cell r="C3205" t="str">
            <v>MYP D/P FIN IMPOR ACT FIJO VIG CMED     1ND</v>
          </cell>
        </row>
        <row r="3206">
          <cell r="B3206" t="str">
            <v>14011226000110</v>
          </cell>
          <cell r="C3206" t="str">
            <v>MYP COMP DEUD AF VIG CMED VIG           1ND</v>
          </cell>
        </row>
        <row r="3207">
          <cell r="B3207" t="str">
            <v>14011226000111</v>
          </cell>
          <cell r="C3207" t="str">
            <v>MYP COMP DEUD AF VIG CMED VIG D/P       1ND</v>
          </cell>
        </row>
        <row r="3208">
          <cell r="B3208" t="str">
            <v>14011226000201</v>
          </cell>
          <cell r="C3208" t="str">
            <v>LPC PAG IMPORT.D/P CL CMED              1ND</v>
          </cell>
        </row>
        <row r="3209">
          <cell r="B3209" t="str">
            <v>14011226000202</v>
          </cell>
          <cell r="C3209" t="str">
            <v>LPC PAG.PRE EX EMB D/P CMED             1ND</v>
          </cell>
        </row>
        <row r="3210">
          <cell r="B3210" t="str">
            <v>14011226000203</v>
          </cell>
          <cell r="C3210" t="str">
            <v>LPC PAG EXP POST EMB RP D/P CMED        1ND</v>
          </cell>
        </row>
        <row r="3211">
          <cell r="B3211" t="str">
            <v>14011226000204</v>
          </cell>
          <cell r="C3211" t="str">
            <v>LPC PAG EXP PRE EM.RP VIG CMED          1ND</v>
          </cell>
        </row>
        <row r="3212">
          <cell r="B3212" t="str">
            <v>14011226000205</v>
          </cell>
          <cell r="C3212" t="str">
            <v>LPC PAG EXP POST EMB RP CMED VIG        1ND</v>
          </cell>
        </row>
        <row r="3213">
          <cell r="B3213" t="str">
            <v>14011226000206</v>
          </cell>
          <cell r="C3213" t="str">
            <v>MYP FINANC IMPORT CAP DE TRAB VIG CMED  1ND</v>
          </cell>
        </row>
        <row r="3214">
          <cell r="B3214" t="str">
            <v>14011226000207</v>
          </cell>
          <cell r="C3214" t="str">
            <v>MYP FINANC IMPORT ACT FIJO VIG CMED     1ND</v>
          </cell>
        </row>
        <row r="3215">
          <cell r="B3215" t="str">
            <v>14011226000210</v>
          </cell>
          <cell r="C3215" t="str">
            <v>LPC FINANC PRE EMBARQUE-SEPYMEX CMED    1ND</v>
          </cell>
        </row>
        <row r="3216">
          <cell r="B3216" t="str">
            <v>14011226000211</v>
          </cell>
          <cell r="C3216" t="str">
            <v>LPC FINANC PRE EMBARQUE  D/P-SEPYMEX CME1ND</v>
          </cell>
        </row>
        <row r="3217">
          <cell r="B3217" t="str">
            <v>14011226000212</v>
          </cell>
          <cell r="C3217" t="str">
            <v>LPC PRE EMBARQUE FINANC. VIG. NORM CMED 1ND</v>
          </cell>
        </row>
        <row r="3218">
          <cell r="B3218" t="str">
            <v>14011226000213</v>
          </cell>
          <cell r="C3218" t="str">
            <v>LPC PRE EMBARQUE FINANC. VIG. DUPE CMED 1ND</v>
          </cell>
        </row>
        <row r="3219">
          <cell r="B3219" t="str">
            <v>14011226000214</v>
          </cell>
          <cell r="C3219" t="str">
            <v>LPC POST EMBARQUE FINANC. VIG. NORM CMED1ND</v>
          </cell>
        </row>
        <row r="3220">
          <cell r="B3220" t="str">
            <v>14011226000215</v>
          </cell>
          <cell r="C3220" t="str">
            <v>LPC POST EMBARQUE FINANC. VIG. DUPE CMED1ND</v>
          </cell>
        </row>
        <row r="3221">
          <cell r="B3221" t="str">
            <v>14011226000216</v>
          </cell>
          <cell r="C3221" t="str">
            <v>LPC IMPORT. CARTA CREDITO  FINANC. VIG. 1ND</v>
          </cell>
        </row>
        <row r="3222">
          <cell r="B3222" t="str">
            <v>14011226000217</v>
          </cell>
          <cell r="C3222" t="str">
            <v>LPC IMPORT. CARTA CREDITO  FINANC. VIG. 1ND</v>
          </cell>
        </row>
        <row r="3223">
          <cell r="B3223" t="str">
            <v>14011226000218</v>
          </cell>
          <cell r="C3223" t="str">
            <v>LPC IMPORT.  FINANC. VIG. NORM CMED     1ND</v>
          </cell>
        </row>
        <row r="3224">
          <cell r="B3224" t="str">
            <v>14011226000219</v>
          </cell>
          <cell r="C3224" t="str">
            <v>LPC IMPORT.  FINANC. VIG. DUPE CMED     1ND</v>
          </cell>
        </row>
        <row r="3225">
          <cell r="B3225" t="str">
            <v>14011226000220</v>
          </cell>
          <cell r="C3225" t="str">
            <v>LPC PAGARE FORFAITING CMED              1ND</v>
          </cell>
        </row>
        <row r="3226">
          <cell r="B3226" t="str">
            <v>14011226000221</v>
          </cell>
          <cell r="C3226" t="str">
            <v>LPC PAGARE FORFAITING D/P CMED          1ND</v>
          </cell>
        </row>
        <row r="3227">
          <cell r="B3227" t="str">
            <v>14011226000301</v>
          </cell>
          <cell r="C3227" t="str">
            <v>CL EX FORFAITING VIG CMED               1ND</v>
          </cell>
        </row>
        <row r="3228">
          <cell r="B3228" t="str">
            <v>14011226000302</v>
          </cell>
          <cell r="C3228" t="str">
            <v>CL PAG.PRE EX EMBAR. D/P. VIG. CMED     1ND</v>
          </cell>
        </row>
        <row r="3229">
          <cell r="B3229" t="str">
            <v>14011226000303</v>
          </cell>
          <cell r="C3229" t="str">
            <v>CL PAG.POST. EX EMBAR. D/P. VIG. CCOR   1ND</v>
          </cell>
        </row>
        <row r="3230">
          <cell r="B3230" t="str">
            <v>14011226000304</v>
          </cell>
          <cell r="C3230" t="str">
            <v>CL EX VIG PAG.IMPORTAC.D/P CMED         1ND</v>
          </cell>
        </row>
        <row r="3231">
          <cell r="B3231" t="str">
            <v>14011226000401</v>
          </cell>
          <cell r="C3231" t="str">
            <v>FCD COMEX EXPO VIG NORM CMED            1ND</v>
          </cell>
        </row>
        <row r="3232">
          <cell r="B3232" t="str">
            <v>14011226000402</v>
          </cell>
          <cell r="C3232" t="str">
            <v>LPC COFIDE FONDOS CRECER CMED  VIG\NORM 1ND</v>
          </cell>
        </row>
        <row r="3233">
          <cell r="B3233" t="str">
            <v>14011226000403</v>
          </cell>
          <cell r="C3233" t="str">
            <v>LPC COFIDE FONDOS CRECER CMED  VIG\DUPE 1ND</v>
          </cell>
        </row>
        <row r="3234">
          <cell r="B3234" t="str">
            <v>14011226000404</v>
          </cell>
          <cell r="C3234" t="str">
            <v>LPC COFIDE FONDOS CRECER CMED  VIG\NORM 1ND</v>
          </cell>
        </row>
        <row r="3235">
          <cell r="B3235" t="str">
            <v>14011226000405</v>
          </cell>
          <cell r="C3235" t="str">
            <v>LPC COFIDE FONDOS CRECER CMED  VIG\DUPE 1ND</v>
          </cell>
        </row>
        <row r="3236">
          <cell r="B3236" t="str">
            <v>14011226000406</v>
          </cell>
          <cell r="C3236" t="str">
            <v>LPC REPROG EM COVID-19 PRE-EMBARQUE CMED1ND</v>
          </cell>
        </row>
        <row r="3237">
          <cell r="B3237" t="str">
            <v>14011226000407</v>
          </cell>
          <cell r="C3237" t="str">
            <v>LPC REPROG EM COVID-19 PRE-EMBARQUE CMED1ND</v>
          </cell>
        </row>
        <row r="3238">
          <cell r="B3238" t="str">
            <v>14011226000408</v>
          </cell>
          <cell r="C3238" t="str">
            <v>LPC REPROG EM COVID-19 POST-EMBARQUE CME1ND</v>
          </cell>
        </row>
        <row r="3239">
          <cell r="B3239" t="str">
            <v>14011226000409</v>
          </cell>
          <cell r="C3239" t="str">
            <v>LPC REPROG EM COVID-19 POST-EMBARQUE CME1ND</v>
          </cell>
        </row>
        <row r="3240">
          <cell r="B3240" t="str">
            <v>14011226000410</v>
          </cell>
          <cell r="C3240" t="str">
            <v>LPC REPROG EM COVID-19 FINAN.COMEX CMED\1ND</v>
          </cell>
        </row>
        <row r="3241">
          <cell r="B3241" t="str">
            <v>14011226000411</v>
          </cell>
          <cell r="C3241" t="str">
            <v>LPC REPROG EM COVID-19 FINAN.COMEX CMED\1ND</v>
          </cell>
        </row>
        <row r="3242">
          <cell r="B3242" t="str">
            <v>14011226000801</v>
          </cell>
          <cell r="C3242" t="str">
            <v>PAN CREDITOS COMERCIO EXTERIOR CMED     1ND</v>
          </cell>
        </row>
        <row r="3243">
          <cell r="B3243" t="str">
            <v>14011230000101</v>
          </cell>
          <cell r="C3243" t="str">
            <v>FINANCIACIÃ“N DE PROYECTOS ME           1ND</v>
          </cell>
        </row>
        <row r="3244">
          <cell r="B3244" t="str">
            <v>14011230000102</v>
          </cell>
          <cell r="C3244" t="str">
            <v>LPC PAG FINAN PROY D/P VIG CMED         1ND</v>
          </cell>
        </row>
        <row r="3245">
          <cell r="B3245" t="str">
            <v>14011230000103</v>
          </cell>
          <cell r="C3245" t="str">
            <v>LPC PAG. FINANC PROY COFIDE VIG CMED    1ND</v>
          </cell>
        </row>
        <row r="3246">
          <cell r="B3246" t="str">
            <v>14011230000104</v>
          </cell>
          <cell r="C3246" t="str">
            <v>LPC  PAG. FINANC PROY COFIDE  D/P CMED  1ND</v>
          </cell>
        </row>
        <row r="3247">
          <cell r="B3247" t="str">
            <v>14011230000701</v>
          </cell>
          <cell r="C3247" t="str">
            <v>RCC  FINANCIACIÃ“N ESTRUCTURADA DE PROYE1ND</v>
          </cell>
        </row>
        <row r="3248">
          <cell r="B3248" t="str">
            <v>14011230000704</v>
          </cell>
          <cell r="C3248" t="str">
            <v>LPC PAG FINAN PROY VERDE-SOCIAL CMED DUP1 D</v>
          </cell>
        </row>
        <row r="3249">
          <cell r="B3249" t="str">
            <v>14011230000705</v>
          </cell>
          <cell r="C3249" t="str">
            <v>LPC PAG FINAN PROY VERDE-SOCIAL CMED NOR1 D</v>
          </cell>
        </row>
        <row r="3250">
          <cell r="B3250" t="str">
            <v>14011230000706</v>
          </cell>
          <cell r="C3250" t="str">
            <v>LPC PAG FINAN PROY VINC-SOSTENIB CMED DU1 D</v>
          </cell>
        </row>
        <row r="3251">
          <cell r="B3251" t="str">
            <v>14011230000707</v>
          </cell>
          <cell r="C3251" t="str">
            <v>LPC PAG FINAN PROY VINC-SOSTENIB CMED NO1 D</v>
          </cell>
        </row>
        <row r="3252">
          <cell r="B3252" t="str">
            <v>14011230000708</v>
          </cell>
          <cell r="C3252" t="str">
            <v>LPC LEASING FINANCIACION PROYECTO CMED V1 D</v>
          </cell>
        </row>
        <row r="3253">
          <cell r="B3253" t="str">
            <v>14011230000709</v>
          </cell>
          <cell r="C3253" t="str">
            <v>LPC LEASING FINANCIACION PROYECTO CMED V1 D</v>
          </cell>
        </row>
        <row r="3254">
          <cell r="B3254" t="str">
            <v>14011233000101</v>
          </cell>
          <cell r="C3254" t="str">
            <v>LPC PAG INMOBILIARIO CMED               1ND</v>
          </cell>
        </row>
        <row r="3255">
          <cell r="B3255" t="str">
            <v>14011233000102</v>
          </cell>
          <cell r="C3255" t="str">
            <v>LPC PAG BIENES INMB RENTA VERDE-SOCIAL C1 D</v>
          </cell>
        </row>
        <row r="3256">
          <cell r="B3256" t="str">
            <v>14011233000103</v>
          </cell>
          <cell r="C3256" t="str">
            <v>LPC PAG BIENES INMB RENTA VERDE-SOCIAL C1 D</v>
          </cell>
        </row>
        <row r="3257">
          <cell r="B3257" t="str">
            <v>14011233000104</v>
          </cell>
          <cell r="C3257" t="str">
            <v>LPC PAG BIENES INMB RENTA VINC-SOSTENIB 1 D</v>
          </cell>
        </row>
        <row r="3258">
          <cell r="B3258" t="str">
            <v>14011233000105</v>
          </cell>
          <cell r="C3258" t="str">
            <v>LPC PAG BIENES INMB RENTA VINC-SOSTENIB 1 D</v>
          </cell>
        </row>
        <row r="3259">
          <cell r="B3259" t="str">
            <v>14011299000101</v>
          </cell>
          <cell r="C3259" t="str">
            <v>IM CRED CTS EMPLEAD PN CMED             1ND</v>
          </cell>
        </row>
        <row r="3260">
          <cell r="B3260" t="str">
            <v>14011301000101</v>
          </cell>
          <cell r="C3260" t="str">
            <v>IM AVANCE CTA CTE PJ CPEM               1ND</v>
          </cell>
        </row>
        <row r="3261">
          <cell r="B3261" t="str">
            <v>14011301000102</v>
          </cell>
          <cell r="C3261" t="str">
            <v>IM AVANCE CTA CTE PJ S/F CPEM           1ND</v>
          </cell>
        </row>
        <row r="3262">
          <cell r="B3262" t="str">
            <v>14011301000103</v>
          </cell>
          <cell r="C3262" t="str">
            <v>LPC AVANCE EN CUENTA NORM CPEM          1ND</v>
          </cell>
        </row>
        <row r="3263">
          <cell r="B3263" t="str">
            <v>14011301000104</v>
          </cell>
          <cell r="C3263" t="str">
            <v>LPC AVANCE EN CUENTA  DUPE CPEM         1ND</v>
          </cell>
        </row>
        <row r="3264">
          <cell r="B3264" t="str">
            <v>14011301000105</v>
          </cell>
          <cell r="C3264" t="str">
            <v>IM AVANCE CTA CTE PJ CPEM               1ND</v>
          </cell>
        </row>
        <row r="3265">
          <cell r="B3265" t="str">
            <v>14011302010101</v>
          </cell>
          <cell r="C3265" t="str">
            <v>TC VISA COMERC COLOC.DISP.EFECT. CPEM   1ND</v>
          </cell>
        </row>
        <row r="3266">
          <cell r="B3266" t="str">
            <v>14011302010102</v>
          </cell>
          <cell r="C3266" t="str">
            <v>TC MC COMERC. COLOC. DISP. CPEM         1ND</v>
          </cell>
        </row>
        <row r="3267">
          <cell r="B3267" t="str">
            <v>14011302010103</v>
          </cell>
          <cell r="C3267" t="str">
            <v>TC AMEX COMERC COLOC.DISP.EFECT. CPEM   1ND</v>
          </cell>
        </row>
        <row r="3268">
          <cell r="B3268" t="str">
            <v>14011302010104</v>
          </cell>
          <cell r="C3268" t="str">
            <v>TC VEA COMERC. COLOC. DISP. CPEM        1ND</v>
          </cell>
        </row>
        <row r="3269">
          <cell r="B3269" t="str">
            <v>14011302010105</v>
          </cell>
          <cell r="C3269" t="str">
            <v>TC COLOC. DISP.EFECTIVO EN CUOTAS VIG. C1ND</v>
          </cell>
        </row>
        <row r="3270">
          <cell r="B3270" t="str">
            <v>14011302010106</v>
          </cell>
          <cell r="C3270" t="str">
            <v>TC AMEX D/E CUOTAS VIG CPEM             1ND</v>
          </cell>
        </row>
        <row r="3271">
          <cell r="B3271" t="str">
            <v>14011302010107</v>
          </cell>
          <cell r="C3271" t="str">
            <v>TC AMEX D/E REV VIG CPEM                1ND</v>
          </cell>
        </row>
        <row r="3272">
          <cell r="B3272" t="str">
            <v>14011302010108</v>
          </cell>
          <cell r="C3272" t="str">
            <v>TC MC D/E CUOTAS VIG CPEM               1ND</v>
          </cell>
        </row>
        <row r="3273">
          <cell r="B3273" t="str">
            <v>14011302010109</v>
          </cell>
          <cell r="C3273" t="str">
            <v>TC MC D/E REV VIG CPEM                  1ND</v>
          </cell>
        </row>
        <row r="3274">
          <cell r="B3274" t="str">
            <v>14011302010110</v>
          </cell>
          <cell r="C3274" t="str">
            <v>TC VISA D/E CUOTAS VIG CPEM             1ND</v>
          </cell>
        </row>
        <row r="3275">
          <cell r="B3275" t="str">
            <v>14011302010111</v>
          </cell>
          <cell r="C3275" t="str">
            <v>TC VISA D/E REV VIG CPEM                1ND</v>
          </cell>
        </row>
        <row r="3276">
          <cell r="B3276" t="str">
            <v>14011302020101</v>
          </cell>
          <cell r="C3276" t="str">
            <v>TC VISA COMERC COLOC.COMPRA CPEM        1ND</v>
          </cell>
        </row>
        <row r="3277">
          <cell r="B3277" t="str">
            <v>14011302020102</v>
          </cell>
          <cell r="C3277" t="str">
            <v>TC MC COMERCIAL. COLOC. COMPRA CPEM     1ND</v>
          </cell>
        </row>
        <row r="3278">
          <cell r="B3278" t="str">
            <v>14011302020103</v>
          </cell>
          <cell r="C3278" t="str">
            <v>TC AMEX COMERC COLOC.COMPRA CPEM        1ND</v>
          </cell>
        </row>
        <row r="3279">
          <cell r="B3279" t="str">
            <v>14011302020104</v>
          </cell>
          <cell r="C3279" t="str">
            <v>TC VEA COMERCIAL. COLOC. COMPRA CPEM    1ND</v>
          </cell>
        </row>
        <row r="3280">
          <cell r="B3280" t="str">
            <v>14011302020105</v>
          </cell>
          <cell r="C3280" t="str">
            <v>TC COLOC.COMPRAS EN CUOTAS VIG. CPEM    1ND</v>
          </cell>
        </row>
        <row r="3281">
          <cell r="B3281" t="str">
            <v>14011302020106</v>
          </cell>
          <cell r="C3281" t="str">
            <v>TC AMEX COMPRA CUOTAS VIG CPEM          1ND</v>
          </cell>
        </row>
        <row r="3282">
          <cell r="B3282" t="str">
            <v>14011302020107</v>
          </cell>
          <cell r="C3282" t="str">
            <v>TC AMEX COMPRA REV VIG CPEM             1ND</v>
          </cell>
        </row>
        <row r="3283">
          <cell r="B3283" t="str">
            <v>14011302020108</v>
          </cell>
          <cell r="C3283" t="str">
            <v>TC MC COMPRA CUOTAS VIG CPEM            1ND</v>
          </cell>
        </row>
        <row r="3284">
          <cell r="B3284" t="str">
            <v>14011302020109</v>
          </cell>
          <cell r="C3284" t="str">
            <v>TC MC COMPRA REV VIG CPEM               1ND</v>
          </cell>
        </row>
        <row r="3285">
          <cell r="B3285" t="str">
            <v>14011302020110</v>
          </cell>
          <cell r="C3285" t="str">
            <v>TC VISA COMPRA CUOTAS VIG CPEM          1ND</v>
          </cell>
        </row>
        <row r="3286">
          <cell r="B3286" t="str">
            <v>14011302020111</v>
          </cell>
          <cell r="C3286" t="str">
            <v>TC VISA COMPRA REV VIG CPEM             1ND</v>
          </cell>
        </row>
        <row r="3287">
          <cell r="B3287" t="str">
            <v>14011302090101</v>
          </cell>
          <cell r="C3287" t="str">
            <v>TC VISA COMERC COLOC.OTROS CPEM         1ND</v>
          </cell>
        </row>
        <row r="3288">
          <cell r="B3288" t="str">
            <v>14011302090102</v>
          </cell>
          <cell r="C3288" t="str">
            <v>TC MC COMERC COLOC.OTROS CPEM           1ND</v>
          </cell>
        </row>
        <row r="3289">
          <cell r="B3289" t="str">
            <v>14011302090103</v>
          </cell>
          <cell r="C3289" t="str">
            <v>TC AMEX COMERC COLOC.OTROS CPEM         1ND</v>
          </cell>
        </row>
        <row r="3290">
          <cell r="B3290" t="str">
            <v>14011302090104</v>
          </cell>
          <cell r="C3290" t="str">
            <v>TC VEA COMERC COLOC.OTROS CPEM          1ND</v>
          </cell>
        </row>
        <row r="3291">
          <cell r="B3291" t="str">
            <v>14011302090105</v>
          </cell>
          <cell r="C3291" t="str">
            <v>TC REPROGRAMACION VIG. CPEM             1ND</v>
          </cell>
        </row>
        <row r="3292">
          <cell r="B3292" t="str">
            <v>14011302090106</v>
          </cell>
          <cell r="C3292" t="str">
            <v>TC AMEX CDEUDA PAR VIG CPEM             1ND</v>
          </cell>
        </row>
        <row r="3293">
          <cell r="B3293" t="str">
            <v>14011302090107</v>
          </cell>
          <cell r="C3293" t="str">
            <v>TC AMEX CDEUDA REV VIG CPEM             1ND</v>
          </cell>
        </row>
        <row r="3294">
          <cell r="B3294" t="str">
            <v>14011302090108</v>
          </cell>
          <cell r="C3294" t="str">
            <v>TC AMEX EXTRACASH VIG CPEM              1ND</v>
          </cell>
        </row>
        <row r="3295">
          <cell r="B3295" t="str">
            <v>14011302090109</v>
          </cell>
          <cell r="C3295" t="str">
            <v>TC AMEX REPROG PAR VIG CPEM             1ND</v>
          </cell>
        </row>
        <row r="3296">
          <cell r="B3296" t="str">
            <v>14011302090110</v>
          </cell>
          <cell r="C3296" t="str">
            <v>TC AMEX REPROG REV VIG CPEM             1ND</v>
          </cell>
        </row>
        <row r="3297">
          <cell r="B3297" t="str">
            <v>14011302090111</v>
          </cell>
          <cell r="C3297" t="str">
            <v>TC MC CDEUDA PAR VIG CPEM               1ND</v>
          </cell>
        </row>
        <row r="3298">
          <cell r="B3298" t="str">
            <v>14011302090112</v>
          </cell>
          <cell r="C3298" t="str">
            <v>TC MC CDEUDA REV VIG CPEM               1ND</v>
          </cell>
        </row>
        <row r="3299">
          <cell r="B3299" t="str">
            <v>14011302090113</v>
          </cell>
          <cell r="C3299" t="str">
            <v>TC MC EXTRACASH VIG CPEM                1ND</v>
          </cell>
        </row>
        <row r="3300">
          <cell r="B3300" t="str">
            <v>14011302090114</v>
          </cell>
          <cell r="C3300" t="str">
            <v>TC MC REPROG PAR VIG CPEM               1ND</v>
          </cell>
        </row>
        <row r="3301">
          <cell r="B3301" t="str">
            <v>14011302090115</v>
          </cell>
          <cell r="C3301" t="str">
            <v>TC MC REPROG REV VIG CPEM               1ND</v>
          </cell>
        </row>
        <row r="3302">
          <cell r="B3302" t="str">
            <v>14011302090116</v>
          </cell>
          <cell r="C3302" t="str">
            <v>TC VISA CDEUDA PAR VIG CPEM             1ND</v>
          </cell>
        </row>
        <row r="3303">
          <cell r="B3303" t="str">
            <v>14011302090117</v>
          </cell>
          <cell r="C3303" t="str">
            <v>TC VISA CDEUDA REV VIG CPEM             1ND</v>
          </cell>
        </row>
        <row r="3304">
          <cell r="B3304" t="str">
            <v>14011302090118</v>
          </cell>
          <cell r="C3304" t="str">
            <v>TC VISA EXTRACASH VIG CPEM              1ND</v>
          </cell>
        </row>
        <row r="3305">
          <cell r="B3305" t="str">
            <v>14011302090119</v>
          </cell>
          <cell r="C3305" t="str">
            <v>TC VISA REPROG PAR VIG CPEM             1ND</v>
          </cell>
        </row>
        <row r="3306">
          <cell r="B3306" t="str">
            <v>14011302090120</v>
          </cell>
          <cell r="C3306" t="str">
            <v>TC VISA REPROG REV VIG CPEM             1ND</v>
          </cell>
        </row>
        <row r="3307">
          <cell r="B3307" t="str">
            <v>14011304000101</v>
          </cell>
          <cell r="C3307" t="str">
            <v>IM SOBREGIRO CTA CTE PJ CPEM            1ND</v>
          </cell>
        </row>
        <row r="3308">
          <cell r="B3308" t="str">
            <v>14011304000102</v>
          </cell>
          <cell r="C3308" t="str">
            <v>IM SOBREGIRO CTA CTE PJ S/F CPEM        1ND</v>
          </cell>
        </row>
        <row r="3309">
          <cell r="B3309" t="str">
            <v>14011304000103</v>
          </cell>
          <cell r="C3309" t="str">
            <v>IM SOBRG CTA CTE S/F PJ CPEM            1ND</v>
          </cell>
        </row>
        <row r="3310">
          <cell r="B3310" t="str">
            <v>14011304000104</v>
          </cell>
          <cell r="C3310" t="str">
            <v>IM SOBRG CTA CASTIG S/F PJ CPEM         1ND</v>
          </cell>
        </row>
        <row r="3311">
          <cell r="B3311" t="str">
            <v>14011305010101</v>
          </cell>
          <cell r="C3311" t="str">
            <v>CL PAG DSCTO VIG CPEM                   1ND</v>
          </cell>
        </row>
        <row r="3312">
          <cell r="B3312" t="str">
            <v>14011305010102</v>
          </cell>
          <cell r="C3312" t="str">
            <v>CL PAG.DSCTO D/P VIG CPEM               1ND</v>
          </cell>
        </row>
        <row r="3313">
          <cell r="B3313" t="str">
            <v>14011305010103</v>
          </cell>
          <cell r="C3313" t="str">
            <v>LPC PAG.TSA.DSCTO D/P VIGC CPEM         1ND</v>
          </cell>
        </row>
        <row r="3314">
          <cell r="B3314" t="str">
            <v>14011305010104</v>
          </cell>
          <cell r="C3314" t="str">
            <v>LPC PAG.TSA.DSCTO VIGC CPEM             1ND</v>
          </cell>
        </row>
        <row r="3315">
          <cell r="B3315" t="str">
            <v>14011305020101</v>
          </cell>
          <cell r="C3315" t="str">
            <v>FCD  LETRASÂ  DSCTO CPÂ  CPEM           1ND</v>
          </cell>
        </row>
        <row r="3316">
          <cell r="B3316" t="str">
            <v>14011305020102</v>
          </cell>
          <cell r="C3316" t="str">
            <v>FCD  DSCTO ELECTR SM PERU VIG CMED      1ND</v>
          </cell>
        </row>
        <row r="3317">
          <cell r="B3317" t="str">
            <v>14011305020103</v>
          </cell>
          <cell r="C3317" t="str">
            <v>PR LETRAS EN DSCTO VIG D/P CPEM         1ND</v>
          </cell>
        </row>
        <row r="3318">
          <cell r="B3318" t="str">
            <v>14011305020104</v>
          </cell>
          <cell r="C3318" t="str">
            <v>PR LETRAS T. DESCONTADAÂ  VIGÂ Â  CPEM  1ND</v>
          </cell>
        </row>
        <row r="3319">
          <cell r="B3319" t="str">
            <v>14011305020105</v>
          </cell>
          <cell r="C3319" t="str">
            <v>FCD DSCTO ELECTR VIG DUDOSO CPEM        1ND</v>
          </cell>
        </row>
        <row r="3320">
          <cell r="B3320" t="str">
            <v>14011305020106</v>
          </cell>
          <cell r="C3320" t="str">
            <v>FCD DESC. LET. VIG. CPEM DUPE           1ND</v>
          </cell>
        </row>
        <row r="3321">
          <cell r="B3321" t="str">
            <v>14011305020107</v>
          </cell>
          <cell r="C3321" t="str">
            <v>FCD DESC. FACT. VIG. CPEM DUPE          1ND</v>
          </cell>
        </row>
        <row r="3322">
          <cell r="B3322" t="str">
            <v>14011305020108</v>
          </cell>
          <cell r="C3322" t="str">
            <v>FCD DESC. VIRTUAL VIG. CPEM DUPE        1ND</v>
          </cell>
        </row>
        <row r="3323">
          <cell r="B3323" t="str">
            <v>14011305020109</v>
          </cell>
          <cell r="C3323" t="str">
            <v>FCD DESC. FACT. NEG. VIG. CPEM DUPE     1ND</v>
          </cell>
        </row>
        <row r="3324">
          <cell r="B3324" t="str">
            <v>14011305020110</v>
          </cell>
          <cell r="C3324" t="str">
            <v>FCD DESC. VIRTUAL VIG. CPEM NORMAL      1ND</v>
          </cell>
        </row>
        <row r="3325">
          <cell r="B3325" t="str">
            <v>14011306010101</v>
          </cell>
          <cell r="C3325" t="str">
            <v>MYP LINEA REVOLV VIG CPEM               1ND</v>
          </cell>
        </row>
        <row r="3326">
          <cell r="B3326" t="str">
            <v>14011306010102</v>
          </cell>
          <cell r="C3326" t="str">
            <v>MYP D/P LINEA REVOLV CPEM               1ND</v>
          </cell>
        </row>
        <row r="3327">
          <cell r="B3327" t="str">
            <v>14011306010103</v>
          </cell>
          <cell r="C3327" t="str">
            <v>MYP D/P LIN REV.BPE-BE COM VIG CPEM     1ND</v>
          </cell>
        </row>
        <row r="3328">
          <cell r="B3328" t="str">
            <v>14011306010104</v>
          </cell>
          <cell r="C3328" t="str">
            <v>MYP LINEA REV.BPE-BE COM VIG NORM CPEM  1ND</v>
          </cell>
        </row>
        <row r="3329">
          <cell r="B3329" t="str">
            <v>14011306010105</v>
          </cell>
          <cell r="C3329" t="str">
            <v>MYP LINEA REVOL PROVREFVIG CPEM         1ND</v>
          </cell>
        </row>
        <row r="3330">
          <cell r="B3330" t="str">
            <v>14011306010106</v>
          </cell>
          <cell r="C3330" t="str">
            <v>MYP LINEA REVOL REUT.VIG CPEM           1ND</v>
          </cell>
        </row>
        <row r="3331">
          <cell r="B3331" t="str">
            <v>14011306010107</v>
          </cell>
          <cell r="C3331" t="str">
            <v>MYP DUPE LINEA REVOL REUT.VIG CPEM      1ND</v>
          </cell>
        </row>
        <row r="3332">
          <cell r="B3332" t="str">
            <v>14011306010201</v>
          </cell>
          <cell r="C3332" t="str">
            <v>CL PAG. TV D/P REVOL VIG CPEM           1ND</v>
          </cell>
        </row>
        <row r="3333">
          <cell r="B3333" t="str">
            <v>14011306010202</v>
          </cell>
          <cell r="C3333" t="str">
            <v>CL PAG TV REVOLV VIG  CPEM              1ND</v>
          </cell>
        </row>
        <row r="3334">
          <cell r="B3334" t="str">
            <v>14011306010203</v>
          </cell>
          <cell r="C3334" t="str">
            <v>CL PAG.TV NEG.INMOBIL REVOLV VIG CPEM   1ND</v>
          </cell>
        </row>
        <row r="3335">
          <cell r="B3335" t="str">
            <v>14011306010204</v>
          </cell>
          <cell r="C3335" t="str">
            <v>CL P.TV OTROS SUSP.REVOL VIG CPEM       1ND</v>
          </cell>
        </row>
        <row r="3336">
          <cell r="B3336" t="str">
            <v>14011306010205</v>
          </cell>
          <cell r="C3336" t="str">
            <v>CL P.TV REC.COFIDE.REV VIG CPEM         1ND</v>
          </cell>
        </row>
        <row r="3337">
          <cell r="B3337" t="str">
            <v>14011306010301</v>
          </cell>
          <cell r="C3337" t="str">
            <v>LPC P.TV REC.COFIDE REVOL VIG CPEM      1ND</v>
          </cell>
        </row>
        <row r="3338">
          <cell r="B3338" t="str">
            <v>14011306010302</v>
          </cell>
          <cell r="C3338" t="str">
            <v>LPC PAGARE  TV  COFIDE  D/P             1ND</v>
          </cell>
        </row>
        <row r="3339">
          <cell r="B3339" t="str">
            <v>14011306010303</v>
          </cell>
          <cell r="C3339" t="str">
            <v>LPC PAG TV D/P REVOL VIG CPEM           1ND</v>
          </cell>
        </row>
        <row r="3340">
          <cell r="B3340" t="str">
            <v>14011306010304</v>
          </cell>
          <cell r="C3340" t="str">
            <v>LPC PAG TV RP REVOL CPEM                1ND</v>
          </cell>
        </row>
        <row r="3341">
          <cell r="B3341" t="str">
            <v>14011306010305</v>
          </cell>
          <cell r="C3341" t="str">
            <v>LPC PAG TV INMOBILIARIO REV             1ND</v>
          </cell>
        </row>
        <row r="3342">
          <cell r="B3342" t="str">
            <v>14011306010306</v>
          </cell>
          <cell r="C3342" t="str">
            <v>LPC PAG TV INMOBILIARIO REV D/P         1ND</v>
          </cell>
        </row>
        <row r="3343">
          <cell r="B3343" t="str">
            <v>14011306010307</v>
          </cell>
          <cell r="C3343" t="str">
            <v>LPC PAG TV REVOL EUROS                  1ND</v>
          </cell>
        </row>
        <row r="3344">
          <cell r="B3344" t="str">
            <v>14011306010308</v>
          </cell>
          <cell r="C3344" t="str">
            <v>LPC PAG TV REVOL EUROS                  1ND</v>
          </cell>
        </row>
        <row r="3345">
          <cell r="B3345" t="str">
            <v>14011306010309</v>
          </cell>
          <cell r="C3345" t="str">
            <v>PAGARE TASA VENCIDA D/P LPC CPEM        1ND</v>
          </cell>
        </row>
        <row r="3346">
          <cell r="B3346" t="str">
            <v>14011306010310</v>
          </cell>
          <cell r="C3346" t="str">
            <v>LPC PAG TV RP MED PLAZO REVOL D/P       1ND</v>
          </cell>
        </row>
        <row r="3347">
          <cell r="B3347" t="str">
            <v>14011306010311</v>
          </cell>
          <cell r="C3347" t="str">
            <v>LPC PAG TV INMOBILIARIO REV VIG D/P CPEM1ND</v>
          </cell>
        </row>
        <row r="3348">
          <cell r="B3348" t="str">
            <v>14011306010312</v>
          </cell>
          <cell r="C3348" t="str">
            <v>LPC PAG DERIVADOS REVOL VIG DUPE CPEM   1ND</v>
          </cell>
        </row>
        <row r="3349">
          <cell r="B3349" t="str">
            <v>14011306010313</v>
          </cell>
          <cell r="C3349" t="str">
            <v>LPC PAG DERIVADOS REVOL VIG NORM CPEM   1ND</v>
          </cell>
        </row>
        <row r="3350">
          <cell r="B3350" t="str">
            <v>14011306010314</v>
          </cell>
          <cell r="C3350" t="str">
            <v>LPC PAG REPROGRAMADO VIG NORM CPEM      1ND</v>
          </cell>
        </row>
        <row r="3351">
          <cell r="B3351" t="str">
            <v>14011306010315</v>
          </cell>
          <cell r="C3351" t="str">
            <v>LPC PAG REPROGRAMADO VIG DUPE CPEM      1ND</v>
          </cell>
        </row>
        <row r="3352">
          <cell r="B3352" t="str">
            <v>14011306010324</v>
          </cell>
          <cell r="C3352" t="str">
            <v>LPC REACTIVA PERU VIG CPEM\NORM         1ND</v>
          </cell>
        </row>
        <row r="3353">
          <cell r="B3353" t="str">
            <v>14011306010325</v>
          </cell>
          <cell r="C3353" t="str">
            <v>LPC REACTIVA PERU VIG CPEM\DUPE         1ND</v>
          </cell>
        </row>
        <row r="3354">
          <cell r="B3354" t="str">
            <v>14011306010326</v>
          </cell>
          <cell r="C3354" t="str">
            <v>LPC COFIDE FONDOS PERU VIG CPEM\NORM    1ND</v>
          </cell>
        </row>
        <row r="3355">
          <cell r="B3355" t="str">
            <v>14011306010327</v>
          </cell>
          <cell r="C3355" t="str">
            <v>LPC COFIDE FONDOS PERU VIG CPEM\DUPE    1ND</v>
          </cell>
        </row>
        <row r="3356">
          <cell r="B3356" t="str">
            <v>14011306010328</v>
          </cell>
          <cell r="C3356" t="str">
            <v>LPC COFIDE FONDO CRECER VIG CPEM\DUPE   1ND</v>
          </cell>
        </row>
        <row r="3357">
          <cell r="B3357" t="str">
            <v>14011306010329</v>
          </cell>
          <cell r="C3357" t="str">
            <v>LPC COFIDE FONDO CRECER VIG CPEM\NORM   1ND</v>
          </cell>
        </row>
        <row r="3358">
          <cell r="B3358" t="str">
            <v>14011306010330</v>
          </cell>
          <cell r="C3358" t="str">
            <v>LPC REACTIVA PERU VIG CPEM\DUPE         1ND</v>
          </cell>
        </row>
        <row r="3359">
          <cell r="B3359" t="str">
            <v>14011306010331</v>
          </cell>
          <cell r="C3359" t="str">
            <v>LPC REACTIVA PERU VIG CPEM\NORM         1ND</v>
          </cell>
        </row>
        <row r="3360">
          <cell r="B3360" t="str">
            <v>14011306010332</v>
          </cell>
          <cell r="C3360" t="str">
            <v>LPC PAG.INMOB. REPROG-SUSPENSO VIG CPEM 1ND</v>
          </cell>
        </row>
        <row r="3361">
          <cell r="B3361" t="str">
            <v>14011306010333</v>
          </cell>
          <cell r="C3361" t="str">
            <v>LPC PAG.INMOB. REPROG-SUSPENSO VIG CPEM 1ND</v>
          </cell>
        </row>
        <row r="3362">
          <cell r="B3362" t="str">
            <v>14011306010334</v>
          </cell>
          <cell r="C3362" t="str">
            <v>LPC PAG.INMOB. REPROG-SUSPENSO VIG CPEM 1ND</v>
          </cell>
        </row>
        <row r="3363">
          <cell r="B3363" t="str">
            <v>14011306010335</v>
          </cell>
          <cell r="C3363" t="str">
            <v>LPC IMPULSO MYPERU CORTO PLAZO VIG REV C1 D</v>
          </cell>
        </row>
        <row r="3364">
          <cell r="B3364" t="str">
            <v>14011306010336</v>
          </cell>
          <cell r="C3364" t="str">
            <v>LPC IMPULSO MYPERU MEDIANO PLAZO VIG REV1 D</v>
          </cell>
        </row>
        <row r="3365">
          <cell r="B3365" t="str">
            <v>14011306010337</v>
          </cell>
          <cell r="C3365" t="str">
            <v>MYP LINEA REVOLV CIMA VIG NORM CPEM     1 D</v>
          </cell>
        </row>
        <row r="3366">
          <cell r="B3366" t="str">
            <v>14011306010338</v>
          </cell>
          <cell r="C3366" t="str">
            <v>MYP LINEA REVOLV CIMA VIG DUPE CPEM     1 D</v>
          </cell>
        </row>
        <row r="3367">
          <cell r="B3367" t="str">
            <v>14011306010339</v>
          </cell>
          <cell r="C3367" t="str">
            <v>LPC PAG PAPERLESS DERIVADOS REVOL CPEM D1ND</v>
          </cell>
        </row>
        <row r="3368">
          <cell r="B3368" t="str">
            <v>14011306010340</v>
          </cell>
          <cell r="C3368" t="str">
            <v>LPC PAG PAPERLESS DERIVADOS REVOL CPEM N1ND</v>
          </cell>
        </row>
        <row r="3369">
          <cell r="B3369" t="str">
            <v>14011306010341</v>
          </cell>
          <cell r="C3369" t="str">
            <v>CCD-BPE LINEA REVOLVENTE_CPEM VIG NORM  1 D</v>
          </cell>
        </row>
        <row r="3370">
          <cell r="B3370" t="str">
            <v>14011306010342</v>
          </cell>
          <cell r="C3370" t="str">
            <v>CCD-BPE LINEA REVOLVENTE_CPEM VIG DUPE  1 D</v>
          </cell>
        </row>
        <row r="3371">
          <cell r="B3371" t="str">
            <v>14011306020101</v>
          </cell>
          <cell r="C3371" t="str">
            <v>MYP CAP.VIG CAP. TRAB. CPEM             1ND</v>
          </cell>
        </row>
        <row r="3372">
          <cell r="B3372" t="str">
            <v>14011306020102</v>
          </cell>
          <cell r="C3372" t="str">
            <v>MYP CAP COMPRA AF CPEM                  1ND</v>
          </cell>
        </row>
        <row r="3373">
          <cell r="B3373" t="str">
            <v>14011306020103</v>
          </cell>
          <cell r="C3373" t="str">
            <v>MYP CAP.VIG.FIN. CRED. PARAL.CPEM       1ND</v>
          </cell>
        </row>
        <row r="3374">
          <cell r="B3374" t="str">
            <v>14011306020104</v>
          </cell>
          <cell r="C3374" t="str">
            <v>MYP D/P CAP VIG CAP.TRAB CPEM           1ND</v>
          </cell>
        </row>
        <row r="3375">
          <cell r="B3375" t="str">
            <v>14011306020105</v>
          </cell>
          <cell r="C3375" t="str">
            <v>MYP D/P CAP VIG.AF INMUEBLE CPEM        1ND</v>
          </cell>
        </row>
        <row r="3376">
          <cell r="B3376" t="str">
            <v>14011306020106</v>
          </cell>
          <cell r="C3376" t="str">
            <v>MYP D/P CAP VIG CRED ESTACIONAL CPEM    1ND</v>
          </cell>
        </row>
        <row r="3377">
          <cell r="B3377" t="str">
            <v>14011306020108</v>
          </cell>
          <cell r="C3377" t="str">
            <v>MYP D/P CAP VIG.AF INMUEBLE CPEM        1ND</v>
          </cell>
        </row>
        <row r="3378">
          <cell r="B3378" t="str">
            <v>14011306020109</v>
          </cell>
          <cell r="C3378" t="str">
            <v>MYP D/P CAP VIG.AF INMUEBLE CPEM        1ND</v>
          </cell>
        </row>
        <row r="3379">
          <cell r="B3379" t="str">
            <v>14011306020110</v>
          </cell>
          <cell r="C3379" t="str">
            <v>MYP CAP.VIG COMPRA DEUDA CPEM           1ND</v>
          </cell>
        </row>
        <row r="3380">
          <cell r="B3380" t="str">
            <v>14011306020111</v>
          </cell>
          <cell r="C3380" t="str">
            <v>MYP D/P CAP VIG FIN. COMP.DEU CPEM      1ND</v>
          </cell>
        </row>
        <row r="3381">
          <cell r="B3381" t="str">
            <v>14011306020112</v>
          </cell>
          <cell r="C3381" t="str">
            <v>MYP CAP.VIG.FIN. CRED. PARAL. CPEM      1ND</v>
          </cell>
        </row>
        <row r="3382">
          <cell r="B3382" t="str">
            <v>14011306020113</v>
          </cell>
          <cell r="C3382" t="str">
            <v>MYP CAP.VIG.TRANSP PUBLIC CPEM          1ND</v>
          </cell>
        </row>
        <row r="3383">
          <cell r="B3383" t="str">
            <v>14011306020114</v>
          </cell>
          <cell r="C3383" t="str">
            <v>MYP D/P CAP VIG TRANSP PUB CPEM         1ND</v>
          </cell>
        </row>
        <row r="3384">
          <cell r="B3384" t="str">
            <v>14011306020122</v>
          </cell>
          <cell r="C3384" t="str">
            <v>MYP COMP DEUD AF VIG CPEM VIG           1ND</v>
          </cell>
        </row>
        <row r="3385">
          <cell r="B3385" t="str">
            <v>14011306020123</v>
          </cell>
          <cell r="C3385" t="str">
            <v>MYP COMP DEUD AF VIG CPEM VIG D/P       1ND</v>
          </cell>
        </row>
        <row r="3386">
          <cell r="B3386" t="str">
            <v>14011306020124</v>
          </cell>
          <cell r="C3386" t="str">
            <v>MYP E.R.CAP.VIG.FIN. CAP. TRAB CPEM     1ND</v>
          </cell>
        </row>
        <row r="3387">
          <cell r="B3387" t="str">
            <v>14011306020125</v>
          </cell>
          <cell r="C3387" t="str">
            <v>MYP E.R.CAP.VIG.FIN. CAP. TRAB CPEM D/P 1ND</v>
          </cell>
        </row>
        <row r="3388">
          <cell r="B3388" t="str">
            <v>14011306020126</v>
          </cell>
          <cell r="C3388" t="str">
            <v>MYPÂ  C VIG E.R.FIN CAPTRAB DUPE        1ND</v>
          </cell>
        </row>
        <row r="3389">
          <cell r="B3389" t="str">
            <v>14011306020127</v>
          </cell>
          <cell r="C3389" t="str">
            <v>MYP ER VIG FIN CAP TRA DUP CPEM         1ND</v>
          </cell>
        </row>
        <row r="3390">
          <cell r="B3390" t="str">
            <v>14011306020128</v>
          </cell>
          <cell r="C3390" t="str">
            <v>MYP CAP.VIG CAP. TRAB. CPEM PRO.REFIN   1ND</v>
          </cell>
        </row>
        <row r="3391">
          <cell r="B3391" t="str">
            <v>14011306020129</v>
          </cell>
          <cell r="C3391" t="str">
            <v>MYP CAP.TRAB.REUT.VIG.CPEM              1ND</v>
          </cell>
        </row>
        <row r="3392">
          <cell r="B3392" t="str">
            <v>14011306020201</v>
          </cell>
          <cell r="C3392" t="str">
            <v>MYP D/P PAG BPE-BE VIG COMERCIAL CPEM   1ND</v>
          </cell>
        </row>
        <row r="3393">
          <cell r="B3393" t="str">
            <v>14011306020202</v>
          </cell>
          <cell r="C3393" t="str">
            <v>MYP PAG BPE-BE COMERCIAL VIG NORM CPEM  1ND</v>
          </cell>
        </row>
        <row r="3394">
          <cell r="B3394" t="str">
            <v>14011306020203</v>
          </cell>
          <cell r="C3394" t="str">
            <v>MYP DUPE CAP.VIG CAP. TRAB. CPEM PRO.REF1ND</v>
          </cell>
        </row>
        <row r="3395">
          <cell r="B3395" t="str">
            <v>14011306020204</v>
          </cell>
          <cell r="C3395" t="str">
            <v>MYP DUPE CAP.TRAB.REUT.VIG.CPEM         1ND</v>
          </cell>
        </row>
        <row r="3396">
          <cell r="B3396" t="str">
            <v>14011306020205</v>
          </cell>
          <cell r="C3396" t="str">
            <v>MYP CAP VIG CAP.TRAB CIMA NOR/DUPE CPEM 1ND</v>
          </cell>
        </row>
        <row r="3397">
          <cell r="B3397" t="str">
            <v>14011306020206</v>
          </cell>
          <cell r="C3397" t="str">
            <v>MYP CODIFE FONDO CRECER VIG CPEM\DUPE   1ND</v>
          </cell>
        </row>
        <row r="3398">
          <cell r="B3398" t="str">
            <v>14011306020207</v>
          </cell>
          <cell r="C3398" t="str">
            <v>MYP CODIFE FONDO CRECER VIG CPEM\NORM   1ND</v>
          </cell>
        </row>
        <row r="3399">
          <cell r="B3399" t="str">
            <v>14011306020208</v>
          </cell>
          <cell r="C3399" t="str">
            <v>MYP CODIFE REACTIVA PERU VIG CPEM\DUPE  1ND</v>
          </cell>
        </row>
        <row r="3400">
          <cell r="B3400" t="str">
            <v>14011306020209</v>
          </cell>
          <cell r="C3400" t="str">
            <v>MYP CODIFE REACTIVA PERU VIG CPEM\NORM  1ND</v>
          </cell>
        </row>
        <row r="3401">
          <cell r="B3401" t="str">
            <v>14011306020210</v>
          </cell>
          <cell r="C3401" t="str">
            <v>LPC PAG TV D/P NO REV VIG CPEM          1ND</v>
          </cell>
        </row>
        <row r="3402">
          <cell r="B3402" t="str">
            <v>14011306020211</v>
          </cell>
          <cell r="C3402" t="str">
            <v>LPC PAG TV INMOBILIARIO NO REV          1ND</v>
          </cell>
        </row>
        <row r="3403">
          <cell r="B3403" t="str">
            <v>14011306020212</v>
          </cell>
          <cell r="C3403" t="str">
            <v>LPC REACTIVA PERU VIG CPEM\NORM         1ND</v>
          </cell>
        </row>
        <row r="3404">
          <cell r="B3404" t="str">
            <v>14011306020213</v>
          </cell>
          <cell r="C3404" t="str">
            <v>LPC PAG TV D/P NO REV VIG CPEM          1ND</v>
          </cell>
        </row>
        <row r="3405">
          <cell r="B3405" t="str">
            <v>14011306020214</v>
          </cell>
          <cell r="C3405" t="str">
            <v>LPC PAG TV INMOBILIARIO NO REV          1ND</v>
          </cell>
        </row>
        <row r="3406">
          <cell r="B3406" t="str">
            <v>14011306020215</v>
          </cell>
          <cell r="C3406" t="str">
            <v>LPC REACTIVA PERU VIG CPEM\NORM         1ND</v>
          </cell>
        </row>
        <row r="3407">
          <cell r="B3407" t="str">
            <v>14011306020216</v>
          </cell>
          <cell r="C3407" t="str">
            <v>LPC PAG TV RP NO REVOL CPEM             1ND</v>
          </cell>
        </row>
        <row r="3408">
          <cell r="B3408" t="str">
            <v>14011306020217</v>
          </cell>
          <cell r="C3408" t="str">
            <v>LPC PAG TV D/P NO REVOL CPEM            1ND</v>
          </cell>
        </row>
        <row r="3409">
          <cell r="B3409" t="str">
            <v>14011306020218</v>
          </cell>
          <cell r="C3409" t="str">
            <v>LPC PAG.INMOB. REPROG-SUSPENSO VIG CPEM 1ND</v>
          </cell>
        </row>
        <row r="3410">
          <cell r="B3410" t="str">
            <v>14011306020219</v>
          </cell>
          <cell r="C3410" t="str">
            <v>LPC PAG DERIVADOS D/P NO REV VIG CPEM   1 D</v>
          </cell>
        </row>
        <row r="3411">
          <cell r="B3411" t="str">
            <v>14011306020220</v>
          </cell>
          <cell r="C3411" t="str">
            <v>LPC PAG DERIVADOS NO REVOL CPEM         1 D</v>
          </cell>
        </row>
        <row r="3412">
          <cell r="B3412" t="str">
            <v>14011306020221</v>
          </cell>
          <cell r="C3412" t="str">
            <v>LPC REACTIVA PERU VIG CPEM\DUPE         1 D</v>
          </cell>
        </row>
        <row r="3413">
          <cell r="B3413" t="str">
            <v>14011306020224</v>
          </cell>
          <cell r="C3413" t="str">
            <v>LPC 30K REACTIVA CORTO PLAZO REPROG VIG 1 D</v>
          </cell>
        </row>
        <row r="3414">
          <cell r="B3414" t="str">
            <v>14011306020225</v>
          </cell>
          <cell r="C3414" t="str">
            <v>LPC 30K REACTIVA CORTO PLAZO REPROG VIG 1 D</v>
          </cell>
        </row>
        <row r="3415">
          <cell r="B3415" t="str">
            <v>14011306020226</v>
          </cell>
          <cell r="C3415" t="str">
            <v>MYP REACTIVA REPROG VIG CPEM            1 D</v>
          </cell>
        </row>
        <row r="3416">
          <cell r="B3416" t="str">
            <v>14011306020227</v>
          </cell>
          <cell r="C3416" t="str">
            <v>LPC REPROG REACTIVA DIFE CPEM VIG       1 D</v>
          </cell>
        </row>
        <row r="3417">
          <cell r="B3417" t="str">
            <v>14011306020228</v>
          </cell>
          <cell r="C3417" t="str">
            <v>LPC REPROG REACTIVA DS.011-2022 CPEM NOR1 D</v>
          </cell>
        </row>
        <row r="3418">
          <cell r="B3418" t="str">
            <v>14011306020229</v>
          </cell>
          <cell r="C3418" t="str">
            <v>LPC REPROG REACTIVA DS.011-2022 CPEM DUP1 D</v>
          </cell>
        </row>
        <row r="3419">
          <cell r="B3419" t="str">
            <v>14011306020230</v>
          </cell>
          <cell r="C3419" t="str">
            <v>MYP REPROG REACTIVA DS.011-2022 CPEM DUP1 D</v>
          </cell>
        </row>
        <row r="3420">
          <cell r="B3420" t="str">
            <v>14011306020231</v>
          </cell>
          <cell r="C3420" t="str">
            <v>MYP REPROG REACTIVA DS.011-2022 CPEM NOR1 D</v>
          </cell>
        </row>
        <row r="3421">
          <cell r="B3421" t="str">
            <v>14011306020232</v>
          </cell>
          <cell r="C3421" t="str">
            <v>LPC COFIDE FONDOS CRECER VIG CPEM\NORM  1ND</v>
          </cell>
        </row>
        <row r="3422">
          <cell r="B3422" t="str">
            <v>14011306020243</v>
          </cell>
          <cell r="C3422" t="str">
            <v>MYP CAP_TRAB_CIMA CPEM VIG NORM         1 D</v>
          </cell>
        </row>
        <row r="3423">
          <cell r="B3423" t="str">
            <v>14011306020244</v>
          </cell>
          <cell r="C3423" t="str">
            <v>MYP CAP_TRAB_CIMA CPEM VIG DUPE         1 D</v>
          </cell>
        </row>
        <row r="3424">
          <cell r="B3424" t="str">
            <v>14011306020245</v>
          </cell>
          <cell r="C3424" t="str">
            <v>MYP REPROGRAMADO CIMA CPEM VIG NORM     1 D</v>
          </cell>
        </row>
        <row r="3425">
          <cell r="B3425" t="str">
            <v>14011306020246</v>
          </cell>
          <cell r="C3425" t="str">
            <v>MYP REPROGRAMADO CIMA CPEM VIG DUPE     1 D</v>
          </cell>
        </row>
        <row r="3426">
          <cell r="B3426" t="str">
            <v>14011306020247</v>
          </cell>
          <cell r="C3426" t="str">
            <v>MYP REPROG REACTIVA 2023 CPEM DUPE VIG  1 D</v>
          </cell>
        </row>
        <row r="3427">
          <cell r="B3427" t="str">
            <v>14011306020248</v>
          </cell>
          <cell r="C3427" t="str">
            <v>MYP REPROG REACTIVA 2023 CPEM NORM VIG  1 D</v>
          </cell>
        </row>
        <row r="3428">
          <cell r="B3428" t="str">
            <v>14011306020249</v>
          </cell>
          <cell r="C3428" t="str">
            <v>LPC REPROG REACTIVA 2023 VIG CPEM NORM  1 D</v>
          </cell>
        </row>
        <row r="3429">
          <cell r="B3429" t="str">
            <v>14011306020250</v>
          </cell>
          <cell r="C3429" t="str">
            <v>LPC REPROG REACTIVA 2023 VIG CPEM DUPE  1 D</v>
          </cell>
        </row>
        <row r="3430">
          <cell r="B3430" t="str">
            <v>14011306020251</v>
          </cell>
          <cell r="C3430" t="str">
            <v>MYP CAP. TRAB - PAGARE DIGITAL_CPEM NORM1 D</v>
          </cell>
        </row>
        <row r="3431">
          <cell r="B3431" t="str">
            <v>14011306020252</v>
          </cell>
          <cell r="C3431" t="str">
            <v>MYP CAP. TRAB - PAGARE DIGITAL_CPEM DUPE1 D</v>
          </cell>
        </row>
        <row r="3432">
          <cell r="B3432" t="str">
            <v>14011306020253</v>
          </cell>
          <cell r="C3432" t="str">
            <v>MYP IMPULSO MYPERU VIG CPEM DUPE        1 D</v>
          </cell>
        </row>
        <row r="3433">
          <cell r="B3433" t="str">
            <v>14011306020254</v>
          </cell>
          <cell r="C3433" t="str">
            <v>MYP IMPULSO MYPERU VIG CPEM NORM        1 D</v>
          </cell>
        </row>
        <row r="3434">
          <cell r="B3434" t="str">
            <v>14011306020255</v>
          </cell>
          <cell r="C3434" t="str">
            <v>LPC IMPULSO MYPERU CORTO PLAZO VIG NREV 1 D</v>
          </cell>
        </row>
        <row r="3435">
          <cell r="B3435" t="str">
            <v>14011306020256</v>
          </cell>
          <cell r="C3435" t="str">
            <v>LPC IMPULSO MYPERU MEDIANO PLAZO VIG NRE1 D</v>
          </cell>
        </row>
        <row r="3436">
          <cell r="B3436" t="str">
            <v>14011306020257</v>
          </cell>
          <cell r="C3436" t="str">
            <v>MYP CAPITAL DE TRAB CIMA REUT DIF VIG CP1 D</v>
          </cell>
        </row>
        <row r="3437">
          <cell r="B3437" t="str">
            <v>14011306020258</v>
          </cell>
          <cell r="C3437" t="str">
            <v>MYP CAPITAL DE TRAB CIMA REUT DIF VIG CP1 D</v>
          </cell>
        </row>
        <row r="3438">
          <cell r="B3438" t="str">
            <v>14011306020259</v>
          </cell>
          <cell r="C3438" t="str">
            <v>MYP CAP TRAB PER GRACIA PARCIAL VIG NORM1 D</v>
          </cell>
        </row>
        <row r="3439">
          <cell r="B3439" t="str">
            <v>14011306020260</v>
          </cell>
          <cell r="C3439" t="str">
            <v>MYP CAP TRAB PER GRACIA PARCIAL VIG DUPE1 D</v>
          </cell>
        </row>
        <row r="3440">
          <cell r="B3440" t="str">
            <v>14011306020261</v>
          </cell>
          <cell r="C3440" t="str">
            <v>MYP REPROG PERIODO GRACIA PARCIAL VIG CP1 D</v>
          </cell>
        </row>
        <row r="3441">
          <cell r="B3441" t="str">
            <v>14011306020262</v>
          </cell>
          <cell r="C3441" t="str">
            <v>MYP REPROG PERIODO GRACIA PARCIAL VIG CP1 D</v>
          </cell>
        </row>
        <row r="3442">
          <cell r="B3442" t="str">
            <v>14011306020263</v>
          </cell>
          <cell r="C3442" t="str">
            <v>LPC COFIDE FONDO CRECER VIG CPEM\NORM   1 D</v>
          </cell>
        </row>
        <row r="3443">
          <cell r="B3443" t="str">
            <v>14011306020264</v>
          </cell>
          <cell r="C3443" t="str">
            <v>LPC PAG PAPERLESS DERIVADOS NO REVOL CPE1ND</v>
          </cell>
        </row>
        <row r="3444">
          <cell r="B3444" t="str">
            <v>14011306020265</v>
          </cell>
          <cell r="C3444" t="str">
            <v>LPC PAG PAPERLESS DERIVADOS NO REVOL CPE1ND</v>
          </cell>
        </row>
        <row r="3445">
          <cell r="B3445" t="str">
            <v>14011306020266</v>
          </cell>
          <cell r="C3445" t="str">
            <v>CCD-BPE CAPITAL DE TRABAJO_CPEM VIG NORM1 D</v>
          </cell>
        </row>
        <row r="3446">
          <cell r="B3446" t="str">
            <v>14011306020267</v>
          </cell>
          <cell r="C3446" t="str">
            <v>CCD-BPE CAPITAL DE TRABAJO_CPEM VIG DUPE1 D</v>
          </cell>
        </row>
        <row r="3447">
          <cell r="B3447" t="str">
            <v>14011306020268</v>
          </cell>
          <cell r="C3447" t="str">
            <v>CCD-BPE CAP DE TRAB REPROG_CPEM VIG NORM1 D</v>
          </cell>
        </row>
        <row r="3448">
          <cell r="B3448" t="str">
            <v>14011306020269</v>
          </cell>
          <cell r="C3448" t="str">
            <v>CCD-BPE CAP DE TRAB REPROG_CPEM VIG DUPE1 D</v>
          </cell>
        </row>
        <row r="3449">
          <cell r="B3449" t="str">
            <v>14011306090101</v>
          </cell>
          <cell r="C3449" t="str">
            <v>CL PAG. TV D/P NO REVOL VIG CPEM        1ND</v>
          </cell>
        </row>
        <row r="3450">
          <cell r="B3450" t="str">
            <v>14011306090102</v>
          </cell>
          <cell r="C3450" t="str">
            <v>CL PAG TV NO REVOLV VIG  CPEM           1ND</v>
          </cell>
        </row>
        <row r="3451">
          <cell r="B3451" t="str">
            <v>14011306090103</v>
          </cell>
          <cell r="C3451" t="str">
            <v>CL PAG.TV NEG.INMOBIL NO REVOLV VIG CPEM1ND</v>
          </cell>
        </row>
        <row r="3452">
          <cell r="B3452" t="str">
            <v>14011306090104</v>
          </cell>
          <cell r="C3452" t="str">
            <v>CL P.TV OTROS SUSP.NO REV VIG CPEM      1ND</v>
          </cell>
        </row>
        <row r="3453">
          <cell r="B3453" t="str">
            <v>14011306090105</v>
          </cell>
          <cell r="C3453" t="str">
            <v>CL P.TV REC.COFIDE.  NO REV VIG CPEM    1ND</v>
          </cell>
        </row>
        <row r="3454">
          <cell r="B3454" t="str">
            <v>14011306090106</v>
          </cell>
          <cell r="C3454" t="str">
            <v>CL PAG.DEUD.VTA CARTERA VIG. CPEM       1ND</v>
          </cell>
        </row>
        <row r="3455">
          <cell r="B3455" t="str">
            <v>14011306090201</v>
          </cell>
          <cell r="C3455" t="str">
            <v>LPC PAG TV RP NO REVOL CPEM             1ND</v>
          </cell>
        </row>
        <row r="3456">
          <cell r="B3456" t="str">
            <v>14011306090202</v>
          </cell>
          <cell r="C3456" t="str">
            <v>LPC P.TV REC.COFIDE NO REVOL VIG CPEM   1ND</v>
          </cell>
        </row>
        <row r="3457">
          <cell r="B3457" t="str">
            <v>14011306090203</v>
          </cell>
          <cell r="C3457" t="str">
            <v>LPC PAGARE  TV  COFIDE  D/P             1ND</v>
          </cell>
        </row>
        <row r="3458">
          <cell r="B3458" t="str">
            <v>14011306090204</v>
          </cell>
          <cell r="C3458" t="str">
            <v>LPC PAG TV D/P NO REV VIG CPEM          1ND</v>
          </cell>
        </row>
        <row r="3459">
          <cell r="B3459" t="str">
            <v>14011306090205</v>
          </cell>
          <cell r="C3459" t="str">
            <v>LPC PAG TV RP MED PLAZO NO REV D/P      1ND</v>
          </cell>
        </row>
        <row r="3460">
          <cell r="B3460" t="str">
            <v>14011306090206</v>
          </cell>
          <cell r="C3460" t="str">
            <v>LPC PAG TV INMOBILIARIO NO REV          1ND</v>
          </cell>
        </row>
        <row r="3461">
          <cell r="B3461" t="str">
            <v>14011306090207</v>
          </cell>
          <cell r="C3461" t="str">
            <v>LPC PAG TV INMOBILIARIO NO REV D/P      1ND</v>
          </cell>
        </row>
        <row r="3462">
          <cell r="B3462" t="str">
            <v>14011306090208</v>
          </cell>
          <cell r="C3462" t="str">
            <v>LPC PAG TV NO REVOL EUROS               1ND</v>
          </cell>
        </row>
        <row r="3463">
          <cell r="B3463" t="str">
            <v>14011306090209</v>
          </cell>
          <cell r="C3463" t="str">
            <v>LPC PAG TV NO REVOL EUROS               1ND</v>
          </cell>
        </row>
        <row r="3464">
          <cell r="B3464" t="str">
            <v>14011306090210</v>
          </cell>
          <cell r="C3464" t="str">
            <v>PAGARE TASA VENCIDA D/P LPC CPEM        1ND</v>
          </cell>
        </row>
        <row r="3465">
          <cell r="B3465" t="str">
            <v>14011306090211</v>
          </cell>
          <cell r="C3465" t="str">
            <v>LPC PAG TV INMOBILIARIO NO REV VIG D/P C1ND</v>
          </cell>
        </row>
        <row r="3466">
          <cell r="B3466" t="str">
            <v>14011306090212</v>
          </cell>
          <cell r="C3466" t="str">
            <v>LPC PAG DERIVADOS NO REVOL CPEM         1ND</v>
          </cell>
        </row>
        <row r="3467">
          <cell r="B3467" t="str">
            <v>14011306090213</v>
          </cell>
          <cell r="C3467" t="str">
            <v>LPC PAG DERIVADOS N/REVOL VIG DUPE CPEM 1ND</v>
          </cell>
        </row>
        <row r="3468">
          <cell r="B3468" t="str">
            <v>14011306090214</v>
          </cell>
          <cell r="C3468" t="str">
            <v>LPC PAG REPROGRAMADO NO REV CPEM        1ND</v>
          </cell>
        </row>
        <row r="3469">
          <cell r="B3469" t="str">
            <v>14011306090215</v>
          </cell>
          <cell r="C3469" t="str">
            <v>LPC PAG REPROGRAMADO NO REVOL VIG D/P CP1ND</v>
          </cell>
        </row>
        <row r="3470">
          <cell r="B3470" t="str">
            <v>14011306090224</v>
          </cell>
          <cell r="C3470" t="str">
            <v>LPC REACTIVA PERU VIG CPEM\NORM         1ND</v>
          </cell>
        </row>
        <row r="3471">
          <cell r="B3471" t="str">
            <v>14011306090225</v>
          </cell>
          <cell r="C3471" t="str">
            <v>LPC REACTIVA PERU VIG CPEM\DUPE         1ND</v>
          </cell>
        </row>
        <row r="3472">
          <cell r="B3472" t="str">
            <v>14011306090226</v>
          </cell>
          <cell r="C3472" t="str">
            <v>LPC COFIDE FONDOS PERU VIG CPEM\NORM    1ND</v>
          </cell>
        </row>
        <row r="3473">
          <cell r="B3473" t="str">
            <v>14011306090227</v>
          </cell>
          <cell r="C3473" t="str">
            <v>LPC COFIDE FONDOS PERU VIG CPEM\DUPE    1ND</v>
          </cell>
        </row>
        <row r="3474">
          <cell r="B3474" t="str">
            <v>14011306090228</v>
          </cell>
          <cell r="C3474" t="str">
            <v>LPC COFIDE FONDO CRECER VIG CPEM\DUPE   1ND</v>
          </cell>
        </row>
        <row r="3475">
          <cell r="B3475" t="str">
            <v>14011306090229</v>
          </cell>
          <cell r="C3475" t="str">
            <v>LPC COFIDE FONDO CRECER VIG CPEM\NORM   1ND</v>
          </cell>
        </row>
        <row r="3476">
          <cell r="B3476" t="str">
            <v>14011306090230</v>
          </cell>
          <cell r="C3476" t="str">
            <v>LPC REACTIVA PERU VIG CPEM\DUPE         1ND</v>
          </cell>
        </row>
        <row r="3477">
          <cell r="B3477" t="str">
            <v>14011306090231</v>
          </cell>
          <cell r="C3477" t="str">
            <v>LPC REACTIVA PERU VIG CPEM\NORM         1ND</v>
          </cell>
        </row>
        <row r="3478">
          <cell r="B3478" t="str">
            <v>14011306090232</v>
          </cell>
          <cell r="C3478" t="str">
            <v>LPC PAG.INMOB. REPROG-SUSPENSO VIG CPEM 1ND</v>
          </cell>
        </row>
        <row r="3479">
          <cell r="B3479" t="str">
            <v>14011306090233</v>
          </cell>
          <cell r="C3479" t="str">
            <v>LPC PAG.INMOB. REPROG-SUSPENSO VIG CPEM 1ND</v>
          </cell>
        </row>
        <row r="3480">
          <cell r="B3480" t="str">
            <v>14011308000100</v>
          </cell>
          <cell r="C3480" t="str">
            <v>CDO VISA EXTRACASH NO REV VIG CPEM      1ND</v>
          </cell>
        </row>
        <row r="3481">
          <cell r="B3481" t="str">
            <v>14011308000101</v>
          </cell>
          <cell r="C3481" t="str">
            <v>CDO MC EXTRACASH NO REV VIG CPEM        1ND</v>
          </cell>
        </row>
        <row r="3482">
          <cell r="B3482" t="str">
            <v>14011308000102</v>
          </cell>
          <cell r="C3482" t="str">
            <v>CDO AMEX EXTRACASH NO REV VIG CPEM      1ND</v>
          </cell>
        </row>
        <row r="3483">
          <cell r="B3483" t="str">
            <v>14011310000101</v>
          </cell>
          <cell r="C3483" t="str">
            <v>PR LETRAS FACTORING VIG CPEM            1ND</v>
          </cell>
        </row>
        <row r="3484">
          <cell r="B3484" t="str">
            <v>14011310000102</v>
          </cell>
          <cell r="C3484" t="str">
            <v>PR FACT EN FACTORING VIG CPEM           1ND</v>
          </cell>
        </row>
        <row r="3485">
          <cell r="B3485" t="str">
            <v>14011310000103</v>
          </cell>
          <cell r="C3485" t="str">
            <v>PR FACT ELECTR LET/FACT VIG CPEM        1ND</v>
          </cell>
        </row>
        <row r="3486">
          <cell r="B3486" t="str">
            <v>14011310000104</v>
          </cell>
          <cell r="C3486" t="str">
            <v>PR FACT INTERN VIG CPEM                 1ND</v>
          </cell>
        </row>
        <row r="3487">
          <cell r="B3487" t="str">
            <v>14011310000105</v>
          </cell>
          <cell r="C3487" t="str">
            <v>PR PERU FACTORING CAP. VIG CPEM         1ND</v>
          </cell>
        </row>
        <row r="3488">
          <cell r="B3488" t="str">
            <v>14011310000106</v>
          </cell>
          <cell r="C3488" t="str">
            <v>PR FORFAITING EXPORTACIÃ“N VIG CPEM     1ND</v>
          </cell>
        </row>
        <row r="3489">
          <cell r="B3489" t="str">
            <v>14011310000107</v>
          </cell>
          <cell r="C3489" t="str">
            <v>FCD FACT INTER EXPO VIG NORM CPEM       1ND</v>
          </cell>
        </row>
        <row r="3490">
          <cell r="B3490" t="str">
            <v>14011310000108</v>
          </cell>
          <cell r="C3490" t="str">
            <v>FCD FORFAITING EXPO VIG NORM CPEM       1ND</v>
          </cell>
        </row>
        <row r="3491">
          <cell r="B3491" t="str">
            <v>14011310000109</v>
          </cell>
          <cell r="C3491" t="str">
            <v>FCD FACT INTER EXPO VIG DUPE CPEM       1ND</v>
          </cell>
        </row>
        <row r="3492">
          <cell r="B3492" t="str">
            <v>14011310000110</v>
          </cell>
          <cell r="C3492" t="str">
            <v>FCD FORFAITING EXPO VIG DUPE CPEM       1ND</v>
          </cell>
        </row>
        <row r="3493">
          <cell r="B3493" t="str">
            <v>14011310000111</v>
          </cell>
          <cell r="C3493" t="str">
            <v>FCD CONFIRMING INTERNACIONALVIG NORM CPE1ND</v>
          </cell>
        </row>
        <row r="3494">
          <cell r="B3494" t="str">
            <v>14011310000112</v>
          </cell>
          <cell r="C3494" t="str">
            <v>FCD CONFIRMING INTERNACIONAL VIG DUPE CP1ND</v>
          </cell>
        </row>
        <row r="3495">
          <cell r="B3495" t="str">
            <v>14011310000113</v>
          </cell>
          <cell r="C3495" t="str">
            <v>FCD fAC. FIS. LET. VIG. CPEM DUPE       1ND</v>
          </cell>
        </row>
        <row r="3496">
          <cell r="B3496" t="str">
            <v>14011310000114</v>
          </cell>
          <cell r="C3496" t="str">
            <v>FCD FAC. FIS. FAC.. VIG. CPEM DUPE      1ND</v>
          </cell>
        </row>
        <row r="3497">
          <cell r="B3497" t="str">
            <v>14011310000201</v>
          </cell>
          <cell r="C3497" t="str">
            <v>CL EX FACTORING FORFAITING VIG CPEM     1ND</v>
          </cell>
        </row>
        <row r="3498">
          <cell r="B3498" t="str">
            <v>14011310000202</v>
          </cell>
          <cell r="C3498" t="str">
            <v>CL  CONFIRMING INTER VIG CPEM           1ND</v>
          </cell>
        </row>
        <row r="3499">
          <cell r="B3499" t="str">
            <v>14011310000301</v>
          </cell>
          <cell r="C3499" t="str">
            <v>FCD FACT ELECTR VIG DUDOSO CPEM         1ND</v>
          </cell>
        </row>
        <row r="3500">
          <cell r="B3500" t="str">
            <v>14011310000302</v>
          </cell>
          <cell r="C3500" t="str">
            <v>FACT INTER IMPORT VIG. CPEM DUPE        1ND</v>
          </cell>
        </row>
        <row r="3501">
          <cell r="B3501" t="str">
            <v>14011310000303</v>
          </cell>
          <cell r="C3501" t="str">
            <v>FACT INTER IMPORT  VIG. CPEM NORMAL     1ND</v>
          </cell>
        </row>
        <row r="3502">
          <cell r="B3502" t="str">
            <v>14011311000101</v>
          </cell>
          <cell r="C3502" t="str">
            <v>LPC LEASING BIEN INT DIFE RP CPEM       1ND</v>
          </cell>
        </row>
        <row r="3503">
          <cell r="B3503" t="str">
            <v>14011311000102</v>
          </cell>
          <cell r="C3503" t="str">
            <v>LPC LEASING SEGUROS INT DIF RP CPEM     1ND</v>
          </cell>
        </row>
        <row r="3504">
          <cell r="B3504" t="str">
            <v>14011311000103</v>
          </cell>
          <cell r="C3504" t="str">
            <v>LPC LEASING SEGUROS RP CPEM             1ND</v>
          </cell>
        </row>
        <row r="3505">
          <cell r="B3505" t="str">
            <v>14011311000104</v>
          </cell>
          <cell r="C3505" t="str">
            <v>LPC LEASING IGV RP CPEM                 1ND</v>
          </cell>
        </row>
        <row r="3506">
          <cell r="B3506" t="str">
            <v>14011311000105</v>
          </cell>
          <cell r="C3506" t="str">
            <v>LPC LEASING DEL BIEN RP CPEM            1ND</v>
          </cell>
        </row>
        <row r="3507">
          <cell r="B3507" t="str">
            <v>14011311000106</v>
          </cell>
          <cell r="C3507" t="str">
            <v>LPC LEASING DERIVADO DEL BIEN RP CPEM   1ND</v>
          </cell>
        </row>
        <row r="3508">
          <cell r="B3508" t="str">
            <v>14011311000107</v>
          </cell>
          <cell r="C3508" t="str">
            <v>LPC LEASING DERIVADO DEL BIEN D/P RP CPE1ND</v>
          </cell>
        </row>
        <row r="3509">
          <cell r="B3509" t="str">
            <v>14011311000108</v>
          </cell>
          <cell r="C3509" t="str">
            <v>LPC LEASING DERIVADO SEGUROS RP CPEM    1ND</v>
          </cell>
        </row>
        <row r="3510">
          <cell r="B3510" t="str">
            <v>14011311000109</v>
          </cell>
          <cell r="C3510" t="str">
            <v>LPC LEASING DERIVADO D/P SEG RP CPEM    1ND</v>
          </cell>
        </row>
        <row r="3511">
          <cell r="B3511" t="str">
            <v>14011311000110</v>
          </cell>
          <cell r="C3511" t="str">
            <v>LPC LEASING DERIVADO IGV RP CPEM        1ND</v>
          </cell>
        </row>
        <row r="3512">
          <cell r="B3512" t="str">
            <v>14011311000111</v>
          </cell>
          <cell r="C3512" t="str">
            <v>LPC LEASING DERIVADO D/P IGV RP CPEM    1ND</v>
          </cell>
        </row>
        <row r="3513">
          <cell r="B3513" t="str">
            <v>14011311000201</v>
          </cell>
          <cell r="C3513" t="str">
            <v>LPC LEAS DEL BIEN D/P INT DIF RP CPEM   1ND</v>
          </cell>
        </row>
        <row r="3514">
          <cell r="B3514" t="str">
            <v>14011311000202</v>
          </cell>
          <cell r="C3514" t="str">
            <v>LPC LEAS D/P SEG INT DIF RP CPEM        1ND</v>
          </cell>
        </row>
        <row r="3515">
          <cell r="B3515" t="str">
            <v>14011311000203</v>
          </cell>
          <cell r="C3515" t="str">
            <v>LPC LEAS D/P SEG RP CPEM                1ND</v>
          </cell>
        </row>
        <row r="3516">
          <cell r="B3516" t="str">
            <v>14011311000204</v>
          </cell>
          <cell r="C3516" t="str">
            <v>LPC LEAS DEL BIEN D/P RP CPEM           1ND</v>
          </cell>
        </row>
        <row r="3517">
          <cell r="B3517" t="str">
            <v>14011311000205</v>
          </cell>
          <cell r="C3517" t="str">
            <v>LPC LEASING D/P IGV RP CPEM             1ND</v>
          </cell>
        </row>
        <row r="3518">
          <cell r="B3518" t="str">
            <v>14011311000301</v>
          </cell>
          <cell r="C3518" t="str">
            <v>LPC LEASING EN PROCESO CPEM             1ND</v>
          </cell>
        </row>
        <row r="3519">
          <cell r="B3519" t="str">
            <v>14011311000302</v>
          </cell>
          <cell r="C3519" t="str">
            <v>LPC CAP DIF LS  BIEN OTROS SUSP RP CPEM 1ND</v>
          </cell>
        </row>
        <row r="3520">
          <cell r="B3520" t="str">
            <v>14011311000303</v>
          </cell>
          <cell r="C3520" t="str">
            <v>LPC CAP DIF SEG.LS OTROS SUSP RP CPEM   1ND</v>
          </cell>
        </row>
        <row r="3521">
          <cell r="B3521" t="str">
            <v>14011311000304</v>
          </cell>
          <cell r="C3521" t="str">
            <v>LPC CIA SEG CAP VIG OTROS SUSP RP CPEM  1ND</v>
          </cell>
        </row>
        <row r="3522">
          <cell r="B3522" t="str">
            <v>14011311000305</v>
          </cell>
          <cell r="C3522" t="str">
            <v>LPC LS DEL BIEN OTROS SUSP RP CPEM      1ND</v>
          </cell>
        </row>
        <row r="3523">
          <cell r="B3523" t="str">
            <v>14011311000306</v>
          </cell>
          <cell r="C3523" t="str">
            <v>LPC CAP LS IGV OTROS SUSP RP CPEM       1ND</v>
          </cell>
        </row>
        <row r="3524">
          <cell r="B3524" t="str">
            <v>14011311000401</v>
          </cell>
          <cell r="C3524" t="str">
            <v>LPC LSG BIEN ADJ. DIFOS RP CPEM         1ND</v>
          </cell>
        </row>
        <row r="3525">
          <cell r="B3525" t="str">
            <v>14011311000402</v>
          </cell>
          <cell r="C3525" t="str">
            <v>LPC LSG SEG. ADJ. DIF RP CPEM           1ND</v>
          </cell>
        </row>
        <row r="3526">
          <cell r="B3526" t="str">
            <v>14011311000403</v>
          </cell>
          <cell r="C3526" t="str">
            <v>LPC LSG ADJ. CIA SEG RP CPEM            1ND</v>
          </cell>
        </row>
        <row r="3527">
          <cell r="B3527" t="str">
            <v>14011311000404</v>
          </cell>
          <cell r="C3527" t="str">
            <v>LPC LSG ADJ. PRIN IGV RP CPEM           1ND</v>
          </cell>
        </row>
        <row r="3528">
          <cell r="B3528" t="str">
            <v>14011311000405</v>
          </cell>
          <cell r="C3528" t="str">
            <v>LPC LSG DEL BIEN ADJ. RP CPEM           1ND</v>
          </cell>
        </row>
        <row r="3529">
          <cell r="B3529" t="str">
            <v>14011311000406</v>
          </cell>
          <cell r="C3529" t="str">
            <v>LPC LSG BIEN ADJ. DIF D/P CPEM          1ND</v>
          </cell>
        </row>
        <row r="3530">
          <cell r="B3530" t="str">
            <v>14011311000407</v>
          </cell>
          <cell r="C3530" t="str">
            <v>LPC LSG SEG. ADJ. DIFOS D/P CPEM        1ND</v>
          </cell>
        </row>
        <row r="3531">
          <cell r="B3531" t="str">
            <v>14011311000408</v>
          </cell>
          <cell r="C3531" t="str">
            <v>LPC LSG D/P CIA SEG ADJ. CPEM           1ND</v>
          </cell>
        </row>
        <row r="3532">
          <cell r="B3532" t="str">
            <v>14011311000409</v>
          </cell>
          <cell r="C3532" t="str">
            <v>LPC LSG BIEN D/P ADJ. CPEM              1ND</v>
          </cell>
        </row>
        <row r="3533">
          <cell r="B3533" t="str">
            <v>14011311000410</v>
          </cell>
          <cell r="C3533" t="str">
            <v>LPC LSG D/P IGV D/P ADJ. CPEM           1ND</v>
          </cell>
        </row>
        <row r="3534">
          <cell r="B3534" t="str">
            <v>14011311000501</v>
          </cell>
          <cell r="C3534" t="str">
            <v>LPC PDL LEASING MYP INT DIFERIDOS CPEM  1ND</v>
          </cell>
        </row>
        <row r="3535">
          <cell r="B3535" t="str">
            <v>14011311000502</v>
          </cell>
          <cell r="C3535" t="str">
            <v>LPC PDS LEASING MYP INT DIFERIDOS CPEM  1ND</v>
          </cell>
        </row>
        <row r="3536">
          <cell r="B3536" t="str">
            <v>14011311000503</v>
          </cell>
          <cell r="C3536" t="str">
            <v>LPC PSG LEASING MYP  CPEM               1ND</v>
          </cell>
        </row>
        <row r="3537">
          <cell r="B3537" t="str">
            <v>14011311000504</v>
          </cell>
          <cell r="C3537" t="str">
            <v>LPC PIG LEASING IGV MYP CPEM            1ND</v>
          </cell>
        </row>
        <row r="3538">
          <cell r="B3538" t="str">
            <v>14011311000505</v>
          </cell>
          <cell r="C3538" t="str">
            <v>LPC PRI LEASING MYP CPEM                1ND</v>
          </cell>
        </row>
        <row r="3539">
          <cell r="B3539" t="str">
            <v>14011311000506</v>
          </cell>
          <cell r="C3539" t="str">
            <v>LPC PDL LEASING MYP INT DIF D/P CPEM    1ND</v>
          </cell>
        </row>
        <row r="3540">
          <cell r="B3540" t="str">
            <v>14011311000507</v>
          </cell>
          <cell r="C3540" t="str">
            <v>LPC PDS LEASING MYP INT DIF D/P CPEM    1ND</v>
          </cell>
        </row>
        <row r="3541">
          <cell r="B3541" t="str">
            <v>14011311000508</v>
          </cell>
          <cell r="C3541" t="str">
            <v>LPC PSG LEASING MYP D/P CPEM            1ND</v>
          </cell>
        </row>
        <row r="3542">
          <cell r="B3542" t="str">
            <v>14011311000509</v>
          </cell>
          <cell r="C3542" t="str">
            <v>LPC PIG LEASING IGV MYP D/P CPEM        1ND</v>
          </cell>
        </row>
        <row r="3543">
          <cell r="B3543" t="str">
            <v>14011311000510</v>
          </cell>
          <cell r="C3543" t="str">
            <v>LPC PRI LEASING MYP D/P CPEM            1ND</v>
          </cell>
        </row>
        <row r="3544">
          <cell r="B3544" t="str">
            <v>14011311000601</v>
          </cell>
          <cell r="C3544" t="str">
            <v>LPC LEASING COFIDE INT DIF PDL CPEM     1ND</v>
          </cell>
        </row>
        <row r="3545">
          <cell r="B3545" t="str">
            <v>14011311000602</v>
          </cell>
          <cell r="C3545" t="str">
            <v>LPC LS COFIDE SEGUROS INT DIF PDS CPEM  1ND</v>
          </cell>
        </row>
        <row r="3546">
          <cell r="B3546" t="str">
            <v>14011311000603</v>
          </cell>
          <cell r="C3546" t="str">
            <v>LPC LEASING COFIDE SEGUROS PSG CPEM     1ND</v>
          </cell>
        </row>
        <row r="3547">
          <cell r="B3547" t="str">
            <v>14011311000604</v>
          </cell>
          <cell r="C3547" t="str">
            <v>LPC LEASING COFIDE IGV PIG CPEM         1ND</v>
          </cell>
        </row>
        <row r="3548">
          <cell r="B3548" t="str">
            <v>14011311000605</v>
          </cell>
          <cell r="C3548" t="str">
            <v>LPC LEASING COFIDE PRI CPEM             1ND</v>
          </cell>
        </row>
        <row r="3549">
          <cell r="B3549" t="str">
            <v>14011311000606</v>
          </cell>
          <cell r="C3549" t="str">
            <v>LPC LS COFIDE D/P INT DIF PDL CPEM      1ND</v>
          </cell>
        </row>
        <row r="3550">
          <cell r="B3550" t="str">
            <v>14011311000607</v>
          </cell>
          <cell r="C3550" t="str">
            <v>LPC LS COFIDE D/P SEG INT DIF PDS CPEM  1ND</v>
          </cell>
        </row>
        <row r="3551">
          <cell r="B3551" t="str">
            <v>14011311000608</v>
          </cell>
          <cell r="C3551" t="str">
            <v>LPC LS COFIDE D/P SEG PSG CPEM          1ND</v>
          </cell>
        </row>
        <row r="3552">
          <cell r="B3552" t="str">
            <v>14011311000609</v>
          </cell>
          <cell r="C3552" t="str">
            <v>LPC LEASING COFIDE D/P IGV PIG CPEM     1ND</v>
          </cell>
        </row>
        <row r="3553">
          <cell r="B3553" t="str">
            <v>14011311000610</v>
          </cell>
          <cell r="C3553" t="str">
            <v>LPC LEASING COFIDE D/P PRI CPEM         1ND</v>
          </cell>
        </row>
        <row r="3554">
          <cell r="B3554" t="str">
            <v>14011312000101</v>
          </cell>
          <cell r="C3554" t="str">
            <v>LPC LEASEBACK DEL BIEN INT DIF RP CPEM  1ND</v>
          </cell>
        </row>
        <row r="3555">
          <cell r="B3555" t="str">
            <v>14011312000102</v>
          </cell>
          <cell r="C3555" t="str">
            <v>LPC LEASEBACK SEG INT DIF RP CPEM       1ND</v>
          </cell>
        </row>
        <row r="3556">
          <cell r="B3556" t="str">
            <v>14011312000103</v>
          </cell>
          <cell r="C3556" t="str">
            <v>LPC LEASEBACK SEGUROS RP CPEM           1ND</v>
          </cell>
        </row>
        <row r="3557">
          <cell r="B3557" t="str">
            <v>14011312000104</v>
          </cell>
          <cell r="C3557" t="str">
            <v>LPC LEASEBACK IGV VIG RP LPC            1ND</v>
          </cell>
        </row>
        <row r="3558">
          <cell r="B3558" t="str">
            <v>14011312000105</v>
          </cell>
          <cell r="C3558" t="str">
            <v>LPC LEASEBACK DEL BIEN RP CPEM          1ND</v>
          </cell>
        </row>
        <row r="3559">
          <cell r="B3559" t="str">
            <v>14011312000201</v>
          </cell>
          <cell r="C3559" t="str">
            <v>LPC LSBACK DEL BIEN D/P INT DIF RP CPEM 1ND</v>
          </cell>
        </row>
        <row r="3560">
          <cell r="B3560" t="str">
            <v>14011312000202</v>
          </cell>
          <cell r="C3560" t="str">
            <v>LPC LSBACK D/P SEG INT DIFERIDOS RP CPEM1ND</v>
          </cell>
        </row>
        <row r="3561">
          <cell r="B3561" t="str">
            <v>14011312000203</v>
          </cell>
          <cell r="C3561" t="str">
            <v>LPC LEASEBACK D/P SEG RP CPEM           1ND</v>
          </cell>
        </row>
        <row r="3562">
          <cell r="B3562" t="str">
            <v>14011312000204</v>
          </cell>
          <cell r="C3562" t="str">
            <v>LPC LSBACK DEL BIEN D/P RP CPEM         1ND</v>
          </cell>
        </row>
        <row r="3563">
          <cell r="B3563" t="str">
            <v>14011312000205</v>
          </cell>
          <cell r="C3563" t="str">
            <v>LPC LSBACK D/P IGV RP CPEM              1ND</v>
          </cell>
        </row>
        <row r="3564">
          <cell r="B3564" t="str">
            <v>14011312000301</v>
          </cell>
          <cell r="C3564" t="str">
            <v>LPC PDL DIF LSB  BIEN OTRO SUSP CPEM    1ND</v>
          </cell>
        </row>
        <row r="3565">
          <cell r="B3565" t="str">
            <v>14011312000302</v>
          </cell>
          <cell r="C3565" t="str">
            <v>LPC CAP DIF SEG.LSB OTROS SUSP CPEM     1ND</v>
          </cell>
        </row>
        <row r="3566">
          <cell r="B3566" t="str">
            <v>14011312000303</v>
          </cell>
          <cell r="C3566" t="str">
            <v>LPC CIA SEG CAP VIG OTROS SUSP CPEM     1ND</v>
          </cell>
        </row>
        <row r="3567">
          <cell r="B3567" t="str">
            <v>14011312000304</v>
          </cell>
          <cell r="C3567" t="str">
            <v>LPC LSB DEL BIEN OTROS SUSP CPEM        1ND</v>
          </cell>
        </row>
        <row r="3568">
          <cell r="B3568" t="str">
            <v>14011312000305</v>
          </cell>
          <cell r="C3568" t="str">
            <v>LPC CAP LSB IGV OTROS SUSPENSO CPEM     1ND</v>
          </cell>
        </row>
        <row r="3569">
          <cell r="B3569" t="str">
            <v>14011321000101</v>
          </cell>
          <cell r="C3569" t="str">
            <v>CL CXL CC ACEPTAC BKT CL VIG CPEM       1ND</v>
          </cell>
        </row>
        <row r="3570">
          <cell r="B3570" t="str">
            <v>14011321000102</v>
          </cell>
          <cell r="C3570" t="str">
            <v>CL CXL AVAL X ACEPTAC VIG CPEM          1ND</v>
          </cell>
        </row>
        <row r="3571">
          <cell r="B3571" t="str">
            <v>14011321000103</v>
          </cell>
          <cell r="C3571" t="str">
            <v>CL CXL CRED. X LIQUI.CC AVAL VIG CPEM   1ND</v>
          </cell>
        </row>
        <row r="3572">
          <cell r="B3572" t="str">
            <v>14011321000104</v>
          </cell>
          <cell r="C3572" t="str">
            <v>CL CXL.CAR CRED VISTA VIG CPEM          1ND</v>
          </cell>
        </row>
        <row r="3573">
          <cell r="B3573" t="str">
            <v>14011321000105</v>
          </cell>
          <cell r="C3573" t="str">
            <v>CL CXL.STAND BY VIG CPEM                1ND</v>
          </cell>
        </row>
        <row r="3574">
          <cell r="B3574" t="str">
            <v>14011321000106</v>
          </cell>
          <cell r="C3574" t="str">
            <v>CL CXL.COBRA AVALA VIG CPEM             1ND</v>
          </cell>
        </row>
        <row r="3575">
          <cell r="B3575" t="str">
            <v>14011321000201</v>
          </cell>
          <cell r="C3575" t="str">
            <v>CL CRED.POR LIQ. CARTA FIANZA VIG CPEM  1ND</v>
          </cell>
        </row>
        <row r="3576">
          <cell r="B3576" t="str">
            <v>14011326000101</v>
          </cell>
          <cell r="C3576" t="str">
            <v>MYP EXPORT.POST EMB PROP VIG CPEM       1ND</v>
          </cell>
        </row>
        <row r="3577">
          <cell r="B3577" t="str">
            <v>14011326000102</v>
          </cell>
          <cell r="C3577" t="str">
            <v>MYP EXPORT.PRE EMBARQ REC PROP CPEM     1ND</v>
          </cell>
        </row>
        <row r="3578">
          <cell r="B3578" t="str">
            <v>14011326000103</v>
          </cell>
          <cell r="C3578" t="str">
            <v>MYP D/P EXPOR.POST EMB VIG CPEM         1ND</v>
          </cell>
        </row>
        <row r="3579">
          <cell r="B3579" t="str">
            <v>14011326000104</v>
          </cell>
          <cell r="C3579" t="str">
            <v>MYP D/P EXPORT.PRE EMBARQ VIG CPEM      1ND</v>
          </cell>
        </row>
        <row r="3580">
          <cell r="B3580" t="str">
            <v>14011326000105</v>
          </cell>
          <cell r="C3580" t="str">
            <v>MYP D/P IMPOR REC PROP COM VIG CPEM     1ND</v>
          </cell>
        </row>
        <row r="3581">
          <cell r="B3581" t="str">
            <v>14011326000106</v>
          </cell>
          <cell r="C3581" t="str">
            <v>MYP FINANC IMPORT CAP DE TRAB  VIG CPEM 1ND</v>
          </cell>
        </row>
        <row r="3582">
          <cell r="B3582" t="str">
            <v>14011326000107</v>
          </cell>
          <cell r="C3582" t="str">
            <v>MYP FINANC IMPORT ACT FIJO VIG CPEM     1ND</v>
          </cell>
        </row>
        <row r="3583">
          <cell r="B3583" t="str">
            <v>14011326000108</v>
          </cell>
          <cell r="C3583" t="str">
            <v>MYP IMPANC IMPORT CAPITAL DE TRAB  VIG-D1ND</v>
          </cell>
        </row>
        <row r="3584">
          <cell r="B3584" t="str">
            <v>14011326000109</v>
          </cell>
          <cell r="C3584" t="str">
            <v>MYP D/P FIN IMPOR ACT FIJO VIG CPEM     1ND</v>
          </cell>
        </row>
        <row r="3585">
          <cell r="B3585" t="str">
            <v>14011326000110</v>
          </cell>
          <cell r="C3585" t="str">
            <v>MYP COMP DEUD AF VIG CPEM VIG           1ND</v>
          </cell>
        </row>
        <row r="3586">
          <cell r="B3586" t="str">
            <v>14011326000111</v>
          </cell>
          <cell r="C3586" t="str">
            <v>MYP COMP DEUD AF VIG CPEM VIG D/P       1ND</v>
          </cell>
        </row>
        <row r="3587">
          <cell r="B3587" t="str">
            <v>14011326000201</v>
          </cell>
          <cell r="C3587" t="str">
            <v>LPC PAG IMPORT.D/P CL CPEM              1ND</v>
          </cell>
        </row>
        <row r="3588">
          <cell r="B3588" t="str">
            <v>14011326000202</v>
          </cell>
          <cell r="C3588" t="str">
            <v>LPC PAG.PRE EX EMB D/P CPEM             1ND</v>
          </cell>
        </row>
        <row r="3589">
          <cell r="B3589" t="str">
            <v>14011326000203</v>
          </cell>
          <cell r="C3589" t="str">
            <v>LPC PAG EXP POST EMB RP D/P CPEM        1ND</v>
          </cell>
        </row>
        <row r="3590">
          <cell r="B3590" t="str">
            <v>14011326000204</v>
          </cell>
          <cell r="C3590" t="str">
            <v>CL PAG EXP PRE EM.RP VIG CPEM           1ND</v>
          </cell>
        </row>
        <row r="3591">
          <cell r="B3591" t="str">
            <v>14011326000205</v>
          </cell>
          <cell r="C3591" t="str">
            <v>CL PAG EXP POST EMB RP CPEM VIG         1ND</v>
          </cell>
        </row>
        <row r="3592">
          <cell r="B3592" t="str">
            <v>14011326000206</v>
          </cell>
          <cell r="C3592" t="str">
            <v>CL PAG IMPOR VIG CPEM                   1ND</v>
          </cell>
        </row>
        <row r="3593">
          <cell r="B3593" t="str">
            <v>14011326000207</v>
          </cell>
          <cell r="C3593" t="str">
            <v>LPC WORK CAP. EX PRE EMB.VIG CMED       1ND</v>
          </cell>
        </row>
        <row r="3594">
          <cell r="B3594" t="str">
            <v>14011326000208</v>
          </cell>
          <cell r="C3594" t="str">
            <v>LPC FINANC PRE EMBARQUE                 1ND</v>
          </cell>
        </row>
        <row r="3595">
          <cell r="B3595" t="str">
            <v>14011326000209</v>
          </cell>
          <cell r="C3595" t="str">
            <v>LPC FINANC PRE EMBARQUE  D/P            1ND</v>
          </cell>
        </row>
        <row r="3596">
          <cell r="B3596" t="str">
            <v>14011326000210</v>
          </cell>
          <cell r="C3596" t="str">
            <v>LPC FINANC PRE EMBARQUE-SEPYMEX CPEM    1ND</v>
          </cell>
        </row>
        <row r="3597">
          <cell r="B3597" t="str">
            <v>14011326000211</v>
          </cell>
          <cell r="C3597" t="str">
            <v>LPC FINANC PRE EMBARQUE  D/P-SEPYMEX CPE1ND</v>
          </cell>
        </row>
        <row r="3598">
          <cell r="B3598" t="str">
            <v>14011326000212</v>
          </cell>
          <cell r="C3598" t="str">
            <v>LPC PRE EMBARQUE FINANC. VIG. NORM CPEM 1ND</v>
          </cell>
        </row>
        <row r="3599">
          <cell r="B3599" t="str">
            <v>14011326000213</v>
          </cell>
          <cell r="C3599" t="str">
            <v>LPC PRE EMBARQUE FINANC. VIG. DUPE CPEM 1ND</v>
          </cell>
        </row>
        <row r="3600">
          <cell r="B3600" t="str">
            <v>14011326000214</v>
          </cell>
          <cell r="C3600" t="str">
            <v>LPC POST EMBARQUE FINANC. VIG. NORM CPEM1ND</v>
          </cell>
        </row>
        <row r="3601">
          <cell r="B3601" t="str">
            <v>14011326000215</v>
          </cell>
          <cell r="C3601" t="str">
            <v>LPC POST EMBARQUE FINANC. VIG. DUPE CPEM1ND</v>
          </cell>
        </row>
        <row r="3602">
          <cell r="B3602" t="str">
            <v>14011326000216</v>
          </cell>
          <cell r="C3602" t="str">
            <v>LPC IMPORT. CARTA CREDITO  FINANC. VIG. 1ND</v>
          </cell>
        </row>
        <row r="3603">
          <cell r="B3603" t="str">
            <v>14011326000217</v>
          </cell>
          <cell r="C3603" t="str">
            <v>LPC IMPORT. CARTA CREDITO  FINANC. VIG. 1ND</v>
          </cell>
        </row>
        <row r="3604">
          <cell r="B3604" t="str">
            <v>14011326000218</v>
          </cell>
          <cell r="C3604" t="str">
            <v>LPC IMPORT.  FINANC. VIG. NORM CPEM     1ND</v>
          </cell>
        </row>
        <row r="3605">
          <cell r="B3605" t="str">
            <v>14011326000219</v>
          </cell>
          <cell r="C3605" t="str">
            <v>LPC IMPORT.  FINANC. VIG. DUPE CPEM     1ND</v>
          </cell>
        </row>
        <row r="3606">
          <cell r="B3606" t="str">
            <v>14011326000301</v>
          </cell>
          <cell r="C3606" t="str">
            <v>CL EX FORFAITING VIG CPEM               1ND</v>
          </cell>
        </row>
        <row r="3607">
          <cell r="B3607" t="str">
            <v>14011326000302</v>
          </cell>
          <cell r="C3607" t="str">
            <v>CL PAG.PRE EX EMBAR. D/P. VIG. CPEM     1ND</v>
          </cell>
        </row>
        <row r="3608">
          <cell r="B3608" t="str">
            <v>14011326000303</v>
          </cell>
          <cell r="C3608" t="str">
            <v>CL PAG.POST. EX EMBAR. D/P. VIG. CCOR   1ND</v>
          </cell>
        </row>
        <row r="3609">
          <cell r="B3609" t="str">
            <v>14011326000304</v>
          </cell>
          <cell r="C3609" t="str">
            <v>CL EX VIG PAG.IMPORTAC.D/P CPEM         1ND</v>
          </cell>
        </row>
        <row r="3610">
          <cell r="B3610" t="str">
            <v>14011326000305</v>
          </cell>
          <cell r="C3610" t="str">
            <v>LPC PRE EMBARQUE FONDOS CRECER CPEM VIG\1ND</v>
          </cell>
        </row>
        <row r="3611">
          <cell r="B3611" t="str">
            <v>14011326000306</v>
          </cell>
          <cell r="C3611" t="str">
            <v>LPC PRE EMBARQUE FONDOS CRECER CPEM VIG\1ND</v>
          </cell>
        </row>
        <row r="3612">
          <cell r="B3612" t="str">
            <v>14030101000101</v>
          </cell>
          <cell r="C3612" t="str">
            <v>CL CTA.CTE.REESTRUC.VIG                 1ND</v>
          </cell>
        </row>
        <row r="3613">
          <cell r="B3613" t="str">
            <v>14030105010101</v>
          </cell>
          <cell r="C3613" t="str">
            <v>CL PAG.T.DSCTA.REESTR.VIG               1ND</v>
          </cell>
        </row>
        <row r="3614">
          <cell r="B3614" t="str">
            <v>14030105020101</v>
          </cell>
          <cell r="C3614" t="str">
            <v>CL LETRA DSCTO.REEST.VIG                1ND</v>
          </cell>
        </row>
        <row r="3615">
          <cell r="B3615" t="str">
            <v>14030106000101</v>
          </cell>
          <cell r="C3615" t="str">
            <v>CL PAG.TASA VENCIDA REEST.VIG           1ND</v>
          </cell>
        </row>
        <row r="3616">
          <cell r="B3616" t="str">
            <v>14030106000104</v>
          </cell>
          <cell r="C3616" t="str">
            <v>CL PTV.REESTRUC.COFIDE VIG.             1ND</v>
          </cell>
        </row>
        <row r="3617">
          <cell r="B3617" t="str">
            <v>14030106000108</v>
          </cell>
          <cell r="C3617" t="str">
            <v>LPC PRI.PAG.REEST.VAC RP VN VIG .N      1ND</v>
          </cell>
        </row>
        <row r="3618">
          <cell r="B3618" t="str">
            <v>14030106000109</v>
          </cell>
          <cell r="C3618" t="str">
            <v>LPC PRX.PAG.REES.VAC RP INDX.VIG .NCO   1ND</v>
          </cell>
        </row>
        <row r="3619">
          <cell r="B3619" t="str">
            <v>14030106010102</v>
          </cell>
          <cell r="C3619" t="str">
            <v>CL PAG.REEST.TV REVOLVENTE VIG          1ND</v>
          </cell>
        </row>
        <row r="3620">
          <cell r="B3620" t="str">
            <v>14030106020102</v>
          </cell>
          <cell r="C3620" t="str">
            <v>LPC PAG.REES.MED.PLAZ C/FIJA VIG        1ND</v>
          </cell>
        </row>
        <row r="3621">
          <cell r="B3621" t="str">
            <v>14030106090102</v>
          </cell>
          <cell r="C3621" t="str">
            <v>CL PAG.REEST.TV NO REVOLV VIG           1ND</v>
          </cell>
        </row>
        <row r="3622">
          <cell r="B3622" t="str">
            <v>14030111000101</v>
          </cell>
          <cell r="C3622" t="str">
            <v>CL P.LEASING REESTRUC.VIG               1ND</v>
          </cell>
        </row>
        <row r="3623">
          <cell r="B3623" t="str">
            <v>14030111000104</v>
          </cell>
          <cell r="C3623" t="str">
            <v>LPC PDL LS BIEN REEST.INT.VIG           1ND</v>
          </cell>
        </row>
        <row r="3624">
          <cell r="B3624" t="str">
            <v>14030126000102</v>
          </cell>
          <cell r="C3624" t="str">
            <v>CL P.IMPORT RP REEST.VIG                1ND</v>
          </cell>
        </row>
        <row r="3625">
          <cell r="B3625" t="str">
            <v>14030126000103</v>
          </cell>
          <cell r="C3625" t="str">
            <v>CL C.CREDITO REESTRUC BKT VIG           1ND</v>
          </cell>
        </row>
        <row r="3626">
          <cell r="B3626" t="str">
            <v>14030206010104</v>
          </cell>
          <cell r="C3626" t="str">
            <v>LPC PAG.REEST REVOLV MES VIG            1ND</v>
          </cell>
        </row>
        <row r="3627">
          <cell r="B3627" t="str">
            <v>14030206090104</v>
          </cell>
          <cell r="C3627" t="str">
            <v>LPC PAG.REEST NO REVOL MES VIG          1ND</v>
          </cell>
        </row>
        <row r="3628">
          <cell r="B3628" t="str">
            <v>14030706010101</v>
          </cell>
          <cell r="C3628" t="str">
            <v>LPC PAG TV REEST REV  VIG CESP          1ND</v>
          </cell>
        </row>
        <row r="3629">
          <cell r="B3629" t="str">
            <v>14030706010102</v>
          </cell>
          <cell r="C3629" t="str">
            <v>LPC PAGARE TV REESTRUC COFIDE CESP      1ND</v>
          </cell>
        </row>
        <row r="3630">
          <cell r="B3630" t="str">
            <v>14030706090101</v>
          </cell>
          <cell r="C3630" t="str">
            <v>LPC PAG TV REEST NO REV  VIG CESP       1ND</v>
          </cell>
        </row>
        <row r="3631">
          <cell r="B3631" t="str">
            <v>14030706090102</v>
          </cell>
          <cell r="C3631" t="str">
            <v>LPC PAGARE TV REESTRUC COFIDE CESP      1ND</v>
          </cell>
        </row>
        <row r="3632">
          <cell r="B3632" t="str">
            <v>14030806010101</v>
          </cell>
          <cell r="C3632" t="str">
            <v>LPC PAGARE TV REESTRUC COFIDE CIVA      1ND</v>
          </cell>
        </row>
        <row r="3633">
          <cell r="B3633" t="str">
            <v>14030806090101</v>
          </cell>
          <cell r="C3633" t="str">
            <v>LPC PAGARE TV REESTRUC COFIDE CIVA      1ND</v>
          </cell>
        </row>
        <row r="3634">
          <cell r="B3634" t="str">
            <v>14031006010101</v>
          </cell>
          <cell r="C3634" t="str">
            <v>CL PAG.REEST TV-REV VIG.CCOR            1ND</v>
          </cell>
        </row>
        <row r="3635">
          <cell r="B3635" t="str">
            <v>14031006010201</v>
          </cell>
          <cell r="C3635" t="str">
            <v>LPC PAG TV REEST REV  VIG CCOR          1ND</v>
          </cell>
        </row>
        <row r="3636">
          <cell r="B3636" t="str">
            <v>14031006010202</v>
          </cell>
          <cell r="C3636" t="str">
            <v>LPC PAGARE TV REESTRUC COFIDE CCOR      1ND</v>
          </cell>
        </row>
        <row r="3637">
          <cell r="B3637" t="str">
            <v>14031006090101</v>
          </cell>
          <cell r="C3637" t="str">
            <v>CL PAG.REEST TV- NO REVOL VIG.CCOR      1ND</v>
          </cell>
        </row>
        <row r="3638">
          <cell r="B3638" t="str">
            <v>14031006090201</v>
          </cell>
          <cell r="C3638" t="str">
            <v>LPC PAG TV REEST NO REV  VIG CCOR       1ND</v>
          </cell>
        </row>
        <row r="3639">
          <cell r="B3639" t="str">
            <v>14031006090203</v>
          </cell>
          <cell r="C3639" t="str">
            <v>LPC PAGARE TV REESTRUC COFIDE CCOR      1ND</v>
          </cell>
        </row>
        <row r="3640">
          <cell r="B3640" t="str">
            <v>14031011000101</v>
          </cell>
          <cell r="C3640" t="str">
            <v>LPC PDL INT DIFERIDOS RP REESTR CCOR    1ND</v>
          </cell>
        </row>
        <row r="3641">
          <cell r="B3641" t="str">
            <v>14031011000102</v>
          </cell>
          <cell r="C3641" t="str">
            <v>LPC LEAS SEG INT DIF RP REESTR CCOR     1ND</v>
          </cell>
        </row>
        <row r="3642">
          <cell r="B3642" t="str">
            <v>14031011000103</v>
          </cell>
          <cell r="C3642" t="str">
            <v>LPC LEAS SEGUROS RP REESTRUCT CCOR      1ND</v>
          </cell>
        </row>
        <row r="3643">
          <cell r="B3643" t="str">
            <v>14031011000104</v>
          </cell>
          <cell r="C3643" t="str">
            <v>LPC LEAS IGV RP REESTRUCT CCOR          1ND</v>
          </cell>
        </row>
        <row r="3644">
          <cell r="B3644" t="str">
            <v>14031011000105</v>
          </cell>
          <cell r="C3644" t="str">
            <v>LPC LEAS DEL BIEN RP REESTRUCT CCOR     1ND</v>
          </cell>
        </row>
        <row r="3645">
          <cell r="B3645" t="str">
            <v>14031106010103</v>
          </cell>
          <cell r="C3645" t="str">
            <v>CL PAG.REF.TV REV VIG CGEM              1ND</v>
          </cell>
        </row>
        <row r="3646">
          <cell r="B3646" t="str">
            <v>14031106010201</v>
          </cell>
          <cell r="C3646" t="str">
            <v>LPC PAG TV REEST REV  VIG CGEM          1ND</v>
          </cell>
        </row>
        <row r="3647">
          <cell r="B3647" t="str">
            <v>14031106010202</v>
          </cell>
          <cell r="C3647" t="str">
            <v>LPC PAGARE TV REESTRUC COFIDE CGEM      1ND</v>
          </cell>
        </row>
        <row r="3648">
          <cell r="B3648" t="str">
            <v>14031106090103</v>
          </cell>
          <cell r="C3648" t="str">
            <v>CL PAG.REF.TV NO REV VIG CGEM           1ND</v>
          </cell>
        </row>
        <row r="3649">
          <cell r="B3649" t="str">
            <v>14031106090201</v>
          </cell>
          <cell r="C3649" t="str">
            <v>LPC PAG TV REEST NO REV  VIG CGEM       1ND</v>
          </cell>
        </row>
        <row r="3650">
          <cell r="B3650" t="str">
            <v>14031106090202</v>
          </cell>
          <cell r="C3650" t="str">
            <v>LPC PAGARE TV REESTRUC COFIDE CGEM      1ND</v>
          </cell>
        </row>
        <row r="3651">
          <cell r="B3651" t="str">
            <v>14031111000101</v>
          </cell>
          <cell r="C3651" t="str">
            <v>LPC PDL INT DIFERIDOS RP REESTR CGEM    1ND</v>
          </cell>
        </row>
        <row r="3652">
          <cell r="B3652" t="str">
            <v>14031111000102</v>
          </cell>
          <cell r="C3652" t="str">
            <v>LPC LEAS SEG INT DIF RP REESTR CGEM     1ND</v>
          </cell>
        </row>
        <row r="3653">
          <cell r="B3653" t="str">
            <v>14031111000103</v>
          </cell>
          <cell r="C3653" t="str">
            <v>LPC LEAS SEGUROS RP REESTRUCT CGEM      1ND</v>
          </cell>
        </row>
        <row r="3654">
          <cell r="B3654" t="str">
            <v>14031111000104</v>
          </cell>
          <cell r="C3654" t="str">
            <v>LPC LEAS IGV RP REESTRUCT CGEM          1ND</v>
          </cell>
        </row>
        <row r="3655">
          <cell r="B3655" t="str">
            <v>14031111000105</v>
          </cell>
          <cell r="C3655" t="str">
            <v>LPC LEAS DEL BIEN RP REESTRUCT CGEM     1ND</v>
          </cell>
        </row>
        <row r="3656">
          <cell r="B3656" t="str">
            <v>14031206010103</v>
          </cell>
          <cell r="C3656" t="str">
            <v>CL PAG.REF.TV REV VIG CMED              1ND</v>
          </cell>
        </row>
        <row r="3657">
          <cell r="B3657" t="str">
            <v>14031206010201</v>
          </cell>
          <cell r="C3657" t="str">
            <v>LPC PAG TV REEST REV  VIG CMED          1ND</v>
          </cell>
        </row>
        <row r="3658">
          <cell r="B3658" t="str">
            <v>14031206010202</v>
          </cell>
          <cell r="C3658" t="str">
            <v>LPC PAGARE TV REESTRUC COFIDE CMED      1ND</v>
          </cell>
        </row>
        <row r="3659">
          <cell r="B3659" t="str">
            <v>14031206090103</v>
          </cell>
          <cell r="C3659" t="str">
            <v>CL PAG.REF.TV NO REV VIG CMED           1ND</v>
          </cell>
        </row>
        <row r="3660">
          <cell r="B3660" t="str">
            <v>14031206090201</v>
          </cell>
          <cell r="C3660" t="str">
            <v>LPC PAG TV REEST NO REV  VIG CMED       1ND</v>
          </cell>
        </row>
        <row r="3661">
          <cell r="B3661" t="str">
            <v>14031206090202</v>
          </cell>
          <cell r="C3661" t="str">
            <v>LPC PAGARE TV REESTRUC COFIDE CMED      1ND</v>
          </cell>
        </row>
        <row r="3662">
          <cell r="B3662" t="str">
            <v>14031211000101</v>
          </cell>
          <cell r="C3662" t="str">
            <v>LPC PDL INT DIFERIDOS RP REESTR CMED    1ND</v>
          </cell>
        </row>
        <row r="3663">
          <cell r="B3663" t="str">
            <v>14031211000102</v>
          </cell>
          <cell r="C3663" t="str">
            <v>LPC LEAS SEG INT DIF RP REESTR CMED     1ND</v>
          </cell>
        </row>
        <row r="3664">
          <cell r="B3664" t="str">
            <v>14031211000103</v>
          </cell>
          <cell r="C3664" t="str">
            <v>LPC LEAS SEGUROS RP REESTRUCT CMED      1ND</v>
          </cell>
        </row>
        <row r="3665">
          <cell r="B3665" t="str">
            <v>14031211000104</v>
          </cell>
          <cell r="C3665" t="str">
            <v>LPC LEAS IGV RP REESTRUCT CMED          1ND</v>
          </cell>
        </row>
        <row r="3666">
          <cell r="B3666" t="str">
            <v>14031211000105</v>
          </cell>
          <cell r="C3666" t="str">
            <v>LPC LEAS DEL BIEN RP REESTRUCT CMED     1ND</v>
          </cell>
        </row>
        <row r="3667">
          <cell r="B3667" t="str">
            <v>14031306010103</v>
          </cell>
          <cell r="C3667" t="str">
            <v>CL PAG.REF.TV REV VIG CPEM              1ND</v>
          </cell>
        </row>
        <row r="3668">
          <cell r="B3668" t="str">
            <v>14031306010201</v>
          </cell>
          <cell r="C3668" t="str">
            <v>LPC PAG TV REEST REV  VIG CPEM          1ND</v>
          </cell>
        </row>
        <row r="3669">
          <cell r="B3669" t="str">
            <v>14031306010202</v>
          </cell>
          <cell r="C3669" t="str">
            <v>LPC PAGARE TV REESTRUC COFIDE CPEM      1ND</v>
          </cell>
        </row>
        <row r="3670">
          <cell r="B3670" t="str">
            <v>14031306090103</v>
          </cell>
          <cell r="C3670" t="str">
            <v>CL PAG.REF.TV NO REV VIG CPEM           1ND</v>
          </cell>
        </row>
        <row r="3671">
          <cell r="B3671" t="str">
            <v>14031306090201</v>
          </cell>
          <cell r="C3671" t="str">
            <v>LPC PAG TV REEST NO REV  VIG CPEM       1ND</v>
          </cell>
        </row>
        <row r="3672">
          <cell r="B3672" t="str">
            <v>14031306090202</v>
          </cell>
          <cell r="C3672" t="str">
            <v>LPC PAGARE TV REESTRUC COFIDE CPEM      1ND</v>
          </cell>
        </row>
        <row r="3673">
          <cell r="B3673" t="str">
            <v>14031311000101</v>
          </cell>
          <cell r="C3673" t="str">
            <v>LPC PDL INT DIFERIDOS RP REESTR CPEM    1ND</v>
          </cell>
        </row>
        <row r="3674">
          <cell r="B3674" t="str">
            <v>14031311000102</v>
          </cell>
          <cell r="C3674" t="str">
            <v>LPC LEAS SEG INT DIF RP REESTR CPEM     1ND</v>
          </cell>
        </row>
        <row r="3675">
          <cell r="B3675" t="str">
            <v>14031311000103</v>
          </cell>
          <cell r="C3675" t="str">
            <v>LPC LEAS SEGUROS RP REESTRUCT CPEM      1ND</v>
          </cell>
        </row>
        <row r="3676">
          <cell r="B3676" t="str">
            <v>14031311000104</v>
          </cell>
          <cell r="C3676" t="str">
            <v>LPC LEAS IGV RP REESTRUCT CPEM          1ND</v>
          </cell>
        </row>
        <row r="3677">
          <cell r="B3677" t="str">
            <v>14031311000105</v>
          </cell>
          <cell r="C3677" t="str">
            <v>LPC LEAS DEL BIEN RP REESTRUCT CPEM     1ND</v>
          </cell>
        </row>
        <row r="3678">
          <cell r="B3678" t="str">
            <v>14040105010101</v>
          </cell>
          <cell r="C3678" t="str">
            <v>CL PAG.T.DSCTA.REFINAN.VIG              1ND</v>
          </cell>
        </row>
        <row r="3679">
          <cell r="B3679" t="str">
            <v>14040105010201</v>
          </cell>
          <cell r="C3679" t="str">
            <v>CL LETRA DSCTO.REFINA.VIG               1ND</v>
          </cell>
        </row>
        <row r="3680">
          <cell r="B3680" t="str">
            <v>14040106000101</v>
          </cell>
          <cell r="C3680" t="str">
            <v>CL PAG.TASA VENC.REFINA.VIG             1ND</v>
          </cell>
        </row>
        <row r="3681">
          <cell r="B3681" t="str">
            <v>14040106000119</v>
          </cell>
          <cell r="C3681" t="str">
            <v>BL PAG.REF.TV CAP.TRABAJO VIG CL        1ND</v>
          </cell>
        </row>
        <row r="3682">
          <cell r="B3682" t="str">
            <v>14040106000131</v>
          </cell>
          <cell r="C3682" t="str">
            <v>LPC PRI PAG.REFI.TV VAC VN VIG .NCO     1ND</v>
          </cell>
        </row>
        <row r="3683">
          <cell r="B3683" t="str">
            <v>14040106000132</v>
          </cell>
          <cell r="C3683" t="str">
            <v>LPC PRX PA.REFI.TV VAC INDEX.VIG .NCO   1ND</v>
          </cell>
        </row>
        <row r="3684">
          <cell r="B3684" t="str">
            <v>14040106000134</v>
          </cell>
          <cell r="C3684" t="str">
            <v>CL PAG.T.VENC COFIDE REFIN.VIG          1ND</v>
          </cell>
        </row>
        <row r="3685">
          <cell r="B3685" t="str">
            <v>14040106010102</v>
          </cell>
          <cell r="C3685" t="str">
            <v>CL PAG.REF.TV REVOLVENTE VIG            1ND</v>
          </cell>
        </row>
        <row r="3686">
          <cell r="B3686" t="str">
            <v>14040106010201</v>
          </cell>
          <cell r="C3686" t="str">
            <v>MYP REFIN.COBRANZAS REVOL.VIG.COM.      1ND</v>
          </cell>
        </row>
        <row r="3687">
          <cell r="B3687" t="str">
            <v>14040106020103</v>
          </cell>
          <cell r="C3687" t="str">
            <v>MYP PAG.TV REFIN. C/FIJA VIG COM        1ND</v>
          </cell>
        </row>
        <row r="3688">
          <cell r="B3688" t="str">
            <v>14040106020201</v>
          </cell>
          <cell r="C3688" t="str">
            <v>MYP REFIN.COBRANZAS C/FIJA VIG COM      1ND</v>
          </cell>
        </row>
        <row r="3689">
          <cell r="B3689" t="str">
            <v>14040106090101</v>
          </cell>
          <cell r="C3689" t="str">
            <v>CL P.REF.CON.DEUDA NO REVOL.VIG         1ND</v>
          </cell>
        </row>
        <row r="3690">
          <cell r="B3690" t="str">
            <v>14040106090102</v>
          </cell>
          <cell r="C3690" t="str">
            <v>CL PAG.REF.TV NO REVOLVENTE VIG         1ND</v>
          </cell>
        </row>
        <row r="3691">
          <cell r="B3691" t="str">
            <v>14040106090104</v>
          </cell>
          <cell r="C3691" t="str">
            <v>LPC PAG.REFIN NO REVOLV VIG             1ND</v>
          </cell>
        </row>
        <row r="3692">
          <cell r="B3692" t="str">
            <v>14040111000103</v>
          </cell>
          <cell r="C3692" t="str">
            <v>LPC PRI LS BIEN REFIN.CAPI.VIG          1ND</v>
          </cell>
        </row>
        <row r="3693">
          <cell r="B3693" t="str">
            <v>14040111000104</v>
          </cell>
          <cell r="C3693" t="str">
            <v>LPC PDL LS BIEN REFIN.INT.VIG           1ND</v>
          </cell>
        </row>
        <row r="3694">
          <cell r="B3694" t="str">
            <v>14040111000105</v>
          </cell>
          <cell r="C3694" t="str">
            <v>LPC PSG LS BIEN REFIN.CIA SEG           1ND</v>
          </cell>
        </row>
        <row r="3695">
          <cell r="B3695" t="str">
            <v>14040111000106</v>
          </cell>
          <cell r="C3695" t="str">
            <v>LPC PDS LS BIEN REFIN.SEG VIG           1ND</v>
          </cell>
        </row>
        <row r="3696">
          <cell r="B3696" t="str">
            <v>14040111000107</v>
          </cell>
          <cell r="C3696" t="str">
            <v>LPC PIG LS BIEN REFIN.IGV VIG           1ND</v>
          </cell>
        </row>
        <row r="3697">
          <cell r="B3697" t="str">
            <v>14040112000101</v>
          </cell>
          <cell r="C3697" t="str">
            <v>LPC LEASEBACK DEL BIEN RP LPC           1ND</v>
          </cell>
        </row>
        <row r="3698">
          <cell r="B3698" t="str">
            <v>14040112000102</v>
          </cell>
          <cell r="C3698" t="str">
            <v>LPC LEASEBACK INT DIFERIDOS RP LPC      1ND</v>
          </cell>
        </row>
        <row r="3699">
          <cell r="B3699" t="str">
            <v>14040112000105</v>
          </cell>
          <cell r="C3699" t="str">
            <v>LPC LEASEBACK IGV RP LPC                1ND</v>
          </cell>
        </row>
        <row r="3700">
          <cell r="B3700" t="str">
            <v>14040114000101</v>
          </cell>
          <cell r="C3700" t="str">
            <v>CL P.REFI DEUD.VTA.CARTERA VIG          1ND</v>
          </cell>
        </row>
        <row r="3701">
          <cell r="B3701" t="str">
            <v>14040116010101</v>
          </cell>
          <cell r="C3701" t="str">
            <v>BANCO CENTRAL DE RESERVA DEL PERU       1ND</v>
          </cell>
        </row>
        <row r="3702">
          <cell r="B3702" t="str">
            <v>14040116010102</v>
          </cell>
          <cell r="C3702" t="str">
            <v>BANCO DE LA NACIÓN                      1ND</v>
          </cell>
        </row>
        <row r="3703">
          <cell r="B3703" t="str">
            <v>14040116010103</v>
          </cell>
          <cell r="C3703" t="str">
            <v>BANCODE CREDITO DEL PERU                1ND</v>
          </cell>
        </row>
        <row r="3704">
          <cell r="B3704" t="str">
            <v>14040116010104</v>
          </cell>
          <cell r="C3704" t="str">
            <v>BANCO INTERNACIONAL DEL PERU - INTERBANK1ND</v>
          </cell>
        </row>
        <row r="3705">
          <cell r="B3705" t="str">
            <v>14040116010105</v>
          </cell>
          <cell r="C3705" t="str">
            <v>SCOTIABANK PERU S. A. A.                1ND</v>
          </cell>
        </row>
        <row r="3706">
          <cell r="B3706" t="str">
            <v>14040116010106</v>
          </cell>
          <cell r="C3706" t="str">
            <v>BANCO CONTINENTAL                       1ND</v>
          </cell>
        </row>
        <row r="3707">
          <cell r="B3707" t="str">
            <v>14040116010108</v>
          </cell>
          <cell r="C3707" t="str">
            <v>BANCO DE COMERCIO                       1ND</v>
          </cell>
        </row>
        <row r="3708">
          <cell r="B3708" t="str">
            <v>14040116010109</v>
          </cell>
          <cell r="C3708" t="str">
            <v>BANCO FINANCIERO DEL PERU               1ND</v>
          </cell>
        </row>
        <row r="3709">
          <cell r="B3709" t="str">
            <v>14040116010116</v>
          </cell>
          <cell r="C3709" t="str">
            <v>CITIBANK N. A. , SUCURSAL EN EL PERU DEL1ND</v>
          </cell>
        </row>
        <row r="3710">
          <cell r="B3710" t="str">
            <v>14040116010121</v>
          </cell>
          <cell r="C3710" t="str">
            <v>BANCO INTERAMERICANO DE FINANZAS - S. A.1ND</v>
          </cell>
        </row>
        <row r="3711">
          <cell r="B3711" t="str">
            <v>14040116010128</v>
          </cell>
          <cell r="C3711" t="str">
            <v>CORPORACIÓN FINANCIERA DE DESARROLLO S. 1ND</v>
          </cell>
        </row>
        <row r="3712">
          <cell r="B3712" t="str">
            <v>14040116010129</v>
          </cell>
          <cell r="C3712" t="str">
            <v>MIBANCO BANCO DE LA MICROEMPRESA - MIBAN1ND</v>
          </cell>
        </row>
        <row r="3713">
          <cell r="B3713" t="str">
            <v>14040116010131</v>
          </cell>
          <cell r="C3713" t="str">
            <v>BANCO AGROPECUARIO - AGROBANCO          1ND</v>
          </cell>
        </row>
        <row r="3714">
          <cell r="B3714" t="str">
            <v>14040116010132</v>
          </cell>
          <cell r="C3714" t="str">
            <v>HSBC BANK PERU S. A.                    1ND</v>
          </cell>
        </row>
        <row r="3715">
          <cell r="B3715" t="str">
            <v>14040116010133</v>
          </cell>
          <cell r="C3715" t="str">
            <v>BANCO FALABELLA DEL PERU                1ND</v>
          </cell>
        </row>
        <row r="3716">
          <cell r="B3716" t="str">
            <v>14040116010134</v>
          </cell>
          <cell r="C3716" t="str">
            <v>BANCO SANTANDER PERU S. A.              1ND</v>
          </cell>
        </row>
        <row r="3717">
          <cell r="B3717" t="str">
            <v>14040116010135</v>
          </cell>
          <cell r="C3717" t="str">
            <v>BANCO RIPLEY S. A.                      1ND</v>
          </cell>
        </row>
        <row r="3718">
          <cell r="B3718" t="str">
            <v>14040116010136</v>
          </cell>
          <cell r="C3718" t="str">
            <v>BANCO AZTECA DEL PERU S. A.             1ND</v>
          </cell>
        </row>
        <row r="3719">
          <cell r="B3719" t="str">
            <v>14040116010137</v>
          </cell>
          <cell r="C3719" t="str">
            <v>DEUTSCHE BANK (PERU) S. A.              1ND</v>
          </cell>
        </row>
        <row r="3720">
          <cell r="B3720" t="str">
            <v>14040116010199</v>
          </cell>
          <cell r="C3720" t="str">
            <v>BANCOS EN LIQUIDACIÓN                   1ND</v>
          </cell>
        </row>
        <row r="3721">
          <cell r="B3721" t="str">
            <v>14040116010203</v>
          </cell>
          <cell r="C3721" t="str">
            <v>SOLUCIÓN FINANCIERADE CREDITO DEL PERU  1ND</v>
          </cell>
        </row>
        <row r="3722">
          <cell r="B3722" t="str">
            <v>14040116010207</v>
          </cell>
          <cell r="C3722" t="str">
            <v>FINANCIERA TFC S. A.                    1ND</v>
          </cell>
        </row>
        <row r="3723">
          <cell r="B3723" t="str">
            <v>14040116010209</v>
          </cell>
          <cell r="C3723" t="str">
            <v>FINANCIERA EDYFICAR S. A.               1ND</v>
          </cell>
        </row>
        <row r="3724">
          <cell r="B3724" t="str">
            <v>14040116010210</v>
          </cell>
          <cell r="C3724" t="str">
            <v>CREDISCOTIA FINANCIERA S. A.            1ND</v>
          </cell>
        </row>
        <row r="3725">
          <cell r="B3725" t="str">
            <v>14040116010211</v>
          </cell>
          <cell r="C3725" t="str">
            <v>FINANCIERA CREAR S. A.                  1ND</v>
          </cell>
        </row>
        <row r="3726">
          <cell r="B3726" t="str">
            <v>14040116010212</v>
          </cell>
          <cell r="C3726" t="str">
            <v>FINANCIERA CONFIANZA S. A.              1ND</v>
          </cell>
        </row>
        <row r="3727">
          <cell r="B3727" t="str">
            <v>14040116010213</v>
          </cell>
          <cell r="C3727" t="str">
            <v>FINANCIERA UNIVERSAL S. A.              1ND</v>
          </cell>
        </row>
        <row r="3728">
          <cell r="B3728" t="str">
            <v>14040116010214</v>
          </cell>
          <cell r="C3728" t="str">
            <v>FINANCIERA UNO S. A.                    1ND</v>
          </cell>
        </row>
        <row r="3729">
          <cell r="B3729" t="str">
            <v>14040116010299</v>
          </cell>
          <cell r="C3729" t="str">
            <v>FINANCIERAS EN LIQUIDACIÓN              1ND</v>
          </cell>
        </row>
        <row r="3730">
          <cell r="B3730" t="str">
            <v>14040116010301</v>
          </cell>
          <cell r="C3730" t="str">
            <v>CAJA MUNICIPAL DE AHORRO YCREDITO DE SUL1ND</v>
          </cell>
        </row>
        <row r="3731">
          <cell r="B3731" t="str">
            <v>14040116010302</v>
          </cell>
          <cell r="C3731" t="str">
            <v>CAJA MUNICIPALDE CREDITO POPULAR DE LIMA1ND</v>
          </cell>
        </row>
        <row r="3732">
          <cell r="B3732" t="str">
            <v>14040116010303</v>
          </cell>
          <cell r="C3732" t="str">
            <v>CAJA MUNICIPAL DE AHORRO YCREDITO DE PIU1ND</v>
          </cell>
        </row>
        <row r="3733">
          <cell r="B3733" t="str">
            <v>14040116010304</v>
          </cell>
          <cell r="C3733" t="str">
            <v>CAJA MUNICIPAL DE AHORRO YCREDITO DE ARE1ND</v>
          </cell>
        </row>
        <row r="3734">
          <cell r="B3734" t="str">
            <v>14040116010305</v>
          </cell>
          <cell r="C3734" t="str">
            <v>CAJA MUNICIPAL DE AHORRO YCREDITO DE HUA1ND</v>
          </cell>
        </row>
        <row r="3735">
          <cell r="B3735" t="str">
            <v>14040116010306</v>
          </cell>
          <cell r="C3735" t="str">
            <v>CAJA MUNICIPAL DE AHORRO YCREDITO CUSCO 1ND</v>
          </cell>
        </row>
        <row r="3736">
          <cell r="B3736" t="str">
            <v>14040116010307</v>
          </cell>
          <cell r="C3736" t="str">
            <v>CAJA MUNICIPAL DE AHORRO YCREDITO DE MAY1ND</v>
          </cell>
        </row>
        <row r="3737">
          <cell r="B3737" t="str">
            <v>14040116010308</v>
          </cell>
          <cell r="C3737" t="str">
            <v>CAJA MUNICIPAL DE AHORRO YCREDITO DE ICA1ND</v>
          </cell>
        </row>
        <row r="3738">
          <cell r="B3738" t="str">
            <v>14040116010309</v>
          </cell>
          <cell r="C3738" t="str">
            <v>CAJA MUNICIPAL DE AHORRO YCREDITO DE PAI1ND</v>
          </cell>
        </row>
        <row r="3739">
          <cell r="B3739" t="str">
            <v>14040116010310</v>
          </cell>
          <cell r="C3739" t="str">
            <v>CAJA MUNICIPAL DE AHORRO YCREDITO DEL SA1ND</v>
          </cell>
        </row>
        <row r="3740">
          <cell r="B3740" t="str">
            <v>14040116010311</v>
          </cell>
          <cell r="C3740" t="str">
            <v>CAJA MUNICIPAL DE AHORRO YCREDITO DE TRU1ND</v>
          </cell>
        </row>
        <row r="3741">
          <cell r="B3741" t="str">
            <v>14040116010312</v>
          </cell>
          <cell r="C3741" t="str">
            <v>CAJA MUNICIPAL DE AHORRO YCREDITO DE TAC1ND</v>
          </cell>
        </row>
        <row r="3742">
          <cell r="B3742" t="str">
            <v>14040116010313</v>
          </cell>
          <cell r="C3742" t="str">
            <v>CAJA MUNICIPAL DE AHORRO YCREDITO DE PIS1ND</v>
          </cell>
        </row>
        <row r="3743">
          <cell r="B3743" t="str">
            <v>14040116010399</v>
          </cell>
          <cell r="C3743" t="str">
            <v>CAJAS MUNICIPALES DE AHORRO YCREDITO EN 1ND</v>
          </cell>
        </row>
        <row r="3744">
          <cell r="B3744" t="str">
            <v>14040116010403</v>
          </cell>
          <cell r="C3744" t="str">
            <v>CAJA RURAL DE AHORRO YCREDITO QUILLABAMB1ND</v>
          </cell>
        </row>
        <row r="3745">
          <cell r="B3745" t="str">
            <v>14040116010405</v>
          </cell>
          <cell r="C3745" t="str">
            <v>CAJA RURAL DE AHORRO YCREDITO LOS LIBERT1ND</v>
          </cell>
        </row>
        <row r="3746">
          <cell r="B3746" t="str">
            <v>14040116010406</v>
          </cell>
          <cell r="C3746" t="str">
            <v>CAJA RURAL DE AHORRO YCREDITO SEÑOR DE L1ND</v>
          </cell>
        </row>
        <row r="3747">
          <cell r="B3747" t="str">
            <v>14040116010407</v>
          </cell>
          <cell r="C3747" t="str">
            <v>CAJA RURAL DE AHORRO YCREDITO CHAVÍN S. 1ND</v>
          </cell>
        </row>
        <row r="3748">
          <cell r="B3748" t="str">
            <v>14040116010408</v>
          </cell>
          <cell r="C3748" t="str">
            <v>CAJA RURAL DE AHORRO YCREDITO NUESTRA GE1ND</v>
          </cell>
        </row>
        <row r="3749">
          <cell r="B3749" t="str">
            <v>14040116010409</v>
          </cell>
          <cell r="C3749" t="str">
            <v>CAJA RURAL DE AHORRO YCREDITO CAJAMARCA 1ND</v>
          </cell>
        </row>
        <row r="3750">
          <cell r="B3750" t="str">
            <v>14040116010410</v>
          </cell>
          <cell r="C3750" t="str">
            <v>CAJA RURAL DE AHORRO YCREDITO PROFINANZA1ND</v>
          </cell>
        </row>
        <row r="3751">
          <cell r="B3751" t="str">
            <v>14040116010412</v>
          </cell>
          <cell r="C3751" t="str">
            <v>CAJA RURAL DE AHORRO YCREDITO SIPÁN S. A1ND</v>
          </cell>
        </row>
        <row r="3752">
          <cell r="B3752" t="str">
            <v>14040116010414</v>
          </cell>
          <cell r="C3752" t="str">
            <v>CAJA RURAL DE AHORRO YCREDITO PRYMERA S.1ND</v>
          </cell>
        </row>
        <row r="3753">
          <cell r="B3753" t="str">
            <v>14040116010415</v>
          </cell>
          <cell r="C3753" t="str">
            <v>CAJA RURAL DE AHORRO YCREDITO LOS ANDES 1ND</v>
          </cell>
        </row>
        <row r="3754">
          <cell r="B3754" t="str">
            <v>14040116010499</v>
          </cell>
          <cell r="C3754" t="str">
            <v>CAJAS RURALES DE AHORRO YCREDITO EN LIQU1ND</v>
          </cell>
        </row>
        <row r="3755">
          <cell r="B3755" t="str">
            <v>14040116010503</v>
          </cell>
          <cell r="C3755" t="str">
            <v>PROEMPRESA S. A.                        1ND</v>
          </cell>
        </row>
        <row r="3756">
          <cell r="B3756" t="str">
            <v>14040116010506</v>
          </cell>
          <cell r="C3756" t="str">
            <v>NUEVA VISIÓN S. A.                      1ND</v>
          </cell>
        </row>
        <row r="3757">
          <cell r="B3757" t="str">
            <v>14040116010508</v>
          </cell>
          <cell r="C3757" t="str">
            <v>RAIZ S. A.                              1ND</v>
          </cell>
        </row>
        <row r="3758">
          <cell r="B3758" t="str">
            <v>14040116010510</v>
          </cell>
          <cell r="C3758" t="str">
            <v>SOLIDARIDAD S. A.                       1ND</v>
          </cell>
        </row>
        <row r="3759">
          <cell r="B3759" t="str">
            <v>14040116010511</v>
          </cell>
          <cell r="C3759" t="str">
            <v>CREDIVISIÓN S. A.                       1ND</v>
          </cell>
        </row>
        <row r="3760">
          <cell r="B3760" t="str">
            <v>14040116010512</v>
          </cell>
          <cell r="C3760" t="str">
            <v>ACCESO CREDITICIO S. A.                 1ND</v>
          </cell>
        </row>
        <row r="3761">
          <cell r="B3761" t="str">
            <v>14040116010514</v>
          </cell>
          <cell r="C3761" t="str">
            <v>ALTERNATIVA S. A.                       1ND</v>
          </cell>
        </row>
        <row r="3762">
          <cell r="B3762" t="str">
            <v>14040116010515</v>
          </cell>
          <cell r="C3762" t="str">
            <v>PRONEGOCIOS S. A.                       1ND</v>
          </cell>
        </row>
        <row r="3763">
          <cell r="B3763" t="str">
            <v>14040116010516</v>
          </cell>
          <cell r="C3763" t="str">
            <v>MICASITA S. A.                          1ND</v>
          </cell>
        </row>
        <row r="3764">
          <cell r="B3764" t="str">
            <v>14040116010517</v>
          </cell>
          <cell r="C3764" t="str">
            <v>CREDIJET DEL PERU S. A.                 1ND</v>
          </cell>
        </row>
        <row r="3765">
          <cell r="B3765" t="str">
            <v>14040116010599</v>
          </cell>
          <cell r="C3765" t="str">
            <v>EDPYMES EN LIQUIDACIÓN                  1ND</v>
          </cell>
        </row>
        <row r="3766">
          <cell r="B3766" t="str">
            <v>14040116010710</v>
          </cell>
          <cell r="C3766" t="str">
            <v>LEASING TOTAL S. A.                     1ND</v>
          </cell>
        </row>
        <row r="3767">
          <cell r="B3767" t="str">
            <v>14040116010711</v>
          </cell>
          <cell r="C3767" t="str">
            <v>MITSUI - MASA LEASING S. A.             1ND</v>
          </cell>
        </row>
        <row r="3768">
          <cell r="B3768" t="str">
            <v>14040116010799</v>
          </cell>
          <cell r="C3768" t="str">
            <v>LEASING EN LIQUIDACIÓN                  1ND</v>
          </cell>
        </row>
        <row r="3769">
          <cell r="B3769" t="str">
            <v>14040116010801</v>
          </cell>
          <cell r="C3769" t="str">
            <v>FONDO DE GARANTÍA PARA PRSTAMOS A LA PEQ1ND</v>
          </cell>
        </row>
        <row r="3770">
          <cell r="B3770" t="str">
            <v>14040116010901</v>
          </cell>
          <cell r="C3770" t="str">
            <v>ALMACENERA DEL PERU S. A. ALMA - PERU   1ND</v>
          </cell>
        </row>
        <row r="3771">
          <cell r="B3771" t="str">
            <v>14040116010902</v>
          </cell>
          <cell r="C3771" t="str">
            <v>DEPÓSITOS S. A.                         1ND</v>
          </cell>
        </row>
        <row r="3772">
          <cell r="B3772" t="str">
            <v>14040116010903</v>
          </cell>
          <cell r="C3772" t="str">
            <v>COMPAÑÍA ALMACENERA S. A. CASA          1ND</v>
          </cell>
        </row>
        <row r="3773">
          <cell r="B3773" t="str">
            <v>14040116010904</v>
          </cell>
          <cell r="C3773" t="str">
            <v>ALMACENES FINANCIEROS S. A.             1ND</v>
          </cell>
        </row>
        <row r="3774">
          <cell r="B3774" t="str">
            <v>14040116010999</v>
          </cell>
          <cell r="C3774" t="str">
            <v>ALMACENES EN LIQUIDACIÓN                1ND</v>
          </cell>
        </row>
        <row r="3775">
          <cell r="B3775" t="str">
            <v>14040116011001</v>
          </cell>
          <cell r="C3775" t="str">
            <v>RÍMAC INTERNACIONAL COMPAÑÍA DE SEGUROS 1ND</v>
          </cell>
        </row>
        <row r="3776">
          <cell r="B3776" t="str">
            <v>14040116011004</v>
          </cell>
          <cell r="C3776" t="str">
            <v>PACÍFICO PERUANO SUIZA COMPAÑÍA DE SEGUR1ND</v>
          </cell>
        </row>
        <row r="3777">
          <cell r="B3777" t="str">
            <v>14040116011005</v>
          </cell>
          <cell r="C3777" t="str">
            <v>LA POSITIVA COMPAÑÍA DE SEGUROS         1ND</v>
          </cell>
        </row>
        <row r="3778">
          <cell r="B3778" t="str">
            <v>14040116011009</v>
          </cell>
          <cell r="C3778" t="str">
            <v>SECREX COMPAÑÍA DE SEGUROS DE  Y GARANTÍ1ND</v>
          </cell>
        </row>
        <row r="3779">
          <cell r="B3779" t="str">
            <v>14040116011012</v>
          </cell>
          <cell r="C3779" t="str">
            <v>MAPFRE PERU COMPAÑÍA DE SEGUROS Y REASEG1ND</v>
          </cell>
        </row>
        <row r="3780">
          <cell r="B3780" t="str">
            <v>14040116011013</v>
          </cell>
          <cell r="C3780" t="str">
            <v>EL PACÍFICO VIDA COMPAÑÍA DE SEGUROS Y R1ND</v>
          </cell>
        </row>
        <row r="3781">
          <cell r="B3781" t="str">
            <v>14040116011015</v>
          </cell>
          <cell r="C3781" t="str">
            <v>INTERSEGURO COMPAÑÍA DE SEGUROS S. A.   1ND</v>
          </cell>
        </row>
        <row r="3782">
          <cell r="B3782" t="str">
            <v>14040116011016</v>
          </cell>
          <cell r="C3782" t="str">
            <v>MAPFRE PERU VIDA COMPAÑÍA DE SEGUROS    1ND</v>
          </cell>
        </row>
        <row r="3783">
          <cell r="B3783" t="str">
            <v>14040116011017</v>
          </cell>
          <cell r="C3783" t="str">
            <v>ACE SEGUROS S. A.                       1ND</v>
          </cell>
        </row>
        <row r="3784">
          <cell r="B3784" t="str">
            <v>14040116011018</v>
          </cell>
          <cell r="C3784" t="str">
            <v>INVITA SEGUROS DE VIDA                  1ND</v>
          </cell>
        </row>
        <row r="3785">
          <cell r="B3785" t="str">
            <v>14040116011020</v>
          </cell>
          <cell r="C3785" t="str">
            <v>LA POSITIVA VIDA SEGUROS Y REASEUROS S. 1ND</v>
          </cell>
        </row>
        <row r="3786">
          <cell r="B3786" t="str">
            <v>14040116011021</v>
          </cell>
          <cell r="C3786" t="str">
            <v>CARDIF DEL PERU S. A. COMPAÑÍA DE SEGURO1ND</v>
          </cell>
        </row>
        <row r="3787">
          <cell r="B3787" t="str">
            <v>14040116011022</v>
          </cell>
          <cell r="C3787" t="str">
            <v>INSUR COMPAÑÍA DE SEGUROS S. A.         1ND</v>
          </cell>
        </row>
        <row r="3788">
          <cell r="B3788" t="str">
            <v>14040116011023</v>
          </cell>
          <cell r="C3788" t="str">
            <v>PROTECTA COMPAÑÍA DE SEGUROS Y REASEGURO1ND</v>
          </cell>
        </row>
        <row r="3789">
          <cell r="B3789" t="str">
            <v>14040116011099</v>
          </cell>
          <cell r="C3789" t="str">
            <v>SEGUROS EN LIQUIDACIÓN                  1ND</v>
          </cell>
        </row>
        <row r="3790">
          <cell r="B3790" t="str">
            <v>14040116011301</v>
          </cell>
          <cell r="C3790" t="str">
            <v>LA FIDUCIARIA S. A.                     1ND</v>
          </cell>
        </row>
        <row r="3791">
          <cell r="B3791" t="str">
            <v>14040116011302</v>
          </cell>
          <cell r="C3791" t="str">
            <v>FIDUCIARIA GBC S. A.                    1ND</v>
          </cell>
        </row>
        <row r="3792">
          <cell r="B3792" t="str">
            <v>14040116011401</v>
          </cell>
          <cell r="C3792" t="str">
            <v>FONDO MIVIVIENDA S. A.                  1ND</v>
          </cell>
        </row>
        <row r="3793">
          <cell r="B3793" t="str">
            <v>14040116011501</v>
          </cell>
          <cell r="C3793" t="str">
            <v>AMRICA FACTORING S. A.                  1ND</v>
          </cell>
        </row>
        <row r="3794">
          <cell r="B3794" t="str">
            <v>14040116011601</v>
          </cell>
          <cell r="C3794" t="str">
            <v>INCASA S. A.                            1ND</v>
          </cell>
        </row>
        <row r="3795">
          <cell r="B3795" t="str">
            <v>14040116020101</v>
          </cell>
          <cell r="C3795" t="str">
            <v>BANCO CENTRAL DE RESERVA DEL PERU       1ND</v>
          </cell>
        </row>
        <row r="3796">
          <cell r="B3796" t="str">
            <v>14040116020102</v>
          </cell>
          <cell r="C3796" t="str">
            <v>BANCO DE LA NACIÓN                      1ND</v>
          </cell>
        </row>
        <row r="3797">
          <cell r="B3797" t="str">
            <v>14040116020103</v>
          </cell>
          <cell r="C3797" t="str">
            <v>BANCODE CREDITO DEL PERU                1ND</v>
          </cell>
        </row>
        <row r="3798">
          <cell r="B3798" t="str">
            <v>14040116020104</v>
          </cell>
          <cell r="C3798" t="str">
            <v>BANCO INTERNACIONAL DEL PERU - INTERBANK1ND</v>
          </cell>
        </row>
        <row r="3799">
          <cell r="B3799" t="str">
            <v>14040116020105</v>
          </cell>
          <cell r="C3799" t="str">
            <v>SCOTIABANK PERU S. A. A.                1ND</v>
          </cell>
        </row>
        <row r="3800">
          <cell r="B3800" t="str">
            <v>14040116020106</v>
          </cell>
          <cell r="C3800" t="str">
            <v>BANCO CONTINENTAL                       1ND</v>
          </cell>
        </row>
        <row r="3801">
          <cell r="B3801" t="str">
            <v>14040116020108</v>
          </cell>
          <cell r="C3801" t="str">
            <v>BANCO DE COMERCIO                       1ND</v>
          </cell>
        </row>
        <row r="3802">
          <cell r="B3802" t="str">
            <v>14040116020109</v>
          </cell>
          <cell r="C3802" t="str">
            <v>BANCO FINANCIERO DEL PERU               1ND</v>
          </cell>
        </row>
        <row r="3803">
          <cell r="B3803" t="str">
            <v>14040116020116</v>
          </cell>
          <cell r="C3803" t="str">
            <v>CITIBANK N. A. , SUCURSAL EN EL PERU DEL1ND</v>
          </cell>
        </row>
        <row r="3804">
          <cell r="B3804" t="str">
            <v>14040116020121</v>
          </cell>
          <cell r="C3804" t="str">
            <v>BANCO INTERAMERICANO DE FINANZAS - S. A.1ND</v>
          </cell>
        </row>
        <row r="3805">
          <cell r="B3805" t="str">
            <v>14040116020128</v>
          </cell>
          <cell r="C3805" t="str">
            <v>CORPORACIÓN FINANCIERA DE DESARROLLO S. 1ND</v>
          </cell>
        </row>
        <row r="3806">
          <cell r="B3806" t="str">
            <v>14040116020129</v>
          </cell>
          <cell r="C3806" t="str">
            <v>MIBANCO BANCO DE LA MICROEMPRESA - MIBAN1ND</v>
          </cell>
        </row>
        <row r="3807">
          <cell r="B3807" t="str">
            <v>14040116020131</v>
          </cell>
          <cell r="C3807" t="str">
            <v>BANCO AGROPECUARIO - AGROBANCO          1ND</v>
          </cell>
        </row>
        <row r="3808">
          <cell r="B3808" t="str">
            <v>14040116020132</v>
          </cell>
          <cell r="C3808" t="str">
            <v>HSBC BANK PERU S. A.                    1ND</v>
          </cell>
        </row>
        <row r="3809">
          <cell r="B3809" t="str">
            <v>14040116020133</v>
          </cell>
          <cell r="C3809" t="str">
            <v>BANCO FALABELLA DEL PERU                1ND</v>
          </cell>
        </row>
        <row r="3810">
          <cell r="B3810" t="str">
            <v>14040116020134</v>
          </cell>
          <cell r="C3810" t="str">
            <v>BANCO SANTANDER PERU S. A.              1ND</v>
          </cell>
        </row>
        <row r="3811">
          <cell r="B3811" t="str">
            <v>14040116020135</v>
          </cell>
          <cell r="C3811" t="str">
            <v>BANCO RIPLEY S. A.                      1ND</v>
          </cell>
        </row>
        <row r="3812">
          <cell r="B3812" t="str">
            <v>14040116020136</v>
          </cell>
          <cell r="C3812" t="str">
            <v>BANCO AZTECA DEL PERU S. A.             1ND</v>
          </cell>
        </row>
        <row r="3813">
          <cell r="B3813" t="str">
            <v>14040116020137</v>
          </cell>
          <cell r="C3813" t="str">
            <v>DEUTSCHE BANK (PERU) S. A.              1ND</v>
          </cell>
        </row>
        <row r="3814">
          <cell r="B3814" t="str">
            <v>14040116020199</v>
          </cell>
          <cell r="C3814" t="str">
            <v>BANCOS EN LIQUIDACIÓN                   1ND</v>
          </cell>
        </row>
        <row r="3815">
          <cell r="B3815" t="str">
            <v>14040116020203</v>
          </cell>
          <cell r="C3815" t="str">
            <v>SOLUCIÓN FINANCIERADE CREDITO DEL PERU  1ND</v>
          </cell>
        </row>
        <row r="3816">
          <cell r="B3816" t="str">
            <v>14040116020207</v>
          </cell>
          <cell r="C3816" t="str">
            <v>FINANCIERA TFC S. A.                    1ND</v>
          </cell>
        </row>
        <row r="3817">
          <cell r="B3817" t="str">
            <v>14040116020209</v>
          </cell>
          <cell r="C3817" t="str">
            <v>FINANCIERA EDYFICAR S. A.               1ND</v>
          </cell>
        </row>
        <row r="3818">
          <cell r="B3818" t="str">
            <v>14040116020210</v>
          </cell>
          <cell r="C3818" t="str">
            <v>CREDISCOTIA FINANCIERA S. A.            1ND</v>
          </cell>
        </row>
        <row r="3819">
          <cell r="B3819" t="str">
            <v>14040116020211</v>
          </cell>
          <cell r="C3819" t="str">
            <v>FINANCIERA CREAR S. A.                  1ND</v>
          </cell>
        </row>
        <row r="3820">
          <cell r="B3820" t="str">
            <v>14040116020212</v>
          </cell>
          <cell r="C3820" t="str">
            <v>FINANCIERA CONFIANZA S. A.              1ND</v>
          </cell>
        </row>
        <row r="3821">
          <cell r="B3821" t="str">
            <v>14040116020213</v>
          </cell>
          <cell r="C3821" t="str">
            <v>FINANCIERA UNIVERSAL S. A.              1ND</v>
          </cell>
        </row>
        <row r="3822">
          <cell r="B3822" t="str">
            <v>14040116020214</v>
          </cell>
          <cell r="C3822" t="str">
            <v>FINANCIERA UNO S. A.                    1ND</v>
          </cell>
        </row>
        <row r="3823">
          <cell r="B3823" t="str">
            <v>14040116020299</v>
          </cell>
          <cell r="C3823" t="str">
            <v>FINANCIERAS EN LIQUIDACIÓN              1ND</v>
          </cell>
        </row>
        <row r="3824">
          <cell r="B3824" t="str">
            <v>14040116020301</v>
          </cell>
          <cell r="C3824" t="str">
            <v>CAJA MUNICIPAL DE AHORRO YCREDITO DE SUL1ND</v>
          </cell>
        </row>
        <row r="3825">
          <cell r="B3825" t="str">
            <v>14040116020302</v>
          </cell>
          <cell r="C3825" t="str">
            <v>CAJA MUNICIPALDE CREDITO POPULAR DE LIMA1ND</v>
          </cell>
        </row>
        <row r="3826">
          <cell r="B3826" t="str">
            <v>14040116020303</v>
          </cell>
          <cell r="C3826" t="str">
            <v>CAJA MUNICIPAL DE AHORRO YCREDITO DE PIU1ND</v>
          </cell>
        </row>
        <row r="3827">
          <cell r="B3827" t="str">
            <v>14040116020304</v>
          </cell>
          <cell r="C3827" t="str">
            <v>CAJA MUNICIPAL DE AHORRO YCREDITO DE ARE1ND</v>
          </cell>
        </row>
        <row r="3828">
          <cell r="B3828" t="str">
            <v>14040116020305</v>
          </cell>
          <cell r="C3828" t="str">
            <v>CAJA MUNICIPAL DE AHORRO YCREDITO DE HUA1ND</v>
          </cell>
        </row>
        <row r="3829">
          <cell r="B3829" t="str">
            <v>14040116020306</v>
          </cell>
          <cell r="C3829" t="str">
            <v>CAJA MUNICIPAL DE AHORRO YCREDITO CUSCO 1ND</v>
          </cell>
        </row>
        <row r="3830">
          <cell r="B3830" t="str">
            <v>14040116020307</v>
          </cell>
          <cell r="C3830" t="str">
            <v>CAJA MUNICIPAL DE AHORRO YCREDITO DE MAY1ND</v>
          </cell>
        </row>
        <row r="3831">
          <cell r="B3831" t="str">
            <v>14040116020308</v>
          </cell>
          <cell r="C3831" t="str">
            <v>CAJA MUNICIPAL DE AHORRO YCREDITO DE ICA1ND</v>
          </cell>
        </row>
        <row r="3832">
          <cell r="B3832" t="str">
            <v>14040116020309</v>
          </cell>
          <cell r="C3832" t="str">
            <v>CAJA MUNICIPAL DE AHORRO YCREDITO DE PAI1ND</v>
          </cell>
        </row>
        <row r="3833">
          <cell r="B3833" t="str">
            <v>14040116020310</v>
          </cell>
          <cell r="C3833" t="str">
            <v>CAJA MUNICIPAL DE AHORRO YCREDITO DEL SA1ND</v>
          </cell>
        </row>
        <row r="3834">
          <cell r="B3834" t="str">
            <v>14040116020311</v>
          </cell>
          <cell r="C3834" t="str">
            <v>CAJA MUNICIPAL DE AHORRO YCREDITO DE TRU1ND</v>
          </cell>
        </row>
        <row r="3835">
          <cell r="B3835" t="str">
            <v>14040116020312</v>
          </cell>
          <cell r="C3835" t="str">
            <v>CAJA MUNICIPAL DE AHORRO YCREDITO DE TAC1ND</v>
          </cell>
        </row>
        <row r="3836">
          <cell r="B3836" t="str">
            <v>14040116020313</v>
          </cell>
          <cell r="C3836" t="str">
            <v>CAJA MUNICIPAL DE AHORRO YCREDITO DE PIS1ND</v>
          </cell>
        </row>
        <row r="3837">
          <cell r="B3837" t="str">
            <v>14040116020399</v>
          </cell>
          <cell r="C3837" t="str">
            <v>CAJAS MUNICIPALES DE AHORRO YCREDITO EN 1ND</v>
          </cell>
        </row>
        <row r="3838">
          <cell r="B3838" t="str">
            <v>14040116020403</v>
          </cell>
          <cell r="C3838" t="str">
            <v>CAJA RURAL DE AHORRO YCREDITO QUILLABAMB1ND</v>
          </cell>
        </row>
        <row r="3839">
          <cell r="B3839" t="str">
            <v>14040116020405</v>
          </cell>
          <cell r="C3839" t="str">
            <v>CAJA RURAL DE AHORRO YCREDITO LOS LIBERT1ND</v>
          </cell>
        </row>
        <row r="3840">
          <cell r="B3840" t="str">
            <v>14040116020406</v>
          </cell>
          <cell r="C3840" t="str">
            <v>CAJA RURAL DE AHORRO YCREDITO SEÑOR DE L1ND</v>
          </cell>
        </row>
        <row r="3841">
          <cell r="B3841" t="str">
            <v>14040116020407</v>
          </cell>
          <cell r="C3841" t="str">
            <v>CAJA RURAL DE AHORRO YCREDITO CHAVÍN S. 1ND</v>
          </cell>
        </row>
        <row r="3842">
          <cell r="B3842" t="str">
            <v>14040116020408</v>
          </cell>
          <cell r="C3842" t="str">
            <v>CAJA RURAL DE AHORRO YCREDITO NUESTRA GE1ND</v>
          </cell>
        </row>
        <row r="3843">
          <cell r="B3843" t="str">
            <v>14040116020409</v>
          </cell>
          <cell r="C3843" t="str">
            <v>CAJA RURAL DE AHORRO YCREDITO CAJAMARCA 1ND</v>
          </cell>
        </row>
        <row r="3844">
          <cell r="B3844" t="str">
            <v>14040116020410</v>
          </cell>
          <cell r="C3844" t="str">
            <v>CAJA RURAL DE AHORRO YCREDITO PROFINANZA1ND</v>
          </cell>
        </row>
        <row r="3845">
          <cell r="B3845" t="str">
            <v>14040116020412</v>
          </cell>
          <cell r="C3845" t="str">
            <v>CAJA RURAL DE AHORRO YCREDITO SIPÁN S. A1ND</v>
          </cell>
        </row>
        <row r="3846">
          <cell r="B3846" t="str">
            <v>14040116020414</v>
          </cell>
          <cell r="C3846" t="str">
            <v>CAJA RURAL DE AHORRO YCREDITO PRYMERA S.1ND</v>
          </cell>
        </row>
        <row r="3847">
          <cell r="B3847" t="str">
            <v>14040116020415</v>
          </cell>
          <cell r="C3847" t="str">
            <v>CAJA RURAL DE AHORRO YCREDITO LOS ANDES 1ND</v>
          </cell>
        </row>
        <row r="3848">
          <cell r="B3848" t="str">
            <v>14040116020499</v>
          </cell>
          <cell r="C3848" t="str">
            <v>CAJAS RURALES DE AHORRO YCREDITO EN LIQU1ND</v>
          </cell>
        </row>
        <row r="3849">
          <cell r="B3849" t="str">
            <v>14040116020503</v>
          </cell>
          <cell r="C3849" t="str">
            <v>PROEMPRESA S. A.                        1ND</v>
          </cell>
        </row>
        <row r="3850">
          <cell r="B3850" t="str">
            <v>14040116020506</v>
          </cell>
          <cell r="C3850" t="str">
            <v>NUEVA VISIÓN S. A.                      1ND</v>
          </cell>
        </row>
        <row r="3851">
          <cell r="B3851" t="str">
            <v>14040116020508</v>
          </cell>
          <cell r="C3851" t="str">
            <v>RAIZ S. A.                              1ND</v>
          </cell>
        </row>
        <row r="3852">
          <cell r="B3852" t="str">
            <v>14040116020510</v>
          </cell>
          <cell r="C3852" t="str">
            <v>SOLIDARIDAD S. A.                       1ND</v>
          </cell>
        </row>
        <row r="3853">
          <cell r="B3853" t="str">
            <v>14040116020511</v>
          </cell>
          <cell r="C3853" t="str">
            <v>CREDIVISIÓN S. A.                       1ND</v>
          </cell>
        </row>
        <row r="3854">
          <cell r="B3854" t="str">
            <v>14040116020512</v>
          </cell>
          <cell r="C3854" t="str">
            <v>ACCESO CREDITICIO S. A.                 1ND</v>
          </cell>
        </row>
        <row r="3855">
          <cell r="B3855" t="str">
            <v>14040116020514</v>
          </cell>
          <cell r="C3855" t="str">
            <v>ALTERNATIVA S. A.                       1ND</v>
          </cell>
        </row>
        <row r="3856">
          <cell r="B3856" t="str">
            <v>14040116020515</v>
          </cell>
          <cell r="C3856" t="str">
            <v>PRONEGOCIOS S. A.                       1ND</v>
          </cell>
        </row>
        <row r="3857">
          <cell r="B3857" t="str">
            <v>14040116020516</v>
          </cell>
          <cell r="C3857" t="str">
            <v>MICASITA S. A.                          1ND</v>
          </cell>
        </row>
        <row r="3858">
          <cell r="B3858" t="str">
            <v>14040116020517</v>
          </cell>
          <cell r="C3858" t="str">
            <v>CREDIJET DEL PERU S. A.                 1ND</v>
          </cell>
        </row>
        <row r="3859">
          <cell r="B3859" t="str">
            <v>14040116020599</v>
          </cell>
          <cell r="C3859" t="str">
            <v>EDPYMES EN LIQUIDACIÓN                  1ND</v>
          </cell>
        </row>
        <row r="3860">
          <cell r="B3860" t="str">
            <v>14040116020710</v>
          </cell>
          <cell r="C3860" t="str">
            <v>LEASING TOTAL S. A.                     1ND</v>
          </cell>
        </row>
        <row r="3861">
          <cell r="B3861" t="str">
            <v>14040116020711</v>
          </cell>
          <cell r="C3861" t="str">
            <v>MITSUI - MASA LEASING S. A.             1ND</v>
          </cell>
        </row>
        <row r="3862">
          <cell r="B3862" t="str">
            <v>14040116020799</v>
          </cell>
          <cell r="C3862" t="str">
            <v>LEASING EN LIQUIDACIÓN                  1ND</v>
          </cell>
        </row>
        <row r="3863">
          <cell r="B3863" t="str">
            <v>14040116020801</v>
          </cell>
          <cell r="C3863" t="str">
            <v>FONDO DE GARANTÍA PARA PRSTAMOS A LA PEQ1ND</v>
          </cell>
        </row>
        <row r="3864">
          <cell r="B3864" t="str">
            <v>14040116021001</v>
          </cell>
          <cell r="C3864" t="str">
            <v>RÍMAC INTERNACIONAL COMPAÑÍA DE SEGUROS 1ND</v>
          </cell>
        </row>
        <row r="3865">
          <cell r="B3865" t="str">
            <v>14040116021004</v>
          </cell>
          <cell r="C3865" t="str">
            <v>PACÍFICO PERUANO SUIZA COMPAÑÍA DE SEGUR1ND</v>
          </cell>
        </row>
        <row r="3866">
          <cell r="B3866" t="str">
            <v>14040116021005</v>
          </cell>
          <cell r="C3866" t="str">
            <v>LA POSITIVA COMPAÑÍA DE SEGUROS         1ND</v>
          </cell>
        </row>
        <row r="3867">
          <cell r="B3867" t="str">
            <v>14040116021009</v>
          </cell>
          <cell r="C3867" t="str">
            <v>SECREX COMPAÑÍA DE SEGUROS DE  Y GARANTÍ1ND</v>
          </cell>
        </row>
        <row r="3868">
          <cell r="B3868" t="str">
            <v>14040116021012</v>
          </cell>
          <cell r="C3868" t="str">
            <v>MAPFRE PERU COMPAÑÍA DE SEGUROS Y REASEG1ND</v>
          </cell>
        </row>
        <row r="3869">
          <cell r="B3869" t="str">
            <v>14040116021013</v>
          </cell>
          <cell r="C3869" t="str">
            <v>EL PACÍFICO VIDA COMPAÑÍA DE SEGUROS Y R1ND</v>
          </cell>
        </row>
        <row r="3870">
          <cell r="B3870" t="str">
            <v>14040116021015</v>
          </cell>
          <cell r="C3870" t="str">
            <v>INTERSEGURO COMPAÑÍA DE SEGUROS S. A.   1ND</v>
          </cell>
        </row>
        <row r="3871">
          <cell r="B3871" t="str">
            <v>14040116021016</v>
          </cell>
          <cell r="C3871" t="str">
            <v>MAPFRE PERU VIDA COMPAÑÍA DE SEGUROS    1ND</v>
          </cell>
        </row>
        <row r="3872">
          <cell r="B3872" t="str">
            <v>14040116021017</v>
          </cell>
          <cell r="C3872" t="str">
            <v>ACE SEGUROS S. A.                       1ND</v>
          </cell>
        </row>
        <row r="3873">
          <cell r="B3873" t="str">
            <v>14040116021018</v>
          </cell>
          <cell r="C3873" t="str">
            <v>INVITA SEGUROS DE VIDA                  1ND</v>
          </cell>
        </row>
        <row r="3874">
          <cell r="B3874" t="str">
            <v>14040116021020</v>
          </cell>
          <cell r="C3874" t="str">
            <v>LA POSITIVA VIDA SEGUROS Y REASEUROS S. 1ND</v>
          </cell>
        </row>
        <row r="3875">
          <cell r="B3875" t="str">
            <v>14040116021021</v>
          </cell>
          <cell r="C3875" t="str">
            <v>CARDIF DEL PERU S. A. COMPAÑÍA DE SEGURO1ND</v>
          </cell>
        </row>
        <row r="3876">
          <cell r="B3876" t="str">
            <v>14040116021022</v>
          </cell>
          <cell r="C3876" t="str">
            <v>INSUR COMPAÑÍA DE SEGUROS S. A.         1ND</v>
          </cell>
        </row>
        <row r="3877">
          <cell r="B3877" t="str">
            <v>14040116021023</v>
          </cell>
          <cell r="C3877" t="str">
            <v>PROTECTA COMPAÑÍA DE SEGUROS Y REASEGURO1ND</v>
          </cell>
        </row>
        <row r="3878">
          <cell r="B3878" t="str">
            <v>14040116021099</v>
          </cell>
          <cell r="C3878" t="str">
            <v>SEGUROS EN LIQUIDACIÓN                  1ND</v>
          </cell>
        </row>
        <row r="3879">
          <cell r="B3879" t="str">
            <v>14040116021301</v>
          </cell>
          <cell r="C3879" t="str">
            <v>LA FIDUCIARIA S. A.                     1ND</v>
          </cell>
        </row>
        <row r="3880">
          <cell r="B3880" t="str">
            <v>14040116021302</v>
          </cell>
          <cell r="C3880" t="str">
            <v>FIDUCIARIA GBC S. A.                    1ND</v>
          </cell>
        </row>
        <row r="3881">
          <cell r="B3881" t="str">
            <v>14040116021401</v>
          </cell>
          <cell r="C3881" t="str">
            <v>FONDO MIVIVIENDA S. A.                  1ND</v>
          </cell>
        </row>
        <row r="3882">
          <cell r="B3882" t="str">
            <v>14040116021501</v>
          </cell>
          <cell r="C3882" t="str">
            <v>AMRICA FACTORING S. A.                  1ND</v>
          </cell>
        </row>
        <row r="3883">
          <cell r="B3883" t="str">
            <v>14040116021601</v>
          </cell>
          <cell r="C3883" t="str">
            <v>INCASA S. A.                            1ND</v>
          </cell>
        </row>
        <row r="3884">
          <cell r="B3884" t="str">
            <v>14040125010101</v>
          </cell>
          <cell r="C3884" t="str">
            <v>CL PAG.FINANC.RFA REFINA.VIG            1ND</v>
          </cell>
        </row>
        <row r="3885">
          <cell r="B3885" t="str">
            <v>14040125020101</v>
          </cell>
          <cell r="C3885" t="str">
            <v>CL PAG.RFA SUBOR.REFIN.VIG              1ND</v>
          </cell>
        </row>
        <row r="3886">
          <cell r="B3886" t="str">
            <v>14040126000102</v>
          </cell>
          <cell r="C3886" t="str">
            <v>CL P.IMPORT RP REFINAN.VIG              1ND</v>
          </cell>
        </row>
        <row r="3887">
          <cell r="B3887" t="str">
            <v>14040202000701</v>
          </cell>
          <cell r="C3887" t="str">
            <v>RCC  TC                                 1ND</v>
          </cell>
        </row>
        <row r="3888">
          <cell r="B3888" t="str">
            <v>14040206010102</v>
          </cell>
          <cell r="C3888" t="str">
            <v>CL PAG.REF.TV REVOLV MES VIG            1ND</v>
          </cell>
        </row>
        <row r="3889">
          <cell r="B3889" t="str">
            <v>14040206010104</v>
          </cell>
          <cell r="C3889" t="str">
            <v>PAG TV REFINANCIADO VIGENTE - LPC CMIE  1ND</v>
          </cell>
        </row>
        <row r="3890">
          <cell r="B3890" t="str">
            <v>14040206010105</v>
          </cell>
          <cell r="C3890" t="str">
            <v>MYP PAG.TV REFIN. REVOL VIG MES         1ND</v>
          </cell>
        </row>
        <row r="3891">
          <cell r="B3891" t="str">
            <v>14040206010201</v>
          </cell>
          <cell r="C3891" t="str">
            <v>MYP REFIN.COBRANZAS REVOL.VIG.MES       1ND</v>
          </cell>
        </row>
        <row r="3892">
          <cell r="B3892" t="str">
            <v>14040206020103</v>
          </cell>
          <cell r="C3892" t="str">
            <v>MYP PAG.TV REFIN. C/FIJA VIG MES        1ND</v>
          </cell>
        </row>
        <row r="3893">
          <cell r="B3893" t="str">
            <v>14040206020201</v>
          </cell>
          <cell r="C3893" t="str">
            <v>MYP REFIN.COBRANZAS C/FIJA VIG MES      1ND</v>
          </cell>
        </row>
        <row r="3894">
          <cell r="B3894" t="str">
            <v>14040206020202</v>
          </cell>
          <cell r="C3894" t="str">
            <v>MYP REFINANC. COVID-19                  1ND</v>
          </cell>
        </row>
        <row r="3895">
          <cell r="B3895" t="str">
            <v>14040206020204</v>
          </cell>
          <cell r="C3895" t="str">
            <v>LPC REFINANCIADO REACTIVA CMIE VIG      1 D</v>
          </cell>
        </row>
        <row r="3896">
          <cell r="B3896" t="str">
            <v>14040206020208</v>
          </cell>
          <cell r="C3896" t="str">
            <v>MYP REFINANCIADO CIMA CMIE VIG          1 D</v>
          </cell>
        </row>
        <row r="3897">
          <cell r="B3897" t="str">
            <v>14040206020209</v>
          </cell>
          <cell r="C3897" t="str">
            <v>LPC REFINANCIADO CRECER IBK POST HONR CM1 D</v>
          </cell>
        </row>
        <row r="3898">
          <cell r="B3898" t="str">
            <v>14040206020210</v>
          </cell>
          <cell r="C3898" t="str">
            <v>CCD-BPE REFINANCIADO_CMIE VIG           1 D</v>
          </cell>
        </row>
        <row r="3899">
          <cell r="B3899" t="str">
            <v>14040206020255</v>
          </cell>
          <cell r="C3899" t="str">
            <v>LPC PAG TV REF VIG NO REV CMIE          1 D</v>
          </cell>
        </row>
        <row r="3900">
          <cell r="B3900" t="str">
            <v>14040206090102</v>
          </cell>
          <cell r="C3900" t="str">
            <v>CL PAG.REF.TV NO REVOLV MES VI          1ND</v>
          </cell>
        </row>
        <row r="3901">
          <cell r="B3901" t="str">
            <v>14040206090104</v>
          </cell>
          <cell r="C3901" t="str">
            <v>LPC PAG.REFIN NO REVOLV MES VIG         1ND</v>
          </cell>
        </row>
        <row r="3902">
          <cell r="B3902" t="str">
            <v>14040211000106</v>
          </cell>
          <cell r="C3902" t="str">
            <v>LPC REFIN LEAS BPE DEL BIEN RP CMIE     1ND</v>
          </cell>
        </row>
        <row r="3903">
          <cell r="B3903" t="str">
            <v>14040211000107</v>
          </cell>
          <cell r="C3903" t="str">
            <v>LPC REFIN LEAS BPE INT DIFERIDOS RP CMIE1ND</v>
          </cell>
        </row>
        <row r="3904">
          <cell r="B3904" t="str">
            <v>14040211000108</v>
          </cell>
          <cell r="C3904" t="str">
            <v>LPC REF LEAS BPE SEGUROS RP CMIE        1ND</v>
          </cell>
        </row>
        <row r="3905">
          <cell r="B3905" t="str">
            <v>14040211000109</v>
          </cell>
          <cell r="C3905" t="str">
            <v>LPC REF LEAS BPE SEGUROS INT DIFERIDOS R1ND</v>
          </cell>
        </row>
        <row r="3906">
          <cell r="B3906" t="str">
            <v>14040211000110</v>
          </cell>
          <cell r="C3906" t="str">
            <v>LPC REF LEAS BPE IGV RP CMIE            1ND</v>
          </cell>
        </row>
        <row r="3907">
          <cell r="B3907" t="str">
            <v>14040224020101</v>
          </cell>
          <cell r="C3907" t="str">
            <v>CL PAG.REF.RFA VIG CMIE                 1ND</v>
          </cell>
        </row>
        <row r="3908">
          <cell r="B3908" t="str">
            <v>14040224050101</v>
          </cell>
          <cell r="C3908" t="str">
            <v>CL PAG.REF.RFA SUBORDINADO CL MES       1ND</v>
          </cell>
        </row>
        <row r="3909">
          <cell r="B3909" t="str">
            <v>14040225020101</v>
          </cell>
          <cell r="C3909" t="str">
            <v>CL P.RFA SUBOR.REFIN.MES VIG            1ND</v>
          </cell>
        </row>
        <row r="3910">
          <cell r="B3910" t="str">
            <v>14040302000101</v>
          </cell>
          <cell r="C3910" t="str">
            <v>IC REF TC IB PN COLOCAC. VIGENTE        1ND</v>
          </cell>
        </row>
        <row r="3911">
          <cell r="B3911" t="str">
            <v>14040302010101</v>
          </cell>
          <cell r="C3911" t="str">
            <v>IC REF TC DISP EFECT CAP. VIGENTE       1ND</v>
          </cell>
        </row>
        <row r="3912">
          <cell r="B3912" t="str">
            <v>14040302010201</v>
          </cell>
          <cell r="C3912" t="str">
            <v>HPC REFIN TC IB PN COLOCAC. VIGENTE     1ND</v>
          </cell>
        </row>
        <row r="3913">
          <cell r="B3913" t="str">
            <v>14040306000101</v>
          </cell>
          <cell r="C3913" t="str">
            <v>IC CRED REFINANC CONSUM VIGENTE         1ND</v>
          </cell>
        </row>
        <row r="3914">
          <cell r="B3914" t="str">
            <v>14040306010101</v>
          </cell>
          <cell r="C3914" t="str">
            <v>IC REF CONV PREST RV VIGENTE            1ND</v>
          </cell>
        </row>
        <row r="3915">
          <cell r="B3915" t="str">
            <v>14040306020101</v>
          </cell>
          <cell r="C3915" t="str">
            <v>IC REFINANC NRV AUTOMOVILES VIGENTE     1ND</v>
          </cell>
        </row>
        <row r="3916">
          <cell r="B3916" t="str">
            <v>14040306020201</v>
          </cell>
          <cell r="C3916" t="str">
            <v>HPC CRED REFIN NRV AUTOMOVILES VIGENTE  1ND</v>
          </cell>
        </row>
        <row r="3917">
          <cell r="B3917" t="str">
            <v>14040306030101</v>
          </cell>
          <cell r="C3917" t="str">
            <v>IC REFINANC NRV LIB DISPON VIGENTE      1ND</v>
          </cell>
        </row>
        <row r="3918">
          <cell r="B3918" t="str">
            <v>14040306030201</v>
          </cell>
          <cell r="C3918" t="str">
            <v>HPC CRED REFIN CONSUM NRV VIGENTE       1ND</v>
          </cell>
        </row>
        <row r="3919">
          <cell r="B3919" t="str">
            <v>14040306030202</v>
          </cell>
          <cell r="C3919" t="str">
            <v>HPC CCNR REFIN COLOCAC. VIGENTE         1ND</v>
          </cell>
        </row>
        <row r="3920">
          <cell r="B3920" t="str">
            <v>14040306030203</v>
          </cell>
          <cell r="C3920" t="str">
            <v>HPC REF CAP VIG EFEC C/GARANT HIPOTECARI1ND</v>
          </cell>
        </row>
        <row r="3921">
          <cell r="B3921" t="str">
            <v>14040306030204</v>
          </cell>
          <cell r="C3921" t="str">
            <v>HPC REF CAP VIG EFEC C/GARANT HIPOTECARI1ND</v>
          </cell>
        </row>
        <row r="3922">
          <cell r="B3922" t="str">
            <v>14040306050101</v>
          </cell>
          <cell r="C3922" t="str">
            <v>HPC REF NRV OT B/CONV NO ELEG VIG       1ND</v>
          </cell>
        </row>
        <row r="3923">
          <cell r="B3923" t="str">
            <v>14040306090101</v>
          </cell>
          <cell r="C3923" t="str">
            <v>HPC REF CAP VIG EFEC C/GARANT.HI $ 110  1ND</v>
          </cell>
        </row>
        <row r="3924">
          <cell r="B3924" t="str">
            <v>14040306090102</v>
          </cell>
          <cell r="C3924" t="str">
            <v>HPC REF  CAP VIG PREST.PERS.            1ND</v>
          </cell>
        </row>
        <row r="3925">
          <cell r="B3925" t="str">
            <v>14040306120701</v>
          </cell>
          <cell r="C3925" t="str">
            <v>RCC  CONVENIO                           1ND</v>
          </cell>
        </row>
        <row r="3926">
          <cell r="B3926" t="str">
            <v>14040306130100</v>
          </cell>
          <cell r="C3926" t="str">
            <v>HPC REFIN TC IB PN COLOCAC. VIGENTE     1ND</v>
          </cell>
        </row>
        <row r="3927">
          <cell r="B3927" t="str">
            <v>14040306190101</v>
          </cell>
          <cell r="C3927" t="str">
            <v>HPC REF CAP VIG EFEC C/GARANT HIPOTECARI1ND</v>
          </cell>
        </row>
        <row r="3928">
          <cell r="B3928" t="str">
            <v>14040306190102</v>
          </cell>
          <cell r="C3928" t="str">
            <v>HPC REF  CAP VIG PREST.PERS             1ND</v>
          </cell>
        </row>
        <row r="3929">
          <cell r="B3929" t="str">
            <v>14040320020101</v>
          </cell>
          <cell r="C3929" t="str">
            <v>IC CRED REF TC IB PN VIGENTE            1ND</v>
          </cell>
        </row>
        <row r="3930">
          <cell r="B3930" t="str">
            <v>14040406000130</v>
          </cell>
          <cell r="C3930" t="str">
            <v>PRESTAMOS HIPOTECARIOS REFINANC IC      1ND</v>
          </cell>
        </row>
        <row r="3931">
          <cell r="B3931" t="str">
            <v>14040406000135</v>
          </cell>
          <cell r="C3931" t="str">
            <v>HPC REF CAP.VIG.HIPOT.TRAD.             1ND</v>
          </cell>
        </row>
        <row r="3932">
          <cell r="B3932" t="str">
            <v>14040406010101</v>
          </cell>
          <cell r="C3932" t="str">
            <v>HPC REF CAP.VIG.HIPOT.TRAD. C/HIP. INSCR1ND</v>
          </cell>
        </row>
        <row r="3933">
          <cell r="B3933" t="str">
            <v>14040406010102</v>
          </cell>
          <cell r="C3933" t="str">
            <v>HPC REF CAP.VIG.HIP. ADJUDIC. C/HIP. INS1ND</v>
          </cell>
        </row>
        <row r="3934">
          <cell r="B3934" t="str">
            <v>14040406020101</v>
          </cell>
          <cell r="C3934" t="str">
            <v>HPC REF CAP.VIG.HIPOT.TRAD.S/HIP. INSCRI1ND</v>
          </cell>
        </row>
        <row r="3935">
          <cell r="B3935" t="str">
            <v>14040406020102</v>
          </cell>
          <cell r="C3935" t="str">
            <v>HPC REF CAP.VIG.HIP. ADJUDIC. S/HIP. INS1ND</v>
          </cell>
        </row>
        <row r="3936">
          <cell r="B3936" t="str">
            <v>14040607010101</v>
          </cell>
          <cell r="C3936" t="str">
            <v>CL PAG.REF.TV REVOLV VIG CMED           1ND</v>
          </cell>
        </row>
        <row r="3937">
          <cell r="B3937" t="str">
            <v>14040607090101</v>
          </cell>
          <cell r="C3937" t="str">
            <v>CL PAG.REF.TV NO REVOLV VIG CMED        1ND</v>
          </cell>
        </row>
        <row r="3938">
          <cell r="B3938" t="str">
            <v>14040706010101</v>
          </cell>
          <cell r="C3938" t="str">
            <v>LPC PAG TV REF VIG REVOL CESP           1ND</v>
          </cell>
        </row>
        <row r="3939">
          <cell r="B3939" t="str">
            <v>14040706010201</v>
          </cell>
          <cell r="C3939" t="str">
            <v>CL PAG.REF.TV REVOLV VIG CESP           1ND</v>
          </cell>
        </row>
        <row r="3940">
          <cell r="B3940" t="str">
            <v>14040706090101</v>
          </cell>
          <cell r="C3940" t="str">
            <v>LPC PAG TV REF VIG NO REV CESP          1ND</v>
          </cell>
        </row>
        <row r="3941">
          <cell r="B3941" t="str">
            <v>14040706090201</v>
          </cell>
          <cell r="C3941" t="str">
            <v>CL PAG.REF.TV NO REVOLV VIG CESP        1ND</v>
          </cell>
        </row>
        <row r="3942">
          <cell r="B3942" t="str">
            <v>14040711000701</v>
          </cell>
          <cell r="C3942" t="str">
            <v>RCC  ARRENDAMIENTO FINANCIERO           1ND</v>
          </cell>
        </row>
        <row r="3943">
          <cell r="B3943" t="str">
            <v>14040906060101</v>
          </cell>
          <cell r="C3943" t="str">
            <v>BANCO CENTRAL DE RESERVA DEL PERU       1ND</v>
          </cell>
        </row>
        <row r="3944">
          <cell r="B3944" t="str">
            <v>14040906060102</v>
          </cell>
          <cell r="C3944" t="str">
            <v>BANCO DE LA NACIÃ“N                     1ND</v>
          </cell>
        </row>
        <row r="3945">
          <cell r="B3945" t="str">
            <v>14040906060103</v>
          </cell>
          <cell r="C3945" t="str">
            <v>BANCODE CREDITO DEL PERU                1ND</v>
          </cell>
        </row>
        <row r="3946">
          <cell r="B3946" t="str">
            <v>14040906060104</v>
          </cell>
          <cell r="C3946" t="str">
            <v>BANCO INTERNACIONAL DEL PERU - INTERBANK1ND</v>
          </cell>
        </row>
        <row r="3947">
          <cell r="B3947" t="str">
            <v>14040906060105</v>
          </cell>
          <cell r="C3947" t="str">
            <v>SCOTIABANK PERU S. A. A.                1ND</v>
          </cell>
        </row>
        <row r="3948">
          <cell r="B3948" t="str">
            <v>14040906060106</v>
          </cell>
          <cell r="C3948" t="str">
            <v>BANCO CONTINENTAL                       1ND</v>
          </cell>
        </row>
        <row r="3949">
          <cell r="B3949" t="str">
            <v>14040906060108</v>
          </cell>
          <cell r="C3949" t="str">
            <v>BANCO DE COMERCIO                       1ND</v>
          </cell>
        </row>
        <row r="3950">
          <cell r="B3950" t="str">
            <v>14040906060109</v>
          </cell>
          <cell r="C3950" t="str">
            <v>BANCO FINANCIERO DEL PERU               1ND</v>
          </cell>
        </row>
        <row r="3951">
          <cell r="B3951" t="str">
            <v>14040906060116</v>
          </cell>
          <cell r="C3951" t="str">
            <v>CITIBANK N. A.   SUCURSAL EN EL PERU DEL1ND</v>
          </cell>
        </row>
        <row r="3952">
          <cell r="B3952" t="str">
            <v>14040906060121</v>
          </cell>
          <cell r="C3952" t="str">
            <v>BANCO INTERAMERICANO DE FINANZAS - S. A.1ND</v>
          </cell>
        </row>
        <row r="3953">
          <cell r="B3953" t="str">
            <v>14040906060128</v>
          </cell>
          <cell r="C3953" t="str">
            <v>CORPORACIÃ“N FINANCIERA DE DESARROLLO S.1ND</v>
          </cell>
        </row>
        <row r="3954">
          <cell r="B3954" t="str">
            <v>14040906060129</v>
          </cell>
          <cell r="C3954" t="str">
            <v>MIBANCO BANCO DE LA MICROEMPRESA - MIBAN1ND</v>
          </cell>
        </row>
        <row r="3955">
          <cell r="B3955" t="str">
            <v>14040906060131</v>
          </cell>
          <cell r="C3955" t="str">
            <v>BANCO AGROPECUARIO - AGROBANCO          1ND</v>
          </cell>
        </row>
        <row r="3956">
          <cell r="B3956" t="str">
            <v>14040906060132</v>
          </cell>
          <cell r="C3956" t="str">
            <v>HSBC BANK PERU S. A.                    1ND</v>
          </cell>
        </row>
        <row r="3957">
          <cell r="B3957" t="str">
            <v>14040906060133</v>
          </cell>
          <cell r="C3957" t="str">
            <v>BANCO FALABELLA DEL PERU                1ND</v>
          </cell>
        </row>
        <row r="3958">
          <cell r="B3958" t="str">
            <v>14040906060134</v>
          </cell>
          <cell r="C3958" t="str">
            <v>BANCO SANTANDER PERU S. A.              1ND</v>
          </cell>
        </row>
        <row r="3959">
          <cell r="B3959" t="str">
            <v>14040906060135</v>
          </cell>
          <cell r="C3959" t="str">
            <v>BANCO RIPLEY S. A.                      1ND</v>
          </cell>
        </row>
        <row r="3960">
          <cell r="B3960" t="str">
            <v>14040906060136</v>
          </cell>
          <cell r="C3960" t="str">
            <v>BANCO AZTECA DEL PERU S. A.             1ND</v>
          </cell>
        </row>
        <row r="3961">
          <cell r="B3961" t="str">
            <v>14040906060137</v>
          </cell>
          <cell r="C3961" t="str">
            <v>DEUTSCHE BANK (PERU) S. A.              1ND</v>
          </cell>
        </row>
        <row r="3962">
          <cell r="B3962" t="str">
            <v>14040906060199</v>
          </cell>
          <cell r="C3962" t="str">
            <v>BANCOS EN LIQUIDACIÃ“N                  1ND</v>
          </cell>
        </row>
        <row r="3963">
          <cell r="B3963" t="str">
            <v>14040906060203</v>
          </cell>
          <cell r="C3963" t="str">
            <v>SOLUCIÃ“N FINANCIERADE CREDITO DEL PERU 1ND</v>
          </cell>
        </row>
        <row r="3964">
          <cell r="B3964" t="str">
            <v>14040906060207</v>
          </cell>
          <cell r="C3964" t="str">
            <v>FINANCIERA TFC S. A.                    1ND</v>
          </cell>
        </row>
        <row r="3965">
          <cell r="B3965" t="str">
            <v>14040906060209</v>
          </cell>
          <cell r="C3965" t="str">
            <v>FINANCIERA EDYFICAR S. A.               1ND</v>
          </cell>
        </row>
        <row r="3966">
          <cell r="B3966" t="str">
            <v>14040906060210</v>
          </cell>
          <cell r="C3966" t="str">
            <v>CREDISCOTIA FINANCIERA S. A.            1ND</v>
          </cell>
        </row>
        <row r="3967">
          <cell r="B3967" t="str">
            <v>14040906060211</v>
          </cell>
          <cell r="C3967" t="str">
            <v>FINANCIERA CREAR S. A.                  1ND</v>
          </cell>
        </row>
        <row r="3968">
          <cell r="B3968" t="str">
            <v>14040906060212</v>
          </cell>
          <cell r="C3968" t="str">
            <v>FINANCIERA CONFIANZA S. A.              1ND</v>
          </cell>
        </row>
        <row r="3969">
          <cell r="B3969" t="str">
            <v>14040906060213</v>
          </cell>
          <cell r="C3969" t="str">
            <v>FINANCIERA UNIVERSAL S. A.              1ND</v>
          </cell>
        </row>
        <row r="3970">
          <cell r="B3970" t="str">
            <v>14040906060214</v>
          </cell>
          <cell r="C3970" t="str">
            <v>FINANCIERA UNO S. A.                    1ND</v>
          </cell>
        </row>
        <row r="3971">
          <cell r="B3971" t="str">
            <v>14040906060215</v>
          </cell>
          <cell r="C3971" t="str">
            <v>FINANCIERA EFECTIVA S. A.               1ND</v>
          </cell>
        </row>
        <row r="3972">
          <cell r="B3972" t="str">
            <v>14040906060216</v>
          </cell>
          <cell r="C3972" t="str">
            <v>AMERIKA FINANCIERA S. A.                1ND</v>
          </cell>
        </row>
        <row r="3973">
          <cell r="B3973" t="str">
            <v>14040906060299</v>
          </cell>
          <cell r="C3973" t="str">
            <v>FINANCIERAS EN LIQUIDACIÃ“N             1ND</v>
          </cell>
        </row>
        <row r="3974">
          <cell r="B3974" t="str">
            <v>14040906060301</v>
          </cell>
          <cell r="C3974" t="str">
            <v>CAJA MUNICIPAL DE AHORRO YCREDITO DE SUL1ND</v>
          </cell>
        </row>
        <row r="3975">
          <cell r="B3975" t="str">
            <v>14040906060302</v>
          </cell>
          <cell r="C3975" t="str">
            <v>CAJA MUNICIPALDE CREDITO POPULAR DE LIMA1ND</v>
          </cell>
        </row>
        <row r="3976">
          <cell r="B3976" t="str">
            <v>14040906060303</v>
          </cell>
          <cell r="C3976" t="str">
            <v>CAJA MUNICIPAL DE AHORRO YCREDITO DE PIU1ND</v>
          </cell>
        </row>
        <row r="3977">
          <cell r="B3977" t="str">
            <v>14040906060304</v>
          </cell>
          <cell r="C3977" t="str">
            <v>CAJA MUNICIPAL DE AHORRO YCREDITO DE ARE1ND</v>
          </cell>
        </row>
        <row r="3978">
          <cell r="B3978" t="str">
            <v>14040906060305</v>
          </cell>
          <cell r="C3978" t="str">
            <v>CAJA MUNICIPAL DE AHORRO YCREDITO DE HUA1ND</v>
          </cell>
        </row>
        <row r="3979">
          <cell r="B3979" t="str">
            <v>14040906060306</v>
          </cell>
          <cell r="C3979" t="str">
            <v>CAJA MUNICIPAL DE AHORRO YCREDITO CUSCO 1ND</v>
          </cell>
        </row>
        <row r="3980">
          <cell r="B3980" t="str">
            <v>14040906060307</v>
          </cell>
          <cell r="C3980" t="str">
            <v>CAJA MUNICIPAL DE AHORRO YCREDITO DE MAY1ND</v>
          </cell>
        </row>
        <row r="3981">
          <cell r="B3981" t="str">
            <v>14040906060308</v>
          </cell>
          <cell r="C3981" t="str">
            <v>CAJA MUNICIPAL DE AHORRO YCREDITO DE ICA1ND</v>
          </cell>
        </row>
        <row r="3982">
          <cell r="B3982" t="str">
            <v>14040906060309</v>
          </cell>
          <cell r="C3982" t="str">
            <v>CAJA MUNICIPAL DE AHORRO YCREDITO DE PAI1ND</v>
          </cell>
        </row>
        <row r="3983">
          <cell r="B3983" t="str">
            <v>14040906060310</v>
          </cell>
          <cell r="C3983" t="str">
            <v>CAJA MUNICIPAL DE AHORRO YCREDITO DEL SA1ND</v>
          </cell>
        </row>
        <row r="3984">
          <cell r="B3984" t="str">
            <v>14040906060311</v>
          </cell>
          <cell r="C3984" t="str">
            <v>CAJA MUNICIPAL DE AHORRO YCREDITO DE TRU1ND</v>
          </cell>
        </row>
        <row r="3985">
          <cell r="B3985" t="str">
            <v>14040906060312</v>
          </cell>
          <cell r="C3985" t="str">
            <v>CAJA MUNICIPAL DE AHORRO YCREDITO DE TAC1ND</v>
          </cell>
        </row>
        <row r="3986">
          <cell r="B3986" t="str">
            <v>14040906060313</v>
          </cell>
          <cell r="C3986" t="str">
            <v>CAJA MUNICIPAL DE AHORRO YCREDITO DE PIS1ND</v>
          </cell>
        </row>
        <row r="3987">
          <cell r="B3987" t="str">
            <v>14040906060399</v>
          </cell>
          <cell r="C3987" t="str">
            <v>CAJAS MUNICIPALES DE AHORRO YCREDITO EN 1ND</v>
          </cell>
        </row>
        <row r="3988">
          <cell r="B3988" t="str">
            <v>14040906060403</v>
          </cell>
          <cell r="C3988" t="str">
            <v>CAJA RURAL DE AHORRO YCREDITO QUILLABAMB1ND</v>
          </cell>
        </row>
        <row r="3989">
          <cell r="B3989" t="str">
            <v>14040906060405</v>
          </cell>
          <cell r="C3989" t="str">
            <v>CAJA RURAL DE AHORRO YCREDITO LOS LIBERT1ND</v>
          </cell>
        </row>
        <row r="3990">
          <cell r="B3990" t="str">
            <v>14040906060406</v>
          </cell>
          <cell r="C3990" t="str">
            <v>CAJA RURAL DE AHORRO YCREDITO SEÃ‘OR DE 1ND</v>
          </cell>
        </row>
        <row r="3991">
          <cell r="B3991" t="str">
            <v>14040906060407</v>
          </cell>
          <cell r="C3991" t="str">
            <v>CAJA RURAL DE AHORRO YCREDITO CHAVÃN S.1ND</v>
          </cell>
        </row>
        <row r="3992">
          <cell r="B3992" t="str">
            <v>14040906060408</v>
          </cell>
          <cell r="C3992" t="str">
            <v>CAJA RURAL DE AHORRO YCREDITO NUESTRA GE1ND</v>
          </cell>
        </row>
        <row r="3993">
          <cell r="B3993" t="str">
            <v>14040906060409</v>
          </cell>
          <cell r="C3993" t="str">
            <v>CAJA RURAL DE AHORRO YCREDITO CAJAMARCA 1ND</v>
          </cell>
        </row>
        <row r="3994">
          <cell r="B3994" t="str">
            <v>14040906060410</v>
          </cell>
          <cell r="C3994" t="str">
            <v>CAJA RURAL DE AHORRO YCREDITO PROFINANZA1ND</v>
          </cell>
        </row>
        <row r="3995">
          <cell r="B3995" t="str">
            <v>14040906060412</v>
          </cell>
          <cell r="C3995" t="str">
            <v>CAJA RURAL DE AHORRO YCREDITO SIPÃN S. 1ND</v>
          </cell>
        </row>
        <row r="3996">
          <cell r="B3996" t="str">
            <v>14040906060414</v>
          </cell>
          <cell r="C3996" t="str">
            <v>CAJA RURAL DE AHORRO YCREDITO PRYMERA S.1ND</v>
          </cell>
        </row>
        <row r="3997">
          <cell r="B3997" t="str">
            <v>14040906060415</v>
          </cell>
          <cell r="C3997" t="str">
            <v>CAJA RURAL DE AHORRO YCREDITO LOS ANDES 1ND</v>
          </cell>
        </row>
        <row r="3998">
          <cell r="B3998" t="str">
            <v>14040906060499</v>
          </cell>
          <cell r="C3998" t="str">
            <v>CAJAS RURALES DE AHORRO YCREDITO EN LIQU1ND</v>
          </cell>
        </row>
        <row r="3999">
          <cell r="B3999" t="str">
            <v>14040906060503</v>
          </cell>
          <cell r="C3999" t="str">
            <v>PROEMPRESA S. A.                        1ND</v>
          </cell>
        </row>
        <row r="4000">
          <cell r="B4000" t="str">
            <v>14040906060506</v>
          </cell>
          <cell r="C4000" t="str">
            <v>NUEVA VISIÃ“N S. A.                     1ND</v>
          </cell>
        </row>
        <row r="4001">
          <cell r="B4001" t="str">
            <v>14040906060508</v>
          </cell>
          <cell r="C4001" t="str">
            <v>RAIZ S. A.                              1ND</v>
          </cell>
        </row>
        <row r="4002">
          <cell r="B4002" t="str">
            <v>14040906060510</v>
          </cell>
          <cell r="C4002" t="str">
            <v>SOLIDARIDAD S. A.                       1ND</v>
          </cell>
        </row>
        <row r="4003">
          <cell r="B4003" t="str">
            <v>14040906060511</v>
          </cell>
          <cell r="C4003" t="str">
            <v>CREDIVISIÃ“N S. A.                      1ND</v>
          </cell>
        </row>
        <row r="4004">
          <cell r="B4004" t="str">
            <v>14040906060512</v>
          </cell>
          <cell r="C4004" t="str">
            <v>ACCESO CREDITICIO S. A.                 1ND</v>
          </cell>
        </row>
        <row r="4005">
          <cell r="B4005" t="str">
            <v>14040906060514</v>
          </cell>
          <cell r="C4005" t="str">
            <v>ALTERNATIVA S. A.                       1ND</v>
          </cell>
        </row>
        <row r="4006">
          <cell r="B4006" t="str">
            <v>14040906060515</v>
          </cell>
          <cell r="C4006" t="str">
            <v>PRONEGOCIOS S. A.                       1ND</v>
          </cell>
        </row>
        <row r="4007">
          <cell r="B4007" t="str">
            <v>14040906060516</v>
          </cell>
          <cell r="C4007" t="str">
            <v>MICASITA S. A.                          1ND</v>
          </cell>
        </row>
        <row r="4008">
          <cell r="B4008" t="str">
            <v>14040906060517</v>
          </cell>
          <cell r="C4008" t="str">
            <v>CREDIJET DEL PERU S. A.                 1ND</v>
          </cell>
        </row>
        <row r="4009">
          <cell r="B4009" t="str">
            <v>14040906060599</v>
          </cell>
          <cell r="C4009" t="str">
            <v>EDPYMES EN LIQUIDACIÃ“N                 1ND</v>
          </cell>
        </row>
        <row r="4010">
          <cell r="B4010" t="str">
            <v>14040906060710</v>
          </cell>
          <cell r="C4010" t="str">
            <v>LEASING TOTAL S. A.                     1ND</v>
          </cell>
        </row>
        <row r="4011">
          <cell r="B4011" t="str">
            <v>14040906060711</v>
          </cell>
          <cell r="C4011" t="str">
            <v>MITSUI - MASA LEASING S. A.             1ND</v>
          </cell>
        </row>
        <row r="4012">
          <cell r="B4012" t="str">
            <v>14040906060799</v>
          </cell>
          <cell r="C4012" t="str">
            <v>LEASING EN LIQUIDACIÃ“N                 1ND</v>
          </cell>
        </row>
        <row r="4013">
          <cell r="B4013" t="str">
            <v>14040906060801</v>
          </cell>
          <cell r="C4013" t="str">
            <v>FONDO DE GARANTÃA PARA PRSTAMOS A LA PE1ND</v>
          </cell>
        </row>
        <row r="4014">
          <cell r="B4014" t="str">
            <v>14040906061301</v>
          </cell>
          <cell r="C4014" t="str">
            <v>LA FIDUCIARIA S. A.                     1ND</v>
          </cell>
        </row>
        <row r="4015">
          <cell r="B4015" t="str">
            <v>14040906061302</v>
          </cell>
          <cell r="C4015" t="str">
            <v>FIDUCIARIA GBC S. A.                    1ND</v>
          </cell>
        </row>
        <row r="4016">
          <cell r="B4016" t="str">
            <v>14040906061401</v>
          </cell>
          <cell r="C4016" t="str">
            <v>FONDO MIVIVIENDA S. A.                  1ND</v>
          </cell>
        </row>
        <row r="4017">
          <cell r="B4017" t="str">
            <v>14040906061501</v>
          </cell>
          <cell r="C4017" t="str">
            <v>AMRICA FACTORING S. A.                  1ND</v>
          </cell>
        </row>
        <row r="4018">
          <cell r="B4018" t="str">
            <v>14040906061601</v>
          </cell>
          <cell r="C4018" t="str">
            <v>INCASA S. A.                            1ND</v>
          </cell>
        </row>
        <row r="4019">
          <cell r="B4019" t="str">
            <v>14040906061701</v>
          </cell>
          <cell r="C4019" t="str">
            <v>BANCOS DEL EXTERIOR                     1ND</v>
          </cell>
        </row>
        <row r="4020">
          <cell r="B4020" t="str">
            <v>14040906061702</v>
          </cell>
          <cell r="C4020" t="str">
            <v>OTRAS EMPRESAS DEL SISTEMA FINANCIERO DE1ND</v>
          </cell>
        </row>
        <row r="4021">
          <cell r="B4021" t="str">
            <v>14040906070101</v>
          </cell>
          <cell r="C4021" t="str">
            <v>BANCO CENTRAL DE RESERVA DEL PERU       1ND</v>
          </cell>
        </row>
        <row r="4022">
          <cell r="B4022" t="str">
            <v>14040906070102</v>
          </cell>
          <cell r="C4022" t="str">
            <v>BANCO DE LA NACIÃ“N                     1ND</v>
          </cell>
        </row>
        <row r="4023">
          <cell r="B4023" t="str">
            <v>14040906070103</v>
          </cell>
          <cell r="C4023" t="str">
            <v>BANCODE CREDITO DEL PERU                1ND</v>
          </cell>
        </row>
        <row r="4024">
          <cell r="B4024" t="str">
            <v>14040906070104</v>
          </cell>
          <cell r="C4024" t="str">
            <v>BANCO INTERNACIONAL DEL PERU - INTERBANK1ND</v>
          </cell>
        </row>
        <row r="4025">
          <cell r="B4025" t="str">
            <v>14040906070105</v>
          </cell>
          <cell r="C4025" t="str">
            <v>SCOTIABANK PERU S. A. A.                1ND</v>
          </cell>
        </row>
        <row r="4026">
          <cell r="B4026" t="str">
            <v>14040906070106</v>
          </cell>
          <cell r="C4026" t="str">
            <v>BANCO CONTINENTAL                       1ND</v>
          </cell>
        </row>
        <row r="4027">
          <cell r="B4027" t="str">
            <v>14040906070108</v>
          </cell>
          <cell r="C4027" t="str">
            <v>BANCO DE COMERCIO                       1ND</v>
          </cell>
        </row>
        <row r="4028">
          <cell r="B4028" t="str">
            <v>14040906070109</v>
          </cell>
          <cell r="C4028" t="str">
            <v>BANCO FINANCIERO DEL PERU               1ND</v>
          </cell>
        </row>
        <row r="4029">
          <cell r="B4029" t="str">
            <v>14040906070116</v>
          </cell>
          <cell r="C4029" t="str">
            <v>CITIBANK N. A.   SUCURSAL EN EL PERU DEL1ND</v>
          </cell>
        </row>
        <row r="4030">
          <cell r="B4030" t="str">
            <v>14040906070121</v>
          </cell>
          <cell r="C4030" t="str">
            <v>BANCO INTERAMERICANO DE FINANZAS - S. A.1ND</v>
          </cell>
        </row>
        <row r="4031">
          <cell r="B4031" t="str">
            <v>14040906070128</v>
          </cell>
          <cell r="C4031" t="str">
            <v>CORPORACIÃ“N FINANCIERA DE DESARROLLO S.1ND</v>
          </cell>
        </row>
        <row r="4032">
          <cell r="B4032" t="str">
            <v>14040906070129</v>
          </cell>
          <cell r="C4032" t="str">
            <v>MIBANCO BANCO DE LA MICROEMPRESA - MIBAN1ND</v>
          </cell>
        </row>
        <row r="4033">
          <cell r="B4033" t="str">
            <v>14040906070131</v>
          </cell>
          <cell r="C4033" t="str">
            <v>BANCO AGROPECUARIO - AGROBANCO          1ND</v>
          </cell>
        </row>
        <row r="4034">
          <cell r="B4034" t="str">
            <v>14040906070132</v>
          </cell>
          <cell r="C4034" t="str">
            <v>HSBC BANK PERU S. A.                    1ND</v>
          </cell>
        </row>
        <row r="4035">
          <cell r="B4035" t="str">
            <v>14040906070133</v>
          </cell>
          <cell r="C4035" t="str">
            <v>BANCO FALABELLA DEL PERU                1ND</v>
          </cell>
        </row>
        <row r="4036">
          <cell r="B4036" t="str">
            <v>14040906070134</v>
          </cell>
          <cell r="C4036" t="str">
            <v>BANCO SANTANDER PERU S. A.              1ND</v>
          </cell>
        </row>
        <row r="4037">
          <cell r="B4037" t="str">
            <v>14040906070135</v>
          </cell>
          <cell r="C4037" t="str">
            <v>BANCO RIPLEY S. A.                      1ND</v>
          </cell>
        </row>
        <row r="4038">
          <cell r="B4038" t="str">
            <v>14040906070136</v>
          </cell>
          <cell r="C4038" t="str">
            <v>BANCO AZTECA DEL PERU S. A.             1ND</v>
          </cell>
        </row>
        <row r="4039">
          <cell r="B4039" t="str">
            <v>14040906070137</v>
          </cell>
          <cell r="C4039" t="str">
            <v>DEUTSCHE BANK (PERU) S. A.              1ND</v>
          </cell>
        </row>
        <row r="4040">
          <cell r="B4040" t="str">
            <v>14040906070199</v>
          </cell>
          <cell r="C4040" t="str">
            <v>BANCOS EN LIQUIDACIÃ“N                  1ND</v>
          </cell>
        </row>
        <row r="4041">
          <cell r="B4041" t="str">
            <v>14040906070203</v>
          </cell>
          <cell r="C4041" t="str">
            <v>SOLUCIÃ“N FINANCIERADE CREDITO DEL PERU 1ND</v>
          </cell>
        </row>
        <row r="4042">
          <cell r="B4042" t="str">
            <v>14040906070207</v>
          </cell>
          <cell r="C4042" t="str">
            <v>FINANCIERA TFC S. A.                    1ND</v>
          </cell>
        </row>
        <row r="4043">
          <cell r="B4043" t="str">
            <v>14040906070209</v>
          </cell>
          <cell r="C4043" t="str">
            <v>FINANCIERA EDYFICAR S. A.               1ND</v>
          </cell>
        </row>
        <row r="4044">
          <cell r="B4044" t="str">
            <v>14040906070210</v>
          </cell>
          <cell r="C4044" t="str">
            <v>CREDISCOTIA FINANCIERA S. A.            1ND</v>
          </cell>
        </row>
        <row r="4045">
          <cell r="B4045" t="str">
            <v>14040906070211</v>
          </cell>
          <cell r="C4045" t="str">
            <v>FINANCIERA CREAR S. A.                  1ND</v>
          </cell>
        </row>
        <row r="4046">
          <cell r="B4046" t="str">
            <v>14040906070212</v>
          </cell>
          <cell r="C4046" t="str">
            <v>FINANCIERA CONFIANZA S. A.              1ND</v>
          </cell>
        </row>
        <row r="4047">
          <cell r="B4047" t="str">
            <v>14040906070213</v>
          </cell>
          <cell r="C4047" t="str">
            <v>FINANCIERA UNIVERSAL S. A.              1ND</v>
          </cell>
        </row>
        <row r="4048">
          <cell r="B4048" t="str">
            <v>14040906070214</v>
          </cell>
          <cell r="C4048" t="str">
            <v>FINANCIERA UNO S. A.                    1ND</v>
          </cell>
        </row>
        <row r="4049">
          <cell r="B4049" t="str">
            <v>14040906070215</v>
          </cell>
          <cell r="C4049" t="str">
            <v>FINANCIERA EFECTIVA S. A.               1ND</v>
          </cell>
        </row>
        <row r="4050">
          <cell r="B4050" t="str">
            <v>14040906070216</v>
          </cell>
          <cell r="C4050" t="str">
            <v>AMERIKA FINANCIERA S. A.                1ND</v>
          </cell>
        </row>
        <row r="4051">
          <cell r="B4051" t="str">
            <v>14040906070299</v>
          </cell>
          <cell r="C4051" t="str">
            <v>FINANCIERAS EN LIQUIDACIÃ“N             1ND</v>
          </cell>
        </row>
        <row r="4052">
          <cell r="B4052" t="str">
            <v>14040906070301</v>
          </cell>
          <cell r="C4052" t="str">
            <v>CAJA MUNICIPAL DE AHORRO YCREDITO DE SUL1ND</v>
          </cell>
        </row>
        <row r="4053">
          <cell r="B4053" t="str">
            <v>14040906070302</v>
          </cell>
          <cell r="C4053" t="str">
            <v>CAJA MUNICIPALDE CREDITO POPULAR DE LIMA1ND</v>
          </cell>
        </row>
        <row r="4054">
          <cell r="B4054" t="str">
            <v>14040906070303</v>
          </cell>
          <cell r="C4054" t="str">
            <v>CAJA MUNICIPAL DE AHORRO YCREDITO DE PIU1ND</v>
          </cell>
        </row>
        <row r="4055">
          <cell r="B4055" t="str">
            <v>14040906070304</v>
          </cell>
          <cell r="C4055" t="str">
            <v>CAJA MUNICIPAL DE AHORRO YCREDITO DE ARE1ND</v>
          </cell>
        </row>
        <row r="4056">
          <cell r="B4056" t="str">
            <v>14040906070305</v>
          </cell>
          <cell r="C4056" t="str">
            <v>CAJA MUNICIPAL DE AHORRO YCREDITO DE HUA1ND</v>
          </cell>
        </row>
        <row r="4057">
          <cell r="B4057" t="str">
            <v>14040906070306</v>
          </cell>
          <cell r="C4057" t="str">
            <v>CAJA MUNICIPAL DE AHORRO YCREDITO CUSCO 1ND</v>
          </cell>
        </row>
        <row r="4058">
          <cell r="B4058" t="str">
            <v>14040906070307</v>
          </cell>
          <cell r="C4058" t="str">
            <v>CAJA MUNICIPAL DE AHORRO YCREDITO DE MAY1ND</v>
          </cell>
        </row>
        <row r="4059">
          <cell r="B4059" t="str">
            <v>14040906070308</v>
          </cell>
          <cell r="C4059" t="str">
            <v>CAJA MUNICIPAL DE AHORRO YCREDITO DE ICA1ND</v>
          </cell>
        </row>
        <row r="4060">
          <cell r="B4060" t="str">
            <v>14040906070309</v>
          </cell>
          <cell r="C4060" t="str">
            <v>CAJA MUNICIPAL DE AHORRO YCREDITO DE PAI1ND</v>
          </cell>
        </row>
        <row r="4061">
          <cell r="B4061" t="str">
            <v>14040906070310</v>
          </cell>
          <cell r="C4061" t="str">
            <v>CAJA MUNICIPAL DE AHORRO YCREDITO DEL SA1ND</v>
          </cell>
        </row>
        <row r="4062">
          <cell r="B4062" t="str">
            <v>14040906070311</v>
          </cell>
          <cell r="C4062" t="str">
            <v>CAJA MUNICIPAL DE AHORRO YCREDITO DE TRU1ND</v>
          </cell>
        </row>
        <row r="4063">
          <cell r="B4063" t="str">
            <v>14040906070312</v>
          </cell>
          <cell r="C4063" t="str">
            <v>CAJA MUNICIPAL DE AHORRO YCREDITO DE TAC1ND</v>
          </cell>
        </row>
        <row r="4064">
          <cell r="B4064" t="str">
            <v>14040906070313</v>
          </cell>
          <cell r="C4064" t="str">
            <v>CAJA MUNICIPAL DE AHORRO YCREDITO DE PIS1ND</v>
          </cell>
        </row>
        <row r="4065">
          <cell r="B4065" t="str">
            <v>14040906070399</v>
          </cell>
          <cell r="C4065" t="str">
            <v>CAJAS MUNICIPALES DE AHORRO YCREDITO EN 1ND</v>
          </cell>
        </row>
        <row r="4066">
          <cell r="B4066" t="str">
            <v>14040906070403</v>
          </cell>
          <cell r="C4066" t="str">
            <v>CAJA RURAL DE AHORRO YCREDITO QUILLABAMB1ND</v>
          </cell>
        </row>
        <row r="4067">
          <cell r="B4067" t="str">
            <v>14040906070405</v>
          </cell>
          <cell r="C4067" t="str">
            <v>CAJA RURAL DE AHORRO YCREDITO LOS LIBERT1ND</v>
          </cell>
        </row>
        <row r="4068">
          <cell r="B4068" t="str">
            <v>14040906070406</v>
          </cell>
          <cell r="C4068" t="str">
            <v>CAJA RURAL DE AHORRO YCREDITO SEÃ‘OR DE 1ND</v>
          </cell>
        </row>
        <row r="4069">
          <cell r="B4069" t="str">
            <v>14040906070407</v>
          </cell>
          <cell r="C4069" t="str">
            <v>CAJA RURAL DE AHORRO YCREDITO CHAVÃN S.1ND</v>
          </cell>
        </row>
        <row r="4070">
          <cell r="B4070" t="str">
            <v>14040906070408</v>
          </cell>
          <cell r="C4070" t="str">
            <v>CAJA RURAL DE AHORRO YCREDITO NUESTRA GE1ND</v>
          </cell>
        </row>
        <row r="4071">
          <cell r="B4071" t="str">
            <v>14040906070409</v>
          </cell>
          <cell r="C4071" t="str">
            <v>CAJA RURAL DE AHORRO YCREDITO CAJAMARCA 1ND</v>
          </cell>
        </row>
        <row r="4072">
          <cell r="B4072" t="str">
            <v>14040906070410</v>
          </cell>
          <cell r="C4072" t="str">
            <v>CAJA RURAL DE AHORRO YCREDITO PROFINANZA1ND</v>
          </cell>
        </row>
        <row r="4073">
          <cell r="B4073" t="str">
            <v>14040906070412</v>
          </cell>
          <cell r="C4073" t="str">
            <v>CAJA RURAL DE AHORRO YCREDITO SIPÃN S. 1ND</v>
          </cell>
        </row>
        <row r="4074">
          <cell r="B4074" t="str">
            <v>14040906070414</v>
          </cell>
          <cell r="C4074" t="str">
            <v>CAJA RURAL DE AHORRO YCREDITO PRYMERA S.1ND</v>
          </cell>
        </row>
        <row r="4075">
          <cell r="B4075" t="str">
            <v>14040906070415</v>
          </cell>
          <cell r="C4075" t="str">
            <v>CAJA RURAL DE AHORRO YCREDITO LOS ANDES 1ND</v>
          </cell>
        </row>
        <row r="4076">
          <cell r="B4076" t="str">
            <v>14040906070499</v>
          </cell>
          <cell r="C4076" t="str">
            <v>CAJAS RURALES DE AHORRO YCREDITO EN LIQU1ND</v>
          </cell>
        </row>
        <row r="4077">
          <cell r="B4077" t="str">
            <v>14040906070503</v>
          </cell>
          <cell r="C4077" t="str">
            <v>PROEMPRESA S. A.                        1ND</v>
          </cell>
        </row>
        <row r="4078">
          <cell r="B4078" t="str">
            <v>14040906070506</v>
          </cell>
          <cell r="C4078" t="str">
            <v>NUEVA VISIÃ“N S. A.                     1ND</v>
          </cell>
        </row>
        <row r="4079">
          <cell r="B4079" t="str">
            <v>14040906070508</v>
          </cell>
          <cell r="C4079" t="str">
            <v>RAIZ S. A.                              1ND</v>
          </cell>
        </row>
        <row r="4080">
          <cell r="B4080" t="str">
            <v>14040906070510</v>
          </cell>
          <cell r="C4080" t="str">
            <v>SOLIDARIDAD S. A.                       1ND</v>
          </cell>
        </row>
        <row r="4081">
          <cell r="B4081" t="str">
            <v>14040906070511</v>
          </cell>
          <cell r="C4081" t="str">
            <v>CREDIVISIÃ“N S. A.                      1ND</v>
          </cell>
        </row>
        <row r="4082">
          <cell r="B4082" t="str">
            <v>14040906070512</v>
          </cell>
          <cell r="C4082" t="str">
            <v>ACCESO CREDITICIO S. A.                 1ND</v>
          </cell>
        </row>
        <row r="4083">
          <cell r="B4083" t="str">
            <v>14040906070514</v>
          </cell>
          <cell r="C4083" t="str">
            <v>ALTERNATIVA S. A.                       1ND</v>
          </cell>
        </row>
        <row r="4084">
          <cell r="B4084" t="str">
            <v>14040906070515</v>
          </cell>
          <cell r="C4084" t="str">
            <v>PRONEGOCIOS S. A.                       1ND</v>
          </cell>
        </row>
        <row r="4085">
          <cell r="B4085" t="str">
            <v>14040906070516</v>
          </cell>
          <cell r="C4085" t="str">
            <v>MICASITA S. A.                          1ND</v>
          </cell>
        </row>
        <row r="4086">
          <cell r="B4086" t="str">
            <v>14040906070517</v>
          </cell>
          <cell r="C4086" t="str">
            <v>CREDIJET DEL PERU S. A.                 1ND</v>
          </cell>
        </row>
        <row r="4087">
          <cell r="B4087" t="str">
            <v>14040906070599</v>
          </cell>
          <cell r="C4087" t="str">
            <v>EDPYMES EN LIQUIDACIÃ“N                 1ND</v>
          </cell>
        </row>
        <row r="4088">
          <cell r="B4088" t="str">
            <v>14040906070710</v>
          </cell>
          <cell r="C4088" t="str">
            <v>LEASING TOTAL S. A.                     1ND</v>
          </cell>
        </row>
        <row r="4089">
          <cell r="B4089" t="str">
            <v>14040906070711</v>
          </cell>
          <cell r="C4089" t="str">
            <v>MITSUI - MASA LEASING S. A.             1ND</v>
          </cell>
        </row>
        <row r="4090">
          <cell r="B4090" t="str">
            <v>14040906070799</v>
          </cell>
          <cell r="C4090" t="str">
            <v>LEASING EN LIQUIDACIÃ“N                 1ND</v>
          </cell>
        </row>
        <row r="4091">
          <cell r="B4091" t="str">
            <v>14040906070801</v>
          </cell>
          <cell r="C4091" t="str">
            <v>FONDO DE GARANTÃA PARA PRSTAMOS A LA PE1ND</v>
          </cell>
        </row>
        <row r="4092">
          <cell r="B4092" t="str">
            <v>14040906071301</v>
          </cell>
          <cell r="C4092" t="str">
            <v>LA FIDUCIARIA S. A.                     1ND</v>
          </cell>
        </row>
        <row r="4093">
          <cell r="B4093" t="str">
            <v>14040906071302</v>
          </cell>
          <cell r="C4093" t="str">
            <v>FIDUCIARIA GBC S. A.                    1ND</v>
          </cell>
        </row>
        <row r="4094">
          <cell r="B4094" t="str">
            <v>14040906071401</v>
          </cell>
          <cell r="C4094" t="str">
            <v>FONDO MIVIVIENDA S. A.                  1ND</v>
          </cell>
        </row>
        <row r="4095">
          <cell r="B4095" t="str">
            <v>14040906071501</v>
          </cell>
          <cell r="C4095" t="str">
            <v>AMRICA FACTORING S. A.                  1ND</v>
          </cell>
        </row>
        <row r="4096">
          <cell r="B4096" t="str">
            <v>14040906071601</v>
          </cell>
          <cell r="C4096" t="str">
            <v>INCASA S. A.                            1ND</v>
          </cell>
        </row>
        <row r="4097">
          <cell r="B4097" t="str">
            <v>14040906071701</v>
          </cell>
          <cell r="C4097" t="str">
            <v>BANCOS DEL EXTERIOR                     1ND</v>
          </cell>
        </row>
        <row r="4098">
          <cell r="B4098" t="str">
            <v>14040906071702</v>
          </cell>
          <cell r="C4098" t="str">
            <v>OTRAS EMPRESAS DEL SISTEMA FINANCIERO DE1ND</v>
          </cell>
        </row>
        <row r="4099">
          <cell r="B4099" t="str">
            <v>14040918010101</v>
          </cell>
          <cell r="C4099" t="str">
            <v>BANCO CENTRAL DE RESERVA DEL PERU       1ND</v>
          </cell>
        </row>
        <row r="4100">
          <cell r="B4100" t="str">
            <v>14040918010102</v>
          </cell>
          <cell r="C4100" t="str">
            <v>BANCO DE LA NACIÃ“N                     1ND</v>
          </cell>
        </row>
        <row r="4101">
          <cell r="B4101" t="str">
            <v>14040918010103</v>
          </cell>
          <cell r="C4101" t="str">
            <v>BANCODE CREDITO DEL PERU                1ND</v>
          </cell>
        </row>
        <row r="4102">
          <cell r="B4102" t="str">
            <v>14040918010104</v>
          </cell>
          <cell r="C4102" t="str">
            <v>BANCO INTERNACIONAL DEL PERU - INTERBANK1ND</v>
          </cell>
        </row>
        <row r="4103">
          <cell r="B4103" t="str">
            <v>14040918010105</v>
          </cell>
          <cell r="C4103" t="str">
            <v>SCOTIABANK PERU S. A. A.                1ND</v>
          </cell>
        </row>
        <row r="4104">
          <cell r="B4104" t="str">
            <v>14040918010106</v>
          </cell>
          <cell r="C4104" t="str">
            <v>BANCO CONTINENTAL                       1ND</v>
          </cell>
        </row>
        <row r="4105">
          <cell r="B4105" t="str">
            <v>14040918010108</v>
          </cell>
          <cell r="C4105" t="str">
            <v>BANCO DE COMERCIO                       1ND</v>
          </cell>
        </row>
        <row r="4106">
          <cell r="B4106" t="str">
            <v>14040918010109</v>
          </cell>
          <cell r="C4106" t="str">
            <v>BANCO FINANCIERO DEL PERU               1ND</v>
          </cell>
        </row>
        <row r="4107">
          <cell r="B4107" t="str">
            <v>14040918010116</v>
          </cell>
          <cell r="C4107" t="str">
            <v>CITIBANK N. A.   SUCURSAL EN EL PERU DEL1ND</v>
          </cell>
        </row>
        <row r="4108">
          <cell r="B4108" t="str">
            <v>14040918010121</v>
          </cell>
          <cell r="C4108" t="str">
            <v>BANCO INTERAMERICANO DE FINANZAS - S. A.1ND</v>
          </cell>
        </row>
        <row r="4109">
          <cell r="B4109" t="str">
            <v>14040918010128</v>
          </cell>
          <cell r="C4109" t="str">
            <v>CORPORACIÃ“N FINANCIERA DE DESARROLLO S.1ND</v>
          </cell>
        </row>
        <row r="4110">
          <cell r="B4110" t="str">
            <v>14040918010129</v>
          </cell>
          <cell r="C4110" t="str">
            <v>MIBANCO BANCO DE LA MICROEMPRESA - MIBAN1ND</v>
          </cell>
        </row>
        <row r="4111">
          <cell r="B4111" t="str">
            <v>14040918010131</v>
          </cell>
          <cell r="C4111" t="str">
            <v>BANCO AGROPECUARIO - AGROBANCO          1ND</v>
          </cell>
        </row>
        <row r="4112">
          <cell r="B4112" t="str">
            <v>14040918010132</v>
          </cell>
          <cell r="C4112" t="str">
            <v>HSBC BANK PERU S. A.                    1ND</v>
          </cell>
        </row>
        <row r="4113">
          <cell r="B4113" t="str">
            <v>14040918010133</v>
          </cell>
          <cell r="C4113" t="str">
            <v>BANCO FALABELLA DEL PERU                1ND</v>
          </cell>
        </row>
        <row r="4114">
          <cell r="B4114" t="str">
            <v>14040918010134</v>
          </cell>
          <cell r="C4114" t="str">
            <v>BANCO SANTANDER PERU S. A.              1ND</v>
          </cell>
        </row>
        <row r="4115">
          <cell r="B4115" t="str">
            <v>14040918010135</v>
          </cell>
          <cell r="C4115" t="str">
            <v>BANCO RIPLEY S. A.                      1ND</v>
          </cell>
        </row>
        <row r="4116">
          <cell r="B4116" t="str">
            <v>14040918010136</v>
          </cell>
          <cell r="C4116" t="str">
            <v>BANCO AZTECA DEL PERU S. A.             1ND</v>
          </cell>
        </row>
        <row r="4117">
          <cell r="B4117" t="str">
            <v>14040918010137</v>
          </cell>
          <cell r="C4117" t="str">
            <v>DEUTSCHE BANK (PERU) S. A.              1ND</v>
          </cell>
        </row>
        <row r="4118">
          <cell r="B4118" t="str">
            <v>14040918010199</v>
          </cell>
          <cell r="C4118" t="str">
            <v>BANCOS EN LIQUIDACIÃ“N                  1ND</v>
          </cell>
        </row>
        <row r="4119">
          <cell r="B4119" t="str">
            <v>14040918010203</v>
          </cell>
          <cell r="C4119" t="str">
            <v>SOLUCIÃ“N FINANCIERADE CREDITO DEL PERU 1ND</v>
          </cell>
        </row>
        <row r="4120">
          <cell r="B4120" t="str">
            <v>14040918010207</v>
          </cell>
          <cell r="C4120" t="str">
            <v>FINANCIERA TFC S. A.                    1ND</v>
          </cell>
        </row>
        <row r="4121">
          <cell r="B4121" t="str">
            <v>14040918010209</v>
          </cell>
          <cell r="C4121" t="str">
            <v>FINANCIERA EDYFICAR S. A.               1ND</v>
          </cell>
        </row>
        <row r="4122">
          <cell r="B4122" t="str">
            <v>14040918010210</v>
          </cell>
          <cell r="C4122" t="str">
            <v>CREDISCOTIA FINANCIERA S. A.            1ND</v>
          </cell>
        </row>
        <row r="4123">
          <cell r="B4123" t="str">
            <v>14040918010211</v>
          </cell>
          <cell r="C4123" t="str">
            <v>FINANCIERA CREAR S. A.                  1ND</v>
          </cell>
        </row>
        <row r="4124">
          <cell r="B4124" t="str">
            <v>14040918010212</v>
          </cell>
          <cell r="C4124" t="str">
            <v>FINANCIERA CONFIANZA S. A.              1ND</v>
          </cell>
        </row>
        <row r="4125">
          <cell r="B4125" t="str">
            <v>14040918010213</v>
          </cell>
          <cell r="C4125" t="str">
            <v>FINANCIERA UNIVERSAL S. A.              1ND</v>
          </cell>
        </row>
        <row r="4126">
          <cell r="B4126" t="str">
            <v>14040918010214</v>
          </cell>
          <cell r="C4126" t="str">
            <v>FINANCIERA UNO S. A.                    1ND</v>
          </cell>
        </row>
        <row r="4127">
          <cell r="B4127" t="str">
            <v>14040918010215</v>
          </cell>
          <cell r="C4127" t="str">
            <v>FINANCIERA EFECTIVA S. A.               1ND</v>
          </cell>
        </row>
        <row r="4128">
          <cell r="B4128" t="str">
            <v>14040918010216</v>
          </cell>
          <cell r="C4128" t="str">
            <v>AMERIKA FINANCIERA S. A.                1ND</v>
          </cell>
        </row>
        <row r="4129">
          <cell r="B4129" t="str">
            <v>14040918010299</v>
          </cell>
          <cell r="C4129" t="str">
            <v>FINANCIERAS EN LIQUIDACIÃ“N             1ND</v>
          </cell>
        </row>
        <row r="4130">
          <cell r="B4130" t="str">
            <v>14040918010301</v>
          </cell>
          <cell r="C4130" t="str">
            <v>CAJA MUNICIPAL DE AHORRO YCREDITO DE SUL1ND</v>
          </cell>
        </row>
        <row r="4131">
          <cell r="B4131" t="str">
            <v>14040918010302</v>
          </cell>
          <cell r="C4131" t="str">
            <v>CAJA MUNICIPALDE CREDITO POPULAR DE LIMA1ND</v>
          </cell>
        </row>
        <row r="4132">
          <cell r="B4132" t="str">
            <v>14040918010303</v>
          </cell>
          <cell r="C4132" t="str">
            <v>CAJA MUNICIPAL DE AHORRO YCREDITO DE PIU1ND</v>
          </cell>
        </row>
        <row r="4133">
          <cell r="B4133" t="str">
            <v>14040918010304</v>
          </cell>
          <cell r="C4133" t="str">
            <v>CAJA MUNICIPAL DE AHORRO YCREDITO DE ARE1ND</v>
          </cell>
        </row>
        <row r="4134">
          <cell r="B4134" t="str">
            <v>14040918010305</v>
          </cell>
          <cell r="C4134" t="str">
            <v>CAJA MUNICIPAL DE AHORRO YCREDITO DE HUA1ND</v>
          </cell>
        </row>
        <row r="4135">
          <cell r="B4135" t="str">
            <v>14040918010306</v>
          </cell>
          <cell r="C4135" t="str">
            <v>CAJA MUNICIPAL DE AHORRO YCREDITO CUSCO 1ND</v>
          </cell>
        </row>
        <row r="4136">
          <cell r="B4136" t="str">
            <v>14040918010307</v>
          </cell>
          <cell r="C4136" t="str">
            <v>CAJA MUNICIPAL DE AHORRO YCREDITO DE MAY1ND</v>
          </cell>
        </row>
        <row r="4137">
          <cell r="B4137" t="str">
            <v>14040918010308</v>
          </cell>
          <cell r="C4137" t="str">
            <v>CAJA MUNICIPAL DE AHORRO YCREDITO DE ICA1ND</v>
          </cell>
        </row>
        <row r="4138">
          <cell r="B4138" t="str">
            <v>14040918010309</v>
          </cell>
          <cell r="C4138" t="str">
            <v>CAJA MUNICIPAL DE AHORRO YCREDITO DE PAI1ND</v>
          </cell>
        </row>
        <row r="4139">
          <cell r="B4139" t="str">
            <v>14040918010310</v>
          </cell>
          <cell r="C4139" t="str">
            <v>CAJA MUNICIPAL DE AHORRO YCREDITO DEL SA1ND</v>
          </cell>
        </row>
        <row r="4140">
          <cell r="B4140" t="str">
            <v>14040918010311</v>
          </cell>
          <cell r="C4140" t="str">
            <v>CAJA MUNICIPAL DE AHORRO YCREDITO DE TRU1ND</v>
          </cell>
        </row>
        <row r="4141">
          <cell r="B4141" t="str">
            <v>14040918010312</v>
          </cell>
          <cell r="C4141" t="str">
            <v>CAJA MUNICIPAL DE AHORRO YCREDITO DE TAC1ND</v>
          </cell>
        </row>
        <row r="4142">
          <cell r="B4142" t="str">
            <v>14040918010313</v>
          </cell>
          <cell r="C4142" t="str">
            <v>CAJA MUNICIPAL DE AHORRO YCREDITO DE PIS1ND</v>
          </cell>
        </row>
        <row r="4143">
          <cell r="B4143" t="str">
            <v>14040918010399</v>
          </cell>
          <cell r="C4143" t="str">
            <v>CAJAS MUNICIPALES DE AHORRO YCREDITO EN 1ND</v>
          </cell>
        </row>
        <row r="4144">
          <cell r="B4144" t="str">
            <v>14040918010403</v>
          </cell>
          <cell r="C4144" t="str">
            <v>CAJA RURAL DE AHORRO YCREDITO QUILLABAMB1ND</v>
          </cell>
        </row>
        <row r="4145">
          <cell r="B4145" t="str">
            <v>14040918010405</v>
          </cell>
          <cell r="C4145" t="str">
            <v>CAJA RURAL DE AHORRO YCREDITO LOS LIBERT1ND</v>
          </cell>
        </row>
        <row r="4146">
          <cell r="B4146" t="str">
            <v>14040918010406</v>
          </cell>
          <cell r="C4146" t="str">
            <v>CAJA RURAL DE AHORRO YCREDITO SEÃ‘OR DE 1ND</v>
          </cell>
        </row>
        <row r="4147">
          <cell r="B4147" t="str">
            <v>14040918010407</v>
          </cell>
          <cell r="C4147" t="str">
            <v>CAJA RURAL DE AHORRO YCREDITO CHAVÃN S.1ND</v>
          </cell>
        </row>
        <row r="4148">
          <cell r="B4148" t="str">
            <v>14040918010408</v>
          </cell>
          <cell r="C4148" t="str">
            <v>CAJA RURAL DE AHORRO YCREDITO NUESTRA GE1ND</v>
          </cell>
        </row>
        <row r="4149">
          <cell r="B4149" t="str">
            <v>14040918010409</v>
          </cell>
          <cell r="C4149" t="str">
            <v>CAJA RURAL DE AHORRO YCREDITO CAJAMARCA 1ND</v>
          </cell>
        </row>
        <row r="4150">
          <cell r="B4150" t="str">
            <v>14040918010410</v>
          </cell>
          <cell r="C4150" t="str">
            <v>CAJA RURAL DE AHORRO YCREDITO PROFINANZA1ND</v>
          </cell>
        </row>
        <row r="4151">
          <cell r="B4151" t="str">
            <v>14040918010412</v>
          </cell>
          <cell r="C4151" t="str">
            <v>CAJA RURAL DE AHORRO YCREDITO SIPÃN S. 1ND</v>
          </cell>
        </row>
        <row r="4152">
          <cell r="B4152" t="str">
            <v>14040918010414</v>
          </cell>
          <cell r="C4152" t="str">
            <v>CAJA RURAL DE AHORRO YCREDITO PRYMERA S.1ND</v>
          </cell>
        </row>
        <row r="4153">
          <cell r="B4153" t="str">
            <v>14040918010415</v>
          </cell>
          <cell r="C4153" t="str">
            <v>CAJA RURAL DE AHORRO YCREDITO LOS ANDES 1ND</v>
          </cell>
        </row>
        <row r="4154">
          <cell r="B4154" t="str">
            <v>14040918010499</v>
          </cell>
          <cell r="C4154" t="str">
            <v>CAJAS RURALES DE AHORRO YCREDITO EN LIQU1ND</v>
          </cell>
        </row>
        <row r="4155">
          <cell r="B4155" t="str">
            <v>14040918010503</v>
          </cell>
          <cell r="C4155" t="str">
            <v>PROEMPRESA S. A.                        1ND</v>
          </cell>
        </row>
        <row r="4156">
          <cell r="B4156" t="str">
            <v>14040918010506</v>
          </cell>
          <cell r="C4156" t="str">
            <v>NUEVA VISIÃ“N S. A.                     1ND</v>
          </cell>
        </row>
        <row r="4157">
          <cell r="B4157" t="str">
            <v>14040918010508</v>
          </cell>
          <cell r="C4157" t="str">
            <v>RAIZ S. A.                              1ND</v>
          </cell>
        </row>
        <row r="4158">
          <cell r="B4158" t="str">
            <v>14040918010510</v>
          </cell>
          <cell r="C4158" t="str">
            <v>SOLIDARIDAD S. A.                       1ND</v>
          </cell>
        </row>
        <row r="4159">
          <cell r="B4159" t="str">
            <v>14040918010511</v>
          </cell>
          <cell r="C4159" t="str">
            <v>CREDIVISIÃ“N S. A.                      1ND</v>
          </cell>
        </row>
        <row r="4160">
          <cell r="B4160" t="str">
            <v>14040918010512</v>
          </cell>
          <cell r="C4160" t="str">
            <v>ACCESO CREDITICIO S. A.                 1ND</v>
          </cell>
        </row>
        <row r="4161">
          <cell r="B4161" t="str">
            <v>14040918010514</v>
          </cell>
          <cell r="C4161" t="str">
            <v>ALTERNATIVA S. A.                       1ND</v>
          </cell>
        </row>
        <row r="4162">
          <cell r="B4162" t="str">
            <v>14040918010515</v>
          </cell>
          <cell r="C4162" t="str">
            <v>PRONEGOCIOS S. A.                       1ND</v>
          </cell>
        </row>
        <row r="4163">
          <cell r="B4163" t="str">
            <v>14040918010516</v>
          </cell>
          <cell r="C4163" t="str">
            <v>MICASITA S. A.                          1ND</v>
          </cell>
        </row>
        <row r="4164">
          <cell r="B4164" t="str">
            <v>14040918010517</v>
          </cell>
          <cell r="C4164" t="str">
            <v>CREDIJET DEL PERU S. A.                 1ND</v>
          </cell>
        </row>
        <row r="4165">
          <cell r="B4165" t="str">
            <v>14040918010599</v>
          </cell>
          <cell r="C4165" t="str">
            <v>EDPYMES EN LIQUIDACIÃ“N                 1ND</v>
          </cell>
        </row>
        <row r="4166">
          <cell r="B4166" t="str">
            <v>14040918010710</v>
          </cell>
          <cell r="C4166" t="str">
            <v>LEASING TOTAL S. A.                     1ND</v>
          </cell>
        </row>
        <row r="4167">
          <cell r="B4167" t="str">
            <v>14040918010711</v>
          </cell>
          <cell r="C4167" t="str">
            <v>MITSUI - MASA LEASING S. A.             1ND</v>
          </cell>
        </row>
        <row r="4168">
          <cell r="B4168" t="str">
            <v>14040918010799</v>
          </cell>
          <cell r="C4168" t="str">
            <v>LEASING EN LIQUIDACIÃ“N                 1ND</v>
          </cell>
        </row>
        <row r="4169">
          <cell r="B4169" t="str">
            <v>14040918010801</v>
          </cell>
          <cell r="C4169" t="str">
            <v>FONDO DE GARANTÃA PARA PRSTAMOS A LA PE1ND</v>
          </cell>
        </row>
        <row r="4170">
          <cell r="B4170" t="str">
            <v>14040918011301</v>
          </cell>
          <cell r="C4170" t="str">
            <v>LA FIDUCIARIA S. A.                     1ND</v>
          </cell>
        </row>
        <row r="4171">
          <cell r="B4171" t="str">
            <v>14040918011302</v>
          </cell>
          <cell r="C4171" t="str">
            <v>FIDUCIARIA GBC S. A.                    1ND</v>
          </cell>
        </row>
        <row r="4172">
          <cell r="B4172" t="str">
            <v>14040918011401</v>
          </cell>
          <cell r="C4172" t="str">
            <v>FONDO MIVIVIENDA S. A.                  1ND</v>
          </cell>
        </row>
        <row r="4173">
          <cell r="B4173" t="str">
            <v>14040918011501</v>
          </cell>
          <cell r="C4173" t="str">
            <v>AMRICA FACTORING S. A.                  1ND</v>
          </cell>
        </row>
        <row r="4174">
          <cell r="B4174" t="str">
            <v>14040918011601</v>
          </cell>
          <cell r="C4174" t="str">
            <v>INCASA S. A.                            1ND</v>
          </cell>
        </row>
        <row r="4175">
          <cell r="B4175" t="str">
            <v>14040918011701</v>
          </cell>
          <cell r="C4175" t="str">
            <v>BANCOS DEL EXTERIOR                     1ND</v>
          </cell>
        </row>
        <row r="4176">
          <cell r="B4176" t="str">
            <v>14040918011702</v>
          </cell>
          <cell r="C4176" t="str">
            <v>OTRAS EMPRESAS DEL SISTEMA FINANCIERO DE1ND</v>
          </cell>
        </row>
        <row r="4177">
          <cell r="B4177" t="str">
            <v>14040918020101</v>
          </cell>
          <cell r="C4177" t="str">
            <v>BANCO CENTRAL DE RESERVA DEL PERU       1ND</v>
          </cell>
        </row>
        <row r="4178">
          <cell r="B4178" t="str">
            <v>14040918020102</v>
          </cell>
          <cell r="C4178" t="str">
            <v>BANCO DE LA NACIÃ“N                     1ND</v>
          </cell>
        </row>
        <row r="4179">
          <cell r="B4179" t="str">
            <v>14040918020103</v>
          </cell>
          <cell r="C4179" t="str">
            <v>BANCODE CREDITO DEL PERU                1ND</v>
          </cell>
        </row>
        <row r="4180">
          <cell r="B4180" t="str">
            <v>14040918020104</v>
          </cell>
          <cell r="C4180" t="str">
            <v>BANCO INTERNACIONAL DEL PERU - INTERBANK1ND</v>
          </cell>
        </row>
        <row r="4181">
          <cell r="B4181" t="str">
            <v>14040918020105</v>
          </cell>
          <cell r="C4181" t="str">
            <v>SCOTIABANK PERU S. A. A.                1ND</v>
          </cell>
        </row>
        <row r="4182">
          <cell r="B4182" t="str">
            <v>14040918020106</v>
          </cell>
          <cell r="C4182" t="str">
            <v>BANCO CONTINENTAL                       1ND</v>
          </cell>
        </row>
        <row r="4183">
          <cell r="B4183" t="str">
            <v>14040918020108</v>
          </cell>
          <cell r="C4183" t="str">
            <v>BANCO DE COMERCIO                       1ND</v>
          </cell>
        </row>
        <row r="4184">
          <cell r="B4184" t="str">
            <v>14040918020109</v>
          </cell>
          <cell r="C4184" t="str">
            <v>BANCO FINANCIERO DEL PERU               1ND</v>
          </cell>
        </row>
        <row r="4185">
          <cell r="B4185" t="str">
            <v>14040918020116</v>
          </cell>
          <cell r="C4185" t="str">
            <v>CITIBANK N. A.   SUCURSAL EN EL PERU DEL1ND</v>
          </cell>
        </row>
        <row r="4186">
          <cell r="B4186" t="str">
            <v>14040918020121</v>
          </cell>
          <cell r="C4186" t="str">
            <v>BANCO INTERAMERICANO DE FINANZAS - S. A.1ND</v>
          </cell>
        </row>
        <row r="4187">
          <cell r="B4187" t="str">
            <v>14040918020128</v>
          </cell>
          <cell r="C4187" t="str">
            <v>CORPORACIÃ“N FINANCIERA DE DESARROLLO S.1ND</v>
          </cell>
        </row>
        <row r="4188">
          <cell r="B4188" t="str">
            <v>14040918020129</v>
          </cell>
          <cell r="C4188" t="str">
            <v>MIBANCO BANCO DE LA MICROEMPRESA - MIBAN1ND</v>
          </cell>
        </row>
        <row r="4189">
          <cell r="B4189" t="str">
            <v>14040918020131</v>
          </cell>
          <cell r="C4189" t="str">
            <v>BANCO AGROPECUARIO - AGROBANCO          1ND</v>
          </cell>
        </row>
        <row r="4190">
          <cell r="B4190" t="str">
            <v>14040918020132</v>
          </cell>
          <cell r="C4190" t="str">
            <v>HSBC BANK PERU S. A.                    1ND</v>
          </cell>
        </row>
        <row r="4191">
          <cell r="B4191" t="str">
            <v>14040918020133</v>
          </cell>
          <cell r="C4191" t="str">
            <v>BANCO FALABELLA DEL PERU                1ND</v>
          </cell>
        </row>
        <row r="4192">
          <cell r="B4192" t="str">
            <v>14040918020134</v>
          </cell>
          <cell r="C4192" t="str">
            <v>BANCO SANTANDER PERU S. A.              1ND</v>
          </cell>
        </row>
        <row r="4193">
          <cell r="B4193" t="str">
            <v>14040918020135</v>
          </cell>
          <cell r="C4193" t="str">
            <v>BANCO RIPLEY S. A.                      1ND</v>
          </cell>
        </row>
        <row r="4194">
          <cell r="B4194" t="str">
            <v>14040918020136</v>
          </cell>
          <cell r="C4194" t="str">
            <v>BANCO AZTECA DEL PERU S. A.             1ND</v>
          </cell>
        </row>
        <row r="4195">
          <cell r="B4195" t="str">
            <v>14040918020137</v>
          </cell>
          <cell r="C4195" t="str">
            <v>DEUTSCHE BANK (PERU) S. A.              1ND</v>
          </cell>
        </row>
        <row r="4196">
          <cell r="B4196" t="str">
            <v>14040918020199</v>
          </cell>
          <cell r="C4196" t="str">
            <v>BANCOS EN LIQUIDACIÃ“N                  1ND</v>
          </cell>
        </row>
        <row r="4197">
          <cell r="B4197" t="str">
            <v>14040918020203</v>
          </cell>
          <cell r="C4197" t="str">
            <v>SOLUCIÃ“N FINANCIERADE CREDITO DEL PERU 1ND</v>
          </cell>
        </row>
        <row r="4198">
          <cell r="B4198" t="str">
            <v>14040918020207</v>
          </cell>
          <cell r="C4198" t="str">
            <v>FINANCIERA TFC S. A.                    1ND</v>
          </cell>
        </row>
        <row r="4199">
          <cell r="B4199" t="str">
            <v>14040918020209</v>
          </cell>
          <cell r="C4199" t="str">
            <v>FINANCIERA EDYFICAR S. A.               1ND</v>
          </cell>
        </row>
        <row r="4200">
          <cell r="B4200" t="str">
            <v>14040918020210</v>
          </cell>
          <cell r="C4200" t="str">
            <v>CREDISCOTIA FINANCIERA S. A.            1ND</v>
          </cell>
        </row>
        <row r="4201">
          <cell r="B4201" t="str">
            <v>14040918020211</v>
          </cell>
          <cell r="C4201" t="str">
            <v>FINANCIERA CREAR S. A.                  1ND</v>
          </cell>
        </row>
        <row r="4202">
          <cell r="B4202" t="str">
            <v>14040918020212</v>
          </cell>
          <cell r="C4202" t="str">
            <v>FINANCIERA CONFIANZA S. A.              1ND</v>
          </cell>
        </row>
        <row r="4203">
          <cell r="B4203" t="str">
            <v>14040918020213</v>
          </cell>
          <cell r="C4203" t="str">
            <v>FINANCIERA UNIVERSAL S. A.              1ND</v>
          </cell>
        </row>
        <row r="4204">
          <cell r="B4204" t="str">
            <v>14040918020214</v>
          </cell>
          <cell r="C4204" t="str">
            <v>FINANCIERA UNO S. A.                    1ND</v>
          </cell>
        </row>
        <row r="4205">
          <cell r="B4205" t="str">
            <v>14040918020215</v>
          </cell>
          <cell r="C4205" t="str">
            <v>FINANCIERA EFECTIVA S. A.               1ND</v>
          </cell>
        </row>
        <row r="4206">
          <cell r="B4206" t="str">
            <v>14040918020216</v>
          </cell>
          <cell r="C4206" t="str">
            <v>AMERIKA FINANCIERA S. A.                1ND</v>
          </cell>
        </row>
        <row r="4207">
          <cell r="B4207" t="str">
            <v>14040918020299</v>
          </cell>
          <cell r="C4207" t="str">
            <v>FINANCIERAS EN LIQUIDACIÃ“N             1ND</v>
          </cell>
        </row>
        <row r="4208">
          <cell r="B4208" t="str">
            <v>14040918020301</v>
          </cell>
          <cell r="C4208" t="str">
            <v>CAJA MUNICIPAL DE AHORRO YCREDITO DE SUL1ND</v>
          </cell>
        </row>
        <row r="4209">
          <cell r="B4209" t="str">
            <v>14040918020302</v>
          </cell>
          <cell r="C4209" t="str">
            <v>CAJA MUNICIPALDE CREDITO POPULAR DE LIMA1ND</v>
          </cell>
        </row>
        <row r="4210">
          <cell r="B4210" t="str">
            <v>14040918020303</v>
          </cell>
          <cell r="C4210" t="str">
            <v>CAJA MUNICIPAL DE AHORRO YCREDITO DE PIU1ND</v>
          </cell>
        </row>
        <row r="4211">
          <cell r="B4211" t="str">
            <v>14040918020304</v>
          </cell>
          <cell r="C4211" t="str">
            <v>CAJA MUNICIPAL DE AHORRO YCREDITO DE ARE1ND</v>
          </cell>
        </row>
        <row r="4212">
          <cell r="B4212" t="str">
            <v>14040918020305</v>
          </cell>
          <cell r="C4212" t="str">
            <v>CAJA MUNICIPAL DE AHORRO YCREDITO DE HUA1ND</v>
          </cell>
        </row>
        <row r="4213">
          <cell r="B4213" t="str">
            <v>14040918020306</v>
          </cell>
          <cell r="C4213" t="str">
            <v>CAJA MUNICIPAL DE AHORRO YCREDITO CUSCO 1ND</v>
          </cell>
        </row>
        <row r="4214">
          <cell r="B4214" t="str">
            <v>14040918020307</v>
          </cell>
          <cell r="C4214" t="str">
            <v>CAJA MUNICIPAL DE AHORRO YCREDITO DE MAY1ND</v>
          </cell>
        </row>
        <row r="4215">
          <cell r="B4215" t="str">
            <v>14040918020308</v>
          </cell>
          <cell r="C4215" t="str">
            <v>CAJA MUNICIPAL DE AHORRO YCREDITO DE ICA1ND</v>
          </cell>
        </row>
        <row r="4216">
          <cell r="B4216" t="str">
            <v>14040918020309</v>
          </cell>
          <cell r="C4216" t="str">
            <v>CAJA MUNICIPAL DE AHORRO YCREDITO DE PAI1ND</v>
          </cell>
        </row>
        <row r="4217">
          <cell r="B4217" t="str">
            <v>14040918020310</v>
          </cell>
          <cell r="C4217" t="str">
            <v>CAJA MUNICIPAL DE AHORRO YCREDITO DEL SA1ND</v>
          </cell>
        </row>
        <row r="4218">
          <cell r="B4218" t="str">
            <v>14040918020311</v>
          </cell>
          <cell r="C4218" t="str">
            <v>CAJA MUNICIPAL DE AHORRO YCREDITO DE TRU1ND</v>
          </cell>
        </row>
        <row r="4219">
          <cell r="B4219" t="str">
            <v>14040918020312</v>
          </cell>
          <cell r="C4219" t="str">
            <v>CAJA MUNICIPAL DE AHORRO YCREDITO DE TAC1ND</v>
          </cell>
        </row>
        <row r="4220">
          <cell r="B4220" t="str">
            <v>14040918020313</v>
          </cell>
          <cell r="C4220" t="str">
            <v>CAJA MUNICIPAL DE AHORRO YCREDITO DE PIS1ND</v>
          </cell>
        </row>
        <row r="4221">
          <cell r="B4221" t="str">
            <v>14040918020399</v>
          </cell>
          <cell r="C4221" t="str">
            <v>CAJAS MUNICIPALES DE AHORRO YCREDITO EN 1ND</v>
          </cell>
        </row>
        <row r="4222">
          <cell r="B4222" t="str">
            <v>14040918020403</v>
          </cell>
          <cell r="C4222" t="str">
            <v>CAJA RURAL DE AHORRO YCREDITO QUILLABAMB1ND</v>
          </cell>
        </row>
        <row r="4223">
          <cell r="B4223" t="str">
            <v>14040918020405</v>
          </cell>
          <cell r="C4223" t="str">
            <v>CAJA RURAL DE AHORRO YCREDITO LOS LIBERT1ND</v>
          </cell>
        </row>
        <row r="4224">
          <cell r="B4224" t="str">
            <v>14040918020406</v>
          </cell>
          <cell r="C4224" t="str">
            <v>CAJA RURAL DE AHORRO YCREDITO SEÃ‘OR DE 1ND</v>
          </cell>
        </row>
        <row r="4225">
          <cell r="B4225" t="str">
            <v>14040918020407</v>
          </cell>
          <cell r="C4225" t="str">
            <v>CAJA RURAL DE AHORRO YCREDITO CHAVÃN S.1ND</v>
          </cell>
        </row>
        <row r="4226">
          <cell r="B4226" t="str">
            <v>14040918020408</v>
          </cell>
          <cell r="C4226" t="str">
            <v>CAJA RURAL DE AHORRO YCREDITO NUESTRA GE1ND</v>
          </cell>
        </row>
        <row r="4227">
          <cell r="B4227" t="str">
            <v>14040918020409</v>
          </cell>
          <cell r="C4227" t="str">
            <v>CAJA RURAL DE AHORRO YCREDITO CAJAMARCA 1ND</v>
          </cell>
        </row>
        <row r="4228">
          <cell r="B4228" t="str">
            <v>14040918020410</v>
          </cell>
          <cell r="C4228" t="str">
            <v>CAJA RURAL DE AHORRO YCREDITO PROFINANZA1ND</v>
          </cell>
        </row>
        <row r="4229">
          <cell r="B4229" t="str">
            <v>14040918020412</v>
          </cell>
          <cell r="C4229" t="str">
            <v>CAJA RURAL DE AHORRO YCREDITO SIPÃN S. 1ND</v>
          </cell>
        </row>
        <row r="4230">
          <cell r="B4230" t="str">
            <v>14040918020414</v>
          </cell>
          <cell r="C4230" t="str">
            <v>CAJA RURAL DE AHORRO YCREDITO PRYMERA S.1ND</v>
          </cell>
        </row>
        <row r="4231">
          <cell r="B4231" t="str">
            <v>14040918020415</v>
          </cell>
          <cell r="C4231" t="str">
            <v>CAJA RURAL DE AHORRO YCREDITO LOS ANDES 1ND</v>
          </cell>
        </row>
        <row r="4232">
          <cell r="B4232" t="str">
            <v>14040918020499</v>
          </cell>
          <cell r="C4232" t="str">
            <v>CAJAS RURALES DE AHORRO YCREDITO EN LIQU1ND</v>
          </cell>
        </row>
        <row r="4233">
          <cell r="B4233" t="str">
            <v>14040918020503</v>
          </cell>
          <cell r="C4233" t="str">
            <v>PROEMPRESA S. A.                        1ND</v>
          </cell>
        </row>
        <row r="4234">
          <cell r="B4234" t="str">
            <v>14040918020506</v>
          </cell>
          <cell r="C4234" t="str">
            <v>NUEVA VISIÃ“N S. A.                     1ND</v>
          </cell>
        </row>
        <row r="4235">
          <cell r="B4235" t="str">
            <v>14040918020508</v>
          </cell>
          <cell r="C4235" t="str">
            <v>RAIZ S. A.                              1ND</v>
          </cell>
        </row>
        <row r="4236">
          <cell r="B4236" t="str">
            <v>14040918020510</v>
          </cell>
          <cell r="C4236" t="str">
            <v>SOLIDARIDAD S. A.                       1ND</v>
          </cell>
        </row>
        <row r="4237">
          <cell r="B4237" t="str">
            <v>14040918020511</v>
          </cell>
          <cell r="C4237" t="str">
            <v>CREDIVISIÃ“N S. A.                      1ND</v>
          </cell>
        </row>
        <row r="4238">
          <cell r="B4238" t="str">
            <v>14040918020512</v>
          </cell>
          <cell r="C4238" t="str">
            <v>ACCESO CREDITICIO S. A.                 1ND</v>
          </cell>
        </row>
        <row r="4239">
          <cell r="B4239" t="str">
            <v>14040918020514</v>
          </cell>
          <cell r="C4239" t="str">
            <v>ALTERNATIVA S. A.                       1ND</v>
          </cell>
        </row>
        <row r="4240">
          <cell r="B4240" t="str">
            <v>14040918020515</v>
          </cell>
          <cell r="C4240" t="str">
            <v>PRONEGOCIOS S. A.                       1ND</v>
          </cell>
        </row>
        <row r="4241">
          <cell r="B4241" t="str">
            <v>14040918020516</v>
          </cell>
          <cell r="C4241" t="str">
            <v>MICASITA S. A.                          1ND</v>
          </cell>
        </row>
        <row r="4242">
          <cell r="B4242" t="str">
            <v>14040918020517</v>
          </cell>
          <cell r="C4242" t="str">
            <v>CREDIJET DEL PERU S. A.                 1ND</v>
          </cell>
        </row>
        <row r="4243">
          <cell r="B4243" t="str">
            <v>14040918020599</v>
          </cell>
          <cell r="C4243" t="str">
            <v>EDPYMES EN LIQUIDACIÃ“N                 1ND</v>
          </cell>
        </row>
        <row r="4244">
          <cell r="B4244" t="str">
            <v>14040918020710</v>
          </cell>
          <cell r="C4244" t="str">
            <v>LEASING TOTAL S. A.                     1ND</v>
          </cell>
        </row>
        <row r="4245">
          <cell r="B4245" t="str">
            <v>14040918020711</v>
          </cell>
          <cell r="C4245" t="str">
            <v>MITSUI - MASA LEASING S. A.             1ND</v>
          </cell>
        </row>
        <row r="4246">
          <cell r="B4246" t="str">
            <v>14040918020799</v>
          </cell>
          <cell r="C4246" t="str">
            <v>LEASING EN LIQUIDACIÃ“N                 1ND</v>
          </cell>
        </row>
        <row r="4247">
          <cell r="B4247" t="str">
            <v>14040918020801</v>
          </cell>
          <cell r="C4247" t="str">
            <v>FONDO DE GARANTÃA PARA PRSTAMOS A LA PE1ND</v>
          </cell>
        </row>
        <row r="4248">
          <cell r="B4248" t="str">
            <v>14040918021301</v>
          </cell>
          <cell r="C4248" t="str">
            <v>LA FIDUCIARIA S. A.                     1ND</v>
          </cell>
        </row>
        <row r="4249">
          <cell r="B4249" t="str">
            <v>14040918021302</v>
          </cell>
          <cell r="C4249" t="str">
            <v>FIDUCIARIA GBC S. A.                    1ND</v>
          </cell>
        </row>
        <row r="4250">
          <cell r="B4250" t="str">
            <v>14040918021401</v>
          </cell>
          <cell r="C4250" t="str">
            <v>FONDO MIVIVIENDA S. A.                  1ND</v>
          </cell>
        </row>
        <row r="4251">
          <cell r="B4251" t="str">
            <v>14040918021501</v>
          </cell>
          <cell r="C4251" t="str">
            <v>AMRICA FACTORING S. A.                  1ND</v>
          </cell>
        </row>
        <row r="4252">
          <cell r="B4252" t="str">
            <v>14040918021601</v>
          </cell>
          <cell r="C4252" t="str">
            <v>INCASA S. A.                            1ND</v>
          </cell>
        </row>
        <row r="4253">
          <cell r="B4253" t="str">
            <v>14040918021701</v>
          </cell>
          <cell r="C4253" t="str">
            <v>BANCOS DEL EXTERIOR                     1ND</v>
          </cell>
        </row>
        <row r="4254">
          <cell r="B4254" t="str">
            <v>14040918021702</v>
          </cell>
          <cell r="C4254" t="str">
            <v>OTRAS EMPRESAS DEL SISTEMA FINANCIERO DE1ND</v>
          </cell>
        </row>
        <row r="4255">
          <cell r="B4255" t="str">
            <v>14041006010101</v>
          </cell>
          <cell r="C4255" t="str">
            <v>LPC PAG TV REF VIG REVOL CCOR           1ND</v>
          </cell>
        </row>
        <row r="4256">
          <cell r="B4256" t="str">
            <v>14041006010201</v>
          </cell>
          <cell r="C4256" t="str">
            <v>CL PAG.REF.TV REV VIG CCOR              1ND</v>
          </cell>
        </row>
        <row r="4257">
          <cell r="B4257" t="str">
            <v>14041006010202</v>
          </cell>
          <cell r="C4257" t="str">
            <v>LPC PAG REF COVID_19 VIG REV CCOR       1ND</v>
          </cell>
        </row>
        <row r="4258">
          <cell r="B4258" t="str">
            <v>14041006020701</v>
          </cell>
          <cell r="C4258" t="str">
            <v>RCC  PRESTAMOS - CRÃ‰DITOS CORPORATIVOS 1ND</v>
          </cell>
        </row>
        <row r="4259">
          <cell r="B4259" t="str">
            <v>14041006020703</v>
          </cell>
          <cell r="C4259" t="str">
            <v>LPC REFINANCIADO REACTIVA CCOR VIG      1 D</v>
          </cell>
        </row>
        <row r="4260">
          <cell r="B4260" t="str">
            <v>14041006020704</v>
          </cell>
          <cell r="C4260" t="str">
            <v>LPC REFINANCIADO CRECER IBK POST HONR CC1 D</v>
          </cell>
        </row>
        <row r="4261">
          <cell r="B4261" t="str">
            <v>14041006020705</v>
          </cell>
          <cell r="C4261" t="str">
            <v>CCD-BPE REFINANCIADO_CCOR VIG           1 D</v>
          </cell>
        </row>
        <row r="4262">
          <cell r="B4262" t="str">
            <v>14041006020755</v>
          </cell>
          <cell r="C4262" t="str">
            <v>LPC PAG TV REF VIG NO REV CCOR          1 D</v>
          </cell>
        </row>
        <row r="4263">
          <cell r="B4263" t="str">
            <v>14041006090101</v>
          </cell>
          <cell r="C4263" t="str">
            <v>LPC PAG TV REF VIG NO REV CCOR          1ND</v>
          </cell>
        </row>
        <row r="4264">
          <cell r="B4264" t="str">
            <v>14041006090201</v>
          </cell>
          <cell r="C4264" t="str">
            <v>CL P.REFI DEUD.VTA.CARTE CCOR VIG       1ND</v>
          </cell>
        </row>
        <row r="4265">
          <cell r="B4265" t="str">
            <v>14041006090202</v>
          </cell>
          <cell r="C4265" t="str">
            <v>CL PAG.REF.TV NO REV VIG CCOR           1ND</v>
          </cell>
        </row>
        <row r="4266">
          <cell r="B4266" t="str">
            <v>14041006090203</v>
          </cell>
          <cell r="C4266" t="str">
            <v>LPC PAG REF COVID_19 VIG NO REV CCOR    1ND</v>
          </cell>
        </row>
        <row r="4267">
          <cell r="B4267" t="str">
            <v>14041011000101</v>
          </cell>
          <cell r="C4267" t="str">
            <v>LPC REFIN LEAS DEL BIEN RP CCOR         1ND</v>
          </cell>
        </row>
        <row r="4268">
          <cell r="B4268" t="str">
            <v>14041011000102</v>
          </cell>
          <cell r="C4268" t="str">
            <v>LPC REFIN LEAS INT DIFERIDOS RP CCOR    1ND</v>
          </cell>
        </row>
        <row r="4269">
          <cell r="B4269" t="str">
            <v>14041011000103</v>
          </cell>
          <cell r="C4269" t="str">
            <v>LPC REF LEAS SEGUROS RP CCOR            1ND</v>
          </cell>
        </row>
        <row r="4270">
          <cell r="B4270" t="str">
            <v>14041011000104</v>
          </cell>
          <cell r="C4270" t="str">
            <v>LPC REF LEAS SEGUROS INT DIFERIDOS RP CC1ND</v>
          </cell>
        </row>
        <row r="4271">
          <cell r="B4271" t="str">
            <v>14041011000105</v>
          </cell>
          <cell r="C4271" t="str">
            <v>LPC REF LEAS IGV RP CCOR                1ND</v>
          </cell>
        </row>
        <row r="4272">
          <cell r="B4272" t="str">
            <v>14041011000106</v>
          </cell>
          <cell r="C4272" t="str">
            <v>LPC REF LS COFIGAS VIG PRI CCOR         1ND</v>
          </cell>
        </row>
        <row r="4273">
          <cell r="B4273" t="str">
            <v>14041011000107</v>
          </cell>
          <cell r="C4273" t="str">
            <v>LPC REF LS COFIGAS CAP INT DIF VIG PDL C1ND</v>
          </cell>
        </row>
        <row r="4274">
          <cell r="B4274" t="str">
            <v>14041011000108</v>
          </cell>
          <cell r="C4274" t="str">
            <v>LPC REF LS COFIGAS SEG BIEN VIG PDS CCOR1ND</v>
          </cell>
        </row>
        <row r="4275">
          <cell r="B4275" t="str">
            <v>14041011000109</v>
          </cell>
          <cell r="C4275" t="str">
            <v>LPC REF LS COFIGAS PRIMA SEG VIG PSG CCO1ND</v>
          </cell>
        </row>
        <row r="4276">
          <cell r="B4276" t="str">
            <v>14041011000110</v>
          </cell>
          <cell r="C4276" t="str">
            <v>LPC REF LS COFIGAS IGV VIG PIG CCOR     1ND</v>
          </cell>
        </row>
        <row r="4277">
          <cell r="B4277" t="str">
            <v>14041012000101</v>
          </cell>
          <cell r="C4277" t="str">
            <v>LPC LEASEACK INT DIFERIDOS RP CCOR      1ND</v>
          </cell>
        </row>
        <row r="4278">
          <cell r="B4278" t="str">
            <v>14041012000102</v>
          </cell>
          <cell r="C4278" t="str">
            <v>LPC LEAS SEG INT DIF RP REFIN CCOR      1ND</v>
          </cell>
        </row>
        <row r="4279">
          <cell r="B4279" t="str">
            <v>14041012000103</v>
          </cell>
          <cell r="C4279" t="str">
            <v>LPC LEASEBACK SEGUROS  REFIN CCOR       1ND</v>
          </cell>
        </row>
        <row r="4280">
          <cell r="B4280" t="str">
            <v>14041012000104</v>
          </cell>
          <cell r="C4280" t="str">
            <v>LPC LEASEBACK IGV RP REFIN CCOR         1ND</v>
          </cell>
        </row>
        <row r="4281">
          <cell r="B4281" t="str">
            <v>14041012000105</v>
          </cell>
          <cell r="C4281" t="str">
            <v>LPC LEASEBACK  BIEN RP REFIN CCOR       1ND</v>
          </cell>
        </row>
        <row r="4282">
          <cell r="B4282" t="str">
            <v>14041024000103</v>
          </cell>
          <cell r="C4282" t="str">
            <v>CL PAG.REF.RFA SUBOR CCOR VIG           1ND</v>
          </cell>
        </row>
        <row r="4283">
          <cell r="B4283" t="str">
            <v>14041024000104</v>
          </cell>
          <cell r="C4283" t="str">
            <v>CL P.REF.RFA FINANC CCOR VIG            1ND</v>
          </cell>
        </row>
        <row r="4284">
          <cell r="B4284" t="str">
            <v>14041106010101</v>
          </cell>
          <cell r="C4284" t="str">
            <v>LPC PAG TV REF VIG REVOL CGEM           1ND</v>
          </cell>
        </row>
        <row r="4285">
          <cell r="B4285" t="str">
            <v>14041106010202</v>
          </cell>
          <cell r="C4285" t="str">
            <v>CL PAG.REF.TV REV VIG CGEM              1ND</v>
          </cell>
        </row>
        <row r="4286">
          <cell r="B4286" t="str">
            <v>14041106010203</v>
          </cell>
          <cell r="C4286" t="str">
            <v>LPC PAG REF COVID_19 VIG REV CGEM       1ND</v>
          </cell>
        </row>
        <row r="4287">
          <cell r="B4287" t="str">
            <v>14041106020101</v>
          </cell>
          <cell r="C4287" t="str">
            <v>MYP PAG.TV REFIN.C/FIJA VIG CGEM        1ND</v>
          </cell>
        </row>
        <row r="4288">
          <cell r="B4288" t="str">
            <v>14041106020102</v>
          </cell>
          <cell r="C4288" t="str">
            <v>LPC PAG TV REF VIG NO REV CGEM          1ND</v>
          </cell>
        </row>
        <row r="4289">
          <cell r="B4289" t="str">
            <v>14041106020103</v>
          </cell>
          <cell r="C4289" t="str">
            <v>LPC PAG TV REF VIG NO REV CGEM          1ND</v>
          </cell>
        </row>
        <row r="4290">
          <cell r="B4290" t="str">
            <v>14041106020104</v>
          </cell>
          <cell r="C4290" t="str">
            <v>LPC REFINANCIADO REACTIVA CGEM VIG      1 D</v>
          </cell>
        </row>
        <row r="4291">
          <cell r="B4291" t="str">
            <v>14041106020105</v>
          </cell>
          <cell r="C4291" t="str">
            <v>LPC REFINANCIADO CRECER IBK POST HONR CG1ND</v>
          </cell>
        </row>
        <row r="4292">
          <cell r="B4292" t="str">
            <v>14041106020106</v>
          </cell>
          <cell r="C4292" t="str">
            <v>CCD-BPE REFINANCIADO_CGEM VIG           1 D</v>
          </cell>
        </row>
        <row r="4293">
          <cell r="B4293" t="str">
            <v>14041106090101</v>
          </cell>
          <cell r="C4293" t="str">
            <v>LPC PAG TV REF VIG NO REV CGEM          1ND</v>
          </cell>
        </row>
        <row r="4294">
          <cell r="B4294" t="str">
            <v>14041106090204</v>
          </cell>
          <cell r="C4294" t="str">
            <v>CL P.REFI DEUD.VTA.CARTE CGEM VIG       1ND</v>
          </cell>
        </row>
        <row r="4295">
          <cell r="B4295" t="str">
            <v>14041106090205</v>
          </cell>
          <cell r="C4295" t="str">
            <v>CL PAG.REF.TV NO REV VIG CGEM           1ND</v>
          </cell>
        </row>
        <row r="4296">
          <cell r="B4296" t="str">
            <v>14041106090206</v>
          </cell>
          <cell r="C4296" t="str">
            <v>LPC PAG REF COVID_19 VIG NO REV CGEM    1ND</v>
          </cell>
        </row>
        <row r="4297">
          <cell r="B4297" t="str">
            <v>14041111000101</v>
          </cell>
          <cell r="C4297" t="str">
            <v>LPC REFIN LEAS DEL BIEN RP CGEM         1ND</v>
          </cell>
        </row>
        <row r="4298">
          <cell r="B4298" t="str">
            <v>14041111000102</v>
          </cell>
          <cell r="C4298" t="str">
            <v>LPC REFIN LEAS INT DIFERIDOS RP CGEM    1ND</v>
          </cell>
        </row>
        <row r="4299">
          <cell r="B4299" t="str">
            <v>14041111000103</v>
          </cell>
          <cell r="C4299" t="str">
            <v>LPC REF LEAS SEGUROS RP CGEM            1ND</v>
          </cell>
        </row>
        <row r="4300">
          <cell r="B4300" t="str">
            <v>14041111000104</v>
          </cell>
          <cell r="C4300" t="str">
            <v>LPC REF LEAS SEGUROS INT DIFERIDOS RP CG1ND</v>
          </cell>
        </row>
        <row r="4301">
          <cell r="B4301" t="str">
            <v>14041111000105</v>
          </cell>
          <cell r="C4301" t="str">
            <v>LPC REF LEAS IGV RP CGEM                1ND</v>
          </cell>
        </row>
        <row r="4302">
          <cell r="B4302" t="str">
            <v>14041111000106</v>
          </cell>
          <cell r="C4302" t="str">
            <v>LPC REF LS COFIGAS VIG PRI CGEM         1ND</v>
          </cell>
        </row>
        <row r="4303">
          <cell r="B4303" t="str">
            <v>14041111000107</v>
          </cell>
          <cell r="C4303" t="str">
            <v>LPC REF LS COFIGAS CAP INT DIF VIG PDL C1ND</v>
          </cell>
        </row>
        <row r="4304">
          <cell r="B4304" t="str">
            <v>14041111000108</v>
          </cell>
          <cell r="C4304" t="str">
            <v>LPC REF LS COFIGAS SEG BIEN VIG PDS CGEM1ND</v>
          </cell>
        </row>
        <row r="4305">
          <cell r="B4305" t="str">
            <v>14041111000109</v>
          </cell>
          <cell r="C4305" t="str">
            <v>LPC REF LS COFIGAS PRIMA SEG VIG PSG CGE1ND</v>
          </cell>
        </row>
        <row r="4306">
          <cell r="B4306" t="str">
            <v>14041111000110</v>
          </cell>
          <cell r="C4306" t="str">
            <v>LPC REF LS COFIGAS IGV VIG PIG CGEM     1ND</v>
          </cell>
        </row>
        <row r="4307">
          <cell r="B4307" t="str">
            <v>14041111000111</v>
          </cell>
          <cell r="C4307" t="str">
            <v>LPC REFIN LEAS BPE DEL BIEN RP CGEM     1ND</v>
          </cell>
        </row>
        <row r="4308">
          <cell r="B4308" t="str">
            <v>14041111000112</v>
          </cell>
          <cell r="C4308" t="str">
            <v>LPC REFIN LEAS BPE INT DIFERIDOS RP CGEM1ND</v>
          </cell>
        </row>
        <row r="4309">
          <cell r="B4309" t="str">
            <v>14041111000113</v>
          </cell>
          <cell r="C4309" t="str">
            <v>LPC REF LEAS BPE SEGUROS RP CGEM        1ND</v>
          </cell>
        </row>
        <row r="4310">
          <cell r="B4310" t="str">
            <v>14041111000114</v>
          </cell>
          <cell r="C4310" t="str">
            <v>LPC REF LEAS BPE SEGUROS INT DIFERIDOS R1ND</v>
          </cell>
        </row>
        <row r="4311">
          <cell r="B4311" t="str">
            <v>14041111000115</v>
          </cell>
          <cell r="C4311" t="str">
            <v>LPC REF LEAS BPE IGV RP CGEM            1ND</v>
          </cell>
        </row>
        <row r="4312">
          <cell r="B4312" t="str">
            <v>14041112000101</v>
          </cell>
          <cell r="C4312" t="str">
            <v>LPC LEASEACK INT DIFERIDOS RP CGEM      1ND</v>
          </cell>
        </row>
        <row r="4313">
          <cell r="B4313" t="str">
            <v>14041112000102</v>
          </cell>
          <cell r="C4313" t="str">
            <v>LPC LEAS SEG INT DIF RP REFIN CGEM      1ND</v>
          </cell>
        </row>
        <row r="4314">
          <cell r="B4314" t="str">
            <v>14041112000103</v>
          </cell>
          <cell r="C4314" t="str">
            <v>LPC LEASEBACK SEGUROS  REFIN CGEM       1ND</v>
          </cell>
        </row>
        <row r="4315">
          <cell r="B4315" t="str">
            <v>14041112000104</v>
          </cell>
          <cell r="C4315" t="str">
            <v>LPC LEASEBACK IGV RP REFIN CGEM         1ND</v>
          </cell>
        </row>
        <row r="4316">
          <cell r="B4316" t="str">
            <v>14041112000105</v>
          </cell>
          <cell r="C4316" t="str">
            <v>LPC LEASEBACK  BIEN RP REFIN CGEM       1ND</v>
          </cell>
        </row>
        <row r="4317">
          <cell r="B4317" t="str">
            <v>14041112000106</v>
          </cell>
          <cell r="C4317" t="str">
            <v>LPC PDL LSBACK BIEN RP REF.INT DIF.CGEM 1ND</v>
          </cell>
        </row>
        <row r="4318">
          <cell r="B4318" t="str">
            <v>14041112000107</v>
          </cell>
          <cell r="C4318" t="str">
            <v>LPC PDS LSBACK REF SEG.INT.DIF.RP CGEM  1ND</v>
          </cell>
        </row>
        <row r="4319">
          <cell r="B4319" t="str">
            <v>14041124000101</v>
          </cell>
          <cell r="C4319" t="str">
            <v>CL PAG.REF.RFA SUBOR CGEM VIG           1ND</v>
          </cell>
        </row>
        <row r="4320">
          <cell r="B4320" t="str">
            <v>14041124000102</v>
          </cell>
          <cell r="C4320" t="str">
            <v>CL P.REF.RFA FINANC CGEM VIG            1ND</v>
          </cell>
        </row>
        <row r="4321">
          <cell r="B4321" t="str">
            <v>14041202000101</v>
          </cell>
          <cell r="C4321" t="str">
            <v>HPC ME REF TC IB PN COLOCAC. VIGENTE    1ND</v>
          </cell>
        </row>
        <row r="4322">
          <cell r="B4322" t="str">
            <v>14041206010101</v>
          </cell>
          <cell r="C4322" t="str">
            <v>MYP PAG.TV REFIN. REVOL VIG MES CMED    1ND</v>
          </cell>
        </row>
        <row r="4323">
          <cell r="B4323" t="str">
            <v>14041206010102</v>
          </cell>
          <cell r="C4323" t="str">
            <v>MYP REFIN.COBRAN REVOLCMED              1ND</v>
          </cell>
        </row>
        <row r="4324">
          <cell r="B4324" t="str">
            <v>14041206010201</v>
          </cell>
          <cell r="C4324" t="str">
            <v>LPC PAG TV REF VIG REVOL CMED           1ND</v>
          </cell>
        </row>
        <row r="4325">
          <cell r="B4325" t="str">
            <v>14041206010301</v>
          </cell>
          <cell r="C4325" t="str">
            <v>CL PAG.REF.TV REV VIG CMED              1ND</v>
          </cell>
        </row>
        <row r="4326">
          <cell r="B4326" t="str">
            <v>14041206010302</v>
          </cell>
          <cell r="C4326" t="str">
            <v>LPC PAG REF COVID_19 VIG REV CMED       1ND</v>
          </cell>
        </row>
        <row r="4327">
          <cell r="B4327" t="str">
            <v>14041206020101</v>
          </cell>
          <cell r="C4327" t="str">
            <v>MYP PAG.TV REFIN.C/FIJA VIG CMED        1ND</v>
          </cell>
        </row>
        <row r="4328">
          <cell r="B4328" t="str">
            <v>14041206020102</v>
          </cell>
          <cell r="C4328" t="str">
            <v>MYP REFIN.COBRAN C/FIJA CMED            1ND</v>
          </cell>
        </row>
        <row r="4329">
          <cell r="B4329" t="str">
            <v>14041206020301</v>
          </cell>
          <cell r="C4329" t="str">
            <v>HPC ME REF CAP.VIG. EFEC C/GARANT. HIP. 1ND</v>
          </cell>
        </row>
        <row r="4330">
          <cell r="B4330" t="str">
            <v>14041206020302</v>
          </cell>
          <cell r="C4330" t="str">
            <v>MYP REFINANC. COVID-19                  1ND</v>
          </cell>
        </row>
        <row r="4331">
          <cell r="B4331" t="str">
            <v>14041206020303</v>
          </cell>
          <cell r="C4331" t="str">
            <v>LPC PAG TV REF VIG NO REV CMED          1ND</v>
          </cell>
        </row>
        <row r="4332">
          <cell r="B4332" t="str">
            <v>14041206020304</v>
          </cell>
          <cell r="C4332" t="str">
            <v>LPC PAG TV REF VIG NO REV CMED          1ND</v>
          </cell>
        </row>
        <row r="4333">
          <cell r="B4333" t="str">
            <v>14041206020305</v>
          </cell>
          <cell r="C4333" t="str">
            <v>LPC REFINANCIADO REACTIVA CMED VIG      1 D</v>
          </cell>
        </row>
        <row r="4334">
          <cell r="B4334" t="str">
            <v>14041206020309</v>
          </cell>
          <cell r="C4334" t="str">
            <v>MYP REFINANCIADO CIMA CMED VIG          1 D</v>
          </cell>
        </row>
        <row r="4335">
          <cell r="B4335" t="str">
            <v>14041206020310</v>
          </cell>
          <cell r="C4335" t="str">
            <v>LPC REFINANCIADO CRECER IBK POST HONR CM1 D</v>
          </cell>
        </row>
        <row r="4336">
          <cell r="B4336" t="str">
            <v>14041206020311</v>
          </cell>
          <cell r="C4336" t="str">
            <v>CCD-BPE REFINANCIADO_CMED VIG           1 D</v>
          </cell>
        </row>
        <row r="4337">
          <cell r="B4337" t="str">
            <v>14041206090101</v>
          </cell>
          <cell r="C4337" t="str">
            <v>CL P.REFI DEUD.VTA.CARTE CMED VIG       1ND</v>
          </cell>
        </row>
        <row r="4338">
          <cell r="B4338" t="str">
            <v>14041206090102</v>
          </cell>
          <cell r="C4338" t="str">
            <v>CL PAG.REF.TV NO REV VIG CMED           1ND</v>
          </cell>
        </row>
        <row r="4339">
          <cell r="B4339" t="str">
            <v>14041206090201</v>
          </cell>
          <cell r="C4339" t="str">
            <v>LPC PAG TV REF VIG NO REV CMED          1ND</v>
          </cell>
        </row>
        <row r="4340">
          <cell r="B4340" t="str">
            <v>14041206090301</v>
          </cell>
          <cell r="C4340" t="str">
            <v>HPC ME CRED REFIN CONSUM NRV VIGENTE    1ND</v>
          </cell>
        </row>
        <row r="4341">
          <cell r="B4341" t="str">
            <v>14041206090302</v>
          </cell>
          <cell r="C4341" t="str">
            <v>HPC ME CRED REFIN NRV AUTOMOVILES VIGENT1ND</v>
          </cell>
        </row>
        <row r="4342">
          <cell r="B4342" t="str">
            <v>14041206090303</v>
          </cell>
          <cell r="C4342" t="str">
            <v>LPC PAG REF COVID_19 VIG NO REV CMED    1ND</v>
          </cell>
        </row>
        <row r="4343">
          <cell r="B4343" t="str">
            <v>14041211000101</v>
          </cell>
          <cell r="C4343" t="str">
            <v>LPC REFIN LEAS DEL BIEN RP CMED         1ND</v>
          </cell>
        </row>
        <row r="4344">
          <cell r="B4344" t="str">
            <v>14041211000102</v>
          </cell>
          <cell r="C4344" t="str">
            <v>LPC REFIN LEAS INT DIFERIDOS RP CMED    1ND</v>
          </cell>
        </row>
        <row r="4345">
          <cell r="B4345" t="str">
            <v>14041211000103</v>
          </cell>
          <cell r="C4345" t="str">
            <v>LPC REF LEAS SEGUROS RP CMED            1ND</v>
          </cell>
        </row>
        <row r="4346">
          <cell r="B4346" t="str">
            <v>14041211000104</v>
          </cell>
          <cell r="C4346" t="str">
            <v>LPC REF LEAS SEGUROS INT DIFERIDOS RP CM1ND</v>
          </cell>
        </row>
        <row r="4347">
          <cell r="B4347" t="str">
            <v>14041211000105</v>
          </cell>
          <cell r="C4347" t="str">
            <v>LPC REF LEAS IGV RP CMED                1ND</v>
          </cell>
        </row>
        <row r="4348">
          <cell r="B4348" t="str">
            <v>14041211000106</v>
          </cell>
          <cell r="C4348" t="str">
            <v>LPC REFIN LEAS BPE DEL BIEN RP CMED     1ND</v>
          </cell>
        </row>
        <row r="4349">
          <cell r="B4349" t="str">
            <v>14041211000107</v>
          </cell>
          <cell r="C4349" t="str">
            <v>LPC REFIN LEAS BPE INT DIFERIDOS RP CMED1ND</v>
          </cell>
        </row>
        <row r="4350">
          <cell r="B4350" t="str">
            <v>14041211000108</v>
          </cell>
          <cell r="C4350" t="str">
            <v>LPC REF LEAS BPE SEGUROS RP CMED        1ND</v>
          </cell>
        </row>
        <row r="4351">
          <cell r="B4351" t="str">
            <v>14041211000109</v>
          </cell>
          <cell r="C4351" t="str">
            <v>LPC REF LEAS BPE SEGUROS INT DIFERIDOS R1ND</v>
          </cell>
        </row>
        <row r="4352">
          <cell r="B4352" t="str">
            <v>14041211000110</v>
          </cell>
          <cell r="C4352" t="str">
            <v>LPC REF LEAS BPE IGV RP CMED            1ND</v>
          </cell>
        </row>
        <row r="4353">
          <cell r="B4353" t="str">
            <v>14041211000111</v>
          </cell>
          <cell r="C4353" t="str">
            <v>LPC REF LS COFIGAS VIG PRI CMED         1ND</v>
          </cell>
        </row>
        <row r="4354">
          <cell r="B4354" t="str">
            <v>14041211000112</v>
          </cell>
          <cell r="C4354" t="str">
            <v>LPC REF LS COFIGAS CAP INT DIF VIG PDL C1ND</v>
          </cell>
        </row>
        <row r="4355">
          <cell r="B4355" t="str">
            <v>14041211000113</v>
          </cell>
          <cell r="C4355" t="str">
            <v>LPC REF LS COFIGAS SEG BIEN VIG PDS CMED1ND</v>
          </cell>
        </row>
        <row r="4356">
          <cell r="B4356" t="str">
            <v>14041211000114</v>
          </cell>
          <cell r="C4356" t="str">
            <v>LPC REF LS COFIGAS PRIMA SEG VIG PSG CME1ND</v>
          </cell>
        </row>
        <row r="4357">
          <cell r="B4357" t="str">
            <v>14041211000115</v>
          </cell>
          <cell r="C4357" t="str">
            <v>LPC REF LS COFIGAS IGV VIG PIG CMED     1ND</v>
          </cell>
        </row>
        <row r="4358">
          <cell r="B4358" t="str">
            <v>14041212000101</v>
          </cell>
          <cell r="C4358" t="str">
            <v>LPC LEASEACK INT DIFERIDOS RP CMED      1ND</v>
          </cell>
        </row>
        <row r="4359">
          <cell r="B4359" t="str">
            <v>14041212000102</v>
          </cell>
          <cell r="C4359" t="str">
            <v>LPC LEAS SEG INT DIF RP REFIN CMED      1ND</v>
          </cell>
        </row>
        <row r="4360">
          <cell r="B4360" t="str">
            <v>14041212000103</v>
          </cell>
          <cell r="C4360" t="str">
            <v>LPC LEASEBACK SEGUROS  REFIN CMED       1ND</v>
          </cell>
        </row>
        <row r="4361">
          <cell r="B4361" t="str">
            <v>14041212000104</v>
          </cell>
          <cell r="C4361" t="str">
            <v>LPC LEASEBACK IGV RP REFIN CMED         1ND</v>
          </cell>
        </row>
        <row r="4362">
          <cell r="B4362" t="str">
            <v>14041212000105</v>
          </cell>
          <cell r="C4362" t="str">
            <v>LPC LEASEBACK  BIEN RP REFIN CMED       1ND</v>
          </cell>
        </row>
        <row r="4363">
          <cell r="B4363" t="str">
            <v>14041224000101</v>
          </cell>
          <cell r="C4363" t="str">
            <v>CL PAG.REF.RFA SUBOR CMED VIG           1ND</v>
          </cell>
        </row>
        <row r="4364">
          <cell r="B4364" t="str">
            <v>14041224000102</v>
          </cell>
          <cell r="C4364" t="str">
            <v>CL P.REF.RFA FINANC CMED VIG            1ND</v>
          </cell>
        </row>
        <row r="4365">
          <cell r="B4365" t="str">
            <v>14041299000701</v>
          </cell>
          <cell r="C4365" t="str">
            <v>RCC  CRÃ‰DITOS A MEDIANAS EMPRESAS - OTR1ND</v>
          </cell>
        </row>
        <row r="4366">
          <cell r="B4366" t="str">
            <v>14041306010101</v>
          </cell>
          <cell r="C4366" t="str">
            <v>MYP PAG.TV REFIN. REVOL VIG MES CPEM    1ND</v>
          </cell>
        </row>
        <row r="4367">
          <cell r="B4367" t="str">
            <v>14041306010102</v>
          </cell>
          <cell r="C4367" t="str">
            <v>MYP REFIN.COBRAN REVOLCPEM              1ND</v>
          </cell>
        </row>
        <row r="4368">
          <cell r="B4368" t="str">
            <v>14041306010201</v>
          </cell>
          <cell r="C4368" t="str">
            <v>LPC PAG TV REF VIG REVOL CPEM           1ND</v>
          </cell>
        </row>
        <row r="4369">
          <cell r="B4369" t="str">
            <v>14041306010303</v>
          </cell>
          <cell r="C4369" t="str">
            <v>CL PAG.REF.TV REV VIG CPEM              1ND</v>
          </cell>
        </row>
        <row r="4370">
          <cell r="B4370" t="str">
            <v>14041306020101</v>
          </cell>
          <cell r="C4370" t="str">
            <v>MYP PAG.TV REFIN.C/FIJA VIG CPEM        1ND</v>
          </cell>
        </row>
        <row r="4371">
          <cell r="B4371" t="str">
            <v>14041306020102</v>
          </cell>
          <cell r="C4371" t="str">
            <v>MYP REFIN.COBRAN C/FIJA CPEM            1ND</v>
          </cell>
        </row>
        <row r="4372">
          <cell r="B4372" t="str">
            <v>14041306020103</v>
          </cell>
          <cell r="C4372" t="str">
            <v>MYP REFINANC. COVID-19                  1ND</v>
          </cell>
        </row>
        <row r="4373">
          <cell r="B4373" t="str">
            <v>14041306020104</v>
          </cell>
          <cell r="C4373" t="str">
            <v>LPC PAG TV REF VIG NO REV CPEM          1ND</v>
          </cell>
        </row>
        <row r="4374">
          <cell r="B4374" t="str">
            <v>14041306020105</v>
          </cell>
          <cell r="C4374" t="str">
            <v>LPC PAG TV REF VIG NO REV CPEM          1ND</v>
          </cell>
        </row>
        <row r="4375">
          <cell r="B4375" t="str">
            <v>14041306020106</v>
          </cell>
          <cell r="C4375" t="str">
            <v>LPC REFINANCIADO REACTIVA CPEM VIG      1 D</v>
          </cell>
        </row>
        <row r="4376">
          <cell r="B4376" t="str">
            <v>14041306020110</v>
          </cell>
          <cell r="C4376" t="str">
            <v>MYP REFINANCIADO CIMA CPEM VIG          1 D</v>
          </cell>
        </row>
        <row r="4377">
          <cell r="B4377" t="str">
            <v>14041306020111</v>
          </cell>
          <cell r="C4377" t="str">
            <v>LPC REFINANCIADO CRECER IBK POST HONR CP1 D</v>
          </cell>
        </row>
        <row r="4378">
          <cell r="B4378" t="str">
            <v>14041306020112</v>
          </cell>
          <cell r="C4378" t="str">
            <v>CCD-BPE REFINANCIADO_CPEM VIG           1 D</v>
          </cell>
        </row>
        <row r="4379">
          <cell r="B4379" t="str">
            <v>14041306020113</v>
          </cell>
          <cell r="C4379" t="str">
            <v>LPC REFINANCIADO REACTIVA CPEM VIG      1 D</v>
          </cell>
        </row>
        <row r="4380">
          <cell r="B4380" t="str">
            <v>14041306090201</v>
          </cell>
          <cell r="C4380" t="str">
            <v>LPC PAG TV REF VIG NO REV CPEM          1ND</v>
          </cell>
        </row>
        <row r="4381">
          <cell r="B4381" t="str">
            <v>14041306090303</v>
          </cell>
          <cell r="C4381" t="str">
            <v>CL P.REFI DEUD.VTA.CARTE CPEM VIG       1ND</v>
          </cell>
        </row>
        <row r="4382">
          <cell r="B4382" t="str">
            <v>14041306090304</v>
          </cell>
          <cell r="C4382" t="str">
            <v>CL PAG.REF.TV NO REV VIG CPEM           1ND</v>
          </cell>
        </row>
        <row r="4383">
          <cell r="B4383" t="str">
            <v>14041311000101</v>
          </cell>
          <cell r="C4383" t="str">
            <v>LPC REFIN LEAS DEL BIEN RP CPEM         1ND</v>
          </cell>
        </row>
        <row r="4384">
          <cell r="B4384" t="str">
            <v>14041311000102</v>
          </cell>
          <cell r="C4384" t="str">
            <v>LPC REFIN LEAS INT DIFERIDOS RP CPEM    1ND</v>
          </cell>
        </row>
        <row r="4385">
          <cell r="B4385" t="str">
            <v>14041311000103</v>
          </cell>
          <cell r="C4385" t="str">
            <v>LPC REF LEAS SEGUROS RP CPEM            1ND</v>
          </cell>
        </row>
        <row r="4386">
          <cell r="B4386" t="str">
            <v>14041311000104</v>
          </cell>
          <cell r="C4386" t="str">
            <v>LPC REF LEAS SEGUROS INT DIFERIDOS RP CP1ND</v>
          </cell>
        </row>
        <row r="4387">
          <cell r="B4387" t="str">
            <v>14041311000105</v>
          </cell>
          <cell r="C4387" t="str">
            <v>LPC REF LEAS IGV RP CPEM                1ND</v>
          </cell>
        </row>
        <row r="4388">
          <cell r="B4388" t="str">
            <v>14041311000106</v>
          </cell>
          <cell r="C4388" t="str">
            <v>LPC REFIN LEAS BPE DEL BIEN RP CPEM     1ND</v>
          </cell>
        </row>
        <row r="4389">
          <cell r="B4389" t="str">
            <v>14041311000107</v>
          </cell>
          <cell r="C4389" t="str">
            <v>LPC REFIN LEAS BPE INT DIFERIDOS RP CPEM1ND</v>
          </cell>
        </row>
        <row r="4390">
          <cell r="B4390" t="str">
            <v>14041311000108</v>
          </cell>
          <cell r="C4390" t="str">
            <v>LPC REF LEAS BPE SEGUROS RP CPEM        1ND</v>
          </cell>
        </row>
        <row r="4391">
          <cell r="B4391" t="str">
            <v>14041311000109</v>
          </cell>
          <cell r="C4391" t="str">
            <v>LPC REF LEAS BPE SEGUROS INT DIFERIDOS R1ND</v>
          </cell>
        </row>
        <row r="4392">
          <cell r="B4392" t="str">
            <v>14041311000110</v>
          </cell>
          <cell r="C4392" t="str">
            <v>LPC REF LEAS BPE IGV RP CPEM            1ND</v>
          </cell>
        </row>
        <row r="4393">
          <cell r="B4393" t="str">
            <v>14041311000111</v>
          </cell>
          <cell r="C4393" t="str">
            <v>LPC REF LS COFIGAS VIG PRI CPEM         1ND</v>
          </cell>
        </row>
        <row r="4394">
          <cell r="B4394" t="str">
            <v>14041311000112</v>
          </cell>
          <cell r="C4394" t="str">
            <v>LPC REF LS COFIGAS CAP INT DIF VIG PDL C1ND</v>
          </cell>
        </row>
        <row r="4395">
          <cell r="B4395" t="str">
            <v>14041311000113</v>
          </cell>
          <cell r="C4395" t="str">
            <v>LPC REF LS COFIGAS SEG BIEN VIG PDS CPEM1ND</v>
          </cell>
        </row>
        <row r="4396">
          <cell r="B4396" t="str">
            <v>14041311000114</v>
          </cell>
          <cell r="C4396" t="str">
            <v>LPC REF LS COFIGAS PRIMA SEG VIG PSG CPE1ND</v>
          </cell>
        </row>
        <row r="4397">
          <cell r="B4397" t="str">
            <v>14041311000115</v>
          </cell>
          <cell r="C4397" t="str">
            <v>LPC REF LS COFIGAS IGV VIG PIG CPEM     1ND</v>
          </cell>
        </row>
        <row r="4398">
          <cell r="B4398" t="str">
            <v>14041312000101</v>
          </cell>
          <cell r="C4398" t="str">
            <v>LPC LEASEACK INT DIFERIDOS RP CPEM      1ND</v>
          </cell>
        </row>
        <row r="4399">
          <cell r="B4399" t="str">
            <v>14041312000102</v>
          </cell>
          <cell r="C4399" t="str">
            <v>LPC LEAS SEG INT DIF RP REFIN CPEM      1ND</v>
          </cell>
        </row>
        <row r="4400">
          <cell r="B4400" t="str">
            <v>14041312000103</v>
          </cell>
          <cell r="C4400" t="str">
            <v>LPC LEASEBACK SEGUROS  REFIN CPEM       1ND</v>
          </cell>
        </row>
        <row r="4401">
          <cell r="B4401" t="str">
            <v>14041312000104</v>
          </cell>
          <cell r="C4401" t="str">
            <v>LPC LEASEBACK IGV RP REFIN CPEM         1ND</v>
          </cell>
        </row>
        <row r="4402">
          <cell r="B4402" t="str">
            <v>14041312000105</v>
          </cell>
          <cell r="C4402" t="str">
            <v>LPC LEASEBACK  BIEN RP REFIN CPEM       1ND</v>
          </cell>
        </row>
        <row r="4403">
          <cell r="B4403" t="str">
            <v>14041324000103</v>
          </cell>
          <cell r="C4403" t="str">
            <v>CL PAG.REF.RFA SUBOR CCOR VIG           1ND</v>
          </cell>
        </row>
        <row r="4404">
          <cell r="B4404" t="str">
            <v>14041324000104</v>
          </cell>
          <cell r="C4404" t="str">
            <v>CL P.REF.RFA FINANC CPEM VIG            1ND</v>
          </cell>
        </row>
        <row r="4405">
          <cell r="B4405" t="str">
            <v>14050102010101</v>
          </cell>
          <cell r="C4405" t="str">
            <v>TC VISA COMERCIAL COLOC.DISP.EFECTIVO   1ND</v>
          </cell>
        </row>
        <row r="4406">
          <cell r="B4406" t="str">
            <v>14050102010102</v>
          </cell>
          <cell r="C4406" t="str">
            <v>TC MASTERCARD COMERCIAL. COLOC.         1ND</v>
          </cell>
        </row>
        <row r="4407">
          <cell r="B4407" t="str">
            <v>14050102010103</v>
          </cell>
          <cell r="C4407" t="str">
            <v>CL PRE JUD TC VISA PJ-DISP.EFEC         1ND</v>
          </cell>
        </row>
        <row r="4408">
          <cell r="B4408" t="str">
            <v>14050102020101</v>
          </cell>
          <cell r="C4408" t="str">
            <v>TC VISA COMERCIAL COLOC.COMPRAS         1ND</v>
          </cell>
        </row>
        <row r="4409">
          <cell r="B4409" t="str">
            <v>14050102020102</v>
          </cell>
          <cell r="C4409" t="str">
            <v>TC MASTERCARD COMERCIAL. COLOC. COMPR   1ND</v>
          </cell>
        </row>
        <row r="4410">
          <cell r="B4410" t="str">
            <v>14050104000101</v>
          </cell>
          <cell r="C4410" t="str">
            <v>SOBREGIROS EN CTA CTE PJ                1ND</v>
          </cell>
        </row>
        <row r="4411">
          <cell r="B4411" t="str">
            <v>14050104000102</v>
          </cell>
          <cell r="C4411" t="str">
            <v>BL SOBREG.CTA.CTE.VENCIDO PJ-BL         1ND</v>
          </cell>
        </row>
        <row r="4412">
          <cell r="B4412" t="str">
            <v>14050104000103</v>
          </cell>
          <cell r="C4412" t="str">
            <v>CTAS CTES DEUDOR VENC PJ S/F LUCRO      1ND</v>
          </cell>
        </row>
        <row r="4413">
          <cell r="B4413" t="str">
            <v>14050104000601</v>
          </cell>
          <cell r="C4413" t="str">
            <v>CL PRE.JUD.SOBR.CTA.CTE.PJ              1ND</v>
          </cell>
        </row>
        <row r="4414">
          <cell r="B4414" t="str">
            <v>14050105000103</v>
          </cell>
          <cell r="C4414" t="str">
            <v>BL PAG EN DSCTO VENC CL                 1ND</v>
          </cell>
        </row>
        <row r="4415">
          <cell r="B4415" t="str">
            <v>14050105000104</v>
          </cell>
          <cell r="C4415" t="str">
            <v>BL LETRAS EN DSCTO VENC H4M PR          1ND</v>
          </cell>
        </row>
        <row r="4416">
          <cell r="B4416" t="str">
            <v>14050105010101</v>
          </cell>
          <cell r="C4416" t="str">
            <v>CL PAG.TASA DESCONTADA VEN              1ND</v>
          </cell>
        </row>
        <row r="4417">
          <cell r="B4417" t="str">
            <v>14050105010102</v>
          </cell>
          <cell r="C4417" t="str">
            <v>UCL D/P PAG.TASA DSCTDA.VEN             1ND</v>
          </cell>
        </row>
        <row r="4418">
          <cell r="B4418" t="str">
            <v>14050105010601</v>
          </cell>
          <cell r="C4418" t="str">
            <v>CL PRE JUDIC DSCTO.PAGARE VEN GL7003    1ND</v>
          </cell>
        </row>
        <row r="4419">
          <cell r="B4419" t="str">
            <v>14050105020101</v>
          </cell>
          <cell r="C4419" t="str">
            <v>PR LETR./FACT.DSCTO.VEN                 1ND</v>
          </cell>
        </row>
        <row r="4420">
          <cell r="B4420" t="str">
            <v>14050105020601</v>
          </cell>
          <cell r="C4420" t="str">
            <v>CL PRE JUDIC DSCTO.LETRAS VENC GL7003   1ND</v>
          </cell>
        </row>
        <row r="4421">
          <cell r="B4421" t="str">
            <v>14050106000101</v>
          </cell>
          <cell r="C4421" t="str">
            <v>CL PAG.TASA VENCIDA VENCIDO             1ND</v>
          </cell>
        </row>
        <row r="4422">
          <cell r="B4422" t="str">
            <v>14050106000103</v>
          </cell>
          <cell r="C4422" t="str">
            <v>140501060001030000                      1ND</v>
          </cell>
        </row>
        <row r="4423">
          <cell r="B4423" t="str">
            <v>14050106000118</v>
          </cell>
          <cell r="C4423" t="str">
            <v>BL PAG VENCIDO TASA VENC CL             1ND</v>
          </cell>
        </row>
        <row r="4424">
          <cell r="B4424" t="str">
            <v>14050106000124</v>
          </cell>
          <cell r="C4424" t="str">
            <v>LPC PRX P.OTRO SUS.VAC INDX.VEN .NCO    1ND</v>
          </cell>
        </row>
        <row r="4425">
          <cell r="B4425" t="str">
            <v>14050106000138</v>
          </cell>
          <cell r="C4425" t="str">
            <v>LPC PAG.TASA VENCIDA VEN                1ND</v>
          </cell>
        </row>
        <row r="4426">
          <cell r="B4426" t="str">
            <v>14050106000151</v>
          </cell>
          <cell r="C4426" t="str">
            <v>LPC P.TV OTROS SUSPENSO VEN.            1ND</v>
          </cell>
        </row>
        <row r="4427">
          <cell r="B4427" t="str">
            <v>14050106010101</v>
          </cell>
          <cell r="C4427" t="str">
            <v>CL PAG.TV REVOLVENTE VEN                1ND</v>
          </cell>
        </row>
        <row r="4428">
          <cell r="B4428" t="str">
            <v>14050106010102</v>
          </cell>
          <cell r="C4428" t="str">
            <v>CL PAG.TV D/P REVOLVENTE VEN            1ND</v>
          </cell>
        </row>
        <row r="4429">
          <cell r="B4429" t="str">
            <v>14050106010104</v>
          </cell>
          <cell r="C4429" t="str">
            <v>$CL P.TV NEG.INMOB.REVOLV VEN           1ND</v>
          </cell>
        </row>
        <row r="4430">
          <cell r="B4430" t="str">
            <v>14050106010108</v>
          </cell>
          <cell r="C4430" t="str">
            <v>CL PRE JUD PAG.TV REVOLVENTE            1ND</v>
          </cell>
        </row>
        <row r="4431">
          <cell r="B4431" t="str">
            <v>14050106010110</v>
          </cell>
          <cell r="C4431" t="str">
            <v>LPC PAG.TV REVOLV VEN                   1ND</v>
          </cell>
        </row>
        <row r="4432">
          <cell r="B4432" t="str">
            <v>14050106010111</v>
          </cell>
          <cell r="C4432" t="str">
            <v>LPC PAG.TV D/P REVOLV VEN               1ND</v>
          </cell>
        </row>
        <row r="4433">
          <cell r="B4433" t="str">
            <v>14050106010112</v>
          </cell>
          <cell r="C4433" t="str">
            <v>LPC P.TV OTRS SUSP.REVOL VEN            1ND</v>
          </cell>
        </row>
        <row r="4434">
          <cell r="B4434" t="str">
            <v>14050106010115</v>
          </cell>
          <cell r="C4434" t="str">
            <v>MYP C LINEA REVOLVENTE VENC             1ND</v>
          </cell>
        </row>
        <row r="4435">
          <cell r="B4435" t="str">
            <v>14050106010116</v>
          </cell>
          <cell r="C4435" t="str">
            <v>MYP D/P C LINEA REVOLVENTE VENC         1ND</v>
          </cell>
        </row>
        <row r="4436">
          <cell r="B4436" t="str">
            <v>14050106010117</v>
          </cell>
          <cell r="C4436" t="str">
            <v>CL PRE JUD MYP CAP TRAB COMERC REVOL    1ND</v>
          </cell>
        </row>
        <row r="4437">
          <cell r="B4437" t="str">
            <v>14050106010118</v>
          </cell>
          <cell r="C4437" t="str">
            <v>CL PRE JUD MYP COMP AF INMUEB COMERC    1ND</v>
          </cell>
        </row>
        <row r="4438">
          <cell r="B4438" t="str">
            <v>14050106010120</v>
          </cell>
          <cell r="C4438" t="str">
            <v>CL PRE JUD MYP CRED ESTAC COMERC REV    1ND</v>
          </cell>
        </row>
        <row r="4439">
          <cell r="B4439" t="str">
            <v>14050106010201</v>
          </cell>
          <cell r="C4439" t="str">
            <v>LPC SISMO PAG TV REVOL VENC             1ND</v>
          </cell>
        </row>
        <row r="4440">
          <cell r="B4440" t="str">
            <v>14050106010202</v>
          </cell>
          <cell r="C4440" t="str">
            <v>LPC PAG.TV NEG.INMOBILIARIO REVOLV VEN  1ND</v>
          </cell>
        </row>
        <row r="4441">
          <cell r="B4441" t="str">
            <v>14050106020106</v>
          </cell>
          <cell r="C4441" t="str">
            <v>MYP C.CAP.VENC FIN. CAP. TRAB.          1ND</v>
          </cell>
        </row>
        <row r="4442">
          <cell r="B4442" t="str">
            <v>14050106020107</v>
          </cell>
          <cell r="C4442" t="str">
            <v>MYP D/P C CAP VENC FIN.CAP.TRAB         1ND</v>
          </cell>
        </row>
        <row r="4443">
          <cell r="B4443" t="str">
            <v>14050106020108</v>
          </cell>
          <cell r="C4443" t="str">
            <v>MYP C CAP.VENC FIN. COMPRA. AF.         1ND</v>
          </cell>
        </row>
        <row r="4444">
          <cell r="B4444" t="str">
            <v>14050106020109</v>
          </cell>
          <cell r="C4444" t="str">
            <v>MYP D/P C CAP VENC FIN.COMPRA. AF.      1ND</v>
          </cell>
        </row>
        <row r="4445">
          <cell r="B4445" t="str">
            <v>14050106020110</v>
          </cell>
          <cell r="C4445" t="str">
            <v>MYP C CAP.VENC FIN. CRED. PARAL.        1ND</v>
          </cell>
        </row>
        <row r="4446">
          <cell r="B4446" t="str">
            <v>14050106020111</v>
          </cell>
          <cell r="C4446" t="str">
            <v>MYP D/P C CAP VENC FIN.CRED. PARAL.     1ND</v>
          </cell>
        </row>
        <row r="4447">
          <cell r="B4447" t="str">
            <v>14050106020112</v>
          </cell>
          <cell r="C4447" t="str">
            <v>MYP CAP.VENC FIN. COMPRA DE DEUDA CA    1ND</v>
          </cell>
        </row>
        <row r="4448">
          <cell r="B4448" t="str">
            <v>14050106020114</v>
          </cell>
          <cell r="C4448" t="str">
            <v>CL PRE JUD MYP CAP TRAB COMERC          1ND</v>
          </cell>
        </row>
        <row r="4449">
          <cell r="B4449" t="str">
            <v>14050106020115</v>
          </cell>
          <cell r="C4449" t="str">
            <v>CL PRE JUD MYP COMP AF INMUEB CO        1ND</v>
          </cell>
        </row>
        <row r="4450">
          <cell r="B4450" t="str">
            <v>14050106020116</v>
          </cell>
          <cell r="C4450" t="str">
            <v>CL PRE JUD MYP COMP AF MUEB COMERC      1ND</v>
          </cell>
        </row>
        <row r="4451">
          <cell r="B4451" t="str">
            <v>14050106020117</v>
          </cell>
          <cell r="C4451" t="str">
            <v>CL PRE JUD MYP CRED ESTAC COMERC        1ND</v>
          </cell>
        </row>
        <row r="4452">
          <cell r="B4452" t="str">
            <v>14050106020118</v>
          </cell>
          <cell r="C4452" t="str">
            <v>CL PRE JUD MYP AF CYBERPL COMERC        1ND</v>
          </cell>
        </row>
        <row r="4453">
          <cell r="B4453" t="str">
            <v>14050106020119</v>
          </cell>
          <cell r="C4453" t="str">
            <v>MYP C.CAP.VENC TRANSP PUBLICO CAP       1ND</v>
          </cell>
        </row>
        <row r="4454">
          <cell r="B4454" t="str">
            <v>14050106020120</v>
          </cell>
          <cell r="C4454" t="str">
            <v>MYP D/P C CAP VENC TRANSP PUBLICO       1ND</v>
          </cell>
        </row>
        <row r="4455">
          <cell r="B4455" t="str">
            <v>14050106020121</v>
          </cell>
          <cell r="C4455" t="str">
            <v>MYP E.R.C.CAP.VEN.FIN.CAP.TRAB          1ND</v>
          </cell>
        </row>
        <row r="4456">
          <cell r="B4456" t="str">
            <v>14050106090101</v>
          </cell>
          <cell r="C4456" t="str">
            <v>CL PAG.TV NO REVOLVENTE VEN             1ND</v>
          </cell>
        </row>
        <row r="4457">
          <cell r="B4457" t="str">
            <v>14050106090102</v>
          </cell>
          <cell r="C4457" t="str">
            <v>CL PAG.TV D/P NO REVOLVENTE VEN         1ND</v>
          </cell>
        </row>
        <row r="4458">
          <cell r="B4458" t="str">
            <v>14050106090104</v>
          </cell>
          <cell r="C4458" t="str">
            <v>CL P.TV NEG.INMOB.NO REVOL VEN          1ND</v>
          </cell>
        </row>
        <row r="4459">
          <cell r="B4459" t="str">
            <v>14050106090108</v>
          </cell>
          <cell r="C4459" t="str">
            <v>CL PRE JUD PAG.TV NO REVOLVENTE         1ND</v>
          </cell>
        </row>
        <row r="4460">
          <cell r="B4460" t="str">
            <v>14050106090110</v>
          </cell>
          <cell r="C4460" t="str">
            <v>LPC PAG.TV NO REVOLV VEN                1ND</v>
          </cell>
        </row>
        <row r="4461">
          <cell r="B4461" t="str">
            <v>14050106090111</v>
          </cell>
          <cell r="C4461" t="str">
            <v>LPC PAG.TV D/P NO REVOLV VEN            1ND</v>
          </cell>
        </row>
        <row r="4462">
          <cell r="B4462" t="str">
            <v>14050106090202</v>
          </cell>
          <cell r="C4462" t="str">
            <v>LPC P.TV NEG.INMOB.NO REVOL VEN         1ND</v>
          </cell>
        </row>
        <row r="4463">
          <cell r="B4463" t="str">
            <v>14050110000101</v>
          </cell>
          <cell r="C4463" t="str">
            <v>PR LETRAS FACTORING VEN                 1ND</v>
          </cell>
        </row>
        <row r="4464">
          <cell r="B4464" t="str">
            <v>14050110000102</v>
          </cell>
          <cell r="C4464" t="str">
            <v>PR FACTORING FACTURA VENCIDO            1ND</v>
          </cell>
        </row>
        <row r="4465">
          <cell r="B4465" t="str">
            <v>14050110000105</v>
          </cell>
          <cell r="C4465" t="str">
            <v>BL FACTORING VENC PR                    1ND</v>
          </cell>
        </row>
        <row r="4466">
          <cell r="B4466" t="str">
            <v>14050110000106</v>
          </cell>
          <cell r="C4466" t="str">
            <v>PR FACT ELECTR LET/FACT VEN             1ND</v>
          </cell>
        </row>
        <row r="4467">
          <cell r="B4467" t="str">
            <v>14050110000107</v>
          </cell>
          <cell r="C4467" t="str">
            <v>PR FACTORING INTL VEN                   1ND</v>
          </cell>
        </row>
        <row r="4468">
          <cell r="B4468" t="str">
            <v>14050111000103</v>
          </cell>
          <cell r="C4468" t="str">
            <v>FIN SEG ARR FIN PORFIN VENC             1ND</v>
          </cell>
        </row>
        <row r="4469">
          <cell r="B4469" t="str">
            <v>14050111000112</v>
          </cell>
          <cell r="C4469" t="str">
            <v>LPC PRI LS BIEN RP CAPITAL VEN          1ND</v>
          </cell>
        </row>
        <row r="4470">
          <cell r="B4470" t="str">
            <v>14050111000113</v>
          </cell>
          <cell r="C4470" t="str">
            <v>LPC PSG LS BIEN RP CIA SEG VEN          1ND</v>
          </cell>
        </row>
        <row r="4471">
          <cell r="B4471" t="str">
            <v>14050111000115</v>
          </cell>
          <cell r="C4471" t="str">
            <v>LEASING DEL BIEN VENC D/P RP LPC        1ND</v>
          </cell>
        </row>
        <row r="4472">
          <cell r="B4472" t="str">
            <v>14050111000116</v>
          </cell>
          <cell r="C4472" t="str">
            <v>LPC PSG LS BIEN D/P CIA.SEG VEN         1ND</v>
          </cell>
        </row>
        <row r="4473">
          <cell r="B4473" t="str">
            <v>14050111000117</v>
          </cell>
          <cell r="C4473" t="str">
            <v>LEASING VENC D/P IGV RP LPC             1ND</v>
          </cell>
        </row>
        <row r="4474">
          <cell r="B4474" t="str">
            <v>14050111000124</v>
          </cell>
          <cell r="C4474" t="str">
            <v>LPC PDL LS BIEN RP INT.DIFE.VEN         1ND</v>
          </cell>
        </row>
        <row r="4475">
          <cell r="B4475" t="str">
            <v>14050111000125</v>
          </cell>
          <cell r="C4475" t="str">
            <v>LPC PDS LS BIEN RP INT.SEG VEN          1ND</v>
          </cell>
        </row>
        <row r="4476">
          <cell r="B4476" t="str">
            <v>14050111000126</v>
          </cell>
          <cell r="C4476" t="str">
            <v>LEASING D/P INT DIFERID VENC RP LPC     1ND</v>
          </cell>
        </row>
        <row r="4477">
          <cell r="B4477" t="str">
            <v>14050111000127</v>
          </cell>
          <cell r="C4477" t="str">
            <v>LPC PDS LS BIEN D/P INT.SEG VEN         1ND</v>
          </cell>
        </row>
        <row r="4478">
          <cell r="B4478" t="str">
            <v>14050111000128</v>
          </cell>
          <cell r="C4478" t="str">
            <v>LPC LSG BIEN ADJ.VEN DIF RP             1ND</v>
          </cell>
        </row>
        <row r="4479">
          <cell r="B4479" t="str">
            <v>14050111000129</v>
          </cell>
          <cell r="C4479" t="str">
            <v>LPC LSG SEG. ADJ. DIF. VEN RP           1ND</v>
          </cell>
        </row>
        <row r="4480">
          <cell r="B4480" t="str">
            <v>14050111000130</v>
          </cell>
          <cell r="C4480" t="str">
            <v>LPC PSG LS BIEN ADJU.CIA SEG VEN        1ND</v>
          </cell>
        </row>
        <row r="4481">
          <cell r="B4481" t="str">
            <v>14050111000131</v>
          </cell>
          <cell r="C4481" t="str">
            <v>LPC PIG LS BIEN ADJU. IGV VEN           1ND</v>
          </cell>
        </row>
        <row r="4482">
          <cell r="B4482" t="str">
            <v>14050111000132</v>
          </cell>
          <cell r="C4482" t="str">
            <v>LPC PRI LS BIEN ADJU.CAPITAL VEN        1ND</v>
          </cell>
        </row>
        <row r="4483">
          <cell r="B4483" t="str">
            <v>14050111000150</v>
          </cell>
          <cell r="C4483" t="str">
            <v>LPC PRI LS BIEN BPE CAPITAL VEN         1ND</v>
          </cell>
        </row>
        <row r="4484">
          <cell r="B4484" t="str">
            <v>14050111000151</v>
          </cell>
          <cell r="C4484" t="str">
            <v>LPC PDL LS BIEN BPE INT.DIFE.VEN        1ND</v>
          </cell>
        </row>
        <row r="4485">
          <cell r="B4485" t="str">
            <v>14050111000152</v>
          </cell>
          <cell r="C4485" t="str">
            <v>LPC PSG LS BIEN BPE CIA SEG VEN         1ND</v>
          </cell>
        </row>
        <row r="4486">
          <cell r="B4486" t="str">
            <v>14050111000153</v>
          </cell>
          <cell r="C4486" t="str">
            <v>LPC PDS LS BIEN BPE INT.SEG VEN         1ND</v>
          </cell>
        </row>
        <row r="4487">
          <cell r="B4487" t="str">
            <v>14050111000154</v>
          </cell>
          <cell r="C4487" t="str">
            <v>LPC PIG LS BIEN BPE IGV VEN             1ND</v>
          </cell>
        </row>
        <row r="4488">
          <cell r="B4488" t="str">
            <v>14050111000155</v>
          </cell>
          <cell r="C4488" t="str">
            <v>LPC LS DEL BIEN VENC D/P BPE            1ND</v>
          </cell>
        </row>
        <row r="4489">
          <cell r="B4489" t="str">
            <v>14050111000156</v>
          </cell>
          <cell r="C4489" t="str">
            <v>LPC LS D/P INT DIF. VENC BPE LPC        1ND</v>
          </cell>
        </row>
        <row r="4490">
          <cell r="B4490" t="str">
            <v>14050111000157</v>
          </cell>
          <cell r="C4490" t="str">
            <v>LPC LS BIEN VENC D/P SEG BPE LPC        1ND</v>
          </cell>
        </row>
        <row r="4491">
          <cell r="B4491" t="str">
            <v>14050111000158</v>
          </cell>
          <cell r="C4491" t="str">
            <v>LPC PDS LS B.D/P INT.SEG VEN BPE        1ND</v>
          </cell>
        </row>
        <row r="4492">
          <cell r="B4492" t="str">
            <v>14050111000159</v>
          </cell>
          <cell r="C4492" t="str">
            <v>LPC LS VENC D/P IGV BPE LPC             1ND</v>
          </cell>
        </row>
        <row r="4493">
          <cell r="B4493" t="str">
            <v>14050111000203</v>
          </cell>
          <cell r="C4493" t="str">
            <v>LPC SISM PSG LSG PRIMA SEG VEN          1ND</v>
          </cell>
        </row>
        <row r="4494">
          <cell r="B4494" t="str">
            <v>14050111000204</v>
          </cell>
          <cell r="C4494" t="str">
            <v>LPC SISM PRI LEASING VENCIDO            1ND</v>
          </cell>
        </row>
        <row r="4495">
          <cell r="B4495" t="str">
            <v>14050111000205</v>
          </cell>
          <cell r="C4495" t="str">
            <v>LPC SISM PIG LEASING IGV VENCIDO        1ND</v>
          </cell>
        </row>
        <row r="4496">
          <cell r="B4496" t="str">
            <v>14050112000101</v>
          </cell>
          <cell r="C4496" t="str">
            <v>LPC PRI LSBACK BIEN CAPI.VEN            1ND</v>
          </cell>
        </row>
        <row r="4497">
          <cell r="B4497" t="str">
            <v>14050112000102</v>
          </cell>
          <cell r="C4497" t="str">
            <v>LPC PSG LSBACK BIEN CIA.SEG             1ND</v>
          </cell>
        </row>
        <row r="4498">
          <cell r="B4498" t="str">
            <v>14050112000103</v>
          </cell>
          <cell r="C4498" t="str">
            <v>LPC PIG LSBACK BIEN IGV VEN             1ND</v>
          </cell>
        </row>
        <row r="4499">
          <cell r="B4499" t="str">
            <v>14050112000104</v>
          </cell>
          <cell r="C4499" t="str">
            <v>LPC PDL LSBACK BIEN INT.DIF VEN         1ND</v>
          </cell>
        </row>
        <row r="4500">
          <cell r="B4500" t="str">
            <v>14050112000105</v>
          </cell>
          <cell r="C4500" t="str">
            <v>LPC PDS LSBACK BIEN INT.SEG VEN         1ND</v>
          </cell>
        </row>
        <row r="4501">
          <cell r="B4501" t="str">
            <v>14050112000114</v>
          </cell>
          <cell r="C4501" t="str">
            <v>LPC PRI LSBACK OTRO.SUS.CAPI VEN        1ND</v>
          </cell>
        </row>
        <row r="4502">
          <cell r="B4502" t="str">
            <v>14050112000115</v>
          </cell>
          <cell r="C4502" t="str">
            <v>LPC PIG LSBACK OTRO.SUS.IGV VEN         1ND</v>
          </cell>
        </row>
        <row r="4503">
          <cell r="B4503" t="str">
            <v>14050114000101</v>
          </cell>
          <cell r="C4503" t="str">
            <v>CL PAG.DEUD.VTA CARTERA VEN             1ND</v>
          </cell>
        </row>
        <row r="4504">
          <cell r="B4504" t="str">
            <v>14050114000102</v>
          </cell>
          <cell r="C4504" t="str">
            <v>LPC PAG.DEUD.POR VTA.CARTERA VEN        1ND</v>
          </cell>
        </row>
        <row r="4505">
          <cell r="B4505" t="str">
            <v>14050116010101</v>
          </cell>
          <cell r="C4505" t="str">
            <v>BANCO CENTRAL DE RESERVA DEL PERU       1ND</v>
          </cell>
        </row>
        <row r="4506">
          <cell r="B4506" t="str">
            <v>14050116010102</v>
          </cell>
          <cell r="C4506" t="str">
            <v>BANCO DE LA NACIÓN                      1ND</v>
          </cell>
        </row>
        <row r="4507">
          <cell r="B4507" t="str">
            <v>14050116010103</v>
          </cell>
          <cell r="C4507" t="str">
            <v>BANCODE CREDITO DEL PERU                1ND</v>
          </cell>
        </row>
        <row r="4508">
          <cell r="B4508" t="str">
            <v>14050116010104</v>
          </cell>
          <cell r="C4508" t="str">
            <v>BANCO INTERNACIONAL DEL PERU - INTERBANK1ND</v>
          </cell>
        </row>
        <row r="4509">
          <cell r="B4509" t="str">
            <v>14050116010105</v>
          </cell>
          <cell r="C4509" t="str">
            <v>SCOTIABANK PERU S. A. A.                1ND</v>
          </cell>
        </row>
        <row r="4510">
          <cell r="B4510" t="str">
            <v>14050116010106</v>
          </cell>
          <cell r="C4510" t="str">
            <v>BANCO CONTINENTAL                       1ND</v>
          </cell>
        </row>
        <row r="4511">
          <cell r="B4511" t="str">
            <v>14050116010108</v>
          </cell>
          <cell r="C4511" t="str">
            <v>BANCO DE COMERCIO                       1ND</v>
          </cell>
        </row>
        <row r="4512">
          <cell r="B4512" t="str">
            <v>14050116010109</v>
          </cell>
          <cell r="C4512" t="str">
            <v>BANCO FINANCIERO DEL PERU               1ND</v>
          </cell>
        </row>
        <row r="4513">
          <cell r="B4513" t="str">
            <v>14050116010116</v>
          </cell>
          <cell r="C4513" t="str">
            <v>CITIBANK N. A. , SUCURSAL EN EL PERU DEL1ND</v>
          </cell>
        </row>
        <row r="4514">
          <cell r="B4514" t="str">
            <v>14050116010121</v>
          </cell>
          <cell r="C4514" t="str">
            <v>BANCO INTERAMERICANO DE FINANZAS - S. A.1ND</v>
          </cell>
        </row>
        <row r="4515">
          <cell r="B4515" t="str">
            <v>14050116010128</v>
          </cell>
          <cell r="C4515" t="str">
            <v>LPC CORP.FINANC.DESAR.-COFIDE           1 D</v>
          </cell>
        </row>
        <row r="4516">
          <cell r="B4516" t="str">
            <v>14050116010129</v>
          </cell>
          <cell r="C4516" t="str">
            <v>LPC MI BANCO VENCIDO                    1ND</v>
          </cell>
        </row>
        <row r="4517">
          <cell r="B4517" t="str">
            <v>14050116010131</v>
          </cell>
          <cell r="C4517" t="str">
            <v>LPC BANCO AGROPECUARIO VEN              1 D</v>
          </cell>
        </row>
        <row r="4518">
          <cell r="B4518" t="str">
            <v>14050116010132</v>
          </cell>
          <cell r="C4518" t="str">
            <v>HSBC BANK PERU S. A.                    1ND</v>
          </cell>
        </row>
        <row r="4519">
          <cell r="B4519" t="str">
            <v>14050116010133</v>
          </cell>
          <cell r="C4519" t="str">
            <v>BANCO FALABELLA DEL PERU                1ND</v>
          </cell>
        </row>
        <row r="4520">
          <cell r="B4520" t="str">
            <v>14050116010134</v>
          </cell>
          <cell r="C4520" t="str">
            <v>BANCO SANTANDER PERU S. A.              1ND</v>
          </cell>
        </row>
        <row r="4521">
          <cell r="B4521" t="str">
            <v>14050116010135</v>
          </cell>
          <cell r="C4521" t="str">
            <v>BANCO RIPLEY S. A.                      1ND</v>
          </cell>
        </row>
        <row r="4522">
          <cell r="B4522" t="str">
            <v>14050116010136</v>
          </cell>
          <cell r="C4522" t="str">
            <v>BANCO AZTECA DEL PERU S. A.             1ND</v>
          </cell>
        </row>
        <row r="4523">
          <cell r="B4523" t="str">
            <v>14050116010137</v>
          </cell>
          <cell r="C4523" t="str">
            <v>DEUTSCHE BANK (PERU) S. A.              1ND</v>
          </cell>
        </row>
        <row r="4524">
          <cell r="B4524" t="str">
            <v>14050116010199</v>
          </cell>
          <cell r="C4524" t="str">
            <v>BANCOS EN LIQUIDACIÓN                   1ND</v>
          </cell>
        </row>
        <row r="4525">
          <cell r="B4525" t="str">
            <v>14050116010203</v>
          </cell>
          <cell r="C4525" t="str">
            <v>SOLUCIÓN FINANCIERADE CREDITO DEL PERU  1ND</v>
          </cell>
        </row>
        <row r="4526">
          <cell r="B4526" t="str">
            <v>14050116010207</v>
          </cell>
          <cell r="C4526" t="str">
            <v>FINANCIERA TFC S. A.                    1ND</v>
          </cell>
        </row>
        <row r="4527">
          <cell r="B4527" t="str">
            <v>14050116010209</v>
          </cell>
          <cell r="C4527" t="str">
            <v>FINANCIERA EDYFICAR S. A.               1ND</v>
          </cell>
        </row>
        <row r="4528">
          <cell r="B4528" t="str">
            <v>14050116010210</v>
          </cell>
          <cell r="C4528" t="str">
            <v>CREDISCOTIA FINANCIERA S. A.            1ND</v>
          </cell>
        </row>
        <row r="4529">
          <cell r="B4529" t="str">
            <v>14050116010211</v>
          </cell>
          <cell r="C4529" t="str">
            <v>FINANCIERA CREAR S. A.                  1ND</v>
          </cell>
        </row>
        <row r="4530">
          <cell r="B4530" t="str">
            <v>14050116010212</v>
          </cell>
          <cell r="C4530" t="str">
            <v>FINANCIERA CONFIANZA S. A.              1ND</v>
          </cell>
        </row>
        <row r="4531">
          <cell r="B4531" t="str">
            <v>14050116010213</v>
          </cell>
          <cell r="C4531" t="str">
            <v>FINANCIERA UNIVERSAL S. A.              1ND</v>
          </cell>
        </row>
        <row r="4532">
          <cell r="B4532" t="str">
            <v>14050116010214</v>
          </cell>
          <cell r="C4532" t="str">
            <v>FINANCIERA UNO S. A.                    1ND</v>
          </cell>
        </row>
        <row r="4533">
          <cell r="B4533" t="str">
            <v>14050116010215</v>
          </cell>
          <cell r="C4533" t="str">
            <v>LPC FINANCIERA EFECTIVA S.A VENC        1ND</v>
          </cell>
        </row>
        <row r="4534">
          <cell r="B4534" t="str">
            <v>14050116010299</v>
          </cell>
          <cell r="C4534" t="str">
            <v>FINANCIERAS EN LIQUIDACIÓN              1ND</v>
          </cell>
        </row>
        <row r="4535">
          <cell r="B4535" t="str">
            <v>14050116010301</v>
          </cell>
          <cell r="C4535" t="str">
            <v>CAJA MUNICIPAL DE AHORRO YCREDITO DE SUL1ND</v>
          </cell>
        </row>
        <row r="4536">
          <cell r="B4536" t="str">
            <v>14050116010302</v>
          </cell>
          <cell r="C4536" t="str">
            <v>CAJA MUNICIPALDE CREDITO POPULAR DE LIMA1ND</v>
          </cell>
        </row>
        <row r="4537">
          <cell r="B4537" t="str">
            <v>14050116010303</v>
          </cell>
          <cell r="C4537" t="str">
            <v>CAJA MUNICIPAL DE AHORRO YCREDITO DE PIU1ND</v>
          </cell>
        </row>
        <row r="4538">
          <cell r="B4538" t="str">
            <v>14050116010304</v>
          </cell>
          <cell r="C4538" t="str">
            <v>CAJA MUNICIPAL DE AHORRO YCREDITO DE ARE1ND</v>
          </cell>
        </row>
        <row r="4539">
          <cell r="B4539" t="str">
            <v>14050116010305</v>
          </cell>
          <cell r="C4539" t="str">
            <v>CAJA MUNICIPAL DE AHORRO YCREDITO DE HUA1ND</v>
          </cell>
        </row>
        <row r="4540">
          <cell r="B4540" t="str">
            <v>14050116010306</v>
          </cell>
          <cell r="C4540" t="str">
            <v>CAJA MUNICIPAL DE AHORRO YCREDITO CUSCO 1ND</v>
          </cell>
        </row>
        <row r="4541">
          <cell r="B4541" t="str">
            <v>14050116010307</v>
          </cell>
          <cell r="C4541" t="str">
            <v>CAJA MUNICIPAL DE AHORRO YCREDITO DE MAY1ND</v>
          </cell>
        </row>
        <row r="4542">
          <cell r="B4542" t="str">
            <v>14050116010308</v>
          </cell>
          <cell r="C4542" t="str">
            <v>CAJA MUNICIPAL DE AHORRO YCREDITO DE ICA1ND</v>
          </cell>
        </row>
        <row r="4543">
          <cell r="B4543" t="str">
            <v>14050116010309</v>
          </cell>
          <cell r="C4543" t="str">
            <v>CAJA MUNICIPAL DE AHORRO YCREDITO DE PAI1ND</v>
          </cell>
        </row>
        <row r="4544">
          <cell r="B4544" t="str">
            <v>14050116010310</v>
          </cell>
          <cell r="C4544" t="str">
            <v>CAJA MUNICIPAL DE AHORRO YCREDITO DEL SA1ND</v>
          </cell>
        </row>
        <row r="4545">
          <cell r="B4545" t="str">
            <v>14050116010311</v>
          </cell>
          <cell r="C4545" t="str">
            <v>CAJA MUNICIPAL DE AHORRO YCREDITO DE TRU1ND</v>
          </cell>
        </row>
        <row r="4546">
          <cell r="B4546" t="str">
            <v>14050116010312</v>
          </cell>
          <cell r="C4546" t="str">
            <v>CRED VENC CAJA MUNIC AHORRO CRED TACN   1ND</v>
          </cell>
        </row>
        <row r="4547">
          <cell r="B4547" t="str">
            <v>14050116010313</v>
          </cell>
          <cell r="C4547" t="str">
            <v>CAJA MUNICIPAL DE AHORRO YCREDITO DE PIS1ND</v>
          </cell>
        </row>
        <row r="4548">
          <cell r="B4548" t="str">
            <v>14050116010399</v>
          </cell>
          <cell r="C4548" t="str">
            <v>CAJAS MUNICIPALES DE AHORRO YCREDITO EN 1ND</v>
          </cell>
        </row>
        <row r="4549">
          <cell r="B4549" t="str">
            <v>14050116010403</v>
          </cell>
          <cell r="C4549" t="str">
            <v>CAJA RURAL DE AHORRO YCREDITO QUILLABAMB1ND</v>
          </cell>
        </row>
        <row r="4550">
          <cell r="B4550" t="str">
            <v>14050116010405</v>
          </cell>
          <cell r="C4550" t="str">
            <v>CAJA RURAL DE AHORRO YCREDITO LOS LIBERT1ND</v>
          </cell>
        </row>
        <row r="4551">
          <cell r="B4551" t="str">
            <v>14050116010406</v>
          </cell>
          <cell r="C4551" t="str">
            <v>CAJA RURAL DE AHORRO YCREDITO SEÑOR DE L1ND</v>
          </cell>
        </row>
        <row r="4552">
          <cell r="B4552" t="str">
            <v>14050116010407</v>
          </cell>
          <cell r="C4552" t="str">
            <v>LPC CJA.RUR.AH.Y CRED.CHAVIN VEN        1 D</v>
          </cell>
        </row>
        <row r="4553">
          <cell r="B4553" t="str">
            <v>14050116010408</v>
          </cell>
          <cell r="C4553" t="str">
            <v>CAJA RURAL DE AHORRO YCREDITO NUESTRA GE1ND</v>
          </cell>
        </row>
        <row r="4554">
          <cell r="B4554" t="str">
            <v>14050116010409</v>
          </cell>
          <cell r="C4554" t="str">
            <v>CAJA RURAL DE AHORRO YCREDITO CAJAMARCA 1ND</v>
          </cell>
        </row>
        <row r="4555">
          <cell r="B4555" t="str">
            <v>14050116010410</v>
          </cell>
          <cell r="C4555" t="str">
            <v>LPC CJA.RUR.AH.YCRED.PROFINANZAS        1 D</v>
          </cell>
        </row>
        <row r="4556">
          <cell r="B4556" t="str">
            <v>14050116010412</v>
          </cell>
          <cell r="C4556" t="str">
            <v>CAJA RURAL DE AHORRO YCREDITO SIPÁN S. A1ND</v>
          </cell>
        </row>
        <row r="4557">
          <cell r="B4557" t="str">
            <v>14050116010414</v>
          </cell>
          <cell r="C4557" t="str">
            <v>CAJA RURAL DE AHORRO YCREDITO PRYMERA S.1ND</v>
          </cell>
        </row>
        <row r="4558">
          <cell r="B4558" t="str">
            <v>14050116010415</v>
          </cell>
          <cell r="C4558" t="str">
            <v>CAJA RURAL DE AHORRO YCREDITO LOS ANDES 1ND</v>
          </cell>
        </row>
        <row r="4559">
          <cell r="B4559" t="str">
            <v>14050116010499</v>
          </cell>
          <cell r="C4559" t="str">
            <v>CAJAS RURALES DE AHORRO YCREDITO EN LIQU1ND</v>
          </cell>
        </row>
        <row r="4560">
          <cell r="B4560" t="str">
            <v>14050116010503</v>
          </cell>
          <cell r="C4560" t="str">
            <v>PROEMPRESA S. A.                        1ND</v>
          </cell>
        </row>
        <row r="4561">
          <cell r="B4561" t="str">
            <v>14050116010506</v>
          </cell>
          <cell r="C4561" t="str">
            <v>NUEVA VISIÓN S. A.                      1ND</v>
          </cell>
        </row>
        <row r="4562">
          <cell r="B4562" t="str">
            <v>14050116010508</v>
          </cell>
          <cell r="C4562" t="str">
            <v>RAIZ S. A.                              1ND</v>
          </cell>
        </row>
        <row r="4563">
          <cell r="B4563" t="str">
            <v>14050116010510</v>
          </cell>
          <cell r="C4563" t="str">
            <v>LPC EDPYME SOLIDARIDAD S.A VEN          1 D</v>
          </cell>
        </row>
        <row r="4564">
          <cell r="B4564" t="str">
            <v>14050116010511</v>
          </cell>
          <cell r="C4564" t="str">
            <v>CREDIVISIÓN S. A.                       1ND</v>
          </cell>
        </row>
        <row r="4565">
          <cell r="B4565" t="str">
            <v>14050116010512</v>
          </cell>
          <cell r="C4565" t="str">
            <v>ACCESO CREDITICIO S. A.                 1ND</v>
          </cell>
        </row>
        <row r="4566">
          <cell r="B4566" t="str">
            <v>14050116010514</v>
          </cell>
          <cell r="C4566" t="str">
            <v>ALTERNATIVA S. A.                       1ND</v>
          </cell>
        </row>
        <row r="4567">
          <cell r="B4567" t="str">
            <v>14050116010515</v>
          </cell>
          <cell r="C4567" t="str">
            <v>PRONEGOCIOS S. A.                       1ND</v>
          </cell>
        </row>
        <row r="4568">
          <cell r="B4568" t="str">
            <v>14050116010516</v>
          </cell>
          <cell r="C4568" t="str">
            <v>MICASITA S. A.                          1ND</v>
          </cell>
        </row>
        <row r="4569">
          <cell r="B4569" t="str">
            <v>14050116010517</v>
          </cell>
          <cell r="C4569" t="str">
            <v>CREDIJET DEL PERU S. A.                 1ND</v>
          </cell>
        </row>
        <row r="4570">
          <cell r="B4570" t="str">
            <v>14050116010599</v>
          </cell>
          <cell r="C4570" t="str">
            <v>EDPYMES EN LIQUIDACIÓN                  1ND</v>
          </cell>
        </row>
        <row r="4571">
          <cell r="B4571" t="str">
            <v>14050116010705</v>
          </cell>
          <cell r="C4571" t="str">
            <v>LPC AMERICAN LEASING S.A VEN            1ND</v>
          </cell>
        </row>
        <row r="4572">
          <cell r="B4572" t="str">
            <v>14050116010710</v>
          </cell>
          <cell r="C4572" t="str">
            <v>LEASING TOTAL S. A.                     1ND</v>
          </cell>
        </row>
        <row r="4573">
          <cell r="B4573" t="str">
            <v>14050116010711</v>
          </cell>
          <cell r="C4573" t="str">
            <v>MITSUI - MASA LEASING S. A.             1ND</v>
          </cell>
        </row>
        <row r="4574">
          <cell r="B4574" t="str">
            <v>14050116010799</v>
          </cell>
          <cell r="C4574" t="str">
            <v>LEASING EN LIQUIDACIÓN                  1ND</v>
          </cell>
        </row>
        <row r="4575">
          <cell r="B4575" t="str">
            <v>14050116010801</v>
          </cell>
          <cell r="C4575" t="str">
            <v>FONDO DE GARANTÍA PARA PRSTAMOS A LA PEQ1ND</v>
          </cell>
        </row>
        <row r="4576">
          <cell r="B4576" t="str">
            <v>14050116010901</v>
          </cell>
          <cell r="C4576" t="str">
            <v>ALMACENERA DEL PERU S. A. ALMA - PERU   1ND</v>
          </cell>
        </row>
        <row r="4577">
          <cell r="B4577" t="str">
            <v>14050116010902</v>
          </cell>
          <cell r="C4577" t="str">
            <v>DEPÓSITOS S. A.                         1ND</v>
          </cell>
        </row>
        <row r="4578">
          <cell r="B4578" t="str">
            <v>14050116010903</v>
          </cell>
          <cell r="C4578" t="str">
            <v>COMPAÑÍA ALMACENERA S. A. CASA          1ND</v>
          </cell>
        </row>
        <row r="4579">
          <cell r="B4579" t="str">
            <v>14050116010904</v>
          </cell>
          <cell r="C4579" t="str">
            <v>ALMACENES FINANCIEROS S. A.             1ND</v>
          </cell>
        </row>
        <row r="4580">
          <cell r="B4580" t="str">
            <v>14050116010999</v>
          </cell>
          <cell r="C4580" t="str">
            <v>ALMACENES EN LIQUIDACIÓN                1ND</v>
          </cell>
        </row>
        <row r="4581">
          <cell r="B4581" t="str">
            <v>14050116011001</v>
          </cell>
          <cell r="C4581" t="str">
            <v>RÍMAC INTERNACIONAL COMPAÑÍA DE SEGUROS 1ND</v>
          </cell>
        </row>
        <row r="4582">
          <cell r="B4582" t="str">
            <v>14050116011004</v>
          </cell>
          <cell r="C4582" t="str">
            <v>PACÍFICO PERUANO SUIZA COMPAÑÍA DE SEGUR1ND</v>
          </cell>
        </row>
        <row r="4583">
          <cell r="B4583" t="str">
            <v>14050116011005</v>
          </cell>
          <cell r="C4583" t="str">
            <v>LA POSITIVA COMPAÑÍA DE SEGUROS         1ND</v>
          </cell>
        </row>
        <row r="4584">
          <cell r="B4584" t="str">
            <v>14050116011009</v>
          </cell>
          <cell r="C4584" t="str">
            <v>SECREX COMPAÑÍA DE SEGUROS DE  Y GARANTÍ1ND</v>
          </cell>
        </row>
        <row r="4585">
          <cell r="B4585" t="str">
            <v>14050116011012</v>
          </cell>
          <cell r="C4585" t="str">
            <v>LPC MAPFRE PERU CIA SEG Y REAS          1 D</v>
          </cell>
        </row>
        <row r="4586">
          <cell r="B4586" t="str">
            <v>14050116011013</v>
          </cell>
          <cell r="C4586" t="str">
            <v>EL PACÍFICO VIDA COMPAÑÍA DE SEGUROS Y R1ND</v>
          </cell>
        </row>
        <row r="4587">
          <cell r="B4587" t="str">
            <v>14050116011015</v>
          </cell>
          <cell r="C4587" t="str">
            <v>INTERSEGURO COMPAÑÍA DE SEGUROS S. A.   1ND</v>
          </cell>
        </row>
        <row r="4588">
          <cell r="B4588" t="str">
            <v>14050116011016</v>
          </cell>
          <cell r="C4588" t="str">
            <v>MAPFRE PERU VIDA COMPAÑÍA DE SEGUROS    1ND</v>
          </cell>
        </row>
        <row r="4589">
          <cell r="B4589" t="str">
            <v>14050116011017</v>
          </cell>
          <cell r="C4589" t="str">
            <v>ACE SEGUROS S. A.                       1ND</v>
          </cell>
        </row>
        <row r="4590">
          <cell r="B4590" t="str">
            <v>14050116011018</v>
          </cell>
          <cell r="C4590" t="str">
            <v>INVITA SEGUROS DE VIDA                  1ND</v>
          </cell>
        </row>
        <row r="4591">
          <cell r="B4591" t="str">
            <v>14050116011020</v>
          </cell>
          <cell r="C4591" t="str">
            <v>LA POSITIVA VIDA SEGUROS Y REASEUROS S. 1ND</v>
          </cell>
        </row>
        <row r="4592">
          <cell r="B4592" t="str">
            <v>14050116011021</v>
          </cell>
          <cell r="C4592" t="str">
            <v>CARDIF DEL PERU S. A. COMPAÑÍA DE SEGURO1ND</v>
          </cell>
        </row>
        <row r="4593">
          <cell r="B4593" t="str">
            <v>14050116011022</v>
          </cell>
          <cell r="C4593" t="str">
            <v>INSUR COMPAÑÍA DE SEGUROS S. A.         1ND</v>
          </cell>
        </row>
        <row r="4594">
          <cell r="B4594" t="str">
            <v>14050116011023</v>
          </cell>
          <cell r="C4594" t="str">
            <v>PROTECTA COMPAÑÍA DE SEGUROS Y REASEGURO1ND</v>
          </cell>
        </row>
        <row r="4595">
          <cell r="B4595" t="str">
            <v>14050116011099</v>
          </cell>
          <cell r="C4595" t="str">
            <v>SEGUROS EN LIQUIDACIÓN                  1ND</v>
          </cell>
        </row>
        <row r="4596">
          <cell r="B4596" t="str">
            <v>14050116011301</v>
          </cell>
          <cell r="C4596" t="str">
            <v>LA FIDUCIARIA S. A.                     1ND</v>
          </cell>
        </row>
        <row r="4597">
          <cell r="B4597" t="str">
            <v>14050116011302</v>
          </cell>
          <cell r="C4597" t="str">
            <v>FIDUCIARIA GBC S. A.                    1ND</v>
          </cell>
        </row>
        <row r="4598">
          <cell r="B4598" t="str">
            <v>14050116011401</v>
          </cell>
          <cell r="C4598" t="str">
            <v>FONDO MIVIVIENDA S. A.                  1ND</v>
          </cell>
        </row>
        <row r="4599">
          <cell r="B4599" t="str">
            <v>14050116011501</v>
          </cell>
          <cell r="C4599" t="str">
            <v>AMRICA FACTORING S. A.                  1ND</v>
          </cell>
        </row>
        <row r="4600">
          <cell r="B4600" t="str">
            <v>14050116011601</v>
          </cell>
          <cell r="C4600" t="str">
            <v>INCASA S. A.                            1ND</v>
          </cell>
        </row>
        <row r="4601">
          <cell r="B4601" t="str">
            <v>14050116020101</v>
          </cell>
          <cell r="C4601" t="str">
            <v>BANCO CENTRAL DE RESERVA DEL PERU       1ND</v>
          </cell>
        </row>
        <row r="4602">
          <cell r="B4602" t="str">
            <v>14050116020102</v>
          </cell>
          <cell r="C4602" t="str">
            <v>BANCO DE LA NACIÓN                      1ND</v>
          </cell>
        </row>
        <row r="4603">
          <cell r="B4603" t="str">
            <v>14050116020103</v>
          </cell>
          <cell r="C4603" t="str">
            <v>BANCODE CREDITO DEL PERU                1ND</v>
          </cell>
        </row>
        <row r="4604">
          <cell r="B4604" t="str">
            <v>14050116020104</v>
          </cell>
          <cell r="C4604" t="str">
            <v>BANCO INTERNACIONAL DEL PERU - INTERBANK1ND</v>
          </cell>
        </row>
        <row r="4605">
          <cell r="B4605" t="str">
            <v>14050116020105</v>
          </cell>
          <cell r="C4605" t="str">
            <v>SCOTIABANK PERU S. A. A.                1ND</v>
          </cell>
        </row>
        <row r="4606">
          <cell r="B4606" t="str">
            <v>14050116020106</v>
          </cell>
          <cell r="C4606" t="str">
            <v>BANCO CONTINENTAL                       1ND</v>
          </cell>
        </row>
        <row r="4607">
          <cell r="B4607" t="str">
            <v>14050116020108</v>
          </cell>
          <cell r="C4607" t="str">
            <v>BANCO DE COMERCIO                       1ND</v>
          </cell>
        </row>
        <row r="4608">
          <cell r="B4608" t="str">
            <v>14050116020109</v>
          </cell>
          <cell r="C4608" t="str">
            <v>BANCO FINANCIERO DEL PERU               1ND</v>
          </cell>
        </row>
        <row r="4609">
          <cell r="B4609" t="str">
            <v>14050116020116</v>
          </cell>
          <cell r="C4609" t="str">
            <v>CITIBANK N. A. , SUCURSAL EN EL PERU DEL1ND</v>
          </cell>
        </row>
        <row r="4610">
          <cell r="B4610" t="str">
            <v>14050116020121</v>
          </cell>
          <cell r="C4610" t="str">
            <v>BANCO INTERAMERICANO DE FINANZAS - S. A.1ND</v>
          </cell>
        </row>
        <row r="4611">
          <cell r="B4611" t="str">
            <v>14050116020128</v>
          </cell>
          <cell r="C4611" t="str">
            <v>CORPORACIÓN FINANCIERA DE DESARROLLO S. 1ND</v>
          </cell>
        </row>
        <row r="4612">
          <cell r="B4612" t="str">
            <v>14050116020129</v>
          </cell>
          <cell r="C4612" t="str">
            <v>MIBANCO BANCO DE LA MICROEMPRESA - MIBAN1ND</v>
          </cell>
        </row>
        <row r="4613">
          <cell r="B4613" t="str">
            <v>14050116020131</v>
          </cell>
          <cell r="C4613" t="str">
            <v>BANCO AGROPECUARIO - AGROBANCO          1ND</v>
          </cell>
        </row>
        <row r="4614">
          <cell r="B4614" t="str">
            <v>14050116020132</v>
          </cell>
          <cell r="C4614" t="str">
            <v>HSBC BANK PERU S. A.                    1ND</v>
          </cell>
        </row>
        <row r="4615">
          <cell r="B4615" t="str">
            <v>14050116020133</v>
          </cell>
          <cell r="C4615" t="str">
            <v>BANCO FALABELLA DEL PERU                1ND</v>
          </cell>
        </row>
        <row r="4616">
          <cell r="B4616" t="str">
            <v>14050116020134</v>
          </cell>
          <cell r="C4616" t="str">
            <v>BANCO SANTANDER PERU S. A.              1ND</v>
          </cell>
        </row>
        <row r="4617">
          <cell r="B4617" t="str">
            <v>14050116020135</v>
          </cell>
          <cell r="C4617" t="str">
            <v>BANCO RIPLEY S. A.                      1ND</v>
          </cell>
        </row>
        <row r="4618">
          <cell r="B4618" t="str">
            <v>14050116020136</v>
          </cell>
          <cell r="C4618" t="str">
            <v>BANCO AZTECA DEL PERU S. A.             1ND</v>
          </cell>
        </row>
        <row r="4619">
          <cell r="B4619" t="str">
            <v>14050116020137</v>
          </cell>
          <cell r="C4619" t="str">
            <v>DEUTSCHE BANK (PERU) S. A.              1ND</v>
          </cell>
        </row>
        <row r="4620">
          <cell r="B4620" t="str">
            <v>14050116020199</v>
          </cell>
          <cell r="C4620" t="str">
            <v>BANCOS EN LIQUIDACIÓN                   1ND</v>
          </cell>
        </row>
        <row r="4621">
          <cell r="B4621" t="str">
            <v>14050116020203</v>
          </cell>
          <cell r="C4621" t="str">
            <v>SOLUCIÓN FINANCIERADE CREDITO DEL PERU  1ND</v>
          </cell>
        </row>
        <row r="4622">
          <cell r="B4622" t="str">
            <v>14050116020207</v>
          </cell>
          <cell r="C4622" t="str">
            <v>FINANCIERA TFC S. A.                    1ND</v>
          </cell>
        </row>
        <row r="4623">
          <cell r="B4623" t="str">
            <v>14050116020209</v>
          </cell>
          <cell r="C4623" t="str">
            <v>FINANCIERA EDYFICAR S. A.               1ND</v>
          </cell>
        </row>
        <row r="4624">
          <cell r="B4624" t="str">
            <v>14050116020210</v>
          </cell>
          <cell r="C4624" t="str">
            <v>CREDISCOTIA FINANCIERA S. A.            1ND</v>
          </cell>
        </row>
        <row r="4625">
          <cell r="B4625" t="str">
            <v>14050116020211</v>
          </cell>
          <cell r="C4625" t="str">
            <v>FINANCIERA CREAR S. A.                  1ND</v>
          </cell>
        </row>
        <row r="4626">
          <cell r="B4626" t="str">
            <v>14050116020212</v>
          </cell>
          <cell r="C4626" t="str">
            <v>FINANCIERA CONFIANZA S. A.              1ND</v>
          </cell>
        </row>
        <row r="4627">
          <cell r="B4627" t="str">
            <v>14050116020213</v>
          </cell>
          <cell r="C4627" t="str">
            <v>FINANCIERA UNIVERSAL S. A.              1ND</v>
          </cell>
        </row>
        <row r="4628">
          <cell r="B4628" t="str">
            <v>14050116020214</v>
          </cell>
          <cell r="C4628" t="str">
            <v>FINANCIERA UNO S. A.                    1ND</v>
          </cell>
        </row>
        <row r="4629">
          <cell r="B4629" t="str">
            <v>14050116020216</v>
          </cell>
          <cell r="C4629" t="str">
            <v>LPC AMERIKA FINANCIERA S.A VEN          1ND</v>
          </cell>
        </row>
        <row r="4630">
          <cell r="B4630" t="str">
            <v>14050116020299</v>
          </cell>
          <cell r="C4630" t="str">
            <v>FINANCIERAS EN LIQUIDACIÓN              1ND</v>
          </cell>
        </row>
        <row r="4631">
          <cell r="B4631" t="str">
            <v>14050116020301</v>
          </cell>
          <cell r="C4631" t="str">
            <v>CAJA MUNICIPAL DE AHORRO YCREDITO DE SUL1ND</v>
          </cell>
        </row>
        <row r="4632">
          <cell r="B4632" t="str">
            <v>14050116020302</v>
          </cell>
          <cell r="C4632" t="str">
            <v>CAJA MUNICIPALDE CREDITO POPULAR DE LIMA1ND</v>
          </cell>
        </row>
        <row r="4633">
          <cell r="B4633" t="str">
            <v>14050116020303</v>
          </cell>
          <cell r="C4633" t="str">
            <v>CAJA MUNICIPAL DE AHORRO YCREDITO DE PIU1ND</v>
          </cell>
        </row>
        <row r="4634">
          <cell r="B4634" t="str">
            <v>14050116020304</v>
          </cell>
          <cell r="C4634" t="str">
            <v>CAJA MUNICIPAL DE AHORRO YCREDITO DE ARE1ND</v>
          </cell>
        </row>
        <row r="4635">
          <cell r="B4635" t="str">
            <v>14050116020305</v>
          </cell>
          <cell r="C4635" t="str">
            <v>CAJA MUNICIPAL DE AHORRO YCREDITO DE HUA1ND</v>
          </cell>
        </row>
        <row r="4636">
          <cell r="B4636" t="str">
            <v>14050116020306</v>
          </cell>
          <cell r="C4636" t="str">
            <v>CAJA MUNICIPAL DE AHORRO YCREDITO CUSCO 1ND</v>
          </cell>
        </row>
        <row r="4637">
          <cell r="B4637" t="str">
            <v>14050116020307</v>
          </cell>
          <cell r="C4637" t="str">
            <v>CAJA MUNICIPAL DE AHORRO YCREDITO DE MAY1ND</v>
          </cell>
        </row>
        <row r="4638">
          <cell r="B4638" t="str">
            <v>14050116020308</v>
          </cell>
          <cell r="C4638" t="str">
            <v>CAJA MUNICIPAL DE AHORRO YCREDITO DE ICA1ND</v>
          </cell>
        </row>
        <row r="4639">
          <cell r="B4639" t="str">
            <v>14050116020309</v>
          </cell>
          <cell r="C4639" t="str">
            <v>CAJA MUNICIPAL DE AHORRO YCREDITO DE PAI1ND</v>
          </cell>
        </row>
        <row r="4640">
          <cell r="B4640" t="str">
            <v>14050116020310</v>
          </cell>
          <cell r="C4640" t="str">
            <v>CAJA MUNICIPAL DE AHORRO YCREDITO DEL SA1ND</v>
          </cell>
        </row>
        <row r="4641">
          <cell r="B4641" t="str">
            <v>14050116020311</v>
          </cell>
          <cell r="C4641" t="str">
            <v>CAJA MUNICIPAL DE AHORRO YCREDITO DE TRU1ND</v>
          </cell>
        </row>
        <row r="4642">
          <cell r="B4642" t="str">
            <v>14050116020312</v>
          </cell>
          <cell r="C4642" t="str">
            <v>CAJA MUNICIPAL DE AHORRO YCREDITO DE TAC1ND</v>
          </cell>
        </row>
        <row r="4643">
          <cell r="B4643" t="str">
            <v>14050116020313</v>
          </cell>
          <cell r="C4643" t="str">
            <v>CAJA MUNICIPAL DE AHORRO YCREDITO DE PIS1ND</v>
          </cell>
        </row>
        <row r="4644">
          <cell r="B4644" t="str">
            <v>14050116020399</v>
          </cell>
          <cell r="C4644" t="str">
            <v>CAJAS MUNICIPALES DE AHORRO YCREDITO EN 1ND</v>
          </cell>
        </row>
        <row r="4645">
          <cell r="B4645" t="str">
            <v>14050116020403</v>
          </cell>
          <cell r="C4645" t="str">
            <v>CAJA RURAL DE AHORRO YCREDITO QUILLABAMB1ND</v>
          </cell>
        </row>
        <row r="4646">
          <cell r="B4646" t="str">
            <v>14050116020405</v>
          </cell>
          <cell r="C4646" t="str">
            <v>CAJA RURAL DE AHORRO YCREDITO LOS LIBERT1ND</v>
          </cell>
        </row>
        <row r="4647">
          <cell r="B4647" t="str">
            <v>14050116020406</v>
          </cell>
          <cell r="C4647" t="str">
            <v>CAJA RURAL DE AHORRO YCREDITO SEÑOR DE L1ND</v>
          </cell>
        </row>
        <row r="4648">
          <cell r="B4648" t="str">
            <v>14050116020407</v>
          </cell>
          <cell r="C4648" t="str">
            <v>CAJA RURAL DE AHORRO YCREDITO CHAVÍN S. 1ND</v>
          </cell>
        </row>
        <row r="4649">
          <cell r="B4649" t="str">
            <v>14050116020408</v>
          </cell>
          <cell r="C4649" t="str">
            <v>CAJA RURAL DE AHORRO YCREDITO NUESTRA GE1ND</v>
          </cell>
        </row>
        <row r="4650">
          <cell r="B4650" t="str">
            <v>14050116020409</v>
          </cell>
          <cell r="C4650" t="str">
            <v>CAJA RURAL DE AHORRO YCREDITO CAJAMARCA 1ND</v>
          </cell>
        </row>
        <row r="4651">
          <cell r="B4651" t="str">
            <v>14050116020410</v>
          </cell>
          <cell r="C4651" t="str">
            <v>CAJA RURAL DE AHORRO YCREDITO PROFINANZA1ND</v>
          </cell>
        </row>
        <row r="4652">
          <cell r="B4652" t="str">
            <v>14050116020412</v>
          </cell>
          <cell r="C4652" t="str">
            <v>CAJA RURAL DE AHORRO YCREDITO SIPÁN S. A1ND</v>
          </cell>
        </row>
        <row r="4653">
          <cell r="B4653" t="str">
            <v>14050116020414</v>
          </cell>
          <cell r="C4653" t="str">
            <v>CAJA RURAL DE AHORRO YCREDITO PRYMERA S.1ND</v>
          </cell>
        </row>
        <row r="4654">
          <cell r="B4654" t="str">
            <v>14050116020415</v>
          </cell>
          <cell r="C4654" t="str">
            <v>CAJA RURAL DE AHORRO YCREDITO LOS ANDES 1ND</v>
          </cell>
        </row>
        <row r="4655">
          <cell r="B4655" t="str">
            <v>14050116020499</v>
          </cell>
          <cell r="C4655" t="str">
            <v>CAJAS RURALES DE AHORRO YCREDITO EN LIQU1ND</v>
          </cell>
        </row>
        <row r="4656">
          <cell r="B4656" t="str">
            <v>14050116020503</v>
          </cell>
          <cell r="C4656" t="str">
            <v>PROEMPRESA S. A.                        1ND</v>
          </cell>
        </row>
        <row r="4657">
          <cell r="B4657" t="str">
            <v>14050116020506</v>
          </cell>
          <cell r="C4657" t="str">
            <v>NUEVA VISIÓN S. A.                      1ND</v>
          </cell>
        </row>
        <row r="4658">
          <cell r="B4658" t="str">
            <v>14050116020508</v>
          </cell>
          <cell r="C4658" t="str">
            <v>RAIZ S. A.                              1ND</v>
          </cell>
        </row>
        <row r="4659">
          <cell r="B4659" t="str">
            <v>14050116020510</v>
          </cell>
          <cell r="C4659" t="str">
            <v>SOLIDARIDAD S. A.                       1ND</v>
          </cell>
        </row>
        <row r="4660">
          <cell r="B4660" t="str">
            <v>14050116020511</v>
          </cell>
          <cell r="C4660" t="str">
            <v>CREDIVISIÓN S. A.                       1ND</v>
          </cell>
        </row>
        <row r="4661">
          <cell r="B4661" t="str">
            <v>14050116020512</v>
          </cell>
          <cell r="C4661" t="str">
            <v>ACCESO CREDITICIO S. A.                 1ND</v>
          </cell>
        </row>
        <row r="4662">
          <cell r="B4662" t="str">
            <v>14050116020514</v>
          </cell>
          <cell r="C4662" t="str">
            <v>ALTERNATIVA S. A.                       1ND</v>
          </cell>
        </row>
        <row r="4663">
          <cell r="B4663" t="str">
            <v>14050116020515</v>
          </cell>
          <cell r="C4663" t="str">
            <v>PRONEGOCIOS S. A.                       1ND</v>
          </cell>
        </row>
        <row r="4664">
          <cell r="B4664" t="str">
            <v>14050116020516</v>
          </cell>
          <cell r="C4664" t="str">
            <v>MICASITA S. A.                          1ND</v>
          </cell>
        </row>
        <row r="4665">
          <cell r="B4665" t="str">
            <v>14050116020517</v>
          </cell>
          <cell r="C4665" t="str">
            <v>CREDIJET DEL PERU S. A.                 1ND</v>
          </cell>
        </row>
        <row r="4666">
          <cell r="B4666" t="str">
            <v>14050116020599</v>
          </cell>
          <cell r="C4666" t="str">
            <v>EDPYMES EN LIQUIDACIÓN                  1ND</v>
          </cell>
        </row>
        <row r="4667">
          <cell r="B4667" t="str">
            <v>14050116020710</v>
          </cell>
          <cell r="C4667" t="str">
            <v>LEASING TOTAL S. A.                     1ND</v>
          </cell>
        </row>
        <row r="4668">
          <cell r="B4668" t="str">
            <v>14050116020711</v>
          </cell>
          <cell r="C4668" t="str">
            <v>MITSUI - MASA LEASING S. A.             1ND</v>
          </cell>
        </row>
        <row r="4669">
          <cell r="B4669" t="str">
            <v>14050116020799</v>
          </cell>
          <cell r="C4669" t="str">
            <v>LEASING EN LIQUIDACIÓN                  1ND</v>
          </cell>
        </row>
        <row r="4670">
          <cell r="B4670" t="str">
            <v>14050116020801</v>
          </cell>
          <cell r="C4670" t="str">
            <v>FONDO DE GARANTÍA PARA PRSTAMOS A LA PEQ1ND</v>
          </cell>
        </row>
        <row r="4671">
          <cell r="B4671" t="str">
            <v>14050116021001</v>
          </cell>
          <cell r="C4671" t="str">
            <v>RÍMAC INTERNACIONAL COMPAÑÍA DE SEGUROS 1ND</v>
          </cell>
        </row>
        <row r="4672">
          <cell r="B4672" t="str">
            <v>14050116021004</v>
          </cell>
          <cell r="C4672" t="str">
            <v>PACÍFICO PERUANO SUIZA COMPAÑÍA DE SEGUR1ND</v>
          </cell>
        </row>
        <row r="4673">
          <cell r="B4673" t="str">
            <v>14050116021005</v>
          </cell>
          <cell r="C4673" t="str">
            <v>LA POSITIVA COMPAÑÍA DE SEGUROS         1ND</v>
          </cell>
        </row>
        <row r="4674">
          <cell r="B4674" t="str">
            <v>14050116021009</v>
          </cell>
          <cell r="C4674" t="str">
            <v>SECREX COMPAÑÍA DE SEGUROS DE  Y GARANTÍ1ND</v>
          </cell>
        </row>
        <row r="4675">
          <cell r="B4675" t="str">
            <v>14050116021012</v>
          </cell>
          <cell r="C4675" t="str">
            <v>MAPFRE PERU COMPAÑÍA DE SEGUROS Y REASEG1ND</v>
          </cell>
        </row>
        <row r="4676">
          <cell r="B4676" t="str">
            <v>14050116021013</v>
          </cell>
          <cell r="C4676" t="str">
            <v>EL PACÍFICO VIDA COMPAÑÍA DE SEGUROS Y R1ND</v>
          </cell>
        </row>
        <row r="4677">
          <cell r="B4677" t="str">
            <v>14050116021015</v>
          </cell>
          <cell r="C4677" t="str">
            <v>INTERSEGURO COMPAÑÍA DE SEGUROS S. A.   1ND</v>
          </cell>
        </row>
        <row r="4678">
          <cell r="B4678" t="str">
            <v>14050116021016</v>
          </cell>
          <cell r="C4678" t="str">
            <v>MAPFRE PERU VIDA COMPAÑÍA DE SEGUROS    1ND</v>
          </cell>
        </row>
        <row r="4679">
          <cell r="B4679" t="str">
            <v>14050116021017</v>
          </cell>
          <cell r="C4679" t="str">
            <v>ACE SEGUROS S. A.                       1ND</v>
          </cell>
        </row>
        <row r="4680">
          <cell r="B4680" t="str">
            <v>14050116021018</v>
          </cell>
          <cell r="C4680" t="str">
            <v>INVITA SEGUROS DE VIDA                  1ND</v>
          </cell>
        </row>
        <row r="4681">
          <cell r="B4681" t="str">
            <v>14050116021020</v>
          </cell>
          <cell r="C4681" t="str">
            <v>LA POSITIVA VIDA SEGUROS Y REASEUROS S. 1ND</v>
          </cell>
        </row>
        <row r="4682">
          <cell r="B4682" t="str">
            <v>14050116021021</v>
          </cell>
          <cell r="C4682" t="str">
            <v>CARDIF DEL PERU S. A. COMPAÑÍA DE SEGURO1ND</v>
          </cell>
        </row>
        <row r="4683">
          <cell r="B4683" t="str">
            <v>14050116021022</v>
          </cell>
          <cell r="C4683" t="str">
            <v>INSUR COMPAÑÍA DE SEGUROS S. A.         1ND</v>
          </cell>
        </row>
        <row r="4684">
          <cell r="B4684" t="str">
            <v>14050116021023</v>
          </cell>
          <cell r="C4684" t="str">
            <v>PROTECTA COMPAÑÍA DE SEGUROS Y REASEGURO1ND</v>
          </cell>
        </row>
        <row r="4685">
          <cell r="B4685" t="str">
            <v>14050116021099</v>
          </cell>
          <cell r="C4685" t="str">
            <v>SEGUROS EN LIQUIDACIÓN                  1ND</v>
          </cell>
        </row>
        <row r="4686">
          <cell r="B4686" t="str">
            <v>14050116021301</v>
          </cell>
          <cell r="C4686" t="str">
            <v>LA FIDUCIARIA S. A.                     1ND</v>
          </cell>
        </row>
        <row r="4687">
          <cell r="B4687" t="str">
            <v>14050116021302</v>
          </cell>
          <cell r="C4687" t="str">
            <v>FIDUCIARIA GBC S. A.                    1ND</v>
          </cell>
        </row>
        <row r="4688">
          <cell r="B4688" t="str">
            <v>14050116021401</v>
          </cell>
          <cell r="C4688" t="str">
            <v>FONDO MIVIVIENDA S. A.                  1ND</v>
          </cell>
        </row>
        <row r="4689">
          <cell r="B4689" t="str">
            <v>14050116021501</v>
          </cell>
          <cell r="C4689" t="str">
            <v>AMRICA FACTORING S. A.                  1ND</v>
          </cell>
        </row>
        <row r="4690">
          <cell r="B4690" t="str">
            <v>14050116021601</v>
          </cell>
          <cell r="C4690" t="str">
            <v>INCASA S. A.                            1ND</v>
          </cell>
        </row>
        <row r="4691">
          <cell r="B4691" t="str">
            <v>14050119000101</v>
          </cell>
          <cell r="C4691" t="str">
            <v>REFINANC VENC -DCTO LETRAS-CL           1ND</v>
          </cell>
        </row>
        <row r="4692">
          <cell r="B4692" t="str">
            <v>14050119000105</v>
          </cell>
          <cell r="C4692" t="str">
            <v>REFINANC VENC-PAGARE-CL                 1ND</v>
          </cell>
        </row>
        <row r="4693">
          <cell r="B4693" t="str">
            <v>14050119000108</v>
          </cell>
          <cell r="C4693" t="str">
            <v>REFINANC VENC-PAGARES-IMP-CL            1ND</v>
          </cell>
        </row>
        <row r="4694">
          <cell r="B4694" t="str">
            <v>14050119000118</v>
          </cell>
          <cell r="C4694" t="str">
            <v>REFINANC VENC-CONSOL DEUDA -BCO-CL      1ND</v>
          </cell>
        </row>
        <row r="4695">
          <cell r="B4695" t="str">
            <v>14050119000119</v>
          </cell>
          <cell r="C4695" t="str">
            <v>BL P.REF RP CAP TRAB VENCIDO CL         1ND</v>
          </cell>
        </row>
        <row r="4696">
          <cell r="B4696" t="str">
            <v>14050119000120</v>
          </cell>
          <cell r="C4696" t="str">
            <v>BL PAG. VENNC. REF.DESC.LET.BCO CL      1ND</v>
          </cell>
        </row>
        <row r="4697">
          <cell r="B4697" t="str">
            <v>14050119060102</v>
          </cell>
          <cell r="C4697" t="str">
            <v>CL P.REFIN RP CAP TRABAJO VENC          1ND</v>
          </cell>
        </row>
        <row r="4698">
          <cell r="B4698" t="str">
            <v>14050119060104</v>
          </cell>
          <cell r="C4698" t="str">
            <v>LPC PAG TV REFINANCIADO VENC            1ND</v>
          </cell>
        </row>
        <row r="4699">
          <cell r="B4699" t="str">
            <v>14050119060107</v>
          </cell>
          <cell r="C4699" t="str">
            <v>IC REF HIPOT CRED COMER VEN -90D        1ND</v>
          </cell>
        </row>
        <row r="4700">
          <cell r="B4700" t="str">
            <v>14050119060112</v>
          </cell>
          <cell r="C4700" t="str">
            <v>MYP PAG.TV REFIN. C/FIJA VEN COM        1ND</v>
          </cell>
        </row>
        <row r="4701">
          <cell r="B4701" t="str">
            <v>14050119060201</v>
          </cell>
          <cell r="C4701" t="str">
            <v>MYP REFIN.COBRANZAS C/FIJA VEN COM.     1ND</v>
          </cell>
        </row>
        <row r="4702">
          <cell r="B4702" t="str">
            <v>14050119060202</v>
          </cell>
          <cell r="C4702" t="str">
            <v>MYP REFIN.COBRANZAS REVOL.VENC.COM.     1ND</v>
          </cell>
        </row>
        <row r="4703">
          <cell r="B4703" t="str">
            <v>14050119110101</v>
          </cell>
          <cell r="C4703" t="str">
            <v>LPC PRI LS BIEN REFIN.CAPI.VEN          1ND</v>
          </cell>
        </row>
        <row r="4704">
          <cell r="B4704" t="str">
            <v>14050119110103</v>
          </cell>
          <cell r="C4704" t="str">
            <v>LPC PIG LS BIEN REFIN.IGV VEN           1ND</v>
          </cell>
        </row>
        <row r="4705">
          <cell r="B4705" t="str">
            <v>14050119240101</v>
          </cell>
          <cell r="C4705" t="str">
            <v>CL PAG.REF.RFA SUBORDINADO VENC         1ND</v>
          </cell>
        </row>
        <row r="4706">
          <cell r="B4706" t="str">
            <v>14050119240103</v>
          </cell>
          <cell r="C4706" t="str">
            <v>CL PRE.JUD.PAG.RFA SUBORD               1ND</v>
          </cell>
        </row>
        <row r="4707">
          <cell r="B4707" t="str">
            <v>14050119240104</v>
          </cell>
          <cell r="C4707" t="str">
            <v>CL PRE JUD PAG RFA FINANC VENC GL7003   1ND</v>
          </cell>
        </row>
        <row r="4708">
          <cell r="B4708" t="str">
            <v>14050119250103</v>
          </cell>
          <cell r="C4708" t="str">
            <v>CL PREJUD. P.REF.FOPE SUBOR GL7003      1ND</v>
          </cell>
        </row>
        <row r="4709">
          <cell r="B4709" t="str">
            <v>14050119250104</v>
          </cell>
          <cell r="C4709" t="str">
            <v>CL PREJUD. P.REF.FOPE GL7003            1ND</v>
          </cell>
        </row>
        <row r="4710">
          <cell r="B4710" t="str">
            <v>14050119260103</v>
          </cell>
          <cell r="C4710" t="str">
            <v>CL PAGARES IMPORTACION REFINA VENC      1ND</v>
          </cell>
        </row>
        <row r="4711">
          <cell r="B4711" t="str">
            <v>14050119290105</v>
          </cell>
          <cell r="C4711" t="str">
            <v>REFINANC VENC-PAGARE-CL                 1ND</v>
          </cell>
        </row>
        <row r="4712">
          <cell r="B4712" t="str">
            <v>14050119290121</v>
          </cell>
          <cell r="C4712" t="str">
            <v>PAG TV REFINANCIADO VENC - LPC          1ND</v>
          </cell>
        </row>
        <row r="4713">
          <cell r="B4713" t="str">
            <v>14050119290133</v>
          </cell>
          <cell r="C4713" t="str">
            <v>LEASING DEL BIEN VENC REF RP LPC        1ND</v>
          </cell>
        </row>
        <row r="4714">
          <cell r="B4714" t="str">
            <v>14050119290135</v>
          </cell>
          <cell r="C4714" t="str">
            <v>LEASING VENC REF IGV RP LPC             1ND</v>
          </cell>
        </row>
        <row r="4715">
          <cell r="B4715" t="str">
            <v>14050121000101</v>
          </cell>
          <cell r="C4715" t="str">
            <v>CL CXL CC AVAL BKT VENC                 1ND</v>
          </cell>
        </row>
        <row r="4716">
          <cell r="B4716" t="str">
            <v>14050121000103</v>
          </cell>
          <cell r="C4716" t="str">
            <v>CL CXL AVAL ACEPTACION BKT VEN          1ND</v>
          </cell>
        </row>
        <row r="4717">
          <cell r="B4717" t="str">
            <v>14050121000106</v>
          </cell>
          <cell r="C4717" t="str">
            <v>CL CXL CC ACEPTACIONES BKT VEN          1ND</v>
          </cell>
        </row>
        <row r="4718">
          <cell r="B4718" t="str">
            <v>14050121000108</v>
          </cell>
          <cell r="C4718" t="str">
            <v>CL CXL C.C VISTA BKT VEN                1ND</v>
          </cell>
        </row>
        <row r="4719">
          <cell r="B4719" t="str">
            <v>14050121000119</v>
          </cell>
          <cell r="C4719" t="str">
            <v>BL AD AC CAP TRAB VENCIDOS              1ND</v>
          </cell>
        </row>
        <row r="4720">
          <cell r="B4720" t="str">
            <v>14050122000101</v>
          </cell>
          <cell r="C4720" t="str">
            <v>CTAS CTES REESTRUCT VENC CL             1ND</v>
          </cell>
        </row>
        <row r="4721">
          <cell r="B4721" t="str">
            <v>14050122000103</v>
          </cell>
          <cell r="C4721" t="str">
            <v>DCTO PAG REESTRUCT VENC CL              1ND</v>
          </cell>
        </row>
        <row r="4722">
          <cell r="B4722" t="str">
            <v>14050122000104</v>
          </cell>
          <cell r="C4722" t="str">
            <v>PAG TASA VENC REESTRUCT VENC CL         1ND</v>
          </cell>
        </row>
        <row r="4723">
          <cell r="B4723" t="str">
            <v>14050122000109</v>
          </cell>
          <cell r="C4723" t="str">
            <v>BL PAG.REF.IND.TV.CAP.TRAB. VENCIDO CL  1ND</v>
          </cell>
        </row>
        <row r="4724">
          <cell r="B4724" t="str">
            <v>14050122040101</v>
          </cell>
          <cell r="C4724" t="str">
            <v>CL CTA.CTE.REESTRUC.VEN                 1ND</v>
          </cell>
        </row>
        <row r="4725">
          <cell r="B4725" t="str">
            <v>14050122060102</v>
          </cell>
          <cell r="C4725" t="str">
            <v>CL PAG..REEST CAP TRABAJO VENC          1ND</v>
          </cell>
        </row>
        <row r="4726">
          <cell r="B4726" t="str">
            <v>14050122060109</v>
          </cell>
          <cell r="C4726" t="str">
            <v>LPC PAG.REES.MED.PLAZ C/FIJA VEN        1ND</v>
          </cell>
        </row>
        <row r="4727">
          <cell r="B4727" t="str">
            <v>14050126000101</v>
          </cell>
          <cell r="C4727" t="str">
            <v>CL P. EXP.PRE EM.RP VEN                 1ND</v>
          </cell>
        </row>
        <row r="4728">
          <cell r="B4728" t="str">
            <v>14050126000102</v>
          </cell>
          <cell r="C4728" t="str">
            <v>CL P.EXP.POST EMB RP VEN                1ND</v>
          </cell>
        </row>
        <row r="4729">
          <cell r="B4729" t="str">
            <v>14050126000103</v>
          </cell>
          <cell r="C4729" t="str">
            <v>UCL PAGARE IMPOR RP VEN                 1ND</v>
          </cell>
        </row>
        <row r="4730">
          <cell r="B4730" t="str">
            <v>14050126000110</v>
          </cell>
          <cell r="C4730" t="str">
            <v>CL D/P PAG.PRE EXP.EMBAR.VEN            1ND</v>
          </cell>
        </row>
        <row r="4731">
          <cell r="B4731" t="str">
            <v>14050126000111</v>
          </cell>
          <cell r="C4731" t="str">
            <v>CL D/P P.EXP.PRE EMB.R.BQ VEN           1ND</v>
          </cell>
        </row>
        <row r="4732">
          <cell r="B4732" t="str">
            <v>14050126000112</v>
          </cell>
          <cell r="C4732" t="str">
            <v>CL D/P PAG.IMPORT RP VEN                1ND</v>
          </cell>
        </row>
        <row r="4733">
          <cell r="B4733" t="str">
            <v>14050126000120</v>
          </cell>
          <cell r="C4733" t="str">
            <v>MYP FINANC IMPORT CAPITAL DE TRAB COM   1ND</v>
          </cell>
        </row>
        <row r="4734">
          <cell r="B4734" t="str">
            <v>14050126000121</v>
          </cell>
          <cell r="C4734" t="str">
            <v>MYP FINANC IMPORT ACT FIJO  COMER VEN   1ND</v>
          </cell>
        </row>
        <row r="4735">
          <cell r="B4735" t="str">
            <v>14050126000301</v>
          </cell>
          <cell r="C4735" t="str">
            <v>LPC PAGARE IMPORT RP VENC               1ND</v>
          </cell>
        </row>
        <row r="4736">
          <cell r="B4736" t="str">
            <v>14050126000302</v>
          </cell>
          <cell r="C4736" t="str">
            <v>LPC PAGARE IMPORT RP D/P VENC           1ND</v>
          </cell>
        </row>
        <row r="4737">
          <cell r="B4737" t="str">
            <v>14050126000601</v>
          </cell>
          <cell r="C4737" t="str">
            <v>CL PRE JUDIC PREST EXPORT VENC GL7003   1ND</v>
          </cell>
        </row>
        <row r="4738">
          <cell r="B4738" t="str">
            <v>14050126000602</v>
          </cell>
          <cell r="C4738" t="str">
            <v>CL PRE JUDIC PAG.IMPORT VENC GL7003     1ND</v>
          </cell>
        </row>
        <row r="4739">
          <cell r="B4739" t="str">
            <v>14050126000603</v>
          </cell>
          <cell r="C4739" t="str">
            <v>CL PRE JUDIC CARTAS CRED VENC GL7003    1ND</v>
          </cell>
        </row>
        <row r="4740">
          <cell r="B4740" t="str">
            <v>14050202010101</v>
          </cell>
          <cell r="C4740" t="str">
            <v>TC MES COLOC. REVOLV.DISP.EFECTIVO      1ND</v>
          </cell>
        </row>
        <row r="4741">
          <cell r="B4741" t="str">
            <v>14050202010102</v>
          </cell>
          <cell r="C4741" t="str">
            <v>CL PREJUD TCVISA PJ-DIS.EFE MES         1ND</v>
          </cell>
        </row>
        <row r="4742">
          <cell r="B4742" t="str">
            <v>14050202010103</v>
          </cell>
          <cell r="C4742" t="str">
            <v>$CL PREJUD TCAMEX PJ-DIS.EFE MES        1ND</v>
          </cell>
        </row>
        <row r="4743">
          <cell r="B4743" t="str">
            <v>14050202010104</v>
          </cell>
          <cell r="C4743" t="str">
            <v>$CL PREJUD TCMAST PJ-DIS.EFE MES        1ND</v>
          </cell>
        </row>
        <row r="4744">
          <cell r="B4744" t="str">
            <v>14050202010501</v>
          </cell>
          <cell r="C4744" t="str">
            <v>TC VISA COMERC COLOC.DISP.EFECT. CMIE   1ND</v>
          </cell>
        </row>
        <row r="4745">
          <cell r="B4745" t="str">
            <v>14050202010502</v>
          </cell>
          <cell r="C4745" t="str">
            <v>TC MC COMERCIAL. COLOC. CMIE            1ND</v>
          </cell>
        </row>
        <row r="4746">
          <cell r="B4746" t="str">
            <v>14050202010503</v>
          </cell>
          <cell r="C4746" t="str">
            <v>TC AMEX COMERC COLOC.DISP.EFECT. CMIE   1ND</v>
          </cell>
        </row>
        <row r="4747">
          <cell r="B4747" t="str">
            <v>14050202010504</v>
          </cell>
          <cell r="C4747" t="str">
            <v>TC VEA COMERCIAL. COLOC. DISP. CMIE     1ND</v>
          </cell>
        </row>
        <row r="4748">
          <cell r="B4748" t="str">
            <v>14050202010505</v>
          </cell>
          <cell r="C4748" t="str">
            <v>TC COLOC. DISP.EFECTIVO EN CUOTAS VEN. C1ND</v>
          </cell>
        </row>
        <row r="4749">
          <cell r="B4749" t="str">
            <v>14050202010506</v>
          </cell>
          <cell r="C4749" t="str">
            <v>TC AMEX D/E CUOTAS VEN CMIE             1ND</v>
          </cell>
        </row>
        <row r="4750">
          <cell r="B4750" t="str">
            <v>14050202010507</v>
          </cell>
          <cell r="C4750" t="str">
            <v>TC AMEX D/E REV VEN CMIE                1ND</v>
          </cell>
        </row>
        <row r="4751">
          <cell r="B4751" t="str">
            <v>14050202010508</v>
          </cell>
          <cell r="C4751" t="str">
            <v>TC MC D/E CUOTAS VEN CMIE               1ND</v>
          </cell>
        </row>
        <row r="4752">
          <cell r="B4752" t="str">
            <v>14050202010509</v>
          </cell>
          <cell r="C4752" t="str">
            <v>TC MC D/E REV VEN CMIE                  1ND</v>
          </cell>
        </row>
        <row r="4753">
          <cell r="B4753" t="str">
            <v>14050202010510</v>
          </cell>
          <cell r="C4753" t="str">
            <v>TC VISA D/E CUOTAS VEN CMIE             1ND</v>
          </cell>
        </row>
        <row r="4754">
          <cell r="B4754" t="str">
            <v>14050202010511</v>
          </cell>
          <cell r="C4754" t="str">
            <v>TC VISA D/E REV VEN CMIE                1ND</v>
          </cell>
        </row>
        <row r="4755">
          <cell r="B4755" t="str">
            <v>14050202010601</v>
          </cell>
          <cell r="C4755" t="str">
            <v>JCC PREJUD TCMAST PJ-DIS.EFE MES        1ND</v>
          </cell>
        </row>
        <row r="4756">
          <cell r="B4756" t="str">
            <v>14050202010603</v>
          </cell>
          <cell r="C4756" t="str">
            <v>JCC PREJUD TCVISA PJ-DIS.EFE MES        1ND</v>
          </cell>
        </row>
        <row r="4757">
          <cell r="B4757" t="str">
            <v>14050202010604</v>
          </cell>
          <cell r="C4757" t="str">
            <v>JCC PREJUD TCAMEX PJ-DIS.EFE MES        1ND</v>
          </cell>
        </row>
        <row r="4758">
          <cell r="B4758" t="str">
            <v>14050202020101</v>
          </cell>
          <cell r="C4758" t="str">
            <v>TC MES COLOC. REVOLV.COMPRAS            1ND</v>
          </cell>
        </row>
        <row r="4759">
          <cell r="B4759" t="str">
            <v>14050202020102</v>
          </cell>
          <cell r="C4759" t="str">
            <v>$CL PREJUD TCVISA PN-CONSUM MES         1ND</v>
          </cell>
        </row>
        <row r="4760">
          <cell r="B4760" t="str">
            <v>14050202020103</v>
          </cell>
          <cell r="C4760" t="str">
            <v>$CL PREJUD TCAMEX PJ-CONSUM MES         1ND</v>
          </cell>
        </row>
        <row r="4761">
          <cell r="B4761" t="str">
            <v>14050202020104</v>
          </cell>
          <cell r="C4761" t="str">
            <v>$CL PREJUD TCMASTER PJ-CONSU MES        1ND</v>
          </cell>
        </row>
        <row r="4762">
          <cell r="B4762" t="str">
            <v>14050202020501</v>
          </cell>
          <cell r="C4762" t="str">
            <v>TC VISA COMERCIAL COLOC.COMPRAS CMIE    1ND</v>
          </cell>
        </row>
        <row r="4763">
          <cell r="B4763" t="str">
            <v>14050202020502</v>
          </cell>
          <cell r="C4763" t="str">
            <v>TC MC COMERCIAL. COLOC. COMPRA CMIE     1ND</v>
          </cell>
        </row>
        <row r="4764">
          <cell r="B4764" t="str">
            <v>14050202020503</v>
          </cell>
          <cell r="C4764" t="str">
            <v>TC AMEX COMERCIAL COLOC.COMPRAS CMIE    1ND</v>
          </cell>
        </row>
        <row r="4765">
          <cell r="B4765" t="str">
            <v>14050202020504</v>
          </cell>
          <cell r="C4765" t="str">
            <v>TC VEA COMERCIAL. COLOC. COMPRA CMIE    1ND</v>
          </cell>
        </row>
        <row r="4766">
          <cell r="B4766" t="str">
            <v>14050202020505</v>
          </cell>
          <cell r="C4766" t="str">
            <v>TC COLOC.COMPRAS EN CUOTAS VEN. CMIE    1ND</v>
          </cell>
        </row>
        <row r="4767">
          <cell r="B4767" t="str">
            <v>14050202020506</v>
          </cell>
          <cell r="C4767" t="str">
            <v>TC AMEX COMPRA CUOTAS VEN CMIE          1ND</v>
          </cell>
        </row>
        <row r="4768">
          <cell r="B4768" t="str">
            <v>14050202020507</v>
          </cell>
          <cell r="C4768" t="str">
            <v>TC AMEX COMPRA REV VEN CMIE             1ND</v>
          </cell>
        </row>
        <row r="4769">
          <cell r="B4769" t="str">
            <v>14050202020508</v>
          </cell>
          <cell r="C4769" t="str">
            <v>TC MC COMPRA CUOTAS VEN CMIE            1ND</v>
          </cell>
        </row>
        <row r="4770">
          <cell r="B4770" t="str">
            <v>14050202020509</v>
          </cell>
          <cell r="C4770" t="str">
            <v>TC MC COMPRA REV VEN CMIE               1ND</v>
          </cell>
        </row>
        <row r="4771">
          <cell r="B4771" t="str">
            <v>14050202020510</v>
          </cell>
          <cell r="C4771" t="str">
            <v>TC VISA COMPRA CUOTAS VEN CMIE          1ND</v>
          </cell>
        </row>
        <row r="4772">
          <cell r="B4772" t="str">
            <v>14050202020511</v>
          </cell>
          <cell r="C4772" t="str">
            <v>TC VISA COMPRA REV VEN CMIE             1ND</v>
          </cell>
        </row>
        <row r="4773">
          <cell r="B4773" t="str">
            <v>14050202020602</v>
          </cell>
          <cell r="C4773" t="str">
            <v>JCC PREJUD TCMASTER PJ-CONSU MES        1ND</v>
          </cell>
        </row>
        <row r="4774">
          <cell r="B4774" t="str">
            <v>14050202020603</v>
          </cell>
          <cell r="C4774" t="str">
            <v>JCC PREJUD TCAMEX PJ-CONSUM MES         1ND</v>
          </cell>
        </row>
        <row r="4775">
          <cell r="B4775" t="str">
            <v>14050202020604</v>
          </cell>
          <cell r="C4775" t="str">
            <v>JCC PREJUD TCVISA PN-CONSUM MES         1ND</v>
          </cell>
        </row>
        <row r="4776">
          <cell r="B4776" t="str">
            <v>14050202090101</v>
          </cell>
          <cell r="C4776" t="str">
            <v>TC VISA COMERCIAL. COLOC. OTROS CMIE    1ND</v>
          </cell>
        </row>
        <row r="4777">
          <cell r="B4777" t="str">
            <v>14050202090102</v>
          </cell>
          <cell r="C4777" t="str">
            <v>TC MC COMERCIAL. COLOC. OTROS CMIE      1ND</v>
          </cell>
        </row>
        <row r="4778">
          <cell r="B4778" t="str">
            <v>14050202090103</v>
          </cell>
          <cell r="C4778" t="str">
            <v>TC AMEX COMERCIAL. COLOC. OTROS CMIE    1ND</v>
          </cell>
        </row>
        <row r="4779">
          <cell r="B4779" t="str">
            <v>14050202090104</v>
          </cell>
          <cell r="C4779" t="str">
            <v>TC VEA COMERCIAL. COLOC. OTROS CMIE     1ND</v>
          </cell>
        </row>
        <row r="4780">
          <cell r="B4780" t="str">
            <v>14050202090105</v>
          </cell>
          <cell r="C4780" t="str">
            <v>TC REPROGRAMACION VEN. CMIE             1ND</v>
          </cell>
        </row>
        <row r="4781">
          <cell r="B4781" t="str">
            <v>14050202090106</v>
          </cell>
          <cell r="C4781" t="str">
            <v>TC AMEX CDEUDA PAR VEN CMIE             1ND</v>
          </cell>
        </row>
        <row r="4782">
          <cell r="B4782" t="str">
            <v>14050202090107</v>
          </cell>
          <cell r="C4782" t="str">
            <v>TC AMEX CDEUDA REV VEN CMIE             1ND</v>
          </cell>
        </row>
        <row r="4783">
          <cell r="B4783" t="str">
            <v>14050202090108</v>
          </cell>
          <cell r="C4783" t="str">
            <v>TC AMEX EXTRACASH VEN CMIE              1ND</v>
          </cell>
        </row>
        <row r="4784">
          <cell r="B4784" t="str">
            <v>14050202090109</v>
          </cell>
          <cell r="C4784" t="str">
            <v>TC AMEX REPROG PAR VEN CMIE             1ND</v>
          </cell>
        </row>
        <row r="4785">
          <cell r="B4785" t="str">
            <v>14050202090110</v>
          </cell>
          <cell r="C4785" t="str">
            <v>TC AMEX REPROG REV VEN CMIE             1ND</v>
          </cell>
        </row>
        <row r="4786">
          <cell r="B4786" t="str">
            <v>14050202090111</v>
          </cell>
          <cell r="C4786" t="str">
            <v>TC MC CDEUDA PAR VEN CMIE               1ND</v>
          </cell>
        </row>
        <row r="4787">
          <cell r="B4787" t="str">
            <v>14050202090112</v>
          </cell>
          <cell r="C4787" t="str">
            <v>TC MC CDEUDA REV VEN CMIE               1ND</v>
          </cell>
        </row>
        <row r="4788">
          <cell r="B4788" t="str">
            <v>14050202090113</v>
          </cell>
          <cell r="C4788" t="str">
            <v>TC MC EXTRACASH VEN CMIE                1ND</v>
          </cell>
        </row>
        <row r="4789">
          <cell r="B4789" t="str">
            <v>14050202090114</v>
          </cell>
          <cell r="C4789" t="str">
            <v>TC MC REPROG PAR VEN CMIE               1ND</v>
          </cell>
        </row>
        <row r="4790">
          <cell r="B4790" t="str">
            <v>14050202090115</v>
          </cell>
          <cell r="C4790" t="str">
            <v>TC MC REPROG REV VEN CMIE               1ND</v>
          </cell>
        </row>
        <row r="4791">
          <cell r="B4791" t="str">
            <v>14050202090116</v>
          </cell>
          <cell r="C4791" t="str">
            <v>TC VISA CDEUDA PAR VEN CMIE             1ND</v>
          </cell>
        </row>
        <row r="4792">
          <cell r="B4792" t="str">
            <v>14050202090117</v>
          </cell>
          <cell r="C4792" t="str">
            <v>TC VISA CDEUDA REV VEN CMIE             1ND</v>
          </cell>
        </row>
        <row r="4793">
          <cell r="B4793" t="str">
            <v>14050202090118</v>
          </cell>
          <cell r="C4793" t="str">
            <v>TC VISA EXTRACASH VEN CMIE              1ND</v>
          </cell>
        </row>
        <row r="4794">
          <cell r="B4794" t="str">
            <v>14050202090119</v>
          </cell>
          <cell r="C4794" t="str">
            <v>TC VISA REPROG PAR VEN CMIE             1ND</v>
          </cell>
        </row>
        <row r="4795">
          <cell r="B4795" t="str">
            <v>14050202090120</v>
          </cell>
          <cell r="C4795" t="str">
            <v>TC VISA REPROG REV VEN CMIE             1ND</v>
          </cell>
        </row>
        <row r="4796">
          <cell r="B4796" t="str">
            <v>14050204000101</v>
          </cell>
          <cell r="C4796" t="str">
            <v>SOBREGIRO VENC MES SIN FINES            1ND</v>
          </cell>
        </row>
        <row r="4797">
          <cell r="B4797" t="str">
            <v>14050204000102</v>
          </cell>
          <cell r="C4797" t="str">
            <v>SOBREGIRO CTA CTE PJ VENCIDO M2         1ND</v>
          </cell>
        </row>
        <row r="4798">
          <cell r="B4798" t="str">
            <v>14050204000104</v>
          </cell>
          <cell r="C4798" t="str">
            <v>CL PREJUD.SOBREG CCTE. PJ-MES VENC GL7001ND</v>
          </cell>
        </row>
        <row r="4799">
          <cell r="B4799" t="str">
            <v>14050204000105</v>
          </cell>
          <cell r="C4799" t="str">
            <v>JCC PREJUD.SOBREG CCTE. PJ-MES VENC GL701ND</v>
          </cell>
        </row>
        <row r="4800">
          <cell r="B4800" t="str">
            <v>14050205010101</v>
          </cell>
          <cell r="C4800" t="str">
            <v>CL PAG EN DSCTO  VENC H4M CL MES        1ND</v>
          </cell>
        </row>
        <row r="4801">
          <cell r="B4801" t="str">
            <v>14050205010102</v>
          </cell>
          <cell r="C4801" t="str">
            <v>CL PAG.EN DSCTO VENC CALIF.DUDOSA CL  ME1ND</v>
          </cell>
        </row>
        <row r="4802">
          <cell r="B4802" t="str">
            <v>14050205010104</v>
          </cell>
          <cell r="C4802" t="str">
            <v>CL PRE JUDIC DSCTO. PAG MES VENC GL7003 1ND</v>
          </cell>
        </row>
        <row r="4803">
          <cell r="B4803" t="str">
            <v>14050205010105</v>
          </cell>
          <cell r="C4803" t="str">
            <v>JCC PRE JUDIC DSCTO. PAG MES VENC GL70031ND</v>
          </cell>
        </row>
        <row r="4804">
          <cell r="B4804" t="str">
            <v>14050205010106</v>
          </cell>
          <cell r="C4804" t="str">
            <v>LPC PAG.TSA.DSCTO D/P VENC CMIE         1ND</v>
          </cell>
        </row>
        <row r="4805">
          <cell r="B4805" t="str">
            <v>14050205010107</v>
          </cell>
          <cell r="C4805" t="str">
            <v>LPC PAG.TSA.DSCTO VENC CMIE             1ND</v>
          </cell>
        </row>
        <row r="4806">
          <cell r="B4806" t="str">
            <v>14050205020101</v>
          </cell>
          <cell r="C4806" t="str">
            <v>PR LETR./FACT.DSCTO.MES VEN             1ND</v>
          </cell>
        </row>
        <row r="4807">
          <cell r="B4807" t="str">
            <v>14050205020102</v>
          </cell>
          <cell r="C4807" t="str">
            <v>CL PRE JUDIC DSCTO.LETR-MES VENC GL7003 1ND</v>
          </cell>
        </row>
        <row r="4808">
          <cell r="B4808" t="str">
            <v>14050205020103</v>
          </cell>
          <cell r="C4808" t="str">
            <v>PR  DSCTO ELECTR SM PERUAN VEN MES      1ND</v>
          </cell>
        </row>
        <row r="4809">
          <cell r="B4809" t="str">
            <v>14050205020104</v>
          </cell>
          <cell r="C4809" t="str">
            <v>PR LETRAS T. DESCONTADAÂ  VENCÂ Â  CMIE 1ND</v>
          </cell>
        </row>
        <row r="4810">
          <cell r="B4810" t="str">
            <v>14050205020105</v>
          </cell>
          <cell r="C4810" t="str">
            <v>JCC PRE JUDIC DSCTO.LETR-MES VENC GL70031ND</v>
          </cell>
        </row>
        <row r="4811">
          <cell r="B4811" t="str">
            <v>14050205020106</v>
          </cell>
          <cell r="C4811" t="str">
            <v>FCD DSCTO ELECTR VENC DUDOSO CMIE       1ND</v>
          </cell>
        </row>
        <row r="4812">
          <cell r="B4812" t="str">
            <v>14050205020107</v>
          </cell>
          <cell r="C4812" t="str">
            <v>FCD DESC. LET. VENC. CMIE DUPE          1ND</v>
          </cell>
        </row>
        <row r="4813">
          <cell r="B4813" t="str">
            <v>14050205020108</v>
          </cell>
          <cell r="C4813" t="str">
            <v>FCD DESC. FACT. VENC. CMIE DUPE         1ND</v>
          </cell>
        </row>
        <row r="4814">
          <cell r="B4814" t="str">
            <v>14050205020109</v>
          </cell>
          <cell r="C4814" t="str">
            <v>FCD DESC. VIRTUAL VENC. CMIE DUPE       1ND</v>
          </cell>
        </row>
        <row r="4815">
          <cell r="B4815" t="str">
            <v>14050205020110</v>
          </cell>
          <cell r="C4815" t="str">
            <v>FCD DESC. FACT. NEG. VENC. CMIE DUPE    1ND</v>
          </cell>
        </row>
        <row r="4816">
          <cell r="B4816" t="str">
            <v>14050205020111</v>
          </cell>
          <cell r="C4816" t="str">
            <v>FCD DESC. VIRTUAL VENC. CMIE NORMAL     1ND</v>
          </cell>
        </row>
        <row r="4817">
          <cell r="B4817" t="str">
            <v>14050206000108</v>
          </cell>
          <cell r="C4817" t="str">
            <v>LPC PAG TASA VENCIDA - VENC MES         1ND</v>
          </cell>
        </row>
        <row r="4818">
          <cell r="B4818" t="str">
            <v>14050206000128</v>
          </cell>
          <cell r="C4818" t="str">
            <v>CL PRE JUDIC CRED COM MES VENC GL7003   1ND</v>
          </cell>
        </row>
        <row r="4819">
          <cell r="B4819" t="str">
            <v>14050206010101</v>
          </cell>
          <cell r="C4819" t="str">
            <v>CL PAG.TV REVOLVENTE MES VEN            1ND</v>
          </cell>
        </row>
        <row r="4820">
          <cell r="B4820" t="str">
            <v>14050206010102</v>
          </cell>
          <cell r="C4820" t="str">
            <v>CL PAG.TV D/P REVOLVEN MES VEN          1ND</v>
          </cell>
        </row>
        <row r="4821">
          <cell r="B4821" t="str">
            <v>14050206010107</v>
          </cell>
          <cell r="C4821" t="str">
            <v>CL PRE JUD PAG.TV REVOLVEN MES          1ND</v>
          </cell>
        </row>
        <row r="4822">
          <cell r="B4822" t="str">
            <v>14050206010108</v>
          </cell>
          <cell r="C4822" t="str">
            <v>$CL PREJUD P.TV COFIDE REVOL MES        1ND</v>
          </cell>
        </row>
        <row r="4823">
          <cell r="B4823" t="str">
            <v>14050206010109</v>
          </cell>
          <cell r="C4823" t="str">
            <v>LPC PAG.TV REVOLV VEN MES               1ND</v>
          </cell>
        </row>
        <row r="4824">
          <cell r="B4824" t="str">
            <v>14050206010110</v>
          </cell>
          <cell r="C4824" t="str">
            <v>LPC PAG.TV D/P REVOLV VEN MES           1ND</v>
          </cell>
        </row>
        <row r="4825">
          <cell r="B4825" t="str">
            <v>14050206010114</v>
          </cell>
          <cell r="C4825" t="str">
            <v>MYP LINEA REVOLVENTE VENC               1ND</v>
          </cell>
        </row>
        <row r="4826">
          <cell r="B4826" t="str">
            <v>14050206010115</v>
          </cell>
          <cell r="C4826" t="str">
            <v>MYP D/P LINEA REVOLVENTE VENC           1ND</v>
          </cell>
        </row>
        <row r="4827">
          <cell r="B4827" t="str">
            <v>14050206010116</v>
          </cell>
          <cell r="C4827" t="str">
            <v>CL PRE JUD MYP CAP TRAB MES REVOL       1ND</v>
          </cell>
        </row>
        <row r="4828">
          <cell r="B4828" t="str">
            <v>14050206010117</v>
          </cell>
          <cell r="C4828" t="str">
            <v>CL PRE JUD MYP COMP AF INMUEB MES RE    1ND</v>
          </cell>
        </row>
        <row r="4829">
          <cell r="B4829" t="str">
            <v>14050206010118</v>
          </cell>
          <cell r="C4829" t="str">
            <v>CL PRE JUD MYP COMP AF MUEB MES REV     1ND</v>
          </cell>
        </row>
        <row r="4830">
          <cell r="B4830" t="str">
            <v>14050206010121</v>
          </cell>
          <cell r="C4830" t="str">
            <v>CL MYP PRE-JUD.CAP.TRAB.REV.CMIE        1ND</v>
          </cell>
        </row>
        <row r="4831">
          <cell r="B4831" t="str">
            <v>14050206010122</v>
          </cell>
          <cell r="C4831" t="str">
            <v>MYP LINEA REVOL PROVREFVEN CMIE         1ND</v>
          </cell>
        </row>
        <row r="4832">
          <cell r="B4832" t="str">
            <v>14050206010123</v>
          </cell>
          <cell r="C4832" t="str">
            <v>MYP LINEA REVOL REUT.VEN CMIE           1ND</v>
          </cell>
        </row>
        <row r="4833">
          <cell r="B4833" t="str">
            <v>14050206010124</v>
          </cell>
          <cell r="C4833" t="str">
            <v>MYP DUPE LINEA REVOL PROVREFVEN CMIE    1ND</v>
          </cell>
        </row>
        <row r="4834">
          <cell r="B4834" t="str">
            <v>14050206010201</v>
          </cell>
          <cell r="C4834" t="str">
            <v>LPC PAG TV RP MED PLAZO REVOL CMIE      1ND</v>
          </cell>
        </row>
        <row r="4835">
          <cell r="B4835" t="str">
            <v>14050206010202</v>
          </cell>
          <cell r="C4835" t="str">
            <v>LPC PAG TV RP MED PLAZO REVOL D/P CMIE  1ND</v>
          </cell>
        </row>
        <row r="4836">
          <cell r="B4836" t="str">
            <v>14050206010203</v>
          </cell>
          <cell r="C4836" t="str">
            <v>LPC PAG TV INMOBILIARIO REV CMIE        1ND</v>
          </cell>
        </row>
        <row r="4837">
          <cell r="B4837" t="str">
            <v>14050206010204</v>
          </cell>
          <cell r="C4837" t="str">
            <v>LPC PAG TV INMOBILIARIO REV D/P CMIE    1ND</v>
          </cell>
        </row>
        <row r="4838">
          <cell r="B4838" t="str">
            <v>14050206010205</v>
          </cell>
          <cell r="C4838" t="str">
            <v>LPC P.TV REC.COFIDE REVOL VEN CMIE      1ND</v>
          </cell>
        </row>
        <row r="4839">
          <cell r="B4839" t="str">
            <v>14050206010206</v>
          </cell>
          <cell r="C4839" t="str">
            <v>LPC PAG TV  COFIDE  VENCIDO - D/P CMIE  1ND</v>
          </cell>
        </row>
        <row r="4840">
          <cell r="B4840" t="str">
            <v>14050206010207</v>
          </cell>
          <cell r="C4840" t="str">
            <v>LPC PAG REPROGRAMADO REV NORM CMIE      1ND</v>
          </cell>
        </row>
        <row r="4841">
          <cell r="B4841" t="str">
            <v>14050206010208</v>
          </cell>
          <cell r="C4841" t="str">
            <v>LPC PAG REPROGRAMADO REV D/P CMIE       1ND</v>
          </cell>
        </row>
        <row r="4842">
          <cell r="B4842" t="str">
            <v>14050206010301</v>
          </cell>
          <cell r="C4842" t="str">
            <v>JCC PRE JUD PAG.TV REVOLVEN MES         1ND</v>
          </cell>
        </row>
        <row r="4843">
          <cell r="B4843" t="str">
            <v>14050206010302</v>
          </cell>
          <cell r="C4843" t="str">
            <v>JCC MYP PRE-JUD.CAP.TRAB.REV.CMIE       1ND</v>
          </cell>
        </row>
        <row r="4844">
          <cell r="B4844" t="str">
            <v>14050206010311</v>
          </cell>
          <cell r="C4844" t="str">
            <v>LPC REACTIVA PERU VEN CMIE\NORM         1ND</v>
          </cell>
        </row>
        <row r="4845">
          <cell r="B4845" t="str">
            <v>14050206010312</v>
          </cell>
          <cell r="C4845" t="str">
            <v>LPC REACTIVA PERU VEN CMIE\DUPE         1ND</v>
          </cell>
        </row>
        <row r="4846">
          <cell r="B4846" t="str">
            <v>14050206010313</v>
          </cell>
          <cell r="C4846" t="str">
            <v>LPC COFIDE FONDOS PERU VEN CMIE\NORM    1ND</v>
          </cell>
        </row>
        <row r="4847">
          <cell r="B4847" t="str">
            <v>14050206010314</v>
          </cell>
          <cell r="C4847" t="str">
            <v>LPC COFIDE FONDOS PERU VEN CMIE\DUPE    1ND</v>
          </cell>
        </row>
        <row r="4848">
          <cell r="B4848" t="str">
            <v>14050206010315</v>
          </cell>
          <cell r="C4848" t="str">
            <v>LPC COFIDE FONDO CRECER VEN CMIE\NORM   1ND</v>
          </cell>
        </row>
        <row r="4849">
          <cell r="B4849" t="str">
            <v>14050206010316</v>
          </cell>
          <cell r="C4849" t="str">
            <v>LPC COFIDE FONDO CRECER VEN CMIE\DUPE   1ND</v>
          </cell>
        </row>
        <row r="4850">
          <cell r="B4850" t="str">
            <v>14050206010317</v>
          </cell>
          <cell r="C4850" t="str">
            <v>LPC REACTIVA PERU VEN CMIE\NORM         1ND</v>
          </cell>
        </row>
        <row r="4851">
          <cell r="B4851" t="str">
            <v>14050206010318</v>
          </cell>
          <cell r="C4851" t="str">
            <v>LPC REACTIVA PERU VEN CMIE\DUPE         1ND</v>
          </cell>
        </row>
        <row r="4852">
          <cell r="B4852" t="str">
            <v>14050206010319</v>
          </cell>
          <cell r="C4852" t="str">
            <v>LPC IMPULSO MYPERU CORTO PLAZO VEN REV C1 D</v>
          </cell>
        </row>
        <row r="4853">
          <cell r="B4853" t="str">
            <v>14050206010320</v>
          </cell>
          <cell r="C4853" t="str">
            <v>LPC IMPULSO MYPERU MEDIANO PLAZO VEN REV1 D</v>
          </cell>
        </row>
        <row r="4854">
          <cell r="B4854" t="str">
            <v>14050206010321</v>
          </cell>
          <cell r="C4854" t="str">
            <v>MYP LINEA REVOLV CIMA VEN NORM CMIE     1 D</v>
          </cell>
        </row>
        <row r="4855">
          <cell r="B4855" t="str">
            <v>14050206010322</v>
          </cell>
          <cell r="C4855" t="str">
            <v>MYP LINEA REVOLV CIMA VEN DUPE CMIE     1 D</v>
          </cell>
        </row>
        <row r="4856">
          <cell r="B4856" t="str">
            <v>14050206010323</v>
          </cell>
          <cell r="C4856" t="str">
            <v>CCD-BPE LINEA REVOLVENTE_CMIE VEN NORM  1 D</v>
          </cell>
        </row>
        <row r="4857">
          <cell r="B4857" t="str">
            <v>14050206010324</v>
          </cell>
          <cell r="C4857" t="str">
            <v>CCD-BPE LINEA REVOLVENTE_CMIE VEN DUPE  1 D</v>
          </cell>
        </row>
        <row r="4858">
          <cell r="B4858" t="str">
            <v>14050206020106</v>
          </cell>
          <cell r="C4858" t="str">
            <v>MYP CAP.VENC FIN. CAP. TRAB.            1ND</v>
          </cell>
        </row>
        <row r="4859">
          <cell r="B4859" t="str">
            <v>14050206020107</v>
          </cell>
          <cell r="C4859" t="str">
            <v>MYP D/P CAP VENC FIN.CAP.TRAB           1ND</v>
          </cell>
        </row>
        <row r="4860">
          <cell r="B4860" t="str">
            <v>14050206020108</v>
          </cell>
          <cell r="C4860" t="str">
            <v>MYP CAP.VENC FIN. COMPRA. AF.           1ND</v>
          </cell>
        </row>
        <row r="4861">
          <cell r="B4861" t="str">
            <v>14050206020109</v>
          </cell>
          <cell r="C4861" t="str">
            <v>MYP D/P CAP VENC FIN.COMPRA. AF.        1ND</v>
          </cell>
        </row>
        <row r="4862">
          <cell r="B4862" t="str">
            <v>14050206020110</v>
          </cell>
          <cell r="C4862" t="str">
            <v>MYP CAP.VENC FIN. CRED. PARAL.          1ND</v>
          </cell>
        </row>
        <row r="4863">
          <cell r="B4863" t="str">
            <v>14050206020111</v>
          </cell>
          <cell r="C4863" t="str">
            <v>MYP D/P CAP VENC FIN.CRED. PARAL.       1ND</v>
          </cell>
        </row>
        <row r="4864">
          <cell r="B4864" t="str">
            <v>14050206020112</v>
          </cell>
          <cell r="C4864" t="str">
            <v>MYP CAP.VENC FIN. COMPRA DE DEUDA       1ND</v>
          </cell>
        </row>
        <row r="4865">
          <cell r="B4865" t="str">
            <v>14050206020113</v>
          </cell>
          <cell r="C4865" t="str">
            <v>MYP D/P CAP VENC FIN. COMPRA DE DEU     1ND</v>
          </cell>
        </row>
        <row r="4866">
          <cell r="B4866" t="str">
            <v>14050206020114</v>
          </cell>
          <cell r="C4866" t="str">
            <v>CL PRE JUD MYP CAP TRAB MES             1ND</v>
          </cell>
        </row>
        <row r="4867">
          <cell r="B4867" t="str">
            <v>14050206020115</v>
          </cell>
          <cell r="C4867" t="str">
            <v>CL PRE JUD MYP COMP AF INMUEB ME        1ND</v>
          </cell>
        </row>
        <row r="4868">
          <cell r="B4868" t="str">
            <v>14050206020116</v>
          </cell>
          <cell r="C4868" t="str">
            <v>CL PRE JUD MYP COMP AF MUEB MES         1ND</v>
          </cell>
        </row>
        <row r="4869">
          <cell r="B4869" t="str">
            <v>14050206020117</v>
          </cell>
          <cell r="C4869" t="str">
            <v>CL PRE JUD MYP CRED ESTAC MES           1ND</v>
          </cell>
        </row>
        <row r="4870">
          <cell r="B4870" t="str">
            <v>14050206020118</v>
          </cell>
          <cell r="C4870" t="str">
            <v>CL PRE JUD MYP AF CYBERPL MES           1ND</v>
          </cell>
        </row>
        <row r="4871">
          <cell r="B4871" t="str">
            <v>14050206020119</v>
          </cell>
          <cell r="C4871" t="str">
            <v>MYP CAP.VENC TRANSP PUBLICO CAP TR      1ND</v>
          </cell>
        </row>
        <row r="4872">
          <cell r="B4872" t="str">
            <v>14050206020120</v>
          </cell>
          <cell r="C4872" t="str">
            <v>MYP D/P CAP VENC TRANSP PUBLICO CA      1ND</v>
          </cell>
        </row>
        <row r="4873">
          <cell r="B4873" t="str">
            <v>14050206020121</v>
          </cell>
          <cell r="C4873" t="str">
            <v>MYP E.R.CAP.VENC FIN. CAP. TRAB.        1ND</v>
          </cell>
        </row>
        <row r="4874">
          <cell r="B4874" t="str">
            <v>14050206020122</v>
          </cell>
          <cell r="C4874" t="str">
            <v>JCC PRE JUD MYP COMP AF INMUEB ME       1ND</v>
          </cell>
        </row>
        <row r="4875">
          <cell r="B4875" t="str">
            <v>14050206020123</v>
          </cell>
          <cell r="C4875" t="str">
            <v>JCC PRE JUD MYP COMP AF MUEB MES        1ND</v>
          </cell>
        </row>
        <row r="4876">
          <cell r="B4876" t="str">
            <v>14050206020124</v>
          </cell>
          <cell r="C4876" t="str">
            <v>JCC PRE JUD MYP CAP TRAB MES            1ND</v>
          </cell>
        </row>
        <row r="4877">
          <cell r="B4877" t="str">
            <v>14050206020125</v>
          </cell>
          <cell r="C4877" t="str">
            <v>JCC PRE JUD MYP CRED ESTAC MES          1ND</v>
          </cell>
        </row>
        <row r="4878">
          <cell r="B4878" t="str">
            <v>14050206020126</v>
          </cell>
          <cell r="C4878" t="str">
            <v>JCC PRE JUD MYP AF CYBERPL MES          1ND</v>
          </cell>
        </row>
        <row r="4879">
          <cell r="B4879" t="str">
            <v>14050206020127</v>
          </cell>
          <cell r="C4879" t="str">
            <v>MYP E.R.C.VEN FIN CAP TRA DUPE CMIE     1ND</v>
          </cell>
        </row>
        <row r="4880">
          <cell r="B4880" t="str">
            <v>14050206020128</v>
          </cell>
          <cell r="C4880" t="str">
            <v>MYP CAPTRABPROVREFVEN CMIE              1ND</v>
          </cell>
        </row>
        <row r="4881">
          <cell r="B4881" t="str">
            <v>14050206020129</v>
          </cell>
          <cell r="C4881" t="str">
            <v>MYP CAP.TRAB.REUT.VEN CMIE              1ND</v>
          </cell>
        </row>
        <row r="4882">
          <cell r="B4882" t="str">
            <v>14050206020130</v>
          </cell>
          <cell r="C4882" t="str">
            <v>MYP CAP.VENC CAP. TRAB. CIMA NOR/DP CMIE1ND</v>
          </cell>
        </row>
        <row r="4883">
          <cell r="B4883" t="str">
            <v>14050206020131</v>
          </cell>
          <cell r="C4883" t="str">
            <v>MYP CODIFE FONDO CRECER VEN CMIE\DUPE   1ND</v>
          </cell>
        </row>
        <row r="4884">
          <cell r="B4884" t="str">
            <v>14050206020132</v>
          </cell>
          <cell r="C4884" t="str">
            <v>MYP CODIFE FONDO CRECER VEN CMIE\NORM   1ND</v>
          </cell>
        </row>
        <row r="4885">
          <cell r="B4885" t="str">
            <v>14050206020133</v>
          </cell>
          <cell r="C4885" t="str">
            <v>MYP CODIFE REACTIVA PERU VEN CMIE\DUPE  1ND</v>
          </cell>
        </row>
        <row r="4886">
          <cell r="B4886" t="str">
            <v>14050206020134</v>
          </cell>
          <cell r="C4886" t="str">
            <v>MYP CODIFE REACTIVA PERU VEN CMIE\NORM  1ND</v>
          </cell>
        </row>
        <row r="4887">
          <cell r="B4887" t="str">
            <v>14050206020135</v>
          </cell>
          <cell r="C4887" t="str">
            <v>JCC PRE JUD REACTIVA PERU NO REVOLV CMIE1ND</v>
          </cell>
        </row>
        <row r="4888">
          <cell r="B4888" t="str">
            <v>14050206020136</v>
          </cell>
          <cell r="C4888" t="str">
            <v>LPC PAG.TV NO REVOLV VEN MES            1ND</v>
          </cell>
        </row>
        <row r="4889">
          <cell r="B4889" t="str">
            <v>14050206020137</v>
          </cell>
          <cell r="C4889" t="str">
            <v>LPC PAG.TV D/P NO REVOLV VEN MES        1ND</v>
          </cell>
        </row>
        <row r="4890">
          <cell r="B4890" t="str">
            <v>14050206020138</v>
          </cell>
          <cell r="C4890" t="str">
            <v>LPC 30K REACTIVA CORTO PLAZO REPROG VEN 1 D</v>
          </cell>
        </row>
        <row r="4891">
          <cell r="B4891" t="str">
            <v>14050206020139</v>
          </cell>
          <cell r="C4891" t="str">
            <v>LPC 30K REACTIVA CORTO PLAZO REPROG VEN 1 D</v>
          </cell>
        </row>
        <row r="4892">
          <cell r="B4892" t="str">
            <v>14050206020140</v>
          </cell>
          <cell r="C4892" t="str">
            <v>MYP REACTIVA REPROG VEN CMIE            1 D</v>
          </cell>
        </row>
        <row r="4893">
          <cell r="B4893" t="str">
            <v>14050206020141</v>
          </cell>
          <cell r="C4893" t="str">
            <v>LPC REACTIVA PERU VEN CMIE\NORM         1 D</v>
          </cell>
        </row>
        <row r="4894">
          <cell r="B4894" t="str">
            <v>14050206020142</v>
          </cell>
          <cell r="C4894" t="str">
            <v>LPC REACTIVA PERU VEN CMIE\DUPE         1 D</v>
          </cell>
        </row>
        <row r="4895">
          <cell r="B4895" t="str">
            <v>14050206020143</v>
          </cell>
          <cell r="C4895" t="str">
            <v>JCC PRE JUD REACTIVA PERU NO REVOLV CMIE1 D</v>
          </cell>
        </row>
        <row r="4896">
          <cell r="B4896" t="str">
            <v>14050206020144</v>
          </cell>
          <cell r="C4896" t="str">
            <v>JCC PRE JUD FONDO CRECER CMIE           1 D</v>
          </cell>
        </row>
        <row r="4897">
          <cell r="B4897" t="str">
            <v>14050206020145</v>
          </cell>
          <cell r="C4897" t="str">
            <v>JCC PRE JUD FONDO CRECER CMIE           1 D</v>
          </cell>
        </row>
        <row r="4898">
          <cell r="B4898" t="str">
            <v>14050206020146</v>
          </cell>
          <cell r="C4898" t="str">
            <v>JCC PRE JUD REACTIVA PRE-HONRAMIENTO CMI1 D</v>
          </cell>
        </row>
        <row r="4899">
          <cell r="B4899" t="str">
            <v>14050206020147</v>
          </cell>
          <cell r="C4899" t="str">
            <v>JCC PRE JUD REACTIVA PRE-HONRAMIENTO CMI1 D</v>
          </cell>
        </row>
        <row r="4900">
          <cell r="B4900" t="str">
            <v>14050206020148</v>
          </cell>
          <cell r="C4900" t="str">
            <v>LPC REPROG REACTIVA DIFE  CMIE VEN      1 D</v>
          </cell>
        </row>
        <row r="4901">
          <cell r="B4901" t="str">
            <v>14050206020149</v>
          </cell>
          <cell r="C4901" t="str">
            <v>LPC REPROG REACTIVA DS.011-2022 CMIE NOR1 D</v>
          </cell>
        </row>
        <row r="4902">
          <cell r="B4902" t="str">
            <v>14050206020150</v>
          </cell>
          <cell r="C4902" t="str">
            <v>LPC REPROG REACTIVA DS.011-2022 CMIE DUP1 D</v>
          </cell>
        </row>
        <row r="4903">
          <cell r="B4903" t="str">
            <v>14050206020151</v>
          </cell>
          <cell r="C4903" t="str">
            <v>MYP REPROG REACTIVA DS.011-2022 CMIE DUP1 D</v>
          </cell>
        </row>
        <row r="4904">
          <cell r="B4904" t="str">
            <v>14050206020152</v>
          </cell>
          <cell r="C4904" t="str">
            <v>MYP REPROG REACTIVA DS.011-2022 CMIE NOR1 D</v>
          </cell>
        </row>
        <row r="4905">
          <cell r="B4905" t="str">
            <v>14050206020163</v>
          </cell>
          <cell r="C4905" t="str">
            <v>MYP CAP_TRAB_CIMA CMIE VEN  NORM        1 D</v>
          </cell>
        </row>
        <row r="4906">
          <cell r="B4906" t="str">
            <v>14050206020164</v>
          </cell>
          <cell r="C4906" t="str">
            <v>MYP CAP_TRAB_CIMA CMIE VEN  DUPE        1 D</v>
          </cell>
        </row>
        <row r="4907">
          <cell r="B4907" t="str">
            <v>14050206020165</v>
          </cell>
          <cell r="C4907" t="str">
            <v>MYP REPROGRAMADO CIMA CMIE VEN NORM     1 D</v>
          </cell>
        </row>
        <row r="4908">
          <cell r="B4908" t="str">
            <v>14050206020166</v>
          </cell>
          <cell r="C4908" t="str">
            <v>MYP REPROGRAMADO CIMA CMIE VEN DUPE     1 D</v>
          </cell>
        </row>
        <row r="4909">
          <cell r="B4909" t="str">
            <v>14050206020167</v>
          </cell>
          <cell r="C4909" t="str">
            <v>MYP REPROG REACTIVA 2023 VEN CMIE       1 D</v>
          </cell>
        </row>
        <row r="4910">
          <cell r="B4910" t="str">
            <v>14050206020168</v>
          </cell>
          <cell r="C4910" t="str">
            <v>MYP REPROG REACTIVA 2023 CMIE DUPE VEN  1 D</v>
          </cell>
        </row>
        <row r="4911">
          <cell r="B4911" t="str">
            <v>14050206020169</v>
          </cell>
          <cell r="C4911" t="str">
            <v>MYP REPROG REACTIVA 2023 CMIE NORM VEN  1 D</v>
          </cell>
        </row>
        <row r="4912">
          <cell r="B4912" t="str">
            <v>14050206020170</v>
          </cell>
          <cell r="C4912" t="str">
            <v>LPC REPROG REACTIVA 2023 VEN CMIE NORM  1 D</v>
          </cell>
        </row>
        <row r="4913">
          <cell r="B4913" t="str">
            <v>14050206020171</v>
          </cell>
          <cell r="C4913" t="str">
            <v>LPC REPROG REACTIVA 2023 VEN CMIE DUPE  1 D</v>
          </cell>
        </row>
        <row r="4914">
          <cell r="B4914" t="str">
            <v>14050206020172</v>
          </cell>
          <cell r="C4914" t="str">
            <v>MYP CAP. TRAB - PAGARE DIGITAL_CMIE NORM1 D</v>
          </cell>
        </row>
        <row r="4915">
          <cell r="B4915" t="str">
            <v>14050206020173</v>
          </cell>
          <cell r="C4915" t="str">
            <v>MYP CAP. TRAB - PAGARE DIGITAL_CMIE DUPE1 D</v>
          </cell>
        </row>
        <row r="4916">
          <cell r="B4916" t="str">
            <v>14050206020174</v>
          </cell>
          <cell r="C4916" t="str">
            <v>JCC PRE JU REACTIVA PRE-HONRAMIENTO REPR1 D</v>
          </cell>
        </row>
        <row r="4917">
          <cell r="B4917" t="str">
            <v>14050206020175</v>
          </cell>
          <cell r="C4917" t="str">
            <v>JCC PRE JU REACTIVA PRE-HONRAMIENTO REPR1 D</v>
          </cell>
        </row>
        <row r="4918">
          <cell r="B4918" t="str">
            <v>14050206020176</v>
          </cell>
          <cell r="C4918" t="str">
            <v>JCC PRE JU REACTIVA PRE-HONRAMIENTO REPR1 D</v>
          </cell>
        </row>
        <row r="4919">
          <cell r="B4919" t="str">
            <v>14050206020177</v>
          </cell>
          <cell r="C4919" t="str">
            <v>JCC PRE JUD CRECER PRE-HONRAMIENTO CMIE 1 D</v>
          </cell>
        </row>
        <row r="4920">
          <cell r="B4920" t="str">
            <v>14050206020178</v>
          </cell>
          <cell r="C4920" t="str">
            <v>JCC PRE JU REACTIVA PRE-HONRAMIENTO REPR1 D</v>
          </cell>
        </row>
        <row r="4921">
          <cell r="B4921" t="str">
            <v>14050206020179</v>
          </cell>
          <cell r="C4921" t="str">
            <v>JCC PRE JU REACTIVA PRE-HONRAMIENTO REPR1 D</v>
          </cell>
        </row>
        <row r="4922">
          <cell r="B4922" t="str">
            <v>14050206020180</v>
          </cell>
          <cell r="C4922" t="str">
            <v>JCC PRE JU REACTIVA PRE-HONRAMIENTO REPR1 D</v>
          </cell>
        </row>
        <row r="4923">
          <cell r="B4923" t="str">
            <v>14050206020181</v>
          </cell>
          <cell r="C4923" t="str">
            <v>JCC PRE JUD CRECER PRE-HONRAMIENTO CMIE 1 D</v>
          </cell>
        </row>
        <row r="4924">
          <cell r="B4924" t="str">
            <v>14050206020182</v>
          </cell>
          <cell r="C4924" t="str">
            <v>MYP IMPULSO MYPERU VEN CMIE DUPE        1 D</v>
          </cell>
        </row>
        <row r="4925">
          <cell r="B4925" t="str">
            <v>14050206020183</v>
          </cell>
          <cell r="C4925" t="str">
            <v>MYP IMPULSO MYPERU VEN CMIE NORM        1 D</v>
          </cell>
        </row>
        <row r="4926">
          <cell r="B4926" t="str">
            <v>14050206020184</v>
          </cell>
          <cell r="C4926" t="str">
            <v>LPC IMPULSO MYPERU CORTO PLAZO VEN NREV 1 D</v>
          </cell>
        </row>
        <row r="4927">
          <cell r="B4927" t="str">
            <v>14050206020185</v>
          </cell>
          <cell r="C4927" t="str">
            <v>LPC IMPULSO MYPERU MEDIANO PLAZO VEN NRE1 D</v>
          </cell>
        </row>
        <row r="4928">
          <cell r="B4928" t="str">
            <v>14050206020186</v>
          </cell>
          <cell r="C4928" t="str">
            <v>MYP CAPITAL DE TRAB CIMA REUT DIF VEN CM1 D</v>
          </cell>
        </row>
        <row r="4929">
          <cell r="B4929" t="str">
            <v>14050206020187</v>
          </cell>
          <cell r="C4929" t="str">
            <v>MYP CAPITAL DE TRAB CIMA REUT DIF VEN CM1 D</v>
          </cell>
        </row>
        <row r="4930">
          <cell r="B4930" t="str">
            <v>14050206020188</v>
          </cell>
          <cell r="C4930" t="str">
            <v>JCC MP PRE JUD CAP IMPULSO MYPERU IBK CM1 D</v>
          </cell>
        </row>
        <row r="4931">
          <cell r="B4931" t="str">
            <v>14050206020189</v>
          </cell>
          <cell r="C4931" t="str">
            <v>JCC BC PRE JUD IMPULSO MYPERU PRE-HONRA 1 D</v>
          </cell>
        </row>
        <row r="4932">
          <cell r="B4932" t="str">
            <v>14050206020190</v>
          </cell>
          <cell r="C4932" t="str">
            <v>MYP CAP TRAB PER GRACIA PARCIAL VEN NORM1 D</v>
          </cell>
        </row>
        <row r="4933">
          <cell r="B4933" t="str">
            <v>14050206020191</v>
          </cell>
          <cell r="C4933" t="str">
            <v>MYP CAP TRAB PER GRACIA PARCIAL VEN DUPE1 D</v>
          </cell>
        </row>
        <row r="4934">
          <cell r="B4934" t="str">
            <v>14050206020192</v>
          </cell>
          <cell r="C4934" t="str">
            <v>MYP REPROG PERIODO GRACIA PARCIAL VEN CM1 D</v>
          </cell>
        </row>
        <row r="4935">
          <cell r="B4935" t="str">
            <v>14050206020193</v>
          </cell>
          <cell r="C4935" t="str">
            <v>MYP REPROG PERIODO GRACIA PARCIAL VEN CM1 D</v>
          </cell>
        </row>
        <row r="4936">
          <cell r="B4936" t="str">
            <v>14050206020194</v>
          </cell>
          <cell r="C4936" t="str">
            <v>JCC MP PRE JUD IMPLUSO MYPERU HONRADO IB1 D</v>
          </cell>
        </row>
        <row r="4937">
          <cell r="B4937" t="str">
            <v>14050206020195</v>
          </cell>
          <cell r="C4937" t="str">
            <v>CCD-BPE CAPITAL DE TRABAJO_CMIE VEN NORM1 D</v>
          </cell>
        </row>
        <row r="4938">
          <cell r="B4938" t="str">
            <v>14050206020196</v>
          </cell>
          <cell r="C4938" t="str">
            <v>CCD-BPE CAPITAL DE TRABAJO_CMIE VEN DUPE1 D</v>
          </cell>
        </row>
        <row r="4939">
          <cell r="B4939" t="str">
            <v>14050206020197</v>
          </cell>
          <cell r="C4939" t="str">
            <v>JCC CCD PREJUD CAPITAL DE TRABAJO CMIE  1 D</v>
          </cell>
        </row>
        <row r="4940">
          <cell r="B4940" t="str">
            <v>14050206020198</v>
          </cell>
          <cell r="C4940" t="str">
            <v>CCD-BPE CAP DE TRAB REPROG_CMIE VEN NORM1 D</v>
          </cell>
        </row>
        <row r="4941">
          <cell r="B4941" t="str">
            <v>14050206020199</v>
          </cell>
          <cell r="C4941" t="str">
            <v>CCD-BPE CAP DE TRAB REPROG_CMIE VEN DUPE1 D</v>
          </cell>
        </row>
        <row r="4942">
          <cell r="B4942" t="str">
            <v>14050206090101</v>
          </cell>
          <cell r="C4942" t="str">
            <v>CL PAG.TV NO REVOLVENTE MES VEN         1ND</v>
          </cell>
        </row>
        <row r="4943">
          <cell r="B4943" t="str">
            <v>14050206090102</v>
          </cell>
          <cell r="C4943" t="str">
            <v>CL PAG.TV D/P NO REVOLV MES VEN         1ND</v>
          </cell>
        </row>
        <row r="4944">
          <cell r="B4944" t="str">
            <v>14050206090103</v>
          </cell>
          <cell r="C4944" t="str">
            <v>$CL P.TV OTRS SUS.NO REVO MES VE        1ND</v>
          </cell>
        </row>
        <row r="4945">
          <cell r="B4945" t="str">
            <v>14050206090107</v>
          </cell>
          <cell r="C4945" t="str">
            <v>$CL PRE JUD PAG.TV NO REVOLV MES        1ND</v>
          </cell>
        </row>
        <row r="4946">
          <cell r="B4946" t="str">
            <v>14050206090108</v>
          </cell>
          <cell r="C4946" t="str">
            <v>$CL PREJUD P.TV COFID NO REV MES        1ND</v>
          </cell>
        </row>
        <row r="4947">
          <cell r="B4947" t="str">
            <v>14050206090109</v>
          </cell>
          <cell r="C4947" t="str">
            <v>LPC PAG.TV NO REVOLV VEN MES            1ND</v>
          </cell>
        </row>
        <row r="4948">
          <cell r="B4948" t="str">
            <v>14050206090110</v>
          </cell>
          <cell r="C4948" t="str">
            <v>LPC PAG.TV D/P NO REVOLV VEN MES        1ND</v>
          </cell>
        </row>
        <row r="4949">
          <cell r="B4949" t="str">
            <v>14050206090201</v>
          </cell>
          <cell r="C4949" t="str">
            <v>LPC PAG TV RP MED PLAZO NO REV CMIE     1ND</v>
          </cell>
        </row>
        <row r="4950">
          <cell r="B4950" t="str">
            <v>14050206090202</v>
          </cell>
          <cell r="C4950" t="str">
            <v>LPC PAG TV RP MED PLAZO NO REV D/P CMIE 1ND</v>
          </cell>
        </row>
        <row r="4951">
          <cell r="B4951" t="str">
            <v>14050206090203</v>
          </cell>
          <cell r="C4951" t="str">
            <v>LPC PAG TV INMOBILIARIO NO REV CMIE     1ND</v>
          </cell>
        </row>
        <row r="4952">
          <cell r="B4952" t="str">
            <v>14050206090204</v>
          </cell>
          <cell r="C4952" t="str">
            <v>LPC PAG TV INMOBILIARIO NO REV D/P CMIE 1ND</v>
          </cell>
        </row>
        <row r="4953">
          <cell r="B4953" t="str">
            <v>14050206090205</v>
          </cell>
          <cell r="C4953" t="str">
            <v>LPC P.TV REC.COFIDE NO REVOL VEN CMIE   1ND</v>
          </cell>
        </row>
        <row r="4954">
          <cell r="B4954" t="str">
            <v>14050206090206</v>
          </cell>
          <cell r="C4954" t="str">
            <v>LPC PAG TV  COFIDE  VENCIDO - D/P CMIE  1ND</v>
          </cell>
        </row>
        <row r="4955">
          <cell r="B4955" t="str">
            <v>14050206090207</v>
          </cell>
          <cell r="C4955" t="str">
            <v>LPC PAG REPROGRAMADO NO REV NORM CMIE   1ND</v>
          </cell>
        </row>
        <row r="4956">
          <cell r="B4956" t="str">
            <v>14050206090208</v>
          </cell>
          <cell r="C4956" t="str">
            <v>LPC PAG REPROGRAMADO NO REV D/P CMIE    1ND</v>
          </cell>
        </row>
        <row r="4957">
          <cell r="B4957" t="str">
            <v>14050206090301</v>
          </cell>
          <cell r="C4957" t="str">
            <v>$JCC PRE JUD PAG.TV NO REVOLV MES       1ND</v>
          </cell>
        </row>
        <row r="4958">
          <cell r="B4958" t="str">
            <v>14050206090310</v>
          </cell>
          <cell r="C4958" t="str">
            <v>LPC REACTIVA PERU VEN CMIE\NORM         1ND</v>
          </cell>
        </row>
        <row r="4959">
          <cell r="B4959" t="str">
            <v>14050206090311</v>
          </cell>
          <cell r="C4959" t="str">
            <v>LPC REACTIVA PERU VEN CMIE\DUPE         1ND</v>
          </cell>
        </row>
        <row r="4960">
          <cell r="B4960" t="str">
            <v>14050206090312</v>
          </cell>
          <cell r="C4960" t="str">
            <v>LPC COFIDE FONDOS PERU VEN CMIE\NORM    1ND</v>
          </cell>
        </row>
        <row r="4961">
          <cell r="B4961" t="str">
            <v>14050206090313</v>
          </cell>
          <cell r="C4961" t="str">
            <v>LPC COFIDE FONDOS PERU VEN CMIE\DUPE    1ND</v>
          </cell>
        </row>
        <row r="4962">
          <cell r="B4962" t="str">
            <v>14050206090314</v>
          </cell>
          <cell r="C4962" t="str">
            <v>LPC COFIDE FONDO CRECER VEN CMIE\NORM   1ND</v>
          </cell>
        </row>
        <row r="4963">
          <cell r="B4963" t="str">
            <v>14050206090315</v>
          </cell>
          <cell r="C4963" t="str">
            <v>LPC COFIDE FONDO CRECER VEN CMIE\DUPE   1ND</v>
          </cell>
        </row>
        <row r="4964">
          <cell r="B4964" t="str">
            <v>14050206090316</v>
          </cell>
          <cell r="C4964" t="str">
            <v>LPC REACTIVA PERU VEN CMIE\NORM         1ND</v>
          </cell>
        </row>
        <row r="4965">
          <cell r="B4965" t="str">
            <v>14050206090317</v>
          </cell>
          <cell r="C4965" t="str">
            <v>LPC REACTIVA PERU VEN CMIE\DUPE         1ND</v>
          </cell>
        </row>
        <row r="4966">
          <cell r="B4966" t="str">
            <v>14050210000101</v>
          </cell>
          <cell r="C4966" t="str">
            <v>PR FACTORING VENC HASTA 4M MES          1ND</v>
          </cell>
        </row>
        <row r="4967">
          <cell r="B4967" t="str">
            <v>14050210000102</v>
          </cell>
          <cell r="C4967" t="str">
            <v>PR FACTORING FACTURAS MES VEN           1ND</v>
          </cell>
        </row>
        <row r="4968">
          <cell r="B4968" t="str">
            <v>14050210000105</v>
          </cell>
          <cell r="C4968" t="str">
            <v>CL PRE JUDIC FACT LET-MES VENC GL7003   1ND</v>
          </cell>
        </row>
        <row r="4969">
          <cell r="B4969" t="str">
            <v>14050210000106</v>
          </cell>
          <cell r="C4969" t="str">
            <v>CL PRE JUDIC FACT FACTU-MES VENC GL7003 1ND</v>
          </cell>
        </row>
        <row r="4970">
          <cell r="B4970" t="str">
            <v>14050210000107</v>
          </cell>
          <cell r="C4970" t="str">
            <v>PR FACT ELECTR LET/FACT VEN MES         1ND</v>
          </cell>
        </row>
        <row r="4971">
          <cell r="B4971" t="str">
            <v>14050210000108</v>
          </cell>
          <cell r="C4971" t="str">
            <v>PR PERU FACTORING CAP VEN MES           1ND</v>
          </cell>
        </row>
        <row r="4972">
          <cell r="B4972" t="str">
            <v>14050210000109</v>
          </cell>
          <cell r="C4972" t="str">
            <v>JCC PRE JUDIC FACTORING LET-MES VENC GL71ND</v>
          </cell>
        </row>
        <row r="4973">
          <cell r="B4973" t="str">
            <v>14050210000110</v>
          </cell>
          <cell r="C4973" t="str">
            <v>JCC PRE JUDIC FACTORING FACTU-MES VENC G1ND</v>
          </cell>
        </row>
        <row r="4974">
          <cell r="B4974" t="str">
            <v>14050210000111</v>
          </cell>
          <cell r="C4974" t="str">
            <v>PR FORFAITING EXPORTACIÃ“N VEN CMIE     1ND</v>
          </cell>
        </row>
        <row r="4975">
          <cell r="B4975" t="str">
            <v>14050210000112</v>
          </cell>
          <cell r="C4975" t="str">
            <v>PR FACT INTERN VEN CMIE                 1ND</v>
          </cell>
        </row>
        <row r="4976">
          <cell r="B4976" t="str">
            <v>14050210000201</v>
          </cell>
          <cell r="C4976" t="str">
            <v>FCD FACT ELECTR VENC DUDOSO CMIE        1ND</v>
          </cell>
        </row>
        <row r="4977">
          <cell r="B4977" t="str">
            <v>14050210000202</v>
          </cell>
          <cell r="C4977" t="str">
            <v>FCD fAC. FIS. LET. VENC. CMIE DUPE      1ND</v>
          </cell>
        </row>
        <row r="4978">
          <cell r="B4978" t="str">
            <v>14050210000203</v>
          </cell>
          <cell r="C4978" t="str">
            <v>FCD FAC. FIS. FAC.. VENC. CMIE DUPE     1ND</v>
          </cell>
        </row>
        <row r="4979">
          <cell r="B4979" t="str">
            <v>14050210000204</v>
          </cell>
          <cell r="C4979" t="str">
            <v>FCD FACT INTER EXPO VENC NORM CMIE      1ND</v>
          </cell>
        </row>
        <row r="4980">
          <cell r="B4980" t="str">
            <v>14050210000205</v>
          </cell>
          <cell r="C4980" t="str">
            <v>FCD FACT INTER EXPO VENC DUPE CMIE      1ND</v>
          </cell>
        </row>
        <row r="4981">
          <cell r="B4981" t="str">
            <v>14050210000206</v>
          </cell>
          <cell r="C4981" t="str">
            <v>FCD FORFAITING EXPO VEN NORM CMIE       1ND</v>
          </cell>
        </row>
        <row r="4982">
          <cell r="B4982" t="str">
            <v>14050210000207</v>
          </cell>
          <cell r="C4982" t="str">
            <v>FCD FORFAITING EXPO VEN DUPE CMIE       1ND</v>
          </cell>
        </row>
        <row r="4983">
          <cell r="B4983" t="str">
            <v>14050210000301</v>
          </cell>
          <cell r="C4983" t="str">
            <v>FACT INTER IMPORT VENC. CMIE DUPE       1ND</v>
          </cell>
        </row>
        <row r="4984">
          <cell r="B4984" t="str">
            <v>14050210000302</v>
          </cell>
          <cell r="C4984" t="str">
            <v>FACT INTER IMPORT  VENC. CMIE NORMAL    1ND</v>
          </cell>
        </row>
        <row r="4985">
          <cell r="B4985" t="str">
            <v>14050210000303</v>
          </cell>
          <cell r="C4985" t="str">
            <v>FCD FACT INTER EXPO VEN NORM CMIE       1ND</v>
          </cell>
        </row>
        <row r="4986">
          <cell r="B4986" t="str">
            <v>14050210000304</v>
          </cell>
          <cell r="C4986" t="str">
            <v>FCD FACT INTER EXPO VEN DUPE CMIE       1ND</v>
          </cell>
        </row>
        <row r="4987">
          <cell r="B4987" t="str">
            <v>14050211000101</v>
          </cell>
          <cell r="C4987" t="str">
            <v>LPC LEASING DEL BIEN VENC RP MES        1ND</v>
          </cell>
        </row>
        <row r="4988">
          <cell r="B4988" t="str">
            <v>14050211000102</v>
          </cell>
          <cell r="C4988" t="str">
            <v>LPC LEASING VENC SEGUROS RP MES         1ND</v>
          </cell>
        </row>
        <row r="4989">
          <cell r="B4989" t="str">
            <v>14050211000103</v>
          </cell>
          <cell r="C4989" t="str">
            <v>LPC LEASING VENC IGV RP MES             1ND</v>
          </cell>
        </row>
        <row r="4990">
          <cell r="B4990" t="str">
            <v>14050211000104</v>
          </cell>
          <cell r="C4990" t="str">
            <v>LPC LEASING DEL BIEN VENC D/P RP MES    1ND</v>
          </cell>
        </row>
        <row r="4991">
          <cell r="B4991" t="str">
            <v>14050211000105</v>
          </cell>
          <cell r="C4991" t="str">
            <v>LPC LEASING VENC D/P SEG RP MES         1ND</v>
          </cell>
        </row>
        <row r="4992">
          <cell r="B4992" t="str">
            <v>14050211000106</v>
          </cell>
          <cell r="C4992" t="str">
            <v>LPC LEASING VENC D/P IGV RP MES         1ND</v>
          </cell>
        </row>
        <row r="4993">
          <cell r="B4993" t="str">
            <v>14050211000107</v>
          </cell>
          <cell r="C4993" t="str">
            <v>LPC LEASING INT DIFERIDOS VENC RP MES   1ND</v>
          </cell>
        </row>
        <row r="4994">
          <cell r="B4994" t="str">
            <v>14050211000108</v>
          </cell>
          <cell r="C4994" t="str">
            <v>LPC LEASING SEGUROS INT DIFERID VENC RP 1ND</v>
          </cell>
        </row>
        <row r="4995">
          <cell r="B4995" t="str">
            <v>14050211000109</v>
          </cell>
          <cell r="C4995" t="str">
            <v>LPC LEASING D/P INT DIFERID VENC RP MES 1ND</v>
          </cell>
        </row>
        <row r="4996">
          <cell r="B4996" t="str">
            <v>14050211000110</v>
          </cell>
          <cell r="C4996" t="str">
            <v>LPC LEASING D/P SEG INT DIFERID VENC RP 1ND</v>
          </cell>
        </row>
        <row r="4997">
          <cell r="B4997" t="str">
            <v>14050211000116</v>
          </cell>
          <cell r="C4997" t="str">
            <v>LPC LSG ADJ. D/P INT DIF VEN MES RP     1ND</v>
          </cell>
        </row>
        <row r="4998">
          <cell r="B4998" t="str">
            <v>14050211000117</v>
          </cell>
          <cell r="C4998" t="str">
            <v>LPC LSG ADJ. D/P SEG INT DIF MES RP     1ND</v>
          </cell>
        </row>
        <row r="4999">
          <cell r="B4999" t="str">
            <v>14050211000118</v>
          </cell>
          <cell r="C4999" t="str">
            <v>LPC LSG ADJ. DEL BIEN VEN D/P MES RP    1ND</v>
          </cell>
        </row>
        <row r="5000">
          <cell r="B5000" t="str">
            <v>14050211000119</v>
          </cell>
          <cell r="C5000" t="str">
            <v>LPC LSG ADJ. VEN D/P IGV MES RP         1ND</v>
          </cell>
        </row>
        <row r="5001">
          <cell r="B5001" t="str">
            <v>14050211000120</v>
          </cell>
          <cell r="C5001" t="str">
            <v>LPC LSG ADJ. VEN D/P SEG MES RP         1ND</v>
          </cell>
        </row>
        <row r="5002">
          <cell r="B5002" t="str">
            <v>14050211000150</v>
          </cell>
          <cell r="C5002" t="str">
            <v>LPC PRI LEASING MYP CMIE                1ND</v>
          </cell>
        </row>
        <row r="5003">
          <cell r="B5003" t="str">
            <v>14050211000151</v>
          </cell>
          <cell r="C5003" t="str">
            <v>LPC PSG LEASING MYP  CMIE               1ND</v>
          </cell>
        </row>
        <row r="5004">
          <cell r="B5004" t="str">
            <v>14050211000152</v>
          </cell>
          <cell r="C5004" t="str">
            <v>LPC PIG LEASING IGV MYP CMIE            1ND</v>
          </cell>
        </row>
        <row r="5005">
          <cell r="B5005" t="str">
            <v>14050211000153</v>
          </cell>
          <cell r="C5005" t="str">
            <v>LPC PDL LEASING MYP INT DIFERIDOS CMIE  1ND</v>
          </cell>
        </row>
        <row r="5006">
          <cell r="B5006" t="str">
            <v>14050211000154</v>
          </cell>
          <cell r="C5006" t="str">
            <v>LPC PDS LEASING MYP INT DIFERIDOS CMIE  1ND</v>
          </cell>
        </row>
        <row r="5007">
          <cell r="B5007" t="str">
            <v>14050211000155</v>
          </cell>
          <cell r="C5007" t="str">
            <v>LPC PIG LEASING IGV MYP D/P CMIE        1ND</v>
          </cell>
        </row>
        <row r="5008">
          <cell r="B5008" t="str">
            <v>14050211000156</v>
          </cell>
          <cell r="C5008" t="str">
            <v>LPC MYP ISG CIA SEG LEAS D/P CMIE       1ND</v>
          </cell>
        </row>
        <row r="5009">
          <cell r="B5009" t="str">
            <v>14050211000157</v>
          </cell>
          <cell r="C5009" t="str">
            <v>LPC PRI LEASING MYP D/P CMIE            1ND</v>
          </cell>
        </row>
        <row r="5010">
          <cell r="B5010" t="str">
            <v>14050211000158</v>
          </cell>
          <cell r="C5010" t="str">
            <v>LPC PDL LEASING MYP INT DIF D/P CMIE    1ND</v>
          </cell>
        </row>
        <row r="5011">
          <cell r="B5011" t="str">
            <v>14050211000159</v>
          </cell>
          <cell r="C5011" t="str">
            <v>LPC PDS LEASING MYP INT DIF D/P CMIE    1ND</v>
          </cell>
        </row>
        <row r="5012">
          <cell r="B5012" t="str">
            <v>14050211000160</v>
          </cell>
          <cell r="C5012" t="str">
            <v>LPC LEASING RESUELTO VENCIDO CMIE       1ND</v>
          </cell>
        </row>
        <row r="5013">
          <cell r="B5013" t="str">
            <v>14050211000161</v>
          </cell>
          <cell r="C5013" t="str">
            <v>LPC LS RESUELTO VENC BPE CMIE           1ND</v>
          </cell>
        </row>
        <row r="5014">
          <cell r="B5014" t="str">
            <v>14050211000201</v>
          </cell>
          <cell r="C5014" t="str">
            <v>LPC LEASING COFIDE INT DIF VENC PDL CMIE1ND</v>
          </cell>
        </row>
        <row r="5015">
          <cell r="B5015" t="str">
            <v>14050211000202</v>
          </cell>
          <cell r="C5015" t="str">
            <v>LPC LEASING COFIDE SEGURO INT DIF VENC P1ND</v>
          </cell>
        </row>
        <row r="5016">
          <cell r="B5016" t="str">
            <v>14050211000203</v>
          </cell>
          <cell r="C5016" t="str">
            <v>LPC LEASING COFIDE VENC SEGUROS PSG CMIE1ND</v>
          </cell>
        </row>
        <row r="5017">
          <cell r="B5017" t="str">
            <v>14050211000204</v>
          </cell>
          <cell r="C5017" t="str">
            <v>LPC LEASING COFIDE VENC IGV PIG CMIE    1ND</v>
          </cell>
        </row>
        <row r="5018">
          <cell r="B5018" t="str">
            <v>14050211000205</v>
          </cell>
          <cell r="C5018" t="str">
            <v>LPC LEASING COFIDE VENC PRI CMIE        1ND</v>
          </cell>
        </row>
        <row r="5019">
          <cell r="B5019" t="str">
            <v>14050211000206</v>
          </cell>
          <cell r="C5019" t="str">
            <v>LPC LS COFIDE D/P INT DIF VENC PDL CMIE 1ND</v>
          </cell>
        </row>
        <row r="5020">
          <cell r="B5020" t="str">
            <v>14050211000207</v>
          </cell>
          <cell r="C5020" t="str">
            <v>LPC LS COFIDE D/P SEG INT DIF VENC PDS C1ND</v>
          </cell>
        </row>
        <row r="5021">
          <cell r="B5021" t="str">
            <v>14050211000208</v>
          </cell>
          <cell r="C5021" t="str">
            <v>LPC LEASING COFIDE VENC D/P SEG PSG CMIE1ND</v>
          </cell>
        </row>
        <row r="5022">
          <cell r="B5022" t="str">
            <v>14050211000209</v>
          </cell>
          <cell r="C5022" t="str">
            <v>LPC LEASING COFIDE VENC D/P IGV PIG CMIE1ND</v>
          </cell>
        </row>
        <row r="5023">
          <cell r="B5023" t="str">
            <v>14050211000210</v>
          </cell>
          <cell r="C5023" t="str">
            <v>LPC LEASING COFIDE VENC D/P PRI CMIE    1ND</v>
          </cell>
        </row>
        <row r="5024">
          <cell r="B5024" t="str">
            <v>14050211000301</v>
          </cell>
          <cell r="C5024" t="str">
            <v>JCC PREJUDIC MYP LEASING BPE CMIE       1ND</v>
          </cell>
        </row>
        <row r="5025">
          <cell r="B5025" t="str">
            <v>14050212000101</v>
          </cell>
          <cell r="C5025" t="str">
            <v>LPC LEASE BACK DEL BIEN VENC RP MES     1ND</v>
          </cell>
        </row>
        <row r="5026">
          <cell r="B5026" t="str">
            <v>14050212000102</v>
          </cell>
          <cell r="C5026" t="str">
            <v>LPC LEASEBACK VENC SEGUROS RP MES       1ND</v>
          </cell>
        </row>
        <row r="5027">
          <cell r="B5027" t="str">
            <v>14050212000103</v>
          </cell>
          <cell r="C5027" t="str">
            <v>LPC LEASE BACK VENC IGV RP MES          1ND</v>
          </cell>
        </row>
        <row r="5028">
          <cell r="B5028" t="str">
            <v>14050212000104</v>
          </cell>
          <cell r="C5028" t="str">
            <v>LPC LEASEBACK INT DIFERIDOS VENC RP MES 1ND</v>
          </cell>
        </row>
        <row r="5029">
          <cell r="B5029" t="str">
            <v>14050212000105</v>
          </cell>
          <cell r="C5029" t="str">
            <v>LPC LSEBACK SEGUROS INT DIFERID VENC RP 1ND</v>
          </cell>
        </row>
        <row r="5030">
          <cell r="B5030" t="str">
            <v>14050212000106</v>
          </cell>
          <cell r="C5030" t="str">
            <v>LPC LSBACK DEL BIEN VENC D/P RP MES     1ND</v>
          </cell>
        </row>
        <row r="5031">
          <cell r="B5031" t="str">
            <v>14050212000107</v>
          </cell>
          <cell r="C5031" t="str">
            <v>LPC LSBACK VENC D/P SEG RP CMIE         1ND</v>
          </cell>
        </row>
        <row r="5032">
          <cell r="B5032" t="str">
            <v>14050212000108</v>
          </cell>
          <cell r="C5032" t="str">
            <v>LPC LSBACK VENC D/P IGV RP MES          1ND</v>
          </cell>
        </row>
        <row r="5033">
          <cell r="B5033" t="str">
            <v>14050212000109</v>
          </cell>
          <cell r="C5033" t="str">
            <v>LPC LSBACK D/P INT DIFERID VENC RP MES  1ND</v>
          </cell>
        </row>
        <row r="5034">
          <cell r="B5034" t="str">
            <v>14050212000110</v>
          </cell>
          <cell r="C5034" t="str">
            <v>LPC LSBACK D/P SEG INT DIFERID VENC RP C1ND</v>
          </cell>
        </row>
        <row r="5035">
          <cell r="B5035" t="str">
            <v>14050219010101</v>
          </cell>
          <cell r="C5035" t="str">
            <v>CL PAG.REF.RFA SUBORDINADO CL MES       1ND</v>
          </cell>
        </row>
        <row r="5036">
          <cell r="B5036" t="str">
            <v>14050219060101</v>
          </cell>
          <cell r="C5036" t="str">
            <v>LPC PAG TV REFINANCIADO VENC - MES      1ND</v>
          </cell>
        </row>
        <row r="5037">
          <cell r="B5037" t="str">
            <v>14050219060106</v>
          </cell>
          <cell r="C5037" t="str">
            <v>CL PAG.TV REFINA. MES VEN               1ND</v>
          </cell>
        </row>
        <row r="5038">
          <cell r="B5038" t="str">
            <v>14050219060110</v>
          </cell>
          <cell r="C5038" t="str">
            <v>MYP PAG.TV REFIN. REVOL VENC MES CPEM   1ND</v>
          </cell>
        </row>
        <row r="5039">
          <cell r="B5039" t="str">
            <v>14050219060111</v>
          </cell>
          <cell r="C5039" t="str">
            <v>MYP PAG.TV REFIN. C/FIJA VEN MES        1ND</v>
          </cell>
        </row>
        <row r="5040">
          <cell r="B5040" t="str">
            <v>14050219060201</v>
          </cell>
          <cell r="C5040" t="str">
            <v>MYP REFIN.COBRANZAS C/FIJA VEN MES      1ND</v>
          </cell>
        </row>
        <row r="5041">
          <cell r="B5041" t="str">
            <v>14050219060202</v>
          </cell>
          <cell r="C5041" t="str">
            <v>MYP REFIN.COBRANZAS REVOL.VENC.MES      1ND</v>
          </cell>
        </row>
        <row r="5042">
          <cell r="B5042" t="str">
            <v>14050219060203</v>
          </cell>
          <cell r="C5042" t="str">
            <v>MYP REFINANC. COVID-19                  1ND</v>
          </cell>
        </row>
        <row r="5043">
          <cell r="B5043" t="str">
            <v>14050219060204</v>
          </cell>
          <cell r="C5043" t="str">
            <v>MYP REFINANC. COVID-19                  1ND</v>
          </cell>
        </row>
        <row r="5044">
          <cell r="B5044" t="str">
            <v>14050219060205</v>
          </cell>
          <cell r="C5044" t="str">
            <v>LPC REFINANCIADO REACTIVA CMIE VEN      1 D</v>
          </cell>
        </row>
        <row r="5045">
          <cell r="B5045" t="str">
            <v>14050219060209</v>
          </cell>
          <cell r="C5045" t="str">
            <v>MYP REFINANCIADO CIMA CMIE VEN          1 D</v>
          </cell>
        </row>
        <row r="5046">
          <cell r="B5046" t="str">
            <v>14050219060210</v>
          </cell>
          <cell r="C5046" t="str">
            <v>LPC REFINANCIADO CRECER IBK POST HONR CM1 D</v>
          </cell>
        </row>
        <row r="5047">
          <cell r="B5047" t="str">
            <v>14050219060211</v>
          </cell>
          <cell r="C5047" t="str">
            <v>CCD-BPE REFINANCIADO_CMIE VEN           1 D</v>
          </cell>
        </row>
        <row r="5048">
          <cell r="B5048" t="str">
            <v>14050219110106</v>
          </cell>
          <cell r="C5048" t="str">
            <v>LPC REF LEAS BPE DEL BIEN VENC REF RP CM1ND</v>
          </cell>
        </row>
        <row r="5049">
          <cell r="B5049" t="str">
            <v>14050219110107</v>
          </cell>
          <cell r="C5049" t="str">
            <v>LPC REF LEAS BPE VENC REF SEGUROS RP CMI1ND</v>
          </cell>
        </row>
        <row r="5050">
          <cell r="B5050" t="str">
            <v>14050219110108</v>
          </cell>
          <cell r="C5050" t="str">
            <v>LPC REF LEAS BPE VENC REF IGV RP CMIE   1ND</v>
          </cell>
        </row>
        <row r="5051">
          <cell r="B5051" t="str">
            <v>14050219110109</v>
          </cell>
          <cell r="C5051" t="str">
            <v>LPC REF LEAS BPE INT DIFERIDOS VENC REF 1ND</v>
          </cell>
        </row>
        <row r="5052">
          <cell r="B5052" t="str">
            <v>14050219110110</v>
          </cell>
          <cell r="C5052" t="str">
            <v>LPC REF LEAS BPE SEG INT DIF VENC REF RP1ND</v>
          </cell>
        </row>
        <row r="5053">
          <cell r="B5053" t="str">
            <v>14050219240101</v>
          </cell>
          <cell r="C5053" t="str">
            <v>CL PAG.REF.RFA SUBORDINADO VENC MES     1ND</v>
          </cell>
        </row>
        <row r="5054">
          <cell r="B5054" t="str">
            <v>14050219240103</v>
          </cell>
          <cell r="C5054" t="str">
            <v>CL PRE JUD.PAG RFA SUBORD MES VENC GL7001ND</v>
          </cell>
        </row>
        <row r="5055">
          <cell r="B5055" t="str">
            <v>14050219240104</v>
          </cell>
          <cell r="C5055" t="str">
            <v>CL PRE JUD.PAG RFA FINANC MES VENC GL7001ND</v>
          </cell>
        </row>
        <row r="5056">
          <cell r="B5056" t="str">
            <v>14050219240201</v>
          </cell>
          <cell r="C5056" t="str">
            <v>CL PAG.REF.RFA VENC CMIE                1ND</v>
          </cell>
        </row>
        <row r="5057">
          <cell r="B5057" t="str">
            <v>14050219240202</v>
          </cell>
          <cell r="C5057" t="str">
            <v>JCC PRE JUD.PAG RFA SUBORD MES VENC GL701ND</v>
          </cell>
        </row>
        <row r="5058">
          <cell r="B5058" t="str">
            <v>14050219250102</v>
          </cell>
          <cell r="C5058" t="str">
            <v>CL PAG REF TASA VENCIDA FOPE VEN MES    1ND</v>
          </cell>
        </row>
        <row r="5059">
          <cell r="B5059" t="str">
            <v>14050219290108</v>
          </cell>
          <cell r="C5059" t="str">
            <v>CL P.REF RP CAP TRAB B VENC MES         1ND</v>
          </cell>
        </row>
        <row r="5060">
          <cell r="B5060" t="str">
            <v>14050221000201</v>
          </cell>
          <cell r="C5060" t="str">
            <v>CL CRED.POR LIQ. CARTA FIANZA VEN CMIE  1ND</v>
          </cell>
        </row>
        <row r="5061">
          <cell r="B5061" t="str">
            <v>14050221000202</v>
          </cell>
          <cell r="C5061" t="str">
            <v>JCC COB.PRE.JUD. CARTA FIANZA CMIE      1ND</v>
          </cell>
        </row>
        <row r="5062">
          <cell r="B5062" t="str">
            <v>14050222060102</v>
          </cell>
          <cell r="C5062" t="str">
            <v>LPC PAG TV REESTRUC RP  VENC - MES      1ND</v>
          </cell>
        </row>
        <row r="5063">
          <cell r="B5063" t="str">
            <v>14050226000101</v>
          </cell>
          <cell r="C5063" t="str">
            <v>CL PAG. EXP. PRE EM.RP VEN.-MES         1ND</v>
          </cell>
        </row>
        <row r="5064">
          <cell r="B5064" t="str">
            <v>14050226000102</v>
          </cell>
          <cell r="C5064" t="str">
            <v>CL PAG.VENC EX PRE EMBAR. DUD. VEN MES  1ND</v>
          </cell>
        </row>
        <row r="5065">
          <cell r="B5065" t="str">
            <v>14050226000106</v>
          </cell>
          <cell r="C5065" t="str">
            <v>CL PAG. EXP POST EMB RP VEN MES         1ND</v>
          </cell>
        </row>
        <row r="5066">
          <cell r="B5066" t="str">
            <v>14050226000109</v>
          </cell>
          <cell r="C5066" t="str">
            <v>CL PAG. IMPOR RP VEN MES                1ND</v>
          </cell>
        </row>
        <row r="5067">
          <cell r="B5067" t="str">
            <v>14050226000110</v>
          </cell>
          <cell r="C5067" t="str">
            <v>CL PAG. IMPORT. RP D/P VEN MES          1ND</v>
          </cell>
        </row>
        <row r="5068">
          <cell r="B5068" t="str">
            <v>14050226000115</v>
          </cell>
          <cell r="C5068" t="str">
            <v>CL PRE JUDIC PREST EXP MES VENC GL 7003 1ND</v>
          </cell>
        </row>
        <row r="5069">
          <cell r="B5069" t="str">
            <v>14050226000116</v>
          </cell>
          <cell r="C5069" t="str">
            <v>CL PRE JUDIC PAG.IMP MES VENC GL7003    1ND</v>
          </cell>
        </row>
        <row r="5070">
          <cell r="B5070" t="str">
            <v>14050226000117</v>
          </cell>
          <cell r="C5070" t="str">
            <v>CL PRE JUDIC CART CRED MES VENC GL7003  1ND</v>
          </cell>
        </row>
        <row r="5071">
          <cell r="B5071" t="str">
            <v>14050226000118</v>
          </cell>
          <cell r="C5071" t="str">
            <v>CL PRE JUDIC CART FIANZA-MES VENC GL70031ND</v>
          </cell>
        </row>
        <row r="5072">
          <cell r="B5072" t="str">
            <v>14050226000119</v>
          </cell>
          <cell r="C5072" t="str">
            <v>MYP IMPORT REC PROP MES VENC            1ND</v>
          </cell>
        </row>
        <row r="5073">
          <cell r="B5073" t="str">
            <v>14050226000120</v>
          </cell>
          <cell r="C5073" t="str">
            <v>MYP D/P IMPOR REC PROP MES VENC         1ND</v>
          </cell>
        </row>
        <row r="5074">
          <cell r="B5074" t="str">
            <v>14050226000121</v>
          </cell>
          <cell r="C5074" t="str">
            <v>MYP EXPORT.POST EMBARQUE REC PROP MES VE1ND</v>
          </cell>
        </row>
        <row r="5075">
          <cell r="B5075" t="str">
            <v>14050226000122</v>
          </cell>
          <cell r="C5075" t="str">
            <v>MYP D/P EXPORT.POST EMB VIG CPEM        1ND</v>
          </cell>
        </row>
        <row r="5076">
          <cell r="B5076" t="str">
            <v>14050226000123</v>
          </cell>
          <cell r="C5076" t="str">
            <v>MYP EXPORT.PRE EMBARQ REC PROPÂ  VENC CP1ND</v>
          </cell>
        </row>
        <row r="5077">
          <cell r="B5077" t="str">
            <v>14050226000124</v>
          </cell>
          <cell r="C5077" t="str">
            <v>MYP D/P EXPORT.PRE EMBARQÂ  VENC CPEM   1ND</v>
          </cell>
        </row>
        <row r="5078">
          <cell r="B5078" t="str">
            <v>14050226000125</v>
          </cell>
          <cell r="C5078" t="str">
            <v>MYP FINANC IMPORT CAPITAL DE TRAB MES   1ND</v>
          </cell>
        </row>
        <row r="5079">
          <cell r="B5079" t="str">
            <v>14050226000126</v>
          </cell>
          <cell r="C5079" t="str">
            <v>MYP FINANC IMPORT ACT FIJO  MES VENC    1ND</v>
          </cell>
        </row>
        <row r="5080">
          <cell r="B5080" t="str">
            <v>14050226000127</v>
          </cell>
          <cell r="C5080" t="str">
            <v>MYP FINANC IMPORT CAPITAL DE TRAB MES   1ND</v>
          </cell>
        </row>
        <row r="5081">
          <cell r="B5081" t="str">
            <v>14050226000128</v>
          </cell>
          <cell r="C5081" t="str">
            <v>MYP FINANC IMPORT ACT FIJO  MES  VENC   1ND</v>
          </cell>
        </row>
        <row r="5082">
          <cell r="B5082" t="str">
            <v>14050226000201</v>
          </cell>
          <cell r="C5082" t="str">
            <v>LPC PAGARE IMPORT RP MES VENC           1ND</v>
          </cell>
        </row>
        <row r="5083">
          <cell r="B5083" t="str">
            <v>14050226000202</v>
          </cell>
          <cell r="C5083" t="str">
            <v>LPC PAGARE IMPORT RP MES D/P VENC       1ND</v>
          </cell>
        </row>
        <row r="5084">
          <cell r="B5084" t="str">
            <v>14050226000203</v>
          </cell>
          <cell r="C5084" t="str">
            <v>LPC FINANC PRE EMBARQUE-SEPYMEX CMIE    1ND</v>
          </cell>
        </row>
        <row r="5085">
          <cell r="B5085" t="str">
            <v>14050226000204</v>
          </cell>
          <cell r="C5085" t="str">
            <v>LPC FINANC PRE EMBARQUE  D/P-SEPYMEX CMI1ND</v>
          </cell>
        </row>
        <row r="5086">
          <cell r="B5086" t="str">
            <v>14050226000205</v>
          </cell>
          <cell r="C5086" t="str">
            <v>LPC PRE EMBARQUE FINANC. VEN. NORM CMIE 1ND</v>
          </cell>
        </row>
        <row r="5087">
          <cell r="B5087" t="str">
            <v>14050226000206</v>
          </cell>
          <cell r="C5087" t="str">
            <v>LPC PRE EMBARQUE FINANC. VEN. DUPE CMIE 1ND</v>
          </cell>
        </row>
        <row r="5088">
          <cell r="B5088" t="str">
            <v>14050226000207</v>
          </cell>
          <cell r="C5088" t="str">
            <v>LPC POST EMBARQUE FINANC. VEN. NORM CMIE1ND</v>
          </cell>
        </row>
        <row r="5089">
          <cell r="B5089" t="str">
            <v>14050226000208</v>
          </cell>
          <cell r="C5089" t="str">
            <v>LPC POST EMBARQUE FINANC. VEN. DUPE CMIE1ND</v>
          </cell>
        </row>
        <row r="5090">
          <cell r="B5090" t="str">
            <v>14050226000209</v>
          </cell>
          <cell r="C5090" t="str">
            <v>LPC IMPORT. CARTA CREDITO  FINANC. VEN. 1ND</v>
          </cell>
        </row>
        <row r="5091">
          <cell r="B5091" t="str">
            <v>14050226000210</v>
          </cell>
          <cell r="C5091" t="str">
            <v>LPC IMPORT. CARTA CREDITO  FINANC. VEN. 1ND</v>
          </cell>
        </row>
        <row r="5092">
          <cell r="B5092" t="str">
            <v>14050226000211</v>
          </cell>
          <cell r="C5092" t="str">
            <v>LPC IMPORT.  FINANC. VEN. NORM CMIE     1ND</v>
          </cell>
        </row>
        <row r="5093">
          <cell r="B5093" t="str">
            <v>14050226000212</v>
          </cell>
          <cell r="C5093" t="str">
            <v>LPC IMPORT.  FINANC. VEN. DUPE CMIE     1ND</v>
          </cell>
        </row>
        <row r="5094">
          <cell r="B5094" t="str">
            <v>14050226000301</v>
          </cell>
          <cell r="C5094" t="str">
            <v>JCC PRE JUDIC PREST EXP MES VENC GL 70031ND</v>
          </cell>
        </row>
        <row r="5095">
          <cell r="B5095" t="str">
            <v>14050226000302</v>
          </cell>
          <cell r="C5095" t="str">
            <v>JCC PRE JUDIC PAG.IMP MES VENC GL7003   1ND</v>
          </cell>
        </row>
        <row r="5096">
          <cell r="B5096" t="str">
            <v>14050226000303</v>
          </cell>
          <cell r="C5096" t="str">
            <v>JCC PRE JUDIC CART CRED MES VENC GL7003 1ND</v>
          </cell>
        </row>
        <row r="5097">
          <cell r="B5097" t="str">
            <v>14050226000304</v>
          </cell>
          <cell r="C5097" t="str">
            <v>JCC PRE JUDIC CART FIANZA-MES VENC GL7001ND</v>
          </cell>
        </row>
        <row r="5098">
          <cell r="B5098" t="str">
            <v>14050227000701</v>
          </cell>
          <cell r="C5098" t="str">
            <v>RCC  CRÃ‰DITOS REESTRUCTURADOS - CRÃ‰DIT1ND</v>
          </cell>
        </row>
        <row r="5099">
          <cell r="B5099" t="str">
            <v>14050302000113</v>
          </cell>
          <cell r="C5099" t="str">
            <v>TC VENC AMEX -60D                       1ND</v>
          </cell>
        </row>
        <row r="5100">
          <cell r="B5100" t="str">
            <v>14050302000601</v>
          </cell>
          <cell r="C5100" t="str">
            <v>CL PRE.JUD.TARJ.CRED.VISA PN            1ND</v>
          </cell>
        </row>
        <row r="5101">
          <cell r="B5101" t="str">
            <v>14050302000602</v>
          </cell>
          <cell r="C5101" t="str">
            <v>CL PRE.JUD.TARJ.CRED.AMEX PN            1ND</v>
          </cell>
        </row>
        <row r="5102">
          <cell r="B5102" t="str">
            <v>14050302000603</v>
          </cell>
          <cell r="C5102" t="str">
            <v>CL PRE.JUD.TARJ.CRED.MASTER PN          1ND</v>
          </cell>
        </row>
        <row r="5103">
          <cell r="B5103" t="str">
            <v>14050302010101</v>
          </cell>
          <cell r="C5103" t="str">
            <v>TC VISA COLOC.REVOLV.DISP.EFECTIVO      1ND</v>
          </cell>
        </row>
        <row r="5104">
          <cell r="B5104" t="str">
            <v>14050302010102</v>
          </cell>
          <cell r="C5104" t="str">
            <v>TC MASTERCARD COLOC.REVOLV.DISP.EFECTIVO1ND</v>
          </cell>
        </row>
        <row r="5105">
          <cell r="B5105" t="str">
            <v>14050302010103</v>
          </cell>
          <cell r="C5105" t="str">
            <v>TC AMEX COLOC.REVOLV.DISP.EFECTIVO      1ND</v>
          </cell>
        </row>
        <row r="5106">
          <cell r="B5106" t="str">
            <v>14050302010104</v>
          </cell>
          <cell r="C5106" t="str">
            <v>TC VEA COLOC.REVOLV.DISP.EFECTIVO       1ND</v>
          </cell>
        </row>
        <row r="5107">
          <cell r="B5107" t="str">
            <v>14050302010105</v>
          </cell>
          <cell r="C5107" t="str">
            <v>TC COLOC. DISP.EFECTIVO EN CUOTAS       1ND</v>
          </cell>
        </row>
        <row r="5108">
          <cell r="B5108" t="str">
            <v>14050302010106</v>
          </cell>
          <cell r="C5108" t="str">
            <v>TC COLOC. VEA DISP EFECTIVO EN CUOTAS   1ND</v>
          </cell>
        </row>
        <row r="5109">
          <cell r="B5109" t="str">
            <v>14050302010107</v>
          </cell>
          <cell r="C5109" t="str">
            <v>TC COLOC. DISP.EFECTIVO EMPLEADOS       1ND</v>
          </cell>
        </row>
        <row r="5110">
          <cell r="B5110" t="str">
            <v>14050302010109</v>
          </cell>
          <cell r="C5110" t="str">
            <v>TC EXTRACASH VEA VENCIDO                1ND</v>
          </cell>
        </row>
        <row r="5111">
          <cell r="B5111" t="str">
            <v>14050302010110</v>
          </cell>
          <cell r="C5111" t="str">
            <v>TC EXTRACASH VENCIDO                    1ND</v>
          </cell>
        </row>
        <row r="5112">
          <cell r="B5112" t="str">
            <v>14050302010111</v>
          </cell>
          <cell r="C5112" t="str">
            <v>TC COMPRA DE DEUDA INTERNA              1ND</v>
          </cell>
        </row>
        <row r="5113">
          <cell r="B5113" t="str">
            <v>14050302010112</v>
          </cell>
          <cell r="C5113" t="str">
            <v>TC COMPRA DE DEUDA VEA                  1ND</v>
          </cell>
        </row>
        <row r="5114">
          <cell r="B5114" t="str">
            <v>14050302010113</v>
          </cell>
          <cell r="C5114" t="str">
            <v>TC COMPRA DE DEUDA                      1ND</v>
          </cell>
        </row>
        <row r="5115">
          <cell r="B5115" t="str">
            <v>14050302010114</v>
          </cell>
          <cell r="C5115" t="str">
            <v>CL PRE JUD TC VISA PN-DISP.EFEC         1ND</v>
          </cell>
        </row>
        <row r="5116">
          <cell r="B5116" t="str">
            <v>14050302010115</v>
          </cell>
          <cell r="C5116" t="str">
            <v>CL PRE JUD TC AMEX PN-DISP.EFEC         1ND</v>
          </cell>
        </row>
        <row r="5117">
          <cell r="B5117" t="str">
            <v>14050302010116</v>
          </cell>
          <cell r="C5117" t="str">
            <v>CL PRE JUD TC MASTER PN-DIS.EFE         1ND</v>
          </cell>
        </row>
        <row r="5118">
          <cell r="B5118" t="str">
            <v>14050302010117</v>
          </cell>
          <cell r="C5118" t="str">
            <v>TC VISA D/E REV VEN CCRV                1ND</v>
          </cell>
        </row>
        <row r="5119">
          <cell r="B5119" t="str">
            <v>14050302010118</v>
          </cell>
          <cell r="C5119" t="str">
            <v>TC VISA D/E CUOTAS VEN CCRV             1ND</v>
          </cell>
        </row>
        <row r="5120">
          <cell r="B5120" t="str">
            <v>14050302010119</v>
          </cell>
          <cell r="C5120" t="str">
            <v>JCC PRE JUD TC MASTER PN-DIS.EFE        1ND</v>
          </cell>
        </row>
        <row r="5121">
          <cell r="B5121" t="str">
            <v>14050302010120</v>
          </cell>
          <cell r="C5121" t="str">
            <v>JCC PRE JUD TC VISA PN-DISP.EFEC        1ND</v>
          </cell>
        </row>
        <row r="5122">
          <cell r="B5122" t="str">
            <v>14050302010121</v>
          </cell>
          <cell r="C5122" t="str">
            <v>JCC PRE JUD TC AMEX PN-DISP.EFEC        1ND</v>
          </cell>
        </row>
        <row r="5123">
          <cell r="B5123" t="str">
            <v>14050302010501</v>
          </cell>
          <cell r="C5123" t="str">
            <v>TC COLOC. DISP.EFECTIVO EMPLEADOS       1ND</v>
          </cell>
        </row>
        <row r="5124">
          <cell r="B5124" t="str">
            <v>14050302010502</v>
          </cell>
          <cell r="C5124" t="str">
            <v>TC COLOC.CUOTAS DISP.EFECTIVO EMPLEAD   1ND</v>
          </cell>
        </row>
        <row r="5125">
          <cell r="B5125" t="str">
            <v>14050302010503</v>
          </cell>
          <cell r="C5125" t="str">
            <v>TC AMEX D/E CUOTAS VEN CCRV             1ND</v>
          </cell>
        </row>
        <row r="5126">
          <cell r="B5126" t="str">
            <v>14050302010504</v>
          </cell>
          <cell r="C5126" t="str">
            <v>TC AMEX D/E REV VEN CCRV                1ND</v>
          </cell>
        </row>
        <row r="5127">
          <cell r="B5127" t="str">
            <v>14050302010505</v>
          </cell>
          <cell r="C5127" t="str">
            <v>TC MC D/E CUOTAS VEN CCRV               1ND</v>
          </cell>
        </row>
        <row r="5128">
          <cell r="B5128" t="str">
            <v>14050302010506</v>
          </cell>
          <cell r="C5128" t="str">
            <v>TC MC D/E REV VEN CCRV                  1ND</v>
          </cell>
        </row>
        <row r="5129">
          <cell r="B5129" t="str">
            <v>14050302010507</v>
          </cell>
          <cell r="C5129" t="str">
            <v>TC VISA EXTRACASH VEN CCNR              1ND</v>
          </cell>
        </row>
        <row r="5130">
          <cell r="B5130" t="str">
            <v>14050302010508</v>
          </cell>
          <cell r="C5130" t="str">
            <v>TC AMEX EXTRACASH VEN CCNR              1ND</v>
          </cell>
        </row>
        <row r="5131">
          <cell r="B5131" t="str">
            <v>14050302010509</v>
          </cell>
          <cell r="C5131" t="str">
            <v>TC MC EXTRACASH VEN CCNR                1ND</v>
          </cell>
        </row>
        <row r="5132">
          <cell r="B5132" t="str">
            <v>14050302010510</v>
          </cell>
          <cell r="C5132" t="str">
            <v>TC VISA EXTRACASH VEN CCNR              1ND</v>
          </cell>
        </row>
        <row r="5133">
          <cell r="B5133" t="str">
            <v>14050302010511</v>
          </cell>
          <cell r="C5133" t="str">
            <v>TC AMEX EXTRACASH VEN CCNR              1ND</v>
          </cell>
        </row>
        <row r="5134">
          <cell r="B5134" t="str">
            <v>14050302010512</v>
          </cell>
          <cell r="C5134" t="str">
            <v>TC MC EXTRACASH VEN CCNR                1ND</v>
          </cell>
        </row>
        <row r="5135">
          <cell r="B5135" t="str">
            <v>14050302010513</v>
          </cell>
          <cell r="C5135" t="str">
            <v>BTC VISA D/E CUOTAS VEN CCRV            1ND</v>
          </cell>
        </row>
        <row r="5136">
          <cell r="B5136" t="str">
            <v>14050302020101</v>
          </cell>
          <cell r="C5136" t="str">
            <v>TC VISA COLOC.REVOLV.COMPRAS            1ND</v>
          </cell>
        </row>
        <row r="5137">
          <cell r="B5137" t="str">
            <v>14050302020102</v>
          </cell>
          <cell r="C5137" t="str">
            <v>TC AMEX COLOC.REVOLV.COMPRAS            1ND</v>
          </cell>
        </row>
        <row r="5138">
          <cell r="B5138" t="str">
            <v>14050302020103</v>
          </cell>
          <cell r="C5138" t="str">
            <v>TC MASTERCARD COLOC.REVOLV.COMPRAS      1ND</v>
          </cell>
        </row>
        <row r="5139">
          <cell r="B5139" t="str">
            <v>14050302020104</v>
          </cell>
          <cell r="C5139" t="str">
            <v>TC VEA COLOC.REVOLV.COMPRAS             1ND</v>
          </cell>
        </row>
        <row r="5140">
          <cell r="B5140" t="str">
            <v>14050302020105</v>
          </cell>
          <cell r="C5140" t="str">
            <v>TC COLOC.COMPRAS EN CUOTAS              1ND</v>
          </cell>
        </row>
        <row r="5141">
          <cell r="B5141" t="str">
            <v>14050302020106</v>
          </cell>
          <cell r="C5141" t="str">
            <v>TC COLOC. VEA COMPRAS EN CUOTAS         1ND</v>
          </cell>
        </row>
        <row r="5142">
          <cell r="B5142" t="str">
            <v>14050302020107</v>
          </cell>
          <cell r="C5142" t="str">
            <v>TC COLOC.COMPRAS EMPLEADOS              1ND</v>
          </cell>
        </row>
        <row r="5143">
          <cell r="B5143" t="str">
            <v>14050302020109</v>
          </cell>
          <cell r="C5143" t="str">
            <v>CL PRE JUD TC VISA PN-CONSUMOS          1ND</v>
          </cell>
        </row>
        <row r="5144">
          <cell r="B5144" t="str">
            <v>14050302020110</v>
          </cell>
          <cell r="C5144" t="str">
            <v>CL PRE JUD TC AMEX PN-CONSUMOS          1ND</v>
          </cell>
        </row>
        <row r="5145">
          <cell r="B5145" t="str">
            <v>14050302020111</v>
          </cell>
          <cell r="C5145" t="str">
            <v>CL PRE JUD TC MASTER PN-CONSUMO         1ND</v>
          </cell>
        </row>
        <row r="5146">
          <cell r="B5146" t="str">
            <v>14050302020112</v>
          </cell>
          <cell r="C5146" t="str">
            <v>TC VISA COMPRA REV VEN CCRV             1ND</v>
          </cell>
        </row>
        <row r="5147">
          <cell r="B5147" t="str">
            <v>14050302020113</v>
          </cell>
          <cell r="C5147" t="str">
            <v>TC VISA COMPRA CUOTAS VEN CCRV          1ND</v>
          </cell>
        </row>
        <row r="5148">
          <cell r="B5148" t="str">
            <v>14050302020114</v>
          </cell>
          <cell r="C5148" t="str">
            <v>JCC PRE JUD TC MASTER PN-CONSUMO        1ND</v>
          </cell>
        </row>
        <row r="5149">
          <cell r="B5149" t="str">
            <v>14050302020115</v>
          </cell>
          <cell r="C5149" t="str">
            <v>JCC PRE JUD TC AMEX PN-CONSUMOS         1ND</v>
          </cell>
        </row>
        <row r="5150">
          <cell r="B5150" t="str">
            <v>14050302020116</v>
          </cell>
          <cell r="C5150" t="str">
            <v>JCC PRE JUD TC VISA PN-CONSUMOS         1ND</v>
          </cell>
        </row>
        <row r="5151">
          <cell r="B5151" t="str">
            <v>14050302020501</v>
          </cell>
          <cell r="C5151" t="str">
            <v>TC COLOC. COMPRAS.EMPL.                 1ND</v>
          </cell>
        </row>
        <row r="5152">
          <cell r="B5152" t="str">
            <v>14050302020502</v>
          </cell>
          <cell r="C5152" t="str">
            <v>TC COLOC.CUOTAS COMPRAS EMPLEADOS       1ND</v>
          </cell>
        </row>
        <row r="5153">
          <cell r="B5153" t="str">
            <v>14050302020503</v>
          </cell>
          <cell r="C5153" t="str">
            <v>TC AMEX COMPRA CUOTAS VEN CCRV          1ND</v>
          </cell>
        </row>
        <row r="5154">
          <cell r="B5154" t="str">
            <v>14050302020504</v>
          </cell>
          <cell r="C5154" t="str">
            <v>TC AMEX COMPRA REV VEN CCRV             1ND</v>
          </cell>
        </row>
        <row r="5155">
          <cell r="B5155" t="str">
            <v>14050302020505</v>
          </cell>
          <cell r="C5155" t="str">
            <v>TC MC COMPRA CUOTAS VEN CCRV            1ND</v>
          </cell>
        </row>
        <row r="5156">
          <cell r="B5156" t="str">
            <v>14050302020506</v>
          </cell>
          <cell r="C5156" t="str">
            <v>TC MC COMPRA REV VEN CCRV               1ND</v>
          </cell>
        </row>
        <row r="5157">
          <cell r="B5157" t="str">
            <v>14050302020507</v>
          </cell>
          <cell r="C5157" t="str">
            <v>BTC VISA COMPRA REV VEN CCRV            1ND</v>
          </cell>
        </row>
        <row r="5158">
          <cell r="B5158" t="str">
            <v>14050302020508</v>
          </cell>
          <cell r="C5158" t="str">
            <v>BTC VISA COMPRA CUOTAS VEN CCRV         1ND</v>
          </cell>
        </row>
        <row r="5159">
          <cell r="B5159" t="str">
            <v>14050302020509</v>
          </cell>
          <cell r="C5159" t="str">
            <v>TC AMEX REPROG REV VEN CCRV             1ND</v>
          </cell>
        </row>
        <row r="5160">
          <cell r="B5160" t="str">
            <v>14050302020510</v>
          </cell>
          <cell r="C5160" t="str">
            <v>TC MC REPROG REV VEN CCRV               1ND</v>
          </cell>
        </row>
        <row r="5161">
          <cell r="B5161" t="str">
            <v>14050302020511</v>
          </cell>
          <cell r="C5161" t="str">
            <v>TC VISA REPROG REV VEN CCRV             1ND</v>
          </cell>
        </row>
        <row r="5162">
          <cell r="B5162" t="str">
            <v>14050302020512</v>
          </cell>
          <cell r="C5162" t="str">
            <v>TC AMEX REPROG REV VEN CCRV             1ND</v>
          </cell>
        </row>
        <row r="5163">
          <cell r="B5163" t="str">
            <v>14050302020513</v>
          </cell>
          <cell r="C5163" t="str">
            <v>TC MC REPROG REV VEN CCRV               1ND</v>
          </cell>
        </row>
        <row r="5164">
          <cell r="B5164" t="str">
            <v>14050302020514</v>
          </cell>
          <cell r="C5164" t="str">
            <v>TC VISA REPROG REV VEN CCRV             1ND</v>
          </cell>
        </row>
        <row r="5165">
          <cell r="B5165" t="str">
            <v>14050302020515</v>
          </cell>
          <cell r="C5165" t="str">
            <v>TC VISA EXTRACASH VEN                   1ND</v>
          </cell>
        </row>
        <row r="5166">
          <cell r="B5166" t="str">
            <v>14050302020516</v>
          </cell>
          <cell r="C5166" t="str">
            <v>TC AMEX EXTRACASH VEN                   1ND</v>
          </cell>
        </row>
        <row r="5167">
          <cell r="B5167" t="str">
            <v>14050302020517</v>
          </cell>
          <cell r="C5167" t="str">
            <v>TC MC EXTRACASH VEN                     1ND</v>
          </cell>
        </row>
        <row r="5168">
          <cell r="B5168" t="str">
            <v>14050302020518</v>
          </cell>
          <cell r="C5168" t="str">
            <v>TC MC REPROG PAR VEN                    1ND</v>
          </cell>
        </row>
        <row r="5169">
          <cell r="B5169" t="str">
            <v>14050302020519</v>
          </cell>
          <cell r="C5169" t="str">
            <v>TC VISA REPROG PAR VEN                  1ND</v>
          </cell>
        </row>
        <row r="5170">
          <cell r="B5170" t="str">
            <v>14050302020520</v>
          </cell>
          <cell r="C5170" t="str">
            <v>TC AMEX REPROG PAR VEN                  1ND</v>
          </cell>
        </row>
        <row r="5171">
          <cell r="B5171" t="str">
            <v>14050302020521</v>
          </cell>
          <cell r="C5171" t="str">
            <v>JCC BTC PRE JUD RAPPIBANK REV           1 D</v>
          </cell>
        </row>
        <row r="5172">
          <cell r="B5172" t="str">
            <v>14050302020522</v>
          </cell>
          <cell r="C5172" t="str">
            <v>CDO VISA EXTRACASH REV VEN CCRV         1ND</v>
          </cell>
        </row>
        <row r="5173">
          <cell r="B5173" t="str">
            <v>14050302020523</v>
          </cell>
          <cell r="C5173" t="str">
            <v>CDO MC EXTRACASH REV VEN CCRV           1ND</v>
          </cell>
        </row>
        <row r="5174">
          <cell r="B5174" t="str">
            <v>14050302020524</v>
          </cell>
          <cell r="C5174" t="str">
            <v>CDO AMEX EXTRACASH REV VEN CCRV         1ND</v>
          </cell>
        </row>
        <row r="5175">
          <cell r="B5175" t="str">
            <v>14050302030100</v>
          </cell>
          <cell r="C5175" t="str">
            <v>TC VISA CDEUDA REV VEN CCRV             1ND</v>
          </cell>
        </row>
        <row r="5176">
          <cell r="B5176" t="str">
            <v>14050302030101</v>
          </cell>
          <cell r="C5176" t="str">
            <v>TC VISA CDEUDA PAR VEN CCNR             1ND</v>
          </cell>
        </row>
        <row r="5177">
          <cell r="B5177" t="str">
            <v>14050302030102</v>
          </cell>
          <cell r="C5177" t="str">
            <v>TC AMEX CDEUDA PAR VEN CCNR             1ND</v>
          </cell>
        </row>
        <row r="5178">
          <cell r="B5178" t="str">
            <v>14050302030103</v>
          </cell>
          <cell r="C5178" t="str">
            <v>TC AMEX CDEUDA REV VEN CCRV             1ND</v>
          </cell>
        </row>
        <row r="5179">
          <cell r="B5179" t="str">
            <v>14050302030104</v>
          </cell>
          <cell r="C5179" t="str">
            <v>TC MC CDEUDA PAR VEN CCNR               1ND</v>
          </cell>
        </row>
        <row r="5180">
          <cell r="B5180" t="str">
            <v>14050302030105</v>
          </cell>
          <cell r="C5180" t="str">
            <v>TC MC CDEUDA REV VEN CCRV               1ND</v>
          </cell>
        </row>
        <row r="5181">
          <cell r="B5181" t="str">
            <v>14050302030106</v>
          </cell>
          <cell r="C5181" t="str">
            <v>TC VISA CDEUDA REV VEN CCRV             1ND</v>
          </cell>
        </row>
        <row r="5182">
          <cell r="B5182" t="str">
            <v>14050302030107</v>
          </cell>
          <cell r="C5182" t="str">
            <v>TC VISA CDEUDA PAR VEN CCNR             1ND</v>
          </cell>
        </row>
        <row r="5183">
          <cell r="B5183" t="str">
            <v>14050302030108</v>
          </cell>
          <cell r="C5183" t="str">
            <v>TC AMEX CDEUDA PAR VEN CCNR             1ND</v>
          </cell>
        </row>
        <row r="5184">
          <cell r="B5184" t="str">
            <v>14050302030109</v>
          </cell>
          <cell r="C5184" t="str">
            <v>TC AMEX CDEUDA REV VEN CCRV             1ND</v>
          </cell>
        </row>
        <row r="5185">
          <cell r="B5185" t="str">
            <v>14050302030110</v>
          </cell>
          <cell r="C5185" t="str">
            <v>TC MC CDEUDA PAR VEN CCNR               1ND</v>
          </cell>
        </row>
        <row r="5186">
          <cell r="B5186" t="str">
            <v>14050302030111</v>
          </cell>
          <cell r="C5186" t="str">
            <v>TC MC CDEUDA REV VEN CCRV               1ND</v>
          </cell>
        </row>
        <row r="5187">
          <cell r="B5187" t="str">
            <v>14050302030112</v>
          </cell>
          <cell r="C5187" t="str">
            <v>TC AMEX CDEUDA PAR VEN                  1ND</v>
          </cell>
        </row>
        <row r="5188">
          <cell r="B5188" t="str">
            <v>14050302030113</v>
          </cell>
          <cell r="C5188" t="str">
            <v>TC MC CDEUDA PAR VEN                    1ND</v>
          </cell>
        </row>
        <row r="5189">
          <cell r="B5189" t="str">
            <v>14050302030114</v>
          </cell>
          <cell r="C5189" t="str">
            <v>TC VISA CDEUDA PAR VEN                  1ND</v>
          </cell>
        </row>
        <row r="5190">
          <cell r="B5190" t="str">
            <v>14050302090101</v>
          </cell>
          <cell r="C5190" t="str">
            <v>TC EXTRACASH VEA VENCIDO                1ND</v>
          </cell>
        </row>
        <row r="5191">
          <cell r="B5191" t="str">
            <v>14050302090102</v>
          </cell>
          <cell r="C5191" t="str">
            <v>TC EXTRACASH VENCIDO                    1ND</v>
          </cell>
        </row>
        <row r="5192">
          <cell r="B5192" t="str">
            <v>14050302090103</v>
          </cell>
          <cell r="C5192" t="str">
            <v>TC COMPRA DE DEUDA INTERNA              1ND</v>
          </cell>
        </row>
        <row r="5193">
          <cell r="B5193" t="str">
            <v>14050302090104</v>
          </cell>
          <cell r="C5193" t="str">
            <v>TC COMPRA DE DEUDA VEA                  1ND</v>
          </cell>
        </row>
        <row r="5194">
          <cell r="B5194" t="str">
            <v>14050302090105</v>
          </cell>
          <cell r="C5194" t="str">
            <v>TC COMPRA DE DEUDA REV.                 1ND</v>
          </cell>
        </row>
        <row r="5195">
          <cell r="B5195" t="str">
            <v>14050302090106</v>
          </cell>
          <cell r="C5195" t="str">
            <v>TC COMPRA DEUDA PARALELA VEN. CCNR      1ND</v>
          </cell>
        </row>
        <row r="5196">
          <cell r="B5196" t="str">
            <v>14050302090107</v>
          </cell>
          <cell r="C5196" t="str">
            <v>TC REPROGRAMACION VEN. CCRV             1ND</v>
          </cell>
        </row>
        <row r="5197">
          <cell r="B5197" t="str">
            <v>14050302090108</v>
          </cell>
          <cell r="C5197" t="str">
            <v>TC REPROGRAMACION VEN. CCNR             1ND</v>
          </cell>
        </row>
        <row r="5198">
          <cell r="B5198" t="str">
            <v>14050302090109</v>
          </cell>
          <cell r="C5198" t="str">
            <v>TC VISA EXTRACASH VEN CCNR              1ND</v>
          </cell>
        </row>
        <row r="5199">
          <cell r="B5199" t="str">
            <v>14050302090110</v>
          </cell>
          <cell r="C5199" t="str">
            <v>TC VISA CDEUDA REV VEN CCRV             1ND</v>
          </cell>
        </row>
        <row r="5200">
          <cell r="B5200" t="str">
            <v>14050302090111</v>
          </cell>
          <cell r="C5200" t="str">
            <v>TC VISA CDEUDA PAR VEN CCNR             1ND</v>
          </cell>
        </row>
        <row r="5201">
          <cell r="B5201" t="str">
            <v>14050302090112</v>
          </cell>
          <cell r="C5201" t="str">
            <v>TC AMEX CDEUDA PAR VEN CCNR             1ND</v>
          </cell>
        </row>
        <row r="5202">
          <cell r="B5202" t="str">
            <v>14050302090113</v>
          </cell>
          <cell r="C5202" t="str">
            <v>TC AMEX CDEUDA REV VEN CCRV             1ND</v>
          </cell>
        </row>
        <row r="5203">
          <cell r="B5203" t="str">
            <v>14050302090114</v>
          </cell>
          <cell r="C5203" t="str">
            <v>TC AMEX EXTRACASH VEN CCNR              1ND</v>
          </cell>
        </row>
        <row r="5204">
          <cell r="B5204" t="str">
            <v>14050302090115</v>
          </cell>
          <cell r="C5204" t="str">
            <v>TC AMEX REPROG PAR VEN CCNR             1ND</v>
          </cell>
        </row>
        <row r="5205">
          <cell r="B5205" t="str">
            <v>14050302090116</v>
          </cell>
          <cell r="C5205" t="str">
            <v>TC AMEX REPROG REV VEN CCRV             1ND</v>
          </cell>
        </row>
        <row r="5206">
          <cell r="B5206" t="str">
            <v>14050302090117</v>
          </cell>
          <cell r="C5206" t="str">
            <v>TC MC CDEUDA PAR VEN CCNR               1ND</v>
          </cell>
        </row>
        <row r="5207">
          <cell r="B5207" t="str">
            <v>14050302090118</v>
          </cell>
          <cell r="C5207" t="str">
            <v>TC MC CDEUDA REV VEN CCRV               1ND</v>
          </cell>
        </row>
        <row r="5208">
          <cell r="B5208" t="str">
            <v>14050302090119</v>
          </cell>
          <cell r="C5208" t="str">
            <v>TC MC EXTRACASH VEN CCNR                1ND</v>
          </cell>
        </row>
        <row r="5209">
          <cell r="B5209" t="str">
            <v>14050302090120</v>
          </cell>
          <cell r="C5209" t="str">
            <v>TC MC REPROG PAR VEN CCNR               1ND</v>
          </cell>
        </row>
        <row r="5210">
          <cell r="B5210" t="str">
            <v>14050302090121</v>
          </cell>
          <cell r="C5210" t="str">
            <v>TC MC REPROG REV VEN CCRV               1ND</v>
          </cell>
        </row>
        <row r="5211">
          <cell r="B5211" t="str">
            <v>14050302090122</v>
          </cell>
          <cell r="C5211" t="str">
            <v>TC VISA REPROG PAR VEN CCNR             1ND</v>
          </cell>
        </row>
        <row r="5212">
          <cell r="B5212" t="str">
            <v>14050302090123</v>
          </cell>
          <cell r="C5212" t="str">
            <v>TC VISA REPROG REV VEN CCRV             1ND</v>
          </cell>
        </row>
        <row r="5213">
          <cell r="B5213" t="str">
            <v>14050302090301</v>
          </cell>
          <cell r="C5213" t="str">
            <v>HPC CAP.VENC TC FINAN.PROV.REFIN        1ND</v>
          </cell>
        </row>
        <row r="5214">
          <cell r="B5214" t="str">
            <v>14050302090302</v>
          </cell>
          <cell r="C5214" t="str">
            <v>HPC DP CAP.VENC TC FINAN.PROV.REFIN     1ND</v>
          </cell>
        </row>
        <row r="5215">
          <cell r="B5215" t="str">
            <v>14050302090303</v>
          </cell>
          <cell r="C5215" t="str">
            <v>BTC VISA EXTRACASH VEN CCNR             1ND</v>
          </cell>
        </row>
        <row r="5216">
          <cell r="B5216" t="str">
            <v>14050303010100</v>
          </cell>
          <cell r="C5216" t="str">
            <v>JCC PREJUD CONSU REV CONV.NOELEG I      1ND</v>
          </cell>
        </row>
        <row r="5217">
          <cell r="B5217" t="str">
            <v>14050303020100</v>
          </cell>
          <cell r="C5217" t="str">
            <v>LIC CAP CONV REV ADEL SUELDO VENC-90    1ND</v>
          </cell>
        </row>
        <row r="5218">
          <cell r="B5218" t="str">
            <v>14050303020101</v>
          </cell>
          <cell r="C5218" t="str">
            <v>LIC CAP CONV REV ADEL SUELDO DP VEN-9   1ND</v>
          </cell>
        </row>
        <row r="5219">
          <cell r="B5219" t="str">
            <v>14050303020102</v>
          </cell>
          <cell r="C5219" t="str">
            <v>JCC PREJUD CONSU REV ADEL SUELDO        1ND</v>
          </cell>
        </row>
        <row r="5220">
          <cell r="B5220" t="str">
            <v>14050304000101</v>
          </cell>
          <cell r="C5220" t="str">
            <v>SOBREGIROS EN CTA CTE PN                1ND</v>
          </cell>
        </row>
        <row r="5221">
          <cell r="B5221" t="str">
            <v>14050304000102</v>
          </cell>
          <cell r="C5221" t="str">
            <v>BL SOBREG.VENCIDO CTA.CTE.PN-BL         1ND</v>
          </cell>
        </row>
        <row r="5222">
          <cell r="B5222" t="str">
            <v>14050304000103</v>
          </cell>
          <cell r="C5222" t="str">
            <v>SOBREGIROS VENC CTA CTE PJ S/F LUCRO    1ND</v>
          </cell>
        </row>
        <row r="5223">
          <cell r="B5223" t="str">
            <v>14050304000104</v>
          </cell>
          <cell r="C5223" t="str">
            <v>JCC PRE JUD SOBR C.CTE.PN VENC GL7003   1ND</v>
          </cell>
        </row>
        <row r="5224">
          <cell r="B5224" t="str">
            <v>14050304000601</v>
          </cell>
          <cell r="C5224" t="str">
            <v>CL PRE JUD SOBR C.CTE.PN VENC GL7003    1ND</v>
          </cell>
        </row>
        <row r="5225">
          <cell r="B5225" t="str">
            <v>14050306000102</v>
          </cell>
          <cell r="C5225" t="str">
            <v>IC CRED PERS EFECTIV VENC -90 DIAS      1ND</v>
          </cell>
        </row>
        <row r="5226">
          <cell r="B5226" t="str">
            <v>14050306000105</v>
          </cell>
          <cell r="C5226" t="str">
            <v>IC CRED PERS CONV VENC -90 DIAS         1ND</v>
          </cell>
        </row>
        <row r="5227">
          <cell r="B5227" t="str">
            <v>14050306000111</v>
          </cell>
          <cell r="C5227" t="str">
            <v>IC CRED PERS EFECTIV VENC +90 DIAS      1ND</v>
          </cell>
        </row>
        <row r="5228">
          <cell r="B5228" t="str">
            <v>14050306000115</v>
          </cell>
          <cell r="C5228" t="str">
            <v>IC CRED PERS CONV VENC +90 DIAS         1ND</v>
          </cell>
        </row>
        <row r="5229">
          <cell r="B5229" t="str">
            <v>14050306000128</v>
          </cell>
          <cell r="C5229" t="str">
            <v>LIC CRED.POR CONVENIO VENC-90           1ND</v>
          </cell>
        </row>
        <row r="5230">
          <cell r="B5230" t="str">
            <v>14050306000129</v>
          </cell>
          <cell r="C5230" t="str">
            <v>LIC CRED. POR CONVENIO VENC+90          1ND</v>
          </cell>
        </row>
        <row r="5231">
          <cell r="B5231" t="str">
            <v>14050306000130</v>
          </cell>
          <cell r="C5231" t="str">
            <v>LIC CRED.POR CONVENIO D/P VENC-90       1ND</v>
          </cell>
        </row>
        <row r="5232">
          <cell r="B5232" t="str">
            <v>14050306000131</v>
          </cell>
          <cell r="C5232" t="str">
            <v>LIC CRED. POR CONVENIO D/P VENC+90      1ND</v>
          </cell>
        </row>
        <row r="5233">
          <cell r="B5233" t="str">
            <v>14050306000601</v>
          </cell>
          <cell r="C5233" t="str">
            <v>CL PRE JUDIC CRED EFECT VENC GL7003     1ND</v>
          </cell>
        </row>
        <row r="5234">
          <cell r="B5234" t="str">
            <v>14050306000603</v>
          </cell>
          <cell r="C5234" t="str">
            <v>CL PRE.JUD.CRED. VEHICULAR              1ND</v>
          </cell>
        </row>
        <row r="5235">
          <cell r="B5235" t="str">
            <v>14050306000604</v>
          </cell>
          <cell r="C5235" t="str">
            <v>CL PRE.JUD.CONVENIOS IC                 1ND</v>
          </cell>
        </row>
        <row r="5236">
          <cell r="B5236" t="str">
            <v>14050306010101</v>
          </cell>
          <cell r="C5236" t="str">
            <v>LIC CRED REVOL POR CONVENIO VENC        1ND</v>
          </cell>
        </row>
        <row r="5237">
          <cell r="B5237" t="str">
            <v>14050306010102</v>
          </cell>
          <cell r="C5237" t="str">
            <v>LIC CRED REVOL POR CONVENIO VENC+90     1ND</v>
          </cell>
        </row>
        <row r="5238">
          <cell r="B5238" t="str">
            <v>14050306010103</v>
          </cell>
          <cell r="C5238" t="str">
            <v>LIC DP CRED REVOL POR CONVENIO VENC-9   1ND</v>
          </cell>
        </row>
        <row r="5239">
          <cell r="B5239" t="str">
            <v>14050306010104</v>
          </cell>
          <cell r="C5239" t="str">
            <v>LIC DP CRED REVOL POR CONVENIO VENC+9   1ND</v>
          </cell>
        </row>
        <row r="5240">
          <cell r="B5240" t="str">
            <v>14050306010105</v>
          </cell>
          <cell r="C5240" t="str">
            <v>CL PRE JUD LIC REVOLVENTE CONV          1ND</v>
          </cell>
        </row>
        <row r="5241">
          <cell r="B5241" t="str">
            <v>14050306010106</v>
          </cell>
          <cell r="C5241" t="str">
            <v>LIC CAP CONV REV ADEL SUELDO VENC-90    1ND</v>
          </cell>
        </row>
        <row r="5242">
          <cell r="B5242" t="str">
            <v>14050306010107</v>
          </cell>
          <cell r="C5242" t="str">
            <v>LIC CAP CONV REV ADEL SUELDO VENC+90    1ND</v>
          </cell>
        </row>
        <row r="5243">
          <cell r="B5243" t="str">
            <v>14050306010108</v>
          </cell>
          <cell r="C5243" t="str">
            <v>LIC DP CAP CONV REV ADEL SUELDO VEN-9   1ND</v>
          </cell>
        </row>
        <row r="5244">
          <cell r="B5244" t="str">
            <v>14050306010109</v>
          </cell>
          <cell r="C5244" t="str">
            <v>LIC DP CAP CONV REV ADEL SUELDO VEN+9   1ND</v>
          </cell>
        </row>
        <row r="5245">
          <cell r="B5245" t="str">
            <v>14050306010110</v>
          </cell>
          <cell r="C5245" t="str">
            <v>LIC CRED.CONV PREF VENC-90              1ND</v>
          </cell>
        </row>
        <row r="5246">
          <cell r="B5246" t="str">
            <v>14050306010111</v>
          </cell>
          <cell r="C5246" t="str">
            <v>LIC CRED.CONV PREF VENC+90              1ND</v>
          </cell>
        </row>
        <row r="5247">
          <cell r="B5247" t="str">
            <v>14050306010112</v>
          </cell>
          <cell r="C5247" t="str">
            <v>LIC DP CRED.CONV PREF VENC-90           1ND</v>
          </cell>
        </row>
        <row r="5248">
          <cell r="B5248" t="str">
            <v>14050306010113</v>
          </cell>
          <cell r="C5248" t="str">
            <v>LIC DP CRED CONV PREF VENC+90000002313011ND</v>
          </cell>
        </row>
        <row r="5249">
          <cell r="B5249" t="str">
            <v>14050306010114</v>
          </cell>
          <cell r="C5249" t="str">
            <v>JCC PREJUD CONSU REV ADEL SUELDO        1ND</v>
          </cell>
        </row>
        <row r="5250">
          <cell r="B5250" t="str">
            <v>14050306010201</v>
          </cell>
          <cell r="C5250" t="str">
            <v>LIC E CRED REVOL P/ CONVEN VENC-90      1ND</v>
          </cell>
        </row>
        <row r="5251">
          <cell r="B5251" t="str">
            <v>14050306010202</v>
          </cell>
          <cell r="C5251" t="str">
            <v>CL PREJUD CONSU REV PREFERENTE          1ND</v>
          </cell>
        </row>
        <row r="5252">
          <cell r="B5252" t="str">
            <v>14050306010203</v>
          </cell>
          <cell r="C5252" t="str">
            <v>CL PREJUD CONSU REV ADEL SUELDO         1ND</v>
          </cell>
        </row>
        <row r="5253">
          <cell r="B5253" t="str">
            <v>14050306010204</v>
          </cell>
          <cell r="C5253" t="str">
            <v>CL PREJUD CONSU REV PREFERENTE          1ND</v>
          </cell>
        </row>
        <row r="5254">
          <cell r="B5254" t="str">
            <v>14050306020101</v>
          </cell>
          <cell r="C5254" t="str">
            <v>UIC CRED NRV P/AUTOMOVIL VENC-90        1ND</v>
          </cell>
        </row>
        <row r="5255">
          <cell r="B5255" t="str">
            <v>14050306020102</v>
          </cell>
          <cell r="C5255" t="str">
            <v>UIC CRED NRV P/AUTOMOVIL VENC+90        1ND</v>
          </cell>
        </row>
        <row r="5256">
          <cell r="B5256" t="str">
            <v>14050306020103</v>
          </cell>
          <cell r="C5256" t="str">
            <v>UIC D/P CRED PERS VEHICULAR VENC        1ND</v>
          </cell>
        </row>
        <row r="5257">
          <cell r="B5257" t="str">
            <v>14050306020104</v>
          </cell>
          <cell r="C5257" t="str">
            <v>UIC D/P CRED PERS VEHICULAR VENC        1ND</v>
          </cell>
        </row>
        <row r="5258">
          <cell r="B5258" t="str">
            <v>14050306020111</v>
          </cell>
          <cell r="C5258" t="str">
            <v>CL PREJUD NO REVOL CRE.VEHICULAR        1ND</v>
          </cell>
        </row>
        <row r="5259">
          <cell r="B5259" t="str">
            <v>14050306020112</v>
          </cell>
          <cell r="C5259" t="str">
            <v>HPC CRED VEHICULAR NRV VENC             1ND</v>
          </cell>
        </row>
        <row r="5260">
          <cell r="B5260" t="str">
            <v>14050306020113</v>
          </cell>
          <cell r="C5260" t="str">
            <v>HPC D/P CRED VEHICULAR NRV              1ND</v>
          </cell>
        </row>
        <row r="5261">
          <cell r="B5261" t="str">
            <v>14050306020114</v>
          </cell>
          <cell r="C5261" t="str">
            <v>HPC CRED VEHICULAR NRV VENC             1ND</v>
          </cell>
        </row>
        <row r="5262">
          <cell r="B5262" t="str">
            <v>14050306020115</v>
          </cell>
          <cell r="C5262" t="str">
            <v>HPC D/P CRED VEHICULAR NRV              1ND</v>
          </cell>
        </row>
        <row r="5263">
          <cell r="B5263" t="str">
            <v>14050306020118</v>
          </cell>
          <cell r="C5263" t="str">
            <v>HPC CAP.VENC CRED VEHIC FINAN.PROV.REFIN1ND</v>
          </cell>
        </row>
        <row r="5264">
          <cell r="B5264" t="str">
            <v>14050306020119</v>
          </cell>
          <cell r="C5264" t="str">
            <v>HPC DP CAP.VENC CRED VEHIC FINAN.PROV.RE1ND</v>
          </cell>
        </row>
        <row r="5265">
          <cell r="B5265" t="str">
            <v>14050306020120</v>
          </cell>
          <cell r="C5265" t="str">
            <v>HPC CRED VEH PROV REF NRV VEN           1ND</v>
          </cell>
        </row>
        <row r="5266">
          <cell r="B5266" t="str">
            <v>14050306020121</v>
          </cell>
          <cell r="C5266" t="str">
            <v>HPC D/P CRED VEH PROV REF NRV VEN       1ND</v>
          </cell>
        </row>
        <row r="5267">
          <cell r="B5267" t="str">
            <v>14050306020301</v>
          </cell>
          <cell r="C5267" t="str">
            <v>JCC PREJUD NO REVOL CRE.VEHICULAR       1ND</v>
          </cell>
        </row>
        <row r="5268">
          <cell r="B5268" t="str">
            <v>14050306030101</v>
          </cell>
          <cell r="C5268" t="str">
            <v>IC CRED NRV P/LIBRE DISPON VENC-90      1ND</v>
          </cell>
        </row>
        <row r="5269">
          <cell r="B5269" t="str">
            <v>14050306030102</v>
          </cell>
          <cell r="C5269" t="str">
            <v>IC CRED NRV P/LIBRE DISPON VENC+90      1ND</v>
          </cell>
        </row>
        <row r="5270">
          <cell r="B5270" t="str">
            <v>14050306030103</v>
          </cell>
          <cell r="C5270" t="str">
            <v>IC DP CRED NRV P/LIBRE DISPON VENC-9    1ND</v>
          </cell>
        </row>
        <row r="5271">
          <cell r="B5271" t="str">
            <v>14050306030104</v>
          </cell>
          <cell r="C5271" t="str">
            <v>IC DP CRED NRV P/LIBRE DISPON VENC+9    1ND</v>
          </cell>
        </row>
        <row r="5272">
          <cell r="B5272" t="str">
            <v>14050306030109</v>
          </cell>
          <cell r="C5272" t="str">
            <v>IC CRED NRV P/LIBRE DISP C/G HIP VEN    1ND</v>
          </cell>
        </row>
        <row r="5273">
          <cell r="B5273" t="str">
            <v>14050306030110</v>
          </cell>
          <cell r="C5273" t="str">
            <v>UIC CRED NRV P/LIBRE DISP C/G HI        1ND</v>
          </cell>
        </row>
        <row r="5274">
          <cell r="B5274" t="str">
            <v>14050306030111</v>
          </cell>
          <cell r="C5274" t="str">
            <v>IC DP CRED NRV P/LIBRE DISP C/GHIVEN    1ND</v>
          </cell>
        </row>
        <row r="5275">
          <cell r="B5275" t="str">
            <v>14050306030112</v>
          </cell>
          <cell r="C5275" t="str">
            <v>UIC DP CRED NRV P/LIBRE DISPC/GH        1ND</v>
          </cell>
        </row>
        <row r="5276">
          <cell r="B5276" t="str">
            <v>14050306030113</v>
          </cell>
          <cell r="C5276" t="str">
            <v>CL PREJUD EFEC.NO REV LIBR.DIS          1ND</v>
          </cell>
        </row>
        <row r="5277">
          <cell r="B5277" t="str">
            <v>14050306030114</v>
          </cell>
          <cell r="C5277" t="str">
            <v>CL PREJUD CONSU.NO REV LIBR.DISP        1ND</v>
          </cell>
        </row>
        <row r="5278">
          <cell r="B5278" t="str">
            <v>14050306030115</v>
          </cell>
          <cell r="C5278" t="str">
            <v>HPC D/P CAP VENC-90 EFEC C/GARANT. HI   1ND</v>
          </cell>
        </row>
        <row r="5279">
          <cell r="B5279" t="str">
            <v>14050306030116</v>
          </cell>
          <cell r="C5279" t="str">
            <v>HPC D/P CAP VENC+90 EFEC C/GARANT. HIP  1ND</v>
          </cell>
        </row>
        <row r="5280">
          <cell r="B5280" t="str">
            <v>14050306030117</v>
          </cell>
          <cell r="C5280" t="str">
            <v>HPC CAP.VENC-90 EFEC C/GARANT. HIP      1ND</v>
          </cell>
        </row>
        <row r="5281">
          <cell r="B5281" t="str">
            <v>14050306030118</v>
          </cell>
          <cell r="C5281" t="str">
            <v>HPC CAP.VENC+90 EFEC C/GARANT. HIP.     1ND</v>
          </cell>
        </row>
        <row r="5282">
          <cell r="B5282" t="str">
            <v>14050306030119</v>
          </cell>
          <cell r="C5282" t="str">
            <v>HPC CAP.VENC-90 EFEC REGULAR            1ND</v>
          </cell>
        </row>
        <row r="5283">
          <cell r="B5283" t="str">
            <v>14050306030120</v>
          </cell>
          <cell r="C5283" t="str">
            <v>HPC CAP.VENC+90 EFEC REGULAR.           1ND</v>
          </cell>
        </row>
        <row r="5284">
          <cell r="B5284" t="str">
            <v>14050306030121</v>
          </cell>
          <cell r="C5284" t="str">
            <v>HPC D/P CAP VENC-90 EFEC REGULAR        1ND</v>
          </cell>
        </row>
        <row r="5285">
          <cell r="B5285" t="str">
            <v>14050306030122</v>
          </cell>
          <cell r="C5285" t="str">
            <v>HPC D/P CAP VENC+90 EFEC REGULAR        1ND</v>
          </cell>
        </row>
        <row r="5286">
          <cell r="B5286" t="str">
            <v>14050306030123</v>
          </cell>
          <cell r="C5286" t="str">
            <v>CL PRE JUD PREST EFEC GTIA HIPOTEC      1ND</v>
          </cell>
        </row>
        <row r="5287">
          <cell r="B5287" t="str">
            <v>14050306030124</v>
          </cell>
          <cell r="C5287" t="str">
            <v>HPC CRED EFECTIVO NRV VENC-             1ND</v>
          </cell>
        </row>
        <row r="5288">
          <cell r="B5288" t="str">
            <v>14050306030125</v>
          </cell>
          <cell r="C5288" t="str">
            <v>HPC D/P CRED EFECTIVO NRV V             1ND</v>
          </cell>
        </row>
        <row r="5289">
          <cell r="B5289" t="str">
            <v>14050306030126</v>
          </cell>
          <cell r="C5289" t="str">
            <v>HPC CRED EFECTIVO NRV VENC+             1ND</v>
          </cell>
        </row>
        <row r="5290">
          <cell r="B5290" t="str">
            <v>14050306030127</v>
          </cell>
          <cell r="C5290" t="str">
            <v>HPC D/P CRED EFECTIVO NRV V             1ND</v>
          </cell>
        </row>
        <row r="5291">
          <cell r="B5291" t="str">
            <v>14050306030130</v>
          </cell>
          <cell r="C5291" t="str">
            <v>HPC CCNR REFIN COLOCAC. VENCIDO         1ND</v>
          </cell>
        </row>
        <row r="5292">
          <cell r="B5292" t="str">
            <v>14050306030131</v>
          </cell>
          <cell r="C5292" t="str">
            <v>JCC PRE JUD PREST EFEC GTIA HIPOTEC     1ND</v>
          </cell>
        </row>
        <row r="5293">
          <cell r="B5293" t="str">
            <v>14050306030132</v>
          </cell>
          <cell r="C5293" t="str">
            <v>CL PREJUD CONS N REV ADEL SUELDO CCNR   1ND</v>
          </cell>
        </row>
        <row r="5294">
          <cell r="B5294" t="str">
            <v>14050306030133</v>
          </cell>
          <cell r="C5294" t="str">
            <v>HPC CAP.VENC CRED EFECT FINAN.PROV.REFIN1ND</v>
          </cell>
        </row>
        <row r="5295">
          <cell r="B5295" t="str">
            <v>14050306030134</v>
          </cell>
          <cell r="C5295" t="str">
            <v>HPC DP CAP.VENC CRED EFECT FINAN.PROV.RE1ND</v>
          </cell>
        </row>
        <row r="5296">
          <cell r="B5296" t="str">
            <v>14050306030201</v>
          </cell>
          <cell r="C5296" t="str">
            <v>IC S CRED PERS C/GARANT HIPOT VENC -    1ND</v>
          </cell>
        </row>
        <row r="5297">
          <cell r="B5297" t="str">
            <v>14050306030203</v>
          </cell>
          <cell r="C5297" t="str">
            <v>IC S PREST PERS EFECT VENC -90 DIAS     1ND</v>
          </cell>
        </row>
        <row r="5298">
          <cell r="B5298" t="str">
            <v>14050306030204</v>
          </cell>
          <cell r="C5298" t="str">
            <v>IC S PREST PERS EFECT VENC +90 DIAS     1ND</v>
          </cell>
        </row>
        <row r="5299">
          <cell r="B5299" t="str">
            <v>14050306030301</v>
          </cell>
          <cell r="C5299" t="str">
            <v>JCC PREJUD EFEC.NO REV LIBR.DIS         1ND</v>
          </cell>
        </row>
        <row r="5300">
          <cell r="B5300" t="str">
            <v>14050306030302</v>
          </cell>
          <cell r="C5300" t="str">
            <v>HPC CAP.VEN. PARALELO HIP. REGULAR      1ND</v>
          </cell>
        </row>
        <row r="5301">
          <cell r="B5301" t="str">
            <v>14050306030303</v>
          </cell>
          <cell r="C5301" t="str">
            <v>HPC CAP.VEN. PARALELO HIP. MIVIVIENDA   1ND</v>
          </cell>
        </row>
        <row r="5302">
          <cell r="B5302" t="str">
            <v>14050306030304</v>
          </cell>
          <cell r="C5302" t="str">
            <v>HPC CAP.VEN. PARALELO PREST. PERSONAL   1ND</v>
          </cell>
        </row>
        <row r="5303">
          <cell r="B5303" t="str">
            <v>14050306030305</v>
          </cell>
          <cell r="C5303" t="str">
            <v>HPC CAP.VEN. PARALELO PREST. VEHICULAR  1ND</v>
          </cell>
        </row>
        <row r="5304">
          <cell r="B5304" t="str">
            <v>14050306030306</v>
          </cell>
          <cell r="C5304" t="str">
            <v>HPC CAPVENC TC FINANPROVREFIN           1ND</v>
          </cell>
        </row>
        <row r="5305">
          <cell r="B5305" t="str">
            <v>14050306030307</v>
          </cell>
          <cell r="C5305" t="str">
            <v>HPC CAPVENC TC FINANPROVREFIN           1ND</v>
          </cell>
        </row>
        <row r="5306">
          <cell r="B5306" t="str">
            <v>14050306030308</v>
          </cell>
          <cell r="C5306" t="str">
            <v>HPC MICROPRESTAMOS NRV VEN NORM         1 D</v>
          </cell>
        </row>
        <row r="5307">
          <cell r="B5307" t="str">
            <v>14050306030309</v>
          </cell>
          <cell r="C5307" t="str">
            <v>HPC MICROPRESTAMOS NRV VEN DUPE         1 D</v>
          </cell>
        </row>
        <row r="5308">
          <cell r="B5308" t="str">
            <v>14050306030310</v>
          </cell>
          <cell r="C5308" t="str">
            <v>HPC CONV PRIVADO NRV VEN NORM GRUPO IBK 1 D</v>
          </cell>
        </row>
        <row r="5309">
          <cell r="B5309" t="str">
            <v>14050306030311</v>
          </cell>
          <cell r="C5309" t="str">
            <v>HPC CONV PRIVADO NRV VEN DP GRUPO IBK   1 D</v>
          </cell>
        </row>
        <row r="5310">
          <cell r="B5310" t="str">
            <v>14050306030312</v>
          </cell>
          <cell r="C5310" t="str">
            <v>HPC DP EFECT.C/GTIA HIP.FINAN.PROV.REF.V1 D</v>
          </cell>
        </row>
        <row r="5311">
          <cell r="B5311" t="str">
            <v>14050306030313</v>
          </cell>
          <cell r="C5311" t="str">
            <v>HPC EFECT.C/GTIA HIP.FINAN.PROV.REF.VEN+1 D</v>
          </cell>
        </row>
        <row r="5312">
          <cell r="B5312" t="str">
            <v>14050306030314</v>
          </cell>
          <cell r="C5312" t="str">
            <v>HPC DP EFECT.C/GTIA HIP.FINAN.PROV.REF.V1 D</v>
          </cell>
        </row>
        <row r="5313">
          <cell r="B5313" t="str">
            <v>14050306030315</v>
          </cell>
          <cell r="C5313" t="str">
            <v>HPC EFECT.C/GTIA HIP.FINAN.PROV.REF.VEN-1 D</v>
          </cell>
        </row>
        <row r="5314">
          <cell r="B5314" t="str">
            <v>14050306040201</v>
          </cell>
          <cell r="C5314" t="str">
            <v>LIC CONV NRV OTOR BAJ C NO ELEG VENCIDO 1ND</v>
          </cell>
        </row>
        <row r="5315">
          <cell r="B5315" t="str">
            <v>14050306040202</v>
          </cell>
          <cell r="C5315" t="str">
            <v>LIC DP CONV NRV OTOR BAJ C ELE VENCIDO  1ND</v>
          </cell>
        </row>
        <row r="5316">
          <cell r="B5316" t="str">
            <v>14050306050101</v>
          </cell>
          <cell r="C5316" t="str">
            <v>IC CRED NRV OT B/CONV NO ELEG VENC-9    1ND</v>
          </cell>
        </row>
        <row r="5317">
          <cell r="B5317" t="str">
            <v>14050306050102</v>
          </cell>
          <cell r="C5317" t="str">
            <v>IC CRED NRV OT B/CONV NO ELEG VENC+9    1ND</v>
          </cell>
        </row>
        <row r="5318">
          <cell r="B5318" t="str">
            <v>14050306050103</v>
          </cell>
          <cell r="C5318" t="str">
            <v>IC DP CRED NRV OT B/CONV NO ELEG VEN    1ND</v>
          </cell>
        </row>
        <row r="5319">
          <cell r="B5319" t="str">
            <v>14050306050104</v>
          </cell>
          <cell r="C5319" t="str">
            <v>IC DP CRED NRV OT B/CONV NO ELEG VEN    1ND</v>
          </cell>
        </row>
        <row r="5320">
          <cell r="B5320" t="str">
            <v>14050306050105</v>
          </cell>
          <cell r="C5320" t="str">
            <v>CL PREJU NO REVO CONV.NOELEG I          1ND</v>
          </cell>
        </row>
        <row r="5321">
          <cell r="B5321" t="str">
            <v>14050306050110</v>
          </cell>
          <cell r="C5321" t="str">
            <v>LIC CONV NRV OTOR BAJ C NO ELEG VENCIDO 1ND</v>
          </cell>
        </row>
        <row r="5322">
          <cell r="B5322" t="str">
            <v>14050306050111</v>
          </cell>
          <cell r="C5322" t="str">
            <v>LIC DP CONV NRV OTOR BAJ C VENCIDO      1ND</v>
          </cell>
        </row>
        <row r="5323">
          <cell r="B5323" t="str">
            <v>14050306050112</v>
          </cell>
          <cell r="C5323" t="str">
            <v>LIC PREF NRV OTOR BAJ C NO ELE VENCIDO  1ND</v>
          </cell>
        </row>
        <row r="5324">
          <cell r="B5324" t="str">
            <v>14050306050113</v>
          </cell>
          <cell r="C5324" t="str">
            <v>LIC DP PREF NRV OTOR BAJ C NO ELE VENCID1ND</v>
          </cell>
        </row>
        <row r="5325">
          <cell r="B5325" t="str">
            <v>14050306050114</v>
          </cell>
          <cell r="C5325" t="str">
            <v>CL PREJUD CONSU PREFERENTE CCNR         1ND</v>
          </cell>
        </row>
        <row r="5326">
          <cell r="B5326" t="str">
            <v>14050306050115</v>
          </cell>
          <cell r="C5326" t="str">
            <v>CL COB.PRE.JUD.CONVENIO NO REV.CNG      1ND</v>
          </cell>
        </row>
        <row r="5327">
          <cell r="B5327" t="str">
            <v>14050306050116</v>
          </cell>
          <cell r="C5327" t="str">
            <v>JCC PREJU NO REVO CONV.NOELEG I         1ND</v>
          </cell>
        </row>
        <row r="5328">
          <cell r="B5328" t="str">
            <v>14050306050117</v>
          </cell>
          <cell r="C5328" t="str">
            <v>JCC PREJUD CONSU PREFERENTE CCNR        1ND</v>
          </cell>
        </row>
        <row r="5329">
          <cell r="B5329" t="str">
            <v>14050306050118</v>
          </cell>
          <cell r="C5329" t="str">
            <v>JCC COB.PRE.JUD.CONVENIO NO REV.CNG     1ND</v>
          </cell>
        </row>
        <row r="5330">
          <cell r="B5330" t="str">
            <v>14050306050119</v>
          </cell>
          <cell r="C5330" t="str">
            <v>CL PREJUD CONSU PREFERENTE CCNR         1ND</v>
          </cell>
        </row>
        <row r="5331">
          <cell r="B5331" t="str">
            <v>14050306050201</v>
          </cell>
          <cell r="C5331" t="str">
            <v>IC S PREST CONVENIO VENC -90 DIAS       1ND</v>
          </cell>
        </row>
        <row r="5332">
          <cell r="B5332" t="str">
            <v>14050306050202</v>
          </cell>
          <cell r="C5332" t="str">
            <v>HPC CAP.VENC LIC CONVENIO PROV.REFIN    1ND</v>
          </cell>
        </row>
        <row r="5333">
          <cell r="B5333" t="str">
            <v>14050306050203</v>
          </cell>
          <cell r="C5333" t="str">
            <v>HPC DP CAP.VENC LIC CONVENIO PROV.REFIN 1ND</v>
          </cell>
        </row>
        <row r="5334">
          <cell r="B5334" t="str">
            <v>14050306050204</v>
          </cell>
          <cell r="C5334" t="str">
            <v>HPC CAP.VENC CRED PREF CONV PROV.REFIN  1ND</v>
          </cell>
        </row>
        <row r="5335">
          <cell r="B5335" t="str">
            <v>14050306050205</v>
          </cell>
          <cell r="C5335" t="str">
            <v>HPC DP CAP.VENC CRED PREF CONV PROV.REFI1ND</v>
          </cell>
        </row>
        <row r="5336">
          <cell r="B5336" t="str">
            <v>14050306060101</v>
          </cell>
          <cell r="C5336" t="str">
            <v>LIC CRED.POR CONVENIO VENCIDO           1ND</v>
          </cell>
        </row>
        <row r="5337">
          <cell r="B5337" t="str">
            <v>14050306060102</v>
          </cell>
          <cell r="C5337" t="str">
            <v>LIC CRED.POR CONVENIO D/P VENCIDO       1ND</v>
          </cell>
        </row>
        <row r="5338">
          <cell r="B5338" t="str">
            <v>14050306060103</v>
          </cell>
          <cell r="C5338" t="str">
            <v>CL PREJUD CONSUMO REVOLV. CCRV          1ND</v>
          </cell>
        </row>
        <row r="5339">
          <cell r="B5339" t="str">
            <v>14050306060104</v>
          </cell>
          <cell r="C5339" t="str">
            <v>CL PREJUD CONSU PREFERENTE CCRV         1ND</v>
          </cell>
        </row>
        <row r="5340">
          <cell r="B5340" t="str">
            <v>14050306060106</v>
          </cell>
          <cell r="C5340" t="str">
            <v>JCC PREJUD CONSU PREFERENTE CCRV        1ND</v>
          </cell>
        </row>
        <row r="5341">
          <cell r="B5341" t="str">
            <v>14050306060107</v>
          </cell>
          <cell r="C5341" t="str">
            <v>CL PREJU REVO CONV.N ELEG  CCRV         1ND</v>
          </cell>
        </row>
        <row r="5342">
          <cell r="B5342" t="str">
            <v>14050306090105</v>
          </cell>
          <cell r="C5342" t="str">
            <v>HPC CAP.VENC-90 EFEC C/GARANT.HIP       1ND</v>
          </cell>
        </row>
        <row r="5343">
          <cell r="B5343" t="str">
            <v>14050306090106</v>
          </cell>
          <cell r="C5343" t="str">
            <v>HPC CAP.VENC+90 EFEC C/GARANT.HIP       1ND</v>
          </cell>
        </row>
        <row r="5344">
          <cell r="B5344" t="str">
            <v>14050306090107</v>
          </cell>
          <cell r="C5344" t="str">
            <v>HPC D/P CAP.VENC-90 EFEC C/GARANT       1ND</v>
          </cell>
        </row>
        <row r="5345">
          <cell r="B5345" t="str">
            <v>14050306090108</v>
          </cell>
          <cell r="C5345" t="str">
            <v>HPC D/P CAP.VENC+90 EFEC C/GARANT       1ND</v>
          </cell>
        </row>
        <row r="5346">
          <cell r="B5346" t="str">
            <v>14050306090109</v>
          </cell>
          <cell r="C5346" t="str">
            <v>HPC CAP.VENC-90 .PRESTAMO PERSONA       1ND</v>
          </cell>
        </row>
        <row r="5347">
          <cell r="B5347" t="str">
            <v>14050306090110</v>
          </cell>
          <cell r="C5347" t="str">
            <v>HPC CAP.VENC+90 .PRESTAMO PERSONA       1ND</v>
          </cell>
        </row>
        <row r="5348">
          <cell r="B5348" t="str">
            <v>14050306090111</v>
          </cell>
          <cell r="C5348" t="str">
            <v>HPC D/P CAP.VENC-90 .PRESTAMO PER       1ND</v>
          </cell>
        </row>
        <row r="5349">
          <cell r="B5349" t="str">
            <v>14050306090112</v>
          </cell>
          <cell r="C5349" t="str">
            <v>HPC D/P CAP.VENC+90 .PRESTAMO PER       1ND</v>
          </cell>
        </row>
        <row r="5350">
          <cell r="B5350" t="str">
            <v>14050306120101</v>
          </cell>
          <cell r="C5350" t="str">
            <v>LIC CONV NRV OTOR BAJ DSCTO PLANILLA NO 1ND</v>
          </cell>
        </row>
        <row r="5351">
          <cell r="B5351" t="str">
            <v>14050306120102</v>
          </cell>
          <cell r="C5351" t="str">
            <v>LIC CONV NRV OTOR BAJ DSCTO PLANILLA NO 1ND</v>
          </cell>
        </row>
        <row r="5352">
          <cell r="B5352" t="str">
            <v>14050306120701</v>
          </cell>
          <cell r="C5352" t="str">
            <v>RCC  CONVENIO                           1ND</v>
          </cell>
        </row>
        <row r="5353">
          <cell r="B5353" t="str">
            <v>14050306120702</v>
          </cell>
          <cell r="C5353" t="str">
            <v>LIC CAP CONV REV ADEL SUELDO VENC-90    1ND</v>
          </cell>
        </row>
        <row r="5354">
          <cell r="B5354" t="str">
            <v>14050306120703</v>
          </cell>
          <cell r="C5354" t="str">
            <v>LIC DP CAP CONV REV ADEL SUELDO VEN-9   1ND</v>
          </cell>
        </row>
        <row r="5355">
          <cell r="B5355" t="str">
            <v>14050306120704</v>
          </cell>
          <cell r="C5355" t="str">
            <v>JCC PREJUD CONSU REV ADEL SUELDO        1ND</v>
          </cell>
        </row>
        <row r="5356">
          <cell r="B5356" t="str">
            <v>14050306120705</v>
          </cell>
          <cell r="C5356" t="str">
            <v>LIC CAP CONV REV ADEL SUELDO VENC-90    1ND</v>
          </cell>
        </row>
        <row r="5357">
          <cell r="B5357" t="str">
            <v>14050306120706</v>
          </cell>
          <cell r="C5357" t="str">
            <v>LIC DP CAP CONV REV ADEL SUELDO VEN-9   1ND</v>
          </cell>
        </row>
        <row r="5358">
          <cell r="B5358" t="str">
            <v>14050306120707</v>
          </cell>
          <cell r="C5358" t="str">
            <v>JCC PREJUD CONSU REV ADEL SUELDO        1ND</v>
          </cell>
        </row>
        <row r="5359">
          <cell r="B5359" t="str">
            <v>14050306120708</v>
          </cell>
          <cell r="C5359" t="str">
            <v>HPC CONV PRIVADO NRV VEN NORM           1ND</v>
          </cell>
        </row>
        <row r="5360">
          <cell r="B5360" t="str">
            <v>14050306120709</v>
          </cell>
          <cell r="C5360" t="str">
            <v>HPC CONV PRIVADO NRV VEN DP             1ND</v>
          </cell>
        </row>
        <row r="5361">
          <cell r="B5361" t="str">
            <v>14050306130101</v>
          </cell>
          <cell r="C5361" t="str">
            <v>TC MC REPROG PAR VEN CCNR               1ND</v>
          </cell>
        </row>
        <row r="5362">
          <cell r="B5362" t="str">
            <v>14050306130102</v>
          </cell>
          <cell r="C5362" t="str">
            <v>TC VISA REPROG PAR VEN CCNR             1ND</v>
          </cell>
        </row>
        <row r="5363">
          <cell r="B5363" t="str">
            <v>14050306130103</v>
          </cell>
          <cell r="C5363" t="str">
            <v>TC VISA EXTRACASH VEN CCNR              1ND</v>
          </cell>
        </row>
        <row r="5364">
          <cell r="B5364" t="str">
            <v>14050306130104</v>
          </cell>
          <cell r="C5364" t="str">
            <v>TC AMEX EXTRACASH VEN CCNR              1ND</v>
          </cell>
        </row>
        <row r="5365">
          <cell r="B5365" t="str">
            <v>14050306130105</v>
          </cell>
          <cell r="C5365" t="str">
            <v>TC AMEX REPROG PAR VEN CCNR             1ND</v>
          </cell>
        </row>
        <row r="5366">
          <cell r="B5366" t="str">
            <v>14050306130106</v>
          </cell>
          <cell r="C5366" t="str">
            <v>TC MC EXTRACASH VEN CCNR                1ND</v>
          </cell>
        </row>
        <row r="5367">
          <cell r="B5367" t="str">
            <v>14050306130107</v>
          </cell>
          <cell r="C5367" t="str">
            <v>TC AMEX CDEUDA PAR VEN CCNR             1ND</v>
          </cell>
        </row>
        <row r="5368">
          <cell r="B5368" t="str">
            <v>14050306130108</v>
          </cell>
          <cell r="C5368" t="str">
            <v>TC MC CDEUDA PAR VEN CCNR               1ND</v>
          </cell>
        </row>
        <row r="5369">
          <cell r="B5369" t="str">
            <v>14050306130109</v>
          </cell>
          <cell r="C5369" t="str">
            <v>TC VISA CDEUDA PAR VEN CCNR             1ND</v>
          </cell>
        </row>
        <row r="5370">
          <cell r="B5370" t="str">
            <v>14050306160101</v>
          </cell>
          <cell r="C5370" t="str">
            <v>TC VISA CDEUDA PAR VEN CCNR             1ND</v>
          </cell>
        </row>
        <row r="5371">
          <cell r="B5371" t="str">
            <v>14050306160102</v>
          </cell>
          <cell r="C5371" t="str">
            <v>TC AMEX CDEUDA PAR VEN CCNR             1ND</v>
          </cell>
        </row>
        <row r="5372">
          <cell r="B5372" t="str">
            <v>14050306160103</v>
          </cell>
          <cell r="C5372" t="str">
            <v>TC MC CDEUDA PAR VEN CCNR               1ND</v>
          </cell>
        </row>
        <row r="5373">
          <cell r="B5373" t="str">
            <v>14050306190701</v>
          </cell>
          <cell r="C5373" t="str">
            <v>RCC  CONVENIO                           1ND</v>
          </cell>
        </row>
        <row r="5374">
          <cell r="B5374" t="str">
            <v>14050308000100</v>
          </cell>
          <cell r="C5374" t="str">
            <v>TC AMEX REPROG PAR VEN CCNR             1ND</v>
          </cell>
        </row>
        <row r="5375">
          <cell r="B5375" t="str">
            <v>14050308000101</v>
          </cell>
          <cell r="C5375" t="str">
            <v>TC MC REPROG PAR VEN CCNR               1ND</v>
          </cell>
        </row>
        <row r="5376">
          <cell r="B5376" t="str">
            <v>14050308000102</v>
          </cell>
          <cell r="C5376" t="str">
            <v>TC VISA REPROG PAR VEN CCNR             1ND</v>
          </cell>
        </row>
        <row r="5377">
          <cell r="B5377" t="str">
            <v>14050308000103</v>
          </cell>
          <cell r="C5377" t="str">
            <v>TC AMEX REPROG PAR VEN CCNR             1ND</v>
          </cell>
        </row>
        <row r="5378">
          <cell r="B5378" t="str">
            <v>14050308000104</v>
          </cell>
          <cell r="C5378" t="str">
            <v>TC MC REPROG PAR VEN CCNR               1ND</v>
          </cell>
        </row>
        <row r="5379">
          <cell r="B5379" t="str">
            <v>14050308000105</v>
          </cell>
          <cell r="C5379" t="str">
            <v>TC VISA REPROG PAR VEN CCNR             1ND</v>
          </cell>
        </row>
        <row r="5380">
          <cell r="B5380" t="str">
            <v>14050308000106</v>
          </cell>
          <cell r="C5380" t="str">
            <v>CDO VISA EXTRACASH NO REV VEN CNRV      1ND</v>
          </cell>
        </row>
        <row r="5381">
          <cell r="B5381" t="str">
            <v>14050308000107</v>
          </cell>
          <cell r="C5381" t="str">
            <v>CDO MC EXTRACASH NO REV VEN CNRV        1ND</v>
          </cell>
        </row>
        <row r="5382">
          <cell r="B5382" t="str">
            <v>14050308000108</v>
          </cell>
          <cell r="C5382" t="str">
            <v>CDO AMEX EXTRACASH NO REV VEN CNRV      1ND</v>
          </cell>
        </row>
        <row r="5383">
          <cell r="B5383" t="str">
            <v>14050319000102</v>
          </cell>
          <cell r="C5383" t="str">
            <v>IC CREDITOS REFINANCIADOS -60D(AUTOM)   1ND</v>
          </cell>
        </row>
        <row r="5384">
          <cell r="B5384" t="str">
            <v>14050319000104</v>
          </cell>
          <cell r="C5384" t="str">
            <v>CREDITOS REFINANCIADOS IC + 60D(AUTOM)  1ND</v>
          </cell>
        </row>
        <row r="5385">
          <cell r="B5385" t="str">
            <v>14050319000601</v>
          </cell>
          <cell r="C5385" t="str">
            <v>CL PRE JUD REFINANC IC VENC GL7003      1ND</v>
          </cell>
        </row>
        <row r="5386">
          <cell r="B5386" t="str">
            <v>14050319020101</v>
          </cell>
          <cell r="C5386" t="str">
            <v>IC CRED REF TC IB PN VENC -90DIAS       1ND</v>
          </cell>
        </row>
        <row r="5387">
          <cell r="B5387" t="str">
            <v>14050319020102</v>
          </cell>
          <cell r="C5387" t="str">
            <v>IC REF TC IB PN COLOCAC. VENC +90D      1ND</v>
          </cell>
        </row>
        <row r="5388">
          <cell r="B5388" t="str">
            <v>14050319020113</v>
          </cell>
          <cell r="C5388" t="str">
            <v>HPC REFIN TC IB PN COLOCAC. VENCIDO     1ND</v>
          </cell>
        </row>
        <row r="5389">
          <cell r="B5389" t="str">
            <v>14050319020201</v>
          </cell>
          <cell r="C5389" t="str">
            <v>JCC PREJUD REFINANC TC VISA             1ND</v>
          </cell>
        </row>
        <row r="5390">
          <cell r="B5390" t="str">
            <v>14050319020202</v>
          </cell>
          <cell r="C5390" t="str">
            <v>JCC PREJUD REFINANC TC AMEX             1ND</v>
          </cell>
        </row>
        <row r="5391">
          <cell r="B5391" t="str">
            <v>14050319020203</v>
          </cell>
          <cell r="C5391" t="str">
            <v>JCC PREJUD REFINANC TC MC               1ND</v>
          </cell>
        </row>
        <row r="5392">
          <cell r="B5392" t="str">
            <v>14050319060101</v>
          </cell>
          <cell r="C5392" t="str">
            <v>CL PRE.JUD.REFINANCIADOS IC             1ND</v>
          </cell>
        </row>
        <row r="5393">
          <cell r="B5393" t="str">
            <v>14050319060102</v>
          </cell>
          <cell r="C5393" t="str">
            <v>IC CREDITOS REFINANCIADOS -90D          1ND</v>
          </cell>
        </row>
        <row r="5394">
          <cell r="B5394" t="str">
            <v>14050319060103</v>
          </cell>
          <cell r="C5394" t="str">
            <v>IC CRED REFIN CONSUM VENC +90 DIAS      1ND</v>
          </cell>
        </row>
        <row r="5395">
          <cell r="B5395" t="str">
            <v>14050319060104</v>
          </cell>
          <cell r="C5395" t="str">
            <v>IC REFINANC NRV AUTOMOVILES VENC-90     1ND</v>
          </cell>
        </row>
        <row r="5396">
          <cell r="B5396" t="str">
            <v>14050319060106</v>
          </cell>
          <cell r="C5396" t="str">
            <v>IC REF CONV PREST RV VENC -90D          1ND</v>
          </cell>
        </row>
        <row r="5397">
          <cell r="B5397" t="str">
            <v>14050319060107</v>
          </cell>
          <cell r="C5397" t="str">
            <v>IC REF CONV PREST RV VENC +90D          1ND</v>
          </cell>
        </row>
        <row r="5398">
          <cell r="B5398" t="str">
            <v>14050319060108</v>
          </cell>
          <cell r="C5398" t="str">
            <v>HPC REF NRV OT B/CONV NO ELEG VENC      1ND</v>
          </cell>
        </row>
        <row r="5399">
          <cell r="B5399" t="str">
            <v>14050319060110</v>
          </cell>
          <cell r="C5399" t="str">
            <v>HPC  REF CAP VENC-90 EFEC C/GARA        1ND</v>
          </cell>
        </row>
        <row r="5400">
          <cell r="B5400" t="str">
            <v>14050319060111</v>
          </cell>
          <cell r="C5400" t="str">
            <v>HPC REF CAP VENC 90 EFEC C/GARA $1100   1ND</v>
          </cell>
        </row>
        <row r="5401">
          <cell r="B5401" t="str">
            <v>14050319060112</v>
          </cell>
          <cell r="C5401" t="str">
            <v>HPCÂ  REFÂ  CAP VENC-90 PREST.PERS.     1ND</v>
          </cell>
        </row>
        <row r="5402">
          <cell r="B5402" t="str">
            <v>14050319060113</v>
          </cell>
          <cell r="C5402" t="str">
            <v>HPC REF CAP VENC+90 PREST.PERS.         1ND</v>
          </cell>
        </row>
        <row r="5403">
          <cell r="B5403" t="str">
            <v>14050319060114</v>
          </cell>
          <cell r="C5403" t="str">
            <v>HPC CRED REFIN CONSUM NRV VENCIDO       1ND</v>
          </cell>
        </row>
        <row r="5404">
          <cell r="B5404" t="str">
            <v>14050319060115</v>
          </cell>
          <cell r="C5404" t="str">
            <v>HPC CRED REFIN NRV AUTOMOVILES VENCIDO  1ND</v>
          </cell>
        </row>
        <row r="5405">
          <cell r="B5405" t="str">
            <v>14050319060116</v>
          </cell>
          <cell r="C5405" t="str">
            <v>CL PRE JUD REFINANC CONVENIO NO REV.CNG 1ND</v>
          </cell>
        </row>
        <row r="5406">
          <cell r="B5406" t="str">
            <v>14050319060117</v>
          </cell>
          <cell r="C5406" t="str">
            <v>JCC PRE.JUD.REFINANCIADOS               1ND</v>
          </cell>
        </row>
        <row r="5407">
          <cell r="B5407" t="str">
            <v>14050319060118</v>
          </cell>
          <cell r="C5407" t="str">
            <v>JCC PRE JUD REFINANC CONVENIO NO REV.CNG1ND</v>
          </cell>
        </row>
        <row r="5408">
          <cell r="B5408" t="str">
            <v>14050319060119</v>
          </cell>
          <cell r="C5408" t="str">
            <v>HPC REF NRV  CREDITO EFECTIVO   VENC    1ND</v>
          </cell>
        </row>
        <row r="5409">
          <cell r="B5409" t="str">
            <v>14050319080001</v>
          </cell>
          <cell r="C5409" t="str">
            <v>JCC PREJUD REFINANC TC VISA             1 D</v>
          </cell>
        </row>
        <row r="5410">
          <cell r="B5410" t="str">
            <v>14050319080002</v>
          </cell>
          <cell r="C5410" t="str">
            <v>JCC PREJUD REFINANC TC AMEX             1 D</v>
          </cell>
        </row>
        <row r="5411">
          <cell r="B5411" t="str">
            <v>14050319080003</v>
          </cell>
          <cell r="C5411" t="str">
            <v>JCC PREJUD REFINANC TC MC               1 D</v>
          </cell>
        </row>
        <row r="5412">
          <cell r="B5412" t="str">
            <v>14050319080004</v>
          </cell>
          <cell r="C5412" t="str">
            <v>JCC JUD REFINANC TC VISA                1 D</v>
          </cell>
        </row>
        <row r="5413">
          <cell r="B5413" t="str">
            <v>14050319080005</v>
          </cell>
          <cell r="C5413" t="str">
            <v>JCC JUD REFINANC TC AMEX                1 D</v>
          </cell>
        </row>
        <row r="5414">
          <cell r="B5414" t="str">
            <v>14050319080006</v>
          </cell>
          <cell r="C5414" t="str">
            <v>JCC JUD REFINANC TC MC                  1 D</v>
          </cell>
        </row>
        <row r="5415">
          <cell r="B5415" t="str">
            <v>14050319080007</v>
          </cell>
          <cell r="C5415" t="str">
            <v>JCC PREJUD REFINANC TC VISA             1 D</v>
          </cell>
        </row>
        <row r="5416">
          <cell r="B5416" t="str">
            <v>14050319080008</v>
          </cell>
          <cell r="C5416" t="str">
            <v>JCC PREJUD REFINANC TC AMEX             1 D</v>
          </cell>
        </row>
        <row r="5417">
          <cell r="B5417" t="str">
            <v>14050319080009</v>
          </cell>
          <cell r="C5417" t="str">
            <v>JCC PREJUD REFINANC TC MC               1 D</v>
          </cell>
        </row>
        <row r="5418">
          <cell r="B5418" t="str">
            <v>14050319080010</v>
          </cell>
          <cell r="C5418" t="str">
            <v>JCC JUD REFINANC TC VISA                1 D</v>
          </cell>
        </row>
        <row r="5419">
          <cell r="B5419" t="str">
            <v>14050319080011</v>
          </cell>
          <cell r="C5419" t="str">
            <v>JCC JUD REFINANC TC AMEX                1 D</v>
          </cell>
        </row>
        <row r="5420">
          <cell r="B5420" t="str">
            <v>14050319080012</v>
          </cell>
          <cell r="C5420" t="str">
            <v>JCC JUD REFINANC TC MC                  1 D</v>
          </cell>
        </row>
        <row r="5421">
          <cell r="B5421" t="str">
            <v>14050319080100</v>
          </cell>
          <cell r="C5421" t="str">
            <v>HPC REFIN TC IB PN COLOCAC. VENCIDO     1ND</v>
          </cell>
        </row>
        <row r="5422">
          <cell r="B5422" t="str">
            <v>14050319990001</v>
          </cell>
          <cell r="C5422" t="str">
            <v>HPC CRED REFIN NRV AUTOMOVILES VENCIDO  1 D</v>
          </cell>
        </row>
        <row r="5423">
          <cell r="B5423" t="str">
            <v>14050319990002</v>
          </cell>
          <cell r="C5423" t="str">
            <v>JCC PRE.JUD.REFINANCIADOS               1 D</v>
          </cell>
        </row>
        <row r="5424">
          <cell r="B5424" t="str">
            <v>14050319990003</v>
          </cell>
          <cell r="C5424" t="str">
            <v>JCC COB.JUD.REFINANCIADOS               1 D</v>
          </cell>
        </row>
        <row r="5425">
          <cell r="B5425" t="str">
            <v>14050319990004</v>
          </cell>
          <cell r="C5425" t="str">
            <v>HPC REF NRV OT B/CONV NO ELEG VENC      1 D</v>
          </cell>
        </row>
        <row r="5426">
          <cell r="B5426" t="str">
            <v>14050319990005</v>
          </cell>
          <cell r="C5426" t="str">
            <v>HPC  REF CAP VENC-90 EFEC C/GARA        1 D</v>
          </cell>
        </row>
        <row r="5427">
          <cell r="B5427" t="str">
            <v>14050319990006</v>
          </cell>
          <cell r="C5427" t="str">
            <v>HPC CRED REFIN NRV AUTOMOVILES VENCIDO  1 D</v>
          </cell>
        </row>
        <row r="5428">
          <cell r="B5428" t="str">
            <v>14050319990007</v>
          </cell>
          <cell r="C5428" t="str">
            <v>JCC PRE.JUD.REFINANCIADOS               1 D</v>
          </cell>
        </row>
        <row r="5429">
          <cell r="B5429" t="str">
            <v>14050319990008</v>
          </cell>
          <cell r="C5429" t="str">
            <v>JCC COB.JUD.REFINANCIADOS               1 D</v>
          </cell>
        </row>
        <row r="5430">
          <cell r="B5430" t="str">
            <v>14050319990009</v>
          </cell>
          <cell r="C5430" t="str">
            <v>HPC REF NRV OT B/CONV NO ELEG VENC      1 D</v>
          </cell>
        </row>
        <row r="5431">
          <cell r="B5431" t="str">
            <v>14050319990010</v>
          </cell>
          <cell r="C5431" t="str">
            <v>HPC  REF CAP VENC-90 EFEC C/GARA        1 D</v>
          </cell>
        </row>
        <row r="5432">
          <cell r="B5432" t="str">
            <v>14050320020103</v>
          </cell>
          <cell r="C5432" t="str">
            <v>TC COLOC. DISP.EFECTIVO EMPLEADOS       1ND</v>
          </cell>
        </row>
        <row r="5433">
          <cell r="B5433" t="str">
            <v>14050320020104</v>
          </cell>
          <cell r="C5433" t="str">
            <v>TC COLOC.CUOTAS DISP.EFECTIVO EMPLEAD   1ND</v>
          </cell>
        </row>
        <row r="5434">
          <cell r="B5434" t="str">
            <v>14050320020105</v>
          </cell>
          <cell r="C5434" t="str">
            <v>TC COLOC.COMPRAS EMPLEADOS              1ND</v>
          </cell>
        </row>
        <row r="5435">
          <cell r="B5435" t="str">
            <v>14050320020106</v>
          </cell>
          <cell r="C5435" t="str">
            <v>TC COLOC.CUOTAS COMPRAS EMPLEADOS       1ND</v>
          </cell>
        </row>
        <row r="5436">
          <cell r="B5436" t="str">
            <v>14050329000101</v>
          </cell>
          <cell r="C5436" t="str">
            <v>OTROS CRED CONS - COMPRA DE DEUDA -60D  1ND</v>
          </cell>
        </row>
        <row r="5437">
          <cell r="B5437" t="str">
            <v>14050329000201</v>
          </cell>
          <cell r="C5437" t="str">
            <v>PAG A CTA PRE/JUD INTERSERV             1ND</v>
          </cell>
        </row>
        <row r="5438">
          <cell r="B5438" t="str">
            <v>14050406000101</v>
          </cell>
          <cell r="C5438" t="str">
            <v>IC CRED. HIPOTECARIO VENC -90           1ND</v>
          </cell>
        </row>
        <row r="5439">
          <cell r="B5439" t="str">
            <v>14050406000102</v>
          </cell>
          <cell r="C5439" t="str">
            <v>IC CRED HIP.BS.ADJUDIC VENC -90 DIAS    1ND</v>
          </cell>
        </row>
        <row r="5440">
          <cell r="B5440" t="str">
            <v>14050406000103</v>
          </cell>
          <cell r="C5440" t="str">
            <v>CHI CAP VN HIP REC PROP VEN+90 VAC .NCO 1ND</v>
          </cell>
        </row>
        <row r="5441">
          <cell r="B5441" t="str">
            <v>14050406000104</v>
          </cell>
          <cell r="C5441" t="str">
            <v>IC CRED. HIPOTECARIO VENC +90 DIAS      1ND</v>
          </cell>
        </row>
        <row r="5442">
          <cell r="B5442" t="str">
            <v>14050406000105</v>
          </cell>
          <cell r="C5442" t="str">
            <v>IC CRED HIP.BS.ADJUDIC VENC +90 DIAS    1ND</v>
          </cell>
        </row>
        <row r="5443">
          <cell r="B5443" t="str">
            <v>14050406000106</v>
          </cell>
          <cell r="C5443" t="str">
            <v>CHI CAP VN HIP REC PROP VEN+90 VAC .NCO 1ND</v>
          </cell>
        </row>
        <row r="5444">
          <cell r="B5444" t="str">
            <v>14050406000110</v>
          </cell>
          <cell r="C5444" t="str">
            <v>IC CRED HIPOT. BONOS VENC -90 DIAS      1ND</v>
          </cell>
        </row>
        <row r="5445">
          <cell r="B5445" t="str">
            <v>14050406000111</v>
          </cell>
          <cell r="C5445" t="str">
            <v>IC CRED HIPOT. BONOS VENC +90 DIAS      1ND</v>
          </cell>
        </row>
        <row r="5446">
          <cell r="B5446" t="str">
            <v>14050406000112</v>
          </cell>
          <cell r="C5446" t="str">
            <v>PREST HIPOTEC CONVENIO RP -90D          1ND</v>
          </cell>
        </row>
        <row r="5447">
          <cell r="B5447" t="str">
            <v>14050406000117</v>
          </cell>
          <cell r="C5447" t="str">
            <v>CHI CAP VENC-90 MIVIVIEN REC PROP       1ND</v>
          </cell>
        </row>
        <row r="5448">
          <cell r="B5448" t="str">
            <v>14050406000122</v>
          </cell>
          <cell r="C5448" t="str">
            <v>HPC CAP.VENC-90 HIPOT.REC PROP          1ND</v>
          </cell>
        </row>
        <row r="5449">
          <cell r="B5449" t="str">
            <v>14050406000123</v>
          </cell>
          <cell r="C5449" t="str">
            <v>HPC CAP.VENC+90 HIPOT.REC PROP          1ND</v>
          </cell>
        </row>
        <row r="5450">
          <cell r="B5450" t="str">
            <v>14050406000124</v>
          </cell>
          <cell r="C5450" t="str">
            <v>HPC D/P CAP VENC-90 HIPOT.REC PR        1ND</v>
          </cell>
        </row>
        <row r="5451">
          <cell r="B5451" t="str">
            <v>14050406000125</v>
          </cell>
          <cell r="C5451" t="str">
            <v>HPC D/P CAP VENC+90 HIPOT.REC PRO       1ND</v>
          </cell>
        </row>
        <row r="5452">
          <cell r="B5452" t="str">
            <v>14050406000126</v>
          </cell>
          <cell r="C5452" t="str">
            <v>HPC CAP.VENC-90 HIP. RP. BONOS          1ND</v>
          </cell>
        </row>
        <row r="5453">
          <cell r="B5453" t="str">
            <v>14050406000127</v>
          </cell>
          <cell r="C5453" t="str">
            <v>HPC CAP.VENC+90 HIP. RP. BONOS          1ND</v>
          </cell>
        </row>
        <row r="5454">
          <cell r="B5454" t="str">
            <v>14050406000128</v>
          </cell>
          <cell r="C5454" t="str">
            <v>HPC D/P CAP VENC-90 HIP. RP. BON        1ND</v>
          </cell>
        </row>
        <row r="5455">
          <cell r="B5455" t="str">
            <v>14050406000129</v>
          </cell>
          <cell r="C5455" t="str">
            <v>HPC D/P CAP VENC+90 HIP. RP. BONO       1ND</v>
          </cell>
        </row>
        <row r="5456">
          <cell r="B5456" t="str">
            <v>14050406000137</v>
          </cell>
          <cell r="C5456" t="str">
            <v>HPC CAP.VENC+90 HIPOT.TRAD.FINAN.       1ND</v>
          </cell>
        </row>
        <row r="5457">
          <cell r="B5457" t="str">
            <v>14050406000138</v>
          </cell>
          <cell r="C5457" t="str">
            <v>HPC D/P CAP.VENC-90 HIPOT.TRAD.FI       1ND</v>
          </cell>
        </row>
        <row r="5458">
          <cell r="B5458" t="str">
            <v>14050406000139</v>
          </cell>
          <cell r="C5458" t="str">
            <v>HPC D/P CAP VENC+90 HIPOT.TRAD.F        1ND</v>
          </cell>
        </row>
        <row r="5459">
          <cell r="B5459" t="str">
            <v>14050406000140</v>
          </cell>
          <cell r="C5459" t="str">
            <v>HPC CAP.VENC-90 HIPOT.FINAN.PROV.       1ND</v>
          </cell>
        </row>
        <row r="5460">
          <cell r="B5460" t="str">
            <v>14050406000141</v>
          </cell>
          <cell r="C5460" t="str">
            <v>HPC CAP.VENC+90 HIPOT.FINAN.PROV.       1ND</v>
          </cell>
        </row>
        <row r="5461">
          <cell r="B5461" t="str">
            <v>14050406000142</v>
          </cell>
          <cell r="C5461" t="str">
            <v>HPC D/P CAP.VENC-90 HIPOT.FINAN.P       1ND</v>
          </cell>
        </row>
        <row r="5462">
          <cell r="B5462" t="str">
            <v>14050406000143</v>
          </cell>
          <cell r="C5462" t="str">
            <v>HPC D/P CAP.VENC+90 HIPOT.FINAN.P       1ND</v>
          </cell>
        </row>
        <row r="5463">
          <cell r="B5463" t="str">
            <v>14050406000201</v>
          </cell>
          <cell r="C5463" t="str">
            <v>IC S CRED HIPOTEC VENC -90D             1ND</v>
          </cell>
        </row>
        <row r="5464">
          <cell r="B5464" t="str">
            <v>14050406000202</v>
          </cell>
          <cell r="C5464" t="str">
            <v>IC S CRED CRED HIPOTEC VENC +90D        1ND</v>
          </cell>
        </row>
        <row r="5465">
          <cell r="B5465" t="str">
            <v>14050406000602</v>
          </cell>
          <cell r="C5465" t="str">
            <v>CL PRE JUD CRED HIPOTEC IC VENC GL7003  1ND</v>
          </cell>
        </row>
        <row r="5466">
          <cell r="B5466" t="str">
            <v>14050406000603</v>
          </cell>
          <cell r="C5466" t="str">
            <v>CL PRE JUD CRED.HIPOT COM CL VENC GL70031ND</v>
          </cell>
        </row>
        <row r="5467">
          <cell r="B5467" t="str">
            <v>14050406000604</v>
          </cell>
          <cell r="C5467" t="str">
            <v>CL PRE JUD CRED TECHOPROPIO-REC CL VE   1ND</v>
          </cell>
        </row>
        <row r="5468">
          <cell r="B5468" t="str">
            <v>14050406000605</v>
          </cell>
          <cell r="C5468" t="str">
            <v>CL PRE JUD H. MIVIVIENDA RP             1ND</v>
          </cell>
        </row>
        <row r="5469">
          <cell r="B5469" t="str">
            <v>14050406010101</v>
          </cell>
          <cell r="C5469" t="str">
            <v>HPC REF CAP.VENC-90 HIPOT.TRAD. C/HIP. I1ND</v>
          </cell>
        </row>
        <row r="5470">
          <cell r="B5470" t="str">
            <v>14050406010102</v>
          </cell>
          <cell r="C5470" t="str">
            <v>HPC REF CAP.VENC-90 HIP. ADJUDIC. C/HIP.1ND</v>
          </cell>
        </row>
        <row r="5471">
          <cell r="B5471" t="str">
            <v>14050406010103</v>
          </cell>
          <cell r="C5471" t="str">
            <v>HPC CAP.VENC-90 HIPOT.REC PROP. C/HIP. I1ND</v>
          </cell>
        </row>
        <row r="5472">
          <cell r="B5472" t="str">
            <v>14050406010104</v>
          </cell>
          <cell r="C5472" t="str">
            <v>HPC D/P CAP VENC-90 HIPOT.REC PROP C/HIP1ND</v>
          </cell>
        </row>
        <row r="5473">
          <cell r="B5473" t="str">
            <v>14050406010105</v>
          </cell>
          <cell r="C5473" t="str">
            <v>HPC CAP.VENC-90  HIP. RP. BONOS C/HIP. I1ND</v>
          </cell>
        </row>
        <row r="5474">
          <cell r="B5474" t="str">
            <v>14050406010106</v>
          </cell>
          <cell r="C5474" t="str">
            <v>HPC D/P CAP VENC-90 HIP. RP. BONOS C/HIP1ND</v>
          </cell>
        </row>
        <row r="5475">
          <cell r="B5475" t="str">
            <v>14050406010107</v>
          </cell>
          <cell r="C5475" t="str">
            <v>HPC CAP.VENCIDO HIPOT.TASA MIXTA REC    1ND</v>
          </cell>
        </row>
        <row r="5476">
          <cell r="B5476" t="str">
            <v>14050406010108</v>
          </cell>
          <cell r="C5476" t="str">
            <v>HPC D/P CAP VENCIDO HIPOT.TASA MIXTA REC1ND</v>
          </cell>
        </row>
        <row r="5477">
          <cell r="B5477" t="str">
            <v>14050406010109</v>
          </cell>
          <cell r="C5477" t="str">
            <v>HPC CAP.VENC. 2DA HIPOT.REC PROP C/HIP. 1ND</v>
          </cell>
        </row>
        <row r="5478">
          <cell r="B5478" t="str">
            <v>14050406010110</v>
          </cell>
          <cell r="C5478" t="str">
            <v>HPC D/P CAP VENC-90 2DA HIPOT.REC PROP C1ND</v>
          </cell>
        </row>
        <row r="5479">
          <cell r="B5479" t="str">
            <v>14050406010111</v>
          </cell>
          <cell r="C5479" t="str">
            <v>HPC CAP.VENC-90  2DA HIP. RP. BONOS C/HI1ND</v>
          </cell>
        </row>
        <row r="5480">
          <cell r="B5480" t="str">
            <v>14050406010112</v>
          </cell>
          <cell r="C5480" t="str">
            <v>HPC D/P CAP.VENC-90  2DA HIP. RP. BONOS 1ND</v>
          </cell>
        </row>
        <row r="5481">
          <cell r="B5481" t="str">
            <v>14050406010113</v>
          </cell>
          <cell r="C5481" t="str">
            <v>HPC CAP.VEN 2DA HIPOT.TASA MIXTA REC PRO1ND</v>
          </cell>
        </row>
        <row r="5482">
          <cell r="B5482" t="str">
            <v>14050406010114</v>
          </cell>
          <cell r="C5482" t="str">
            <v>HPC D/P CAP.VEN 2DA HIPOT.TASA MIXTA REC1ND</v>
          </cell>
        </row>
        <row r="5483">
          <cell r="B5483" t="str">
            <v>14050406010115</v>
          </cell>
          <cell r="C5483" t="str">
            <v>HPC  D/P CAP.VENC+90 HIPOT.TRAD.F       1ND</v>
          </cell>
        </row>
        <row r="5484">
          <cell r="B5484" t="str">
            <v>14050406010116</v>
          </cell>
          <cell r="C5484" t="str">
            <v>HPC CAP.VENC+90 HIPOT.TRAD.FINAN.       1ND</v>
          </cell>
        </row>
        <row r="5485">
          <cell r="B5485" t="str">
            <v>14050406010117</v>
          </cell>
          <cell r="C5485" t="str">
            <v>HPC D/P CAP.VENC-90 HIPOT.TRAD.FI       1ND</v>
          </cell>
        </row>
        <row r="5486">
          <cell r="B5486" t="str">
            <v>14050406010201</v>
          </cell>
          <cell r="C5486" t="str">
            <v>CL PRE JUD CRED HIPOT-REC CL VENC CHPV  1ND</v>
          </cell>
        </row>
        <row r="5487">
          <cell r="B5487" t="str">
            <v>14050406010202</v>
          </cell>
          <cell r="C5487" t="str">
            <v>CL PRE JUD CRED HIPOTEC IC VENC CHPV    1ND</v>
          </cell>
        </row>
        <row r="5488">
          <cell r="B5488" t="str">
            <v>14050406010203</v>
          </cell>
          <cell r="C5488" t="str">
            <v>CL PRE JUD H. MIVIVIENDA RP CHPV        1ND</v>
          </cell>
        </row>
        <row r="5489">
          <cell r="B5489" t="str">
            <v>14050406010301</v>
          </cell>
          <cell r="C5489" t="str">
            <v>JCC PRE JUD CRED HIPOT-REC JCC VENC CHPV1ND</v>
          </cell>
        </row>
        <row r="5490">
          <cell r="B5490" t="str">
            <v>14050406010302</v>
          </cell>
          <cell r="C5490" t="str">
            <v>JCC PRE JUD H. MIVIVIENDA RP CHPV       1ND</v>
          </cell>
        </row>
        <row r="5491">
          <cell r="B5491" t="str">
            <v>14050406010303</v>
          </cell>
          <cell r="C5491" t="str">
            <v>HPC DP HIPOTEC.FINAN.PROV.REFINANC.VENC+1ND</v>
          </cell>
        </row>
        <row r="5492">
          <cell r="B5492" t="str">
            <v>14050406010304</v>
          </cell>
          <cell r="C5492" t="str">
            <v>HPC HIPOTEC.FINAN.PROV.REFINANC.VENC+90 1ND</v>
          </cell>
        </row>
        <row r="5493">
          <cell r="B5493" t="str">
            <v>14050406010305</v>
          </cell>
          <cell r="C5493" t="str">
            <v>HPC DP HIPOTEC.FINAN.PROV.REFINANC.VENC 1ND</v>
          </cell>
        </row>
        <row r="5494">
          <cell r="B5494" t="str">
            <v>14050406010306</v>
          </cell>
          <cell r="C5494" t="str">
            <v>HPC DP HIPOT.FINAN.PROV.REFIN.ADJUDIC VE1ND</v>
          </cell>
        </row>
        <row r="5495">
          <cell r="B5495" t="str">
            <v>14050406010307</v>
          </cell>
          <cell r="C5495" t="str">
            <v>HPC HIPOT.FINAN.PROV.REFINANC.ADJUDIC VE1ND</v>
          </cell>
        </row>
        <row r="5496">
          <cell r="B5496" t="str">
            <v>14050406010308</v>
          </cell>
          <cell r="C5496" t="str">
            <v>HPC DP HIPOT.FINAN.PROV.REFIN.ADJUDIC VE1ND</v>
          </cell>
        </row>
        <row r="5497">
          <cell r="B5497" t="str">
            <v>14050406010309</v>
          </cell>
          <cell r="C5497" t="str">
            <v>HPC HIPOT.FINAN.PROV.REFINANC.ADJUDIC VE1ND</v>
          </cell>
        </row>
        <row r="5498">
          <cell r="B5498" t="str">
            <v>14050406020101</v>
          </cell>
          <cell r="C5498" t="str">
            <v>HPC REF CAP.VENC-90 HIPOT.TRAD. S/HIP. I1ND</v>
          </cell>
        </row>
        <row r="5499">
          <cell r="B5499" t="str">
            <v>14050406020102</v>
          </cell>
          <cell r="C5499" t="str">
            <v>HPC REF CAP.VENC-90 HIP. ADJUDIC. S/HIP.1ND</v>
          </cell>
        </row>
        <row r="5500">
          <cell r="B5500" t="str">
            <v>14050406020103</v>
          </cell>
          <cell r="C5500" t="str">
            <v>HPC CAP.VENC-90 HIPOT.REC PROP S/HIP. IN1ND</v>
          </cell>
        </row>
        <row r="5501">
          <cell r="B5501" t="str">
            <v>14050406020104</v>
          </cell>
          <cell r="C5501" t="str">
            <v>HPC D/P CAP VENC-90 HIPOT.REC PROP S/HIP1ND</v>
          </cell>
        </row>
        <row r="5502">
          <cell r="B5502" t="str">
            <v>14050406020105</v>
          </cell>
          <cell r="C5502" t="str">
            <v>HPC CAP.VENC-90  HIP. RP. BONOS S/HIP. I1ND</v>
          </cell>
        </row>
        <row r="5503">
          <cell r="B5503" t="str">
            <v>14050406020106</v>
          </cell>
          <cell r="C5503" t="str">
            <v>HPC D/P CAP VENC-90 HIP. RP. BONOS S/HIP1ND</v>
          </cell>
        </row>
        <row r="5504">
          <cell r="B5504" t="str">
            <v>14050406020107</v>
          </cell>
          <cell r="C5504" t="str">
            <v>HPC CAP.VENCIDO SIN HIPOT.TASA MIXTA    1ND</v>
          </cell>
        </row>
        <row r="5505">
          <cell r="B5505" t="str">
            <v>14050406020108</v>
          </cell>
          <cell r="C5505" t="str">
            <v>HPC D/P CAP VENCIDO SIN HIPOT.TASA MIXTA1ND</v>
          </cell>
        </row>
        <row r="5506">
          <cell r="B5506" t="str">
            <v>14050406020109</v>
          </cell>
          <cell r="C5506" t="str">
            <v>HPC CAP.VENC. 2DA HIPOT.REC PROP (S/HIP.1ND</v>
          </cell>
        </row>
        <row r="5507">
          <cell r="B5507" t="str">
            <v>14050406020110</v>
          </cell>
          <cell r="C5507" t="str">
            <v>HPC D/P CAP VENC-90  2DA HIPOT.REC PROP 1ND</v>
          </cell>
        </row>
        <row r="5508">
          <cell r="B5508" t="str">
            <v>14050406020111</v>
          </cell>
          <cell r="C5508" t="str">
            <v>HPC CAP.VENC-90 2DA HIP. RP. BONOS S/HIP1ND</v>
          </cell>
        </row>
        <row r="5509">
          <cell r="B5509" t="str">
            <v>14050406020112</v>
          </cell>
          <cell r="C5509" t="str">
            <v>HPC D/P CAP.VENC-90 2DA HIP. RP. BONOS S1ND</v>
          </cell>
        </row>
        <row r="5510">
          <cell r="B5510" t="str">
            <v>14050406020113</v>
          </cell>
          <cell r="C5510" t="str">
            <v>HPC CAP.VEN. 2DA HIPOT TASA MIXTA REC PR1ND</v>
          </cell>
        </row>
        <row r="5511">
          <cell r="B5511" t="str">
            <v>14050406020114</v>
          </cell>
          <cell r="C5511" t="str">
            <v>HPC D/P CAP.VEN. 2DA HIPOT TASA MIXTA RE1ND</v>
          </cell>
        </row>
        <row r="5512">
          <cell r="B5512" t="str">
            <v>14050419000101</v>
          </cell>
          <cell r="C5512" t="str">
            <v>IC CRED. HIPOTECARIO VENC -90 DIAS      1ND</v>
          </cell>
        </row>
        <row r="5513">
          <cell r="B5513" t="str">
            <v>14050419000105</v>
          </cell>
          <cell r="C5513" t="str">
            <v>CRED HIPOTEC REF +90D50419000105        1ND</v>
          </cell>
        </row>
        <row r="5514">
          <cell r="B5514" t="str">
            <v>14050419060101</v>
          </cell>
          <cell r="C5514" t="str">
            <v>CL PRE JUD REFIN HIPOTEC IC VENC GL7003 1ND</v>
          </cell>
        </row>
        <row r="5515">
          <cell r="B5515" t="str">
            <v>14050419060102</v>
          </cell>
          <cell r="C5515" t="str">
            <v>CREDITOS REFINANCIADOS-HIPOTEC VENCIDO -1ND</v>
          </cell>
        </row>
        <row r="5516">
          <cell r="B5516" t="str">
            <v>14050419060103</v>
          </cell>
          <cell r="C5516" t="str">
            <v>CRED HIPOTEC REF +90D50419000105        1ND</v>
          </cell>
        </row>
        <row r="5517">
          <cell r="B5517" t="str">
            <v>14050419060104</v>
          </cell>
          <cell r="C5517" t="str">
            <v>HPC REF CAP.VENC-90 HIPOT.TRAD          1ND</v>
          </cell>
        </row>
        <row r="5518">
          <cell r="B5518" t="str">
            <v>14050419060105</v>
          </cell>
          <cell r="C5518" t="str">
            <v>HPC REF CAP.VENC+90 HIPOT.TRAD          1ND</v>
          </cell>
        </row>
        <row r="5519">
          <cell r="B5519" t="str">
            <v>14050419060108</v>
          </cell>
          <cell r="C5519" t="str">
            <v>JCC PRE JUD REFIN HIPOTEC  VENC GL7003  1ND</v>
          </cell>
        </row>
        <row r="5520">
          <cell r="B5520" t="str">
            <v>14050419230701</v>
          </cell>
          <cell r="C5520" t="str">
            <v>RCC  PRÃ‰STAMOS DEL FONDO MIVIVIENDA    1ND</v>
          </cell>
        </row>
        <row r="5521">
          <cell r="B5521" t="str">
            <v>14050423000101</v>
          </cell>
          <cell r="C5521" t="str">
            <v>CL PRE JUD CRED TECHO PROPIO            1ND</v>
          </cell>
        </row>
        <row r="5522">
          <cell r="B5522" t="str">
            <v>14050423000102</v>
          </cell>
          <cell r="C5522" t="str">
            <v>PH MI VIVIENDA VENC-C/COBERTURA         1ND</v>
          </cell>
        </row>
        <row r="5523">
          <cell r="B5523" t="str">
            <v>14050423000103</v>
          </cell>
          <cell r="C5523" t="str">
            <v>CHI CAPITAL MI VIVIENDA VENC +90        1ND</v>
          </cell>
        </row>
        <row r="5524">
          <cell r="B5524" t="str">
            <v>14050423000104</v>
          </cell>
          <cell r="C5524" t="str">
            <v>CHI CAPIT INDX VENC-90 MI VIVIENDA .NCO 1ND</v>
          </cell>
        </row>
        <row r="5525">
          <cell r="B5525" t="str">
            <v>14050423000108</v>
          </cell>
          <cell r="C5525" t="str">
            <v>CHI D/P CAPITAL VENC -90 CRED HIP REC   1ND</v>
          </cell>
        </row>
        <row r="5526">
          <cell r="B5526" t="str">
            <v>14050423000109</v>
          </cell>
          <cell r="C5526" t="str">
            <v>CHI D/P CAPITALVENC +90 CRED HIP REC    1ND</v>
          </cell>
        </row>
        <row r="5527">
          <cell r="B5527" t="str">
            <v>14050423000110</v>
          </cell>
          <cell r="C5527" t="str">
            <v>CHI D/P CAP INDX VENC-90 MIVIV          1ND</v>
          </cell>
        </row>
        <row r="5528">
          <cell r="B5528" t="str">
            <v>14050423000111</v>
          </cell>
          <cell r="C5528" t="str">
            <v>CHI D/P CAP INDX VENC+90 MIVIVIE        1ND</v>
          </cell>
        </row>
        <row r="5529">
          <cell r="B5529" t="str">
            <v>14050423000112</v>
          </cell>
          <cell r="C5529" t="str">
            <v>CHI PREST HIPOT TECHO PROPIO VENC -90   1ND</v>
          </cell>
        </row>
        <row r="5530">
          <cell r="B5530" t="str">
            <v>14050423000113</v>
          </cell>
          <cell r="C5530" t="str">
            <v>PREST HIPOT TECHO PROPIO VENC + 90      1ND</v>
          </cell>
        </row>
        <row r="5531">
          <cell r="B5531" t="str">
            <v>14050423000116</v>
          </cell>
          <cell r="C5531" t="str">
            <v>HPC CAP.VENC 90 MI VIV COFIDE           1ND</v>
          </cell>
        </row>
        <row r="5532">
          <cell r="B5532" t="str">
            <v>14050423000117</v>
          </cell>
          <cell r="C5532" t="str">
            <v>HPC CAP.VENC 90 MI VIV COFIDE           1ND</v>
          </cell>
        </row>
        <row r="5533">
          <cell r="B5533" t="str">
            <v>14050423000118</v>
          </cell>
          <cell r="C5533" t="str">
            <v>HPC CAP.VENC-90 TEC PROPIO COF          1ND</v>
          </cell>
        </row>
        <row r="5534">
          <cell r="B5534" t="str">
            <v>14050423000119</v>
          </cell>
          <cell r="C5534" t="str">
            <v>HPC CAP.VENC+90 TEC PROPIO COF          1ND</v>
          </cell>
        </row>
        <row r="5535">
          <cell r="B5535" t="str">
            <v>14050423000120</v>
          </cell>
          <cell r="C5535" t="str">
            <v>HPC D/P CAP VENC-90 TEC PROP COF        1ND</v>
          </cell>
        </row>
        <row r="5536">
          <cell r="B5536" t="str">
            <v>14050423000121</v>
          </cell>
          <cell r="C5536" t="str">
            <v>HPC D/P CAP VENC+90 TEC PROPIO C        1ND</v>
          </cell>
        </row>
        <row r="5537">
          <cell r="B5537" t="str">
            <v>14050423000122</v>
          </cell>
          <cell r="C5537" t="str">
            <v>HPC D/P CAP VENC 90 MI VIV COFIDE       1ND</v>
          </cell>
        </row>
        <row r="5538">
          <cell r="B5538" t="str">
            <v>14050423000123</v>
          </cell>
          <cell r="C5538" t="str">
            <v>HPC D/P CAP VENC 90 MI VIV COFID        1ND</v>
          </cell>
        </row>
        <row r="5539">
          <cell r="B5539" t="str">
            <v>14050423000124</v>
          </cell>
          <cell r="C5539" t="str">
            <v>CHI CAPITAL MI HOGAR VENC-90            1ND</v>
          </cell>
        </row>
        <row r="5540">
          <cell r="B5540" t="str">
            <v>14050423000125</v>
          </cell>
          <cell r="C5540" t="str">
            <v>CHI CAPITAL MI HOGAR VENC+90            1ND</v>
          </cell>
        </row>
        <row r="5541">
          <cell r="B5541" t="str">
            <v>14050423000126</v>
          </cell>
          <cell r="C5541" t="str">
            <v>CHI CAPIT BT MIVIVIEN VENC -90          1ND</v>
          </cell>
        </row>
        <row r="5542">
          <cell r="B5542" t="str">
            <v>14050423000127</v>
          </cell>
          <cell r="C5542" t="str">
            <v>CHI CAPIT BT MIVIVIEN VENC +90          1ND</v>
          </cell>
        </row>
        <row r="5543">
          <cell r="B5543" t="str">
            <v>14050423000128</v>
          </cell>
          <cell r="C5543" t="str">
            <v>CHI CAPIT INDX VENC-90 BT MIVIVIENDA    1ND</v>
          </cell>
        </row>
        <row r="5544">
          <cell r="B5544" t="str">
            <v>14050423000129</v>
          </cell>
          <cell r="C5544" t="str">
            <v>CHI CAPIT INDX VENC+90 BT MIVIVIENDA    1ND</v>
          </cell>
        </row>
        <row r="5545">
          <cell r="B5545" t="str">
            <v>14050423000130</v>
          </cell>
          <cell r="C5545" t="str">
            <v>CL BT PJUD HIP.MIVI VEN COF             1ND</v>
          </cell>
        </row>
        <row r="5546">
          <cell r="B5546" t="str">
            <v>14050423000138</v>
          </cell>
          <cell r="C5546" t="str">
            <v>HPC CAP.VENC-90 MI HOGAR                1ND</v>
          </cell>
        </row>
        <row r="5547">
          <cell r="B5547" t="str">
            <v>14050423000139</v>
          </cell>
          <cell r="C5547" t="str">
            <v>HPC CAP.VENC+90 MI HOGAR                1ND</v>
          </cell>
        </row>
        <row r="5548">
          <cell r="B5548" t="str">
            <v>14050423000140</v>
          </cell>
          <cell r="C5548" t="str">
            <v>HPC D/P CAP VENC-90 MI HOGAR            1ND</v>
          </cell>
        </row>
        <row r="5549">
          <cell r="B5549" t="str">
            <v>14050423000141</v>
          </cell>
          <cell r="C5549" t="str">
            <v>HPC D/P CAP VENC+90 MI HOGAR            1ND</v>
          </cell>
        </row>
        <row r="5550">
          <cell r="B5550" t="str">
            <v>14050423000142</v>
          </cell>
          <cell r="C5550" t="str">
            <v>CL PRE JUD H. MI HOGAR COFIDE           1ND</v>
          </cell>
        </row>
        <row r="5551">
          <cell r="B5551" t="str">
            <v>14050423000201</v>
          </cell>
          <cell r="C5551" t="str">
            <v>CL PREJUD HIPOT.MI VIVIEND VEN COFIDE   1ND</v>
          </cell>
        </row>
        <row r="5552">
          <cell r="B5552" t="str">
            <v>14050423000202</v>
          </cell>
          <cell r="C5552" t="str">
            <v>CHI S CAPITAL MI VIV VENC+90            1ND</v>
          </cell>
        </row>
        <row r="5553">
          <cell r="B5553" t="str">
            <v>14050423000209</v>
          </cell>
          <cell r="C5553" t="str">
            <v>CHI S CAPITAL MI VIV VENC-90            1ND</v>
          </cell>
        </row>
        <row r="5554">
          <cell r="B5554" t="str">
            <v>14050423000210</v>
          </cell>
          <cell r="C5554" t="str">
            <v>HPC CAPIT INDX VENC 90 MIVIVIEN         1ND</v>
          </cell>
        </row>
        <row r="5555">
          <cell r="B5555" t="str">
            <v>14050423000211</v>
          </cell>
          <cell r="C5555" t="str">
            <v>HPC CAPIT INDX VENC 90 MIVIVIENDA       1ND</v>
          </cell>
        </row>
        <row r="5556">
          <cell r="B5556" t="str">
            <v>14050423000212</v>
          </cell>
          <cell r="C5556" t="str">
            <v>HPC DP CAPIT INDX VENC 90 MIVIVIENDA    1ND</v>
          </cell>
        </row>
        <row r="5557">
          <cell r="B5557" t="str">
            <v>14050423000213</v>
          </cell>
          <cell r="C5557" t="str">
            <v>HPC DP CAPIT INDX VENC 90 MIVIVIENDA    1ND</v>
          </cell>
        </row>
        <row r="5558">
          <cell r="B5558" t="str">
            <v>14050423000218</v>
          </cell>
          <cell r="C5558" t="str">
            <v>JCC PREJUD HIPOT.MI VIVIEND VEN COFIDE  1ND</v>
          </cell>
        </row>
        <row r="5559">
          <cell r="B5559" t="str">
            <v>14050423000219</v>
          </cell>
          <cell r="C5559" t="str">
            <v>JCC PRE JUD H. MI HOGAR COFIDE          1ND</v>
          </cell>
        </row>
        <row r="5560">
          <cell r="B5560" t="str">
            <v>14050423000220</v>
          </cell>
          <cell r="C5560" t="str">
            <v>JCC  CAPITAL TECHO PROPIO VENC -90      1ND</v>
          </cell>
        </row>
        <row r="5561">
          <cell r="B5561" t="str">
            <v>14050423000301</v>
          </cell>
          <cell r="C5561" t="str">
            <v>HPC CAP.VENC-90 NUEVO MVV COFIDE        1ND</v>
          </cell>
        </row>
        <row r="5562">
          <cell r="B5562" t="str">
            <v>14050423000302</v>
          </cell>
          <cell r="C5562" t="str">
            <v>HPC CAP.VENC+90 NUEVO MVV COFIDE        1ND</v>
          </cell>
        </row>
        <row r="5563">
          <cell r="B5563" t="str">
            <v>14050423000303</v>
          </cell>
          <cell r="C5563" t="str">
            <v>HPC D/P CAP VENC-90 NUEVO MVV COFIDE    1ND</v>
          </cell>
        </row>
        <row r="5564">
          <cell r="B5564" t="str">
            <v>14050423000304</v>
          </cell>
          <cell r="C5564" t="str">
            <v>HPC D/P CAP VENC+90 NUEVO MVV COFIDE    1ND</v>
          </cell>
        </row>
        <row r="5565">
          <cell r="B5565" t="str">
            <v>14050424000101</v>
          </cell>
          <cell r="C5565" t="str">
            <v>CHI CAP VENC-90 MIVIVIEN REC PROP       1ND</v>
          </cell>
        </row>
        <row r="5566">
          <cell r="B5566" t="str">
            <v>14050424000102</v>
          </cell>
          <cell r="C5566" t="str">
            <v>CHI CAP VENC+90 MIVIVIEN REC PROP       1ND</v>
          </cell>
        </row>
        <row r="5567">
          <cell r="B5567" t="str">
            <v>14050424000103</v>
          </cell>
          <cell r="C5567" t="str">
            <v>CHI D/P CAP VENC-90 MI VIVIENDA REC P   1ND</v>
          </cell>
        </row>
        <row r="5568">
          <cell r="B5568" t="str">
            <v>14050424000104</v>
          </cell>
          <cell r="C5568" t="str">
            <v>CHI D/P CAP VENC+90 MI VIVIENDA REC PROP1ND</v>
          </cell>
        </row>
        <row r="5569">
          <cell r="B5569" t="str">
            <v>14050424000105</v>
          </cell>
          <cell r="C5569" t="str">
            <v>HPC CAP.VENC-90 MI VIV REC PROP         1ND</v>
          </cell>
        </row>
        <row r="5570">
          <cell r="B5570" t="str">
            <v>14050424000106</v>
          </cell>
          <cell r="C5570" t="str">
            <v>HPC CAP.VENC+90 MI VIV REC PROP         1ND</v>
          </cell>
        </row>
        <row r="5571">
          <cell r="B5571" t="str">
            <v>14050424000107</v>
          </cell>
          <cell r="C5571" t="str">
            <v>HPC D/P CAP VENC-90 MI VIV REC PR       1ND</v>
          </cell>
        </row>
        <row r="5572">
          <cell r="B5572" t="str">
            <v>14050424000108</v>
          </cell>
          <cell r="C5572" t="str">
            <v>HPC D/P CAP VENC+90 MI VIV REC P        1ND</v>
          </cell>
        </row>
        <row r="5573">
          <cell r="B5573" t="str">
            <v>14050429000102</v>
          </cell>
          <cell r="C5573" t="str">
            <v>CHI CRED HIP TECH PROP VENC -90         1ND</v>
          </cell>
        </row>
        <row r="5574">
          <cell r="B5574" t="str">
            <v>14050429000103</v>
          </cell>
          <cell r="C5574" t="str">
            <v>CHI CRED HIP TECH PROP VENC +90         1ND</v>
          </cell>
        </row>
        <row r="5575">
          <cell r="B5575" t="str">
            <v>14050429000110</v>
          </cell>
          <cell r="C5575" t="str">
            <v>IC D/P CRED. HIPOT. BONOS IC VENC -90   1ND</v>
          </cell>
        </row>
        <row r="5576">
          <cell r="B5576" t="str">
            <v>14050429000112</v>
          </cell>
          <cell r="C5576" t="str">
            <v>IC D/P OTROS CRED COMERCIALES VE        1ND</v>
          </cell>
        </row>
        <row r="5577">
          <cell r="B5577" t="str">
            <v>14050499000101</v>
          </cell>
          <cell r="C5577" t="str">
            <v>HPC CAP.VENCIDO HIP RP ADJUDIC          1ND</v>
          </cell>
        </row>
        <row r="5578">
          <cell r="B5578" t="str">
            <v>14050499000102</v>
          </cell>
          <cell r="C5578" t="str">
            <v>HPC D/P CAP VENCIDO HIP RP ADJUDIC      1ND</v>
          </cell>
        </row>
        <row r="5579">
          <cell r="B5579" t="str">
            <v>14050506010101</v>
          </cell>
          <cell r="C5579" t="str">
            <v>LPC VENC PAG TV RP REVOL CBMD           1ND</v>
          </cell>
        </row>
        <row r="5580">
          <cell r="B5580" t="str">
            <v>14050506010102</v>
          </cell>
          <cell r="C5580" t="str">
            <v>LPC P.TV REC.COFIDE REVOL VEN CBMD      1ND</v>
          </cell>
        </row>
        <row r="5581">
          <cell r="B5581" t="str">
            <v>14050506010103</v>
          </cell>
          <cell r="C5581" t="str">
            <v>LPC PAG TV COFIDE VENC D/P CBMD         1ND</v>
          </cell>
        </row>
        <row r="5582">
          <cell r="B5582" t="str">
            <v>14050506010104</v>
          </cell>
          <cell r="C5582" t="str">
            <v>LPC PAG TV RP MED PLAZO REVOL           1ND</v>
          </cell>
        </row>
        <row r="5583">
          <cell r="B5583" t="str">
            <v>14050506010105</v>
          </cell>
          <cell r="C5583" t="str">
            <v>LPC PAG TV RP MED PLAZO REVOL D/P       1ND</v>
          </cell>
        </row>
        <row r="5584">
          <cell r="B5584" t="str">
            <v>14050506010106</v>
          </cell>
          <cell r="C5584" t="str">
            <v>LPC PAG TV INMOBILIARIO REV             1ND</v>
          </cell>
        </row>
        <row r="5585">
          <cell r="B5585" t="str">
            <v>14050506010107</v>
          </cell>
          <cell r="C5585" t="str">
            <v>LPC PAG TV INMOBILIARIO REV D/P         1ND</v>
          </cell>
        </row>
        <row r="5586">
          <cell r="B5586" t="str">
            <v>14050506010108</v>
          </cell>
          <cell r="C5586" t="str">
            <v>LPC PAG TV REVOL EUROS                  1ND</v>
          </cell>
        </row>
        <row r="5587">
          <cell r="B5587" t="str">
            <v>14050506010109</v>
          </cell>
          <cell r="C5587" t="str">
            <v>LPC PAG TV REVOL EUROS                  1ND</v>
          </cell>
        </row>
        <row r="5588">
          <cell r="B5588" t="str">
            <v>14050506010201</v>
          </cell>
          <cell r="C5588" t="str">
            <v>CL PAG TV REVOLV VEN CCOB               1ND</v>
          </cell>
        </row>
        <row r="5589">
          <cell r="B5589" t="str">
            <v>14050506010202</v>
          </cell>
          <cell r="C5589" t="str">
            <v>CL PAG. TV D/P REVOL VEN CBMD           1ND</v>
          </cell>
        </row>
        <row r="5590">
          <cell r="B5590" t="str">
            <v>14050506090101</v>
          </cell>
          <cell r="C5590" t="str">
            <v>LPC VENC PAG TV RP NO REVOL CBMD        1ND</v>
          </cell>
        </row>
        <row r="5591">
          <cell r="B5591" t="str">
            <v>14050506090102</v>
          </cell>
          <cell r="C5591" t="str">
            <v>LPC P.TV REC.COFIDE NO REVOL VEN CBMD   1ND</v>
          </cell>
        </row>
        <row r="5592">
          <cell r="B5592" t="str">
            <v>14050506090103</v>
          </cell>
          <cell r="C5592" t="str">
            <v>LPC PAG TV COFIDE VENC D/P CBMD         1ND</v>
          </cell>
        </row>
        <row r="5593">
          <cell r="B5593" t="str">
            <v>14050506090104</v>
          </cell>
          <cell r="C5593" t="str">
            <v>LPC PAG TV RP MED PLAZO NO REV          1ND</v>
          </cell>
        </row>
        <row r="5594">
          <cell r="B5594" t="str">
            <v>14050506090105</v>
          </cell>
          <cell r="C5594" t="str">
            <v>LPC PAG TV RP MED PLAZO NO REV D/P      1ND</v>
          </cell>
        </row>
        <row r="5595">
          <cell r="B5595" t="str">
            <v>14050506090106</v>
          </cell>
          <cell r="C5595" t="str">
            <v>LPC PAG TV INMOBILIARIO NO REV          1ND</v>
          </cell>
        </row>
        <row r="5596">
          <cell r="B5596" t="str">
            <v>14050506090107</v>
          </cell>
          <cell r="C5596" t="str">
            <v>LPC PAG TV INMOBILIARIO NO REV D/P      1ND</v>
          </cell>
        </row>
        <row r="5597">
          <cell r="B5597" t="str">
            <v>14050506090108</v>
          </cell>
          <cell r="C5597" t="str">
            <v>LPC PAG TV NO REVOL EUROS               1ND</v>
          </cell>
        </row>
        <row r="5598">
          <cell r="B5598" t="str">
            <v>14050506090109</v>
          </cell>
          <cell r="C5598" t="str">
            <v>LPC PAG TV NO REVOL EUROS               1ND</v>
          </cell>
        </row>
        <row r="5599">
          <cell r="B5599" t="str">
            <v>14050506090201</v>
          </cell>
          <cell r="C5599" t="str">
            <v>CL PAG TV NO REVOLV VEN CBMD            1ND</v>
          </cell>
        </row>
        <row r="5600">
          <cell r="B5600" t="str">
            <v>14050506090202</v>
          </cell>
          <cell r="C5600" t="str">
            <v>CL PAG. TV D/P NO REVOLV VEN CBMD       1ND</v>
          </cell>
        </row>
        <row r="5601">
          <cell r="B5601" t="str">
            <v>14050506090211</v>
          </cell>
          <cell r="C5601" t="str">
            <v>LPC REACTIVA PERU VEN CBMD\NORM         1ND</v>
          </cell>
        </row>
        <row r="5602">
          <cell r="B5602" t="str">
            <v>14050506090212</v>
          </cell>
          <cell r="C5602" t="str">
            <v>LPC REACTIVA PERU VEN CBMD\NORM         1ND</v>
          </cell>
        </row>
        <row r="5603">
          <cell r="B5603" t="str">
            <v>14050506090213</v>
          </cell>
          <cell r="C5603" t="str">
            <v>LPC COFIDE FONDOS PERU VEN CBMD\NORM    1ND</v>
          </cell>
        </row>
        <row r="5604">
          <cell r="B5604" t="str">
            <v>14050506090214</v>
          </cell>
          <cell r="C5604" t="str">
            <v>LPC COFIDE FONDOS PERU VEN CBMD\NORM    1ND</v>
          </cell>
        </row>
        <row r="5605">
          <cell r="B5605" t="str">
            <v>14050506090215</v>
          </cell>
          <cell r="C5605" t="str">
            <v>LPC COFIDE FONDO CRECER VEN CBMD\NORM   1ND</v>
          </cell>
        </row>
        <row r="5606">
          <cell r="B5606" t="str">
            <v>14050506090216</v>
          </cell>
          <cell r="C5606" t="str">
            <v>LPC COFIDE FONDO CRECER VEN CBMD\NORM   1ND</v>
          </cell>
        </row>
        <row r="5607">
          <cell r="B5607" t="str">
            <v>14050506090217</v>
          </cell>
          <cell r="C5607" t="str">
            <v>LPC REACTIVA PERU VEN CBMD\NORM         1ND</v>
          </cell>
        </row>
        <row r="5608">
          <cell r="B5608" t="str">
            <v>14050506090218</v>
          </cell>
          <cell r="C5608" t="str">
            <v>LPC REACTIVA PERU VEN CBMD\NORM         1ND</v>
          </cell>
        </row>
        <row r="5609">
          <cell r="B5609" t="str">
            <v>14050599040101</v>
          </cell>
          <cell r="C5609" t="str">
            <v>IM SOBREG VENC CTA CTE PJ CBMD          1ND</v>
          </cell>
        </row>
        <row r="5610">
          <cell r="B5610" t="str">
            <v>14050599040102</v>
          </cell>
          <cell r="C5610" t="str">
            <v>IM SOBREG VENC CTA CTE PJ S/F CBMD      1ND</v>
          </cell>
        </row>
        <row r="5611">
          <cell r="B5611" t="str">
            <v>14050606010101</v>
          </cell>
          <cell r="C5611" t="str">
            <v>LPC VENC PAG TV RP REVOL CSOB           1ND</v>
          </cell>
        </row>
        <row r="5612">
          <cell r="B5612" t="str">
            <v>14050606010102</v>
          </cell>
          <cell r="C5612" t="str">
            <v>LPC P.TV REC.COFIDE REVOL VEN CSOB      1ND</v>
          </cell>
        </row>
        <row r="5613">
          <cell r="B5613" t="str">
            <v>14050606010103</v>
          </cell>
          <cell r="C5613" t="str">
            <v>LPC PAG TV COFIDE VENC D/P CSOB         1ND</v>
          </cell>
        </row>
        <row r="5614">
          <cell r="B5614" t="str">
            <v>14050606010104</v>
          </cell>
          <cell r="C5614" t="str">
            <v>LPC PAG TV RP MED PLAZO REVOL           1ND</v>
          </cell>
        </row>
        <row r="5615">
          <cell r="B5615" t="str">
            <v>14050606010105</v>
          </cell>
          <cell r="C5615" t="str">
            <v>LPC PAG TV RP MED PLAZO REVOL D/P       1ND</v>
          </cell>
        </row>
        <row r="5616">
          <cell r="B5616" t="str">
            <v>14050606010106</v>
          </cell>
          <cell r="C5616" t="str">
            <v>LPC PAG TV INMOBILIARIO REV             1ND</v>
          </cell>
        </row>
        <row r="5617">
          <cell r="B5617" t="str">
            <v>14050606010107</v>
          </cell>
          <cell r="C5617" t="str">
            <v>LPC PAG TV INMOBILIARIO REV D/P         1ND</v>
          </cell>
        </row>
        <row r="5618">
          <cell r="B5618" t="str">
            <v>14050606010108</v>
          </cell>
          <cell r="C5618" t="str">
            <v>LPC PAG TV REVOL EUROS                  1ND</v>
          </cell>
        </row>
        <row r="5619">
          <cell r="B5619" t="str">
            <v>14050606010109</v>
          </cell>
          <cell r="C5619" t="str">
            <v>LPC PAG TV REVOL EUROS                  1ND</v>
          </cell>
        </row>
        <row r="5620">
          <cell r="B5620" t="str">
            <v>14050606010201</v>
          </cell>
          <cell r="C5620" t="str">
            <v>CL PAG. TV D/P REVOL VEN CSOB           1ND</v>
          </cell>
        </row>
        <row r="5621">
          <cell r="B5621" t="str">
            <v>14050606010202</v>
          </cell>
          <cell r="C5621" t="str">
            <v>CL INT.GAN.POST. EX EMBAR. D/P. VEN. CCO1ND</v>
          </cell>
        </row>
        <row r="5622">
          <cell r="B5622" t="str">
            <v>14050606090101</v>
          </cell>
          <cell r="C5622" t="str">
            <v>LPC VENC PAG TV RP NO REVOL CSOB        1ND</v>
          </cell>
        </row>
        <row r="5623">
          <cell r="B5623" t="str">
            <v>14050606090102</v>
          </cell>
          <cell r="C5623" t="str">
            <v>LPC P.TV REC.COFIDE NO REVOL VEN  CSOB  1ND</v>
          </cell>
        </row>
        <row r="5624">
          <cell r="B5624" t="str">
            <v>14050606090103</v>
          </cell>
          <cell r="C5624" t="str">
            <v>LPC PAG TV COFIDE VENC D/P CSOB         1ND</v>
          </cell>
        </row>
        <row r="5625">
          <cell r="B5625" t="str">
            <v>14050606090104</v>
          </cell>
          <cell r="C5625" t="str">
            <v>LPC PAG TV RP MED PLAZO NO REV          1ND</v>
          </cell>
        </row>
        <row r="5626">
          <cell r="B5626" t="str">
            <v>14050606090105</v>
          </cell>
          <cell r="C5626" t="str">
            <v>LPC PAG TV RP MED PLAZO NO REV D/P      1ND</v>
          </cell>
        </row>
        <row r="5627">
          <cell r="B5627" t="str">
            <v>14050606090106</v>
          </cell>
          <cell r="C5627" t="str">
            <v>LPC PAG TV INMOBILIARIO NO REV          1ND</v>
          </cell>
        </row>
        <row r="5628">
          <cell r="B5628" t="str">
            <v>14050606090107</v>
          </cell>
          <cell r="C5628" t="str">
            <v>LPC PAG TV INMOBILIARIO NO REV D/P      1ND</v>
          </cell>
        </row>
        <row r="5629">
          <cell r="B5629" t="str">
            <v>14050606090108</v>
          </cell>
          <cell r="C5629" t="str">
            <v>LPC PAG TV NO REVOL EUROS               1ND</v>
          </cell>
        </row>
        <row r="5630">
          <cell r="B5630" t="str">
            <v>14050606090109</v>
          </cell>
          <cell r="C5630" t="str">
            <v>LPC PAG TV NO REVOL EUROS               1ND</v>
          </cell>
        </row>
        <row r="5631">
          <cell r="B5631" t="str">
            <v>14050606090201</v>
          </cell>
          <cell r="C5631" t="str">
            <v>CL PAG TV NO REVOLV VEN CSOB            1ND</v>
          </cell>
        </row>
        <row r="5632">
          <cell r="B5632" t="str">
            <v>14050606090202</v>
          </cell>
          <cell r="C5632" t="str">
            <v>CL PAG. TV D/P NO REVOLV VEN CSOB       1ND</v>
          </cell>
        </row>
        <row r="5633">
          <cell r="B5633" t="str">
            <v>14050606090211</v>
          </cell>
          <cell r="C5633" t="str">
            <v>LPC REACTIVA PERU VEN CSOB\NORM         1ND</v>
          </cell>
        </row>
        <row r="5634">
          <cell r="B5634" t="str">
            <v>14050606090212</v>
          </cell>
          <cell r="C5634" t="str">
            <v>LPC REACTIVA PERU VEN CSOB\NORM         1ND</v>
          </cell>
        </row>
        <row r="5635">
          <cell r="B5635" t="str">
            <v>14050606090213</v>
          </cell>
          <cell r="C5635" t="str">
            <v>LPC COFIDE FONDOS PERU VEN CSOB\NORM    1ND</v>
          </cell>
        </row>
        <row r="5636">
          <cell r="B5636" t="str">
            <v>14050606090214</v>
          </cell>
          <cell r="C5636" t="str">
            <v>LPC COFIDE FONDOS PERU VEN CSOB\NORM    1ND</v>
          </cell>
        </row>
        <row r="5637">
          <cell r="B5637" t="str">
            <v>14050606090215</v>
          </cell>
          <cell r="C5637" t="str">
            <v>LPC COFIDE FONDO CRECER VEN CSOB\NORM   1ND</v>
          </cell>
        </row>
        <row r="5638">
          <cell r="B5638" t="str">
            <v>14050606090216</v>
          </cell>
          <cell r="C5638" t="str">
            <v>LPC COFIDE FONDO CRECER VEN CSOB\NORM   1ND</v>
          </cell>
        </row>
        <row r="5639">
          <cell r="B5639" t="str">
            <v>14050606090217</v>
          </cell>
          <cell r="C5639" t="str">
            <v>LPC REACTIVA PERU VEN CSOB\NORM         1ND</v>
          </cell>
        </row>
        <row r="5640">
          <cell r="B5640" t="str">
            <v>14050606090218</v>
          </cell>
          <cell r="C5640" t="str">
            <v>LPC REACTIVA PERU VEN CSOB\NORM         1ND</v>
          </cell>
        </row>
        <row r="5641">
          <cell r="B5641" t="str">
            <v>14050699040101</v>
          </cell>
          <cell r="C5641" t="str">
            <v>IM SOBREG VENC CTA CTE PJ CSOB          1ND</v>
          </cell>
        </row>
        <row r="5642">
          <cell r="B5642" t="str">
            <v>14050699040102</v>
          </cell>
          <cell r="C5642" t="str">
            <v>IM SOBREG VENC CTA CTE PJ S/F CSOB      1ND</v>
          </cell>
        </row>
        <row r="5643">
          <cell r="B5643" t="str">
            <v>14050702010101</v>
          </cell>
          <cell r="C5643" t="str">
            <v>TC VISA COMERC COLOC.DISP.EFECT. CESP   1ND</v>
          </cell>
        </row>
        <row r="5644">
          <cell r="B5644" t="str">
            <v>14050702010102</v>
          </cell>
          <cell r="C5644" t="str">
            <v>TC MC COMERCIAL. COLOC. CESP            1ND</v>
          </cell>
        </row>
        <row r="5645">
          <cell r="B5645" t="str">
            <v>14050702010103</v>
          </cell>
          <cell r="C5645" t="str">
            <v>TC AMEX COMERC COLOC.DISP.EFECT. CESP   1ND</v>
          </cell>
        </row>
        <row r="5646">
          <cell r="B5646" t="str">
            <v>14050702010104</v>
          </cell>
          <cell r="C5646" t="str">
            <v>TC VEA COMERCIAL. COLOC. COMPRA CESP    1ND</v>
          </cell>
        </row>
        <row r="5647">
          <cell r="B5647" t="str">
            <v>14050702010105</v>
          </cell>
          <cell r="C5647" t="str">
            <v>TC AMEX D/E CUOTAS VEN CESP             1ND</v>
          </cell>
        </row>
        <row r="5648">
          <cell r="B5648" t="str">
            <v>14050702010106</v>
          </cell>
          <cell r="C5648" t="str">
            <v>TC AMEX D/E REV VEN CESP                1ND</v>
          </cell>
        </row>
        <row r="5649">
          <cell r="B5649" t="str">
            <v>14050702010107</v>
          </cell>
          <cell r="C5649" t="str">
            <v>TC MC D/E CUOTAS VEN CESP               1ND</v>
          </cell>
        </row>
        <row r="5650">
          <cell r="B5650" t="str">
            <v>14050702010108</v>
          </cell>
          <cell r="C5650" t="str">
            <v>TC MC D/E REV VEN CESP                  1ND</v>
          </cell>
        </row>
        <row r="5651">
          <cell r="B5651" t="str">
            <v>14050702010109</v>
          </cell>
          <cell r="C5651" t="str">
            <v>TC VISA D/E CUOTAS VEN CESP             1ND</v>
          </cell>
        </row>
        <row r="5652">
          <cell r="B5652" t="str">
            <v>14050702010110</v>
          </cell>
          <cell r="C5652" t="str">
            <v>TC VISA D/E REV VEN CESP                1ND</v>
          </cell>
        </row>
        <row r="5653">
          <cell r="B5653" t="str">
            <v>14050702010111</v>
          </cell>
          <cell r="C5653" t="str">
            <v>JCC PRE JUD TC.MASTER PJ CONSU CESP     1ND</v>
          </cell>
        </row>
        <row r="5654">
          <cell r="B5654" t="str">
            <v>14050702010112</v>
          </cell>
          <cell r="C5654" t="str">
            <v>JCC PRE JUD TC VISA PJ CONSUM. CESP     1ND</v>
          </cell>
        </row>
        <row r="5655">
          <cell r="B5655" t="str">
            <v>14050702010113</v>
          </cell>
          <cell r="C5655" t="str">
            <v>JCC PRE JUD TC.AMEX PJ CONSU CESP       1ND</v>
          </cell>
        </row>
        <row r="5656">
          <cell r="B5656" t="str">
            <v>14050702010114</v>
          </cell>
          <cell r="C5656" t="str">
            <v>JCC PRE JUD TC.MASTER PJ DISP EFEC CESP 1ND</v>
          </cell>
        </row>
        <row r="5657">
          <cell r="B5657" t="str">
            <v>14050702010115</v>
          </cell>
          <cell r="C5657" t="str">
            <v>JCC PRE JUD TC VISA PJ DISP EFEC CESP   1ND</v>
          </cell>
        </row>
        <row r="5658">
          <cell r="B5658" t="str">
            <v>14050702010116</v>
          </cell>
          <cell r="C5658" t="str">
            <v>JCC PRE JUD TC.AMEX PJ DISP EFEC CESP   1ND</v>
          </cell>
        </row>
        <row r="5659">
          <cell r="B5659" t="str">
            <v>14050702010201</v>
          </cell>
          <cell r="C5659" t="str">
            <v>CL PRE JUD TC VISA PJ DISP EFEC CESP    1ND</v>
          </cell>
        </row>
        <row r="5660">
          <cell r="B5660" t="str">
            <v>14050702010202</v>
          </cell>
          <cell r="C5660" t="str">
            <v>CL PRE JUD TC.AMEX PJ DISP EFEC CESP    1ND</v>
          </cell>
        </row>
        <row r="5661">
          <cell r="B5661" t="str">
            <v>14050702010203</v>
          </cell>
          <cell r="C5661" t="str">
            <v>CL PRE JUD TC.MASTER PJ DISP EFEC CESP  1ND</v>
          </cell>
        </row>
        <row r="5662">
          <cell r="B5662" t="str">
            <v>14050702020101</v>
          </cell>
          <cell r="C5662" t="str">
            <v>TC VISA COMERCIAL COLOC.COMPRAS CESP    1ND</v>
          </cell>
        </row>
        <row r="5663">
          <cell r="B5663" t="str">
            <v>14050702020102</v>
          </cell>
          <cell r="C5663" t="str">
            <v>TC MC COMERCIAL. COLOC. COMPRA CESP     1ND</v>
          </cell>
        </row>
        <row r="5664">
          <cell r="B5664" t="str">
            <v>14050702020103</v>
          </cell>
          <cell r="C5664" t="str">
            <v>TC AMEX COMERCIAL COLOC.COMPRAS CESP    1ND</v>
          </cell>
        </row>
        <row r="5665">
          <cell r="B5665" t="str">
            <v>14050702020104</v>
          </cell>
          <cell r="C5665" t="str">
            <v>TC VEA COMERCIAL. COLOC. COMPRA CESP    1ND</v>
          </cell>
        </row>
        <row r="5666">
          <cell r="B5666" t="str">
            <v>14050702020105</v>
          </cell>
          <cell r="C5666" t="str">
            <v>TC AMEX COMPRA CUOTAS VEN CESP          1ND</v>
          </cell>
        </row>
        <row r="5667">
          <cell r="B5667" t="str">
            <v>14050702020106</v>
          </cell>
          <cell r="C5667" t="str">
            <v>TC AMEX COMPRA REV VEN CESP             1ND</v>
          </cell>
        </row>
        <row r="5668">
          <cell r="B5668" t="str">
            <v>14050702020107</v>
          </cell>
          <cell r="C5668" t="str">
            <v>TC MC COMPRA CUOTAS VEN CESP            1ND</v>
          </cell>
        </row>
        <row r="5669">
          <cell r="B5669" t="str">
            <v>14050702020108</v>
          </cell>
          <cell r="C5669" t="str">
            <v>TC MC COMPRA REV VEN CESP               1ND</v>
          </cell>
        </row>
        <row r="5670">
          <cell r="B5670" t="str">
            <v>14050702020109</v>
          </cell>
          <cell r="C5670" t="str">
            <v>TC VISA COMPRA CUOTAS VEN CESP          1ND</v>
          </cell>
        </row>
        <row r="5671">
          <cell r="B5671" t="str">
            <v>14050702020110</v>
          </cell>
          <cell r="C5671" t="str">
            <v>TC VISA COMPRA REV VEN CESP             1ND</v>
          </cell>
        </row>
        <row r="5672">
          <cell r="B5672" t="str">
            <v>14050702020201</v>
          </cell>
          <cell r="C5672" t="str">
            <v>CL PRE JUD TC VISA PJ CONSUM. CESP      1ND</v>
          </cell>
        </row>
        <row r="5673">
          <cell r="B5673" t="str">
            <v>14050702020202</v>
          </cell>
          <cell r="C5673" t="str">
            <v>CL PRE JUD TC.AMEX PJ CONSU CESP        1ND</v>
          </cell>
        </row>
        <row r="5674">
          <cell r="B5674" t="str">
            <v>14050702020203</v>
          </cell>
          <cell r="C5674" t="str">
            <v>CL PRE JUD TC.MASTER PJ CONSU CESP      1ND</v>
          </cell>
        </row>
        <row r="5675">
          <cell r="B5675" t="str">
            <v>14050702090101</v>
          </cell>
          <cell r="C5675" t="str">
            <v>TC AMEX CDEUDA PAR VEN CESP             1ND</v>
          </cell>
        </row>
        <row r="5676">
          <cell r="B5676" t="str">
            <v>14050702090102</v>
          </cell>
          <cell r="C5676" t="str">
            <v>TC AMEX CDEUDA REV VEN CESP             1ND</v>
          </cell>
        </row>
        <row r="5677">
          <cell r="B5677" t="str">
            <v>14050702090103</v>
          </cell>
          <cell r="C5677" t="str">
            <v>TC AMEX EXTRACASH VEN CESP              1ND</v>
          </cell>
        </row>
        <row r="5678">
          <cell r="B5678" t="str">
            <v>14050702090104</v>
          </cell>
          <cell r="C5678" t="str">
            <v>TC AMEX REPROG PAR VEN CESP             1ND</v>
          </cell>
        </row>
        <row r="5679">
          <cell r="B5679" t="str">
            <v>14050702090105</v>
          </cell>
          <cell r="C5679" t="str">
            <v>TC AMEX REPROG REV VEN CESP             1ND</v>
          </cell>
        </row>
        <row r="5680">
          <cell r="B5680" t="str">
            <v>14050702090106</v>
          </cell>
          <cell r="C5680" t="str">
            <v>TC MC CDEUDA PAR VEN CESP               1ND</v>
          </cell>
        </row>
        <row r="5681">
          <cell r="B5681" t="str">
            <v>14050702090107</v>
          </cell>
          <cell r="C5681" t="str">
            <v>TC MC CDEUDA REV VEN CESP               1ND</v>
          </cell>
        </row>
        <row r="5682">
          <cell r="B5682" t="str">
            <v>14050702090108</v>
          </cell>
          <cell r="C5682" t="str">
            <v>TC MC EXTRACASH VEN CESP                1ND</v>
          </cell>
        </row>
        <row r="5683">
          <cell r="B5683" t="str">
            <v>14050702090109</v>
          </cell>
          <cell r="C5683" t="str">
            <v>TC MC REPROG PAR VEN CESP               1ND</v>
          </cell>
        </row>
        <row r="5684">
          <cell r="B5684" t="str">
            <v>14050702090110</v>
          </cell>
          <cell r="C5684" t="str">
            <v>TC MC REPROG REV VEN CESP               1ND</v>
          </cell>
        </row>
        <row r="5685">
          <cell r="B5685" t="str">
            <v>14050702090111</v>
          </cell>
          <cell r="C5685" t="str">
            <v>TC VISA CDEUDA PAR VEN CESP             1ND</v>
          </cell>
        </row>
        <row r="5686">
          <cell r="B5686" t="str">
            <v>14050702090112</v>
          </cell>
          <cell r="C5686" t="str">
            <v>TC VISA CDEUDA REV VEN CESP             1ND</v>
          </cell>
        </row>
        <row r="5687">
          <cell r="B5687" t="str">
            <v>14050702090113</v>
          </cell>
          <cell r="C5687" t="str">
            <v>TC VISA EXTRACASH VEN CESP              1ND</v>
          </cell>
        </row>
        <row r="5688">
          <cell r="B5688" t="str">
            <v>14050702090114</v>
          </cell>
          <cell r="C5688" t="str">
            <v>TC VISA REPROG PAR VEN CESP             1ND</v>
          </cell>
        </row>
        <row r="5689">
          <cell r="B5689" t="str">
            <v>14050702090115</v>
          </cell>
          <cell r="C5689" t="str">
            <v>TC VISA REPROG REV VEN CESP             1ND</v>
          </cell>
        </row>
        <row r="5690">
          <cell r="B5690" t="str">
            <v>14050704000101</v>
          </cell>
          <cell r="C5690" t="str">
            <v>CL PRE JUD SOBR CCTE. PJ VENC CESP      1ND</v>
          </cell>
        </row>
        <row r="5691">
          <cell r="B5691" t="str">
            <v>14050704000102</v>
          </cell>
          <cell r="C5691" t="str">
            <v>IM SOBREG VENC CTA CTE PJ S/F CESP      1ND</v>
          </cell>
        </row>
        <row r="5692">
          <cell r="B5692" t="str">
            <v>14050704000201</v>
          </cell>
          <cell r="C5692" t="str">
            <v>IM SOBREG VENC CTA CTE PJ CESP          1ND</v>
          </cell>
        </row>
        <row r="5693">
          <cell r="B5693" t="str">
            <v>14050704000202</v>
          </cell>
          <cell r="C5693" t="str">
            <v>IM SOBREG VENC CTA CTE PJ S/F CESP      1ND</v>
          </cell>
        </row>
        <row r="5694">
          <cell r="B5694" t="str">
            <v>14050704000301</v>
          </cell>
          <cell r="C5694" t="str">
            <v>JCC PRE JUD SOBR CCTE. PJ VENC CESP     1ND</v>
          </cell>
        </row>
        <row r="5695">
          <cell r="B5695" t="str">
            <v>14050705010101</v>
          </cell>
          <cell r="C5695" t="str">
            <v>CL PAG DSCTO VENC CESP                  1ND</v>
          </cell>
        </row>
        <row r="5696">
          <cell r="B5696" t="str">
            <v>14050705010102</v>
          </cell>
          <cell r="C5696" t="str">
            <v>CL PAG.DSCTO D/P VENC CESP              1ND</v>
          </cell>
        </row>
        <row r="5697">
          <cell r="B5697" t="str">
            <v>14050705010103</v>
          </cell>
          <cell r="C5697" t="str">
            <v>JCC PRE JUDIC DSCTO.PAG CESP            1ND</v>
          </cell>
        </row>
        <row r="5698">
          <cell r="B5698" t="str">
            <v>14050705010104</v>
          </cell>
          <cell r="C5698" t="str">
            <v>JCC PRE JUDIC DSCTO.LETRAS VENC CESP GL71ND</v>
          </cell>
        </row>
        <row r="5699">
          <cell r="B5699" t="str">
            <v>14050705010105</v>
          </cell>
          <cell r="C5699" t="str">
            <v>LPC PAG.TSA.DSCTO D/P VENC CESP         1ND</v>
          </cell>
        </row>
        <row r="5700">
          <cell r="B5700" t="str">
            <v>14050705010106</v>
          </cell>
          <cell r="C5700" t="str">
            <v>LPC PAG.TSA.DSCTO VENC CESP             1ND</v>
          </cell>
        </row>
        <row r="5701">
          <cell r="B5701" t="str">
            <v>14050705010201</v>
          </cell>
          <cell r="C5701" t="str">
            <v>CL PRE JUDIC DSCTO.PAG CESP             1ND</v>
          </cell>
        </row>
        <row r="5702">
          <cell r="B5702" t="str">
            <v>14050705020101</v>
          </cell>
          <cell r="C5702" t="str">
            <v>PR LETRAS  DSCTO VC   CESP              1ND</v>
          </cell>
        </row>
        <row r="5703">
          <cell r="B5703" t="str">
            <v>14050705020102</v>
          </cell>
          <cell r="C5703" t="str">
            <v>PR DSCTO ELECTR SM PERU VEN CCOR        1ND</v>
          </cell>
        </row>
        <row r="5704">
          <cell r="B5704" t="str">
            <v>14050705020104</v>
          </cell>
          <cell r="C5704" t="str">
            <v>PR LETRAS T. DESCONTADAÂ  VENCÂ Â  CESP 1ND</v>
          </cell>
        </row>
        <row r="5705">
          <cell r="B5705" t="str">
            <v>14050705020105</v>
          </cell>
          <cell r="C5705" t="str">
            <v>FCD DSCTO ELECTR VENC DUDOSO CESP       1ND</v>
          </cell>
        </row>
        <row r="5706">
          <cell r="B5706" t="str">
            <v>14050705020106</v>
          </cell>
          <cell r="C5706" t="str">
            <v>FCD DESC. LET. VENC. CESP DUPE          1ND</v>
          </cell>
        </row>
        <row r="5707">
          <cell r="B5707" t="str">
            <v>14050705020107</v>
          </cell>
          <cell r="C5707" t="str">
            <v>FCD DESC. FACT. VENC. CESP DUPE         1ND</v>
          </cell>
        </row>
        <row r="5708">
          <cell r="B5708" t="str">
            <v>14050705020108</v>
          </cell>
          <cell r="C5708" t="str">
            <v>FCD DESC. VIRTUAL VENC. CESP DUPE       1ND</v>
          </cell>
        </row>
        <row r="5709">
          <cell r="B5709" t="str">
            <v>14050705020109</v>
          </cell>
          <cell r="C5709" t="str">
            <v>FCD DESC. FACT. NEG. VENC. CESP DUPE    1ND</v>
          </cell>
        </row>
        <row r="5710">
          <cell r="B5710" t="str">
            <v>14050705020110</v>
          </cell>
          <cell r="C5710" t="str">
            <v>FCD DESC. VIRTUAL VENC. CESP NORMAL     1ND</v>
          </cell>
        </row>
        <row r="5711">
          <cell r="B5711" t="str">
            <v>14050705020201</v>
          </cell>
          <cell r="C5711" t="str">
            <v>CL PRE JUDIC DSCTO.LETRAS VENC CESP GL701ND</v>
          </cell>
        </row>
        <row r="5712">
          <cell r="B5712" t="str">
            <v>14050706010101</v>
          </cell>
          <cell r="C5712" t="str">
            <v>LPC PAG TV D/P REV VENC LPC CESP        1ND</v>
          </cell>
        </row>
        <row r="5713">
          <cell r="B5713" t="str">
            <v>14050706010102</v>
          </cell>
          <cell r="C5713" t="str">
            <v>LPC VENC PAG TV RP REVOL CESP           1ND</v>
          </cell>
        </row>
        <row r="5714">
          <cell r="B5714" t="str">
            <v>14050706010103</v>
          </cell>
          <cell r="C5714" t="str">
            <v>LPC PAG TV REF VENC REV CESP            1ND</v>
          </cell>
        </row>
        <row r="5715">
          <cell r="B5715" t="str">
            <v>14050706010104</v>
          </cell>
          <cell r="C5715" t="str">
            <v>LPC PAG TV REEST REV VENC CESP          1ND</v>
          </cell>
        </row>
        <row r="5716">
          <cell r="B5716" t="str">
            <v>14050706010105</v>
          </cell>
          <cell r="C5716" t="str">
            <v>LPC P.TV REC.COFIDE REVOL VEN CESP      1ND</v>
          </cell>
        </row>
        <row r="5717">
          <cell r="B5717" t="str">
            <v>14050706010106</v>
          </cell>
          <cell r="C5717" t="str">
            <v>LPC PAG TV COFIDE VENC D/P CESP         1ND</v>
          </cell>
        </row>
        <row r="5718">
          <cell r="B5718" t="str">
            <v>14050706010107</v>
          </cell>
          <cell r="C5718" t="str">
            <v>LPC PAG TV RP MED PLAZO REVOL           1ND</v>
          </cell>
        </row>
        <row r="5719">
          <cell r="B5719" t="str">
            <v>14050706010108</v>
          </cell>
          <cell r="C5719" t="str">
            <v>LPC PAG TV RP MED PLAZO REVOL D/P       1ND</v>
          </cell>
        </row>
        <row r="5720">
          <cell r="B5720" t="str">
            <v>14050706010109</v>
          </cell>
          <cell r="C5720" t="str">
            <v>LPC PAG TV INMOBILIARIO REV             1ND</v>
          </cell>
        </row>
        <row r="5721">
          <cell r="B5721" t="str">
            <v>14050706010110</v>
          </cell>
          <cell r="C5721" t="str">
            <v>LPC PAG TV INMOBILIARIO REV D/P         1ND</v>
          </cell>
        </row>
        <row r="5722">
          <cell r="B5722" t="str">
            <v>14050706010111</v>
          </cell>
          <cell r="C5722" t="str">
            <v>LPC PAG TV REVOL EUROS                  1ND</v>
          </cell>
        </row>
        <row r="5723">
          <cell r="B5723" t="str">
            <v>14050706010112</v>
          </cell>
          <cell r="C5723" t="str">
            <v>LPC PAG TV REVOL EUROS                  1ND</v>
          </cell>
        </row>
        <row r="5724">
          <cell r="B5724" t="str">
            <v>14050706010201</v>
          </cell>
          <cell r="C5724" t="str">
            <v>CL PAG. TV D/P REVOL VEN CESP           1ND</v>
          </cell>
        </row>
        <row r="5725">
          <cell r="B5725" t="str">
            <v>14050706010202</v>
          </cell>
          <cell r="C5725" t="str">
            <v>CL PAG TV REVOLV VEN CESP               1ND</v>
          </cell>
        </row>
        <row r="5726">
          <cell r="B5726" t="str">
            <v>14050706010203</v>
          </cell>
          <cell r="C5726" t="str">
            <v>CL PAG.TV NEG.INMOBIL REVOLV VEN CESP   1ND</v>
          </cell>
        </row>
        <row r="5727">
          <cell r="B5727" t="str">
            <v>14050706010204</v>
          </cell>
          <cell r="C5727" t="str">
            <v>CL P.TV OTROS SUSP.REVOLV VEN CESP      1ND</v>
          </cell>
        </row>
        <row r="5728">
          <cell r="B5728" t="str">
            <v>14050706010205</v>
          </cell>
          <cell r="C5728" t="str">
            <v>CL P.TV REC.COFIDE.REV VEN CESP         1ND</v>
          </cell>
        </row>
        <row r="5729">
          <cell r="B5729" t="str">
            <v>14050706010206</v>
          </cell>
          <cell r="C5729" t="str">
            <v>CL PRE JUDIC RP CAP.TRAB VENC NO REVOLV 1ND</v>
          </cell>
        </row>
        <row r="5730">
          <cell r="B5730" t="str">
            <v>14050706010207</v>
          </cell>
          <cell r="C5730" t="str">
            <v>CL PRE JUD PAG.TV.COFIDE REVOL CESP     1ND</v>
          </cell>
        </row>
        <row r="5731">
          <cell r="B5731" t="str">
            <v>14050706010301</v>
          </cell>
          <cell r="C5731" t="str">
            <v>JCC PRE JUD PAG.TV.COFIDE REVOL CESP    1ND</v>
          </cell>
        </row>
        <row r="5732">
          <cell r="B5732" t="str">
            <v>14050706010308</v>
          </cell>
          <cell r="C5732" t="str">
            <v>LPC REACTIVA PERU VEN CESP\NORM         1ND</v>
          </cell>
        </row>
        <row r="5733">
          <cell r="B5733" t="str">
            <v>14050706010309</v>
          </cell>
          <cell r="C5733" t="str">
            <v>LPC REACTIVA PERU VEN CESP\DUPE         1ND</v>
          </cell>
        </row>
        <row r="5734">
          <cell r="B5734" t="str">
            <v>14050706010310</v>
          </cell>
          <cell r="C5734" t="str">
            <v>LPC COFIDE FONDOS PERU VEN CESP\NORM    1ND</v>
          </cell>
        </row>
        <row r="5735">
          <cell r="B5735" t="str">
            <v>14050706010311</v>
          </cell>
          <cell r="C5735" t="str">
            <v>LPC COFIDE FONDOS PERU VEN CESP\DUPE    1ND</v>
          </cell>
        </row>
        <row r="5736">
          <cell r="B5736" t="str">
            <v>14050706010312</v>
          </cell>
          <cell r="C5736" t="str">
            <v>LPC COFIDE FONDO CRECER VEN CESP\NORM   1ND</v>
          </cell>
        </row>
        <row r="5737">
          <cell r="B5737" t="str">
            <v>14050706010313</v>
          </cell>
          <cell r="C5737" t="str">
            <v>LPC REACTIVA PERU VEN CESP\NORM         1ND</v>
          </cell>
        </row>
        <row r="5738">
          <cell r="B5738" t="str">
            <v>14050706020101</v>
          </cell>
          <cell r="C5738" t="str">
            <v>CL PRE JUD TV MEDI. PLZ C/FIJA CESP     1ND</v>
          </cell>
        </row>
        <row r="5739">
          <cell r="B5739" t="str">
            <v>14050706020201</v>
          </cell>
          <cell r="C5739" t="str">
            <v>JCC PRE JUD TV MEDI. PLZ C/FIJA CESP    1ND</v>
          </cell>
        </row>
        <row r="5740">
          <cell r="B5740" t="str">
            <v>14050706020202</v>
          </cell>
          <cell r="C5740" t="str">
            <v>MYP D/P CAP VENC CAP.TRAB CESP          1 D</v>
          </cell>
        </row>
        <row r="5741">
          <cell r="B5741" t="str">
            <v>14050706020203</v>
          </cell>
          <cell r="C5741" t="str">
            <v>MYP CAP.VENC CAP.TRAB.CESP              1 D</v>
          </cell>
        </row>
        <row r="5742">
          <cell r="B5742" t="str">
            <v>14050706090101</v>
          </cell>
          <cell r="C5742" t="str">
            <v>LPC PAG TV D/P VENC NO REV CESP         1ND</v>
          </cell>
        </row>
        <row r="5743">
          <cell r="B5743" t="str">
            <v>14050706090102</v>
          </cell>
          <cell r="C5743" t="str">
            <v>LPC VENC PAG TV RP NO REVOL CESP        1ND</v>
          </cell>
        </row>
        <row r="5744">
          <cell r="B5744" t="str">
            <v>14050706090103</v>
          </cell>
          <cell r="C5744" t="str">
            <v>LPC PAG TV REF VENC NO REV CESP         1ND</v>
          </cell>
        </row>
        <row r="5745">
          <cell r="B5745" t="str">
            <v>14050706090109</v>
          </cell>
          <cell r="C5745" t="str">
            <v>LPC PAG TV REEST NO REV VENC CESP       1ND</v>
          </cell>
        </row>
        <row r="5746">
          <cell r="B5746" t="str">
            <v>14050706090110</v>
          </cell>
          <cell r="C5746" t="str">
            <v>LPC P.TV REC.COFIDE NO REVOL VEN CESP   1ND</v>
          </cell>
        </row>
        <row r="5747">
          <cell r="B5747" t="str">
            <v>14050706090111</v>
          </cell>
          <cell r="C5747" t="str">
            <v>LPC PAG TV COFIDE VENC D/P CESP         1ND</v>
          </cell>
        </row>
        <row r="5748">
          <cell r="B5748" t="str">
            <v>14050706090112</v>
          </cell>
          <cell r="C5748" t="str">
            <v>LPC PAG TV RP MED PLAZO NO REV          1ND</v>
          </cell>
        </row>
        <row r="5749">
          <cell r="B5749" t="str">
            <v>14050706090113</v>
          </cell>
          <cell r="C5749" t="str">
            <v>LPC PAG TV RP MED PLAZO NO REV D/P      1ND</v>
          </cell>
        </row>
        <row r="5750">
          <cell r="B5750" t="str">
            <v>14050706090114</v>
          </cell>
          <cell r="C5750" t="str">
            <v>LPC PAG TV INMOBILIARIO NO REV          1ND</v>
          </cell>
        </row>
        <row r="5751">
          <cell r="B5751" t="str">
            <v>14050706090115</v>
          </cell>
          <cell r="C5751" t="str">
            <v>LPC PAG TV INMOBILIARIO NO REV D/P      1ND</v>
          </cell>
        </row>
        <row r="5752">
          <cell r="B5752" t="str">
            <v>14050706090116</v>
          </cell>
          <cell r="C5752" t="str">
            <v>LPC PAG TV NO REVOL EUROS               1ND</v>
          </cell>
        </row>
        <row r="5753">
          <cell r="B5753" t="str">
            <v>14050706090117</v>
          </cell>
          <cell r="C5753" t="str">
            <v>LPC PAG TV NO REVOL EUROS               1ND</v>
          </cell>
        </row>
        <row r="5754">
          <cell r="B5754" t="str">
            <v>14050706090201</v>
          </cell>
          <cell r="C5754" t="str">
            <v>CL PAG. TV D/P NO REVOLV VEN CESP       1ND</v>
          </cell>
        </row>
        <row r="5755">
          <cell r="B5755" t="str">
            <v>14050706090202</v>
          </cell>
          <cell r="C5755" t="str">
            <v>CL PAG TV NO REVOLV VEN CESP            1ND</v>
          </cell>
        </row>
        <row r="5756">
          <cell r="B5756" t="str">
            <v>14050706090203</v>
          </cell>
          <cell r="C5756" t="str">
            <v>CL PAG.TV NEG.INMOBIL NO REVOLV VEN CESP1ND</v>
          </cell>
        </row>
        <row r="5757">
          <cell r="B5757" t="str">
            <v>14050706090204</v>
          </cell>
          <cell r="C5757" t="str">
            <v>CL P.TV OTROS SUSP.NO REV VEN CESP      1ND</v>
          </cell>
        </row>
        <row r="5758">
          <cell r="B5758" t="str">
            <v>14050706090205</v>
          </cell>
          <cell r="C5758" t="str">
            <v>CL P.TV REC.COFIDE.  NO REV VEN CESP    1ND</v>
          </cell>
        </row>
        <row r="5759">
          <cell r="B5759" t="str">
            <v>14050706090206</v>
          </cell>
          <cell r="C5759" t="str">
            <v>CL PRE JUDIC RP CAP.TRAB VENC NO REVOLV 1ND</v>
          </cell>
        </row>
        <row r="5760">
          <cell r="B5760" t="str">
            <v>14050706090207</v>
          </cell>
          <cell r="C5760" t="str">
            <v>CL PRE JUD PAG.TV.COFIDE NO REVOL CESP  1ND</v>
          </cell>
        </row>
        <row r="5761">
          <cell r="B5761" t="str">
            <v>14050706090208</v>
          </cell>
          <cell r="C5761" t="str">
            <v>CL PRE JUDIC CARTA FIANZA VENC CESP GL701ND</v>
          </cell>
        </row>
        <row r="5762">
          <cell r="B5762" t="str">
            <v>14050706090301</v>
          </cell>
          <cell r="C5762" t="str">
            <v>JCC PRE JUDIC RP CAP.TRAB VENC NO REVOLV1ND</v>
          </cell>
        </row>
        <row r="5763">
          <cell r="B5763" t="str">
            <v>14050706090302</v>
          </cell>
          <cell r="C5763" t="str">
            <v>JCC PRE JUDIC RP CAP.TRAB VENC NO REVOLV1ND</v>
          </cell>
        </row>
        <row r="5764">
          <cell r="B5764" t="str">
            <v>14050706090303</v>
          </cell>
          <cell r="C5764" t="str">
            <v>JCC PRE JUD PAG.TV.COFIDE NO REVOL CESP 1ND</v>
          </cell>
        </row>
        <row r="5765">
          <cell r="B5765" t="str">
            <v>14050706090310</v>
          </cell>
          <cell r="C5765" t="str">
            <v>LPC REACTIVA PERU VEN CESP\NORM         1ND</v>
          </cell>
        </row>
        <row r="5766">
          <cell r="B5766" t="str">
            <v>14050706090311</v>
          </cell>
          <cell r="C5766" t="str">
            <v>LPC REACTIVA PERU VEN CESP\DUPE         1ND</v>
          </cell>
        </row>
        <row r="5767">
          <cell r="B5767" t="str">
            <v>14050706090312</v>
          </cell>
          <cell r="C5767" t="str">
            <v>LPC COFIDE FONDOS PERU VEN CESP\NORM    1ND</v>
          </cell>
        </row>
        <row r="5768">
          <cell r="B5768" t="str">
            <v>14050706090313</v>
          </cell>
          <cell r="C5768" t="str">
            <v>LPC COFIDE FONDOS PERU VEN CESP\DUPE    1ND</v>
          </cell>
        </row>
        <row r="5769">
          <cell r="B5769" t="str">
            <v>14050706090314</v>
          </cell>
          <cell r="C5769" t="str">
            <v>LPC COFIDE FONDO CRECER VEN CESP\NORM   1ND</v>
          </cell>
        </row>
        <row r="5770">
          <cell r="B5770" t="str">
            <v>14050706090315</v>
          </cell>
          <cell r="C5770" t="str">
            <v>LPC REACTIVA PERU VEN CESP\NORM         1ND</v>
          </cell>
        </row>
        <row r="5771">
          <cell r="B5771" t="str">
            <v>14050710000101</v>
          </cell>
          <cell r="C5771" t="str">
            <v>PR FACT EN FACTORING VENC C/P CESP      1ND</v>
          </cell>
        </row>
        <row r="5772">
          <cell r="B5772" t="str">
            <v>14050710000102</v>
          </cell>
          <cell r="C5772" t="str">
            <v>PR FACT ELECTR LET/FACT VEN CESP        1ND</v>
          </cell>
        </row>
        <row r="5773">
          <cell r="B5773" t="str">
            <v>14050710000103</v>
          </cell>
          <cell r="C5773" t="str">
            <v>PR LETRAS FACTORING VEN CESP            1ND</v>
          </cell>
        </row>
        <row r="5774">
          <cell r="B5774" t="str">
            <v>14050710000104</v>
          </cell>
          <cell r="C5774" t="str">
            <v>PR FACT INTERN VENC CESP                1ND</v>
          </cell>
        </row>
        <row r="5775">
          <cell r="B5775" t="str">
            <v>14050710000105</v>
          </cell>
          <cell r="C5775" t="str">
            <v>PR PERU FACTORING CAP VEN CESP          1ND</v>
          </cell>
        </row>
        <row r="5776">
          <cell r="B5776" t="str">
            <v>14050710000106</v>
          </cell>
          <cell r="C5776" t="str">
            <v>PR FORFAITING EXPORTACIÃ“N VENC CESP    1ND</v>
          </cell>
        </row>
        <row r="5777">
          <cell r="B5777" t="str">
            <v>14050710000107</v>
          </cell>
          <cell r="C5777" t="str">
            <v>FCD FACT INTER EXPO VENC NORMCESP       1ND</v>
          </cell>
        </row>
        <row r="5778">
          <cell r="B5778" t="str">
            <v>14050710000108</v>
          </cell>
          <cell r="C5778" t="str">
            <v>FCD FORFAITING EXPO VENC NORM  CESP     1ND</v>
          </cell>
        </row>
        <row r="5779">
          <cell r="B5779" t="str">
            <v>14050710000109</v>
          </cell>
          <cell r="C5779" t="str">
            <v>FCD FACT INTER EXPO VENC DUPECESP       1ND</v>
          </cell>
        </row>
        <row r="5780">
          <cell r="B5780" t="str">
            <v>14050710000110</v>
          </cell>
          <cell r="C5780" t="str">
            <v>FCD FORFAITING EXPO VENC DUPE  CESP     1ND</v>
          </cell>
        </row>
        <row r="5781">
          <cell r="B5781" t="str">
            <v>14050710000111</v>
          </cell>
          <cell r="C5781" t="str">
            <v>FCD CONFIRMING INTERNACIONAL VENC NORM C1ND</v>
          </cell>
        </row>
        <row r="5782">
          <cell r="B5782" t="str">
            <v>14050710000112</v>
          </cell>
          <cell r="C5782" t="str">
            <v>FCD CONFIRMING INTERNACIONAL VENC DUPE C1ND</v>
          </cell>
        </row>
        <row r="5783">
          <cell r="B5783" t="str">
            <v>14050710000201</v>
          </cell>
          <cell r="C5783" t="str">
            <v>CL PRE JUDIC FACTORING LET VENC CESP GL71ND</v>
          </cell>
        </row>
        <row r="5784">
          <cell r="B5784" t="str">
            <v>14050710000202</v>
          </cell>
          <cell r="C5784" t="str">
            <v>CL PRE JUDIC FACTORING FACT VENC CESP GL1ND</v>
          </cell>
        </row>
        <row r="5785">
          <cell r="B5785" t="str">
            <v>14050710000203</v>
          </cell>
          <cell r="C5785" t="str">
            <v>CL EX FACTORING FORFAITING VEN CESP     1ND</v>
          </cell>
        </row>
        <row r="5786">
          <cell r="B5786" t="str">
            <v>14050710000204</v>
          </cell>
          <cell r="C5786" t="str">
            <v>CL CONFIRMING INTER  VENC CESP          1ND</v>
          </cell>
        </row>
        <row r="5787">
          <cell r="B5787" t="str">
            <v>14050710000301</v>
          </cell>
          <cell r="C5787" t="str">
            <v>JCC PRE JUDIC FACTORING LET VENC CESP GL1ND</v>
          </cell>
        </row>
        <row r="5788">
          <cell r="B5788" t="str">
            <v>14050710000302</v>
          </cell>
          <cell r="C5788" t="str">
            <v>JCC PRE JUDIC FACTORING FACT VENC CESP G1ND</v>
          </cell>
        </row>
        <row r="5789">
          <cell r="B5789" t="str">
            <v>14050710000401</v>
          </cell>
          <cell r="C5789" t="str">
            <v>FCD FACT ELECTR VENC DUDOSO CESP        1ND</v>
          </cell>
        </row>
        <row r="5790">
          <cell r="B5790" t="str">
            <v>14050710000402</v>
          </cell>
          <cell r="C5790" t="str">
            <v>FCD fAC. FIS. LET. VENC. CESP DUPE      1ND</v>
          </cell>
        </row>
        <row r="5791">
          <cell r="B5791" t="str">
            <v>14050710000403</v>
          </cell>
          <cell r="C5791" t="str">
            <v>FCD FAC. FIS. fAC.. VENC. CESP DUPE     1ND</v>
          </cell>
        </row>
        <row r="5792">
          <cell r="B5792" t="str">
            <v>14050710000404</v>
          </cell>
          <cell r="C5792" t="str">
            <v>FACT INTER IMPORT VENC. CESP DUPE       1ND</v>
          </cell>
        </row>
        <row r="5793">
          <cell r="B5793" t="str">
            <v>14050710000405</v>
          </cell>
          <cell r="C5793" t="str">
            <v>FACT INTER IMPORT  VENC. CESP NORMAL    1ND</v>
          </cell>
        </row>
        <row r="5794">
          <cell r="B5794" t="str">
            <v>14050711000101</v>
          </cell>
          <cell r="C5794" t="str">
            <v>LPC LEASING INT DIFERIDOS VENC RP CESP  1ND</v>
          </cell>
        </row>
        <row r="5795">
          <cell r="B5795" t="str">
            <v>14050711000102</v>
          </cell>
          <cell r="C5795" t="str">
            <v>LPC LEASING SEGURO INT DIF VENC RP CESP 1ND</v>
          </cell>
        </row>
        <row r="5796">
          <cell r="B5796" t="str">
            <v>14050711000103</v>
          </cell>
          <cell r="C5796" t="str">
            <v>LPC LEASING VENC SEGUROS RP CESP        1ND</v>
          </cell>
        </row>
        <row r="5797">
          <cell r="B5797" t="str">
            <v>14050711000104</v>
          </cell>
          <cell r="C5797" t="str">
            <v>LPC LEASING VENC IGV RP CESP            1ND</v>
          </cell>
        </row>
        <row r="5798">
          <cell r="B5798" t="str">
            <v>14050711000105</v>
          </cell>
          <cell r="C5798" t="str">
            <v>LPC LEASING DEL BIEN VENC RP CESP       1ND</v>
          </cell>
        </row>
        <row r="5799">
          <cell r="B5799" t="str">
            <v>14050711000106</v>
          </cell>
          <cell r="C5799" t="str">
            <v>LPC LEAS D/P INT DIF VENC RP CESP       1ND</v>
          </cell>
        </row>
        <row r="5800">
          <cell r="B5800" t="str">
            <v>14050711000107</v>
          </cell>
          <cell r="C5800" t="str">
            <v>LPC LEAS D/P SEG INT DIF VENC RP CESP   1ND</v>
          </cell>
        </row>
        <row r="5801">
          <cell r="B5801" t="str">
            <v>14050711000108</v>
          </cell>
          <cell r="C5801" t="str">
            <v>LPC LEASING VENC D/P SEG RP CESP        1ND</v>
          </cell>
        </row>
        <row r="5802">
          <cell r="B5802" t="str">
            <v>14050711000109</v>
          </cell>
          <cell r="C5802" t="str">
            <v>LPC LEAS DEL BIEN VENC D/P RP CESP      1ND</v>
          </cell>
        </row>
        <row r="5803">
          <cell r="B5803" t="str">
            <v>14050711000110</v>
          </cell>
          <cell r="C5803" t="str">
            <v>LPC LEASING VENC D/P IGV RP CESP        1ND</v>
          </cell>
        </row>
        <row r="5804">
          <cell r="B5804" t="str">
            <v>14050711000201</v>
          </cell>
          <cell r="C5804" t="str">
            <v>LPC LEASING COFIDE INT DIF VENC PDL CESP1ND</v>
          </cell>
        </row>
        <row r="5805">
          <cell r="B5805" t="str">
            <v>14050711000202</v>
          </cell>
          <cell r="C5805" t="str">
            <v>LPC LEASING COFIDE SEGURO INT DIF VENC P1ND</v>
          </cell>
        </row>
        <row r="5806">
          <cell r="B5806" t="str">
            <v>14050711000203</v>
          </cell>
          <cell r="C5806" t="str">
            <v>LPC LEASING COFIDE VENC SEGUROS PSG CESP1ND</v>
          </cell>
        </row>
        <row r="5807">
          <cell r="B5807" t="str">
            <v>14050711000204</v>
          </cell>
          <cell r="C5807" t="str">
            <v>LPC LEASING COFIDE VENC IGV PIG CESP    1ND</v>
          </cell>
        </row>
        <row r="5808">
          <cell r="B5808" t="str">
            <v>14050711000205</v>
          </cell>
          <cell r="C5808" t="str">
            <v>LPC LEASING COFIDE VENC PRI CESP        1ND</v>
          </cell>
        </row>
        <row r="5809">
          <cell r="B5809" t="str">
            <v>14050711000206</v>
          </cell>
          <cell r="C5809" t="str">
            <v>LPC LS COFIDE D/P INT DIF VENC PDL CESP 1ND</v>
          </cell>
        </row>
        <row r="5810">
          <cell r="B5810" t="str">
            <v>14050711000207</v>
          </cell>
          <cell r="C5810" t="str">
            <v>LPC LS COFIDE D/P SEG INT DIF VENC PDS C1ND</v>
          </cell>
        </row>
        <row r="5811">
          <cell r="B5811" t="str">
            <v>14050711000208</v>
          </cell>
          <cell r="C5811" t="str">
            <v>LPC LEASING COFIDE VENC D/P SEG PSG CESP1ND</v>
          </cell>
        </row>
        <row r="5812">
          <cell r="B5812" t="str">
            <v>14050711000209</v>
          </cell>
          <cell r="C5812" t="str">
            <v>LPC LEASING COFIDE VENC D/P IGV PIG CESP1ND</v>
          </cell>
        </row>
        <row r="5813">
          <cell r="B5813" t="str">
            <v>14050711000210</v>
          </cell>
          <cell r="C5813" t="str">
            <v>LPC LEASING COFIDE VENC D/P PRI CESP    1ND</v>
          </cell>
        </row>
        <row r="5814">
          <cell r="B5814" t="str">
            <v>14050719060101</v>
          </cell>
          <cell r="C5814" t="str">
            <v>PAG TV REFINANCIADO VENC - LPC CESP     1ND</v>
          </cell>
        </row>
        <row r="5815">
          <cell r="B5815" t="str">
            <v>14050719060102</v>
          </cell>
          <cell r="C5815" t="str">
            <v>$CL PAG.REF.TV VENC CMED                1ND</v>
          </cell>
        </row>
        <row r="5816">
          <cell r="B5816" t="str">
            <v>14050721000101</v>
          </cell>
          <cell r="C5816" t="str">
            <v>CL CXL CC ACEPTAC BKT  VEN CESP         1ND</v>
          </cell>
        </row>
        <row r="5817">
          <cell r="B5817" t="str">
            <v>14050721000102</v>
          </cell>
          <cell r="C5817" t="str">
            <v>CL CXL AVAL X ACEPTAC VENC CESP         1ND</v>
          </cell>
        </row>
        <row r="5818">
          <cell r="B5818" t="str">
            <v>14050721000103</v>
          </cell>
          <cell r="C5818" t="str">
            <v>CL CXL CRED. X LIQUI.CC AVAL VEN CESP   1ND</v>
          </cell>
        </row>
        <row r="5819">
          <cell r="B5819" t="str">
            <v>14050721000104</v>
          </cell>
          <cell r="C5819" t="str">
            <v>CL CXL.CAR CRED VISTA VEN CESP          1ND</v>
          </cell>
        </row>
        <row r="5820">
          <cell r="B5820" t="str">
            <v>14050721000105</v>
          </cell>
          <cell r="C5820" t="str">
            <v>CL CXL.STAND BY VEN CESP                1ND</v>
          </cell>
        </row>
        <row r="5821">
          <cell r="B5821" t="str">
            <v>14050721000106</v>
          </cell>
          <cell r="C5821" t="str">
            <v>CL CXL.COBRA AVALA VEN CESP             1ND</v>
          </cell>
        </row>
        <row r="5822">
          <cell r="B5822" t="str">
            <v>14050721000201</v>
          </cell>
          <cell r="C5822" t="str">
            <v>CL CRED.POR LIQ. CARTA FIANZA VEN CESP  1ND</v>
          </cell>
        </row>
        <row r="5823">
          <cell r="B5823" t="str">
            <v>14050721000202</v>
          </cell>
          <cell r="C5823" t="str">
            <v>JCC COB.PRE.JUD. CARTA FIANZA CESP      1ND</v>
          </cell>
        </row>
        <row r="5824">
          <cell r="B5824" t="str">
            <v>14050722060101</v>
          </cell>
          <cell r="C5824" t="str">
            <v>LPC PAG TV REESTRUC COFIDE VENC CESP    1ND</v>
          </cell>
        </row>
        <row r="5825">
          <cell r="B5825" t="str">
            <v>14050726000101</v>
          </cell>
          <cell r="C5825" t="str">
            <v>LPC PAG IMPORT.D/P VENC CESP            1ND</v>
          </cell>
        </row>
        <row r="5826">
          <cell r="B5826" t="str">
            <v>14050726000102</v>
          </cell>
          <cell r="C5826" t="str">
            <v>LPC PAG.VENC EX PRE EMB D/P CESP        1ND</v>
          </cell>
        </row>
        <row r="5827">
          <cell r="B5827" t="str">
            <v>14050726000103</v>
          </cell>
          <cell r="C5827" t="str">
            <v>LPC PAG EXP POST EMB RP D/P CESP        1ND</v>
          </cell>
        </row>
        <row r="5828">
          <cell r="B5828" t="str">
            <v>14050726000104</v>
          </cell>
          <cell r="C5828" t="str">
            <v>LPC PAG EXP PRE EM.RP VEN CESP          1ND</v>
          </cell>
        </row>
        <row r="5829">
          <cell r="B5829" t="str">
            <v>14050726000105</v>
          </cell>
          <cell r="C5829" t="str">
            <v>LPC PAG EXP POST EMB RP CESP VENC       1ND</v>
          </cell>
        </row>
        <row r="5830">
          <cell r="B5830" t="str">
            <v>14050726000106</v>
          </cell>
          <cell r="C5830" t="str">
            <v>LPC WORK CAP. EX PRE EMB.VEN CESP       1ND</v>
          </cell>
        </row>
        <row r="5831">
          <cell r="B5831" t="str">
            <v>14050726000107</v>
          </cell>
          <cell r="C5831" t="str">
            <v>LPC FINANC PRE EMBARQUE                 1ND</v>
          </cell>
        </row>
        <row r="5832">
          <cell r="B5832" t="str">
            <v>14050726000108</v>
          </cell>
          <cell r="C5832" t="str">
            <v>LPC FINANC PRE EMBARQUE  D/P            1ND</v>
          </cell>
        </row>
        <row r="5833">
          <cell r="B5833" t="str">
            <v>14050726000109</v>
          </cell>
          <cell r="C5833" t="str">
            <v>LPC FINANC PRE EMBARQUE-SEPYMEX CESP    1ND</v>
          </cell>
        </row>
        <row r="5834">
          <cell r="B5834" t="str">
            <v>14050726000110</v>
          </cell>
          <cell r="C5834" t="str">
            <v>LPC FINANC PRE EMBARQUE  D/P-SEPYMEX CES1ND</v>
          </cell>
        </row>
        <row r="5835">
          <cell r="B5835" t="str">
            <v>14050726000111</v>
          </cell>
          <cell r="C5835" t="str">
            <v>LPC PRE EMBARQUE FINANC. VEN. NORM CESP 1ND</v>
          </cell>
        </row>
        <row r="5836">
          <cell r="B5836" t="str">
            <v>14050726000112</v>
          </cell>
          <cell r="C5836" t="str">
            <v>LPC PRE EMBARQUE FINANC. VEN. DUPE CESP 1ND</v>
          </cell>
        </row>
        <row r="5837">
          <cell r="B5837" t="str">
            <v>14050726000113</v>
          </cell>
          <cell r="C5837" t="str">
            <v>LPC POST EMBARQUE FINANC. VEN. NORM CESP1ND</v>
          </cell>
        </row>
        <row r="5838">
          <cell r="B5838" t="str">
            <v>14050726000114</v>
          </cell>
          <cell r="C5838" t="str">
            <v>LPC POST EMBARQUE FINANC. VEN. DUPE CESP1ND</v>
          </cell>
        </row>
        <row r="5839">
          <cell r="B5839" t="str">
            <v>14050726000115</v>
          </cell>
          <cell r="C5839" t="str">
            <v>LPC IMPORT. CARTA CREDITO  FINANC. VEN. 1ND</v>
          </cell>
        </row>
        <row r="5840">
          <cell r="B5840" t="str">
            <v>14050726000116</v>
          </cell>
          <cell r="C5840" t="str">
            <v>LPC IMPORT. CARTA CREDITO  FINANC. VEN. 1ND</v>
          </cell>
        </row>
        <row r="5841">
          <cell r="B5841" t="str">
            <v>14050726000117</v>
          </cell>
          <cell r="C5841" t="str">
            <v>LPC IMPORT.  FINANC. VEN. NORM CESP     1ND</v>
          </cell>
        </row>
        <row r="5842">
          <cell r="B5842" t="str">
            <v>14050726000118</v>
          </cell>
          <cell r="C5842" t="str">
            <v>LPC IMPORT.  FINANC. VEN. DUPE CESP     1ND</v>
          </cell>
        </row>
        <row r="5843">
          <cell r="B5843" t="str">
            <v>14050726000201</v>
          </cell>
          <cell r="C5843" t="str">
            <v>CL PRE JUDIC PREST EXPORT VENC CESP GL701ND</v>
          </cell>
        </row>
        <row r="5844">
          <cell r="B5844" t="str">
            <v>14050726000202</v>
          </cell>
          <cell r="C5844" t="str">
            <v>CL PRE JUDIC PAG.IMPORT VENC CESP GL70031ND</v>
          </cell>
        </row>
        <row r="5845">
          <cell r="B5845" t="str">
            <v>14050726000203</v>
          </cell>
          <cell r="C5845" t="str">
            <v>CL PRE JUDIC CARTAS CRED VENC CESP GL7001ND</v>
          </cell>
        </row>
        <row r="5846">
          <cell r="B5846" t="str">
            <v>14050726000204</v>
          </cell>
          <cell r="C5846" t="str">
            <v>CL PRE JUDIC CARTA FIANZA VENC CESP GL701ND</v>
          </cell>
        </row>
        <row r="5847">
          <cell r="B5847" t="str">
            <v>14050726000205</v>
          </cell>
          <cell r="C5847" t="str">
            <v>CL PRE JUDIC PAG.IMPORT VENC CESP GL70031ND</v>
          </cell>
        </row>
        <row r="5848">
          <cell r="B5848" t="str">
            <v>14050726000206</v>
          </cell>
          <cell r="C5848" t="str">
            <v>CL PAG.PRE EX EMBAR. D/P. VEN. CESP     1ND</v>
          </cell>
        </row>
        <row r="5849">
          <cell r="B5849" t="str">
            <v>14050726000207</v>
          </cell>
          <cell r="C5849" t="str">
            <v>CL PAG.POST. EX EMBAR. D/P. VEN. CCOR   1ND</v>
          </cell>
        </row>
        <row r="5850">
          <cell r="B5850" t="str">
            <v>14050726000208</v>
          </cell>
          <cell r="C5850" t="str">
            <v>CL EX VEN PAG.IMPORTAC.D/P CESP         1ND</v>
          </cell>
        </row>
        <row r="5851">
          <cell r="B5851" t="str">
            <v>14050726000209</v>
          </cell>
          <cell r="C5851" t="str">
            <v>CL PAG IMPOR VENC CESP                  1ND</v>
          </cell>
        </row>
        <row r="5852">
          <cell r="B5852" t="str">
            <v>14050726000301</v>
          </cell>
          <cell r="C5852" t="str">
            <v>JCC PRE JUDIC PREST EXPORT VENC CESP GL71ND</v>
          </cell>
        </row>
        <row r="5853">
          <cell r="B5853" t="str">
            <v>14050726000302</v>
          </cell>
          <cell r="C5853" t="str">
            <v>JCC PRE JUDIC PAG.IMPORT VENC CESP GL7001ND</v>
          </cell>
        </row>
        <row r="5854">
          <cell r="B5854" t="str">
            <v>14050726000303</v>
          </cell>
          <cell r="C5854" t="str">
            <v>JCC PRE JUDIC CARTAS CRED VENC CESP GL701ND</v>
          </cell>
        </row>
        <row r="5855">
          <cell r="B5855" t="str">
            <v>14050726000304</v>
          </cell>
          <cell r="C5855" t="str">
            <v>JCC PRE JUDIC CARTA FIANZA VENC CESP GL71ND</v>
          </cell>
        </row>
        <row r="5856">
          <cell r="B5856" t="str">
            <v>14050802010101</v>
          </cell>
          <cell r="C5856" t="str">
            <v>TC VISA COLOC. REV. DISP.EFECT. VEN. CIV1ND</v>
          </cell>
        </row>
        <row r="5857">
          <cell r="B5857" t="str">
            <v>14050802010102</v>
          </cell>
          <cell r="C5857" t="str">
            <v>TC MC COLOC. REV. DISP.EFEC. VEN. CIVA  1ND</v>
          </cell>
        </row>
        <row r="5858">
          <cell r="B5858" t="str">
            <v>14050802010103</v>
          </cell>
          <cell r="C5858" t="str">
            <v>TC VEA COLOC. REV. DISP. EFEC. VEN. CIVA1ND</v>
          </cell>
        </row>
        <row r="5859">
          <cell r="B5859" t="str">
            <v>14050802010104</v>
          </cell>
          <cell r="C5859" t="str">
            <v>TC VISA COLOC. REV. DISP.EFECT. VEN. CIV1ND</v>
          </cell>
        </row>
        <row r="5860">
          <cell r="B5860" t="str">
            <v>14050802010105</v>
          </cell>
          <cell r="C5860" t="str">
            <v>TC AMEX D/E CUOTAS VEN CIVA             1ND</v>
          </cell>
        </row>
        <row r="5861">
          <cell r="B5861" t="str">
            <v>14050802010106</v>
          </cell>
          <cell r="C5861" t="str">
            <v>TC AMEX D/E REV VEN CIVA                1ND</v>
          </cell>
        </row>
        <row r="5862">
          <cell r="B5862" t="str">
            <v>14050802010107</v>
          </cell>
          <cell r="C5862" t="str">
            <v>TC MC D/E CUOTAS VEN CIVA               1ND</v>
          </cell>
        </row>
        <row r="5863">
          <cell r="B5863" t="str">
            <v>14050802010108</v>
          </cell>
          <cell r="C5863" t="str">
            <v>TC MC D/E REV VEN CIVA                  1ND</v>
          </cell>
        </row>
        <row r="5864">
          <cell r="B5864" t="str">
            <v>14050802010109</v>
          </cell>
          <cell r="C5864" t="str">
            <v>TC VISA D/E CUOTAS VEN CIVA             1ND</v>
          </cell>
        </row>
        <row r="5865">
          <cell r="B5865" t="str">
            <v>14050802010110</v>
          </cell>
          <cell r="C5865" t="str">
            <v>TC VISA D/E REV VEN CIVA                1ND</v>
          </cell>
        </row>
        <row r="5866">
          <cell r="B5866" t="str">
            <v>14050802020101</v>
          </cell>
          <cell r="C5866" t="str">
            <v>TC AMEX COLOC. REV. COMPRAS VEN. CIVA   1ND</v>
          </cell>
        </row>
        <row r="5867">
          <cell r="B5867" t="str">
            <v>14050802020102</v>
          </cell>
          <cell r="C5867" t="str">
            <v>TC MC COLOC. REV. COMPRA  VEN. CIVA     1ND</v>
          </cell>
        </row>
        <row r="5868">
          <cell r="B5868" t="str">
            <v>14050802020103</v>
          </cell>
          <cell r="C5868" t="str">
            <v>TC VEA COLOC. REV. COMPRA VEN. CIVA     1ND</v>
          </cell>
        </row>
        <row r="5869">
          <cell r="B5869" t="str">
            <v>14050802020104</v>
          </cell>
          <cell r="C5869" t="str">
            <v>TC VISA COLOC. REV. COMPRAS VEN. CIVA   1ND</v>
          </cell>
        </row>
        <row r="5870">
          <cell r="B5870" t="str">
            <v>14050802020105</v>
          </cell>
          <cell r="C5870" t="str">
            <v>TC AMEX COMPRA CUOTAS VEN CIVA          1ND</v>
          </cell>
        </row>
        <row r="5871">
          <cell r="B5871" t="str">
            <v>14050802020106</v>
          </cell>
          <cell r="C5871" t="str">
            <v>TC AMEX COMPRA REV VEN CIVA             1ND</v>
          </cell>
        </row>
        <row r="5872">
          <cell r="B5872" t="str">
            <v>14050802020107</v>
          </cell>
          <cell r="C5872" t="str">
            <v>TC MC COMPRA CUOTAS VEN CIVA            1ND</v>
          </cell>
        </row>
        <row r="5873">
          <cell r="B5873" t="str">
            <v>14050802020108</v>
          </cell>
          <cell r="C5873" t="str">
            <v>TC MC COMPRA REV VEN CIVA               1ND</v>
          </cell>
        </row>
        <row r="5874">
          <cell r="B5874" t="str">
            <v>14050802020109</v>
          </cell>
          <cell r="C5874" t="str">
            <v>TC VISA COMPRA CUOTAS VEN CIVA          1ND</v>
          </cell>
        </row>
        <row r="5875">
          <cell r="B5875" t="str">
            <v>14050802020110</v>
          </cell>
          <cell r="C5875" t="str">
            <v>TC VISA COMPRA REV VEN CIVA             1ND</v>
          </cell>
        </row>
        <row r="5876">
          <cell r="B5876" t="str">
            <v>14050802090101</v>
          </cell>
          <cell r="C5876" t="str">
            <v>TC AMEX CDEUDA PAR VEN CIVA             1ND</v>
          </cell>
        </row>
        <row r="5877">
          <cell r="B5877" t="str">
            <v>14050802090102</v>
          </cell>
          <cell r="C5877" t="str">
            <v>TC AMEX CDEUDA REV VEN CIVA             1ND</v>
          </cell>
        </row>
        <row r="5878">
          <cell r="B5878" t="str">
            <v>14050802090103</v>
          </cell>
          <cell r="C5878" t="str">
            <v>TC AMEX EXTRACASH VEN CIVA              1ND</v>
          </cell>
        </row>
        <row r="5879">
          <cell r="B5879" t="str">
            <v>14050802090104</v>
          </cell>
          <cell r="C5879" t="str">
            <v>TC AMEX REPROG PAR VEN CIVA             1ND</v>
          </cell>
        </row>
        <row r="5880">
          <cell r="B5880" t="str">
            <v>14050802090105</v>
          </cell>
          <cell r="C5880" t="str">
            <v>TC AMEX REPROG REV VEN CIVA             1ND</v>
          </cell>
        </row>
        <row r="5881">
          <cell r="B5881" t="str">
            <v>14050802090106</v>
          </cell>
          <cell r="C5881" t="str">
            <v>TC MC CDEUDA PAR VEN CIVA               1ND</v>
          </cell>
        </row>
        <row r="5882">
          <cell r="B5882" t="str">
            <v>14050802090107</v>
          </cell>
          <cell r="C5882" t="str">
            <v>TC MC CDEUDA REV VEN CIVA               1ND</v>
          </cell>
        </row>
        <row r="5883">
          <cell r="B5883" t="str">
            <v>14050802090108</v>
          </cell>
          <cell r="C5883" t="str">
            <v>TC MC EXTRACASH VEN CIVA                1ND</v>
          </cell>
        </row>
        <row r="5884">
          <cell r="B5884" t="str">
            <v>14050802090109</v>
          </cell>
          <cell r="C5884" t="str">
            <v>TC MC REPROG PAR VEN CIVA               1ND</v>
          </cell>
        </row>
        <row r="5885">
          <cell r="B5885" t="str">
            <v>14050802090110</v>
          </cell>
          <cell r="C5885" t="str">
            <v>TC MC REPROG REV VEN CIVA               1ND</v>
          </cell>
        </row>
        <row r="5886">
          <cell r="B5886" t="str">
            <v>14050802090111</v>
          </cell>
          <cell r="C5886" t="str">
            <v>TC VISA CDEUDA PAR VEN CIVA             1ND</v>
          </cell>
        </row>
        <row r="5887">
          <cell r="B5887" t="str">
            <v>14050802090112</v>
          </cell>
          <cell r="C5887" t="str">
            <v>TC VISA CDEUDA REV VEN CIVA             1ND</v>
          </cell>
        </row>
        <row r="5888">
          <cell r="B5888" t="str">
            <v>14050802090113</v>
          </cell>
          <cell r="C5888" t="str">
            <v>TC VISA EXTRACASH VEN CIVA              1ND</v>
          </cell>
        </row>
        <row r="5889">
          <cell r="B5889" t="str">
            <v>14050802090114</v>
          </cell>
          <cell r="C5889" t="str">
            <v>TC VISA REPROG PAR VEN CIVA             1ND</v>
          </cell>
        </row>
        <row r="5890">
          <cell r="B5890" t="str">
            <v>14050802090115</v>
          </cell>
          <cell r="C5890" t="str">
            <v>TC VISA REPROG REV VEN CIVA             1ND</v>
          </cell>
        </row>
        <row r="5891">
          <cell r="B5891" t="str">
            <v>14050804000101</v>
          </cell>
          <cell r="C5891" t="str">
            <v>IM SOBREG VENC CTA CTE PJ CIVA          1ND</v>
          </cell>
        </row>
        <row r="5892">
          <cell r="B5892" t="str">
            <v>14050804000102</v>
          </cell>
          <cell r="C5892" t="str">
            <v>IM SOBREG VENC CTA CTE PJ S/F CIVA      1ND</v>
          </cell>
        </row>
        <row r="5893">
          <cell r="B5893" t="str">
            <v>14050806010101</v>
          </cell>
          <cell r="C5893" t="str">
            <v>LPC PAG TV D/P REV VENC LPC CIVA        1ND</v>
          </cell>
        </row>
        <row r="5894">
          <cell r="B5894" t="str">
            <v>14050806010102</v>
          </cell>
          <cell r="C5894" t="str">
            <v>LPC VENC PAG TV RP REVOL CIVA           1ND</v>
          </cell>
        </row>
        <row r="5895">
          <cell r="B5895" t="str">
            <v>14050806010103</v>
          </cell>
          <cell r="C5895" t="str">
            <v>LPC P.TV REC.COFIDE REVOL VEN CIVA      1ND</v>
          </cell>
        </row>
        <row r="5896">
          <cell r="B5896" t="str">
            <v>14050806010104</v>
          </cell>
          <cell r="C5896" t="str">
            <v>LPC PAG TV COFIDE VENC D/P CIVA         1ND</v>
          </cell>
        </row>
        <row r="5897">
          <cell r="B5897" t="str">
            <v>14050806010105</v>
          </cell>
          <cell r="C5897" t="str">
            <v>LPC PAG TV RP MED PLAZO REVOL           1ND</v>
          </cell>
        </row>
        <row r="5898">
          <cell r="B5898" t="str">
            <v>14050806010106</v>
          </cell>
          <cell r="C5898" t="str">
            <v>LPC PAG TV RP MED PLAZO REVOL D/P       1ND</v>
          </cell>
        </row>
        <row r="5899">
          <cell r="B5899" t="str">
            <v>14050806010107</v>
          </cell>
          <cell r="C5899" t="str">
            <v>LPC PAG TV INMOBILIARIO REV             1ND</v>
          </cell>
        </row>
        <row r="5900">
          <cell r="B5900" t="str">
            <v>14050806010108</v>
          </cell>
          <cell r="C5900" t="str">
            <v>LPC PAG TV INMOBILIARIO REV D/P         1ND</v>
          </cell>
        </row>
        <row r="5901">
          <cell r="B5901" t="str">
            <v>14050806010109</v>
          </cell>
          <cell r="C5901" t="str">
            <v>LPC PAG TV REVOL EUROS                  1ND</v>
          </cell>
        </row>
        <row r="5902">
          <cell r="B5902" t="str">
            <v>14050806010110</v>
          </cell>
          <cell r="C5902" t="str">
            <v>LPC PAG TV REVOL EUROS                  1ND</v>
          </cell>
        </row>
        <row r="5903">
          <cell r="B5903" t="str">
            <v>14050806010201</v>
          </cell>
          <cell r="C5903" t="str">
            <v>CL PAG TV REVOLV VEN CCOB               1ND</v>
          </cell>
        </row>
        <row r="5904">
          <cell r="B5904" t="str">
            <v>14050806010202</v>
          </cell>
          <cell r="C5904" t="str">
            <v>CL PAG. TV D/P REVOL VEN CIVA           1ND</v>
          </cell>
        </row>
        <row r="5905">
          <cell r="B5905" t="str">
            <v>14050806010209</v>
          </cell>
          <cell r="C5905" t="str">
            <v>LPC REACTIVA PERU VEN CIVA\NORM         1ND</v>
          </cell>
        </row>
        <row r="5906">
          <cell r="B5906" t="str">
            <v>14050806010210</v>
          </cell>
          <cell r="C5906" t="str">
            <v>LPC REACTIVA PERU VEN CIVA\DUPE         1ND</v>
          </cell>
        </row>
        <row r="5907">
          <cell r="B5907" t="str">
            <v>14050806010211</v>
          </cell>
          <cell r="C5907" t="str">
            <v>LPC COFIDE FONDOS PERU VEN CIVA\NORM    1ND</v>
          </cell>
        </row>
        <row r="5908">
          <cell r="B5908" t="str">
            <v>14050806010212</v>
          </cell>
          <cell r="C5908" t="str">
            <v>LPC COFIDE FONDOS PERU VEN CIVA\DUPE    1ND</v>
          </cell>
        </row>
        <row r="5909">
          <cell r="B5909" t="str">
            <v>14050806010213</v>
          </cell>
          <cell r="C5909" t="str">
            <v>LPC COFIDE FONDO CRECER VEN CIVA\NORM   1ND</v>
          </cell>
        </row>
        <row r="5910">
          <cell r="B5910" t="str">
            <v>14050806010214</v>
          </cell>
          <cell r="C5910" t="str">
            <v>LPC REACTIVA PERU VEN CIVA\NORM         1ND</v>
          </cell>
        </row>
        <row r="5911">
          <cell r="B5911" t="str">
            <v>14050806020100</v>
          </cell>
          <cell r="C5911" t="str">
            <v>LPC VENC PAG TV  D/P RP NO REVOL CIVA   1ND</v>
          </cell>
        </row>
        <row r="5912">
          <cell r="B5912" t="str">
            <v>14050806020101</v>
          </cell>
          <cell r="C5912" t="str">
            <v>LPC VENC PAG TV RP NO REVOL CIVA        1ND</v>
          </cell>
        </row>
        <row r="5913">
          <cell r="B5913" t="str">
            <v>14050806090101</v>
          </cell>
          <cell r="C5913" t="str">
            <v>LPC PAG TV D/P VENC NO REV CIVA         1ND</v>
          </cell>
        </row>
        <row r="5914">
          <cell r="B5914" t="str">
            <v>14050806090102</v>
          </cell>
          <cell r="C5914" t="str">
            <v>LPC VENC PAG TV RP NO REVOL CIVA        1ND</v>
          </cell>
        </row>
        <row r="5915">
          <cell r="B5915" t="str">
            <v>14050806090103</v>
          </cell>
          <cell r="C5915" t="str">
            <v>LPC P.TV REC.COFIDE NO REVOL VEN CIVA   1ND</v>
          </cell>
        </row>
        <row r="5916">
          <cell r="B5916" t="str">
            <v>14050806090104</v>
          </cell>
          <cell r="C5916" t="str">
            <v>LPC PAG TV COFIDE VENC D/P CIVA         1ND</v>
          </cell>
        </row>
        <row r="5917">
          <cell r="B5917" t="str">
            <v>14050806090105</v>
          </cell>
          <cell r="C5917" t="str">
            <v>LPC PAG TV RP MED PLAZO NO REV          1ND</v>
          </cell>
        </row>
        <row r="5918">
          <cell r="B5918" t="str">
            <v>14050806090106</v>
          </cell>
          <cell r="C5918" t="str">
            <v>LPC PAG TV RP MED PLAZO NO REV D/P      1ND</v>
          </cell>
        </row>
        <row r="5919">
          <cell r="B5919" t="str">
            <v>14050806090107</v>
          </cell>
          <cell r="C5919" t="str">
            <v>LPC PAG TV INMOBILIARIO NO REV          1ND</v>
          </cell>
        </row>
        <row r="5920">
          <cell r="B5920" t="str">
            <v>14050806090108</v>
          </cell>
          <cell r="C5920" t="str">
            <v>LPC PAG TV INMOBILIARIO NO REV D/P      1ND</v>
          </cell>
        </row>
        <row r="5921">
          <cell r="B5921" t="str">
            <v>14050806090109</v>
          </cell>
          <cell r="C5921" t="str">
            <v>LPC PAG TV NO REVOL EUROS               1ND</v>
          </cell>
        </row>
        <row r="5922">
          <cell r="B5922" t="str">
            <v>14050806090110</v>
          </cell>
          <cell r="C5922" t="str">
            <v>LPC PAG TV NO REVOL EUROS               1ND</v>
          </cell>
        </row>
        <row r="5923">
          <cell r="B5923" t="str">
            <v>14050806090201</v>
          </cell>
          <cell r="C5923" t="str">
            <v>CL PAG TV NO REVOLV VEN CIVA            1ND</v>
          </cell>
        </row>
        <row r="5924">
          <cell r="B5924" t="str">
            <v>14050806090202</v>
          </cell>
          <cell r="C5924" t="str">
            <v>CL PAG. TV D/P NO REVOLV VEN CIVA       1ND</v>
          </cell>
        </row>
        <row r="5925">
          <cell r="B5925" t="str">
            <v>14050806090209</v>
          </cell>
          <cell r="C5925" t="str">
            <v>LPC REACTIVA PERU VEN CIVA\NORM         1ND</v>
          </cell>
        </row>
        <row r="5926">
          <cell r="B5926" t="str">
            <v>14050806090210</v>
          </cell>
          <cell r="C5926" t="str">
            <v>LPC REACTIVA PERU VEN CIVA\DUPE         1ND</v>
          </cell>
        </row>
        <row r="5927">
          <cell r="B5927" t="str">
            <v>14050806090211</v>
          </cell>
          <cell r="C5927" t="str">
            <v>LPC COFIDE FONDOS PERU VEN CIVA\NORM    1ND</v>
          </cell>
        </row>
        <row r="5928">
          <cell r="B5928" t="str">
            <v>14050806090212</v>
          </cell>
          <cell r="C5928" t="str">
            <v>LPC COFIDE FONDOS PERU VEN CIVA\DUPE    1ND</v>
          </cell>
        </row>
        <row r="5929">
          <cell r="B5929" t="str">
            <v>14050806090213</v>
          </cell>
          <cell r="C5929" t="str">
            <v>LPC COFIDE FONDO CRECER VEN CIVA\NORM   1ND</v>
          </cell>
        </row>
        <row r="5930">
          <cell r="B5930" t="str">
            <v>14050806090214</v>
          </cell>
          <cell r="C5930" t="str">
            <v>LPC REACTIVA PERU VEN CIVA\NORM         1ND</v>
          </cell>
        </row>
        <row r="5931">
          <cell r="B5931" t="str">
            <v>14050811000102</v>
          </cell>
          <cell r="C5931" t="str">
            <v>LPC LEASING SEGURO INT DIF VENC RP CIVA 1ND</v>
          </cell>
        </row>
        <row r="5932">
          <cell r="B5932" t="str">
            <v>14050811000103</v>
          </cell>
          <cell r="C5932" t="str">
            <v>LPC LEASING VENC SEGUROS RP CIVA        1ND</v>
          </cell>
        </row>
        <row r="5933">
          <cell r="B5933" t="str">
            <v>14050811000104</v>
          </cell>
          <cell r="C5933" t="str">
            <v>LPC LEASING VENC IGV RP CIVA            1ND</v>
          </cell>
        </row>
        <row r="5934">
          <cell r="B5934" t="str">
            <v>14050811000105</v>
          </cell>
          <cell r="C5934" t="str">
            <v>LPC LEASING DEL BIEN VENC RP CIVA       1ND</v>
          </cell>
        </row>
        <row r="5935">
          <cell r="B5935" t="str">
            <v>14050811000106</v>
          </cell>
          <cell r="C5935" t="str">
            <v>LPC LEAS D/P INT DIF VENC RP CIVA       1ND</v>
          </cell>
        </row>
        <row r="5936">
          <cell r="B5936" t="str">
            <v>14050811000107</v>
          </cell>
          <cell r="C5936" t="str">
            <v>LPC LEAS D/P SEG INT DIF VENC RP CIVA   1ND</v>
          </cell>
        </row>
        <row r="5937">
          <cell r="B5937" t="str">
            <v>14050811000108</v>
          </cell>
          <cell r="C5937" t="str">
            <v>LPC LEASING VENC D/P SEG RP CIVA        1ND</v>
          </cell>
        </row>
        <row r="5938">
          <cell r="B5938" t="str">
            <v>14050811000109</v>
          </cell>
          <cell r="C5938" t="str">
            <v>LPC LEAS DEL BIEN VENC D/P RP CIVA      1ND</v>
          </cell>
        </row>
        <row r="5939">
          <cell r="B5939" t="str">
            <v>14050811000110</v>
          </cell>
          <cell r="C5939" t="str">
            <v>LPC LEASING VENC D/P IGV RP CIVA        1ND</v>
          </cell>
        </row>
        <row r="5940">
          <cell r="B5940" t="str">
            <v>14050811000111</v>
          </cell>
          <cell r="C5940" t="str">
            <v>LPC LEASING INT DIFERIDOS VENC RP CIVA  1ND</v>
          </cell>
        </row>
        <row r="5941">
          <cell r="B5941" t="str">
            <v>14050811000201</v>
          </cell>
          <cell r="C5941" t="str">
            <v>LPC LEASING COFIDE INT DIF VENC PDL CIVA1ND</v>
          </cell>
        </row>
        <row r="5942">
          <cell r="B5942" t="str">
            <v>14050811000202</v>
          </cell>
          <cell r="C5942" t="str">
            <v>LPC LEASING COFIDE SEGURO INT DIF VENC P1ND</v>
          </cell>
        </row>
        <row r="5943">
          <cell r="B5943" t="str">
            <v>14050811000203</v>
          </cell>
          <cell r="C5943" t="str">
            <v>LPC LEASING COFIDE VENC SEGUROS PSG CIVA1ND</v>
          </cell>
        </row>
        <row r="5944">
          <cell r="B5944" t="str">
            <v>14050811000204</v>
          </cell>
          <cell r="C5944" t="str">
            <v>LPC LEASING COFIDE VENC IGV PIG CIVA    1ND</v>
          </cell>
        </row>
        <row r="5945">
          <cell r="B5945" t="str">
            <v>14050811000205</v>
          </cell>
          <cell r="C5945" t="str">
            <v>LPC LEASING COFIDE VENC PRI CIVA        1ND</v>
          </cell>
        </row>
        <row r="5946">
          <cell r="B5946" t="str">
            <v>14050811000206</v>
          </cell>
          <cell r="C5946" t="str">
            <v>LPC LS COFIDE D/P INT DIF VENC PDL CIVA 1ND</v>
          </cell>
        </row>
        <row r="5947">
          <cell r="B5947" t="str">
            <v>14050811000207</v>
          </cell>
          <cell r="C5947" t="str">
            <v>LPC LS COFIDE D/P SEG INT DIF VENC PDS C1ND</v>
          </cell>
        </row>
        <row r="5948">
          <cell r="B5948" t="str">
            <v>14050811000208</v>
          </cell>
          <cell r="C5948" t="str">
            <v>LPC LEASING COFIDE VENC D/P SEG PSG CIVA1ND</v>
          </cell>
        </row>
        <row r="5949">
          <cell r="B5949" t="str">
            <v>14050811000209</v>
          </cell>
          <cell r="C5949" t="str">
            <v>LPC LEASING COFIDE VENC D/P IGV PIG CIVA1ND</v>
          </cell>
        </row>
        <row r="5950">
          <cell r="B5950" t="str">
            <v>14050811000210</v>
          </cell>
          <cell r="C5950" t="str">
            <v>LPC LEASING COFIDE VENC D/P PRI CIVA    1ND</v>
          </cell>
        </row>
        <row r="5951">
          <cell r="B5951" t="str">
            <v>14050821000101</v>
          </cell>
          <cell r="C5951" t="str">
            <v>CL CXL AVAL X ACEPTAC VENC CIVA         1ND</v>
          </cell>
        </row>
        <row r="5952">
          <cell r="B5952" t="str">
            <v>14050822000101</v>
          </cell>
          <cell r="C5952" t="str">
            <v>LPC PAG TV REESTRUC COFIDE VENC CIVA    1ND</v>
          </cell>
        </row>
        <row r="5953">
          <cell r="B5953" t="str">
            <v>14050904000101</v>
          </cell>
          <cell r="C5953" t="str">
            <v>IM SOBREG VENC CTA CTE PJ CESF          1ND</v>
          </cell>
        </row>
        <row r="5954">
          <cell r="B5954" t="str">
            <v>14050904000102</v>
          </cell>
          <cell r="C5954" t="str">
            <v>IM SOBREG VENC CTA CTE PJ S/F CESF      1ND</v>
          </cell>
        </row>
        <row r="5955">
          <cell r="B5955" t="str">
            <v>14050906060101</v>
          </cell>
          <cell r="C5955" t="str">
            <v>BANCO CENTRAL DE RESERVA DEL PERU       1ND</v>
          </cell>
        </row>
        <row r="5956">
          <cell r="B5956" t="str">
            <v>14050906060102</v>
          </cell>
          <cell r="C5956" t="str">
            <v>BANCO DE LA NACIÃ“N                     1ND</v>
          </cell>
        </row>
        <row r="5957">
          <cell r="B5957" t="str">
            <v>14050906060103</v>
          </cell>
          <cell r="C5957" t="str">
            <v>BANCODE CREDITO DEL PERU                1ND</v>
          </cell>
        </row>
        <row r="5958">
          <cell r="B5958" t="str">
            <v>14050906060104</v>
          </cell>
          <cell r="C5958" t="str">
            <v>BANCO INTERNACIONAL DEL PERU - INTERBANK1ND</v>
          </cell>
        </row>
        <row r="5959">
          <cell r="B5959" t="str">
            <v>14050906060105</v>
          </cell>
          <cell r="C5959" t="str">
            <v>SCOTIABANK PERU S. A. A.                1ND</v>
          </cell>
        </row>
        <row r="5960">
          <cell r="B5960" t="str">
            <v>14050906060106</v>
          </cell>
          <cell r="C5960" t="str">
            <v>BANCO CONTINENTAL                       1ND</v>
          </cell>
        </row>
        <row r="5961">
          <cell r="B5961" t="str">
            <v>14050906060108</v>
          </cell>
          <cell r="C5961" t="str">
            <v>BANCO DE COMERCIO                       1ND</v>
          </cell>
        </row>
        <row r="5962">
          <cell r="B5962" t="str">
            <v>14050906060109</v>
          </cell>
          <cell r="C5962" t="str">
            <v>BANCO FINANCIERO DEL PERU               1ND</v>
          </cell>
        </row>
        <row r="5963">
          <cell r="B5963" t="str">
            <v>14050906060116</v>
          </cell>
          <cell r="C5963" t="str">
            <v>CITIBANK N. A.   SUCURSAL EN EL PERU DEL1ND</v>
          </cell>
        </row>
        <row r="5964">
          <cell r="B5964" t="str">
            <v>14050906060121</v>
          </cell>
          <cell r="C5964" t="str">
            <v>BANCO INTERAMERICANO DE FINANZAS - S. A.1ND</v>
          </cell>
        </row>
        <row r="5965">
          <cell r="B5965" t="str">
            <v>14050906060128</v>
          </cell>
          <cell r="C5965" t="str">
            <v>CORPORACIÃ“N FINANCIERA DE DESARROLLO S.1ND</v>
          </cell>
        </row>
        <row r="5966">
          <cell r="B5966" t="str">
            <v>14050906060129</v>
          </cell>
          <cell r="C5966" t="str">
            <v>MIBANCO BANCO DE LA MICROEMPRESA - MIBAN1ND</v>
          </cell>
        </row>
        <row r="5967">
          <cell r="B5967" t="str">
            <v>14050906060131</v>
          </cell>
          <cell r="C5967" t="str">
            <v>BANCO AGROPECUARIO - AGROBANCO          1ND</v>
          </cell>
        </row>
        <row r="5968">
          <cell r="B5968" t="str">
            <v>14050906060132</v>
          </cell>
          <cell r="C5968" t="str">
            <v>HSBC BANK PERU S. A.                    1ND</v>
          </cell>
        </row>
        <row r="5969">
          <cell r="B5969" t="str">
            <v>14050906060133</v>
          </cell>
          <cell r="C5969" t="str">
            <v>BANCO FALABELLA DEL PERU                1ND</v>
          </cell>
        </row>
        <row r="5970">
          <cell r="B5970" t="str">
            <v>14050906060134</v>
          </cell>
          <cell r="C5970" t="str">
            <v>BANCO SANTANDER PERU S. A.              1ND</v>
          </cell>
        </row>
        <row r="5971">
          <cell r="B5971" t="str">
            <v>14050906060135</v>
          </cell>
          <cell r="C5971" t="str">
            <v>BANCO RIPLEY S. A.                      1ND</v>
          </cell>
        </row>
        <row r="5972">
          <cell r="B5972" t="str">
            <v>14050906060136</v>
          </cell>
          <cell r="C5972" t="str">
            <v>BANCO AZTECA DEL PERU S. A.             1ND</v>
          </cell>
        </row>
        <row r="5973">
          <cell r="B5973" t="str">
            <v>14050906060137</v>
          </cell>
          <cell r="C5973" t="str">
            <v>DEUTSCHE BANK (PERU) S. A.              1ND</v>
          </cell>
        </row>
        <row r="5974">
          <cell r="B5974" t="str">
            <v>14050906060199</v>
          </cell>
          <cell r="C5974" t="str">
            <v>BANCOS EN LIQUIDACIÃ“N                  1ND</v>
          </cell>
        </row>
        <row r="5975">
          <cell r="B5975" t="str">
            <v>14050906060203</v>
          </cell>
          <cell r="C5975" t="str">
            <v>SOLUCIÃ“N FINANCIERADE CREDITO DEL PERU 1ND</v>
          </cell>
        </row>
        <row r="5976">
          <cell r="B5976" t="str">
            <v>14050906060207</v>
          </cell>
          <cell r="C5976" t="str">
            <v>FINANCIERA TFC S. A.                    1ND</v>
          </cell>
        </row>
        <row r="5977">
          <cell r="B5977" t="str">
            <v>14050906060209</v>
          </cell>
          <cell r="C5977" t="str">
            <v>FINANCIERA EDYFICAR S. A.               1ND</v>
          </cell>
        </row>
        <row r="5978">
          <cell r="B5978" t="str">
            <v>14050906060210</v>
          </cell>
          <cell r="C5978" t="str">
            <v>CREDISCOTIA FINANCIERA S. A.            1ND</v>
          </cell>
        </row>
        <row r="5979">
          <cell r="B5979" t="str">
            <v>14050906060211</v>
          </cell>
          <cell r="C5979" t="str">
            <v>FINANCIERA CREAR S. A.                  1ND</v>
          </cell>
        </row>
        <row r="5980">
          <cell r="B5980" t="str">
            <v>14050906060212</v>
          </cell>
          <cell r="C5980" t="str">
            <v>FINANCIERA CONFIANZA S. A.              1ND</v>
          </cell>
        </row>
        <row r="5981">
          <cell r="B5981" t="str">
            <v>14050906060213</v>
          </cell>
          <cell r="C5981" t="str">
            <v>FINANCIERA UNIVERSAL S. A.              1ND</v>
          </cell>
        </row>
        <row r="5982">
          <cell r="B5982" t="str">
            <v>14050906060214</v>
          </cell>
          <cell r="C5982" t="str">
            <v>FINANCIERA UNO S. A.                    1ND</v>
          </cell>
        </row>
        <row r="5983">
          <cell r="B5983" t="str">
            <v>14050906060215</v>
          </cell>
          <cell r="C5983" t="str">
            <v>FINANCIERA EFECTIVA S. A.               1ND</v>
          </cell>
        </row>
        <row r="5984">
          <cell r="B5984" t="str">
            <v>14050906060216</v>
          </cell>
          <cell r="C5984" t="str">
            <v>AMERIKA FINANCIERA S. A.                1ND</v>
          </cell>
        </row>
        <row r="5985">
          <cell r="B5985" t="str">
            <v>14050906060299</v>
          </cell>
          <cell r="C5985" t="str">
            <v>FINANCIERAS EN LIQUIDACIÃ“N             1ND</v>
          </cell>
        </row>
        <row r="5986">
          <cell r="B5986" t="str">
            <v>14050906060301</v>
          </cell>
          <cell r="C5986" t="str">
            <v>CAJA MUNICIPAL DE AHORRO YCREDITO DE SUL1ND</v>
          </cell>
        </row>
        <row r="5987">
          <cell r="B5987" t="str">
            <v>14050906060302</v>
          </cell>
          <cell r="C5987" t="str">
            <v>CAJA MUNICIPALDE CREDITO POPULAR DE LIMA1ND</v>
          </cell>
        </row>
        <row r="5988">
          <cell r="B5988" t="str">
            <v>14050906060303</v>
          </cell>
          <cell r="C5988" t="str">
            <v>CAJA MUNICIPAL DE AHORRO YCREDITO DE PIU1ND</v>
          </cell>
        </row>
        <row r="5989">
          <cell r="B5989" t="str">
            <v>14050906060304</v>
          </cell>
          <cell r="C5989" t="str">
            <v>CAJA MUNICIPAL DE AHORRO YCREDITO DE ARE1ND</v>
          </cell>
        </row>
        <row r="5990">
          <cell r="B5990" t="str">
            <v>14050906060305</v>
          </cell>
          <cell r="C5990" t="str">
            <v>CAJA MUNICIPAL DE AHORRO YCREDITO DE HUA1ND</v>
          </cell>
        </row>
        <row r="5991">
          <cell r="B5991" t="str">
            <v>14050906060306</v>
          </cell>
          <cell r="C5991" t="str">
            <v>CAJA MUNICIPAL DE AHORRO YCREDITO CUSCO 1ND</v>
          </cell>
        </row>
        <row r="5992">
          <cell r="B5992" t="str">
            <v>14050906060307</v>
          </cell>
          <cell r="C5992" t="str">
            <v>CAJA MUNICIPAL DE AHORRO YCREDITO DE MAY1ND</v>
          </cell>
        </row>
        <row r="5993">
          <cell r="B5993" t="str">
            <v>14050906060308</v>
          </cell>
          <cell r="C5993" t="str">
            <v>CAJA MUNICIPAL DE AHORRO YCREDITO DE ICA1ND</v>
          </cell>
        </row>
        <row r="5994">
          <cell r="B5994" t="str">
            <v>14050906060309</v>
          </cell>
          <cell r="C5994" t="str">
            <v>CAJA MUNICIPAL DE AHORRO YCREDITO DE PAI1ND</v>
          </cell>
        </row>
        <row r="5995">
          <cell r="B5995" t="str">
            <v>14050906060310</v>
          </cell>
          <cell r="C5995" t="str">
            <v>CAJA MUNICIPAL DE AHORRO YCREDITO DEL SA1ND</v>
          </cell>
        </row>
        <row r="5996">
          <cell r="B5996" t="str">
            <v>14050906060311</v>
          </cell>
          <cell r="C5996" t="str">
            <v>CAJA MUNICIPAL DE AHORRO YCREDITO DE TRU1ND</v>
          </cell>
        </row>
        <row r="5997">
          <cell r="B5997" t="str">
            <v>14050906060312</v>
          </cell>
          <cell r="C5997" t="str">
            <v>CAJA MUNICIPAL DE AHORRO YCREDITO DE TAC1ND</v>
          </cell>
        </row>
        <row r="5998">
          <cell r="B5998" t="str">
            <v>14050906060313</v>
          </cell>
          <cell r="C5998" t="str">
            <v>CAJA MUNICIPAL DE AHORRO YCREDITO DE PIS1ND</v>
          </cell>
        </row>
        <row r="5999">
          <cell r="B5999" t="str">
            <v>14050906060399</v>
          </cell>
          <cell r="C5999" t="str">
            <v>CAJAS MUNICIPALES DE AHORRO YCREDITO EN 1ND</v>
          </cell>
        </row>
        <row r="6000">
          <cell r="B6000" t="str">
            <v>14050906060401</v>
          </cell>
          <cell r="C6000" t="str">
            <v>LPC MITSUI AUTO FINANCE PERU CAP.VEN    1ND</v>
          </cell>
        </row>
        <row r="6001">
          <cell r="B6001" t="str">
            <v>14050906060403</v>
          </cell>
          <cell r="C6001" t="str">
            <v>CAJA RURAL DE AHORRO YCREDITO QUILLABAMB1ND</v>
          </cell>
        </row>
        <row r="6002">
          <cell r="B6002" t="str">
            <v>14050906060405</v>
          </cell>
          <cell r="C6002" t="str">
            <v>CAJA RURAL DE AHORRO YCREDITO LOS LIBERT1ND</v>
          </cell>
        </row>
        <row r="6003">
          <cell r="B6003" t="str">
            <v>14050906060406</v>
          </cell>
          <cell r="C6003" t="str">
            <v>CAJA RURAL DE AHORRO YCREDITO SEÃ‘OR DE 1ND</v>
          </cell>
        </row>
        <row r="6004">
          <cell r="B6004" t="str">
            <v>14050906060407</v>
          </cell>
          <cell r="C6004" t="str">
            <v>CAJA RURAL DE AHORRO YCREDITO CHAVÃN S.1ND</v>
          </cell>
        </row>
        <row r="6005">
          <cell r="B6005" t="str">
            <v>14050906060408</v>
          </cell>
          <cell r="C6005" t="str">
            <v>CAJA RURAL DE AHORRO YCREDITO NUESTRA GE1ND</v>
          </cell>
        </row>
        <row r="6006">
          <cell r="B6006" t="str">
            <v>14050906060409</v>
          </cell>
          <cell r="C6006" t="str">
            <v>CAJA RURAL DE AHORRO YCREDITO CAJAMARCA 1ND</v>
          </cell>
        </row>
        <row r="6007">
          <cell r="B6007" t="str">
            <v>14050906060410</v>
          </cell>
          <cell r="C6007" t="str">
            <v>CAJA RURAL DE AHORRO YCREDITO PROFINANZA1ND</v>
          </cell>
        </row>
        <row r="6008">
          <cell r="B6008" t="str">
            <v>14050906060412</v>
          </cell>
          <cell r="C6008" t="str">
            <v>CAJA RURAL DE AHORRO YCREDITO SIPÃN S. 1ND</v>
          </cell>
        </row>
        <row r="6009">
          <cell r="B6009" t="str">
            <v>14050906060414</v>
          </cell>
          <cell r="C6009" t="str">
            <v>CAJA RURAL DE AHORRO YCREDITO PRYMERA S.1ND</v>
          </cell>
        </row>
        <row r="6010">
          <cell r="B6010" t="str">
            <v>14050906060415</v>
          </cell>
          <cell r="C6010" t="str">
            <v>CAJA RURAL DE AHORRO YCREDITO LOS ANDES 1ND</v>
          </cell>
        </row>
        <row r="6011">
          <cell r="B6011" t="str">
            <v>14050906060499</v>
          </cell>
          <cell r="C6011" t="str">
            <v>CAJAS RURALES DE AHORRO YCREDITO EN LIQU1ND</v>
          </cell>
        </row>
        <row r="6012">
          <cell r="B6012" t="str">
            <v>14050906060503</v>
          </cell>
          <cell r="C6012" t="str">
            <v>PROEMPRESA S. A.                        1ND</v>
          </cell>
        </row>
        <row r="6013">
          <cell r="B6013" t="str">
            <v>14050906060506</v>
          </cell>
          <cell r="C6013" t="str">
            <v>NUEVA VISIÃ“N S. A.                     1ND</v>
          </cell>
        </row>
        <row r="6014">
          <cell r="B6014" t="str">
            <v>14050906060508</v>
          </cell>
          <cell r="C6014" t="str">
            <v>RAIZ S. A.                              1ND</v>
          </cell>
        </row>
        <row r="6015">
          <cell r="B6015" t="str">
            <v>14050906060510</v>
          </cell>
          <cell r="C6015" t="str">
            <v>SOLIDARIDAD S. A.                       1ND</v>
          </cell>
        </row>
        <row r="6016">
          <cell r="B6016" t="str">
            <v>14050906060511</v>
          </cell>
          <cell r="C6016" t="str">
            <v>CREDIVISIÃ“N S. A.                      1ND</v>
          </cell>
        </row>
        <row r="6017">
          <cell r="B6017" t="str">
            <v>14050906060512</v>
          </cell>
          <cell r="C6017" t="str">
            <v>ACCESO CREDITICIO S. A.                 1ND</v>
          </cell>
        </row>
        <row r="6018">
          <cell r="B6018" t="str">
            <v>14050906060514</v>
          </cell>
          <cell r="C6018" t="str">
            <v>ALTERNATIVA S. A.                       1ND</v>
          </cell>
        </row>
        <row r="6019">
          <cell r="B6019" t="str">
            <v>14050906060515</v>
          </cell>
          <cell r="C6019" t="str">
            <v>PRONEGOCIOS S. A.                       1ND</v>
          </cell>
        </row>
        <row r="6020">
          <cell r="B6020" t="str">
            <v>14050906060516</v>
          </cell>
          <cell r="C6020" t="str">
            <v>MICASITA S. A.                          1ND</v>
          </cell>
        </row>
        <row r="6021">
          <cell r="B6021" t="str">
            <v>14050906060517</v>
          </cell>
          <cell r="C6021" t="str">
            <v>CREDIJET DEL PERU S. A.                 1ND</v>
          </cell>
        </row>
        <row r="6022">
          <cell r="B6022" t="str">
            <v>14050906060599</v>
          </cell>
          <cell r="C6022" t="str">
            <v>EDPYMES EN LIQUIDACIÃ“N                 1ND</v>
          </cell>
        </row>
        <row r="6023">
          <cell r="B6023" t="str">
            <v>14050906060710</v>
          </cell>
          <cell r="C6023" t="str">
            <v>LEASING TOTAL S. A.                     1ND</v>
          </cell>
        </row>
        <row r="6024">
          <cell r="B6024" t="str">
            <v>14050906060711</v>
          </cell>
          <cell r="C6024" t="str">
            <v>MITSUI - MASA LEASING S. A.             1ND</v>
          </cell>
        </row>
        <row r="6025">
          <cell r="B6025" t="str">
            <v>14050906060799</v>
          </cell>
          <cell r="C6025" t="str">
            <v>LEASING EN LIQUIDACIÃ“N                 1ND</v>
          </cell>
        </row>
        <row r="6026">
          <cell r="B6026" t="str">
            <v>14050906060801</v>
          </cell>
          <cell r="C6026" t="str">
            <v>FONDO DE GARANTÃA PARA PRSTAMOS A LA PE1ND</v>
          </cell>
        </row>
        <row r="6027">
          <cell r="B6027" t="str">
            <v>14050906061301</v>
          </cell>
          <cell r="C6027" t="str">
            <v>LA FIDUCIARIA S. A.                     1ND</v>
          </cell>
        </row>
        <row r="6028">
          <cell r="B6028" t="str">
            <v>14050906061302</v>
          </cell>
          <cell r="C6028" t="str">
            <v>FIDUCIARIA GBC S. A.                    1ND</v>
          </cell>
        </row>
        <row r="6029">
          <cell r="B6029" t="str">
            <v>14050906061401</v>
          </cell>
          <cell r="C6029" t="str">
            <v>FONDO MIVIVIENDA S. A.                  1ND</v>
          </cell>
        </row>
        <row r="6030">
          <cell r="B6030" t="str">
            <v>14050906061501</v>
          </cell>
          <cell r="C6030" t="str">
            <v>AMRICA FACTORING S. A.                  1ND</v>
          </cell>
        </row>
        <row r="6031">
          <cell r="B6031" t="str">
            <v>14050906061601</v>
          </cell>
          <cell r="C6031" t="str">
            <v>INCASA S. A.                            1ND</v>
          </cell>
        </row>
        <row r="6032">
          <cell r="B6032" t="str">
            <v>14050906061701</v>
          </cell>
          <cell r="C6032" t="str">
            <v>BANCOS DEL EXTERIOR                     1ND</v>
          </cell>
        </row>
        <row r="6033">
          <cell r="B6033" t="str">
            <v>14050906061702</v>
          </cell>
          <cell r="C6033" t="str">
            <v>OTRAS EMPRESAS DEL SISTEMA FINANCIERO DE1ND</v>
          </cell>
        </row>
        <row r="6034">
          <cell r="B6034" t="str">
            <v>14050906070102</v>
          </cell>
          <cell r="C6034" t="str">
            <v>LPC CAJA MUNIC.DE CRED.POPULAR DE LIMA C1ND</v>
          </cell>
        </row>
        <row r="6035">
          <cell r="B6035" t="str">
            <v>14050906070106</v>
          </cell>
          <cell r="C6035" t="str">
            <v>LPC EDPYME ALTERNATIVA VEN CESF         1ND</v>
          </cell>
        </row>
        <row r="6036">
          <cell r="B6036" t="str">
            <v>14050906070108</v>
          </cell>
          <cell r="C6036" t="str">
            <v>BANCO DE COMERCIO                       1ND</v>
          </cell>
        </row>
        <row r="6037">
          <cell r="B6037" t="str">
            <v>14050906070109</v>
          </cell>
          <cell r="C6037" t="str">
            <v>BANCO FINANCIERO DEL PERU               1ND</v>
          </cell>
        </row>
        <row r="6038">
          <cell r="B6038" t="str">
            <v>14050906070116</v>
          </cell>
          <cell r="C6038" t="str">
            <v>CITIBANK N. A.   SUCURSAL EN EL PERU DEL1ND</v>
          </cell>
        </row>
        <row r="6039">
          <cell r="B6039" t="str">
            <v>14050906070121</v>
          </cell>
          <cell r="C6039" t="str">
            <v>BANCO INTERAMERICANO DE FINANZAS - S. A.1ND</v>
          </cell>
        </row>
        <row r="6040">
          <cell r="B6040" t="str">
            <v>14050906070128</v>
          </cell>
          <cell r="C6040" t="str">
            <v>LPC CORPORACION FINANCIERA DE DESARROLO 1ND</v>
          </cell>
        </row>
        <row r="6041">
          <cell r="B6041" t="str">
            <v>14050906070129</v>
          </cell>
          <cell r="C6041" t="str">
            <v>MIBANCO BANCO DE LA MICROEMPRESA - MIBAN1ND</v>
          </cell>
        </row>
        <row r="6042">
          <cell r="B6042" t="str">
            <v>14050906070131</v>
          </cell>
          <cell r="C6042" t="str">
            <v>LPC BANO AGROPECUARIO                   1ND</v>
          </cell>
        </row>
        <row r="6043">
          <cell r="B6043" t="str">
            <v>14050906070132</v>
          </cell>
          <cell r="C6043" t="str">
            <v>HSBC BANK PERU S. A.                    1ND</v>
          </cell>
        </row>
        <row r="6044">
          <cell r="B6044" t="str">
            <v>14050906070133</v>
          </cell>
          <cell r="C6044" t="str">
            <v>LPC BANCO FALABELLA VENC CESF           1ND</v>
          </cell>
        </row>
        <row r="6045">
          <cell r="B6045" t="str">
            <v>14050906070134</v>
          </cell>
          <cell r="C6045" t="str">
            <v>BANCO SANTANDER PERU S. A.              1ND</v>
          </cell>
        </row>
        <row r="6046">
          <cell r="B6046" t="str">
            <v>14050906070135</v>
          </cell>
          <cell r="C6046" t="str">
            <v>LPC BANCO RIPLEY VEN                    1ND</v>
          </cell>
        </row>
        <row r="6047">
          <cell r="B6047" t="str">
            <v>14050906070136</v>
          </cell>
          <cell r="C6047" t="str">
            <v>BANCO AZTECA DEL PERU S. A.             1ND</v>
          </cell>
        </row>
        <row r="6048">
          <cell r="B6048" t="str">
            <v>14050906070137</v>
          </cell>
          <cell r="C6048" t="str">
            <v>DEUTSCHE BANK (PERU) S. A.              1ND</v>
          </cell>
        </row>
        <row r="6049">
          <cell r="B6049" t="str">
            <v>14050906070138</v>
          </cell>
          <cell r="C6049" t="str">
            <v>LPC BANCO FINANCIERO CAP.VEN            1ND</v>
          </cell>
        </row>
        <row r="6050">
          <cell r="B6050" t="str">
            <v>14050906070199</v>
          </cell>
          <cell r="C6050" t="str">
            <v>BANCOS EN LIQUIDACIÃ“N                  1ND</v>
          </cell>
        </row>
        <row r="6051">
          <cell r="B6051" t="str">
            <v>14050906070203</v>
          </cell>
          <cell r="C6051" t="str">
            <v>SOLUCIÃ“N FINANCIERADE CREDITO DEL PERU 1ND</v>
          </cell>
        </row>
        <row r="6052">
          <cell r="B6052" t="str">
            <v>14050906070207</v>
          </cell>
          <cell r="C6052" t="str">
            <v>LPC FINANCIERA TFC (VOLVO FINANCE DEL PE1ND</v>
          </cell>
        </row>
        <row r="6053">
          <cell r="B6053" t="str">
            <v>14050906070209</v>
          </cell>
          <cell r="C6053" t="str">
            <v>LPC FINANCIERA EDYFICAR S.A.            1ND</v>
          </cell>
        </row>
        <row r="6054">
          <cell r="B6054" t="str">
            <v>14050906070210</v>
          </cell>
          <cell r="C6054" t="str">
            <v>CREDISCOTIA FINANCIERA S. A.            1ND</v>
          </cell>
        </row>
        <row r="6055">
          <cell r="B6055" t="str">
            <v>14050906070211</v>
          </cell>
          <cell r="C6055" t="str">
            <v>LPC FINANCIERA CREAR                    1ND</v>
          </cell>
        </row>
        <row r="6056">
          <cell r="B6056" t="str">
            <v>14050906070212</v>
          </cell>
          <cell r="C6056" t="str">
            <v>LPC FINANCIERA CONFIANZA S.A. VEN CESF  1ND</v>
          </cell>
        </row>
        <row r="6057">
          <cell r="B6057" t="str">
            <v>14050906070213</v>
          </cell>
          <cell r="C6057" t="str">
            <v>FINANCIERA UNIVERSAL S. A.              1ND</v>
          </cell>
        </row>
        <row r="6058">
          <cell r="B6058" t="str">
            <v>14050906070214</v>
          </cell>
          <cell r="C6058" t="str">
            <v>FINANCIERA UNO S. A.                    1ND</v>
          </cell>
        </row>
        <row r="6059">
          <cell r="B6059" t="str">
            <v>14050906070215</v>
          </cell>
          <cell r="C6059" t="str">
            <v>LPC FINANCIERA EFECTIVA CESF            1ND</v>
          </cell>
        </row>
        <row r="6060">
          <cell r="B6060" t="str">
            <v>14050906070216</v>
          </cell>
          <cell r="C6060" t="str">
            <v>AMERIKA FINANCIERA S. A.                1ND</v>
          </cell>
        </row>
        <row r="6061">
          <cell r="B6061" t="str">
            <v>14050906070217</v>
          </cell>
          <cell r="C6061" t="str">
            <v>LPC MITSUI AUTO FINANCE PERU CAP.VEN    1ND</v>
          </cell>
        </row>
        <row r="6062">
          <cell r="B6062" t="str">
            <v>14050906070219</v>
          </cell>
          <cell r="C6062" t="str">
            <v>LPC FINANCIERA CREDINKA CAP VENC        1ND</v>
          </cell>
        </row>
        <row r="6063">
          <cell r="B6063" t="str">
            <v>14050906070220</v>
          </cell>
          <cell r="C6063" t="str">
            <v>LPC SURGIR SANTANDER FINANCIAMIENTO CAP 1ND</v>
          </cell>
        </row>
        <row r="6064">
          <cell r="B6064" t="str">
            <v>14050906070299</v>
          </cell>
          <cell r="C6064" t="str">
            <v>FINANCIERAS EN LIQUIDACIÃ“N             1ND</v>
          </cell>
        </row>
        <row r="6065">
          <cell r="B6065" t="str">
            <v>14050906070301</v>
          </cell>
          <cell r="C6065" t="str">
            <v>LPC CAJA MUNICIPAL DE AHORRO Y CRED. SUL1ND</v>
          </cell>
        </row>
        <row r="6066">
          <cell r="B6066" t="str">
            <v>14050906070302</v>
          </cell>
          <cell r="C6066" t="str">
            <v>CAJA MUNICIPALDE CREDITO POPULAR DE LIMA1ND</v>
          </cell>
        </row>
        <row r="6067">
          <cell r="B6067" t="str">
            <v>14050906070303</v>
          </cell>
          <cell r="C6067" t="str">
            <v>CAJA MUNICIPAL DE AHORRO YCREDITO DE PIU1ND</v>
          </cell>
        </row>
        <row r="6068">
          <cell r="B6068" t="str">
            <v>14050906070304</v>
          </cell>
          <cell r="C6068" t="str">
            <v>LPC CJA MUNI.AHO.Y CRED.AREQUIPA VEN    1ND</v>
          </cell>
        </row>
        <row r="6069">
          <cell r="B6069" t="str">
            <v>14050906070305</v>
          </cell>
          <cell r="C6069" t="str">
            <v>LPC CAJA MUNICIPAL DE AHORRO Y CRED. HUA1ND</v>
          </cell>
        </row>
        <row r="6070">
          <cell r="B6070" t="str">
            <v>14050906070306</v>
          </cell>
          <cell r="C6070" t="str">
            <v>LPC CAJA MUNICIPAL DE AH.Y CRED.CUSCO CA1ND</v>
          </cell>
        </row>
        <row r="6071">
          <cell r="B6071" t="str">
            <v>14050906070307</v>
          </cell>
          <cell r="C6071" t="str">
            <v>LPC CAJA MUNICIPAL DE AHORRO Y CRED. MAY1ND</v>
          </cell>
        </row>
        <row r="6072">
          <cell r="B6072" t="str">
            <v>14050906070308</v>
          </cell>
          <cell r="C6072" t="str">
            <v>CAJA MUNICIPAL DE AHORRO YCREDITO DE ICA1ND</v>
          </cell>
        </row>
        <row r="6073">
          <cell r="B6073" t="str">
            <v>14050906070309</v>
          </cell>
          <cell r="C6073" t="str">
            <v>CAJA MUNICIPAL DE AHORRO YCREDITO DE PAI1ND</v>
          </cell>
        </row>
        <row r="6074">
          <cell r="B6074" t="str">
            <v>14050906070310</v>
          </cell>
          <cell r="C6074" t="str">
            <v>LPC CAJA MUNIC. DE AHORRO Y CRED DEL SAN1ND</v>
          </cell>
        </row>
        <row r="6075">
          <cell r="B6075" t="str">
            <v>14050906070311</v>
          </cell>
          <cell r="C6075" t="str">
            <v>LPC CAJA MUNICIPAL DE AHORRO Y CRED. TRU1ND</v>
          </cell>
        </row>
        <row r="6076">
          <cell r="B6076" t="str">
            <v>14050906070312</v>
          </cell>
          <cell r="C6076" t="str">
            <v>LPC CAJA MUNICIPAL DE AHORRO Y CRED. TAC1ND</v>
          </cell>
        </row>
        <row r="6077">
          <cell r="B6077" t="str">
            <v>14050906070313</v>
          </cell>
          <cell r="C6077" t="str">
            <v>CAJA MUNICIPAL DE AHORRO YCREDITO DE PIS1ND</v>
          </cell>
        </row>
        <row r="6078">
          <cell r="B6078" t="str">
            <v>14050906070399</v>
          </cell>
          <cell r="C6078" t="str">
            <v>CAJAS MUNICIPALES DE AHORRO YCREDITO EN 1ND</v>
          </cell>
        </row>
        <row r="6079">
          <cell r="B6079" t="str">
            <v>14050906070403</v>
          </cell>
          <cell r="C6079" t="str">
            <v>CAJA RURAL DE AHORRO YCREDITO QUILLABAMB1ND</v>
          </cell>
        </row>
        <row r="6080">
          <cell r="B6080" t="str">
            <v>14050906070405</v>
          </cell>
          <cell r="C6080" t="str">
            <v>CAJA RURAL DE AHORRO YCREDITO LOS LIBERT1ND</v>
          </cell>
        </row>
        <row r="6081">
          <cell r="B6081" t="str">
            <v>14050906070406</v>
          </cell>
          <cell r="C6081" t="str">
            <v>CAJA RURAL DE AHORRO YCREDITO SEÃ‘OR DE 1ND</v>
          </cell>
        </row>
        <row r="6082">
          <cell r="B6082" t="str">
            <v>14050906070407</v>
          </cell>
          <cell r="C6082" t="str">
            <v>LPC CAJA RURAL DE AHORRO Y CREDITO CHAVI1ND</v>
          </cell>
        </row>
        <row r="6083">
          <cell r="B6083" t="str">
            <v>14050906070408</v>
          </cell>
          <cell r="C6083" t="str">
            <v>CAJA RURAL DE AHORRO YCREDITO NUESTRA GE1ND</v>
          </cell>
        </row>
        <row r="6084">
          <cell r="B6084" t="str">
            <v>14050906070409</v>
          </cell>
          <cell r="C6084" t="str">
            <v>CAJA RURAL DE AHORRO YCREDITO CAJAMARCA 1ND</v>
          </cell>
        </row>
        <row r="6085">
          <cell r="B6085" t="str">
            <v>14050906070410</v>
          </cell>
          <cell r="C6085" t="str">
            <v>LPC CAJA RURAL DE AHORRO Y CREDITO PROFI1ND</v>
          </cell>
        </row>
        <row r="6086">
          <cell r="B6086" t="str">
            <v>14050906070412</v>
          </cell>
          <cell r="C6086" t="str">
            <v>CAJA RURAL DE AHORRO YCREDITO SIPÃN S. 1ND</v>
          </cell>
        </row>
        <row r="6087">
          <cell r="B6087" t="str">
            <v>14050906070414</v>
          </cell>
          <cell r="C6087" t="str">
            <v>CAJA RURAL DE AHORRO YCREDITO PRYMERA S.1ND</v>
          </cell>
        </row>
        <row r="6088">
          <cell r="B6088" t="str">
            <v>14050906070415</v>
          </cell>
          <cell r="C6088" t="str">
            <v>CAJA RURAL DE AHORRO YCREDITO LOS ANDES 1ND</v>
          </cell>
        </row>
        <row r="6089">
          <cell r="B6089" t="str">
            <v>14050906070499</v>
          </cell>
          <cell r="C6089" t="str">
            <v>CAJAS RURALES DE AHORRO YCREDITO EN LIQU1ND</v>
          </cell>
        </row>
        <row r="6090">
          <cell r="B6090" t="str">
            <v>14050906070503</v>
          </cell>
          <cell r="C6090" t="str">
            <v>PROEMPRESA S. A.                        1ND</v>
          </cell>
        </row>
        <row r="6091">
          <cell r="B6091" t="str">
            <v>14050906070506</v>
          </cell>
          <cell r="C6091" t="str">
            <v>NUEVA VISIÃ“N S. A.                     1ND</v>
          </cell>
        </row>
        <row r="6092">
          <cell r="B6092" t="str">
            <v>14050906070508</v>
          </cell>
          <cell r="C6092" t="str">
            <v>RAIZ S. A.                              1ND</v>
          </cell>
        </row>
        <row r="6093">
          <cell r="B6093" t="str">
            <v>14050906070510</v>
          </cell>
          <cell r="C6093" t="str">
            <v>LPC EDPYME SOLIDARIDAD                  1ND</v>
          </cell>
        </row>
        <row r="6094">
          <cell r="B6094" t="str">
            <v>14050906070511</v>
          </cell>
          <cell r="C6094" t="str">
            <v>CREDIVISIÃ“N S. A.                      1ND</v>
          </cell>
        </row>
        <row r="6095">
          <cell r="B6095" t="str">
            <v>14050906070512</v>
          </cell>
          <cell r="C6095" t="str">
            <v>ACCESO CREDITICIO S. A.                 1ND</v>
          </cell>
        </row>
        <row r="6096">
          <cell r="B6096" t="str">
            <v>14050906070514</v>
          </cell>
          <cell r="C6096" t="str">
            <v>LPC EDPYME ALTERNATIVA VEN CESF         1ND</v>
          </cell>
        </row>
        <row r="6097">
          <cell r="B6097" t="str">
            <v>14050906070515</v>
          </cell>
          <cell r="C6097" t="str">
            <v>PRONEGOCIOS S. A.                       1ND</v>
          </cell>
        </row>
        <row r="6098">
          <cell r="B6098" t="str">
            <v>14050906070516</v>
          </cell>
          <cell r="C6098" t="str">
            <v>MICASITA S. A.                          1ND</v>
          </cell>
        </row>
        <row r="6099">
          <cell r="B6099" t="str">
            <v>14050906070517</v>
          </cell>
          <cell r="C6099" t="str">
            <v>CREDIJET DEL PERU S. A.                 1ND</v>
          </cell>
        </row>
        <row r="6100">
          <cell r="B6100" t="str">
            <v>14050906070599</v>
          </cell>
          <cell r="C6100" t="str">
            <v>EDPYMES EN LIQUIDACIÃ“N                 1ND</v>
          </cell>
        </row>
        <row r="6101">
          <cell r="B6101" t="str">
            <v>14050906070710</v>
          </cell>
          <cell r="C6101" t="str">
            <v>LEASING TOTAL S. A.                     1ND</v>
          </cell>
        </row>
        <row r="6102">
          <cell r="B6102" t="str">
            <v>14050906070711</v>
          </cell>
          <cell r="C6102" t="str">
            <v>MITSUI - MASA LEASING S. A.             1ND</v>
          </cell>
        </row>
        <row r="6103">
          <cell r="B6103" t="str">
            <v>14050906070799</v>
          </cell>
          <cell r="C6103" t="str">
            <v>LEASING EN LIQUIDACIÃ“N                 1ND</v>
          </cell>
        </row>
        <row r="6104">
          <cell r="B6104" t="str">
            <v>14050906070801</v>
          </cell>
          <cell r="C6104" t="str">
            <v>FONDO DE GARANTÃA PARA PRSTAMOS A LA PE1ND</v>
          </cell>
        </row>
        <row r="6105">
          <cell r="B6105" t="str">
            <v>14050906071301</v>
          </cell>
          <cell r="C6105" t="str">
            <v>LA FIDUCIARIA S. A.                     1ND</v>
          </cell>
        </row>
        <row r="6106">
          <cell r="B6106" t="str">
            <v>14050906071302</v>
          </cell>
          <cell r="C6106" t="str">
            <v>FIDUCIARIA GBC S. A.                    1ND</v>
          </cell>
        </row>
        <row r="6107">
          <cell r="B6107" t="str">
            <v>14050906071401</v>
          </cell>
          <cell r="C6107" t="str">
            <v>FONDO MIVIVIENDA S. A.                  1ND</v>
          </cell>
        </row>
        <row r="6108">
          <cell r="B6108" t="str">
            <v>14050906071501</v>
          </cell>
          <cell r="C6108" t="str">
            <v>AMRICA FACTORING S. A.                  1ND</v>
          </cell>
        </row>
        <row r="6109">
          <cell r="B6109" t="str">
            <v>14050906071601</v>
          </cell>
          <cell r="C6109" t="str">
            <v>INCASA S. A.                            1ND</v>
          </cell>
        </row>
        <row r="6110">
          <cell r="B6110" t="str">
            <v>14050906071701</v>
          </cell>
          <cell r="C6110" t="str">
            <v>BANCOS DEL EXTERIOR                     1ND</v>
          </cell>
        </row>
        <row r="6111">
          <cell r="B6111" t="str">
            <v>14050906071702</v>
          </cell>
          <cell r="C6111" t="str">
            <v>OTRAS EMPRESAS DEL SISTEMA FINANCIERO DE1ND</v>
          </cell>
        </row>
        <row r="6112">
          <cell r="B6112" t="str">
            <v>14050906071703</v>
          </cell>
          <cell r="C6112" t="str">
            <v>LPC SURGIR SANTANDER FINANCIAMIENTO CAP 1ND</v>
          </cell>
        </row>
        <row r="6113">
          <cell r="B6113" t="str">
            <v>14050918010101</v>
          </cell>
          <cell r="C6113" t="str">
            <v>BANCO CENTRAL DE RESERVA DEL PERU       1ND</v>
          </cell>
        </row>
        <row r="6114">
          <cell r="B6114" t="str">
            <v>14050918010102</v>
          </cell>
          <cell r="C6114" t="str">
            <v>BANCO DE LA NACIÃ“N                     1ND</v>
          </cell>
        </row>
        <row r="6115">
          <cell r="B6115" t="str">
            <v>14050918010103</v>
          </cell>
          <cell r="C6115" t="str">
            <v>BANCODE CREDITO DEL PERU                1ND</v>
          </cell>
        </row>
        <row r="6116">
          <cell r="B6116" t="str">
            <v>14050918010104</v>
          </cell>
          <cell r="C6116" t="str">
            <v>BANCO INTERNACIONAL DEL PERU - INTERBANK1ND</v>
          </cell>
        </row>
        <row r="6117">
          <cell r="B6117" t="str">
            <v>14050918010105</v>
          </cell>
          <cell r="C6117" t="str">
            <v>SCOTIABANK PERU S. A. A.                1ND</v>
          </cell>
        </row>
        <row r="6118">
          <cell r="B6118" t="str">
            <v>14050918010106</v>
          </cell>
          <cell r="C6118" t="str">
            <v>BANCO CONTINENTAL                       1ND</v>
          </cell>
        </row>
        <row r="6119">
          <cell r="B6119" t="str">
            <v>14050918010108</v>
          </cell>
          <cell r="C6119" t="str">
            <v>BANCO DE COMERCIO                       1ND</v>
          </cell>
        </row>
        <row r="6120">
          <cell r="B6120" t="str">
            <v>14050918010109</v>
          </cell>
          <cell r="C6120" t="str">
            <v>BANCO FINANCIERO DEL PERU               1ND</v>
          </cell>
        </row>
        <row r="6121">
          <cell r="B6121" t="str">
            <v>14050918010116</v>
          </cell>
          <cell r="C6121" t="str">
            <v>CITIBANK N. A.   SUCURSAL EN EL PERU DEL1ND</v>
          </cell>
        </row>
        <row r="6122">
          <cell r="B6122" t="str">
            <v>14050918010121</v>
          </cell>
          <cell r="C6122" t="str">
            <v>BANCO INTERAMERICANO DE FINANZAS - S. A.1ND</v>
          </cell>
        </row>
        <row r="6123">
          <cell r="B6123" t="str">
            <v>14050918010128</v>
          </cell>
          <cell r="C6123" t="str">
            <v>CORPORACIÃ“N FINANCIERA DE DESARROLLO S.1ND</v>
          </cell>
        </row>
        <row r="6124">
          <cell r="B6124" t="str">
            <v>14050918010129</v>
          </cell>
          <cell r="C6124" t="str">
            <v>MIBANCO BANCO DE LA MICROEMPRESA - MIBAN1ND</v>
          </cell>
        </row>
        <row r="6125">
          <cell r="B6125" t="str">
            <v>14050918010131</v>
          </cell>
          <cell r="C6125" t="str">
            <v>BANCO AGROPECUARIO - AGROBANCO          1ND</v>
          </cell>
        </row>
        <row r="6126">
          <cell r="B6126" t="str">
            <v>14050918010132</v>
          </cell>
          <cell r="C6126" t="str">
            <v>HSBC BANK PERU S. A.                    1ND</v>
          </cell>
        </row>
        <row r="6127">
          <cell r="B6127" t="str">
            <v>14050918010133</v>
          </cell>
          <cell r="C6127" t="str">
            <v>BANCO FALABELLA DEL PERU                1ND</v>
          </cell>
        </row>
        <row r="6128">
          <cell r="B6128" t="str">
            <v>14050918010134</v>
          </cell>
          <cell r="C6128" t="str">
            <v>BANCO SANTANDER PERU S. A.              1ND</v>
          </cell>
        </row>
        <row r="6129">
          <cell r="B6129" t="str">
            <v>14050918010135</v>
          </cell>
          <cell r="C6129" t="str">
            <v>BANCO RIPLEY S. A.                      1ND</v>
          </cell>
        </row>
        <row r="6130">
          <cell r="B6130" t="str">
            <v>14050918010136</v>
          </cell>
          <cell r="C6130" t="str">
            <v>BANCO AZTECA DEL PERU S. A.             1ND</v>
          </cell>
        </row>
        <row r="6131">
          <cell r="B6131" t="str">
            <v>14050918010137</v>
          </cell>
          <cell r="C6131" t="str">
            <v>DEUTSCHE BANK (PERU) S. A.              1ND</v>
          </cell>
        </row>
        <row r="6132">
          <cell r="B6132" t="str">
            <v>14050918010199</v>
          </cell>
          <cell r="C6132" t="str">
            <v>BANCOS EN LIQUIDACIÃ“N                  1ND</v>
          </cell>
        </row>
        <row r="6133">
          <cell r="B6133" t="str">
            <v>14050918010203</v>
          </cell>
          <cell r="C6133" t="str">
            <v>SOLUCIÃ“N FINANCIERADE CREDITO DEL PERU 1ND</v>
          </cell>
        </row>
        <row r="6134">
          <cell r="B6134" t="str">
            <v>14050918010207</v>
          </cell>
          <cell r="C6134" t="str">
            <v>FINANCIERA TFC S. A.                    1ND</v>
          </cell>
        </row>
        <row r="6135">
          <cell r="B6135" t="str">
            <v>14050918010209</v>
          </cell>
          <cell r="C6135" t="str">
            <v>FINANCIERA EDYFICAR S. A.               1ND</v>
          </cell>
        </row>
        <row r="6136">
          <cell r="B6136" t="str">
            <v>14050918010210</v>
          </cell>
          <cell r="C6136" t="str">
            <v>CREDISCOTIA FINANCIERA S. A.            1ND</v>
          </cell>
        </row>
        <row r="6137">
          <cell r="B6137" t="str">
            <v>14050918010211</v>
          </cell>
          <cell r="C6137" t="str">
            <v>FINANCIERA CREAR S. A.                  1ND</v>
          </cell>
        </row>
        <row r="6138">
          <cell r="B6138" t="str">
            <v>14050918010212</v>
          </cell>
          <cell r="C6138" t="str">
            <v>FINANCIERA CONFIANZA S. A.              1ND</v>
          </cell>
        </row>
        <row r="6139">
          <cell r="B6139" t="str">
            <v>14050918010213</v>
          </cell>
          <cell r="C6139" t="str">
            <v>FINANCIERA UNIVERSAL S. A.              1ND</v>
          </cell>
        </row>
        <row r="6140">
          <cell r="B6140" t="str">
            <v>14050918010214</v>
          </cell>
          <cell r="C6140" t="str">
            <v>FINANCIERA UNO S. A.                    1ND</v>
          </cell>
        </row>
        <row r="6141">
          <cell r="B6141" t="str">
            <v>14050918010215</v>
          </cell>
          <cell r="C6141" t="str">
            <v>FINANCIERA EFECTIVA S. A.               1ND</v>
          </cell>
        </row>
        <row r="6142">
          <cell r="B6142" t="str">
            <v>14050918010216</v>
          </cell>
          <cell r="C6142" t="str">
            <v>AMERIKA FINANCIERA S. A.                1ND</v>
          </cell>
        </row>
        <row r="6143">
          <cell r="B6143" t="str">
            <v>14050918010299</v>
          </cell>
          <cell r="C6143" t="str">
            <v>FINANCIERAS EN LIQUIDACIÃ“N             1ND</v>
          </cell>
        </row>
        <row r="6144">
          <cell r="B6144" t="str">
            <v>14050918010301</v>
          </cell>
          <cell r="C6144" t="str">
            <v>CAJA MUNICIPAL DE AHORRO YCREDITO DE SUL1ND</v>
          </cell>
        </row>
        <row r="6145">
          <cell r="B6145" t="str">
            <v>14050918010302</v>
          </cell>
          <cell r="C6145" t="str">
            <v>CAJA MUNICIPALDE CREDITO POPULAR DE LIMA1ND</v>
          </cell>
        </row>
        <row r="6146">
          <cell r="B6146" t="str">
            <v>14050918010303</v>
          </cell>
          <cell r="C6146" t="str">
            <v>CAJA MUNICIPAL DE AHORRO YCREDITO DE PIU1ND</v>
          </cell>
        </row>
        <row r="6147">
          <cell r="B6147" t="str">
            <v>14050918010304</v>
          </cell>
          <cell r="C6147" t="str">
            <v>CAJA MUNICIPAL DE AHORRO YCREDITO DE ARE1ND</v>
          </cell>
        </row>
        <row r="6148">
          <cell r="B6148" t="str">
            <v>14050918010305</v>
          </cell>
          <cell r="C6148" t="str">
            <v>CAJA MUNICIPAL DE AHORRO YCREDITO DE HUA1ND</v>
          </cell>
        </row>
        <row r="6149">
          <cell r="B6149" t="str">
            <v>14050918010306</v>
          </cell>
          <cell r="C6149" t="str">
            <v>CAJA MUNICIPAL DE AHORRO YCREDITO CUSCO 1ND</v>
          </cell>
        </row>
        <row r="6150">
          <cell r="B6150" t="str">
            <v>14050918010307</v>
          </cell>
          <cell r="C6150" t="str">
            <v>CAJA MUNICIPAL DE AHORRO YCREDITO DE MAY1ND</v>
          </cell>
        </row>
        <row r="6151">
          <cell r="B6151" t="str">
            <v>14050918010308</v>
          </cell>
          <cell r="C6151" t="str">
            <v>CAJA MUNICIPAL DE AHORRO YCREDITO DE ICA1ND</v>
          </cell>
        </row>
        <row r="6152">
          <cell r="B6152" t="str">
            <v>14050918010309</v>
          </cell>
          <cell r="C6152" t="str">
            <v>CAJA MUNICIPAL DE AHORRO YCREDITO DE PAI1ND</v>
          </cell>
        </row>
        <row r="6153">
          <cell r="B6153" t="str">
            <v>14050918010310</v>
          </cell>
          <cell r="C6153" t="str">
            <v>CAJA MUNICIPAL DE AHORRO YCREDITO DEL SA1ND</v>
          </cell>
        </row>
        <row r="6154">
          <cell r="B6154" t="str">
            <v>14050918010311</v>
          </cell>
          <cell r="C6154" t="str">
            <v>CAJA MUNICIPAL DE AHORRO YCREDITO DE TRU1ND</v>
          </cell>
        </row>
        <row r="6155">
          <cell r="B6155" t="str">
            <v>14050918010312</v>
          </cell>
          <cell r="C6155" t="str">
            <v>CAJA MUNICIPAL DE AHORRO YCREDITO DE TAC1ND</v>
          </cell>
        </row>
        <row r="6156">
          <cell r="B6156" t="str">
            <v>14050918010313</v>
          </cell>
          <cell r="C6156" t="str">
            <v>CAJA MUNICIPAL DE AHORRO YCREDITO DE PIS1ND</v>
          </cell>
        </row>
        <row r="6157">
          <cell r="B6157" t="str">
            <v>14050918010399</v>
          </cell>
          <cell r="C6157" t="str">
            <v>CAJAS MUNICIPALES DE AHORRO YCREDITO EN 1ND</v>
          </cell>
        </row>
        <row r="6158">
          <cell r="B6158" t="str">
            <v>14050918010403</v>
          </cell>
          <cell r="C6158" t="str">
            <v>CAJA RURAL DE AHORRO YCREDITO QUILLABAMB1ND</v>
          </cell>
        </row>
        <row r="6159">
          <cell r="B6159" t="str">
            <v>14050918010405</v>
          </cell>
          <cell r="C6159" t="str">
            <v>CAJA RURAL DE AHORRO YCREDITO LOS LIBERT1ND</v>
          </cell>
        </row>
        <row r="6160">
          <cell r="B6160" t="str">
            <v>14050918010406</v>
          </cell>
          <cell r="C6160" t="str">
            <v>CAJA RURAL DE AHORRO YCREDITO SEÃ‘OR DE 1ND</v>
          </cell>
        </row>
        <row r="6161">
          <cell r="B6161" t="str">
            <v>14050918010407</v>
          </cell>
          <cell r="C6161" t="str">
            <v>CAJA RURAL DE AHORRO YCREDITO CHAVÃN S.1ND</v>
          </cell>
        </row>
        <row r="6162">
          <cell r="B6162" t="str">
            <v>14050918010408</v>
          </cell>
          <cell r="C6162" t="str">
            <v>CAJA RURAL DE AHORRO YCREDITO NUESTRA GE1ND</v>
          </cell>
        </row>
        <row r="6163">
          <cell r="B6163" t="str">
            <v>14050918010409</v>
          </cell>
          <cell r="C6163" t="str">
            <v>CAJA RURAL DE AHORRO YCREDITO CAJAMARCA 1ND</v>
          </cell>
        </row>
        <row r="6164">
          <cell r="B6164" t="str">
            <v>14050918010410</v>
          </cell>
          <cell r="C6164" t="str">
            <v>CAJA RURAL DE AHORRO YCREDITO PROFINANZA1ND</v>
          </cell>
        </row>
        <row r="6165">
          <cell r="B6165" t="str">
            <v>14050918010412</v>
          </cell>
          <cell r="C6165" t="str">
            <v>CAJA RURAL DE AHORRO YCREDITO SIPÃN S. 1ND</v>
          </cell>
        </row>
        <row r="6166">
          <cell r="B6166" t="str">
            <v>14050918010414</v>
          </cell>
          <cell r="C6166" t="str">
            <v>CAJA RURAL DE AHORRO YCREDITO PRYMERA S.1ND</v>
          </cell>
        </row>
        <row r="6167">
          <cell r="B6167" t="str">
            <v>14050918010415</v>
          </cell>
          <cell r="C6167" t="str">
            <v>CAJA RURAL DE AHORRO YCREDITO LOS ANDES 1ND</v>
          </cell>
        </row>
        <row r="6168">
          <cell r="B6168" t="str">
            <v>14050918010499</v>
          </cell>
          <cell r="C6168" t="str">
            <v>CAJAS RURALES DE AHORRO YCREDITO EN LIQU1ND</v>
          </cell>
        </row>
        <row r="6169">
          <cell r="B6169" t="str">
            <v>14050918010503</v>
          </cell>
          <cell r="C6169" t="str">
            <v>PROEMPRESA S. A.                        1ND</v>
          </cell>
        </row>
        <row r="6170">
          <cell r="B6170" t="str">
            <v>14050918010506</v>
          </cell>
          <cell r="C6170" t="str">
            <v>NUEVA VISIÃ“N S. A.                     1ND</v>
          </cell>
        </row>
        <row r="6171">
          <cell r="B6171" t="str">
            <v>14050918010508</v>
          </cell>
          <cell r="C6171" t="str">
            <v>RAIZ S. A.                              1ND</v>
          </cell>
        </row>
        <row r="6172">
          <cell r="B6172" t="str">
            <v>14050918010510</v>
          </cell>
          <cell r="C6172" t="str">
            <v>SOLIDARIDAD S. A.                       1ND</v>
          </cell>
        </row>
        <row r="6173">
          <cell r="B6173" t="str">
            <v>14050918010511</v>
          </cell>
          <cell r="C6173" t="str">
            <v>CREDIVISIÃ“N S. A.                      1ND</v>
          </cell>
        </row>
        <row r="6174">
          <cell r="B6174" t="str">
            <v>14050918010512</v>
          </cell>
          <cell r="C6174" t="str">
            <v>ACCESO CREDITICIO S. A.                 1ND</v>
          </cell>
        </row>
        <row r="6175">
          <cell r="B6175" t="str">
            <v>14050918010514</v>
          </cell>
          <cell r="C6175" t="str">
            <v>ALTERNATIVA S. A.                       1ND</v>
          </cell>
        </row>
        <row r="6176">
          <cell r="B6176" t="str">
            <v>14050918010515</v>
          </cell>
          <cell r="C6176" t="str">
            <v>PRONEGOCIOS S. A.                       1ND</v>
          </cell>
        </row>
        <row r="6177">
          <cell r="B6177" t="str">
            <v>14050918010516</v>
          </cell>
          <cell r="C6177" t="str">
            <v>MICASITA S. A.                          1ND</v>
          </cell>
        </row>
        <row r="6178">
          <cell r="B6178" t="str">
            <v>14050918010517</v>
          </cell>
          <cell r="C6178" t="str">
            <v>CREDIJET DEL PERU S. A.                 1ND</v>
          </cell>
        </row>
        <row r="6179">
          <cell r="B6179" t="str">
            <v>14050918010599</v>
          </cell>
          <cell r="C6179" t="str">
            <v>EDPYMES EN LIQUIDACIÃ“N                 1ND</v>
          </cell>
        </row>
        <row r="6180">
          <cell r="B6180" t="str">
            <v>14050918010710</v>
          </cell>
          <cell r="C6180" t="str">
            <v>LEASING TOTAL S. A.                     1ND</v>
          </cell>
        </row>
        <row r="6181">
          <cell r="B6181" t="str">
            <v>14050918010711</v>
          </cell>
          <cell r="C6181" t="str">
            <v>MITSUI - MASA LEASING S. A.             1ND</v>
          </cell>
        </row>
        <row r="6182">
          <cell r="B6182" t="str">
            <v>14050918010799</v>
          </cell>
          <cell r="C6182" t="str">
            <v>LEASING EN LIQUIDACIÃ“N                 1ND</v>
          </cell>
        </row>
        <row r="6183">
          <cell r="B6183" t="str">
            <v>14050918010801</v>
          </cell>
          <cell r="C6183" t="str">
            <v>FONDO DE GARANTÃA PARA PRSTAMOS A LA PE1ND</v>
          </cell>
        </row>
        <row r="6184">
          <cell r="B6184" t="str">
            <v>14050918011301</v>
          </cell>
          <cell r="C6184" t="str">
            <v>LA FIDUCIARIA S. A.                     1ND</v>
          </cell>
        </row>
        <row r="6185">
          <cell r="B6185" t="str">
            <v>14050918011302</v>
          </cell>
          <cell r="C6185" t="str">
            <v>FIDUCIARIA GBC S. A.                    1ND</v>
          </cell>
        </row>
        <row r="6186">
          <cell r="B6186" t="str">
            <v>14050918011401</v>
          </cell>
          <cell r="C6186" t="str">
            <v>FONDO MIVIVIENDA S. A.                  1ND</v>
          </cell>
        </row>
        <row r="6187">
          <cell r="B6187" t="str">
            <v>14050918011501</v>
          </cell>
          <cell r="C6187" t="str">
            <v>AMRICA FACTORING S. A.                  1ND</v>
          </cell>
        </row>
        <row r="6188">
          <cell r="B6188" t="str">
            <v>14050918011601</v>
          </cell>
          <cell r="C6188" t="str">
            <v>INCASA S. A.                            1ND</v>
          </cell>
        </row>
        <row r="6189">
          <cell r="B6189" t="str">
            <v>14050918011701</v>
          </cell>
          <cell r="C6189" t="str">
            <v>BANCOS DEL EXTERIOR                     1ND</v>
          </cell>
        </row>
        <row r="6190">
          <cell r="B6190" t="str">
            <v>14050918011702</v>
          </cell>
          <cell r="C6190" t="str">
            <v>OTRAS EMPRESAS DEL SISTEMA FINANCIERO DE1ND</v>
          </cell>
        </row>
        <row r="6191">
          <cell r="B6191" t="str">
            <v>14050918020101</v>
          </cell>
          <cell r="C6191" t="str">
            <v>BANCO CENTRAL DE RESERVA DEL PERU       1ND</v>
          </cell>
        </row>
        <row r="6192">
          <cell r="B6192" t="str">
            <v>14050918020102</v>
          </cell>
          <cell r="C6192" t="str">
            <v>BANCO DE LA NACIÃ“N                     1ND</v>
          </cell>
        </row>
        <row r="6193">
          <cell r="B6193" t="str">
            <v>14050918020103</v>
          </cell>
          <cell r="C6193" t="str">
            <v>BANCODE CREDITO DEL PERU                1ND</v>
          </cell>
        </row>
        <row r="6194">
          <cell r="B6194" t="str">
            <v>14050918020104</v>
          </cell>
          <cell r="C6194" t="str">
            <v>BANCO INTERNACIONAL DEL PERU - INTERBANK1ND</v>
          </cell>
        </row>
        <row r="6195">
          <cell r="B6195" t="str">
            <v>14050918020105</v>
          </cell>
          <cell r="C6195" t="str">
            <v>SCOTIABANK PERU S. A. A.                1ND</v>
          </cell>
        </row>
        <row r="6196">
          <cell r="B6196" t="str">
            <v>14050918020106</v>
          </cell>
          <cell r="C6196" t="str">
            <v>BANCO CONTINENTAL                       1ND</v>
          </cell>
        </row>
        <row r="6197">
          <cell r="B6197" t="str">
            <v>14050918020108</v>
          </cell>
          <cell r="C6197" t="str">
            <v>BANCO DE COMERCIO                       1ND</v>
          </cell>
        </row>
        <row r="6198">
          <cell r="B6198" t="str">
            <v>14050918020109</v>
          </cell>
          <cell r="C6198" t="str">
            <v>BANCO FINANCIERO DEL PERU               1ND</v>
          </cell>
        </row>
        <row r="6199">
          <cell r="B6199" t="str">
            <v>14050918020116</v>
          </cell>
          <cell r="C6199" t="str">
            <v>CITIBANK N. A.   SUCURSAL EN EL PERU DEL1ND</v>
          </cell>
        </row>
        <row r="6200">
          <cell r="B6200" t="str">
            <v>14050918020121</v>
          </cell>
          <cell r="C6200" t="str">
            <v>BANCO INTERAMERICANO DE FINANZAS - S. A.1ND</v>
          </cell>
        </row>
        <row r="6201">
          <cell r="B6201" t="str">
            <v>14050918020128</v>
          </cell>
          <cell r="C6201" t="str">
            <v>CORPORACIÃ“N FINANCIERA DE DESARROLLO S.1ND</v>
          </cell>
        </row>
        <row r="6202">
          <cell r="B6202" t="str">
            <v>14050918020129</v>
          </cell>
          <cell r="C6202" t="str">
            <v>MIBANCO BANCO DE LA MICROEMPRESA - MIBAN1ND</v>
          </cell>
        </row>
        <row r="6203">
          <cell r="B6203" t="str">
            <v>14050918020131</v>
          </cell>
          <cell r="C6203" t="str">
            <v>BANCO AGROPECUARIO - AGROBANCO          1ND</v>
          </cell>
        </row>
        <row r="6204">
          <cell r="B6204" t="str">
            <v>14050918020132</v>
          </cell>
          <cell r="C6204" t="str">
            <v>HSBC BANK PERU S. A.                    1ND</v>
          </cell>
        </row>
        <row r="6205">
          <cell r="B6205" t="str">
            <v>14050918020133</v>
          </cell>
          <cell r="C6205" t="str">
            <v>BANCO FALABELLA DEL PERU                1ND</v>
          </cell>
        </row>
        <row r="6206">
          <cell r="B6206" t="str">
            <v>14050918020134</v>
          </cell>
          <cell r="C6206" t="str">
            <v>BANCO SANTANDER PERU S. A.              1ND</v>
          </cell>
        </row>
        <row r="6207">
          <cell r="B6207" t="str">
            <v>14050918020135</v>
          </cell>
          <cell r="C6207" t="str">
            <v>BANCO RIPLEY S. A.                      1ND</v>
          </cell>
        </row>
        <row r="6208">
          <cell r="B6208" t="str">
            <v>14050918020136</v>
          </cell>
          <cell r="C6208" t="str">
            <v>BANCO AZTECA DEL PERU S. A.             1ND</v>
          </cell>
        </row>
        <row r="6209">
          <cell r="B6209" t="str">
            <v>14050918020137</v>
          </cell>
          <cell r="C6209" t="str">
            <v>DEUTSCHE BANK (PERU) S. A.              1ND</v>
          </cell>
        </row>
        <row r="6210">
          <cell r="B6210" t="str">
            <v>14050918020199</v>
          </cell>
          <cell r="C6210" t="str">
            <v>BANCOS EN LIQUIDACIÃ“N                  1ND</v>
          </cell>
        </row>
        <row r="6211">
          <cell r="B6211" t="str">
            <v>14050918020203</v>
          </cell>
          <cell r="C6211" t="str">
            <v>SOLUCIÃ“N FINANCIERADE CREDITO DEL PERU 1ND</v>
          </cell>
        </row>
        <row r="6212">
          <cell r="B6212" t="str">
            <v>14050918020207</v>
          </cell>
          <cell r="C6212" t="str">
            <v>FINANCIERA TFC S. A.                    1ND</v>
          </cell>
        </row>
        <row r="6213">
          <cell r="B6213" t="str">
            <v>14050918020209</v>
          </cell>
          <cell r="C6213" t="str">
            <v>FINANCIERA EDYFICAR S. A.               1ND</v>
          </cell>
        </row>
        <row r="6214">
          <cell r="B6214" t="str">
            <v>14050918020210</v>
          </cell>
          <cell r="C6214" t="str">
            <v>CREDISCOTIA FINANCIERA S. A.            1ND</v>
          </cell>
        </row>
        <row r="6215">
          <cell r="B6215" t="str">
            <v>14050918020211</v>
          </cell>
          <cell r="C6215" t="str">
            <v>FINANCIERA CREAR S. A.                  1ND</v>
          </cell>
        </row>
        <row r="6216">
          <cell r="B6216" t="str">
            <v>14050918020212</v>
          </cell>
          <cell r="C6216" t="str">
            <v>FINANCIERA CONFIANZA S. A.              1ND</v>
          </cell>
        </row>
        <row r="6217">
          <cell r="B6217" t="str">
            <v>14050918020213</v>
          </cell>
          <cell r="C6217" t="str">
            <v>FINANCIERA UNIVERSAL S. A.              1ND</v>
          </cell>
        </row>
        <row r="6218">
          <cell r="B6218" t="str">
            <v>14050918020214</v>
          </cell>
          <cell r="C6218" t="str">
            <v>FINANCIERA UNO S. A.                    1ND</v>
          </cell>
        </row>
        <row r="6219">
          <cell r="B6219" t="str">
            <v>14050918020215</v>
          </cell>
          <cell r="C6219" t="str">
            <v>FINANCIERA EFECTIVA S. A.               1ND</v>
          </cell>
        </row>
        <row r="6220">
          <cell r="B6220" t="str">
            <v>14050918020216</v>
          </cell>
          <cell r="C6220" t="str">
            <v>AMERIKA FINANCIERA S. A.                1ND</v>
          </cell>
        </row>
        <row r="6221">
          <cell r="B6221" t="str">
            <v>14050918020299</v>
          </cell>
          <cell r="C6221" t="str">
            <v>FINANCIERAS EN LIQUIDACIÃ“N             1ND</v>
          </cell>
        </row>
        <row r="6222">
          <cell r="B6222" t="str">
            <v>14050918020301</v>
          </cell>
          <cell r="C6222" t="str">
            <v>CAJA MUNICIPAL DE AHORRO YCREDITO DE SUL1ND</v>
          </cell>
        </row>
        <row r="6223">
          <cell r="B6223" t="str">
            <v>14050918020302</v>
          </cell>
          <cell r="C6223" t="str">
            <v>CAJA MUNICIPALDE CREDITO POPULAR DE LIMA1ND</v>
          </cell>
        </row>
        <row r="6224">
          <cell r="B6224" t="str">
            <v>14050918020303</v>
          </cell>
          <cell r="C6224" t="str">
            <v>CAJA MUNICIPAL DE AHORRO YCREDITO DE PIU1ND</v>
          </cell>
        </row>
        <row r="6225">
          <cell r="B6225" t="str">
            <v>14050918020304</v>
          </cell>
          <cell r="C6225" t="str">
            <v>CAJA MUNICIPAL DE AHORRO YCREDITO DE ARE1ND</v>
          </cell>
        </row>
        <row r="6226">
          <cell r="B6226" t="str">
            <v>14050918020305</v>
          </cell>
          <cell r="C6226" t="str">
            <v>CAJA MUNICIPAL DE AHORRO YCREDITO DE HUA1ND</v>
          </cell>
        </row>
        <row r="6227">
          <cell r="B6227" t="str">
            <v>14050918020306</v>
          </cell>
          <cell r="C6227" t="str">
            <v>CAJA MUNICIPAL DE AHORRO YCREDITO CUSCO 1ND</v>
          </cell>
        </row>
        <row r="6228">
          <cell r="B6228" t="str">
            <v>14050918020307</v>
          </cell>
          <cell r="C6228" t="str">
            <v>CAJA MUNICIPAL DE AHORRO YCREDITO DE MAY1ND</v>
          </cell>
        </row>
        <row r="6229">
          <cell r="B6229" t="str">
            <v>14050918020308</v>
          </cell>
          <cell r="C6229" t="str">
            <v>CAJA MUNICIPAL DE AHORRO YCREDITO DE ICA1ND</v>
          </cell>
        </row>
        <row r="6230">
          <cell r="B6230" t="str">
            <v>14050918020309</v>
          </cell>
          <cell r="C6230" t="str">
            <v>CAJA MUNICIPAL DE AHORRO YCREDITO DE PAI1ND</v>
          </cell>
        </row>
        <row r="6231">
          <cell r="B6231" t="str">
            <v>14050918020310</v>
          </cell>
          <cell r="C6231" t="str">
            <v>CAJA MUNICIPAL DE AHORRO YCREDITO DEL SA1ND</v>
          </cell>
        </row>
        <row r="6232">
          <cell r="B6232" t="str">
            <v>14050918020311</v>
          </cell>
          <cell r="C6232" t="str">
            <v>CAJA MUNICIPAL DE AHORRO YCREDITO DE TRU1ND</v>
          </cell>
        </row>
        <row r="6233">
          <cell r="B6233" t="str">
            <v>14050918020312</v>
          </cell>
          <cell r="C6233" t="str">
            <v>CAJA MUNICIPAL DE AHORRO YCREDITO DE TAC1ND</v>
          </cell>
        </row>
        <row r="6234">
          <cell r="B6234" t="str">
            <v>14050918020313</v>
          </cell>
          <cell r="C6234" t="str">
            <v>CAJA MUNICIPAL DE AHORRO YCREDITO DE PIS1ND</v>
          </cell>
        </row>
        <row r="6235">
          <cell r="B6235" t="str">
            <v>14050918020399</v>
          </cell>
          <cell r="C6235" t="str">
            <v>CAJAS MUNICIPALES DE AHORRO YCREDITO EN 1ND</v>
          </cell>
        </row>
        <row r="6236">
          <cell r="B6236" t="str">
            <v>14050918020403</v>
          </cell>
          <cell r="C6236" t="str">
            <v>CAJA RURAL DE AHORRO YCREDITO QUILLABAMB1ND</v>
          </cell>
        </row>
        <row r="6237">
          <cell r="B6237" t="str">
            <v>14050918020405</v>
          </cell>
          <cell r="C6237" t="str">
            <v>CAJA RURAL DE AHORRO YCREDITO LOS LIBERT1ND</v>
          </cell>
        </row>
        <row r="6238">
          <cell r="B6238" t="str">
            <v>14050918020406</v>
          </cell>
          <cell r="C6238" t="str">
            <v>CAJA RURAL DE AHORRO YCREDITO SEÃ‘OR DE 1ND</v>
          </cell>
        </row>
        <row r="6239">
          <cell r="B6239" t="str">
            <v>14050918020407</v>
          </cell>
          <cell r="C6239" t="str">
            <v>CAJA RURAL DE AHORRO YCREDITO CHAVÃN S.1ND</v>
          </cell>
        </row>
        <row r="6240">
          <cell r="B6240" t="str">
            <v>14050918020408</v>
          </cell>
          <cell r="C6240" t="str">
            <v>CAJA RURAL DE AHORRO YCREDITO NUESTRA GE1ND</v>
          </cell>
        </row>
        <row r="6241">
          <cell r="B6241" t="str">
            <v>14050918020409</v>
          </cell>
          <cell r="C6241" t="str">
            <v>CAJA RURAL DE AHORRO YCREDITO CAJAMARCA 1ND</v>
          </cell>
        </row>
        <row r="6242">
          <cell r="B6242" t="str">
            <v>14050918020410</v>
          </cell>
          <cell r="C6242" t="str">
            <v>CAJA RURAL DE AHORRO YCREDITO PROFINANZA1ND</v>
          </cell>
        </row>
        <row r="6243">
          <cell r="B6243" t="str">
            <v>14050918020412</v>
          </cell>
          <cell r="C6243" t="str">
            <v>CAJA RURAL DE AHORRO YCREDITO SIPÃN S. 1ND</v>
          </cell>
        </row>
        <row r="6244">
          <cell r="B6244" t="str">
            <v>14050918020414</v>
          </cell>
          <cell r="C6244" t="str">
            <v>CAJA RURAL DE AHORRO YCREDITO PRYMERA S.1ND</v>
          </cell>
        </row>
        <row r="6245">
          <cell r="B6245" t="str">
            <v>14050918020415</v>
          </cell>
          <cell r="C6245" t="str">
            <v>CAJA RURAL DE AHORRO YCREDITO LOS ANDES 1ND</v>
          </cell>
        </row>
        <row r="6246">
          <cell r="B6246" t="str">
            <v>14050918020499</v>
          </cell>
          <cell r="C6246" t="str">
            <v>CAJAS RURALES DE AHORRO YCREDITO EN LIQU1ND</v>
          </cell>
        </row>
        <row r="6247">
          <cell r="B6247" t="str">
            <v>14050918020503</v>
          </cell>
          <cell r="C6247" t="str">
            <v>PROEMPRESA S. A.                        1ND</v>
          </cell>
        </row>
        <row r="6248">
          <cell r="B6248" t="str">
            <v>14050918020506</v>
          </cell>
          <cell r="C6248" t="str">
            <v>NUEVA VISIÃ“N S. A.                     1ND</v>
          </cell>
        </row>
        <row r="6249">
          <cell r="B6249" t="str">
            <v>14050918020508</v>
          </cell>
          <cell r="C6249" t="str">
            <v>RAIZ S. A.                              1ND</v>
          </cell>
        </row>
        <row r="6250">
          <cell r="B6250" t="str">
            <v>14050918020510</v>
          </cell>
          <cell r="C6250" t="str">
            <v>SOLIDARIDAD S. A.                       1ND</v>
          </cell>
        </row>
        <row r="6251">
          <cell r="B6251" t="str">
            <v>14050918020511</v>
          </cell>
          <cell r="C6251" t="str">
            <v>CREDIVISIÃ“N S. A.                      1ND</v>
          </cell>
        </row>
        <row r="6252">
          <cell r="B6252" t="str">
            <v>14050918020512</v>
          </cell>
          <cell r="C6252" t="str">
            <v>ACCESO CREDITICIO S. A.                 1ND</v>
          </cell>
        </row>
        <row r="6253">
          <cell r="B6253" t="str">
            <v>14050918020514</v>
          </cell>
          <cell r="C6253" t="str">
            <v>ALTERNATIVA S. A.                       1ND</v>
          </cell>
        </row>
        <row r="6254">
          <cell r="B6254" t="str">
            <v>14050918020515</v>
          </cell>
          <cell r="C6254" t="str">
            <v>PRONEGOCIOS S. A.                       1ND</v>
          </cell>
        </row>
        <row r="6255">
          <cell r="B6255" t="str">
            <v>14050918020516</v>
          </cell>
          <cell r="C6255" t="str">
            <v>MICASITA S. A.                          1ND</v>
          </cell>
        </row>
        <row r="6256">
          <cell r="B6256" t="str">
            <v>14050918020517</v>
          </cell>
          <cell r="C6256" t="str">
            <v>CREDIJET DEL PERU S. A.                 1ND</v>
          </cell>
        </row>
        <row r="6257">
          <cell r="B6257" t="str">
            <v>14050918020599</v>
          </cell>
          <cell r="C6257" t="str">
            <v>EDPYMES EN LIQUIDACIÃ“N                 1ND</v>
          </cell>
        </row>
        <row r="6258">
          <cell r="B6258" t="str">
            <v>14050918020710</v>
          </cell>
          <cell r="C6258" t="str">
            <v>LEASING TOTAL S. A.                     1ND</v>
          </cell>
        </row>
        <row r="6259">
          <cell r="B6259" t="str">
            <v>14050918020711</v>
          </cell>
          <cell r="C6259" t="str">
            <v>MITSUI - MASA LEASING S. A.             1ND</v>
          </cell>
        </row>
        <row r="6260">
          <cell r="B6260" t="str">
            <v>14050918020799</v>
          </cell>
          <cell r="C6260" t="str">
            <v>LEASING EN LIQUIDACIÃ“N                 1ND</v>
          </cell>
        </row>
        <row r="6261">
          <cell r="B6261" t="str">
            <v>14050918020801</v>
          </cell>
          <cell r="C6261" t="str">
            <v>FONDO DE GARANTÃA PARA PRSTAMOS A LA PE1ND</v>
          </cell>
        </row>
        <row r="6262">
          <cell r="B6262" t="str">
            <v>14050918021301</v>
          </cell>
          <cell r="C6262" t="str">
            <v>LA FIDUCIARIA S. A.                     1ND</v>
          </cell>
        </row>
        <row r="6263">
          <cell r="B6263" t="str">
            <v>14050918021302</v>
          </cell>
          <cell r="C6263" t="str">
            <v>FIDUCIARIA GBC S. A.                    1ND</v>
          </cell>
        </row>
        <row r="6264">
          <cell r="B6264" t="str">
            <v>14050918021401</v>
          </cell>
          <cell r="C6264" t="str">
            <v>FONDO MIVIVIENDA S. A.                  1ND</v>
          </cell>
        </row>
        <row r="6265">
          <cell r="B6265" t="str">
            <v>14050918021501</v>
          </cell>
          <cell r="C6265" t="str">
            <v>AMRICA FACTORING S. A.                  1ND</v>
          </cell>
        </row>
        <row r="6266">
          <cell r="B6266" t="str">
            <v>14050918021601</v>
          </cell>
          <cell r="C6266" t="str">
            <v>INCASA S. A.                            1ND</v>
          </cell>
        </row>
        <row r="6267">
          <cell r="B6267" t="str">
            <v>14050918021701</v>
          </cell>
          <cell r="C6267" t="str">
            <v>BANCOS DEL EXTERIOR                     1ND</v>
          </cell>
        </row>
        <row r="6268">
          <cell r="B6268" t="str">
            <v>14050918021702</v>
          </cell>
          <cell r="C6268" t="str">
            <v>OTRAS EMPRESAS DEL SISTEMA FINANCIERO DE1ND</v>
          </cell>
        </row>
        <row r="6269">
          <cell r="B6269" t="str">
            <v>14050919060101</v>
          </cell>
          <cell r="C6269" t="str">
            <v>BANCO CENTRAL DE RESERVA DEL PERU       1ND</v>
          </cell>
        </row>
        <row r="6270">
          <cell r="B6270" t="str">
            <v>14050919060102</v>
          </cell>
          <cell r="C6270" t="str">
            <v>BANCO DE LA NACIÃ“N                     1ND</v>
          </cell>
        </row>
        <row r="6271">
          <cell r="B6271" t="str">
            <v>14050919060103</v>
          </cell>
          <cell r="C6271" t="str">
            <v>BANCODE CREDITO DEL PERU                1ND</v>
          </cell>
        </row>
        <row r="6272">
          <cell r="B6272" t="str">
            <v>14050919060104</v>
          </cell>
          <cell r="C6272" t="str">
            <v>BANCO INTERNACIONAL DEL PERU - INTERBANK1ND</v>
          </cell>
        </row>
        <row r="6273">
          <cell r="B6273" t="str">
            <v>14050919060105</v>
          </cell>
          <cell r="C6273" t="str">
            <v>SCOTIABANK PERU S. A. A.                1ND</v>
          </cell>
        </row>
        <row r="6274">
          <cell r="B6274" t="str">
            <v>14050919060106</v>
          </cell>
          <cell r="C6274" t="str">
            <v>BANCO CONTINENTAL                       1ND</v>
          </cell>
        </row>
        <row r="6275">
          <cell r="B6275" t="str">
            <v>14050919060108</v>
          </cell>
          <cell r="C6275" t="str">
            <v>BANCO DE COMERCIO                       1ND</v>
          </cell>
        </row>
        <row r="6276">
          <cell r="B6276" t="str">
            <v>14050919060109</v>
          </cell>
          <cell r="C6276" t="str">
            <v>BANCO FINANCIERO DEL PERU               1ND</v>
          </cell>
        </row>
        <row r="6277">
          <cell r="B6277" t="str">
            <v>14050919060116</v>
          </cell>
          <cell r="C6277" t="str">
            <v>CITIBANK N. A.   SUCURSAL EN EL PERU DEL1ND</v>
          </cell>
        </row>
        <row r="6278">
          <cell r="B6278" t="str">
            <v>14050919060121</v>
          </cell>
          <cell r="C6278" t="str">
            <v>BANCO INTERAMERICANO DE FINANZAS - S. A.1ND</v>
          </cell>
        </row>
        <row r="6279">
          <cell r="B6279" t="str">
            <v>14050919060128</v>
          </cell>
          <cell r="C6279" t="str">
            <v>CORPORACIÃ“N FINANCIERA DE DESARROLLO S.1ND</v>
          </cell>
        </row>
        <row r="6280">
          <cell r="B6280" t="str">
            <v>14050919060129</v>
          </cell>
          <cell r="C6280" t="str">
            <v>MIBANCO BANCO DE LA MICROEMPRESA - MIBAN1ND</v>
          </cell>
        </row>
        <row r="6281">
          <cell r="B6281" t="str">
            <v>14050919060131</v>
          </cell>
          <cell r="C6281" t="str">
            <v>BANCO AGROPECUARIO - AGROBANCO          1ND</v>
          </cell>
        </row>
        <row r="6282">
          <cell r="B6282" t="str">
            <v>14050919060132</v>
          </cell>
          <cell r="C6282" t="str">
            <v>HSBC BANK PERU S. A.                    1ND</v>
          </cell>
        </row>
        <row r="6283">
          <cell r="B6283" t="str">
            <v>14050919060133</v>
          </cell>
          <cell r="C6283" t="str">
            <v>BANCO FALABELLA DEL PERU                1ND</v>
          </cell>
        </row>
        <row r="6284">
          <cell r="B6284" t="str">
            <v>14050919060134</v>
          </cell>
          <cell r="C6284" t="str">
            <v>BANCO SANTANDER PERU S. A.              1ND</v>
          </cell>
        </row>
        <row r="6285">
          <cell r="B6285" t="str">
            <v>14050919060135</v>
          </cell>
          <cell r="C6285" t="str">
            <v>BANCO RIPLEY S. A.                      1ND</v>
          </cell>
        </row>
        <row r="6286">
          <cell r="B6286" t="str">
            <v>14050919060136</v>
          </cell>
          <cell r="C6286" t="str">
            <v>BANCO AZTECA DEL PERU S. A.             1ND</v>
          </cell>
        </row>
        <row r="6287">
          <cell r="B6287" t="str">
            <v>14050919060137</v>
          </cell>
          <cell r="C6287" t="str">
            <v>DEUTSCHE BANK (PERU) S. A.              1ND</v>
          </cell>
        </row>
        <row r="6288">
          <cell r="B6288" t="str">
            <v>14050919060199</v>
          </cell>
          <cell r="C6288" t="str">
            <v>BANCOS EN LIQUIDACIÃ“N                  1ND</v>
          </cell>
        </row>
        <row r="6289">
          <cell r="B6289" t="str">
            <v>14050919060203</v>
          </cell>
          <cell r="C6289" t="str">
            <v>SOLUCIÃ“N FINANCIERADE CREDITO DEL PERU 1ND</v>
          </cell>
        </row>
        <row r="6290">
          <cell r="B6290" t="str">
            <v>14050919060207</v>
          </cell>
          <cell r="C6290" t="str">
            <v>FINANCIERA TFC S. A.                    1ND</v>
          </cell>
        </row>
        <row r="6291">
          <cell r="B6291" t="str">
            <v>14050919060209</v>
          </cell>
          <cell r="C6291" t="str">
            <v>FINANCIERA EDYFICAR S. A.               1ND</v>
          </cell>
        </row>
        <row r="6292">
          <cell r="B6292" t="str">
            <v>14050919060210</v>
          </cell>
          <cell r="C6292" t="str">
            <v>CREDISCOTIA FINANCIERA S. A.            1ND</v>
          </cell>
        </row>
        <row r="6293">
          <cell r="B6293" t="str">
            <v>14050919060211</v>
          </cell>
          <cell r="C6293" t="str">
            <v>FINANCIERA CREAR S. A.                  1ND</v>
          </cell>
        </row>
        <row r="6294">
          <cell r="B6294" t="str">
            <v>14050919060212</v>
          </cell>
          <cell r="C6294" t="str">
            <v>FINANCIERA CONFIANZA S. A.              1ND</v>
          </cell>
        </row>
        <row r="6295">
          <cell r="B6295" t="str">
            <v>14050919060213</v>
          </cell>
          <cell r="C6295" t="str">
            <v>FINANCIERA UNIVERSAL S. A.              1ND</v>
          </cell>
        </row>
        <row r="6296">
          <cell r="B6296" t="str">
            <v>14050919060214</v>
          </cell>
          <cell r="C6296" t="str">
            <v>FINANCIERA UNO S. A.                    1ND</v>
          </cell>
        </row>
        <row r="6297">
          <cell r="B6297" t="str">
            <v>14050919060215</v>
          </cell>
          <cell r="C6297" t="str">
            <v>FINANCIERA EFECTIVA S. A.               1ND</v>
          </cell>
        </row>
        <row r="6298">
          <cell r="B6298" t="str">
            <v>14050919060216</v>
          </cell>
          <cell r="C6298" t="str">
            <v>AMERIKA FINANCIERA S. A.                1ND</v>
          </cell>
        </row>
        <row r="6299">
          <cell r="B6299" t="str">
            <v>14050919060299</v>
          </cell>
          <cell r="C6299" t="str">
            <v>FINANCIERAS EN LIQUIDACIÃ“N             1ND</v>
          </cell>
        </row>
        <row r="6300">
          <cell r="B6300" t="str">
            <v>14050919060301</v>
          </cell>
          <cell r="C6300" t="str">
            <v>CAJA MUNICIPAL DE AHORRO YCREDITO DE SUL1ND</v>
          </cell>
        </row>
        <row r="6301">
          <cell r="B6301" t="str">
            <v>14050919060302</v>
          </cell>
          <cell r="C6301" t="str">
            <v>CAJA MUNICIPALDE CREDITO POPULAR DE LIMA1ND</v>
          </cell>
        </row>
        <row r="6302">
          <cell r="B6302" t="str">
            <v>14050919060303</v>
          </cell>
          <cell r="C6302" t="str">
            <v>CAJA MUNICIPAL DE AHORRO YCREDITO DE PIU1ND</v>
          </cell>
        </row>
        <row r="6303">
          <cell r="B6303" t="str">
            <v>14050919060304</v>
          </cell>
          <cell r="C6303" t="str">
            <v>CAJA MUNICIPAL DE AHORRO YCREDITO DE ARE1ND</v>
          </cell>
        </row>
        <row r="6304">
          <cell r="B6304" t="str">
            <v>14050919060305</v>
          </cell>
          <cell r="C6304" t="str">
            <v>CAJA MUNICIPAL DE AHORRO YCREDITO DE HUA1ND</v>
          </cell>
        </row>
        <row r="6305">
          <cell r="B6305" t="str">
            <v>14050919060306</v>
          </cell>
          <cell r="C6305" t="str">
            <v>CAJA MUNICIPAL DE AHORRO YCREDITO CUSCO 1ND</v>
          </cell>
        </row>
        <row r="6306">
          <cell r="B6306" t="str">
            <v>14050919060307</v>
          </cell>
          <cell r="C6306" t="str">
            <v>CAJA MUNICIPAL DE AHORRO YCREDITO DE MAY1ND</v>
          </cell>
        </row>
        <row r="6307">
          <cell r="B6307" t="str">
            <v>14050919060308</v>
          </cell>
          <cell r="C6307" t="str">
            <v>CAJA MUNICIPAL DE AHORRO YCREDITO DE ICA1ND</v>
          </cell>
        </row>
        <row r="6308">
          <cell r="B6308" t="str">
            <v>14050919060309</v>
          </cell>
          <cell r="C6308" t="str">
            <v>CAJA MUNICIPAL DE AHORRO YCREDITO DE PAI1ND</v>
          </cell>
        </row>
        <row r="6309">
          <cell r="B6309" t="str">
            <v>14050919060310</v>
          </cell>
          <cell r="C6309" t="str">
            <v>CAJA MUNICIPAL DE AHORRO YCREDITO DEL SA1ND</v>
          </cell>
        </row>
        <row r="6310">
          <cell r="B6310" t="str">
            <v>14050919060311</v>
          </cell>
          <cell r="C6310" t="str">
            <v>CAJA MUNICIPAL DE AHORRO YCREDITO DE TRU1ND</v>
          </cell>
        </row>
        <row r="6311">
          <cell r="B6311" t="str">
            <v>14050919060312</v>
          </cell>
          <cell r="C6311" t="str">
            <v>CAJA MUNICIPAL DE AHORRO YCREDITO DE TAC1ND</v>
          </cell>
        </row>
        <row r="6312">
          <cell r="B6312" t="str">
            <v>14050919060313</v>
          </cell>
          <cell r="C6312" t="str">
            <v>CAJA MUNICIPAL DE AHORRO YCREDITO DE PIS1ND</v>
          </cell>
        </row>
        <row r="6313">
          <cell r="B6313" t="str">
            <v>14050919060399</v>
          </cell>
          <cell r="C6313" t="str">
            <v>CAJAS MUNICIPALES DE AHORRO YCREDITO EN 1ND</v>
          </cell>
        </row>
        <row r="6314">
          <cell r="B6314" t="str">
            <v>14050919060403</v>
          </cell>
          <cell r="C6314" t="str">
            <v>CAJA RURAL DE AHORRO YCREDITO QUILLABAMB1ND</v>
          </cell>
        </row>
        <row r="6315">
          <cell r="B6315" t="str">
            <v>14050919060405</v>
          </cell>
          <cell r="C6315" t="str">
            <v>CAJA RURAL DE AHORRO YCREDITO LOS LIBERT1ND</v>
          </cell>
        </row>
        <row r="6316">
          <cell r="B6316" t="str">
            <v>14050919060406</v>
          </cell>
          <cell r="C6316" t="str">
            <v>CAJA RURAL DE AHORRO YCREDITO SEÃ‘OR DE 1ND</v>
          </cell>
        </row>
        <row r="6317">
          <cell r="B6317" t="str">
            <v>14050919060407</v>
          </cell>
          <cell r="C6317" t="str">
            <v>CAJA RURAL DE AHORRO YCREDITO CHAVÃN S.1ND</v>
          </cell>
        </row>
        <row r="6318">
          <cell r="B6318" t="str">
            <v>14050919060408</v>
          </cell>
          <cell r="C6318" t="str">
            <v>CAJA RURAL DE AHORRO YCREDITO NUESTRA GE1ND</v>
          </cell>
        </row>
        <row r="6319">
          <cell r="B6319" t="str">
            <v>14050919060409</v>
          </cell>
          <cell r="C6319" t="str">
            <v>CAJA RURAL DE AHORRO YCREDITO CAJAMARCA 1ND</v>
          </cell>
        </row>
        <row r="6320">
          <cell r="B6320" t="str">
            <v>14050919060410</v>
          </cell>
          <cell r="C6320" t="str">
            <v>CAJA RURAL DE AHORRO YCREDITO PROFINANZA1ND</v>
          </cell>
        </row>
        <row r="6321">
          <cell r="B6321" t="str">
            <v>14050919060412</v>
          </cell>
          <cell r="C6321" t="str">
            <v>CAJA RURAL DE AHORRO YCREDITO SIPÃN S. 1ND</v>
          </cell>
        </row>
        <row r="6322">
          <cell r="B6322" t="str">
            <v>14050919060414</v>
          </cell>
          <cell r="C6322" t="str">
            <v>CAJA RURAL DE AHORRO YCREDITO PRYMERA S.1ND</v>
          </cell>
        </row>
        <row r="6323">
          <cell r="B6323" t="str">
            <v>14050919060415</v>
          </cell>
          <cell r="C6323" t="str">
            <v>CAJA RURAL DE AHORRO YCREDITO LOS ANDES 1ND</v>
          </cell>
        </row>
        <row r="6324">
          <cell r="B6324" t="str">
            <v>14050919060499</v>
          </cell>
          <cell r="C6324" t="str">
            <v>CAJAS RURALES DE AHORRO YCREDITO EN LIQU1ND</v>
          </cell>
        </row>
        <row r="6325">
          <cell r="B6325" t="str">
            <v>14050919060503</v>
          </cell>
          <cell r="C6325" t="str">
            <v>PROEMPRESA S. A.                        1ND</v>
          </cell>
        </row>
        <row r="6326">
          <cell r="B6326" t="str">
            <v>14050919060506</v>
          </cell>
          <cell r="C6326" t="str">
            <v>NUEVA VISIÃ“N S. A.                     1ND</v>
          </cell>
        </row>
        <row r="6327">
          <cell r="B6327" t="str">
            <v>14050919060508</v>
          </cell>
          <cell r="C6327" t="str">
            <v>RAIZ S. A.                              1ND</v>
          </cell>
        </row>
        <row r="6328">
          <cell r="B6328" t="str">
            <v>14050919060510</v>
          </cell>
          <cell r="C6328" t="str">
            <v>SOLIDARIDAD S. A.                       1ND</v>
          </cell>
        </row>
        <row r="6329">
          <cell r="B6329" t="str">
            <v>14050919060511</v>
          </cell>
          <cell r="C6329" t="str">
            <v>CREDIVISIÃ“N S. A.                      1ND</v>
          </cell>
        </row>
        <row r="6330">
          <cell r="B6330" t="str">
            <v>14050919060512</v>
          </cell>
          <cell r="C6330" t="str">
            <v>ACCESO CREDITICIO S. A.                 1ND</v>
          </cell>
        </row>
        <row r="6331">
          <cell r="B6331" t="str">
            <v>14050919060514</v>
          </cell>
          <cell r="C6331" t="str">
            <v>ALTERNATIVA S. A.                       1ND</v>
          </cell>
        </row>
        <row r="6332">
          <cell r="B6332" t="str">
            <v>14050919060515</v>
          </cell>
          <cell r="C6332" t="str">
            <v>PRONEGOCIOS S. A.                       1ND</v>
          </cell>
        </row>
        <row r="6333">
          <cell r="B6333" t="str">
            <v>14050919060516</v>
          </cell>
          <cell r="C6333" t="str">
            <v>MICASITA S. A.                          1ND</v>
          </cell>
        </row>
        <row r="6334">
          <cell r="B6334" t="str">
            <v>14050919060517</v>
          </cell>
          <cell r="C6334" t="str">
            <v>CREDIJET DEL PERU S. A.                 1ND</v>
          </cell>
        </row>
        <row r="6335">
          <cell r="B6335" t="str">
            <v>14050919060599</v>
          </cell>
          <cell r="C6335" t="str">
            <v>EDPYMES EN LIQUIDACIÃ“N                 1ND</v>
          </cell>
        </row>
        <row r="6336">
          <cell r="B6336" t="str">
            <v>14050919060710</v>
          </cell>
          <cell r="C6336" t="str">
            <v>LEASING TOTAL S. A.                     1ND</v>
          </cell>
        </row>
        <row r="6337">
          <cell r="B6337" t="str">
            <v>14050919060711</v>
          </cell>
          <cell r="C6337" t="str">
            <v>MITSUI - MASA LEASING S. A              1ND</v>
          </cell>
        </row>
        <row r="6338">
          <cell r="B6338" t="str">
            <v>14050919060799</v>
          </cell>
          <cell r="C6338" t="str">
            <v>LEASING EN LIQUIDACIÃ“N                 1ND</v>
          </cell>
        </row>
        <row r="6339">
          <cell r="B6339" t="str">
            <v>14050919060801</v>
          </cell>
          <cell r="C6339" t="str">
            <v>FONDO DE GARANTÃA PARA PRSTAMOS A LA PE1ND</v>
          </cell>
        </row>
        <row r="6340">
          <cell r="B6340" t="str">
            <v>14050919061301</v>
          </cell>
          <cell r="C6340" t="str">
            <v>LA FIDUCIARIA S. A.                     1ND</v>
          </cell>
        </row>
        <row r="6341">
          <cell r="B6341" t="str">
            <v>14050919061401</v>
          </cell>
          <cell r="C6341" t="str">
            <v>FONDO MIVIVIENDA S. A.                  1ND</v>
          </cell>
        </row>
        <row r="6342">
          <cell r="B6342" t="str">
            <v>14050919061501</v>
          </cell>
          <cell r="C6342" t="str">
            <v>AMRICA FACTORING S. A.                  1ND</v>
          </cell>
        </row>
        <row r="6343">
          <cell r="B6343" t="str">
            <v>14050919061601</v>
          </cell>
          <cell r="C6343" t="str">
            <v>INCASA S. A.                            1ND</v>
          </cell>
        </row>
        <row r="6344">
          <cell r="B6344" t="str">
            <v>14050919061701</v>
          </cell>
          <cell r="C6344" t="str">
            <v>BANCOS DEL EXTERIOR                     1ND</v>
          </cell>
        </row>
        <row r="6345">
          <cell r="B6345" t="str">
            <v>14050919061702</v>
          </cell>
          <cell r="C6345" t="str">
            <v>OTRAS EMPRESAS DEL SISTEMA FINANCIERO DE1ND</v>
          </cell>
        </row>
        <row r="6346">
          <cell r="B6346" t="str">
            <v>14050919180101</v>
          </cell>
          <cell r="C6346" t="str">
            <v>BANCO CENTRAL DE RESERVA DEL PERU       1ND</v>
          </cell>
        </row>
        <row r="6347">
          <cell r="B6347" t="str">
            <v>14050919180102</v>
          </cell>
          <cell r="C6347" t="str">
            <v>BANCO DE LA NACIÃ“N                     1ND</v>
          </cell>
        </row>
        <row r="6348">
          <cell r="B6348" t="str">
            <v>14050919180103</v>
          </cell>
          <cell r="C6348" t="str">
            <v>BANCODE CREDITO DEL PERU                1ND</v>
          </cell>
        </row>
        <row r="6349">
          <cell r="B6349" t="str">
            <v>14050919180104</v>
          </cell>
          <cell r="C6349" t="str">
            <v>BANCO INTERNACIONAL DEL PERU - INTERBANK1ND</v>
          </cell>
        </row>
        <row r="6350">
          <cell r="B6350" t="str">
            <v>14050919180105</v>
          </cell>
          <cell r="C6350" t="str">
            <v>SCOTIABANK PERU S. A. A.                1ND</v>
          </cell>
        </row>
        <row r="6351">
          <cell r="B6351" t="str">
            <v>14050919180106</v>
          </cell>
          <cell r="C6351" t="str">
            <v>BANCO CONTINENTAL                       1ND</v>
          </cell>
        </row>
        <row r="6352">
          <cell r="B6352" t="str">
            <v>14050919180108</v>
          </cell>
          <cell r="C6352" t="str">
            <v>BANCO DE COMERCIO                       1ND</v>
          </cell>
        </row>
        <row r="6353">
          <cell r="B6353" t="str">
            <v>14050919180109</v>
          </cell>
          <cell r="C6353" t="str">
            <v>BANCO FINANCIERO DEL PERU               1ND</v>
          </cell>
        </row>
        <row r="6354">
          <cell r="B6354" t="str">
            <v>14050919180116</v>
          </cell>
          <cell r="C6354" t="str">
            <v>CITIBANK N. A.   SUCURSAL EN EL PERU DEL1ND</v>
          </cell>
        </row>
        <row r="6355">
          <cell r="B6355" t="str">
            <v>14050919180121</v>
          </cell>
          <cell r="C6355" t="str">
            <v>BANCO INTERAMERICANO DE FINANZAS - S. A.1ND</v>
          </cell>
        </row>
        <row r="6356">
          <cell r="B6356" t="str">
            <v>14050919180128</v>
          </cell>
          <cell r="C6356" t="str">
            <v>CORPORACIÃ“N FINANCIERA DE DESARROLLO S.1ND</v>
          </cell>
        </row>
        <row r="6357">
          <cell r="B6357" t="str">
            <v>14050919180129</v>
          </cell>
          <cell r="C6357" t="str">
            <v>MIBANCO BANCO DE LA MICROEMPRESA - MIBAN1ND</v>
          </cell>
        </row>
        <row r="6358">
          <cell r="B6358" t="str">
            <v>14050919180131</v>
          </cell>
          <cell r="C6358" t="str">
            <v>BANCO AGROPECUARIO - AGROBANCO          1ND</v>
          </cell>
        </row>
        <row r="6359">
          <cell r="B6359" t="str">
            <v>14050919180132</v>
          </cell>
          <cell r="C6359" t="str">
            <v>HSBC BANK PERU S. A.                    1ND</v>
          </cell>
        </row>
        <row r="6360">
          <cell r="B6360" t="str">
            <v>14050919180133</v>
          </cell>
          <cell r="C6360" t="str">
            <v>BANCO FALABELLA DEL PERU                1ND</v>
          </cell>
        </row>
        <row r="6361">
          <cell r="B6361" t="str">
            <v>14050919180134</v>
          </cell>
          <cell r="C6361" t="str">
            <v>BANCO SANTANDER PERU S. A.              1ND</v>
          </cell>
        </row>
        <row r="6362">
          <cell r="B6362" t="str">
            <v>14050919180135</v>
          </cell>
          <cell r="C6362" t="str">
            <v>BANCO RIPLEY S. A.                      1ND</v>
          </cell>
        </row>
        <row r="6363">
          <cell r="B6363" t="str">
            <v>14050919180136</v>
          </cell>
          <cell r="C6363" t="str">
            <v>BANCO AZTECA DEL PERU S. A.             1ND</v>
          </cell>
        </row>
        <row r="6364">
          <cell r="B6364" t="str">
            <v>14050919180137</v>
          </cell>
          <cell r="C6364" t="str">
            <v>DEUTSCHE BANK (PERU) S. A.              1ND</v>
          </cell>
        </row>
        <row r="6365">
          <cell r="B6365" t="str">
            <v>14050919180199</v>
          </cell>
          <cell r="C6365" t="str">
            <v>BANCOS EN LIQUIDACIÃ“N                  1ND</v>
          </cell>
        </row>
        <row r="6366">
          <cell r="B6366" t="str">
            <v>14050919180203</v>
          </cell>
          <cell r="C6366" t="str">
            <v>SOLUCIÃ“N FINANCIERADE CREDITO DEL PERU 1ND</v>
          </cell>
        </row>
        <row r="6367">
          <cell r="B6367" t="str">
            <v>14050919180207</v>
          </cell>
          <cell r="C6367" t="str">
            <v>FINANCIERA TFC S. A.                    1ND</v>
          </cell>
        </row>
        <row r="6368">
          <cell r="B6368" t="str">
            <v>14050919180209</v>
          </cell>
          <cell r="C6368" t="str">
            <v>FINANCIERA EDYFICAR S. A.               1ND</v>
          </cell>
        </row>
        <row r="6369">
          <cell r="B6369" t="str">
            <v>14050919180210</v>
          </cell>
          <cell r="C6369" t="str">
            <v>CREDISCOTIA FINANCIERA S. A.            1ND</v>
          </cell>
        </row>
        <row r="6370">
          <cell r="B6370" t="str">
            <v>14050919180211</v>
          </cell>
          <cell r="C6370" t="str">
            <v>FINANCIERA CREAR S. A.                  1ND</v>
          </cell>
        </row>
        <row r="6371">
          <cell r="B6371" t="str">
            <v>14050919180212</v>
          </cell>
          <cell r="C6371" t="str">
            <v>FINANCIERA CONFIANZA S. A.              1ND</v>
          </cell>
        </row>
        <row r="6372">
          <cell r="B6372" t="str">
            <v>14050919180213</v>
          </cell>
          <cell r="C6372" t="str">
            <v>FINANCIERA UNIVERSAL S. A.              1ND</v>
          </cell>
        </row>
        <row r="6373">
          <cell r="B6373" t="str">
            <v>14050919180214</v>
          </cell>
          <cell r="C6373" t="str">
            <v>FINANCIERA UNO S. A.                    1ND</v>
          </cell>
        </row>
        <row r="6374">
          <cell r="B6374" t="str">
            <v>14050919180215</v>
          </cell>
          <cell r="C6374" t="str">
            <v>FINANCIERA EFECTIVA S. A.               1ND</v>
          </cell>
        </row>
        <row r="6375">
          <cell r="B6375" t="str">
            <v>14050919180216</v>
          </cell>
          <cell r="C6375" t="str">
            <v>AMERIKA FINANCIERA S. A.                1ND</v>
          </cell>
        </row>
        <row r="6376">
          <cell r="B6376" t="str">
            <v>14050919180299</v>
          </cell>
          <cell r="C6376" t="str">
            <v>FINANCIERAS EN LIQUIDACIÃ“N             1ND</v>
          </cell>
        </row>
        <row r="6377">
          <cell r="B6377" t="str">
            <v>14050919180301</v>
          </cell>
          <cell r="C6377" t="str">
            <v>CAJA MUNICIPAL DE AHORRO YCREDITO DE SUL1ND</v>
          </cell>
        </row>
        <row r="6378">
          <cell r="B6378" t="str">
            <v>14050919180302</v>
          </cell>
          <cell r="C6378" t="str">
            <v>CAJA MUNICIPALDE CREDITO POPULAR DE LIMA1ND</v>
          </cell>
        </row>
        <row r="6379">
          <cell r="B6379" t="str">
            <v>14050919180303</v>
          </cell>
          <cell r="C6379" t="str">
            <v>CAJA MUNICIPAL DE AHORRO YCREDITO DE PIU1ND</v>
          </cell>
        </row>
        <row r="6380">
          <cell r="B6380" t="str">
            <v>14050919180304</v>
          </cell>
          <cell r="C6380" t="str">
            <v>CAJA MUNICIPAL DE AHORRO YCREDITO DE ARE1ND</v>
          </cell>
        </row>
        <row r="6381">
          <cell r="B6381" t="str">
            <v>14050919180305</v>
          </cell>
          <cell r="C6381" t="str">
            <v>CAJA MUNICIPAL DE AHORRO YCREDITO DE HUA1ND</v>
          </cell>
        </row>
        <row r="6382">
          <cell r="B6382" t="str">
            <v>14050919180306</v>
          </cell>
          <cell r="C6382" t="str">
            <v>CAJA MUNICIPAL DE AHORRO YCREDITO CUSCO 1ND</v>
          </cell>
        </row>
        <row r="6383">
          <cell r="B6383" t="str">
            <v>14050919180307</v>
          </cell>
          <cell r="C6383" t="str">
            <v>CAJA MUNICIPAL DE AHORRO YCREDITO DE MAY1ND</v>
          </cell>
        </row>
        <row r="6384">
          <cell r="B6384" t="str">
            <v>14050919180308</v>
          </cell>
          <cell r="C6384" t="str">
            <v>CAJA MUNICIPAL DE AHORRO YCREDITO DE ICA1ND</v>
          </cell>
        </row>
        <row r="6385">
          <cell r="B6385" t="str">
            <v>14050919180309</v>
          </cell>
          <cell r="C6385" t="str">
            <v>CAJA MUNICIPAL DE AHORRO YCREDITO DE PAI1ND</v>
          </cell>
        </row>
        <row r="6386">
          <cell r="B6386" t="str">
            <v>14050919180310</v>
          </cell>
          <cell r="C6386" t="str">
            <v>CAJA MUNICIPAL DE AHORRO YCREDITO DEL SA1ND</v>
          </cell>
        </row>
        <row r="6387">
          <cell r="B6387" t="str">
            <v>14050919180311</v>
          </cell>
          <cell r="C6387" t="str">
            <v>CAJA MUNICIPAL DE AHORRO YCREDITO DE TRU1ND</v>
          </cell>
        </row>
        <row r="6388">
          <cell r="B6388" t="str">
            <v>14050919180312</v>
          </cell>
          <cell r="C6388" t="str">
            <v>CAJA MUNICIPAL DE AHORRO YCREDITO DE TAC1ND</v>
          </cell>
        </row>
        <row r="6389">
          <cell r="B6389" t="str">
            <v>14050919180313</v>
          </cell>
          <cell r="C6389" t="str">
            <v>CAJA MUNICIPAL DE AHORRO YCREDITO DE PIS1ND</v>
          </cell>
        </row>
        <row r="6390">
          <cell r="B6390" t="str">
            <v>14050919180399</v>
          </cell>
          <cell r="C6390" t="str">
            <v>CAJAS MUNICIPALES DE AHORRO YCREDITO EN 1ND</v>
          </cell>
        </row>
        <row r="6391">
          <cell r="B6391" t="str">
            <v>14050919180403</v>
          </cell>
          <cell r="C6391" t="str">
            <v>CAJA RURAL DE AHORRO YCREDITO QUILLABAMB1ND</v>
          </cell>
        </row>
        <row r="6392">
          <cell r="B6392" t="str">
            <v>14050919180405</v>
          </cell>
          <cell r="C6392" t="str">
            <v>CAJA RURAL DE AHORRO YCREDITO LOS LIBERT1ND</v>
          </cell>
        </row>
        <row r="6393">
          <cell r="B6393" t="str">
            <v>14050919180406</v>
          </cell>
          <cell r="C6393" t="str">
            <v>CAJA RURAL DE AHORRO YCREDITO SEÃ‘OR DE 1ND</v>
          </cell>
        </row>
        <row r="6394">
          <cell r="B6394" t="str">
            <v>14050919180407</v>
          </cell>
          <cell r="C6394" t="str">
            <v>CAJA RURAL DE AHORRO YCREDITO CHAVÃN S.1ND</v>
          </cell>
        </row>
        <row r="6395">
          <cell r="B6395" t="str">
            <v>14050919180408</v>
          </cell>
          <cell r="C6395" t="str">
            <v>CAJA RURAL DE AHORRO YCREDITO NUESTRA GE1ND</v>
          </cell>
        </row>
        <row r="6396">
          <cell r="B6396" t="str">
            <v>14050919180409</v>
          </cell>
          <cell r="C6396" t="str">
            <v>CAJA RURAL DE AHORRO YCREDITO CAJAMARCA 1ND</v>
          </cell>
        </row>
        <row r="6397">
          <cell r="B6397" t="str">
            <v>14050919180410</v>
          </cell>
          <cell r="C6397" t="str">
            <v>CAJA RURAL DE AHORRO YCREDITO PROFINANZA1ND</v>
          </cell>
        </row>
        <row r="6398">
          <cell r="B6398" t="str">
            <v>14050919180412</v>
          </cell>
          <cell r="C6398" t="str">
            <v>CAJA RURAL DE AHORRO YCREDITO SIPÃN S. 1ND</v>
          </cell>
        </row>
        <row r="6399">
          <cell r="B6399" t="str">
            <v>14050919180414</v>
          </cell>
          <cell r="C6399" t="str">
            <v>CAJA RURAL DE AHORRO YCREDITO PRYMERA S.1ND</v>
          </cell>
        </row>
        <row r="6400">
          <cell r="B6400" t="str">
            <v>14050919180415</v>
          </cell>
          <cell r="C6400" t="str">
            <v>CAJA RURAL DE AHORRO YCREDITO LOS ANDES 1ND</v>
          </cell>
        </row>
        <row r="6401">
          <cell r="B6401" t="str">
            <v>14050919180499</v>
          </cell>
          <cell r="C6401" t="str">
            <v>CAJAS RURALES DE AHORRO YCREDITO EN LIQU1ND</v>
          </cell>
        </row>
        <row r="6402">
          <cell r="B6402" t="str">
            <v>14050919180503</v>
          </cell>
          <cell r="C6402" t="str">
            <v>PROEMPRESA S. A.                        1ND</v>
          </cell>
        </row>
        <row r="6403">
          <cell r="B6403" t="str">
            <v>14050919180506</v>
          </cell>
          <cell r="C6403" t="str">
            <v>NUEVA VISIÃ“N S. A.                     1ND</v>
          </cell>
        </row>
        <row r="6404">
          <cell r="B6404" t="str">
            <v>14050919180508</v>
          </cell>
          <cell r="C6404" t="str">
            <v>RAIZ S. A.                              1ND</v>
          </cell>
        </row>
        <row r="6405">
          <cell r="B6405" t="str">
            <v>14050919180510</v>
          </cell>
          <cell r="C6405" t="str">
            <v>SOLIDARIDAD S. A.                       1ND</v>
          </cell>
        </row>
        <row r="6406">
          <cell r="B6406" t="str">
            <v>14050919180511</v>
          </cell>
          <cell r="C6406" t="str">
            <v>CREDIVISIÃ“N S. A.                      1ND</v>
          </cell>
        </row>
        <row r="6407">
          <cell r="B6407" t="str">
            <v>14050919180512</v>
          </cell>
          <cell r="C6407" t="str">
            <v>ACCESO CREDITICIO S. A.                 1ND</v>
          </cell>
        </row>
        <row r="6408">
          <cell r="B6408" t="str">
            <v>14050919180514</v>
          </cell>
          <cell r="C6408" t="str">
            <v>ALTERNATIVA S. A.                       1ND</v>
          </cell>
        </row>
        <row r="6409">
          <cell r="B6409" t="str">
            <v>14050919180515</v>
          </cell>
          <cell r="C6409" t="str">
            <v>PRONEGOCIOS S. A.                       1ND</v>
          </cell>
        </row>
        <row r="6410">
          <cell r="B6410" t="str">
            <v>14050919180516</v>
          </cell>
          <cell r="C6410" t="str">
            <v>MICASITA S. A.                          1ND</v>
          </cell>
        </row>
        <row r="6411">
          <cell r="B6411" t="str">
            <v>14050919180517</v>
          </cell>
          <cell r="C6411" t="str">
            <v>CREDIJET DEL PERU S. A.                 1ND</v>
          </cell>
        </row>
        <row r="6412">
          <cell r="B6412" t="str">
            <v>14050919180599</v>
          </cell>
          <cell r="C6412" t="str">
            <v>EDPYMES EN LIQUIDACIÃ“N                 1ND</v>
          </cell>
        </row>
        <row r="6413">
          <cell r="B6413" t="str">
            <v>14050919180710</v>
          </cell>
          <cell r="C6413" t="str">
            <v>LEASING TOTAL S. A.                     1ND</v>
          </cell>
        </row>
        <row r="6414">
          <cell r="B6414" t="str">
            <v>14050919180711</v>
          </cell>
          <cell r="C6414" t="str">
            <v>MITSUI - MASA LEASING S. A              1ND</v>
          </cell>
        </row>
        <row r="6415">
          <cell r="B6415" t="str">
            <v>14050919180799</v>
          </cell>
          <cell r="C6415" t="str">
            <v>LEASING EN LIQUIDACIÃ“N                 1ND</v>
          </cell>
        </row>
        <row r="6416">
          <cell r="B6416" t="str">
            <v>14050919180801</v>
          </cell>
          <cell r="C6416" t="str">
            <v>FONDO DE GARANTÃA PARA PRSTAMOS A LA PE1ND</v>
          </cell>
        </row>
        <row r="6417">
          <cell r="B6417" t="str">
            <v>14050919181301</v>
          </cell>
          <cell r="C6417" t="str">
            <v>LA FIDUCIARIA S. A.                     1ND</v>
          </cell>
        </row>
        <row r="6418">
          <cell r="B6418" t="str">
            <v>14050919181401</v>
          </cell>
          <cell r="C6418" t="str">
            <v>FONDO MIVIVIENDA S. A.                  1ND</v>
          </cell>
        </row>
        <row r="6419">
          <cell r="B6419" t="str">
            <v>14050919181501</v>
          </cell>
          <cell r="C6419" t="str">
            <v>AMRICA FACTORING S. A.                  1ND</v>
          </cell>
        </row>
        <row r="6420">
          <cell r="B6420" t="str">
            <v>14050919181601</v>
          </cell>
          <cell r="C6420" t="str">
            <v>INCASA S. A.                            1ND</v>
          </cell>
        </row>
        <row r="6421">
          <cell r="B6421" t="str">
            <v>14050919181701</v>
          </cell>
          <cell r="C6421" t="str">
            <v>BANCOS DEL EXTERIOR                     1ND</v>
          </cell>
        </row>
        <row r="6422">
          <cell r="B6422" t="str">
            <v>14050919181702</v>
          </cell>
          <cell r="C6422" t="str">
            <v>OTRAS EMPRESAS DEL SISTEMA FINANCIERO DE1ND</v>
          </cell>
        </row>
        <row r="6423">
          <cell r="B6423" t="str">
            <v>14050919190101</v>
          </cell>
          <cell r="C6423" t="str">
            <v>BANCO CENTRAL DE RESERVA DEL PERU       1ND</v>
          </cell>
        </row>
        <row r="6424">
          <cell r="B6424" t="str">
            <v>14050919190102</v>
          </cell>
          <cell r="C6424" t="str">
            <v>BANCO DE LA NACIÃ“N                     1ND</v>
          </cell>
        </row>
        <row r="6425">
          <cell r="B6425" t="str">
            <v>14050919190103</v>
          </cell>
          <cell r="C6425" t="str">
            <v>BANCODE CREDITO DEL PERU                1ND</v>
          </cell>
        </row>
        <row r="6426">
          <cell r="B6426" t="str">
            <v>14050919190104</v>
          </cell>
          <cell r="C6426" t="str">
            <v>BANCO INTERNACIONAL DEL PERU - INTERBANK1ND</v>
          </cell>
        </row>
        <row r="6427">
          <cell r="B6427" t="str">
            <v>14050919190105</v>
          </cell>
          <cell r="C6427" t="str">
            <v>SCOTIABANK PERU S. A. A.                1ND</v>
          </cell>
        </row>
        <row r="6428">
          <cell r="B6428" t="str">
            <v>14050919190106</v>
          </cell>
          <cell r="C6428" t="str">
            <v>BANCO CONTINENTAL                       1ND</v>
          </cell>
        </row>
        <row r="6429">
          <cell r="B6429" t="str">
            <v>14050919190108</v>
          </cell>
          <cell r="C6429" t="str">
            <v>BANCO DE COMERCIO                       1ND</v>
          </cell>
        </row>
        <row r="6430">
          <cell r="B6430" t="str">
            <v>14050919190109</v>
          </cell>
          <cell r="C6430" t="str">
            <v>BANCO FINANCIERO DEL PERU               1ND</v>
          </cell>
        </row>
        <row r="6431">
          <cell r="B6431" t="str">
            <v>14050919190116</v>
          </cell>
          <cell r="C6431" t="str">
            <v>CITIBANK N. A.   SUCURSAL EN EL PERU DEL1ND</v>
          </cell>
        </row>
        <row r="6432">
          <cell r="B6432" t="str">
            <v>14050919190121</v>
          </cell>
          <cell r="C6432" t="str">
            <v>BANCO INTERAMERICANO DE FINANZAS - S. A.1ND</v>
          </cell>
        </row>
        <row r="6433">
          <cell r="B6433" t="str">
            <v>14050919190128</v>
          </cell>
          <cell r="C6433" t="str">
            <v>CORPORACIÃ“N FINANCIERA DE DESARROLLO S.1ND</v>
          </cell>
        </row>
        <row r="6434">
          <cell r="B6434" t="str">
            <v>14050919190129</v>
          </cell>
          <cell r="C6434" t="str">
            <v>MIBANCO BANCO DE LA MICROEMPRESA - MIBAN1ND</v>
          </cell>
        </row>
        <row r="6435">
          <cell r="B6435" t="str">
            <v>14050919190131</v>
          </cell>
          <cell r="C6435" t="str">
            <v>BANCO AGROPECUARIO - AGROBANCO          1ND</v>
          </cell>
        </row>
        <row r="6436">
          <cell r="B6436" t="str">
            <v>14050919190132</v>
          </cell>
          <cell r="C6436" t="str">
            <v>HSBC BANK PERU S. A.                    1ND</v>
          </cell>
        </row>
        <row r="6437">
          <cell r="B6437" t="str">
            <v>14050919190133</v>
          </cell>
          <cell r="C6437" t="str">
            <v>BANCO FALABELLA DEL PERU                1ND</v>
          </cell>
        </row>
        <row r="6438">
          <cell r="B6438" t="str">
            <v>14050919190134</v>
          </cell>
          <cell r="C6438" t="str">
            <v>BANCO SANTANDER PERU S. A.              1ND</v>
          </cell>
        </row>
        <row r="6439">
          <cell r="B6439" t="str">
            <v>14050919190135</v>
          </cell>
          <cell r="C6439" t="str">
            <v>BANCO RIPLEY S. A.                      1ND</v>
          </cell>
        </row>
        <row r="6440">
          <cell r="B6440" t="str">
            <v>14050919190136</v>
          </cell>
          <cell r="C6440" t="str">
            <v>BANCO AZTECA DEL PERU S. A.             1ND</v>
          </cell>
        </row>
        <row r="6441">
          <cell r="B6441" t="str">
            <v>14050919190137</v>
          </cell>
          <cell r="C6441" t="str">
            <v>DEUTSCHE BANK (PERU) S. A.              1ND</v>
          </cell>
        </row>
        <row r="6442">
          <cell r="B6442" t="str">
            <v>14050919190199</v>
          </cell>
          <cell r="C6442" t="str">
            <v>BANCOS EN LIQUIDACIÃ“N                  1ND</v>
          </cell>
        </row>
        <row r="6443">
          <cell r="B6443" t="str">
            <v>14050919190203</v>
          </cell>
          <cell r="C6443" t="str">
            <v>SOLUCIÃ“N FINANCIERADE CREDITO DEL PERU 1ND</v>
          </cell>
        </row>
        <row r="6444">
          <cell r="B6444" t="str">
            <v>14050919190207</v>
          </cell>
          <cell r="C6444" t="str">
            <v>FINANCIERA TFC S. A.                    1ND</v>
          </cell>
        </row>
        <row r="6445">
          <cell r="B6445" t="str">
            <v>14050919190209</v>
          </cell>
          <cell r="C6445" t="str">
            <v>FINANCIERA EDYFICAR S. A.               1ND</v>
          </cell>
        </row>
        <row r="6446">
          <cell r="B6446" t="str">
            <v>14050919190210</v>
          </cell>
          <cell r="C6446" t="str">
            <v>CREDISCOTIA FINANCIERA S. A.            1ND</v>
          </cell>
        </row>
        <row r="6447">
          <cell r="B6447" t="str">
            <v>14050919190211</v>
          </cell>
          <cell r="C6447" t="str">
            <v>FINANCIERA CREAR S. A.                  1ND</v>
          </cell>
        </row>
        <row r="6448">
          <cell r="B6448" t="str">
            <v>14050919190212</v>
          </cell>
          <cell r="C6448" t="str">
            <v>FINANCIERA CONFIANZA S. A.              1ND</v>
          </cell>
        </row>
        <row r="6449">
          <cell r="B6449" t="str">
            <v>14050919190213</v>
          </cell>
          <cell r="C6449" t="str">
            <v>FINANCIERA UNIVERSAL S. A.              1ND</v>
          </cell>
        </row>
        <row r="6450">
          <cell r="B6450" t="str">
            <v>14050919190214</v>
          </cell>
          <cell r="C6450" t="str">
            <v>FINANCIERA UNO S. A.                    1ND</v>
          </cell>
        </row>
        <row r="6451">
          <cell r="B6451" t="str">
            <v>14050919190215</v>
          </cell>
          <cell r="C6451" t="str">
            <v>FINANCIERA EFECTIVA S. A.               1ND</v>
          </cell>
        </row>
        <row r="6452">
          <cell r="B6452" t="str">
            <v>14050919190216</v>
          </cell>
          <cell r="C6452" t="str">
            <v>AMERIKA FINANCIERA S. A.                1ND</v>
          </cell>
        </row>
        <row r="6453">
          <cell r="B6453" t="str">
            <v>14050919190299</v>
          </cell>
          <cell r="C6453" t="str">
            <v>FINANCIERAS EN LIQUIDACIÃ“N             1ND</v>
          </cell>
        </row>
        <row r="6454">
          <cell r="B6454" t="str">
            <v>14050919190301</v>
          </cell>
          <cell r="C6454" t="str">
            <v>CAJA MUNICIPAL DE AHORRO YCREDITO DE SUL1ND</v>
          </cell>
        </row>
        <row r="6455">
          <cell r="B6455" t="str">
            <v>14050919190302</v>
          </cell>
          <cell r="C6455" t="str">
            <v>CAJA MUNICIPALDE CREDITO POPULAR DE LIMA1ND</v>
          </cell>
        </row>
        <row r="6456">
          <cell r="B6456" t="str">
            <v>14050919190303</v>
          </cell>
          <cell r="C6456" t="str">
            <v>CAJA MUNICIPAL DE AHORRO YCREDITO DE PIU1ND</v>
          </cell>
        </row>
        <row r="6457">
          <cell r="B6457" t="str">
            <v>14050919190304</v>
          </cell>
          <cell r="C6457" t="str">
            <v>CAJA MUNICIPAL DE AHORRO YCREDITO DE ARE1ND</v>
          </cell>
        </row>
        <row r="6458">
          <cell r="B6458" t="str">
            <v>14050919190305</v>
          </cell>
          <cell r="C6458" t="str">
            <v>CAJA MUNICIPAL DE AHORRO YCREDITO DE HUA1ND</v>
          </cell>
        </row>
        <row r="6459">
          <cell r="B6459" t="str">
            <v>14050919190306</v>
          </cell>
          <cell r="C6459" t="str">
            <v>CAJA MUNICIPAL DE AHORRO YCREDITO CUSCO 1ND</v>
          </cell>
        </row>
        <row r="6460">
          <cell r="B6460" t="str">
            <v>14050919190307</v>
          </cell>
          <cell r="C6460" t="str">
            <v>CAJA MUNICIPAL DE AHORRO YCREDITO DE MAY1ND</v>
          </cell>
        </row>
        <row r="6461">
          <cell r="B6461" t="str">
            <v>14050919190308</v>
          </cell>
          <cell r="C6461" t="str">
            <v>CAJA MUNICIPAL DE AHORRO YCREDITO DE ICA1ND</v>
          </cell>
        </row>
        <row r="6462">
          <cell r="B6462" t="str">
            <v>14050919190309</v>
          </cell>
          <cell r="C6462" t="str">
            <v>CAJA MUNICIPAL DE AHORRO YCREDITO DE PAI1ND</v>
          </cell>
        </row>
        <row r="6463">
          <cell r="B6463" t="str">
            <v>14050919190310</v>
          </cell>
          <cell r="C6463" t="str">
            <v>CAJA MUNICIPAL DE AHORRO YCREDITO DEL SA1ND</v>
          </cell>
        </row>
        <row r="6464">
          <cell r="B6464" t="str">
            <v>14050919190311</v>
          </cell>
          <cell r="C6464" t="str">
            <v>CAJA MUNICIPAL DE AHORRO YCREDITO DE TRU1ND</v>
          </cell>
        </row>
        <row r="6465">
          <cell r="B6465" t="str">
            <v>14050919190312</v>
          </cell>
          <cell r="C6465" t="str">
            <v>CAJA MUNICIPAL DE AHORRO YCREDITO DE TAC1ND</v>
          </cell>
        </row>
        <row r="6466">
          <cell r="B6466" t="str">
            <v>14050919190313</v>
          </cell>
          <cell r="C6466" t="str">
            <v>CAJA MUNICIPAL DE AHORRO YCREDITO DE PIS1ND</v>
          </cell>
        </row>
        <row r="6467">
          <cell r="B6467" t="str">
            <v>14050919190399</v>
          </cell>
          <cell r="C6467" t="str">
            <v>CAJAS MUNICIPALES DE AHORRO YCREDITO EN 1ND</v>
          </cell>
        </row>
        <row r="6468">
          <cell r="B6468" t="str">
            <v>14050919190403</v>
          </cell>
          <cell r="C6468" t="str">
            <v>CAJA RURAL DE AHORRO YCREDITO QUILLABAMB1ND</v>
          </cell>
        </row>
        <row r="6469">
          <cell r="B6469" t="str">
            <v>14050919190405</v>
          </cell>
          <cell r="C6469" t="str">
            <v>CAJA RURAL DE AHORRO YCREDITO LOS LIBERT1ND</v>
          </cell>
        </row>
        <row r="6470">
          <cell r="B6470" t="str">
            <v>14050919190406</v>
          </cell>
          <cell r="C6470" t="str">
            <v>CAJA RURAL DE AHORRO YCREDITO SEÃ‘OR DE 1ND</v>
          </cell>
        </row>
        <row r="6471">
          <cell r="B6471" t="str">
            <v>14050919190407</v>
          </cell>
          <cell r="C6471" t="str">
            <v>CAJA RURAL DE AHORRO YCREDITO CHAVÃN S.1ND</v>
          </cell>
        </row>
        <row r="6472">
          <cell r="B6472" t="str">
            <v>14050919190408</v>
          </cell>
          <cell r="C6472" t="str">
            <v>CAJA RURAL DE AHORRO YCREDITO NUESTRA GE1ND</v>
          </cell>
        </row>
        <row r="6473">
          <cell r="B6473" t="str">
            <v>14050919190409</v>
          </cell>
          <cell r="C6473" t="str">
            <v>CAJA RURAL DE AHORRO YCREDITO CAJAMARCA 1ND</v>
          </cell>
        </row>
        <row r="6474">
          <cell r="B6474" t="str">
            <v>14050919190410</v>
          </cell>
          <cell r="C6474" t="str">
            <v>CAJA RURAL DE AHORRO YCREDITO PROFINANZA1ND</v>
          </cell>
        </row>
        <row r="6475">
          <cell r="B6475" t="str">
            <v>14050919190412</v>
          </cell>
          <cell r="C6475" t="str">
            <v>CAJA RURAL DE AHORRO YCREDITO SIPÃN S. 1ND</v>
          </cell>
        </row>
        <row r="6476">
          <cell r="B6476" t="str">
            <v>14050919190414</v>
          </cell>
          <cell r="C6476" t="str">
            <v>CAJA RURAL DE AHORRO YCREDITO PRYMERA S.1ND</v>
          </cell>
        </row>
        <row r="6477">
          <cell r="B6477" t="str">
            <v>14050919190415</v>
          </cell>
          <cell r="C6477" t="str">
            <v>CAJA RURAL DE AHORRO YCREDITO LOS ANDES 1ND</v>
          </cell>
        </row>
        <row r="6478">
          <cell r="B6478" t="str">
            <v>14050919190499</v>
          </cell>
          <cell r="C6478" t="str">
            <v>CAJAS RURALES DE AHORRO YCREDITO EN LIQU1ND</v>
          </cell>
        </row>
        <row r="6479">
          <cell r="B6479" t="str">
            <v>14050919190503</v>
          </cell>
          <cell r="C6479" t="str">
            <v>PROEMPRESA S. A.                        1ND</v>
          </cell>
        </row>
        <row r="6480">
          <cell r="B6480" t="str">
            <v>14050919190506</v>
          </cell>
          <cell r="C6480" t="str">
            <v>NUEVA VISIÃ“N S. A.                     1ND</v>
          </cell>
        </row>
        <row r="6481">
          <cell r="B6481" t="str">
            <v>14050919190508</v>
          </cell>
          <cell r="C6481" t="str">
            <v>RAIZ S. A.                              1ND</v>
          </cell>
        </row>
        <row r="6482">
          <cell r="B6482" t="str">
            <v>14050919190510</v>
          </cell>
          <cell r="C6482" t="str">
            <v>SOLIDARIDAD S. A.                       1ND</v>
          </cell>
        </row>
        <row r="6483">
          <cell r="B6483" t="str">
            <v>14050919190511</v>
          </cell>
          <cell r="C6483" t="str">
            <v>CREDIVISIÃ“N S. A.                      1ND</v>
          </cell>
        </row>
        <row r="6484">
          <cell r="B6484" t="str">
            <v>14050919190512</v>
          </cell>
          <cell r="C6484" t="str">
            <v>ACCESO CREDITICIO S. A.                 1ND</v>
          </cell>
        </row>
        <row r="6485">
          <cell r="B6485" t="str">
            <v>14050919190514</v>
          </cell>
          <cell r="C6485" t="str">
            <v>ALTERNATIVA S. A.                       1ND</v>
          </cell>
        </row>
        <row r="6486">
          <cell r="B6486" t="str">
            <v>14050919190515</v>
          </cell>
          <cell r="C6486" t="str">
            <v>PRONEGOCIOS S. A.                       1ND</v>
          </cell>
        </row>
        <row r="6487">
          <cell r="B6487" t="str">
            <v>14050919190516</v>
          </cell>
          <cell r="C6487" t="str">
            <v>MICASITA S. A.                          1ND</v>
          </cell>
        </row>
        <row r="6488">
          <cell r="B6488" t="str">
            <v>14050919190517</v>
          </cell>
          <cell r="C6488" t="str">
            <v>CREDIJET DEL PERU S. A.                 1ND</v>
          </cell>
        </row>
        <row r="6489">
          <cell r="B6489" t="str">
            <v>14050919190599</v>
          </cell>
          <cell r="C6489" t="str">
            <v>EDPYMES EN LIQUIDACIÃ“N                 1ND</v>
          </cell>
        </row>
        <row r="6490">
          <cell r="B6490" t="str">
            <v>14050919190710</v>
          </cell>
          <cell r="C6490" t="str">
            <v>LEASING TOTAL S. A.                     1ND</v>
          </cell>
        </row>
        <row r="6491">
          <cell r="B6491" t="str">
            <v>14050919190711</v>
          </cell>
          <cell r="C6491" t="str">
            <v>MITSUI - MASA LEASING S. A.             1ND</v>
          </cell>
        </row>
        <row r="6492">
          <cell r="B6492" t="str">
            <v>14050919190799</v>
          </cell>
          <cell r="C6492" t="str">
            <v>LEASING EN LIQUIDACIÃ“N                 1ND</v>
          </cell>
        </row>
        <row r="6493">
          <cell r="B6493" t="str">
            <v>14050919190801</v>
          </cell>
          <cell r="C6493" t="str">
            <v>FONDO DE GARANTÃA PARA PRSTAMOS A LA PE1ND</v>
          </cell>
        </row>
        <row r="6494">
          <cell r="B6494" t="str">
            <v>14050919191301</v>
          </cell>
          <cell r="C6494" t="str">
            <v>LA FIDUCIARIA S. A.                     1ND</v>
          </cell>
        </row>
        <row r="6495">
          <cell r="B6495" t="str">
            <v>14050919191401</v>
          </cell>
          <cell r="C6495" t="str">
            <v>FONDO MIVIVIENDA S. A.                  1ND</v>
          </cell>
        </row>
        <row r="6496">
          <cell r="B6496" t="str">
            <v>14050919191501</v>
          </cell>
          <cell r="C6496" t="str">
            <v>AMRICA FACTORING S. A.                  1ND</v>
          </cell>
        </row>
        <row r="6497">
          <cell r="B6497" t="str">
            <v>14050919191601</v>
          </cell>
          <cell r="C6497" t="str">
            <v>INCASA S. A.                            1ND</v>
          </cell>
        </row>
        <row r="6498">
          <cell r="B6498" t="str">
            <v>14050919191701</v>
          </cell>
          <cell r="C6498" t="str">
            <v>BANCOS DEL EXTERIOR                     1ND</v>
          </cell>
        </row>
        <row r="6499">
          <cell r="B6499" t="str">
            <v>14050919191702</v>
          </cell>
          <cell r="C6499" t="str">
            <v>OTRAS EMPRESAS DEL SISTEMA FINANCIERO DE1ND</v>
          </cell>
        </row>
        <row r="6500">
          <cell r="B6500" t="str">
            <v>14050919990101</v>
          </cell>
          <cell r="C6500" t="str">
            <v>BANCO CENTRAL DE RESERVA DEL PERU       1ND</v>
          </cell>
        </row>
        <row r="6501">
          <cell r="B6501" t="str">
            <v>14050919990102</v>
          </cell>
          <cell r="C6501" t="str">
            <v>BANCO DE LA NACIÃ“N                     1ND</v>
          </cell>
        </row>
        <row r="6502">
          <cell r="B6502" t="str">
            <v>14050919990103</v>
          </cell>
          <cell r="C6502" t="str">
            <v>BANCODE CREDITO DEL PERU                1ND</v>
          </cell>
        </row>
        <row r="6503">
          <cell r="B6503" t="str">
            <v>14050919990104</v>
          </cell>
          <cell r="C6503" t="str">
            <v>BANCO INTERNACIONAL DEL PERU - INTERBANK1ND</v>
          </cell>
        </row>
        <row r="6504">
          <cell r="B6504" t="str">
            <v>14050919990105</v>
          </cell>
          <cell r="C6504" t="str">
            <v>SCOTIABANK PERU S. A. A.                1ND</v>
          </cell>
        </row>
        <row r="6505">
          <cell r="B6505" t="str">
            <v>14050919990106</v>
          </cell>
          <cell r="C6505" t="str">
            <v>BANCO CONTINENTAL                       1ND</v>
          </cell>
        </row>
        <row r="6506">
          <cell r="B6506" t="str">
            <v>14050919990108</v>
          </cell>
          <cell r="C6506" t="str">
            <v>BANCO DE COMERCIO                       1ND</v>
          </cell>
        </row>
        <row r="6507">
          <cell r="B6507" t="str">
            <v>14050919990109</v>
          </cell>
          <cell r="C6507" t="str">
            <v>BANCO FINANCIERO DEL PERU               1ND</v>
          </cell>
        </row>
        <row r="6508">
          <cell r="B6508" t="str">
            <v>14050919990116</v>
          </cell>
          <cell r="C6508" t="str">
            <v>CITIBANK N. A.   SUCURSAL EN EL PERU DEL1ND</v>
          </cell>
        </row>
        <row r="6509">
          <cell r="B6509" t="str">
            <v>14050919990121</v>
          </cell>
          <cell r="C6509" t="str">
            <v>BANCO INTERAMERICANO DE FINANZAS - S. A.1ND</v>
          </cell>
        </row>
        <row r="6510">
          <cell r="B6510" t="str">
            <v>14050919990128</v>
          </cell>
          <cell r="C6510" t="str">
            <v>CORPORACIÃ“N FINANCIERA DE DESARROLLO S.1ND</v>
          </cell>
        </row>
        <row r="6511">
          <cell r="B6511" t="str">
            <v>14050919990129</v>
          </cell>
          <cell r="C6511" t="str">
            <v>MIBANCO BANCO DE LA MICROEMPRESA - MIBAN1ND</v>
          </cell>
        </row>
        <row r="6512">
          <cell r="B6512" t="str">
            <v>14050919990131</v>
          </cell>
          <cell r="C6512" t="str">
            <v>BANCO AGROPECUARIO - AGROBANCO          1ND</v>
          </cell>
        </row>
        <row r="6513">
          <cell r="B6513" t="str">
            <v>14050919990132</v>
          </cell>
          <cell r="C6513" t="str">
            <v>HSBC BANK PERU S. A.                    1ND</v>
          </cell>
        </row>
        <row r="6514">
          <cell r="B6514" t="str">
            <v>14050919990133</v>
          </cell>
          <cell r="C6514" t="str">
            <v>BANCO FALABELLA DEL PERU                1ND</v>
          </cell>
        </row>
        <row r="6515">
          <cell r="B6515" t="str">
            <v>14050919990134</v>
          </cell>
          <cell r="C6515" t="str">
            <v>BANCO SANTANDER PERU S. A.              1ND</v>
          </cell>
        </row>
        <row r="6516">
          <cell r="B6516" t="str">
            <v>14050919990135</v>
          </cell>
          <cell r="C6516" t="str">
            <v>BANCO RIPLEY S. A.                      1ND</v>
          </cell>
        </row>
        <row r="6517">
          <cell r="B6517" t="str">
            <v>14050919990136</v>
          </cell>
          <cell r="C6517" t="str">
            <v>BANCO AZTECA DEL PERU S. A.             1ND</v>
          </cell>
        </row>
        <row r="6518">
          <cell r="B6518" t="str">
            <v>14050919990137</v>
          </cell>
          <cell r="C6518" t="str">
            <v>DEUTSCHE BANK (PERU) S. A.              1ND</v>
          </cell>
        </row>
        <row r="6519">
          <cell r="B6519" t="str">
            <v>14050919990199</v>
          </cell>
          <cell r="C6519" t="str">
            <v>BANCOS EN LIQUIDACIÃ“N                  1ND</v>
          </cell>
        </row>
        <row r="6520">
          <cell r="B6520" t="str">
            <v>14050919990203</v>
          </cell>
          <cell r="C6520" t="str">
            <v>SOLUCIÃ“N FINANCIERADE CREDITO DEL PERU 1ND</v>
          </cell>
        </row>
        <row r="6521">
          <cell r="B6521" t="str">
            <v>14050919990207</v>
          </cell>
          <cell r="C6521" t="str">
            <v>FINANCIERA TFC S. A.                    1ND</v>
          </cell>
        </row>
        <row r="6522">
          <cell r="B6522" t="str">
            <v>14050919990209</v>
          </cell>
          <cell r="C6522" t="str">
            <v>FINANCIERA EDYFICAR S. A.               1ND</v>
          </cell>
        </row>
        <row r="6523">
          <cell r="B6523" t="str">
            <v>14050919990210</v>
          </cell>
          <cell r="C6523" t="str">
            <v>CREDISCOTIA FINANCIERA S. A.            1ND</v>
          </cell>
        </row>
        <row r="6524">
          <cell r="B6524" t="str">
            <v>14050919990211</v>
          </cell>
          <cell r="C6524" t="str">
            <v>FINANCIERA CREAR S. A.                  1ND</v>
          </cell>
        </row>
        <row r="6525">
          <cell r="B6525" t="str">
            <v>14050919990212</v>
          </cell>
          <cell r="C6525" t="str">
            <v>FINANCIERA CONFIANZA S. A.              1ND</v>
          </cell>
        </row>
        <row r="6526">
          <cell r="B6526" t="str">
            <v>14050919990213</v>
          </cell>
          <cell r="C6526" t="str">
            <v>FINANCIERA UNIVERSAL S. A.              1ND</v>
          </cell>
        </row>
        <row r="6527">
          <cell r="B6527" t="str">
            <v>14050919990214</v>
          </cell>
          <cell r="C6527" t="str">
            <v>FINANCIERA UNO S. A.                    1ND</v>
          </cell>
        </row>
        <row r="6528">
          <cell r="B6528" t="str">
            <v>14050919990215</v>
          </cell>
          <cell r="C6528" t="str">
            <v>FINANCIERA EFECTIVA S. A.               1ND</v>
          </cell>
        </row>
        <row r="6529">
          <cell r="B6529" t="str">
            <v>14050919990216</v>
          </cell>
          <cell r="C6529" t="str">
            <v>AMERIKA FINANCIERA S. A.                1ND</v>
          </cell>
        </row>
        <row r="6530">
          <cell r="B6530" t="str">
            <v>14050919990299</v>
          </cell>
          <cell r="C6530" t="str">
            <v>FINANCIERAS EN LIQUIDACIÃ“N             1ND</v>
          </cell>
        </row>
        <row r="6531">
          <cell r="B6531" t="str">
            <v>14050919990301</v>
          </cell>
          <cell r="C6531" t="str">
            <v>CAJA MUNICIPAL DE AHORRO YCREDITO DE SUL1ND</v>
          </cell>
        </row>
        <row r="6532">
          <cell r="B6532" t="str">
            <v>14050919990302</v>
          </cell>
          <cell r="C6532" t="str">
            <v>CAJA MUNICIPALDE CREDITO POPULAR DE LIMA1ND</v>
          </cell>
        </row>
        <row r="6533">
          <cell r="B6533" t="str">
            <v>14050919990303</v>
          </cell>
          <cell r="C6533" t="str">
            <v>CAJA MUNICIPAL DE AHORRO YCREDITO DE PIU1ND</v>
          </cell>
        </row>
        <row r="6534">
          <cell r="B6534" t="str">
            <v>14050919990304</v>
          </cell>
          <cell r="C6534" t="str">
            <v>CAJA MUNICIPAL DE AHORRO YCREDITO DE ARE1ND</v>
          </cell>
        </row>
        <row r="6535">
          <cell r="B6535" t="str">
            <v>14050919990305</v>
          </cell>
          <cell r="C6535" t="str">
            <v>CAJA MUNICIPAL DE AHORRO YCREDITO DE HUA1ND</v>
          </cell>
        </row>
        <row r="6536">
          <cell r="B6536" t="str">
            <v>14050919990306</v>
          </cell>
          <cell r="C6536" t="str">
            <v>CAJA MUNICIPAL DE AHORRO YCREDITO CUSCO 1ND</v>
          </cell>
        </row>
        <row r="6537">
          <cell r="B6537" t="str">
            <v>14050919990307</v>
          </cell>
          <cell r="C6537" t="str">
            <v>CAJA MUNICIPAL DE AHORRO YCREDITO DE MAY1ND</v>
          </cell>
        </row>
        <row r="6538">
          <cell r="B6538" t="str">
            <v>14050919990308</v>
          </cell>
          <cell r="C6538" t="str">
            <v>CAJA MUNICIPAL DE AHORRO YCREDITO DE ICA1ND</v>
          </cell>
        </row>
        <row r="6539">
          <cell r="B6539" t="str">
            <v>14050919990309</v>
          </cell>
          <cell r="C6539" t="str">
            <v>CAJA MUNICIPAL DE AHORRO YCREDITO DE PAI1ND</v>
          </cell>
        </row>
        <row r="6540">
          <cell r="B6540" t="str">
            <v>14050919990310</v>
          </cell>
          <cell r="C6540" t="str">
            <v>CAJA MUNICIPAL DE AHORRO YCREDITO DEL SA1ND</v>
          </cell>
        </row>
        <row r="6541">
          <cell r="B6541" t="str">
            <v>14050919990311</v>
          </cell>
          <cell r="C6541" t="str">
            <v>CAJA MUNICIPAL DE AHORRO YCREDITO DE TRU1ND</v>
          </cell>
        </row>
        <row r="6542">
          <cell r="B6542" t="str">
            <v>14050919990312</v>
          </cell>
          <cell r="C6542" t="str">
            <v>CAJA MUNICIPAL DE AHORRO YCREDITO DE TAC1ND</v>
          </cell>
        </row>
        <row r="6543">
          <cell r="B6543" t="str">
            <v>14050919990313</v>
          </cell>
          <cell r="C6543" t="str">
            <v>CAJA MUNICIPAL DE AHORRO YCREDITO DE PIS1ND</v>
          </cell>
        </row>
        <row r="6544">
          <cell r="B6544" t="str">
            <v>14050919990399</v>
          </cell>
          <cell r="C6544" t="str">
            <v>CAJAS MUNICIPALES DE AHORRO YCREDITO EN 1ND</v>
          </cell>
        </row>
        <row r="6545">
          <cell r="B6545" t="str">
            <v>14050919990403</v>
          </cell>
          <cell r="C6545" t="str">
            <v>CAJA RURAL DE AHORRO YCREDITO QUILLABAMB1ND</v>
          </cell>
        </row>
        <row r="6546">
          <cell r="B6546" t="str">
            <v>14050919990405</v>
          </cell>
          <cell r="C6546" t="str">
            <v>CAJA RURAL DE AHORRO YCREDITO LOS LIBERT1ND</v>
          </cell>
        </row>
        <row r="6547">
          <cell r="B6547" t="str">
            <v>14050919990406</v>
          </cell>
          <cell r="C6547" t="str">
            <v>CAJA RURAL DE AHORRO YCREDITO SEÃ‘OR DE 1ND</v>
          </cell>
        </row>
        <row r="6548">
          <cell r="B6548" t="str">
            <v>14050919990407</v>
          </cell>
          <cell r="C6548" t="str">
            <v>CAJA RURAL DE AHORRO YCREDITO CHAVÃN S.1ND</v>
          </cell>
        </row>
        <row r="6549">
          <cell r="B6549" t="str">
            <v>14050919990408</v>
          </cell>
          <cell r="C6549" t="str">
            <v>CAJA RURAL DE AHORRO YCREDITO NUESTRA GE1ND</v>
          </cell>
        </row>
        <row r="6550">
          <cell r="B6550" t="str">
            <v>14050919990409</v>
          </cell>
          <cell r="C6550" t="str">
            <v>CAJA RURAL DE AHORRO YCREDITO CAJAMARCA 1ND</v>
          </cell>
        </row>
        <row r="6551">
          <cell r="B6551" t="str">
            <v>14050919990410</v>
          </cell>
          <cell r="C6551" t="str">
            <v>CAJA RURAL DE AHORRO YCREDITO PROFINANZA1ND</v>
          </cell>
        </row>
        <row r="6552">
          <cell r="B6552" t="str">
            <v>14050919990412</v>
          </cell>
          <cell r="C6552" t="str">
            <v>CAJA RURAL DE AHORRO YCREDITO SIPÃN S. 1ND</v>
          </cell>
        </row>
        <row r="6553">
          <cell r="B6553" t="str">
            <v>14050919990414</v>
          </cell>
          <cell r="C6553" t="str">
            <v>CAJA RURAL DE AHORRO YCREDITO PRYMERA S.1ND</v>
          </cell>
        </row>
        <row r="6554">
          <cell r="B6554" t="str">
            <v>14050919990415</v>
          </cell>
          <cell r="C6554" t="str">
            <v>CAJA RURAL DE AHORRO YCREDITO LOS ANDES 1ND</v>
          </cell>
        </row>
        <row r="6555">
          <cell r="B6555" t="str">
            <v>14050919990499</v>
          </cell>
          <cell r="C6555" t="str">
            <v>CAJAS RURALES DE AHORRO YCREDITO EN LIQU1ND</v>
          </cell>
        </row>
        <row r="6556">
          <cell r="B6556" t="str">
            <v>14050919990503</v>
          </cell>
          <cell r="C6556" t="str">
            <v>PROEMPRESA S. A.                        1ND</v>
          </cell>
        </row>
        <row r="6557">
          <cell r="B6557" t="str">
            <v>14050919990506</v>
          </cell>
          <cell r="C6557" t="str">
            <v>NUEVA VISIÃ“N S. A.                     1ND</v>
          </cell>
        </row>
        <row r="6558">
          <cell r="B6558" t="str">
            <v>14050919990508</v>
          </cell>
          <cell r="C6558" t="str">
            <v>RAIZ S. A.                              1ND</v>
          </cell>
        </row>
        <row r="6559">
          <cell r="B6559" t="str">
            <v>14050919990510</v>
          </cell>
          <cell r="C6559" t="str">
            <v>SOLIDARIDAD S. A.                       1ND</v>
          </cell>
        </row>
        <row r="6560">
          <cell r="B6560" t="str">
            <v>14050919990511</v>
          </cell>
          <cell r="C6560" t="str">
            <v>CREDIVISIÃ“N S. A.                      1ND</v>
          </cell>
        </row>
        <row r="6561">
          <cell r="B6561" t="str">
            <v>14050919990512</v>
          </cell>
          <cell r="C6561" t="str">
            <v>ACCESO CREDITICIO S. A.                 1ND</v>
          </cell>
        </row>
        <row r="6562">
          <cell r="B6562" t="str">
            <v>14050919990514</v>
          </cell>
          <cell r="C6562" t="str">
            <v>ALTERNATIVA S. A.                       1ND</v>
          </cell>
        </row>
        <row r="6563">
          <cell r="B6563" t="str">
            <v>14050919990515</v>
          </cell>
          <cell r="C6563" t="str">
            <v>PRONEGOCIOS S. A.                       1ND</v>
          </cell>
        </row>
        <row r="6564">
          <cell r="B6564" t="str">
            <v>14050919990516</v>
          </cell>
          <cell r="C6564" t="str">
            <v>MICASITA S. A.                          1ND</v>
          </cell>
        </row>
        <row r="6565">
          <cell r="B6565" t="str">
            <v>14050919990517</v>
          </cell>
          <cell r="C6565" t="str">
            <v>CREDIJET DEL PERU S. A.                 1ND</v>
          </cell>
        </row>
        <row r="6566">
          <cell r="B6566" t="str">
            <v>14050919990599</v>
          </cell>
          <cell r="C6566" t="str">
            <v>EDPYMES EN LIQUIDACIÃ“N                 1ND</v>
          </cell>
        </row>
        <row r="6567">
          <cell r="B6567" t="str">
            <v>14050919990710</v>
          </cell>
          <cell r="C6567" t="str">
            <v>LEASING TOTAL S. A.                     1ND</v>
          </cell>
        </row>
        <row r="6568">
          <cell r="B6568" t="str">
            <v>14050919990711</v>
          </cell>
          <cell r="C6568" t="str">
            <v>MITSUI - MASA LEASING S. A.             1ND</v>
          </cell>
        </row>
        <row r="6569">
          <cell r="B6569" t="str">
            <v>14050919990799</v>
          </cell>
          <cell r="C6569" t="str">
            <v>LEASING EN LIQUIDACIÃ“N                 1ND</v>
          </cell>
        </row>
        <row r="6570">
          <cell r="B6570" t="str">
            <v>14050919990801</v>
          </cell>
          <cell r="C6570" t="str">
            <v>FONDO DE GARANTÃA PARA PRSTAMOS A LA PE1ND</v>
          </cell>
        </row>
        <row r="6571">
          <cell r="B6571" t="str">
            <v>14050919991301</v>
          </cell>
          <cell r="C6571" t="str">
            <v>LA FIDUCIARIA S. A.                     1ND</v>
          </cell>
        </row>
        <row r="6572">
          <cell r="B6572" t="str">
            <v>14050919991401</v>
          </cell>
          <cell r="C6572" t="str">
            <v>FONDO MIVIVIENDA S. A.                  1ND</v>
          </cell>
        </row>
        <row r="6573">
          <cell r="B6573" t="str">
            <v>14050919991501</v>
          </cell>
          <cell r="C6573" t="str">
            <v>AMRICA FACTORING S. A.                  1ND</v>
          </cell>
        </row>
        <row r="6574">
          <cell r="B6574" t="str">
            <v>14050919991601</v>
          </cell>
          <cell r="C6574" t="str">
            <v>INCASA S. A.                            1ND</v>
          </cell>
        </row>
        <row r="6575">
          <cell r="B6575" t="str">
            <v>14050919991701</v>
          </cell>
          <cell r="C6575" t="str">
            <v>BANCOS DEL EXTERIOR                     1ND</v>
          </cell>
        </row>
        <row r="6576">
          <cell r="B6576" t="str">
            <v>14050919991702</v>
          </cell>
          <cell r="C6576" t="str">
            <v>OTRAS EMPRESAS DEL SISTEMA FINANCIERO DE1ND</v>
          </cell>
        </row>
        <row r="6577">
          <cell r="B6577" t="str">
            <v>14050999010405</v>
          </cell>
          <cell r="C6577" t="str">
            <v>TC VISA COMPRA REV IBK VEN CESF         1ND</v>
          </cell>
        </row>
        <row r="6578">
          <cell r="B6578" t="str">
            <v>14050999010406</v>
          </cell>
          <cell r="C6578" t="str">
            <v>TC VISA D/E REV IBK VEN CESF            1ND</v>
          </cell>
        </row>
        <row r="6579">
          <cell r="B6579" t="str">
            <v>14050999010901</v>
          </cell>
          <cell r="C6579" t="str">
            <v>BANCO FINANCIERO DEL PERU               1ND</v>
          </cell>
        </row>
        <row r="6580">
          <cell r="B6580" t="str">
            <v>14050999011601</v>
          </cell>
          <cell r="C6580" t="str">
            <v>IM SOBREGIRO CTA CTE PJ CITIBANK        1ND</v>
          </cell>
        </row>
        <row r="6581">
          <cell r="B6581" t="str">
            <v>14050999012101</v>
          </cell>
          <cell r="C6581" t="str">
            <v>BANCO INTERAMERICANO DE FINANZAS-SAEMA  1ND</v>
          </cell>
        </row>
        <row r="6582">
          <cell r="B6582" t="str">
            <v>14050999012110</v>
          </cell>
          <cell r="C6582" t="str">
            <v>CL EX FACTORING FORFAITING VENC CESF    1ND</v>
          </cell>
        </row>
        <row r="6583">
          <cell r="B6583" t="str">
            <v>14050999021301</v>
          </cell>
          <cell r="C6583" t="str">
            <v>TC MC REV.DISP.EFE FINANCIERA UNIVERSAL 1ND</v>
          </cell>
        </row>
        <row r="6584">
          <cell r="B6584" t="str">
            <v>14050999021302</v>
          </cell>
          <cell r="C6584" t="str">
            <v>TC MC REV.COMPRAS FINANCIERA UNIVERSAL V1ND</v>
          </cell>
        </row>
        <row r="6585">
          <cell r="B6585" t="str">
            <v>14050999021401</v>
          </cell>
          <cell r="C6585" t="str">
            <v>TC MC REV.DISP.EFE FINANCIERA UNO VEN CE1ND</v>
          </cell>
        </row>
        <row r="6586">
          <cell r="B6586" t="str">
            <v>14050999021402</v>
          </cell>
          <cell r="C6586" t="str">
            <v>TC MC REV.COMPRAS FINANCIERA UNO VEN. CE1ND</v>
          </cell>
        </row>
        <row r="6587">
          <cell r="B6587" t="str">
            <v>14050999021501</v>
          </cell>
          <cell r="C6587" t="str">
            <v>PR Forfaiting ExportaciÃ³n Venc CESF    1ND</v>
          </cell>
        </row>
        <row r="6588">
          <cell r="B6588" t="str">
            <v>14050999022001</v>
          </cell>
          <cell r="C6588" t="str">
            <v>$IM AVAN VEN SANTANDER FINANCIAMIENTOS  1ND</v>
          </cell>
        </row>
        <row r="6589">
          <cell r="B6589" t="str">
            <v>14050999022002</v>
          </cell>
          <cell r="C6589" t="str">
            <v>$IM SOBREGIRO VEN SANTANDER FINANCIAMIEN1ND</v>
          </cell>
        </row>
        <row r="6590">
          <cell r="B6590" t="str">
            <v>14050999030101</v>
          </cell>
          <cell r="C6590" t="str">
            <v>CAJA MUNICIPAL DE AHORRO Y CREDITO DE SU1ND</v>
          </cell>
        </row>
        <row r="6591">
          <cell r="B6591" t="str">
            <v>14050999030102</v>
          </cell>
          <cell r="C6591" t="str">
            <v>CL GARANTIA LEASEBACK BIENES INMUEBLES V1ND</v>
          </cell>
        </row>
        <row r="6592">
          <cell r="B6592" t="str">
            <v>14050999030601</v>
          </cell>
          <cell r="C6592" t="str">
            <v>CAJA MUNICIPAL DE AHORRO Y CREDITO CUSCO1ND</v>
          </cell>
        </row>
        <row r="6593">
          <cell r="B6593" t="str">
            <v>14050999031201</v>
          </cell>
          <cell r="C6593" t="str">
            <v>CAJA MUNIC DE AHORRO Y CRÃ‰DITO DE TACNA1ND</v>
          </cell>
        </row>
        <row r="6594">
          <cell r="B6594" t="str">
            <v>14050999040301</v>
          </cell>
          <cell r="C6594" t="str">
            <v>LPC CAJA RURAL DE AH.Y CREDITO CREDINKA 1ND</v>
          </cell>
        </row>
        <row r="6595">
          <cell r="B6595" t="str">
            <v>14050999051201</v>
          </cell>
          <cell r="C6595" t="str">
            <v>TC VISA REV.DISP.EFE EDPYME ACCESO CREDI1ND</v>
          </cell>
        </row>
        <row r="6596">
          <cell r="B6596" t="str">
            <v>14050999051202</v>
          </cell>
          <cell r="C6596" t="str">
            <v>TC VISA REV.COMPRAS EDPYME ACCESO CREDIT1ND</v>
          </cell>
        </row>
        <row r="6597">
          <cell r="B6597" t="str">
            <v>14050999130101</v>
          </cell>
          <cell r="C6597" t="str">
            <v>LPC LS LA FIDUCIARIA INT DIF VENC PDL CE1ND</v>
          </cell>
        </row>
        <row r="6598">
          <cell r="B6598" t="str">
            <v>14050999130102</v>
          </cell>
          <cell r="C6598" t="str">
            <v>LPC LS LA FIDUC SEGURO INT DIF VENC PDS 1ND</v>
          </cell>
        </row>
        <row r="6599">
          <cell r="B6599" t="str">
            <v>14050999130103</v>
          </cell>
          <cell r="C6599" t="str">
            <v>LPC LS LA FIDUCIARIA VENC SEGUROS PSG CE1ND</v>
          </cell>
        </row>
        <row r="6600">
          <cell r="B6600" t="str">
            <v>14050999130104</v>
          </cell>
          <cell r="C6600" t="str">
            <v>LPC LEASING LA FIDUCIARIA VENC IGV PIG C1ND</v>
          </cell>
        </row>
        <row r="6601">
          <cell r="B6601" t="str">
            <v>14050999130105</v>
          </cell>
          <cell r="C6601" t="str">
            <v>LPC LEASING LA FIDUCIARIA VENC PRI CESF 1ND</v>
          </cell>
        </row>
        <row r="6602">
          <cell r="B6602" t="str">
            <v>14050999130106</v>
          </cell>
          <cell r="C6602" t="str">
            <v>LPC LS LA FIDUC D/P INT DIF VENC PDL CES1ND</v>
          </cell>
        </row>
        <row r="6603">
          <cell r="B6603" t="str">
            <v>14050999130107</v>
          </cell>
          <cell r="C6603" t="str">
            <v>LPC LS LA FIDUC D/P SEG INT DIF VENC PDS1ND</v>
          </cell>
        </row>
        <row r="6604">
          <cell r="B6604" t="str">
            <v>14050999130108</v>
          </cell>
          <cell r="C6604" t="str">
            <v>LPC LS LA FIDUC VENC D/P SEG PSG CESF   1ND</v>
          </cell>
        </row>
        <row r="6605">
          <cell r="B6605" t="str">
            <v>14050999130109</v>
          </cell>
          <cell r="C6605" t="str">
            <v>LPC LS LA FIDUCIARIA VENC D/P IGV PIG CE1ND</v>
          </cell>
        </row>
        <row r="6606">
          <cell r="B6606" t="str">
            <v>14050999130110</v>
          </cell>
          <cell r="C6606" t="str">
            <v>LPC LS LA FIDUCIARIA VENC D/P PRI CESF  1ND</v>
          </cell>
        </row>
        <row r="6607">
          <cell r="B6607" t="str">
            <v>14050999170101</v>
          </cell>
          <cell r="C6607" t="str">
            <v>LPC FACT INTER BRITISH ARAB COMMERCIAL B1ND</v>
          </cell>
        </row>
        <row r="6608">
          <cell r="B6608" t="str">
            <v>14050999170102</v>
          </cell>
          <cell r="C6608" t="str">
            <v>LPC PAGARE FORFAITING VENC CESF         1ND</v>
          </cell>
        </row>
        <row r="6609">
          <cell r="B6609" t="str">
            <v>14050999170201</v>
          </cell>
          <cell r="C6609" t="str">
            <v>PR FACT INTERN VENC CESF                1ND</v>
          </cell>
        </row>
        <row r="6610">
          <cell r="B6610" t="str">
            <v>14050999170203</v>
          </cell>
          <cell r="C6610" t="str">
            <v>PR CONFIRMING INTER  VENC CESF          1ND</v>
          </cell>
        </row>
        <row r="6611">
          <cell r="B6611" t="str">
            <v>14050999170204</v>
          </cell>
          <cell r="C6611" t="str">
            <v>FCD FACT INTER EXPO VENC NORM CESF      1ND</v>
          </cell>
        </row>
        <row r="6612">
          <cell r="B6612" t="str">
            <v>14050999170205</v>
          </cell>
          <cell r="C6612" t="str">
            <v>FCD FORFAITING EXPO  VENC NORM  CESF    1ND</v>
          </cell>
        </row>
        <row r="6613">
          <cell r="B6613" t="str">
            <v>14050999170206</v>
          </cell>
          <cell r="C6613" t="str">
            <v>FCD FACT INTER EXPO VENC DUPE CESF      1ND</v>
          </cell>
        </row>
        <row r="6614">
          <cell r="B6614" t="str">
            <v>14050999170207</v>
          </cell>
          <cell r="C6614" t="str">
            <v>FCD FORFAITING EXPO  VENC DUPE  CESF    1ND</v>
          </cell>
        </row>
        <row r="6615">
          <cell r="B6615" t="str">
            <v>14050999170208</v>
          </cell>
          <cell r="C6615" t="str">
            <v>FCD CONFIRMING INTERNACIONAL VENC NORM C1ND</v>
          </cell>
        </row>
        <row r="6616">
          <cell r="B6616" t="str">
            <v>14050999170209</v>
          </cell>
          <cell r="C6616" t="str">
            <v>FCD CONFIRMING INTERNACIONAL VENC DUPE C1ND</v>
          </cell>
        </row>
        <row r="6617">
          <cell r="B6617" t="str">
            <v>14050999170210</v>
          </cell>
          <cell r="C6617" t="str">
            <v>IM SOBREGIRO  VEN SANTANDER FINANCIAMIEN1ND</v>
          </cell>
        </row>
        <row r="6618">
          <cell r="B6618" t="str">
            <v>14050999170211</v>
          </cell>
          <cell r="C6618" t="str">
            <v>IM SOGRE/AVAN VEN SANTANDER FINANCIAMIEN1ND</v>
          </cell>
        </row>
        <row r="6619">
          <cell r="B6619" t="str">
            <v>14051002010101</v>
          </cell>
          <cell r="C6619" t="str">
            <v>TC VISA COMERC COLOC.DISP.EFECT. CCOR   1ND</v>
          </cell>
        </row>
        <row r="6620">
          <cell r="B6620" t="str">
            <v>14051002010102</v>
          </cell>
          <cell r="C6620" t="str">
            <v>TC MC COMERCIAL. COLOC. CCOR            1ND</v>
          </cell>
        </row>
        <row r="6621">
          <cell r="B6621" t="str">
            <v>14051002010103</v>
          </cell>
          <cell r="C6621" t="str">
            <v>TC AMEX COMERC COLOC.DISP.EFECT. CCOR   1ND</v>
          </cell>
        </row>
        <row r="6622">
          <cell r="B6622" t="str">
            <v>14051002010104</v>
          </cell>
          <cell r="C6622" t="str">
            <v>TC VEA COMERCIAL. COLOC. DISP. CCOR     1ND</v>
          </cell>
        </row>
        <row r="6623">
          <cell r="B6623" t="str">
            <v>14051002010105</v>
          </cell>
          <cell r="C6623" t="str">
            <v>TC AMEX D/E CUOTAS VEN CCOR             1ND</v>
          </cell>
        </row>
        <row r="6624">
          <cell r="B6624" t="str">
            <v>14051002010106</v>
          </cell>
          <cell r="C6624" t="str">
            <v>TC AMEX D/E REV VEN CCOR                1ND</v>
          </cell>
        </row>
        <row r="6625">
          <cell r="B6625" t="str">
            <v>14051002010107</v>
          </cell>
          <cell r="C6625" t="str">
            <v>TC MC D/E CUOTAS VEN CCOR               1ND</v>
          </cell>
        </row>
        <row r="6626">
          <cell r="B6626" t="str">
            <v>14051002010108</v>
          </cell>
          <cell r="C6626" t="str">
            <v>TC MC D/E REV VEN CCOR                  1ND</v>
          </cell>
        </row>
        <row r="6627">
          <cell r="B6627" t="str">
            <v>14051002010109</v>
          </cell>
          <cell r="C6627" t="str">
            <v>TC VISA D/E CUOTAS VEN CCOR             1ND</v>
          </cell>
        </row>
        <row r="6628">
          <cell r="B6628" t="str">
            <v>14051002010110</v>
          </cell>
          <cell r="C6628" t="str">
            <v>TC VISA D/E REV VEN CCOR                1ND</v>
          </cell>
        </row>
        <row r="6629">
          <cell r="B6629" t="str">
            <v>14051002010201</v>
          </cell>
          <cell r="C6629" t="str">
            <v>CL PRE JUD TC VISA PJ DISP EFEC CCOR    1ND</v>
          </cell>
        </row>
        <row r="6630">
          <cell r="B6630" t="str">
            <v>14051002010202</v>
          </cell>
          <cell r="C6630" t="str">
            <v>CL PRE JUD TC.AMEX PJ DISP EFEC CCOR    1ND</v>
          </cell>
        </row>
        <row r="6631">
          <cell r="B6631" t="str">
            <v>14051002010203</v>
          </cell>
          <cell r="C6631" t="str">
            <v>CL PRE JUD TC.MASTER PJ DISP EFEC CCOR  1ND</v>
          </cell>
        </row>
        <row r="6632">
          <cell r="B6632" t="str">
            <v>14051002010204</v>
          </cell>
          <cell r="C6632" t="str">
            <v>JCC PRE JUD TC.MASTER PJ CONSU CCOR     1ND</v>
          </cell>
        </row>
        <row r="6633">
          <cell r="B6633" t="str">
            <v>14051002010205</v>
          </cell>
          <cell r="C6633" t="str">
            <v>JCC PRE JUD TC VISA PJ CONSUM. CCOR     1ND</v>
          </cell>
        </row>
        <row r="6634">
          <cell r="B6634" t="str">
            <v>14051002010206</v>
          </cell>
          <cell r="C6634" t="str">
            <v>JCC PRE JUD TC.AMEX PJ CONSU CCOR       1ND</v>
          </cell>
        </row>
        <row r="6635">
          <cell r="B6635" t="str">
            <v>14051002010207</v>
          </cell>
          <cell r="C6635" t="str">
            <v>JCC PRE JUD TC.MASTER PJ DISP EFEC CCOR 1ND</v>
          </cell>
        </row>
        <row r="6636">
          <cell r="B6636" t="str">
            <v>14051002010208</v>
          </cell>
          <cell r="C6636" t="str">
            <v>JCC PRE JUD TC VISA PJ DISP EFEC CCOR   1ND</v>
          </cell>
        </row>
        <row r="6637">
          <cell r="B6637" t="str">
            <v>14051002010209</v>
          </cell>
          <cell r="C6637" t="str">
            <v>JCC PRE JUD TC.AMEX PJ DISP EFEC CCOR   1ND</v>
          </cell>
        </row>
        <row r="6638">
          <cell r="B6638" t="str">
            <v>14051002020101</v>
          </cell>
          <cell r="C6638" t="str">
            <v>TC VISA COMERCIAL COLOC.COMPRAS CCOR    1ND</v>
          </cell>
        </row>
        <row r="6639">
          <cell r="B6639" t="str">
            <v>14051002020102</v>
          </cell>
          <cell r="C6639" t="str">
            <v>TC MC COMERCIAL. COLOC. COMPR CCOR.     1ND</v>
          </cell>
        </row>
        <row r="6640">
          <cell r="B6640" t="str">
            <v>14051002020103</v>
          </cell>
          <cell r="C6640" t="str">
            <v>TC AMEX COMERCIAL COLOC.COMPRAS CCOR    1ND</v>
          </cell>
        </row>
        <row r="6641">
          <cell r="B6641" t="str">
            <v>14051002020104</v>
          </cell>
          <cell r="C6641" t="str">
            <v>TC VEA COMERCIAL. COLOC. COMPR CCOR.    1ND</v>
          </cell>
        </row>
        <row r="6642">
          <cell r="B6642" t="str">
            <v>14051002020105</v>
          </cell>
          <cell r="C6642" t="str">
            <v>TC AMEX COMPRA CUOTAS VEN CCOR          1ND</v>
          </cell>
        </row>
        <row r="6643">
          <cell r="B6643" t="str">
            <v>14051002020106</v>
          </cell>
          <cell r="C6643" t="str">
            <v>TC AMEX COMPRA REV VEN CCOR             1ND</v>
          </cell>
        </row>
        <row r="6644">
          <cell r="B6644" t="str">
            <v>14051002020107</v>
          </cell>
          <cell r="C6644" t="str">
            <v>TC MC COMPRA CUOTAS VEN CCOR            1ND</v>
          </cell>
        </row>
        <row r="6645">
          <cell r="B6645" t="str">
            <v>14051002020108</v>
          </cell>
          <cell r="C6645" t="str">
            <v>TC MC COMPRA REV VEN CCOR               1ND</v>
          </cell>
        </row>
        <row r="6646">
          <cell r="B6646" t="str">
            <v>14051002020109</v>
          </cell>
          <cell r="C6646" t="str">
            <v>TC VISA COMPRA CUOTAS VEN CCOR          1ND</v>
          </cell>
        </row>
        <row r="6647">
          <cell r="B6647" t="str">
            <v>14051002020110</v>
          </cell>
          <cell r="C6647" t="str">
            <v>TC VISA COMPRA REV VEN CCOR             1ND</v>
          </cell>
        </row>
        <row r="6648">
          <cell r="B6648" t="str">
            <v>14051002020201</v>
          </cell>
          <cell r="C6648" t="str">
            <v>CL PRE JUD TC VISA PJ CONSUM. CCOR      1ND</v>
          </cell>
        </row>
        <row r="6649">
          <cell r="B6649" t="str">
            <v>14051002020202</v>
          </cell>
          <cell r="C6649" t="str">
            <v>CL PRE JUD TC.AMEX PJ CONSU CCOR        1ND</v>
          </cell>
        </row>
        <row r="6650">
          <cell r="B6650" t="str">
            <v>14051002020203</v>
          </cell>
          <cell r="C6650" t="str">
            <v>CL PRE JUD TC.MASTER PJ CONSU CCOR      1ND</v>
          </cell>
        </row>
        <row r="6651">
          <cell r="B6651" t="str">
            <v>14051002090101</v>
          </cell>
          <cell r="C6651" t="str">
            <v>TC AMEX CDEUDA PAR VEN CCOR             1ND</v>
          </cell>
        </row>
        <row r="6652">
          <cell r="B6652" t="str">
            <v>14051002090102</v>
          </cell>
          <cell r="C6652" t="str">
            <v>TC AMEX CDEUDA REV VEN CCOR             1ND</v>
          </cell>
        </row>
        <row r="6653">
          <cell r="B6653" t="str">
            <v>14051002090103</v>
          </cell>
          <cell r="C6653" t="str">
            <v>TC AMEX EXTRACASH VEN CCOR              1ND</v>
          </cell>
        </row>
        <row r="6654">
          <cell r="B6654" t="str">
            <v>14051002090104</v>
          </cell>
          <cell r="C6654" t="str">
            <v>TC AMEX REPROG PAR VEN CCOR             1ND</v>
          </cell>
        </row>
        <row r="6655">
          <cell r="B6655" t="str">
            <v>14051002090105</v>
          </cell>
          <cell r="C6655" t="str">
            <v>TC AMEX REPROG REV VEN CCOR             1ND</v>
          </cell>
        </row>
        <row r="6656">
          <cell r="B6656" t="str">
            <v>14051002090106</v>
          </cell>
          <cell r="C6656" t="str">
            <v>TC MC CDEUDA PAR VEN CCOR               1ND</v>
          </cell>
        </row>
        <row r="6657">
          <cell r="B6657" t="str">
            <v>14051002090107</v>
          </cell>
          <cell r="C6657" t="str">
            <v>TC MC CDEUDA REV VEN CCOR               1ND</v>
          </cell>
        </row>
        <row r="6658">
          <cell r="B6658" t="str">
            <v>14051002090108</v>
          </cell>
          <cell r="C6658" t="str">
            <v>TC MC EXTRACASH VEN CCOR                1ND</v>
          </cell>
        </row>
        <row r="6659">
          <cell r="B6659" t="str">
            <v>14051002090109</v>
          </cell>
          <cell r="C6659" t="str">
            <v>TC MC REPROG PAR VEN CCOR               1ND</v>
          </cell>
        </row>
        <row r="6660">
          <cell r="B6660" t="str">
            <v>14051002090110</v>
          </cell>
          <cell r="C6660" t="str">
            <v>TC MC REPROG REV VEN CCOR               1ND</v>
          </cell>
        </row>
        <row r="6661">
          <cell r="B6661" t="str">
            <v>14051002090111</v>
          </cell>
          <cell r="C6661" t="str">
            <v>TC VISA CDEUDA PAR VEN CCOR             1ND</v>
          </cell>
        </row>
        <row r="6662">
          <cell r="B6662" t="str">
            <v>14051002090112</v>
          </cell>
          <cell r="C6662" t="str">
            <v>TC VISA CDEUDA REV VEN CCOR             1ND</v>
          </cell>
        </row>
        <row r="6663">
          <cell r="B6663" t="str">
            <v>14051002090113</v>
          </cell>
          <cell r="C6663" t="str">
            <v>TC VISA EXTRACASH VEN CCOR              1ND</v>
          </cell>
        </row>
        <row r="6664">
          <cell r="B6664" t="str">
            <v>14051002090114</v>
          </cell>
          <cell r="C6664" t="str">
            <v>TC VISA REPROG PAR VEN CCOR             1ND</v>
          </cell>
        </row>
        <row r="6665">
          <cell r="B6665" t="str">
            <v>14051002090115</v>
          </cell>
          <cell r="C6665" t="str">
            <v>TC VISA REPROG REV VEN CCOR             1ND</v>
          </cell>
        </row>
        <row r="6666">
          <cell r="B6666" t="str">
            <v>14051004000101</v>
          </cell>
          <cell r="C6666" t="str">
            <v>CL PRE JUD SOBR CCTE. PJ VENC CCOR      1ND</v>
          </cell>
        </row>
        <row r="6667">
          <cell r="B6667" t="str">
            <v>14051004000102</v>
          </cell>
          <cell r="C6667" t="str">
            <v>JCC PRE JUD SOBR CCTE. PJ VENC CCOR     1ND</v>
          </cell>
        </row>
        <row r="6668">
          <cell r="B6668" t="str">
            <v>14051004000201</v>
          </cell>
          <cell r="C6668" t="str">
            <v>IM SOBREG VENC CTA CTE PJ CCOR          1ND</v>
          </cell>
        </row>
        <row r="6669">
          <cell r="B6669" t="str">
            <v>14051004000202</v>
          </cell>
          <cell r="C6669" t="str">
            <v>IM SOBREG VENC CTA CTE PJ S/F CCOR      1ND</v>
          </cell>
        </row>
        <row r="6670">
          <cell r="B6670" t="str">
            <v>14051005010201</v>
          </cell>
          <cell r="C6670" t="str">
            <v>CL PAG DSCTO VENC CCOR                  1ND</v>
          </cell>
        </row>
        <row r="6671">
          <cell r="B6671" t="str">
            <v>14051005010202</v>
          </cell>
          <cell r="C6671" t="str">
            <v>CL PAG.DSCTO D/P VENC CCOR              1ND</v>
          </cell>
        </row>
        <row r="6672">
          <cell r="B6672" t="str">
            <v>14051005010203</v>
          </cell>
          <cell r="C6672" t="str">
            <v>CL PRE JUDIC DSCTO.PAG CCOR             1ND</v>
          </cell>
        </row>
        <row r="6673">
          <cell r="B6673" t="str">
            <v>14051005010204</v>
          </cell>
          <cell r="C6673" t="str">
            <v>LPC PAG.TSA.DSCTO D/P VENC CCOR         1ND</v>
          </cell>
        </row>
        <row r="6674">
          <cell r="B6674" t="str">
            <v>14051005010205</v>
          </cell>
          <cell r="C6674" t="str">
            <v>LPC PAG.TSA.DSCTO VENC CCOR             1ND</v>
          </cell>
        </row>
        <row r="6675">
          <cell r="B6675" t="str">
            <v>14051005020101</v>
          </cell>
          <cell r="C6675" t="str">
            <v>FCD LETRAS  DSCTO VC   CCOR             1ND</v>
          </cell>
        </row>
        <row r="6676">
          <cell r="B6676" t="str">
            <v>14051005020102</v>
          </cell>
          <cell r="C6676" t="str">
            <v>PR DSCTO ELECTR SM PERU VEN CCOR        1ND</v>
          </cell>
        </row>
        <row r="6677">
          <cell r="B6677" t="str">
            <v>14051005020103</v>
          </cell>
          <cell r="C6677" t="str">
            <v>PR LETRAS EN DSCTO VEN D/P CORP         1ND</v>
          </cell>
        </row>
        <row r="6678">
          <cell r="B6678" t="str">
            <v>14051005020104</v>
          </cell>
          <cell r="C6678" t="str">
            <v>PR LETRAS T. DESCONTADAÂ  VENCÂ Â  CCOR 1ND</v>
          </cell>
        </row>
        <row r="6679">
          <cell r="B6679" t="str">
            <v>14051005020105</v>
          </cell>
          <cell r="C6679" t="str">
            <v>FCD DSCTO ELECTR VENC DUDOSO CCOR       1ND</v>
          </cell>
        </row>
        <row r="6680">
          <cell r="B6680" t="str">
            <v>14051005020106</v>
          </cell>
          <cell r="C6680" t="str">
            <v>FCD DESC. LET. VENC. CCOR DUPE          1ND</v>
          </cell>
        </row>
        <row r="6681">
          <cell r="B6681" t="str">
            <v>14051005020107</v>
          </cell>
          <cell r="C6681" t="str">
            <v>FCD DESC. FACT. VENC. CCOR DUPE         1ND</v>
          </cell>
        </row>
        <row r="6682">
          <cell r="B6682" t="str">
            <v>14051005020108</v>
          </cell>
          <cell r="C6682" t="str">
            <v>FCD DESC. VIRTUAL VENC. CCOR DUPE       1ND</v>
          </cell>
        </row>
        <row r="6683">
          <cell r="B6683" t="str">
            <v>14051005020109</v>
          </cell>
          <cell r="C6683" t="str">
            <v>FCD DESC. FACT. NEG. VENC. CCOR DUPE    1ND</v>
          </cell>
        </row>
        <row r="6684">
          <cell r="B6684" t="str">
            <v>14051005020110</v>
          </cell>
          <cell r="C6684" t="str">
            <v>FCD DESC. VIRTUAL VENC. CCOR NORMAL     1ND</v>
          </cell>
        </row>
        <row r="6685">
          <cell r="B6685" t="str">
            <v>14051005020201</v>
          </cell>
          <cell r="C6685" t="str">
            <v>CL PRE JUDIC DSCTO.LETRAS VENC CCOR     1ND</v>
          </cell>
        </row>
        <row r="6686">
          <cell r="B6686" t="str">
            <v>14051005020202</v>
          </cell>
          <cell r="C6686" t="str">
            <v>JCC PRE JUDIC DSCTO.PAG CCOR            1ND</v>
          </cell>
        </row>
        <row r="6687">
          <cell r="B6687" t="str">
            <v>14051005020203</v>
          </cell>
          <cell r="C6687" t="str">
            <v>JCC PRE JUDIC DSCTO.LETRAS VENC CCOR    1ND</v>
          </cell>
        </row>
        <row r="6688">
          <cell r="B6688" t="str">
            <v>14051006010101</v>
          </cell>
          <cell r="C6688" t="str">
            <v>LPC PAG TV D/P REV VENC LPC CCOR        1ND</v>
          </cell>
        </row>
        <row r="6689">
          <cell r="B6689" t="str">
            <v>14051006010102</v>
          </cell>
          <cell r="C6689" t="str">
            <v>LPC VENC PAG TV RP REVOL CCOR           1ND</v>
          </cell>
        </row>
        <row r="6690">
          <cell r="B6690" t="str">
            <v>14051006010103</v>
          </cell>
          <cell r="C6690" t="str">
            <v>LPC PAG TV REF VENC REV CCOR            1ND</v>
          </cell>
        </row>
        <row r="6691">
          <cell r="B6691" t="str">
            <v>14051006010104</v>
          </cell>
          <cell r="C6691" t="str">
            <v>LPC P.TV REC.COFIDE REVOL VEN CCOR      1ND</v>
          </cell>
        </row>
        <row r="6692">
          <cell r="B6692" t="str">
            <v>14051006010105</v>
          </cell>
          <cell r="C6692" t="str">
            <v>LPC PAG TV COFIDE VENC D/P CCOR         1ND</v>
          </cell>
        </row>
        <row r="6693">
          <cell r="B6693" t="str">
            <v>14051006010106</v>
          </cell>
          <cell r="C6693" t="str">
            <v>LPC PAG TV RP MED PLAZO REVOL           1ND</v>
          </cell>
        </row>
        <row r="6694">
          <cell r="B6694" t="str">
            <v>14051006010107</v>
          </cell>
          <cell r="C6694" t="str">
            <v>LPC PAG TV RP MED PLAZO REVOL D/P       1ND</v>
          </cell>
        </row>
        <row r="6695">
          <cell r="B6695" t="str">
            <v>14051006010108</v>
          </cell>
          <cell r="C6695" t="str">
            <v>LPC PAG TV INMOBILIARIO REV             1ND</v>
          </cell>
        </row>
        <row r="6696">
          <cell r="B6696" t="str">
            <v>14051006010109</v>
          </cell>
          <cell r="C6696" t="str">
            <v>LPC PAG TV INMOBILIARIO REV D/P         1ND</v>
          </cell>
        </row>
        <row r="6697">
          <cell r="B6697" t="str">
            <v>14051006010110</v>
          </cell>
          <cell r="C6697" t="str">
            <v>LPC PAG TV REVOL EUROS                  1ND</v>
          </cell>
        </row>
        <row r="6698">
          <cell r="B6698" t="str">
            <v>14051006010111</v>
          </cell>
          <cell r="C6698" t="str">
            <v>LPC PAG TV REVOL EUROS D/P              1ND</v>
          </cell>
        </row>
        <row r="6699">
          <cell r="B6699" t="str">
            <v>14051006010112</v>
          </cell>
          <cell r="C6699" t="str">
            <v>LPC VENC PAG DERIVADOS REVOL CCOR       1ND</v>
          </cell>
        </row>
        <row r="6700">
          <cell r="B6700" t="str">
            <v>14051006010113</v>
          </cell>
          <cell r="C6700" t="str">
            <v>LPC PAG DERIVADOS D/P REV VENC CCOR     1ND</v>
          </cell>
        </row>
        <row r="6701">
          <cell r="B6701" t="str">
            <v>14051006010114</v>
          </cell>
          <cell r="C6701" t="str">
            <v>LPC PAG REPROGRAMADO REV NORM CCOR      1ND</v>
          </cell>
        </row>
        <row r="6702">
          <cell r="B6702" t="str">
            <v>14051006010115</v>
          </cell>
          <cell r="C6702" t="str">
            <v>LPC PAG REPROGRAMADO REV D/P CCOR       1ND</v>
          </cell>
        </row>
        <row r="6703">
          <cell r="B6703" t="str">
            <v>14051006010116</v>
          </cell>
          <cell r="C6703" t="str">
            <v>LPC PAG.INMOB. REPROG-SUSPENSO VENC CCOR1ND</v>
          </cell>
        </row>
        <row r="6704">
          <cell r="B6704" t="str">
            <v>14051006010117</v>
          </cell>
          <cell r="C6704" t="str">
            <v>LPC PAG COMERC REPROG-SUSPENSO VENC CCOR1ND</v>
          </cell>
        </row>
        <row r="6705">
          <cell r="B6705" t="str">
            <v>14051006010118</v>
          </cell>
          <cell r="C6705" t="str">
            <v>LPC PAG.INMOB. REPROG-SUSPENSO VENC CCOR1ND</v>
          </cell>
        </row>
        <row r="6706">
          <cell r="B6706" t="str">
            <v>14051006010201</v>
          </cell>
          <cell r="C6706" t="str">
            <v>CL PAG. TV D/P REVOL VEN CCOR           1ND</v>
          </cell>
        </row>
        <row r="6707">
          <cell r="B6707" t="str">
            <v>14051006010202</v>
          </cell>
          <cell r="C6707" t="str">
            <v>CL PAG TV REVOLV VEN CCOR               1ND</v>
          </cell>
        </row>
        <row r="6708">
          <cell r="B6708" t="str">
            <v>14051006010203</v>
          </cell>
          <cell r="C6708" t="str">
            <v>CL PAG.TV NEG.INMOB REVOLV VEN CCOR     1ND</v>
          </cell>
        </row>
        <row r="6709">
          <cell r="B6709" t="str">
            <v>14051006010204</v>
          </cell>
          <cell r="C6709" t="str">
            <v>CL P.TV OTROS SUSP.REVOLV VEN CCOR      1ND</v>
          </cell>
        </row>
        <row r="6710">
          <cell r="B6710" t="str">
            <v>14051006010205</v>
          </cell>
          <cell r="C6710" t="str">
            <v>CL P.TV REC.COFIDE.REV VEN CCOR         1ND</v>
          </cell>
        </row>
        <row r="6711">
          <cell r="B6711" t="str">
            <v>14051006010206</v>
          </cell>
          <cell r="C6711" t="str">
            <v>CL PRE JUD RP CAP.TRAB VENC REV CCOR    1ND</v>
          </cell>
        </row>
        <row r="6712">
          <cell r="B6712" t="str">
            <v>14051006010207</v>
          </cell>
          <cell r="C6712" t="str">
            <v>CL PRE JUD PAG.TV.COFIDE REVOL CCOR     1ND</v>
          </cell>
        </row>
        <row r="6713">
          <cell r="B6713" t="str">
            <v>14051006010301</v>
          </cell>
          <cell r="C6713" t="str">
            <v>LPC PAG TV REEST REV VENC CCOR          1ND</v>
          </cell>
        </row>
        <row r="6714">
          <cell r="B6714" t="str">
            <v>14051006010401</v>
          </cell>
          <cell r="C6714" t="str">
            <v>JCC PRE JUD RP CAP.TRAB VENC REV CCOR   1ND</v>
          </cell>
        </row>
        <row r="6715">
          <cell r="B6715" t="str">
            <v>14051006010402</v>
          </cell>
          <cell r="C6715" t="str">
            <v>JCC PRE JUD PAG.TV.COFIDE REVOL CCOR    1ND</v>
          </cell>
        </row>
        <row r="6716">
          <cell r="B6716" t="str">
            <v>14051006011012</v>
          </cell>
          <cell r="C6716" t="str">
            <v>LPC MAPFRE PERU CIA DE SEGUROS Y REASEGU1ND</v>
          </cell>
        </row>
        <row r="6717">
          <cell r="B6717" t="str">
            <v>14051006011019</v>
          </cell>
          <cell r="C6717" t="str">
            <v>LPC REACTIVA PERU VEN CCOR\NORM         1ND</v>
          </cell>
        </row>
        <row r="6718">
          <cell r="B6718" t="str">
            <v>14051006011020</v>
          </cell>
          <cell r="C6718" t="str">
            <v>LPC REACTIVA PERU VEN CCOR\DUPE         1ND</v>
          </cell>
        </row>
        <row r="6719">
          <cell r="B6719" t="str">
            <v>14051006011021</v>
          </cell>
          <cell r="C6719" t="str">
            <v>LPC COFIDE FONDOS PERU VEN CCOR\NORM    1ND</v>
          </cell>
        </row>
        <row r="6720">
          <cell r="B6720" t="str">
            <v>14051006011022</v>
          </cell>
          <cell r="C6720" t="str">
            <v>LPC COFIDE FONDOS PERU VEN CCOR\DUPE    1ND</v>
          </cell>
        </row>
        <row r="6721">
          <cell r="B6721" t="str">
            <v>14051006011023</v>
          </cell>
          <cell r="C6721" t="str">
            <v>LPC COFIDE FONDO CRECER VEN CCOR\NORM   1ND</v>
          </cell>
        </row>
        <row r="6722">
          <cell r="B6722" t="str">
            <v>14051006011024</v>
          </cell>
          <cell r="C6722" t="str">
            <v>LPC REACTIVA PERU VEN CCOR\NORM         1ND</v>
          </cell>
        </row>
        <row r="6723">
          <cell r="B6723" t="str">
            <v>14051006011025</v>
          </cell>
          <cell r="C6723" t="str">
            <v>LPC REACTIVA PERU VEN CCOR\DUPE         1ND</v>
          </cell>
        </row>
        <row r="6724">
          <cell r="B6724" t="str">
            <v>14051006011026</v>
          </cell>
          <cell r="C6724" t="str">
            <v>LPC PAG. REPROG-SUSPENSO VENC CCOR NOR R1ND</v>
          </cell>
        </row>
        <row r="6725">
          <cell r="B6725" t="str">
            <v>14051006011028</v>
          </cell>
          <cell r="C6725" t="str">
            <v>LPC PAG MEDIANO PLAZO COVID-19 CCOR REV 1ND</v>
          </cell>
        </row>
        <row r="6726">
          <cell r="B6726" t="str">
            <v>14051006011029</v>
          </cell>
          <cell r="C6726" t="str">
            <v>LPC REF_FINAN_ESPECIALES_CCOR COVID-19  1ND</v>
          </cell>
        </row>
        <row r="6727">
          <cell r="B6727" t="str">
            <v>14051006011030</v>
          </cell>
          <cell r="C6727" t="str">
            <v>LPC REF_FINAN_ESPECIALES_CCOR COVID-19  1ND</v>
          </cell>
        </row>
        <row r="6728">
          <cell r="B6728" t="str">
            <v>14051006011031</v>
          </cell>
          <cell r="C6728" t="str">
            <v>LPC RP MED PZ PREST VERDE-SOCIAL CCOR VE1 D</v>
          </cell>
        </row>
        <row r="6729">
          <cell r="B6729" t="str">
            <v>14051006011032</v>
          </cell>
          <cell r="C6729" t="str">
            <v>LPC RP MED PZ PREST VERDE-SOCIAL CCOR VE1 D</v>
          </cell>
        </row>
        <row r="6730">
          <cell r="B6730" t="str">
            <v>14051006011033</v>
          </cell>
          <cell r="C6730" t="str">
            <v>LPC RP MED PZ PREST SOSTENIBLE CCOR VEN 1 D</v>
          </cell>
        </row>
        <row r="6731">
          <cell r="B6731" t="str">
            <v>14051006011034</v>
          </cell>
          <cell r="C6731" t="str">
            <v>LPC RP MED PZ PREST SOSTENIBLE CCOR VEN 1 D</v>
          </cell>
        </row>
        <row r="6732">
          <cell r="B6732" t="str">
            <v>14051006011035</v>
          </cell>
          <cell r="C6732" t="str">
            <v>LPC IMPULSO MYPERU CORTO PLAZO VEN REV C1 D</v>
          </cell>
        </row>
        <row r="6733">
          <cell r="B6733" t="str">
            <v>14051006011036</v>
          </cell>
          <cell r="C6733" t="str">
            <v>LPC IMPULSO MYPERU MEDIANO PLAZO VEN REV1 D</v>
          </cell>
        </row>
        <row r="6734">
          <cell r="B6734" t="str">
            <v>14051006011037</v>
          </cell>
          <cell r="C6734" t="str">
            <v>MYP LINEA REVOL REUT.VEN CCOR DUPE      1 D</v>
          </cell>
        </row>
        <row r="6735">
          <cell r="B6735" t="str">
            <v>14051006011038</v>
          </cell>
          <cell r="C6735" t="str">
            <v>MYP LINEA REVOL REUT.VEN CCOR NORM      1 D</v>
          </cell>
        </row>
        <row r="6736">
          <cell r="B6736" t="str">
            <v>14051006011039</v>
          </cell>
          <cell r="C6736" t="str">
            <v>LPC PAG PAPERLESS DERIVADOS REVOL CCOR N1ND</v>
          </cell>
        </row>
        <row r="6737">
          <cell r="B6737" t="str">
            <v>14051006011040</v>
          </cell>
          <cell r="C6737" t="str">
            <v>LPC PAG PAPERLESS DERIVADOS REVOL CCOR D1ND</v>
          </cell>
        </row>
        <row r="6738">
          <cell r="B6738" t="str">
            <v>14051006011041</v>
          </cell>
          <cell r="C6738" t="str">
            <v>CCD-BPE LINEA REVOLVENTE_CCOR VEN NORM  1 D</v>
          </cell>
        </row>
        <row r="6739">
          <cell r="B6739" t="str">
            <v>14051006011042</v>
          </cell>
          <cell r="C6739" t="str">
            <v>CCD-BPE LINEA REVOLVENTE_CCOR VEN DUPE  1 D</v>
          </cell>
        </row>
        <row r="6740">
          <cell r="B6740" t="str">
            <v>14051006020101</v>
          </cell>
          <cell r="C6740" t="str">
            <v>CL PRE JUD TV MEDI. PLZ C/FIJA CCOR     1ND</v>
          </cell>
        </row>
        <row r="6741">
          <cell r="B6741" t="str">
            <v>14051006020201</v>
          </cell>
          <cell r="C6741" t="str">
            <v>JCC PRE JUD TV MEDI. PLZ C/FIJA CCOR    1ND</v>
          </cell>
        </row>
        <row r="6742">
          <cell r="B6742" t="str">
            <v>14051006020202</v>
          </cell>
          <cell r="C6742" t="str">
            <v>JCC PRE JUD REACTIVA PERU NO REVOLV CCOR1ND</v>
          </cell>
        </row>
        <row r="6743">
          <cell r="B6743" t="str">
            <v>14051006020203</v>
          </cell>
          <cell r="C6743" t="str">
            <v>LPC VENC PAG TV  D/P RP NO REVOL CCOR   1ND</v>
          </cell>
        </row>
        <row r="6744">
          <cell r="B6744" t="str">
            <v>14051006020204</v>
          </cell>
          <cell r="C6744" t="str">
            <v>LPC VENC PAG TV RP NO REVOL CCOR        1ND</v>
          </cell>
        </row>
        <row r="6745">
          <cell r="B6745" t="str">
            <v>14051006020205</v>
          </cell>
          <cell r="C6745" t="str">
            <v>LPC PAG.INMOB. REPROG-SUSPENSO VEN CCOR 1ND</v>
          </cell>
        </row>
        <row r="6746">
          <cell r="B6746" t="str">
            <v>14051006020206</v>
          </cell>
          <cell r="C6746" t="str">
            <v>LPC PAG COMERC REPROG-SUSPENSO VEN CCOR 1ND</v>
          </cell>
        </row>
        <row r="6747">
          <cell r="B6747" t="str">
            <v>14051006020207</v>
          </cell>
          <cell r="C6747" t="str">
            <v>LPC PAG.INMOB. REPROG-SUSPENSO VEN CCOR 1ND</v>
          </cell>
        </row>
        <row r="6748">
          <cell r="B6748" t="str">
            <v>14051006020208</v>
          </cell>
          <cell r="C6748" t="str">
            <v>LPC PAG COMERC REPROG-SUSPENSO VEN CCOR 1ND</v>
          </cell>
        </row>
        <row r="6749">
          <cell r="B6749" t="str">
            <v>14051006020209</v>
          </cell>
          <cell r="C6749" t="str">
            <v>LPC PAG DERIVADOS D/P VENC NO REV CCOR  1 D</v>
          </cell>
        </row>
        <row r="6750">
          <cell r="B6750" t="str">
            <v>14051006020210</v>
          </cell>
          <cell r="C6750" t="str">
            <v>LPC PAG DERIVADOS VEN NO REVOL CCOR     1 D</v>
          </cell>
        </row>
        <row r="6751">
          <cell r="B6751" t="str">
            <v>14051006020211</v>
          </cell>
          <cell r="C6751" t="str">
            <v>LPC REACTIVA PERU VEN CCOR\NORM         1 D</v>
          </cell>
        </row>
        <row r="6752">
          <cell r="B6752" t="str">
            <v>14051006020212</v>
          </cell>
          <cell r="C6752" t="str">
            <v>LPC PAG TV RP MED PLAZO NO REV          1 D</v>
          </cell>
        </row>
        <row r="6753">
          <cell r="B6753" t="str">
            <v>14051006020215</v>
          </cell>
          <cell r="C6753" t="str">
            <v>LPC 30K REACTIVA CORTO PLAZO REPROG VEN 1 D</v>
          </cell>
        </row>
        <row r="6754">
          <cell r="B6754" t="str">
            <v>14051006020216</v>
          </cell>
          <cell r="C6754" t="str">
            <v>LPC 30K REACTIVA CORTO PLAZO REPROG VEN 1 D</v>
          </cell>
        </row>
        <row r="6755">
          <cell r="B6755" t="str">
            <v>14051006020217</v>
          </cell>
          <cell r="C6755" t="str">
            <v>LPC REACTIVA PERU VEN CCOR\DUPE         1 D</v>
          </cell>
        </row>
        <row r="6756">
          <cell r="B6756" t="str">
            <v>14051006020218</v>
          </cell>
          <cell r="C6756" t="str">
            <v>JCC PRE JUD REACTIVA PERU NO REVOLV CCOR1 D</v>
          </cell>
        </row>
        <row r="6757">
          <cell r="B6757" t="str">
            <v>14051006020219</v>
          </cell>
          <cell r="C6757" t="str">
            <v>JCC PRE JUD FONDO CRECER CCOR           1 D</v>
          </cell>
        </row>
        <row r="6758">
          <cell r="B6758" t="str">
            <v>14051006020220</v>
          </cell>
          <cell r="C6758" t="str">
            <v>JCC PRE JUD REACTIVA PRE-HONRAMIENTO CCO1 D</v>
          </cell>
        </row>
        <row r="6759">
          <cell r="B6759" t="str">
            <v>14051006020221</v>
          </cell>
          <cell r="C6759" t="str">
            <v>LPC REF_FINAN_ESPECIALES_CCOR VEN DP COV1 D</v>
          </cell>
        </row>
        <row r="6760">
          <cell r="B6760" t="str">
            <v>14051006020222</v>
          </cell>
          <cell r="C6760" t="str">
            <v>LPC REPROG REACTIVA DIFE  CCOR VEN      1 D</v>
          </cell>
        </row>
        <row r="6761">
          <cell r="B6761" t="str">
            <v>14051006020223</v>
          </cell>
          <cell r="C6761" t="str">
            <v>LPC REPROG REACTIVA DS.011-2022 CCOR NOR1 D</v>
          </cell>
        </row>
        <row r="6762">
          <cell r="B6762" t="str">
            <v>14051006020224</v>
          </cell>
          <cell r="C6762" t="str">
            <v>LPC REPROG REACTIVA DS.011-2022 CCOR DUP1 D</v>
          </cell>
        </row>
        <row r="6763">
          <cell r="B6763" t="str">
            <v>14051006020225</v>
          </cell>
          <cell r="C6763" t="str">
            <v>LPC RP MED PZ PREST VERDE-SOCIAL CCOR VE1 D</v>
          </cell>
        </row>
        <row r="6764">
          <cell r="B6764" t="str">
            <v>14051006020226</v>
          </cell>
          <cell r="C6764" t="str">
            <v>LPC RP MED PZ PREST VERDE-SOCIAL CCOR VE1 D</v>
          </cell>
        </row>
        <row r="6765">
          <cell r="B6765" t="str">
            <v>14051006020227</v>
          </cell>
          <cell r="C6765" t="str">
            <v>LPC RP MED PZ PREST SOSTENIBLE CCOR VEN 1 D</v>
          </cell>
        </row>
        <row r="6766">
          <cell r="B6766" t="str">
            <v>14051006020228</v>
          </cell>
          <cell r="C6766" t="str">
            <v>LPC RP MED PZ PREST SOSTENIBLE CCOR VEN 1 D</v>
          </cell>
        </row>
        <row r="6767">
          <cell r="B6767" t="str">
            <v>14051006020229</v>
          </cell>
          <cell r="C6767" t="str">
            <v>LPC REPROG REACTIVA 2023 VEN CCOR NORM  1 D</v>
          </cell>
        </row>
        <row r="6768">
          <cell r="B6768" t="str">
            <v>14051006020230</v>
          </cell>
          <cell r="C6768" t="str">
            <v>LPC REPROG REACTIVA 2023 VEN CCOR DUPE  1 D</v>
          </cell>
        </row>
        <row r="6769">
          <cell r="B6769" t="str">
            <v>14051006020231</v>
          </cell>
          <cell r="C6769" t="str">
            <v>JCC PRE JU REACTIVA PRE-HONRAMIENTO REPR1 D</v>
          </cell>
        </row>
        <row r="6770">
          <cell r="B6770" t="str">
            <v>14051006020232</v>
          </cell>
          <cell r="C6770" t="str">
            <v>JCC PRE JU REACTIVA PRE-HONRAMIENTO REPR1 D</v>
          </cell>
        </row>
        <row r="6771">
          <cell r="B6771" t="str">
            <v>14051006020233</v>
          </cell>
          <cell r="C6771" t="str">
            <v>JCC PRE JU REACTIVA PRE-HONRAMIENTO REPR1 D</v>
          </cell>
        </row>
        <row r="6772">
          <cell r="B6772" t="str">
            <v>14051006020234</v>
          </cell>
          <cell r="C6772" t="str">
            <v>JCC PRE JUD CRECER PRE-HONRAMIENTO CCOR 1 D</v>
          </cell>
        </row>
        <row r="6773">
          <cell r="B6773" t="str">
            <v>14051006020235</v>
          </cell>
          <cell r="C6773" t="str">
            <v>JCC PRE JU REACTIVA PRE-HONRAMIENTO REPR1 D</v>
          </cell>
        </row>
        <row r="6774">
          <cell r="B6774" t="str">
            <v>14051006020236</v>
          </cell>
          <cell r="C6774" t="str">
            <v>JCC PRE JU REACTIVA PRE-HONRAMIENTO REPR1 D</v>
          </cell>
        </row>
        <row r="6775">
          <cell r="B6775" t="str">
            <v>14051006020237</v>
          </cell>
          <cell r="C6775" t="str">
            <v>JCC PRE JU REACTIVA PRE-HONRAMIENTO REPR1 D</v>
          </cell>
        </row>
        <row r="6776">
          <cell r="B6776" t="str">
            <v>14051006020238</v>
          </cell>
          <cell r="C6776" t="str">
            <v>JCC PRE JUD CRECER PRE-HONRAMIENTO CCOR 1 D</v>
          </cell>
        </row>
        <row r="6777">
          <cell r="B6777" t="str">
            <v>14051006020239</v>
          </cell>
          <cell r="C6777" t="str">
            <v>LPC IMPULSO MYPERU CORTO PLAZO VEN NREV 1 D</v>
          </cell>
        </row>
        <row r="6778">
          <cell r="B6778" t="str">
            <v>14051006020240</v>
          </cell>
          <cell r="C6778" t="str">
            <v>LPC IMPULSO MYPERU MEDIANO PLAZO VEN NRE1 D</v>
          </cell>
        </row>
        <row r="6779">
          <cell r="B6779" t="str">
            <v>14051006020241</v>
          </cell>
          <cell r="C6779" t="str">
            <v>JCC PRE JUD RP CAP.TRAB VENC NO REV. CCO1 D</v>
          </cell>
        </row>
        <row r="6780">
          <cell r="B6780" t="str">
            <v>14051006020242</v>
          </cell>
          <cell r="C6780" t="str">
            <v>JCC BC PRE JUD CAP IMPULSO MYPERU PRE-HO1 D</v>
          </cell>
        </row>
        <row r="6781">
          <cell r="B6781" t="str">
            <v>14051006020243</v>
          </cell>
          <cell r="C6781" t="str">
            <v>MYP DUPE CAP.TRAB.REUT.VEN.CCOR  DUPE   1 D</v>
          </cell>
        </row>
        <row r="6782">
          <cell r="B6782" t="str">
            <v>14051006020244</v>
          </cell>
          <cell r="C6782" t="str">
            <v>MYP CAP.TRAB.REUT.VEN CCOR NORM         1 D</v>
          </cell>
        </row>
        <row r="6783">
          <cell r="B6783" t="str">
            <v>14051006020245</v>
          </cell>
          <cell r="C6783" t="str">
            <v>MYP CODIFE FONDO CRECER    DUPE         1 D</v>
          </cell>
        </row>
        <row r="6784">
          <cell r="B6784" t="str">
            <v>14051006020246</v>
          </cell>
          <cell r="C6784" t="str">
            <v>MYP CODIFE FONDO CRECER    NORM         1 D</v>
          </cell>
        </row>
        <row r="6785">
          <cell r="B6785" t="str">
            <v>14051006020247</v>
          </cell>
          <cell r="C6785" t="str">
            <v>MYP COFIDE REACTIVA PERU   DUPE         1 D</v>
          </cell>
        </row>
        <row r="6786">
          <cell r="B6786" t="str">
            <v>14051006020248</v>
          </cell>
          <cell r="C6786" t="str">
            <v>MYP COFIDE REACTIVA PERU   NORM         1 D</v>
          </cell>
        </row>
        <row r="6787">
          <cell r="B6787" t="str">
            <v>14051006020249</v>
          </cell>
          <cell r="C6787" t="str">
            <v>MYP REACTIVA REPRO PERU    DUPE         1 D</v>
          </cell>
        </row>
        <row r="6788">
          <cell r="B6788" t="str">
            <v>14051006020250</v>
          </cell>
          <cell r="C6788" t="str">
            <v>MYP REACTIVA REPRO PERU    NORM         1 D</v>
          </cell>
        </row>
        <row r="6789">
          <cell r="B6789" t="str">
            <v>14051006020251</v>
          </cell>
          <cell r="C6789" t="str">
            <v>MYP 30K REACTIVA PERU REPROG 2023    DUP1 D</v>
          </cell>
        </row>
        <row r="6790">
          <cell r="B6790" t="str">
            <v>14051006020252</v>
          </cell>
          <cell r="C6790" t="str">
            <v>MYP 30K REACTIVA PERU REPROG 2023    NOR1 D</v>
          </cell>
        </row>
        <row r="6791">
          <cell r="B6791" t="str">
            <v>14051006020253</v>
          </cell>
          <cell r="C6791" t="str">
            <v>MYP CAPITAL DE TRABAJO CIMA  DUPE       1 D</v>
          </cell>
        </row>
        <row r="6792">
          <cell r="B6792" t="str">
            <v>14051006020254</v>
          </cell>
          <cell r="C6792" t="str">
            <v>MYP CAPITAL DE TRABAJO CIMA  NORM       1 D</v>
          </cell>
        </row>
        <row r="6793">
          <cell r="B6793" t="str">
            <v>14051006020255</v>
          </cell>
          <cell r="C6793" t="str">
            <v>MYP D/P CAP VENC CAP.TRAB CCOR   DUPE   1 D</v>
          </cell>
        </row>
        <row r="6794">
          <cell r="B6794" t="str">
            <v>14051006020256</v>
          </cell>
          <cell r="C6794" t="str">
            <v>MYP CAP.VENC CAP.TRAB.NORM CCOR  NORM   1 D</v>
          </cell>
        </row>
        <row r="6795">
          <cell r="B6795" t="str">
            <v>14051006020257</v>
          </cell>
          <cell r="C6795" t="str">
            <v>LPC PAG PAPERLESS DERIVADOS NO REVOL CCO1ND</v>
          </cell>
        </row>
        <row r="6796">
          <cell r="B6796" t="str">
            <v>14051006020258</v>
          </cell>
          <cell r="C6796" t="str">
            <v>LPC PAG PAPERLESS DERIVADOS NO REVOL CCO1ND</v>
          </cell>
        </row>
        <row r="6797">
          <cell r="B6797" t="str">
            <v>14051006020259</v>
          </cell>
          <cell r="C6797" t="str">
            <v>JCC BC PRE JUD IMPLUSO MYPERU HONRADO IB1 D</v>
          </cell>
        </row>
        <row r="6798">
          <cell r="B6798" t="str">
            <v>14051006020260</v>
          </cell>
          <cell r="C6798" t="str">
            <v>CCD-BPE CAPITAL DE TRABAJO_CCOR VEN DUPE1 D</v>
          </cell>
        </row>
        <row r="6799">
          <cell r="B6799" t="str">
            <v>14051006020261</v>
          </cell>
          <cell r="C6799" t="str">
            <v>CCD-BPE CAPITAL DE TRABAJO_CCOR VEN NORM1 D</v>
          </cell>
        </row>
        <row r="6800">
          <cell r="B6800" t="str">
            <v>14051006090101</v>
          </cell>
          <cell r="C6800" t="str">
            <v>LPC PAG TV D/P VENC NO REV CCOR         1ND</v>
          </cell>
        </row>
        <row r="6801">
          <cell r="B6801" t="str">
            <v>14051006090102</v>
          </cell>
          <cell r="C6801" t="str">
            <v>LPC VENC PAG TV RP NO REVOL CCOR        1ND</v>
          </cell>
        </row>
        <row r="6802">
          <cell r="B6802" t="str">
            <v>14051006090103</v>
          </cell>
          <cell r="C6802" t="str">
            <v>LPC PAG TV REF VENC NO REV CCOR         1ND</v>
          </cell>
        </row>
        <row r="6803">
          <cell r="B6803" t="str">
            <v>14051006090104</v>
          </cell>
          <cell r="C6803" t="str">
            <v>LPC PAG TV REEST NO REV VENC CCOR       1ND</v>
          </cell>
        </row>
        <row r="6804">
          <cell r="B6804" t="str">
            <v>14051006090105</v>
          </cell>
          <cell r="C6804" t="str">
            <v>LPC P.TV REC.COFIDE NO REVOL VEN  CCOR  1ND</v>
          </cell>
        </row>
        <row r="6805">
          <cell r="B6805" t="str">
            <v>14051006090106</v>
          </cell>
          <cell r="C6805" t="str">
            <v>LPC PAG TV COFIDE VENC D/P CCOR         1ND</v>
          </cell>
        </row>
        <row r="6806">
          <cell r="B6806" t="str">
            <v>14051006090107</v>
          </cell>
          <cell r="C6806" t="str">
            <v>LPC PAG TV RP MED PLAZO NO REV          1ND</v>
          </cell>
        </row>
        <row r="6807">
          <cell r="B6807" t="str">
            <v>14051006090108</v>
          </cell>
          <cell r="C6807" t="str">
            <v>LPC PAG TV RP MED PLAZO NO REV D/P      1ND</v>
          </cell>
        </row>
        <row r="6808">
          <cell r="B6808" t="str">
            <v>14051006090109</v>
          </cell>
          <cell r="C6808" t="str">
            <v>LPC PAG TV INMOBILIARIO NO REV          1ND</v>
          </cell>
        </row>
        <row r="6809">
          <cell r="B6809" t="str">
            <v>14051006090110</v>
          </cell>
          <cell r="C6809" t="str">
            <v>LPC PAG TV INMOBILIARIO NO REV D/P      1ND</v>
          </cell>
        </row>
        <row r="6810">
          <cell r="B6810" t="str">
            <v>14051006090111</v>
          </cell>
          <cell r="C6810" t="str">
            <v>LPC PAG TV NO REVOL EUROS               1ND</v>
          </cell>
        </row>
        <row r="6811">
          <cell r="B6811" t="str">
            <v>14051006090112</v>
          </cell>
          <cell r="C6811" t="str">
            <v>LPC PAG TV NO REVOL EUROS D/P           1ND</v>
          </cell>
        </row>
        <row r="6812">
          <cell r="B6812" t="str">
            <v>14051006090113</v>
          </cell>
          <cell r="C6812" t="str">
            <v>LPC VENC PAG DERIVADOS NO REVOL CCOR    1ND</v>
          </cell>
        </row>
        <row r="6813">
          <cell r="B6813" t="str">
            <v>14051006090114</v>
          </cell>
          <cell r="C6813" t="str">
            <v>LPC PAG DERIVADOS D/P VENC NO REV CCOR  1ND</v>
          </cell>
        </row>
        <row r="6814">
          <cell r="B6814" t="str">
            <v>14051006090115</v>
          </cell>
          <cell r="C6814" t="str">
            <v>LPC PAG REPROGRAMADO NO REV NORM CCOR   1ND</v>
          </cell>
        </row>
        <row r="6815">
          <cell r="B6815" t="str">
            <v>14051006090116</v>
          </cell>
          <cell r="C6815" t="str">
            <v>LPC PAG REPROGRAMADO NO REV D/P CCOR    1ND</v>
          </cell>
        </row>
        <row r="6816">
          <cell r="B6816" t="str">
            <v>14051006090117</v>
          </cell>
          <cell r="C6816" t="str">
            <v>LPC PAG.INMOB. REPROG-SUSPENSO VENC CCOR1ND</v>
          </cell>
        </row>
        <row r="6817">
          <cell r="B6817" t="str">
            <v>14051006090118</v>
          </cell>
          <cell r="C6817" t="str">
            <v>LPC PAG COMERC REPROG-SUSPENSO VENC CCOR1ND</v>
          </cell>
        </row>
        <row r="6818">
          <cell r="B6818" t="str">
            <v>14051006090119</v>
          </cell>
          <cell r="C6818" t="str">
            <v>LPC PAG.INMOB. REPROG-SUSPENSO VENC CCOR1ND</v>
          </cell>
        </row>
        <row r="6819">
          <cell r="B6819" t="str">
            <v>14051006090201</v>
          </cell>
          <cell r="C6819" t="str">
            <v>CL PAG. TV D/P NO REVOLV VEN CCOR       1ND</v>
          </cell>
        </row>
        <row r="6820">
          <cell r="B6820" t="str">
            <v>14051006090202</v>
          </cell>
          <cell r="C6820" t="str">
            <v>CL PAG TV NO REVOLV VEN CCOR            1ND</v>
          </cell>
        </row>
        <row r="6821">
          <cell r="B6821" t="str">
            <v>14051006090203</v>
          </cell>
          <cell r="C6821" t="str">
            <v>CL PAG.TV NEG.INMOB NO REV VEN CCOR     1ND</v>
          </cell>
        </row>
        <row r="6822">
          <cell r="B6822" t="str">
            <v>14051006090204</v>
          </cell>
          <cell r="C6822" t="str">
            <v>CL P.TV OTROS SUSP.NO REV VEN CCOR      1ND</v>
          </cell>
        </row>
        <row r="6823">
          <cell r="B6823" t="str">
            <v>14051006090205</v>
          </cell>
          <cell r="C6823" t="str">
            <v>CL P.TV REC.COFIDE.  NO REV VEN CCOR    1ND</v>
          </cell>
        </row>
        <row r="6824">
          <cell r="B6824" t="str">
            <v>14051006090206</v>
          </cell>
          <cell r="C6824" t="str">
            <v>CL PAG.DEUD.VTA CARTERA VEN CCOR        1ND</v>
          </cell>
        </row>
        <row r="6825">
          <cell r="B6825" t="str">
            <v>14051006090207</v>
          </cell>
          <cell r="C6825" t="str">
            <v>CL PRE JUD RP CAP.TRAB VENC NR CCOR     1ND</v>
          </cell>
        </row>
        <row r="6826">
          <cell r="B6826" t="str">
            <v>14051006090208</v>
          </cell>
          <cell r="C6826" t="str">
            <v>CL PRE JUD PAG.TV.COFIDE NO REVOL CCOR  1ND</v>
          </cell>
        </row>
        <row r="6827">
          <cell r="B6827" t="str">
            <v>14051006090209</v>
          </cell>
          <cell r="C6827" t="str">
            <v>CL P.REFI DEUD.VTA.CARTE CCOR VENC      1ND</v>
          </cell>
        </row>
        <row r="6828">
          <cell r="B6828" t="str">
            <v>14051006090210</v>
          </cell>
          <cell r="C6828" t="str">
            <v>CL PRE JUDIC CARTA FIANZA VENC CCOR GL701ND</v>
          </cell>
        </row>
        <row r="6829">
          <cell r="B6829" t="str">
            <v>14051006090301</v>
          </cell>
          <cell r="C6829" t="str">
            <v>JCC PRE JUD RP CAP.TRAB VENC NR CCOR    1ND</v>
          </cell>
        </row>
        <row r="6830">
          <cell r="B6830" t="str">
            <v>14051006090302</v>
          </cell>
          <cell r="C6830" t="str">
            <v>JCC PRE JUD PAG.TV.COFIDE NO REVOL CCOR 1ND</v>
          </cell>
        </row>
        <row r="6831">
          <cell r="B6831" t="str">
            <v>14051006090309</v>
          </cell>
          <cell r="C6831" t="str">
            <v>LPC REACTIVA PERU VEN CCOR\NORM         1ND</v>
          </cell>
        </row>
        <row r="6832">
          <cell r="B6832" t="str">
            <v>14051006090310</v>
          </cell>
          <cell r="C6832" t="str">
            <v>LPC REACTIVA PERU VEN CCOR\DUPE         1ND</v>
          </cell>
        </row>
        <row r="6833">
          <cell r="B6833" t="str">
            <v>14051006090311</v>
          </cell>
          <cell r="C6833" t="str">
            <v>LPC COFIDE FONDOS PERU VEN CCOR\NORM    1ND</v>
          </cell>
        </row>
        <row r="6834">
          <cell r="B6834" t="str">
            <v>14051006090312</v>
          </cell>
          <cell r="C6834" t="str">
            <v>LPC COFIDE FONDOS PERU VEN CCOR\DUPE    1ND</v>
          </cell>
        </row>
        <row r="6835">
          <cell r="B6835" t="str">
            <v>14051006090313</v>
          </cell>
          <cell r="C6835" t="str">
            <v>LPC COFIDE FONDO CRECER VEN CCOR\NORM   1ND</v>
          </cell>
        </row>
        <row r="6836">
          <cell r="B6836" t="str">
            <v>14051006090314</v>
          </cell>
          <cell r="C6836" t="str">
            <v>LPC REACTIVA PERU VEN CCOR\NORM         1ND</v>
          </cell>
        </row>
        <row r="6837">
          <cell r="B6837" t="str">
            <v>14051006090315</v>
          </cell>
          <cell r="C6837" t="str">
            <v>LPC REACTIVA PERU VEN CCOR\DUPE         1ND</v>
          </cell>
        </row>
        <row r="6838">
          <cell r="B6838" t="str">
            <v>14051006090316</v>
          </cell>
          <cell r="C6838" t="str">
            <v>LPC PAG. REPROG-SUSPENSO VENC CCOR NOR N1ND</v>
          </cell>
        </row>
        <row r="6839">
          <cell r="B6839" t="str">
            <v>14051006090318</v>
          </cell>
          <cell r="C6839" t="str">
            <v>LPC PAG MEDIANO PLAZO COVID-19 CCOR NO.R1ND</v>
          </cell>
        </row>
        <row r="6840">
          <cell r="B6840" t="str">
            <v>14051006090319</v>
          </cell>
          <cell r="C6840" t="str">
            <v>LPC REF_FINAN_ESPECIALES_CCOR COVID-19  1ND</v>
          </cell>
        </row>
        <row r="6841">
          <cell r="B6841" t="str">
            <v>14051006090320</v>
          </cell>
          <cell r="C6841" t="str">
            <v>LPC REF_FINAN_ESPECIALES_CCOR COVID-19  1ND</v>
          </cell>
        </row>
        <row r="6842">
          <cell r="B6842" t="str">
            <v>14051006090321</v>
          </cell>
          <cell r="C6842" t="str">
            <v>LPC REF_FINAN_ESPECIALES_CCOR VEN COVID-1 D</v>
          </cell>
        </row>
        <row r="6843">
          <cell r="B6843" t="str">
            <v>14051008000100</v>
          </cell>
          <cell r="C6843" t="str">
            <v>CDO VISA EXTRACASH NO REV VEN CCOR      1ND</v>
          </cell>
        </row>
        <row r="6844">
          <cell r="B6844" t="str">
            <v>14051008000101</v>
          </cell>
          <cell r="C6844" t="str">
            <v>CDO MC EXTRACASH NO REV VEN CCOR        1ND</v>
          </cell>
        </row>
        <row r="6845">
          <cell r="B6845" t="str">
            <v>14051008000102</v>
          </cell>
          <cell r="C6845" t="str">
            <v>CDO AMEX EXTRACASH NO REV VEN CCOR      1ND</v>
          </cell>
        </row>
        <row r="6846">
          <cell r="B6846" t="str">
            <v>14051010000101</v>
          </cell>
          <cell r="C6846" t="str">
            <v>PR LETRAS FACTORING VEN CCOR            1ND</v>
          </cell>
        </row>
        <row r="6847">
          <cell r="B6847" t="str">
            <v>14051010000102</v>
          </cell>
          <cell r="C6847" t="str">
            <v>PR FACT EN FACTORING VENC C/P CCOR      1ND</v>
          </cell>
        </row>
        <row r="6848">
          <cell r="B6848" t="str">
            <v>14051010000103</v>
          </cell>
          <cell r="C6848" t="str">
            <v>PR FACT ELECTR LET/FACT VEN CCOR        1ND</v>
          </cell>
        </row>
        <row r="6849">
          <cell r="B6849" t="str">
            <v>14051010000104</v>
          </cell>
          <cell r="C6849" t="str">
            <v>PR FACT INTERN VENC CCOR                1ND</v>
          </cell>
        </row>
        <row r="6850">
          <cell r="B6850" t="str">
            <v>14051010000105</v>
          </cell>
          <cell r="C6850" t="str">
            <v>PR PERU FACTORING CAP VEN CCOR          1ND</v>
          </cell>
        </row>
        <row r="6851">
          <cell r="B6851" t="str">
            <v>14051010000106</v>
          </cell>
          <cell r="C6851" t="str">
            <v>PR FORFAITING EXPORTACIÃ“N VENC CCOR    1ND</v>
          </cell>
        </row>
        <row r="6852">
          <cell r="B6852" t="str">
            <v>14051010000107</v>
          </cell>
          <cell r="C6852" t="str">
            <v>JCC PRE JUDIC FACTORING LET CCOR GL7003 1ND</v>
          </cell>
        </row>
        <row r="6853">
          <cell r="B6853" t="str">
            <v>14051010000108</v>
          </cell>
          <cell r="C6853" t="str">
            <v>JCC PRE JUDIC FACTORING FACT VENC CCOR G1ND</v>
          </cell>
        </row>
        <row r="6854">
          <cell r="B6854" t="str">
            <v>14051010000201</v>
          </cell>
          <cell r="C6854" t="str">
            <v>CL PRE JUDIC FACTORING LET CCOR GL7003  1ND</v>
          </cell>
        </row>
        <row r="6855">
          <cell r="B6855" t="str">
            <v>14051010000202</v>
          </cell>
          <cell r="C6855" t="str">
            <v>CL PRE JUDIC FACTORING FACT VENC CCOR GL1ND</v>
          </cell>
        </row>
        <row r="6856">
          <cell r="B6856" t="str">
            <v>14051010000203</v>
          </cell>
          <cell r="C6856" t="str">
            <v>CL EX FACTORING FORFAITING VEN CCOR     1ND</v>
          </cell>
        </row>
        <row r="6857">
          <cell r="B6857" t="str">
            <v>14051010000204</v>
          </cell>
          <cell r="C6857" t="str">
            <v>CL  CONFIRMING INTER CAPITAL VENC CCOR  1ND</v>
          </cell>
        </row>
        <row r="6858">
          <cell r="B6858" t="str">
            <v>14051010000301</v>
          </cell>
          <cell r="C6858" t="str">
            <v>FCD FACT ELECTR VENC DUDOSO CCOR        1ND</v>
          </cell>
        </row>
        <row r="6859">
          <cell r="B6859" t="str">
            <v>14051010000302</v>
          </cell>
          <cell r="C6859" t="str">
            <v>FCD FACT INTER EXPO VENC NORM CCOR      1ND</v>
          </cell>
        </row>
        <row r="6860">
          <cell r="B6860" t="str">
            <v>14051010000303</v>
          </cell>
          <cell r="C6860" t="str">
            <v>FCD FORFAITING EXPO VENC NORM  CCOR     1ND</v>
          </cell>
        </row>
        <row r="6861">
          <cell r="B6861" t="str">
            <v>14051010000304</v>
          </cell>
          <cell r="C6861" t="str">
            <v>FCD FACT INTER EXPO VENC DUPE CCOR      1ND</v>
          </cell>
        </row>
        <row r="6862">
          <cell r="B6862" t="str">
            <v>14051010000305</v>
          </cell>
          <cell r="C6862" t="str">
            <v>FCD FORFAITING EXPO VENC DUPE  CCOR     1ND</v>
          </cell>
        </row>
        <row r="6863">
          <cell r="B6863" t="str">
            <v>14051010000306</v>
          </cell>
          <cell r="C6863" t="str">
            <v>FCD CONFIRMING INTERNACIONAL VENC NORM C1ND</v>
          </cell>
        </row>
        <row r="6864">
          <cell r="B6864" t="str">
            <v>14051010000307</v>
          </cell>
          <cell r="C6864" t="str">
            <v>FCD CONFIRMING INTERNACIONAL VENC DUPE C1ND</v>
          </cell>
        </row>
        <row r="6865">
          <cell r="B6865" t="str">
            <v>14051010000308</v>
          </cell>
          <cell r="C6865" t="str">
            <v>FCD fAC. FIS. LET. VENC. CCOR DUPE      1ND</v>
          </cell>
        </row>
        <row r="6866">
          <cell r="B6866" t="str">
            <v>14051010000309</v>
          </cell>
          <cell r="C6866" t="str">
            <v>FCD FAC. FIS. fAC.. VENC. CCOR DUPE     1ND</v>
          </cell>
        </row>
        <row r="6867">
          <cell r="B6867" t="str">
            <v>14051010000310</v>
          </cell>
          <cell r="C6867" t="str">
            <v>FACT INTER IMPORT VENC. CCOR DUPE       1ND</v>
          </cell>
        </row>
        <row r="6868">
          <cell r="B6868" t="str">
            <v>14051010000311</v>
          </cell>
          <cell r="C6868" t="str">
            <v>FACT INTER IMPORT  VENC. CCOR NORMAL    1ND</v>
          </cell>
        </row>
        <row r="6869">
          <cell r="B6869" t="str">
            <v>14051011000101</v>
          </cell>
          <cell r="C6869" t="str">
            <v>LPC LEASING INT DIFERIDOS VENC RP CCOR  1ND</v>
          </cell>
        </row>
        <row r="6870">
          <cell r="B6870" t="str">
            <v>14051011000102</v>
          </cell>
          <cell r="C6870" t="str">
            <v>LPC LEASING SEGURO INT DIF VENC RP CCOR 1ND</v>
          </cell>
        </row>
        <row r="6871">
          <cell r="B6871" t="str">
            <v>14051011000103</v>
          </cell>
          <cell r="C6871" t="str">
            <v>LPC LEASING VENC SEGUROS RP CCOR        1ND</v>
          </cell>
        </row>
        <row r="6872">
          <cell r="B6872" t="str">
            <v>14051011000104</v>
          </cell>
          <cell r="C6872" t="str">
            <v>LPC LEASING VENC IGV RP CCOR            1ND</v>
          </cell>
        </row>
        <row r="6873">
          <cell r="B6873" t="str">
            <v>14051011000105</v>
          </cell>
          <cell r="C6873" t="str">
            <v>LPC LEASING DEL BIEN VENC RP CCOR       1ND</v>
          </cell>
        </row>
        <row r="6874">
          <cell r="B6874" t="str">
            <v>14051011000106</v>
          </cell>
          <cell r="C6874" t="str">
            <v>LPC LEASING RESUELTO VENCIDO CCOR       1ND</v>
          </cell>
        </row>
        <row r="6875">
          <cell r="B6875" t="str">
            <v>14051011000201</v>
          </cell>
          <cell r="C6875" t="str">
            <v>LPC LEAS D/P INT DIF VENC RP CCOR       1ND</v>
          </cell>
        </row>
        <row r="6876">
          <cell r="B6876" t="str">
            <v>14051011000202</v>
          </cell>
          <cell r="C6876" t="str">
            <v>LPC LEAS D/P SEG INT DIF VENC RP CCOR   1ND</v>
          </cell>
        </row>
        <row r="6877">
          <cell r="B6877" t="str">
            <v>14051011000203</v>
          </cell>
          <cell r="C6877" t="str">
            <v>LPC LEASING VENC D/P SEG RP CCOR        1ND</v>
          </cell>
        </row>
        <row r="6878">
          <cell r="B6878" t="str">
            <v>14051011000204</v>
          </cell>
          <cell r="C6878" t="str">
            <v>LPC LEAS DEL BIEN VENC D/P RP CCOR      1ND</v>
          </cell>
        </row>
        <row r="6879">
          <cell r="B6879" t="str">
            <v>14051011000205</v>
          </cell>
          <cell r="C6879" t="str">
            <v>LPC LEASING VENC D/P IGV RP CCOR        1ND</v>
          </cell>
        </row>
        <row r="6880">
          <cell r="B6880" t="str">
            <v>14051011000301</v>
          </cell>
          <cell r="C6880" t="str">
            <v>LPC LSG BIEN ADJ.VEN DIF RP CCOR        1ND</v>
          </cell>
        </row>
        <row r="6881">
          <cell r="B6881" t="str">
            <v>14051011000302</v>
          </cell>
          <cell r="C6881" t="str">
            <v>LPC LSG SEG. ADJ. DIF. VEN RP CCOR      1ND</v>
          </cell>
        </row>
        <row r="6882">
          <cell r="B6882" t="str">
            <v>14051011000303</v>
          </cell>
          <cell r="C6882" t="str">
            <v>LPC LSG ADJ. CIA SEG VEN RP CCOR        1ND</v>
          </cell>
        </row>
        <row r="6883">
          <cell r="B6883" t="str">
            <v>14051011000304</v>
          </cell>
          <cell r="C6883" t="str">
            <v>LPC LSG ADJ. PRIN IGV VEN RP CCOR       1ND</v>
          </cell>
        </row>
        <row r="6884">
          <cell r="B6884" t="str">
            <v>14051011000305</v>
          </cell>
          <cell r="C6884" t="str">
            <v>LPC LSG DEL BIEN VEN ADJ.RP CCOR        1ND</v>
          </cell>
        </row>
        <row r="6885">
          <cell r="B6885" t="str">
            <v>14051011000306</v>
          </cell>
          <cell r="C6885" t="str">
            <v>LPC LSG BIEN ADJ.VEN DIF D/P CCOR       1ND</v>
          </cell>
        </row>
        <row r="6886">
          <cell r="B6886" t="str">
            <v>14051011000307</v>
          </cell>
          <cell r="C6886" t="str">
            <v>LPC  LSG SEG DIF VEN ADJ. D/P CCOR      1ND</v>
          </cell>
        </row>
        <row r="6887">
          <cell r="B6887" t="str">
            <v>14051011000308</v>
          </cell>
          <cell r="C6887" t="str">
            <v>LPC LSG CIA SEG VEN D/P ADJ. CCOR       1ND</v>
          </cell>
        </row>
        <row r="6888">
          <cell r="B6888" t="str">
            <v>14051011000309</v>
          </cell>
          <cell r="C6888" t="str">
            <v>LPC LSG BIEN VEN D/P ADJ. CCOR          1ND</v>
          </cell>
        </row>
        <row r="6889">
          <cell r="B6889" t="str">
            <v>14051011000310</v>
          </cell>
          <cell r="C6889" t="str">
            <v>LPC LSG D/P IGV VEN D/P ADJUD.CCOR      1ND</v>
          </cell>
        </row>
        <row r="6890">
          <cell r="B6890" t="str">
            <v>14051011000311</v>
          </cell>
          <cell r="C6890" t="str">
            <v>LPC CAP DIF.LS  BIEN OTROS SUSP RP CCOR 1ND</v>
          </cell>
        </row>
        <row r="6891">
          <cell r="B6891" t="str">
            <v>14051011000312</v>
          </cell>
          <cell r="C6891" t="str">
            <v>LPC CAP DIF.SEG.LS OTROS SUSP RP CCOR   1ND</v>
          </cell>
        </row>
        <row r="6892">
          <cell r="B6892" t="str">
            <v>14051011000313</v>
          </cell>
          <cell r="C6892" t="str">
            <v>LPC CIA SEG CAP VEN OTROS SUSP RP CCOR  1ND</v>
          </cell>
        </row>
        <row r="6893">
          <cell r="B6893" t="str">
            <v>14051011000314</v>
          </cell>
          <cell r="C6893" t="str">
            <v>LPC LS DEL BIEN OTROS SUSP RP CCOR      1ND</v>
          </cell>
        </row>
        <row r="6894">
          <cell r="B6894" t="str">
            <v>14051011000315</v>
          </cell>
          <cell r="C6894" t="str">
            <v>LPC CAP LS IGV OTROS SUSP RP CCOR       1ND</v>
          </cell>
        </row>
        <row r="6895">
          <cell r="B6895" t="str">
            <v>14051011000501</v>
          </cell>
          <cell r="C6895" t="str">
            <v>LPC LEASING COFIDE INT DIF VENC PDL CCOR1ND</v>
          </cell>
        </row>
        <row r="6896">
          <cell r="B6896" t="str">
            <v>14051011000502</v>
          </cell>
          <cell r="C6896" t="str">
            <v>LPC LEASING COFIDE SEGURO INT DIF VENC P1ND</v>
          </cell>
        </row>
        <row r="6897">
          <cell r="B6897" t="str">
            <v>14051011000503</v>
          </cell>
          <cell r="C6897" t="str">
            <v>LPC LEASING COFIDE VENC SEGUROS PSG CCOR1ND</v>
          </cell>
        </row>
        <row r="6898">
          <cell r="B6898" t="str">
            <v>14051011000504</v>
          </cell>
          <cell r="C6898" t="str">
            <v>LPC LEASING COFIDE VENC IGV PIG CCOR    1ND</v>
          </cell>
        </row>
        <row r="6899">
          <cell r="B6899" t="str">
            <v>14051011000505</v>
          </cell>
          <cell r="C6899" t="str">
            <v>LPC LEASING COFIDE VENC PRI CCOR        1ND</v>
          </cell>
        </row>
        <row r="6900">
          <cell r="B6900" t="str">
            <v>14051011000506</v>
          </cell>
          <cell r="C6900" t="str">
            <v>LPC LS COFIDE D/P INT DIF VENC PDL CCOR 1ND</v>
          </cell>
        </row>
        <row r="6901">
          <cell r="B6901" t="str">
            <v>14051011000507</v>
          </cell>
          <cell r="C6901" t="str">
            <v>LPC LS COFIDE D/P SEG INT DIF VENC PDS C1ND</v>
          </cell>
        </row>
        <row r="6902">
          <cell r="B6902" t="str">
            <v>14051011000508</v>
          </cell>
          <cell r="C6902" t="str">
            <v>LPC LEASING COFIDE VENC D/P SEG PSG CCOR1ND</v>
          </cell>
        </row>
        <row r="6903">
          <cell r="B6903" t="str">
            <v>14051011000509</v>
          </cell>
          <cell r="C6903" t="str">
            <v>LPC LEASING COFIDE VENC D/P IGV PIG CCOR1ND</v>
          </cell>
        </row>
        <row r="6904">
          <cell r="B6904" t="str">
            <v>14051011000510</v>
          </cell>
          <cell r="C6904" t="str">
            <v>LPC LEASING COFIDE VENC D/P PRI CCOR    1ND</v>
          </cell>
        </row>
        <row r="6905">
          <cell r="B6905" t="str">
            <v>14051011000601</v>
          </cell>
          <cell r="C6905" t="str">
            <v>LPC LEASING DERIVADO DEL BIEN VENC D/P R1ND</v>
          </cell>
        </row>
        <row r="6906">
          <cell r="B6906" t="str">
            <v>14051011000602</v>
          </cell>
          <cell r="C6906" t="str">
            <v>LPC LEASING DERIVADO DEL BIEN VENC RP CC1ND</v>
          </cell>
        </row>
        <row r="6907">
          <cell r="B6907" t="str">
            <v>14051011000603</v>
          </cell>
          <cell r="C6907" t="str">
            <v>LPC LEASING DERIVADO VENC D/P IGV RP CCO1ND</v>
          </cell>
        </row>
        <row r="6908">
          <cell r="B6908" t="str">
            <v>14051011000604</v>
          </cell>
          <cell r="C6908" t="str">
            <v>LPC LEASING DERIVADO VENC D/P SEG RP CCO1ND</v>
          </cell>
        </row>
        <row r="6909">
          <cell r="B6909" t="str">
            <v>14051011000605</v>
          </cell>
          <cell r="C6909" t="str">
            <v>LPC LEASING DERIVADO VENC IGV RP CCOR   1ND</v>
          </cell>
        </row>
        <row r="6910">
          <cell r="B6910" t="str">
            <v>14051011000606</v>
          </cell>
          <cell r="C6910" t="str">
            <v>LPC LEASING DERIVADO VENC SEGUROS RP CCO1ND</v>
          </cell>
        </row>
        <row r="6911">
          <cell r="B6911" t="str">
            <v>14051012000101</v>
          </cell>
          <cell r="C6911" t="str">
            <v>LPC LEASEBACK INT DIF VENC RP CCOR      1ND</v>
          </cell>
        </row>
        <row r="6912">
          <cell r="B6912" t="str">
            <v>14051012000102</v>
          </cell>
          <cell r="C6912" t="str">
            <v>LPC LEASEBACK SEGURO INT DIF VENC RP CCO1ND</v>
          </cell>
        </row>
        <row r="6913">
          <cell r="B6913" t="str">
            <v>14051012000103</v>
          </cell>
          <cell r="C6913" t="str">
            <v>LPC LEASEBACK VENC SEGUROS RP CCOR      1ND</v>
          </cell>
        </row>
        <row r="6914">
          <cell r="B6914" t="str">
            <v>14051012000104</v>
          </cell>
          <cell r="C6914" t="str">
            <v>LPC LEASEBACK IGV VENCIDO RP LPC        1ND</v>
          </cell>
        </row>
        <row r="6915">
          <cell r="B6915" t="str">
            <v>14051012000105</v>
          </cell>
          <cell r="C6915" t="str">
            <v>LPC LEASING DEL BIEN VENC RP CCOR       1ND</v>
          </cell>
        </row>
        <row r="6916">
          <cell r="B6916" t="str">
            <v>14051012000106</v>
          </cell>
          <cell r="C6916" t="str">
            <v>LPC LSBACK D/P INT DIF VENC RP CCOR     1ND</v>
          </cell>
        </row>
        <row r="6917">
          <cell r="B6917" t="str">
            <v>14051012000107</v>
          </cell>
          <cell r="C6917" t="str">
            <v>LPC LSBACK D/P SEG INT DIFERID VENC RP C1ND</v>
          </cell>
        </row>
        <row r="6918">
          <cell r="B6918" t="str">
            <v>14051012000108</v>
          </cell>
          <cell r="C6918" t="str">
            <v>LPC LSBACK VENC D/P SEG RP CCOR         1ND</v>
          </cell>
        </row>
        <row r="6919">
          <cell r="B6919" t="str">
            <v>14051012000109</v>
          </cell>
          <cell r="C6919" t="str">
            <v>LPC LSBACK DEL BIEN VENC D/P RP CCOR    1ND</v>
          </cell>
        </row>
        <row r="6920">
          <cell r="B6920" t="str">
            <v>14051012000110</v>
          </cell>
          <cell r="C6920" t="str">
            <v>LPC LSBACK VENC D/P IGV RP CCOR         1ND</v>
          </cell>
        </row>
        <row r="6921">
          <cell r="B6921" t="str">
            <v>14051012000201</v>
          </cell>
          <cell r="C6921" t="str">
            <v>LPC CAP DIF.LSB  BIEN OTROS SUSP CCOR   1ND</v>
          </cell>
        </row>
        <row r="6922">
          <cell r="B6922" t="str">
            <v>14051012000202</v>
          </cell>
          <cell r="C6922" t="str">
            <v>LPC CAP DIF.SEG.LSB OTROS SUSP CCOR     1ND</v>
          </cell>
        </row>
        <row r="6923">
          <cell r="B6923" t="str">
            <v>14051012000203</v>
          </cell>
          <cell r="C6923" t="str">
            <v>LPC CIA SEG CAP VEN OTROS SUSP CCOR     1ND</v>
          </cell>
        </row>
        <row r="6924">
          <cell r="B6924" t="str">
            <v>14051012000204</v>
          </cell>
          <cell r="C6924" t="str">
            <v>LPC LSB DEL BIEN OTROS SUSP CCOR        1ND</v>
          </cell>
        </row>
        <row r="6925">
          <cell r="B6925" t="str">
            <v>14051012000205</v>
          </cell>
          <cell r="C6925" t="str">
            <v>LPC CAP LSB IGV OTROS SUSPENSO CCOR     1ND</v>
          </cell>
        </row>
        <row r="6926">
          <cell r="B6926" t="str">
            <v>14051012000301</v>
          </cell>
          <cell r="C6926" t="str">
            <v>LPC LEASEBACK INT DIFERIDOS VENC        1ND</v>
          </cell>
        </row>
        <row r="6927">
          <cell r="B6927" t="str">
            <v>14051012000302</v>
          </cell>
          <cell r="C6927" t="str">
            <v>LPC INT LEASEBACK SEG VENC REFIN CCOR   1ND</v>
          </cell>
        </row>
        <row r="6928">
          <cell r="B6928" t="str">
            <v>14051012000303</v>
          </cell>
          <cell r="C6928" t="str">
            <v>LPC LEASEBACK VENC REF SEG REFIN CCOR   1ND</v>
          </cell>
        </row>
        <row r="6929">
          <cell r="B6929" t="str">
            <v>14051012000304</v>
          </cell>
          <cell r="C6929" t="str">
            <v>LPC LEASEBACK VENC REF IGV  REFIN  CCOR 1ND</v>
          </cell>
        </row>
        <row r="6930">
          <cell r="B6930" t="str">
            <v>14051012000305</v>
          </cell>
          <cell r="C6930" t="str">
            <v>LPC LEASEBACK  BIEN VENC REFIN CCOR     1ND</v>
          </cell>
        </row>
        <row r="6931">
          <cell r="B6931" t="str">
            <v>14051019060102</v>
          </cell>
          <cell r="C6931" t="str">
            <v>CL PAG.REF.TV VENC CCOR                 1ND</v>
          </cell>
        </row>
        <row r="6932">
          <cell r="B6932" t="str">
            <v>14051019060201</v>
          </cell>
          <cell r="C6932" t="str">
            <v>PAG TV REFINANCIADO VENC - LPC CCOR     1ND</v>
          </cell>
        </row>
        <row r="6933">
          <cell r="B6933" t="str">
            <v>14051019060202</v>
          </cell>
          <cell r="C6933" t="str">
            <v>LPC PAG REF COVID_19 VENC - CCOR        1ND</v>
          </cell>
        </row>
        <row r="6934">
          <cell r="B6934" t="str">
            <v>14051019060204</v>
          </cell>
          <cell r="C6934" t="str">
            <v>LPC REFINANCIADO REACTIVA CCOR VEN      1 D</v>
          </cell>
        </row>
        <row r="6935">
          <cell r="B6935" t="str">
            <v>14051019060205</v>
          </cell>
          <cell r="C6935" t="str">
            <v>LPC REFINANCIADO CRECER IBK POST HONR CC1 D</v>
          </cell>
        </row>
        <row r="6936">
          <cell r="B6936" t="str">
            <v>14051019060206</v>
          </cell>
          <cell r="C6936" t="str">
            <v>MYP PAG.TV REFIN. C/FIJA VEN CCOR       1 D</v>
          </cell>
        </row>
        <row r="6937">
          <cell r="B6937" t="str">
            <v>14051019060207</v>
          </cell>
          <cell r="C6937" t="str">
            <v>CCD-BPE REFINANCIADO_CCOR VEN           1 D</v>
          </cell>
        </row>
        <row r="6938">
          <cell r="B6938" t="str">
            <v>14051019060255</v>
          </cell>
          <cell r="C6938" t="str">
            <v>LPC PAG TV REFINANCIADO VEN CCOR        1 D</v>
          </cell>
        </row>
        <row r="6939">
          <cell r="B6939" t="str">
            <v>14051019110101</v>
          </cell>
          <cell r="C6939" t="str">
            <v>LPC REF LEAS DEL BIEN VENC REF RP CCOR  1ND</v>
          </cell>
        </row>
        <row r="6940">
          <cell r="B6940" t="str">
            <v>14051019110102</v>
          </cell>
          <cell r="C6940" t="str">
            <v>LPC REF LEAS VENC REF SEGUROS RP CCOR   1ND</v>
          </cell>
        </row>
        <row r="6941">
          <cell r="B6941" t="str">
            <v>14051019110103</v>
          </cell>
          <cell r="C6941" t="str">
            <v>LPC REF LEAS VENC REF IGV RP CCOR       1ND</v>
          </cell>
        </row>
        <row r="6942">
          <cell r="B6942" t="str">
            <v>14051019110104</v>
          </cell>
          <cell r="C6942" t="str">
            <v>LPC REF LEAS INT DIFERIDOS VENC REF RP C1ND</v>
          </cell>
        </row>
        <row r="6943">
          <cell r="B6943" t="str">
            <v>14051019110105</v>
          </cell>
          <cell r="C6943" t="str">
            <v>LPC REF LEAS SEG INT DIF VENC REF RP CCO1ND</v>
          </cell>
        </row>
        <row r="6944">
          <cell r="B6944" t="str">
            <v>14051019110106</v>
          </cell>
          <cell r="C6944" t="str">
            <v>LPC REF LS COFIGAS SEG BIEN VEN PDS CCOR1ND</v>
          </cell>
        </row>
        <row r="6945">
          <cell r="B6945" t="str">
            <v>14051019110107</v>
          </cell>
          <cell r="C6945" t="str">
            <v>LPC REF LS COFIGAS PRIMA SEG VEN PSG CCO1ND</v>
          </cell>
        </row>
        <row r="6946">
          <cell r="B6946" t="str">
            <v>14051019110108</v>
          </cell>
          <cell r="C6946" t="str">
            <v>LPC REF LS COFIGAS IGV VEN PIG CCOR     1ND</v>
          </cell>
        </row>
        <row r="6947">
          <cell r="B6947" t="str">
            <v>14051019110109</v>
          </cell>
          <cell r="C6947" t="str">
            <v>LPC REF LS COFIGAS CAP INT DIF VEN PDL C1ND</v>
          </cell>
        </row>
        <row r="6948">
          <cell r="B6948" t="str">
            <v>14051019110110</v>
          </cell>
          <cell r="C6948" t="str">
            <v>LPC REF LS COFIGAS VEN PRI CCOR         1ND</v>
          </cell>
        </row>
        <row r="6949">
          <cell r="B6949" t="str">
            <v>14051019240101</v>
          </cell>
          <cell r="C6949" t="str">
            <v>CL PRE JUD PAG RFA SUBORD VENC CCOR     1ND</v>
          </cell>
        </row>
        <row r="6950">
          <cell r="B6950" t="str">
            <v>14051019240102</v>
          </cell>
          <cell r="C6950" t="str">
            <v>CL PRE JUD PAG RFA FINANC VENC CCOR     1ND</v>
          </cell>
        </row>
        <row r="6951">
          <cell r="B6951" t="str">
            <v>14051019240105</v>
          </cell>
          <cell r="C6951" t="str">
            <v>CL PAG.REF.RFA SUBOR CCOR VENC          1ND</v>
          </cell>
        </row>
        <row r="6952">
          <cell r="B6952" t="str">
            <v>14051019240106</v>
          </cell>
          <cell r="C6952" t="str">
            <v>CL P.REF.RFA FINANC CCOR VENC           1ND</v>
          </cell>
        </row>
        <row r="6953">
          <cell r="B6953" t="str">
            <v>14051019240201</v>
          </cell>
          <cell r="C6953" t="str">
            <v>JCC PRE JUD PAG RFA FINANC VENC CCOR    1ND</v>
          </cell>
        </row>
        <row r="6954">
          <cell r="B6954" t="str">
            <v>14051019240202</v>
          </cell>
          <cell r="C6954" t="str">
            <v>JCC PRE JUD PAG RFA SUBORD VENC CCOR    1ND</v>
          </cell>
        </row>
        <row r="6955">
          <cell r="B6955" t="str">
            <v>14051021000101</v>
          </cell>
          <cell r="C6955" t="str">
            <v>CL CXL CC ACEPTAC BKT  VEN CCOR         1ND</v>
          </cell>
        </row>
        <row r="6956">
          <cell r="B6956" t="str">
            <v>14051021000102</v>
          </cell>
          <cell r="C6956" t="str">
            <v>CL CXL AVAL X ACEPTAC VENC CCOR         1ND</v>
          </cell>
        </row>
        <row r="6957">
          <cell r="B6957" t="str">
            <v>14051021000103</v>
          </cell>
          <cell r="C6957" t="str">
            <v>CL CXL CRED. X LIQUI.CC AVAL VEN CCOR   1ND</v>
          </cell>
        </row>
        <row r="6958">
          <cell r="B6958" t="str">
            <v>14051021000104</v>
          </cell>
          <cell r="C6958" t="str">
            <v>CL CXL.CAR CRED VISTA VEN CCOR          1ND</v>
          </cell>
        </row>
        <row r="6959">
          <cell r="B6959" t="str">
            <v>14051021000105</v>
          </cell>
          <cell r="C6959" t="str">
            <v>CL CXL.STAND BY VEN CCOR                1ND</v>
          </cell>
        </row>
        <row r="6960">
          <cell r="B6960" t="str">
            <v>14051021000106</v>
          </cell>
          <cell r="C6960" t="str">
            <v>CL CXL.COBRA AVALA VEN CORP             1ND</v>
          </cell>
        </row>
        <row r="6961">
          <cell r="B6961" t="str">
            <v>14051021000201</v>
          </cell>
          <cell r="C6961" t="str">
            <v>CL CRED.POR LIQ. CARTA FIANZA VEN CCOR  1ND</v>
          </cell>
        </row>
        <row r="6962">
          <cell r="B6962" t="str">
            <v>14051021000202</v>
          </cell>
          <cell r="C6962" t="str">
            <v>JCC COB.PRE.JUD. CARTA FIANZA CCOR      1ND</v>
          </cell>
        </row>
        <row r="6963">
          <cell r="B6963" t="str">
            <v>14051022060104</v>
          </cell>
          <cell r="C6963" t="str">
            <v>CL PAG.REEST TV RP VENC.CCOR            1ND</v>
          </cell>
        </row>
        <row r="6964">
          <cell r="B6964" t="str">
            <v>14051022060201</v>
          </cell>
          <cell r="C6964" t="str">
            <v>LPC PAG TV REESTRUC COFIDE VENC CCOR    1ND</v>
          </cell>
        </row>
        <row r="6965">
          <cell r="B6965" t="str">
            <v>14051022110101</v>
          </cell>
          <cell r="C6965" t="str">
            <v>LPC LEAS INT DIF VENC REESTR RP CCOR    1ND</v>
          </cell>
        </row>
        <row r="6966">
          <cell r="B6966" t="str">
            <v>14051022110102</v>
          </cell>
          <cell r="C6966" t="str">
            <v>LPC LEAS SEG INT DIF VENC REESTR RP CCOR1ND</v>
          </cell>
        </row>
        <row r="6967">
          <cell r="B6967" t="str">
            <v>14051022110103</v>
          </cell>
          <cell r="C6967" t="str">
            <v>LPC LEAS VENC REF SEG RP REESTR CCOR    1ND</v>
          </cell>
        </row>
        <row r="6968">
          <cell r="B6968" t="str">
            <v>14051022110104</v>
          </cell>
          <cell r="C6968" t="str">
            <v>LPC LEAS VENC REF IGV RP REESTR  CCOR   1ND</v>
          </cell>
        </row>
        <row r="6969">
          <cell r="B6969" t="str">
            <v>14051022110105</v>
          </cell>
          <cell r="C6969" t="str">
            <v>LPC LEAS DEL BIEN VENC REESTR RP CCOR   1ND</v>
          </cell>
        </row>
        <row r="6970">
          <cell r="B6970" t="str">
            <v>14051026000101</v>
          </cell>
          <cell r="C6970" t="str">
            <v>LPC PAG IMPORT.D/P VENC CCOR            1ND</v>
          </cell>
        </row>
        <row r="6971">
          <cell r="B6971" t="str">
            <v>14051026000102</v>
          </cell>
          <cell r="C6971" t="str">
            <v>LPC PAG.VENC EX PRE EMB D/P CCOR        1ND</v>
          </cell>
        </row>
        <row r="6972">
          <cell r="B6972" t="str">
            <v>14051026000103</v>
          </cell>
          <cell r="C6972" t="str">
            <v>LPC PAG EXP POST EMB RP D/P CCOR        1ND</v>
          </cell>
        </row>
        <row r="6973">
          <cell r="B6973" t="str">
            <v>14051026000104</v>
          </cell>
          <cell r="C6973" t="str">
            <v>LPC PAG EXP PRE EM.RP VEN CCOR          1ND</v>
          </cell>
        </row>
        <row r="6974">
          <cell r="B6974" t="str">
            <v>14051026000105</v>
          </cell>
          <cell r="C6974" t="str">
            <v>LPC PAG EXP POST EMB RP CCOR VENC       1ND</v>
          </cell>
        </row>
        <row r="6975">
          <cell r="B6975" t="str">
            <v>14051026000106</v>
          </cell>
          <cell r="C6975" t="str">
            <v>LPC PAG IMPOR VENC CCOR                 1ND</v>
          </cell>
        </row>
        <row r="6976">
          <cell r="B6976" t="str">
            <v>14051026000107</v>
          </cell>
          <cell r="C6976" t="str">
            <v>LPC WORK CAP. EX PRE EMB.VEN CCOR       1ND</v>
          </cell>
        </row>
        <row r="6977">
          <cell r="B6977" t="str">
            <v>14051026000108</v>
          </cell>
          <cell r="C6977" t="str">
            <v>LPC FINANC PRE EMBARQUE                 1ND</v>
          </cell>
        </row>
        <row r="6978">
          <cell r="B6978" t="str">
            <v>14051026000109</v>
          </cell>
          <cell r="C6978" t="str">
            <v>LPC FINANC PRE EMBARQUE D/P             1ND</v>
          </cell>
        </row>
        <row r="6979">
          <cell r="B6979" t="str">
            <v>14051026000110</v>
          </cell>
          <cell r="C6979" t="str">
            <v>LPC FINANC PRE EMBARQUE-SEPYMEX CCOR    1ND</v>
          </cell>
        </row>
        <row r="6980">
          <cell r="B6980" t="str">
            <v>14051026000111</v>
          </cell>
          <cell r="C6980" t="str">
            <v>LPC FINANC PRE EMBARQUE D/P-SEPYMEX CCOR1ND</v>
          </cell>
        </row>
        <row r="6981">
          <cell r="B6981" t="str">
            <v>14051026000112</v>
          </cell>
          <cell r="C6981" t="str">
            <v>LPC PRE EMBARQUE FINANC. VEN. NORM CCOR 1ND</v>
          </cell>
        </row>
        <row r="6982">
          <cell r="B6982" t="str">
            <v>14051026000113</v>
          </cell>
          <cell r="C6982" t="str">
            <v>LPC PRE EMBARQUE FINANC. VEN. DUPE CCOR 1ND</v>
          </cell>
        </row>
        <row r="6983">
          <cell r="B6983" t="str">
            <v>14051026000114</v>
          </cell>
          <cell r="C6983" t="str">
            <v>LPC POST EMBARQUE FINANC. VEN. NORM CCOR1ND</v>
          </cell>
        </row>
        <row r="6984">
          <cell r="B6984" t="str">
            <v>14051026000115</v>
          </cell>
          <cell r="C6984" t="str">
            <v>LPC POST EMBARQUE FINANC. VEN. DUPE CCOR1ND</v>
          </cell>
        </row>
        <row r="6985">
          <cell r="B6985" t="str">
            <v>14051026000116</v>
          </cell>
          <cell r="C6985" t="str">
            <v>LPC IMPORT. CARTA CREDITO  FINANC. VEN. 1ND</v>
          </cell>
        </row>
        <row r="6986">
          <cell r="B6986" t="str">
            <v>14051026000117</v>
          </cell>
          <cell r="C6986" t="str">
            <v>LPC IMPORT. CARTA CREDITO  FINANC. VEN. 1ND</v>
          </cell>
        </row>
        <row r="6987">
          <cell r="B6987" t="str">
            <v>14051026000118</v>
          </cell>
          <cell r="C6987" t="str">
            <v>LPC IMPORT.  FINANC. VEN. NORM CCOR     1ND</v>
          </cell>
        </row>
        <row r="6988">
          <cell r="B6988" t="str">
            <v>14051026000119</v>
          </cell>
          <cell r="C6988" t="str">
            <v>LPC IMPORT.  FINANC. VEN. DUPE CCOR     1ND</v>
          </cell>
        </row>
        <row r="6989">
          <cell r="B6989" t="str">
            <v>14051026000120</v>
          </cell>
          <cell r="C6989" t="str">
            <v>LPC PAGARE FORFAITING VENC CCOR         1ND</v>
          </cell>
        </row>
        <row r="6990">
          <cell r="B6990" t="str">
            <v>14051026000121</v>
          </cell>
          <cell r="C6990" t="str">
            <v>LPC PAGARE FORFAITING VENC D/P  CCOR    1ND</v>
          </cell>
        </row>
        <row r="6991">
          <cell r="B6991" t="str">
            <v>14051026000201</v>
          </cell>
          <cell r="C6991" t="str">
            <v>CL PRE JUDIC PREST EXPORT VENC CCOR     1ND</v>
          </cell>
        </row>
        <row r="6992">
          <cell r="B6992" t="str">
            <v>14051026000202</v>
          </cell>
          <cell r="C6992" t="str">
            <v>CL PRE JUDIC PAG.IMPORT VENC CCOR GL70031ND</v>
          </cell>
        </row>
        <row r="6993">
          <cell r="B6993" t="str">
            <v>14051026000203</v>
          </cell>
          <cell r="C6993" t="str">
            <v>CL PRE JUDIC CARTAS CRED VENC CCOR GL7001ND</v>
          </cell>
        </row>
        <row r="6994">
          <cell r="B6994" t="str">
            <v>14051026000204</v>
          </cell>
          <cell r="C6994" t="str">
            <v>CL PRE JUDIC CARTA FIANZA VENC CCOR GL701ND</v>
          </cell>
        </row>
        <row r="6995">
          <cell r="B6995" t="str">
            <v>14051026000205</v>
          </cell>
          <cell r="C6995" t="str">
            <v>CL EX FORFAITING CAPITAL VENC CCOR      1ND</v>
          </cell>
        </row>
        <row r="6996">
          <cell r="B6996" t="str">
            <v>14051026000206</v>
          </cell>
          <cell r="C6996" t="str">
            <v>CL PAG.PRE EX EMBAR. D/P. VEN. CCOR     1ND</v>
          </cell>
        </row>
        <row r="6997">
          <cell r="B6997" t="str">
            <v>14051026000207</v>
          </cell>
          <cell r="C6997" t="str">
            <v>CL EX VEN PAG.IMPORTAC.D/P CCOR         1ND</v>
          </cell>
        </row>
        <row r="6998">
          <cell r="B6998" t="str">
            <v>14051026000208</v>
          </cell>
          <cell r="C6998" t="str">
            <v>CL \CL INT. MORATORIO CMED              1ND</v>
          </cell>
        </row>
        <row r="6999">
          <cell r="B6999" t="str">
            <v>14051026000301</v>
          </cell>
          <cell r="C6999" t="str">
            <v>JCC PRE JUDIC PREST EXPORT VENC CCOR    1ND</v>
          </cell>
        </row>
        <row r="7000">
          <cell r="B7000" t="str">
            <v>14051026000302</v>
          </cell>
          <cell r="C7000" t="str">
            <v>JCC PRE JUDIC PAG.IMPORT VENC CCOR GL7001ND</v>
          </cell>
        </row>
        <row r="7001">
          <cell r="B7001" t="str">
            <v>14051026000303</v>
          </cell>
          <cell r="C7001" t="str">
            <v>JCC PRE JUDIC CARTAS CRED VENC CCOR GL701ND</v>
          </cell>
        </row>
        <row r="7002">
          <cell r="B7002" t="str">
            <v>14051026000304</v>
          </cell>
          <cell r="C7002" t="str">
            <v>JCC PRE JUDIC CARTA FIANZA VENC CCOR GL71ND</v>
          </cell>
        </row>
        <row r="7003">
          <cell r="B7003" t="str">
            <v>14051026000401</v>
          </cell>
          <cell r="C7003" t="str">
            <v>FCD COMEX EXPO VENC NORM  CCOR          1ND</v>
          </cell>
        </row>
        <row r="7004">
          <cell r="B7004" t="str">
            <v>14051026000402</v>
          </cell>
          <cell r="C7004" t="str">
            <v>LPC COFIDE FONDOS CRECER CCOR  VEN\NORM 1ND</v>
          </cell>
        </row>
        <row r="7005">
          <cell r="B7005" t="str">
            <v>14051026000403</v>
          </cell>
          <cell r="C7005" t="str">
            <v>LPC COFIDE FONDOS CRECER CCOR  VEN\DUPE 1ND</v>
          </cell>
        </row>
        <row r="7006">
          <cell r="B7006" t="str">
            <v>14051026000404</v>
          </cell>
          <cell r="C7006" t="str">
            <v>LPC COFIDE FONDOS CRECER CCOR  VEN\NORM 1ND</v>
          </cell>
        </row>
        <row r="7007">
          <cell r="B7007" t="str">
            <v>14051026000405</v>
          </cell>
          <cell r="C7007" t="str">
            <v>LPC COFIDE FONDOS CRECER CCOR  VEN\DUPE 1ND</v>
          </cell>
        </row>
        <row r="7008">
          <cell r="B7008" t="str">
            <v>14051026000406</v>
          </cell>
          <cell r="C7008" t="str">
            <v>LPC PAG. REPROG-SUSPENSO INT REFINANCIAD1ND</v>
          </cell>
        </row>
        <row r="7009">
          <cell r="B7009" t="str">
            <v>14051026000407</v>
          </cell>
          <cell r="C7009" t="str">
            <v>LPC PAG. REPROG-SUSPENSO INT. VENC. CCOR1ND</v>
          </cell>
        </row>
        <row r="7010">
          <cell r="B7010" t="str">
            <v>14051026000408</v>
          </cell>
          <cell r="C7010" t="str">
            <v>LPC PAG. REPROG-SUSPENSO VENC CGEM NOR R1ND</v>
          </cell>
        </row>
        <row r="7011">
          <cell r="B7011" t="str">
            <v>14051026000409</v>
          </cell>
          <cell r="C7011" t="str">
            <v>LPC PAG. REPROG-SUSPENSO VENC CGEM NOR N1ND</v>
          </cell>
        </row>
        <row r="7012">
          <cell r="B7012" t="str">
            <v>14051026000410</v>
          </cell>
          <cell r="C7012" t="str">
            <v>LPC PAG. REPROG-SUSPENSO INT REFINANCIAD1ND</v>
          </cell>
        </row>
        <row r="7013">
          <cell r="B7013" t="str">
            <v>14051026000411</v>
          </cell>
          <cell r="C7013" t="str">
            <v>LPC PAG. REPROG-SUSPENSO INT. VENC. CGEM1ND</v>
          </cell>
        </row>
        <row r="7014">
          <cell r="B7014" t="str">
            <v>14051030000101</v>
          </cell>
          <cell r="C7014" t="str">
            <v>LPC PAG FINAN PROY D/P VENC CCOR        1ND</v>
          </cell>
        </row>
        <row r="7015">
          <cell r="B7015" t="str">
            <v>14051030000102</v>
          </cell>
          <cell r="C7015" t="str">
            <v>LPC PAG FINAN PROY  VENC CCOR           1ND</v>
          </cell>
        </row>
        <row r="7016">
          <cell r="B7016" t="str">
            <v>14051030000103</v>
          </cell>
          <cell r="C7016" t="str">
            <v>LPC PAG. FINANC PROY COFIDE VEN CCOR    1ND</v>
          </cell>
        </row>
        <row r="7017">
          <cell r="B7017" t="str">
            <v>14051030000104</v>
          </cell>
          <cell r="C7017" t="str">
            <v>LPC  PAG. FINANC PROY COFIDE  VENC D/P C1ND</v>
          </cell>
        </row>
        <row r="7018">
          <cell r="B7018" t="str">
            <v>14051030000107</v>
          </cell>
          <cell r="C7018" t="str">
            <v>LPC PAG FINAN PROY VERDE-SOCIAL CCOR DUP1 D</v>
          </cell>
        </row>
        <row r="7019">
          <cell r="B7019" t="str">
            <v>14051030000108</v>
          </cell>
          <cell r="C7019" t="str">
            <v>LPC PAG FINAN PROY VERDE-SOCIAL CCOR NOR1 D</v>
          </cell>
        </row>
        <row r="7020">
          <cell r="B7020" t="str">
            <v>14051030000109</v>
          </cell>
          <cell r="C7020" t="str">
            <v>LPC PAG FINAN PROY VINC-SOSTENIB CCOR DU1 D</v>
          </cell>
        </row>
        <row r="7021">
          <cell r="B7021" t="str">
            <v>14051030000110</v>
          </cell>
          <cell r="C7021" t="str">
            <v>LPC PAG FINAN PROY VINC-SOSTENIB CCOR NO1 D</v>
          </cell>
        </row>
        <row r="7022">
          <cell r="B7022" t="str">
            <v>14051030000111</v>
          </cell>
          <cell r="C7022" t="str">
            <v>LPC LEASING FINANCIACION PROYECTO CCOR V1 D</v>
          </cell>
        </row>
        <row r="7023">
          <cell r="B7023" t="str">
            <v>14051030000112</v>
          </cell>
          <cell r="C7023" t="str">
            <v>LPC LEASING FINANCIACION PROYECTO CCOR V1 D</v>
          </cell>
        </row>
        <row r="7024">
          <cell r="B7024" t="str">
            <v>14051033000101</v>
          </cell>
          <cell r="C7024" t="str">
            <v>LPC PAG INMOBILIARIO CCOR               1ND</v>
          </cell>
        </row>
        <row r="7025">
          <cell r="B7025" t="str">
            <v>14051033000102</v>
          </cell>
          <cell r="C7025" t="str">
            <v>LPC PAG BIENES INMB RENTA VERDE-SOCIAL C1 D</v>
          </cell>
        </row>
        <row r="7026">
          <cell r="B7026" t="str">
            <v>14051033000103</v>
          </cell>
          <cell r="C7026" t="str">
            <v>LPC PAG BIENES INMB RENTA VERDE-SOCIAL C1 D</v>
          </cell>
        </row>
        <row r="7027">
          <cell r="B7027" t="str">
            <v>14051033000104</v>
          </cell>
          <cell r="C7027" t="str">
            <v>LPC PAG BIENES INMB RENTA VINC-SOSTENIB 1 D</v>
          </cell>
        </row>
        <row r="7028">
          <cell r="B7028" t="str">
            <v>14051033000105</v>
          </cell>
          <cell r="C7028" t="str">
            <v>LPC PAG BIENES INMB RENTA VINC-SOSTENIB 1 D</v>
          </cell>
        </row>
        <row r="7029">
          <cell r="B7029" t="str">
            <v>14051102010101</v>
          </cell>
          <cell r="C7029" t="str">
            <v>TC VISA COMERC COLOC.DISP.EFECT. CGEM   1ND</v>
          </cell>
        </row>
        <row r="7030">
          <cell r="B7030" t="str">
            <v>14051102010102</v>
          </cell>
          <cell r="C7030" t="str">
            <v>TC MC COMERCIAL. COLOC. CGEM            1ND</v>
          </cell>
        </row>
        <row r="7031">
          <cell r="B7031" t="str">
            <v>14051102010103</v>
          </cell>
          <cell r="C7031" t="str">
            <v>TC AMEX COMERC COLOC.DISP.EFECT. CGEM   1ND</v>
          </cell>
        </row>
        <row r="7032">
          <cell r="B7032" t="str">
            <v>14051102010104</v>
          </cell>
          <cell r="C7032" t="str">
            <v>TC VEA COMERCIAL. COLOC. DISP. CGEM     1ND</v>
          </cell>
        </row>
        <row r="7033">
          <cell r="B7033" t="str">
            <v>14051102010105</v>
          </cell>
          <cell r="C7033" t="str">
            <v>TC VISA D/E CUOTAS VEN CGEM             1ND</v>
          </cell>
        </row>
        <row r="7034">
          <cell r="B7034" t="str">
            <v>14051102010106</v>
          </cell>
          <cell r="C7034" t="str">
            <v>TC VISA D/E REV VEN CGEM                1ND</v>
          </cell>
        </row>
        <row r="7035">
          <cell r="B7035" t="str">
            <v>14051102010107</v>
          </cell>
          <cell r="C7035" t="str">
            <v>TC AMEX D/E CUOTAS VEN CGEM             1ND</v>
          </cell>
        </row>
        <row r="7036">
          <cell r="B7036" t="str">
            <v>14051102010108</v>
          </cell>
          <cell r="C7036" t="str">
            <v>TC AMEX D/E REV VEN CGEM                1ND</v>
          </cell>
        </row>
        <row r="7037">
          <cell r="B7037" t="str">
            <v>14051102010109</v>
          </cell>
          <cell r="C7037" t="str">
            <v>TC MC D/E CUOTAS VEN CGEM               1ND</v>
          </cell>
        </row>
        <row r="7038">
          <cell r="B7038" t="str">
            <v>14051102010110</v>
          </cell>
          <cell r="C7038" t="str">
            <v>TC MC D/E REV VEN CGEM                  1ND</v>
          </cell>
        </row>
        <row r="7039">
          <cell r="B7039" t="str">
            <v>14051102010201</v>
          </cell>
          <cell r="C7039" t="str">
            <v>CL PRE JUD TC VISA PJ DISP EFEC CGEM    1ND</v>
          </cell>
        </row>
        <row r="7040">
          <cell r="B7040" t="str">
            <v>14051102010202</v>
          </cell>
          <cell r="C7040" t="str">
            <v>CL PRE JUD TC.AMEX PJ DISP EFEC CGEM    1ND</v>
          </cell>
        </row>
        <row r="7041">
          <cell r="B7041" t="str">
            <v>14051102010203</v>
          </cell>
          <cell r="C7041" t="str">
            <v>CL PRE JUD TC.MASTER PJ DISP EFEC CGEM  1ND</v>
          </cell>
        </row>
        <row r="7042">
          <cell r="B7042" t="str">
            <v>14051102020101</v>
          </cell>
          <cell r="C7042" t="str">
            <v>TC VISA COMERCIAL COLOC.COMPRAS CGEM    1ND</v>
          </cell>
        </row>
        <row r="7043">
          <cell r="B7043" t="str">
            <v>14051102020102</v>
          </cell>
          <cell r="C7043" t="str">
            <v>TC MC COMERCIAL. COLOC. COMPRA CGEM     1ND</v>
          </cell>
        </row>
        <row r="7044">
          <cell r="B7044" t="str">
            <v>14051102020103</v>
          </cell>
          <cell r="C7044" t="str">
            <v>TC AMEX COMERCIAL COLOC.COMPRAS CGEM    1ND</v>
          </cell>
        </row>
        <row r="7045">
          <cell r="B7045" t="str">
            <v>14051102020104</v>
          </cell>
          <cell r="C7045" t="str">
            <v>TC VEA COMERCIAL. COLOC. COMPRA CGEM    1ND</v>
          </cell>
        </row>
        <row r="7046">
          <cell r="B7046" t="str">
            <v>14051102020105</v>
          </cell>
          <cell r="C7046" t="str">
            <v>TC VISA COMPRA CUOTAS VEN CGEM          1ND</v>
          </cell>
        </row>
        <row r="7047">
          <cell r="B7047" t="str">
            <v>14051102020106</v>
          </cell>
          <cell r="C7047" t="str">
            <v>TC VISA COMPRA REV VEN CGEM             1ND</v>
          </cell>
        </row>
        <row r="7048">
          <cell r="B7048" t="str">
            <v>14051102020107</v>
          </cell>
          <cell r="C7048" t="str">
            <v>TC AMEX COMPRA CUOTAS VEN CGEM          1ND</v>
          </cell>
        </row>
        <row r="7049">
          <cell r="B7049" t="str">
            <v>14051102020108</v>
          </cell>
          <cell r="C7049" t="str">
            <v>TC AMEX COMPRA REV VEN CGEM             1ND</v>
          </cell>
        </row>
        <row r="7050">
          <cell r="B7050" t="str">
            <v>14051102020109</v>
          </cell>
          <cell r="C7050" t="str">
            <v>TC MC COMPRA CUOTAS VEN CGEM            1ND</v>
          </cell>
        </row>
        <row r="7051">
          <cell r="B7051" t="str">
            <v>14051102020110</v>
          </cell>
          <cell r="C7051" t="str">
            <v>TC MC COMPRA REV VEN CGEM               1ND</v>
          </cell>
        </row>
        <row r="7052">
          <cell r="B7052" t="str">
            <v>14051102020201</v>
          </cell>
          <cell r="C7052" t="str">
            <v>CL PRE JUD TC VISA PJ CONSUM. CGEM      1ND</v>
          </cell>
        </row>
        <row r="7053">
          <cell r="B7053" t="str">
            <v>14051102020202</v>
          </cell>
          <cell r="C7053" t="str">
            <v>CL PRE JUD TC.AMEX PJ CONSU CGEM        1ND</v>
          </cell>
        </row>
        <row r="7054">
          <cell r="B7054" t="str">
            <v>14051102020203</v>
          </cell>
          <cell r="C7054" t="str">
            <v>CL PRE JUD TC.MASTER PJ CONSU CGEM      1ND</v>
          </cell>
        </row>
        <row r="7055">
          <cell r="B7055" t="str">
            <v>14051102030101</v>
          </cell>
          <cell r="C7055" t="str">
            <v>JCC PRE JUD TC.MASTER PJ CONSU CGEM     1ND</v>
          </cell>
        </row>
        <row r="7056">
          <cell r="B7056" t="str">
            <v>14051102030102</v>
          </cell>
          <cell r="C7056" t="str">
            <v>JCC PRE JUD TC VISA PJ CONSUM. CGEM     1ND</v>
          </cell>
        </row>
        <row r="7057">
          <cell r="B7057" t="str">
            <v>14051102030103</v>
          </cell>
          <cell r="C7057" t="str">
            <v>JCC PRE JUD TC.AMEX PJ CONSU CGEM       1ND</v>
          </cell>
        </row>
        <row r="7058">
          <cell r="B7058" t="str">
            <v>14051102030104</v>
          </cell>
          <cell r="C7058" t="str">
            <v>JCC PRE JUD TC.MASTER PJ DISP EFEC CGEM 1ND</v>
          </cell>
        </row>
        <row r="7059">
          <cell r="B7059" t="str">
            <v>14051102030105</v>
          </cell>
          <cell r="C7059" t="str">
            <v>JCC PRE JUD TC VISA PJ DISP EFEC CGEM   1ND</v>
          </cell>
        </row>
        <row r="7060">
          <cell r="B7060" t="str">
            <v>14051102030106</v>
          </cell>
          <cell r="C7060" t="str">
            <v>JCC PRE JUD TC.AMEX PJ DISP EFEC CGEM   1ND</v>
          </cell>
        </row>
        <row r="7061">
          <cell r="B7061" t="str">
            <v>14051102090101</v>
          </cell>
          <cell r="C7061" t="str">
            <v>TC AMEX CDEUDA PAR VEN CGEM             1ND</v>
          </cell>
        </row>
        <row r="7062">
          <cell r="B7062" t="str">
            <v>14051102090102</v>
          </cell>
          <cell r="C7062" t="str">
            <v>TC AMEX CDEUDA REV VEN CGEM             1ND</v>
          </cell>
        </row>
        <row r="7063">
          <cell r="B7063" t="str">
            <v>14051102090103</v>
          </cell>
          <cell r="C7063" t="str">
            <v>TC AMEX EXTRACASH VEN CGEM              1ND</v>
          </cell>
        </row>
        <row r="7064">
          <cell r="B7064" t="str">
            <v>14051102090104</v>
          </cell>
          <cell r="C7064" t="str">
            <v>TC AMEX REPROG PAR VEN CGEM             1ND</v>
          </cell>
        </row>
        <row r="7065">
          <cell r="B7065" t="str">
            <v>14051102090105</v>
          </cell>
          <cell r="C7065" t="str">
            <v>TC AMEX REPROG REV VEN CGEM             1ND</v>
          </cell>
        </row>
        <row r="7066">
          <cell r="B7066" t="str">
            <v>14051102090106</v>
          </cell>
          <cell r="C7066" t="str">
            <v>TC MC CDEUDA PAR VEN CGEM               1ND</v>
          </cell>
        </row>
        <row r="7067">
          <cell r="B7067" t="str">
            <v>14051102090107</v>
          </cell>
          <cell r="C7067" t="str">
            <v>TC MC CDEUDA REV VEN CGEM               1ND</v>
          </cell>
        </row>
        <row r="7068">
          <cell r="B7068" t="str">
            <v>14051102090108</v>
          </cell>
          <cell r="C7068" t="str">
            <v>TC MC EXTRACASH VEN CGEM                1ND</v>
          </cell>
        </row>
        <row r="7069">
          <cell r="B7069" t="str">
            <v>14051102090109</v>
          </cell>
          <cell r="C7069" t="str">
            <v>TC MC REPROG PAR VEN CGEM               1ND</v>
          </cell>
        </row>
        <row r="7070">
          <cell r="B7070" t="str">
            <v>14051102090110</v>
          </cell>
          <cell r="C7070" t="str">
            <v>TC MC REPROG REV VEN CGEM               1ND</v>
          </cell>
        </row>
        <row r="7071">
          <cell r="B7071" t="str">
            <v>14051102090111</v>
          </cell>
          <cell r="C7071" t="str">
            <v>TC VISA CDEUDA PAR VEN CGEM             1ND</v>
          </cell>
        </row>
        <row r="7072">
          <cell r="B7072" t="str">
            <v>14051102090112</v>
          </cell>
          <cell r="C7072" t="str">
            <v>TC VISA CDEUDA REV VEN CGEM             1ND</v>
          </cell>
        </row>
        <row r="7073">
          <cell r="B7073" t="str">
            <v>14051102090113</v>
          </cell>
          <cell r="C7073" t="str">
            <v>TC VISA EXTRACASH VEN CGEM              1ND</v>
          </cell>
        </row>
        <row r="7074">
          <cell r="B7074" t="str">
            <v>14051102090114</v>
          </cell>
          <cell r="C7074" t="str">
            <v>TC VISA REPROG PAR VEN CGEM             1ND</v>
          </cell>
        </row>
        <row r="7075">
          <cell r="B7075" t="str">
            <v>14051102090115</v>
          </cell>
          <cell r="C7075" t="str">
            <v>TC VISA REPROG REV VEN CGEM             1ND</v>
          </cell>
        </row>
        <row r="7076">
          <cell r="B7076" t="str">
            <v>14051104000101</v>
          </cell>
          <cell r="C7076" t="str">
            <v>CL PRE JUD SOBR CCTE. PJ VENC CGEM      1ND</v>
          </cell>
        </row>
        <row r="7077">
          <cell r="B7077" t="str">
            <v>14051104000201</v>
          </cell>
          <cell r="C7077" t="str">
            <v>IM SOBREG VENC CTA CTE PJ CGEM          1ND</v>
          </cell>
        </row>
        <row r="7078">
          <cell r="B7078" t="str">
            <v>14051104000202</v>
          </cell>
          <cell r="C7078" t="str">
            <v>IM SOBREG VENC CTA CTE PJ S/F CGEM      1ND</v>
          </cell>
        </row>
        <row r="7079">
          <cell r="B7079" t="str">
            <v>14051104000301</v>
          </cell>
          <cell r="C7079" t="str">
            <v>JCC PRE JUD SOBR CCTE. PJ VENC CGEM     1ND</v>
          </cell>
        </row>
        <row r="7080">
          <cell r="B7080" t="str">
            <v>14051105010101</v>
          </cell>
          <cell r="C7080" t="str">
            <v>CL PAG DSCTO VENC CGEM                  1ND</v>
          </cell>
        </row>
        <row r="7081">
          <cell r="B7081" t="str">
            <v>14051105010102</v>
          </cell>
          <cell r="C7081" t="str">
            <v>CL PAG.DSCTO D/P VENC CGEM              1ND</v>
          </cell>
        </row>
        <row r="7082">
          <cell r="B7082" t="str">
            <v>14051105010201</v>
          </cell>
          <cell r="C7082" t="str">
            <v>CL PRE JUDIC DSCTO.PAGARE VEN CGEM      1ND</v>
          </cell>
        </row>
        <row r="7083">
          <cell r="B7083" t="str">
            <v>14051105010202</v>
          </cell>
          <cell r="C7083" t="str">
            <v>LPC PAG.TSA.DSCTO D/P VENC CGEM         1ND</v>
          </cell>
        </row>
        <row r="7084">
          <cell r="B7084" t="str">
            <v>14051105010203</v>
          </cell>
          <cell r="C7084" t="str">
            <v>LPC PAG.TSA.DSCTO VENC CGEM             1ND</v>
          </cell>
        </row>
        <row r="7085">
          <cell r="B7085" t="str">
            <v>14051105010301</v>
          </cell>
          <cell r="C7085" t="str">
            <v>JCC PRE JUDIC DSCTO.PAGARE VEN CGEM     1ND</v>
          </cell>
        </row>
        <row r="7086">
          <cell r="B7086" t="str">
            <v>14051105010302</v>
          </cell>
          <cell r="C7086" t="str">
            <v>JCC PRE JUDIC DSCTO.LETRAS VENC CGEM GL71ND</v>
          </cell>
        </row>
        <row r="7087">
          <cell r="B7087" t="str">
            <v>14051105020101</v>
          </cell>
          <cell r="C7087" t="str">
            <v>FCD  LETRASÂ  DSCTO VCÂ Â  CGEM         1ND</v>
          </cell>
        </row>
        <row r="7088">
          <cell r="B7088" t="str">
            <v>14051105020102</v>
          </cell>
          <cell r="C7088" t="str">
            <v>PR DSCTO ELECTR SM PERU VEN CGEM        1ND</v>
          </cell>
        </row>
        <row r="7089">
          <cell r="B7089" t="str">
            <v>14051105020103</v>
          </cell>
          <cell r="C7089" t="str">
            <v>PR LETRAS EN DSCTO VEN D/P CGEM         1ND</v>
          </cell>
        </row>
        <row r="7090">
          <cell r="B7090" t="str">
            <v>14051105020104</v>
          </cell>
          <cell r="C7090" t="str">
            <v>PR LETRAS T. DESCONTADAÂ  VENCÂ Â  CGEM 1ND</v>
          </cell>
        </row>
        <row r="7091">
          <cell r="B7091" t="str">
            <v>14051105020105</v>
          </cell>
          <cell r="C7091" t="str">
            <v>FCD DSCTO ELECTR VENC DUDOSO CGEM       1ND</v>
          </cell>
        </row>
        <row r="7092">
          <cell r="B7092" t="str">
            <v>14051105020106</v>
          </cell>
          <cell r="C7092" t="str">
            <v>FCD DESC. LET. VENC. CGEM DUPE          1ND</v>
          </cell>
        </row>
        <row r="7093">
          <cell r="B7093" t="str">
            <v>14051105020107</v>
          </cell>
          <cell r="C7093" t="str">
            <v>FCD DESC. FACT. VENC. CGEM DUPE         1ND</v>
          </cell>
        </row>
        <row r="7094">
          <cell r="B7094" t="str">
            <v>14051105020108</v>
          </cell>
          <cell r="C7094" t="str">
            <v>FCD DESC. VIRTUAL VENC. CGEM DUPE       1ND</v>
          </cell>
        </row>
        <row r="7095">
          <cell r="B7095" t="str">
            <v>14051105020109</v>
          </cell>
          <cell r="C7095" t="str">
            <v>FCD DESC. FACT. NEG. VENC. CGEM DUPE    1ND</v>
          </cell>
        </row>
        <row r="7096">
          <cell r="B7096" t="str">
            <v>14051105020110</v>
          </cell>
          <cell r="C7096" t="str">
            <v>FCD DESC. VIRTUAL VENC. CGEM NORMAL     1ND</v>
          </cell>
        </row>
        <row r="7097">
          <cell r="B7097" t="str">
            <v>14051105020201</v>
          </cell>
          <cell r="C7097" t="str">
            <v>CL PRE JUDIC DSCTO.LETRAS VENC CGEM GL701ND</v>
          </cell>
        </row>
        <row r="7098">
          <cell r="B7098" t="str">
            <v>14051106010101</v>
          </cell>
          <cell r="C7098" t="str">
            <v>LPC PAG TV D/P REV VENC LPC CGEM        1ND</v>
          </cell>
        </row>
        <row r="7099">
          <cell r="B7099" t="str">
            <v>14051106010102</v>
          </cell>
          <cell r="C7099" t="str">
            <v>LPC VENC PAG TV RP REVOL CGEM           1ND</v>
          </cell>
        </row>
        <row r="7100">
          <cell r="B7100" t="str">
            <v>14051106010103</v>
          </cell>
          <cell r="C7100" t="str">
            <v>LPC PAG TV REF VENC REV CGEM            1ND</v>
          </cell>
        </row>
        <row r="7101">
          <cell r="B7101" t="str">
            <v>14051106010104</v>
          </cell>
          <cell r="C7101" t="str">
            <v>LPC P.TV REC.COFIDE REVOL VEN CGEM      1ND</v>
          </cell>
        </row>
        <row r="7102">
          <cell r="B7102" t="str">
            <v>14051106010105</v>
          </cell>
          <cell r="C7102" t="str">
            <v>LPC PAG TV  COFIDE  VENCIDO - D/P       1ND</v>
          </cell>
        </row>
        <row r="7103">
          <cell r="B7103" t="str">
            <v>14051106010106</v>
          </cell>
          <cell r="C7103" t="str">
            <v>LPC PAG TV RP MED PLAZO REVOL           1ND</v>
          </cell>
        </row>
        <row r="7104">
          <cell r="B7104" t="str">
            <v>14051106010107</v>
          </cell>
          <cell r="C7104" t="str">
            <v>LPC PAG TV RP MED PLAZO REVOL D/P       1ND</v>
          </cell>
        </row>
        <row r="7105">
          <cell r="B7105" t="str">
            <v>14051106010108</v>
          </cell>
          <cell r="C7105" t="str">
            <v>LPC PAG TV INMOBILIARIO REV             1ND</v>
          </cell>
        </row>
        <row r="7106">
          <cell r="B7106" t="str">
            <v>14051106010109</v>
          </cell>
          <cell r="C7106" t="str">
            <v>LPC PAG TV INMOBILIARIO REV D/P         1ND</v>
          </cell>
        </row>
        <row r="7107">
          <cell r="B7107" t="str">
            <v>14051106010110</v>
          </cell>
          <cell r="C7107" t="str">
            <v>LPC PAG TV REVOL EUROS                  1ND</v>
          </cell>
        </row>
        <row r="7108">
          <cell r="B7108" t="str">
            <v>14051106010111</v>
          </cell>
          <cell r="C7108" t="str">
            <v>LPC PAG TV REVOL EUROS                  1ND</v>
          </cell>
        </row>
        <row r="7109">
          <cell r="B7109" t="str">
            <v>14051106010112</v>
          </cell>
          <cell r="C7109" t="str">
            <v>LPC VENC PAG DERIVADOS REVOL CGEM       1ND</v>
          </cell>
        </row>
        <row r="7110">
          <cell r="B7110" t="str">
            <v>14051106010113</v>
          </cell>
          <cell r="C7110" t="str">
            <v>LPC PAG DERIVADOS D/P REV VENC CGEM     1ND</v>
          </cell>
        </row>
        <row r="7111">
          <cell r="B7111" t="str">
            <v>14051106010114</v>
          </cell>
          <cell r="C7111" t="str">
            <v>LPC PAG REPROGRAMADO REV NORM CGEM      1ND</v>
          </cell>
        </row>
        <row r="7112">
          <cell r="B7112" t="str">
            <v>14051106010115</v>
          </cell>
          <cell r="C7112" t="str">
            <v>LPC PAG REPROGRAMADO REV D/P CGEM       1ND</v>
          </cell>
        </row>
        <row r="7113">
          <cell r="B7113" t="str">
            <v>14051106010116</v>
          </cell>
          <cell r="C7113" t="str">
            <v>LPC PAG.INMOB. REPROG-SUSPENSO VENC CGEM1ND</v>
          </cell>
        </row>
        <row r="7114">
          <cell r="B7114" t="str">
            <v>14051106010117</v>
          </cell>
          <cell r="C7114" t="str">
            <v>LPC PAG COMERC REPROG-SUSPENSO VENC CGEM1ND</v>
          </cell>
        </row>
        <row r="7115">
          <cell r="B7115" t="str">
            <v>14051106010118</v>
          </cell>
          <cell r="C7115" t="str">
            <v>LPC PAG.INMOB. REPROG-SUSPENSO VENC CGEM1ND</v>
          </cell>
        </row>
        <row r="7116">
          <cell r="B7116" t="str">
            <v>14051106010201</v>
          </cell>
          <cell r="C7116" t="str">
            <v>CL PAG. TV D/P REVOL VEN CGEM           1ND</v>
          </cell>
        </row>
        <row r="7117">
          <cell r="B7117" t="str">
            <v>14051106010202</v>
          </cell>
          <cell r="C7117" t="str">
            <v>CL PAG TV REVOLV VEN CGEM               1ND</v>
          </cell>
        </row>
        <row r="7118">
          <cell r="B7118" t="str">
            <v>14051106010203</v>
          </cell>
          <cell r="C7118" t="str">
            <v>CL PAG.TV NEG.INMOBIL REVOLV VEN CGEM   1ND</v>
          </cell>
        </row>
        <row r="7119">
          <cell r="B7119" t="str">
            <v>14051106010204</v>
          </cell>
          <cell r="C7119" t="str">
            <v>CL P.TV OTROS SUSP.REVOLV VEN CGEM      1ND</v>
          </cell>
        </row>
        <row r="7120">
          <cell r="B7120" t="str">
            <v>14051106010205</v>
          </cell>
          <cell r="C7120" t="str">
            <v>CL P.TV REC.COFIDE.REV VEN CGEM         1ND</v>
          </cell>
        </row>
        <row r="7121">
          <cell r="B7121" t="str">
            <v>14051106010206</v>
          </cell>
          <cell r="C7121" t="str">
            <v>CL PRE JUDIC RP CAP.TRAB VENC REVOLV. CG1ND</v>
          </cell>
        </row>
        <row r="7122">
          <cell r="B7122" t="str">
            <v>14051106010207</v>
          </cell>
          <cell r="C7122" t="str">
            <v>CL PRE JUD PAG.TV.COFIDE REVOL CGEM     1ND</v>
          </cell>
        </row>
        <row r="7123">
          <cell r="B7123" t="str">
            <v>14051106010301</v>
          </cell>
          <cell r="C7123" t="str">
            <v>JCC PRE JUDIC RP CAP.TRAB VENC REVOLV. C1ND</v>
          </cell>
        </row>
        <row r="7124">
          <cell r="B7124" t="str">
            <v>14051106010302</v>
          </cell>
          <cell r="C7124" t="str">
            <v>JCC PRE JUD PAG.TV.COFIDE REVOL CGEM    1ND</v>
          </cell>
        </row>
        <row r="7125">
          <cell r="B7125" t="str">
            <v>14051106010303</v>
          </cell>
          <cell r="C7125" t="str">
            <v>MYP LIN REVOLV VENC NORM CGEM           1ND</v>
          </cell>
        </row>
        <row r="7126">
          <cell r="B7126" t="str">
            <v>14051106010304</v>
          </cell>
          <cell r="C7126" t="str">
            <v>MYP D/P LINEA REVOLV VENC CGEM          1ND</v>
          </cell>
        </row>
        <row r="7127">
          <cell r="B7127" t="str">
            <v>14051106010305</v>
          </cell>
          <cell r="C7127" t="str">
            <v>MYP D/P LIN REV.BPE-BE COM VENC CGEM    1ND</v>
          </cell>
        </row>
        <row r="7128">
          <cell r="B7128" t="str">
            <v>14051106010306</v>
          </cell>
          <cell r="C7128" t="str">
            <v>MYP LINEA REV.BPE-BE COM VENC NORM CGEM 1ND</v>
          </cell>
        </row>
        <row r="7129">
          <cell r="B7129" t="str">
            <v>14051106010315</v>
          </cell>
          <cell r="C7129" t="str">
            <v>LPC REACTIVA PERU VEN CGEM\NORM         1ND</v>
          </cell>
        </row>
        <row r="7130">
          <cell r="B7130" t="str">
            <v>14051106010316</v>
          </cell>
          <cell r="C7130" t="str">
            <v>LPC REACTIVA PERU VEN CGEM\DUPE         1ND</v>
          </cell>
        </row>
        <row r="7131">
          <cell r="B7131" t="str">
            <v>14051106010317</v>
          </cell>
          <cell r="C7131" t="str">
            <v>LPC COFIDE FONDOS PERU VEN CGEM\NORM    1ND</v>
          </cell>
        </row>
        <row r="7132">
          <cell r="B7132" t="str">
            <v>14051106010318</v>
          </cell>
          <cell r="C7132" t="str">
            <v>LPC COFIDE FONDOS PERU VEN CGEM\DUPE    1ND</v>
          </cell>
        </row>
        <row r="7133">
          <cell r="B7133" t="str">
            <v>14051106010319</v>
          </cell>
          <cell r="C7133" t="str">
            <v>LPC COFIDE FONDO CRECER VEN CGEM\NORM   1ND</v>
          </cell>
        </row>
        <row r="7134">
          <cell r="B7134" t="str">
            <v>14051106010320</v>
          </cell>
          <cell r="C7134" t="str">
            <v>LPC COFIDE FONDO CRECER VEN CGEM\DUPE   1ND</v>
          </cell>
        </row>
        <row r="7135">
          <cell r="B7135" t="str">
            <v>14051106010321</v>
          </cell>
          <cell r="C7135" t="str">
            <v>LPC REACTIVA PERU VEN CGEM\NORM         1ND</v>
          </cell>
        </row>
        <row r="7136">
          <cell r="B7136" t="str">
            <v>14051106010322</v>
          </cell>
          <cell r="C7136" t="str">
            <v>LPC REACTIVA PERU VEN CGEM\DUPE         1ND</v>
          </cell>
        </row>
        <row r="7137">
          <cell r="B7137" t="str">
            <v>14051106010323</v>
          </cell>
          <cell r="C7137" t="str">
            <v>LPC PAG. REPROG-SUSPENSO VENC CMED NOR R1ND</v>
          </cell>
        </row>
        <row r="7138">
          <cell r="B7138" t="str">
            <v>14051106010325</v>
          </cell>
          <cell r="C7138" t="str">
            <v>LPC PAG MEDIANO PLAZO COVID-19 CGEM REV 1ND</v>
          </cell>
        </row>
        <row r="7139">
          <cell r="B7139" t="str">
            <v>14051106010326</v>
          </cell>
          <cell r="C7139" t="str">
            <v>LPC REF_FINAN_ESPECIALES_CGEM COVID-19  1ND</v>
          </cell>
        </row>
        <row r="7140">
          <cell r="B7140" t="str">
            <v>14051106010327</v>
          </cell>
          <cell r="C7140" t="str">
            <v>LPC REF_FINAN_ESPECIALES_CGEM COVID-19  1ND</v>
          </cell>
        </row>
        <row r="7141">
          <cell r="B7141" t="str">
            <v>14051106010328</v>
          </cell>
          <cell r="C7141" t="str">
            <v>LPC P.TV REC.COFIDE NO REVOL VEN CGEM NO1 D</v>
          </cell>
        </row>
        <row r="7142">
          <cell r="B7142" t="str">
            <v>14051106010329</v>
          </cell>
          <cell r="C7142" t="str">
            <v>LPC P.TV REC.COFIDE NO REVOL VEN CGEM DU1 D</v>
          </cell>
        </row>
        <row r="7143">
          <cell r="B7143" t="str">
            <v>14051106010330</v>
          </cell>
          <cell r="C7143" t="str">
            <v>LPC RP MED PZ PREST VERDE-SOCIAL CGEM VE1 D</v>
          </cell>
        </row>
        <row r="7144">
          <cell r="B7144" t="str">
            <v>14051106010331</v>
          </cell>
          <cell r="C7144" t="str">
            <v>LPC RP MED PZ PREST VERDE-SOCIAL CGEM VE1 D</v>
          </cell>
        </row>
        <row r="7145">
          <cell r="B7145" t="str">
            <v>14051106010332</v>
          </cell>
          <cell r="C7145" t="str">
            <v>LPC RP MED PZ PREST SOSTENIBLE CGEM VEN 1 D</v>
          </cell>
        </row>
        <row r="7146">
          <cell r="B7146" t="str">
            <v>14051106010333</v>
          </cell>
          <cell r="C7146" t="str">
            <v>LPC RP MED PZ PREST SOSTENIBLE CGEM VEN 1 D</v>
          </cell>
        </row>
        <row r="7147">
          <cell r="B7147" t="str">
            <v>14051106010334</v>
          </cell>
          <cell r="C7147" t="str">
            <v>LPC IMPULSO MYPERU CORTO PLAZO VEN REV C1 D</v>
          </cell>
        </row>
        <row r="7148">
          <cell r="B7148" t="str">
            <v>14051106010335</v>
          </cell>
          <cell r="C7148" t="str">
            <v>LPC IMPULSO MYPERU MEDIANO PLAZO VEN REV1 D</v>
          </cell>
        </row>
        <row r="7149">
          <cell r="B7149" t="str">
            <v>14051106010336</v>
          </cell>
          <cell r="C7149" t="str">
            <v>MYP LINEA REVOLV CIMA VEN NORM CGEM     1 D</v>
          </cell>
        </row>
        <row r="7150">
          <cell r="B7150" t="str">
            <v>14051106010337</v>
          </cell>
          <cell r="C7150" t="str">
            <v>MYP LINEA REVOLV CIMA VEN DUPE CGEM     1 D</v>
          </cell>
        </row>
        <row r="7151">
          <cell r="B7151" t="str">
            <v>14051106010338</v>
          </cell>
          <cell r="C7151" t="str">
            <v>MYP LINEA REVOL REUT.VEN CGEM DUPE      1 D</v>
          </cell>
        </row>
        <row r="7152">
          <cell r="B7152" t="str">
            <v>14051106010339</v>
          </cell>
          <cell r="C7152" t="str">
            <v>MYP LINEA REVOL REUT.VEN CGEM NORM      1 D</v>
          </cell>
        </row>
        <row r="7153">
          <cell r="B7153" t="str">
            <v>14051106010340</v>
          </cell>
          <cell r="C7153" t="str">
            <v>LPC PAG PAPERLESS DERIVADOS REVOL CGEM N1ND</v>
          </cell>
        </row>
        <row r="7154">
          <cell r="B7154" t="str">
            <v>14051106010341</v>
          </cell>
          <cell r="C7154" t="str">
            <v>LPC PAG PAPERLESS DERIVADOS REVOL CGEM D1ND</v>
          </cell>
        </row>
        <row r="7155">
          <cell r="B7155" t="str">
            <v>14051106010342</v>
          </cell>
          <cell r="C7155" t="str">
            <v>CCD-BPE LINEA REVOLVENTE_CGEM VEN NORM  1 D</v>
          </cell>
        </row>
        <row r="7156">
          <cell r="B7156" t="str">
            <v>14051106020101</v>
          </cell>
          <cell r="C7156" t="str">
            <v>CL PRE JUD TV MEDI. PLZ C/FIJA CGEM     1ND</v>
          </cell>
        </row>
        <row r="7157">
          <cell r="B7157" t="str">
            <v>14051106020201</v>
          </cell>
          <cell r="C7157" t="str">
            <v>LPC PAG TV REEST NO REV VENC CGEM       1ND</v>
          </cell>
        </row>
        <row r="7158">
          <cell r="B7158" t="str">
            <v>14051106020301</v>
          </cell>
          <cell r="C7158" t="str">
            <v>JCC PRE JUD TV MEDI. PLZ C/FIJA CGEM    1ND</v>
          </cell>
        </row>
        <row r="7159">
          <cell r="B7159" t="str">
            <v>14051106020302</v>
          </cell>
          <cell r="C7159" t="str">
            <v>MYP CAP.VENC CAP.TRAB.NORM CGEM         1ND</v>
          </cell>
        </row>
        <row r="7160">
          <cell r="B7160" t="str">
            <v>14051106020303</v>
          </cell>
          <cell r="C7160" t="str">
            <v>MYP CAP.COMPRA AF NORM CGEM             1ND</v>
          </cell>
        </row>
        <row r="7161">
          <cell r="B7161" t="str">
            <v>14051106020304</v>
          </cell>
          <cell r="C7161" t="str">
            <v>MYP CAP.VENC CRED PARAL.NORM CGEM       1ND</v>
          </cell>
        </row>
        <row r="7162">
          <cell r="B7162" t="str">
            <v>14051106020305</v>
          </cell>
          <cell r="C7162" t="str">
            <v>MYP D/P CAP VENC CAP.TRAB CGEM          1ND</v>
          </cell>
        </row>
        <row r="7163">
          <cell r="B7163" t="str">
            <v>14051106020306</v>
          </cell>
          <cell r="C7163" t="str">
            <v>MYP D/P CAP VENC AF INMUEBLE CGEM       1ND</v>
          </cell>
        </row>
        <row r="7164">
          <cell r="B7164" t="str">
            <v>14051106020307</v>
          </cell>
          <cell r="C7164" t="str">
            <v>MYP D/P CAP VENC CRED PARAL.CGEM        1ND</v>
          </cell>
        </row>
        <row r="7165">
          <cell r="B7165" t="str">
            <v>14051106020308</v>
          </cell>
          <cell r="C7165" t="str">
            <v>MYP D/P PAG BPE-BE COMERCIAL VENC CGEM  1ND</v>
          </cell>
        </row>
        <row r="7166">
          <cell r="B7166" t="str">
            <v>14051106020309</v>
          </cell>
          <cell r="C7166" t="str">
            <v>MYP PAG BPE-BE VENC NORM COMERCIAL CGEM 1ND</v>
          </cell>
        </row>
        <row r="7167">
          <cell r="B7167" t="str">
            <v>14051106020310</v>
          </cell>
          <cell r="C7167" t="str">
            <v>JCC MYP PJ CAP TRAB CMED                1ND</v>
          </cell>
        </row>
        <row r="7168">
          <cell r="B7168" t="str">
            <v>14051106020311</v>
          </cell>
          <cell r="C7168" t="str">
            <v>MYP CAP.VENC CAP.TRAB. CIMA NOR/DP CGEM 1ND</v>
          </cell>
        </row>
        <row r="7169">
          <cell r="B7169" t="str">
            <v>14051106020312</v>
          </cell>
          <cell r="C7169" t="str">
            <v>LPC PAG TV RP MED PLAZO NO REV D/P      1ND</v>
          </cell>
        </row>
        <row r="7170">
          <cell r="B7170" t="str">
            <v>14051106020313</v>
          </cell>
          <cell r="C7170" t="str">
            <v>LPC PAGINMOB REPROG-SUSPENSO VENC CGEM N1ND</v>
          </cell>
        </row>
        <row r="7171">
          <cell r="B7171" t="str">
            <v>14051106020314</v>
          </cell>
          <cell r="C7171" t="str">
            <v>LPC PAG TV RP MED PLAZO NO REV D/P      1ND</v>
          </cell>
        </row>
        <row r="7172">
          <cell r="B7172" t="str">
            <v>14051106020315</v>
          </cell>
          <cell r="C7172" t="str">
            <v>LPC PAGINMOB REPROG-SUSPENSO VENC CGEM N1ND</v>
          </cell>
        </row>
        <row r="7173">
          <cell r="B7173" t="str">
            <v>14051106020316</v>
          </cell>
          <cell r="C7173" t="str">
            <v>LPC PAG TV RP MED PLAZO NO REV          1ND</v>
          </cell>
        </row>
        <row r="7174">
          <cell r="B7174" t="str">
            <v>14051106020317</v>
          </cell>
          <cell r="C7174" t="str">
            <v>LPC VENC PAG TV RP NO REVOL CGEM        1ND</v>
          </cell>
        </row>
        <row r="7175">
          <cell r="B7175" t="str">
            <v>14051106020318</v>
          </cell>
          <cell r="C7175" t="str">
            <v>JCC PRE JUD REACTIVA PERU NO REVOLV CGEM1ND</v>
          </cell>
        </row>
        <row r="7176">
          <cell r="B7176" t="str">
            <v>14051106020319</v>
          </cell>
          <cell r="C7176" t="str">
            <v>LPC PAG TV D/P VENC NO REV CGEM         1ND</v>
          </cell>
        </row>
        <row r="7177">
          <cell r="B7177" t="str">
            <v>14051106020320</v>
          </cell>
          <cell r="C7177" t="str">
            <v>LPC PAG TV D/P VENC NO REV CGEM         1ND</v>
          </cell>
        </row>
        <row r="7178">
          <cell r="B7178" t="str">
            <v>14051106020321</v>
          </cell>
          <cell r="C7178" t="str">
            <v>LPC VENC PAG TV RP NO REVOL CGEM        1ND</v>
          </cell>
        </row>
        <row r="7179">
          <cell r="B7179" t="str">
            <v>14051106020322</v>
          </cell>
          <cell r="C7179" t="str">
            <v>LPC REPROG EM COVID-19 FINAN COMEX VENC 1ND</v>
          </cell>
        </row>
        <row r="7180">
          <cell r="B7180" t="str">
            <v>14051106020323</v>
          </cell>
          <cell r="C7180" t="str">
            <v>LPC PAG COMERC REPROG-SUSPENSO VEN CGEM 1ND</v>
          </cell>
        </row>
        <row r="7181">
          <cell r="B7181" t="str">
            <v>14051106020324</v>
          </cell>
          <cell r="C7181" t="str">
            <v>LPC REPROG EM COVID-19 FINAN COMEX VENC 1ND</v>
          </cell>
        </row>
        <row r="7182">
          <cell r="B7182" t="str">
            <v>14051106020325</v>
          </cell>
          <cell r="C7182" t="str">
            <v>LPC PAG COMERC REPROG-SUSPENSO VEN CGEM 1ND</v>
          </cell>
        </row>
        <row r="7183">
          <cell r="B7183" t="str">
            <v>14051106020326</v>
          </cell>
          <cell r="C7183" t="str">
            <v>LPC PAG DERIVADOS D/P VENC NO REV CGEM  1 D</v>
          </cell>
        </row>
        <row r="7184">
          <cell r="B7184" t="str">
            <v>14051106020327</v>
          </cell>
          <cell r="C7184" t="str">
            <v>LPC PAG DERIVADOS VEN NO REVOL CGEM     1 D</v>
          </cell>
        </row>
        <row r="7185">
          <cell r="B7185" t="str">
            <v>14051106020328</v>
          </cell>
          <cell r="C7185" t="str">
            <v>LPC REACTIVA PERU VEN CGEM\DUPE         1 D</v>
          </cell>
        </row>
        <row r="7186">
          <cell r="B7186" t="str">
            <v>14051106020329</v>
          </cell>
          <cell r="C7186" t="str">
            <v>LPC REACTIVA PERU VEN CGEM\NORM         1 D</v>
          </cell>
        </row>
        <row r="7187">
          <cell r="B7187" t="str">
            <v>14051106020332</v>
          </cell>
          <cell r="C7187" t="str">
            <v>LPC 30K REACTIVA CORTO PLAZO REPROG VEN 1 D</v>
          </cell>
        </row>
        <row r="7188">
          <cell r="B7188" t="str">
            <v>14051106020333</v>
          </cell>
          <cell r="C7188" t="str">
            <v>LPC 30K REACTIVA CORTO PLAZO REPROG VEN 1 D</v>
          </cell>
        </row>
        <row r="7189">
          <cell r="B7189" t="str">
            <v>14051106020334</v>
          </cell>
          <cell r="C7189" t="str">
            <v>JCC PRE JUD REACTIVA PERU NO REVOLV CGEM1 D</v>
          </cell>
        </row>
        <row r="7190">
          <cell r="B7190" t="str">
            <v>14051106020335</v>
          </cell>
          <cell r="C7190" t="str">
            <v>JCC PRE JUD FONDO CRECER CGEM           1 D</v>
          </cell>
        </row>
        <row r="7191">
          <cell r="B7191" t="str">
            <v>14051106020336</v>
          </cell>
          <cell r="C7191" t="str">
            <v>JCC PRE JUD FONDO CRECER CGEM           1 D</v>
          </cell>
        </row>
        <row r="7192">
          <cell r="B7192" t="str">
            <v>14051106020337</v>
          </cell>
          <cell r="C7192" t="str">
            <v>JCC PRE JUD REACTIVA PRE-HONRAMIENTO CGE1 D</v>
          </cell>
        </row>
        <row r="7193">
          <cell r="B7193" t="str">
            <v>14051106020338</v>
          </cell>
          <cell r="C7193" t="str">
            <v>JCC PRE JUD REACTIVA PRE-HONRAMIENTO CGE1 D</v>
          </cell>
        </row>
        <row r="7194">
          <cell r="B7194" t="str">
            <v>14051106020339</v>
          </cell>
          <cell r="C7194" t="str">
            <v>JCC PRE JUDIC RP CAP.TRAB VENC NO REVOLV1 D</v>
          </cell>
        </row>
        <row r="7195">
          <cell r="B7195" t="str">
            <v>14051106020340</v>
          </cell>
          <cell r="C7195" t="str">
            <v>LPC REF_FINAN_ESPECIALES_CGEM VEN DP COV1 D</v>
          </cell>
        </row>
        <row r="7196">
          <cell r="B7196" t="str">
            <v>14051106020341</v>
          </cell>
          <cell r="C7196" t="str">
            <v>LPC REF_FINAN_ESPECIALES_CGEM VEN COVID-1 D</v>
          </cell>
        </row>
        <row r="7197">
          <cell r="B7197" t="str">
            <v>14051106020342</v>
          </cell>
          <cell r="C7197" t="str">
            <v>LPC REPROG REACTIVA DIFE  CGEM VEN      1 D</v>
          </cell>
        </row>
        <row r="7198">
          <cell r="B7198" t="str">
            <v>14051106020343</v>
          </cell>
          <cell r="C7198" t="str">
            <v>LPC P.TV REC.COFIDE NO REVOL VEN CGEM NO1 D</v>
          </cell>
        </row>
        <row r="7199">
          <cell r="B7199" t="str">
            <v>14051106020344</v>
          </cell>
          <cell r="C7199" t="str">
            <v>LPC P.TV REC.COFIDE NO REVOL VEN CGEM DU1 D</v>
          </cell>
        </row>
        <row r="7200">
          <cell r="B7200" t="str">
            <v>14051106020345</v>
          </cell>
          <cell r="C7200" t="str">
            <v>LPC REPROG REACTIVA DS.011-2022 CGEM NOR1 D</v>
          </cell>
        </row>
        <row r="7201">
          <cell r="B7201" t="str">
            <v>14051106020346</v>
          </cell>
          <cell r="C7201" t="str">
            <v>LPC REPROG REACTIVA DS.011-2022 CGEM DUP1 D</v>
          </cell>
        </row>
        <row r="7202">
          <cell r="B7202" t="str">
            <v>14051106020347</v>
          </cell>
          <cell r="C7202" t="str">
            <v>MYP REPROG REACTIVA DS.011-2022 CGEM NOR1 D</v>
          </cell>
        </row>
        <row r="7203">
          <cell r="B7203" t="str">
            <v>14051106020348</v>
          </cell>
          <cell r="C7203" t="str">
            <v>MYP REPROG REACTIVA DS.011-2022 CGEM DUP1 D</v>
          </cell>
        </row>
        <row r="7204">
          <cell r="B7204" t="str">
            <v>14051106020349</v>
          </cell>
          <cell r="C7204" t="str">
            <v>LPC RP MED PZ PREST VERDE-SOCIAL CGEM VE1 D</v>
          </cell>
        </row>
        <row r="7205">
          <cell r="B7205" t="str">
            <v>14051106020350</v>
          </cell>
          <cell r="C7205" t="str">
            <v>LPC RP MED PZ PREST VERDE-SOCIAL CGEM VE1 D</v>
          </cell>
        </row>
        <row r="7206">
          <cell r="B7206" t="str">
            <v>14051106020351</v>
          </cell>
          <cell r="C7206" t="str">
            <v>LPC RP MED PZ PREST SOSTENIBLE CGEM VEN 1 D</v>
          </cell>
        </row>
        <row r="7207">
          <cell r="B7207" t="str">
            <v>14051106020352</v>
          </cell>
          <cell r="C7207" t="str">
            <v>LPC RP MED PZ PREST SOSTENIBLE CGEM VEN 1 D</v>
          </cell>
        </row>
        <row r="7208">
          <cell r="B7208" t="str">
            <v>14051106020353</v>
          </cell>
          <cell r="C7208" t="str">
            <v>LPC REPROG REACTIVA 2023 VEN CGEM NORM  1 D</v>
          </cell>
        </row>
        <row r="7209">
          <cell r="B7209" t="str">
            <v>14051106020354</v>
          </cell>
          <cell r="C7209" t="str">
            <v>LPC REPROG REACTIVA 2023 VEN CGEM DUPE  1 D</v>
          </cell>
        </row>
        <row r="7210">
          <cell r="B7210" t="str">
            <v>14051106020355</v>
          </cell>
          <cell r="C7210" t="str">
            <v>MYP CAP. TRAB - PAGARE DIGITAL_CGEM NORM1 D</v>
          </cell>
        </row>
        <row r="7211">
          <cell r="B7211" t="str">
            <v>14051106020356</v>
          </cell>
          <cell r="C7211" t="str">
            <v>MYP CAP. TRAB - PAGARE DIGITAL_CGEM DUPE1 D</v>
          </cell>
        </row>
        <row r="7212">
          <cell r="B7212" t="str">
            <v>14051106020357</v>
          </cell>
          <cell r="C7212" t="str">
            <v>JCC PRE JU REACTIVA PRE-HONRAMIENTO REPR1 D</v>
          </cell>
        </row>
        <row r="7213">
          <cell r="B7213" t="str">
            <v>14051106020358</v>
          </cell>
          <cell r="C7213" t="str">
            <v>JCC PRE JU REACTIVA PRE-HONRAMIENTO REPR1 D</v>
          </cell>
        </row>
        <row r="7214">
          <cell r="B7214" t="str">
            <v>14051106020359</v>
          </cell>
          <cell r="C7214" t="str">
            <v>JCC PRE JU REACTIVA PRE-HONRAMIENTO REPR1 D</v>
          </cell>
        </row>
        <row r="7215">
          <cell r="B7215" t="str">
            <v>14051106020360</v>
          </cell>
          <cell r="C7215" t="str">
            <v>JCC PRE JUD CRECER PRE-HONRAMIENTO CGEM 1 D</v>
          </cell>
        </row>
        <row r="7216">
          <cell r="B7216" t="str">
            <v>14051106020361</v>
          </cell>
          <cell r="C7216" t="str">
            <v>JCC PRE JU REACTIVA PRE-HONRAMIENTO REPR1 D</v>
          </cell>
        </row>
        <row r="7217">
          <cell r="B7217" t="str">
            <v>14051106020362</v>
          </cell>
          <cell r="C7217" t="str">
            <v>JCC PRE JU REACTIVA PRE-HONRAMIENTO REPR1 D</v>
          </cell>
        </row>
        <row r="7218">
          <cell r="B7218" t="str">
            <v>14051106020363</v>
          </cell>
          <cell r="C7218" t="str">
            <v>JCC PRE JU REACTIVA PRE-HONRAMIENTO REPR1 D</v>
          </cell>
        </row>
        <row r="7219">
          <cell r="B7219" t="str">
            <v>14051106020364</v>
          </cell>
          <cell r="C7219" t="str">
            <v>JCC PRE JUD CRECER PRE-HONRAMIENTO CGEM 1 D</v>
          </cell>
        </row>
        <row r="7220">
          <cell r="B7220" t="str">
            <v>14051106020365</v>
          </cell>
          <cell r="C7220" t="str">
            <v>LPC IMPULSO MYPERU CORTO PLAZO VEN NREV 1 D</v>
          </cell>
        </row>
        <row r="7221">
          <cell r="B7221" t="str">
            <v>14051106020366</v>
          </cell>
          <cell r="C7221" t="str">
            <v>LPC IMPULSO MYPERU MEDIANO PLAZO VEN NRE1 D</v>
          </cell>
        </row>
        <row r="7222">
          <cell r="B7222" t="str">
            <v>14051106020367</v>
          </cell>
          <cell r="C7222" t="str">
            <v>JCC MP PRE JUD CAP IMPULSO MYPERU IBK CG1 D</v>
          </cell>
        </row>
        <row r="7223">
          <cell r="B7223" t="str">
            <v>14051106020368</v>
          </cell>
          <cell r="C7223" t="str">
            <v>JCC BC PRE JUD CAP IMPULSO MYPERU PRE-HO1 D</v>
          </cell>
        </row>
        <row r="7224">
          <cell r="B7224" t="str">
            <v>14051106020369</v>
          </cell>
          <cell r="C7224" t="str">
            <v>JCC MP PRE JUD IMPLUSO MYPERU HONRADO IB1 D</v>
          </cell>
        </row>
        <row r="7225">
          <cell r="B7225" t="str">
            <v>14051106020370</v>
          </cell>
          <cell r="C7225" t="str">
            <v>MYP REACTIVA REPROG DS.011-2022 CGEM DUP1 D</v>
          </cell>
        </row>
        <row r="7226">
          <cell r="B7226" t="str">
            <v>14051106020371</v>
          </cell>
          <cell r="C7226" t="str">
            <v>MYP REACTIVA REPROG DS.011-2022  VEN CGE1 D</v>
          </cell>
        </row>
        <row r="7227">
          <cell r="B7227" t="str">
            <v>14051106020372</v>
          </cell>
          <cell r="C7227" t="str">
            <v>MYP IMPULSO MYPERU VEN CGEM DUPE        1 D</v>
          </cell>
        </row>
        <row r="7228">
          <cell r="B7228" t="str">
            <v>14051106020373</v>
          </cell>
          <cell r="C7228" t="str">
            <v>MYP IMPULSO MYPERU VEN CGEM NORM        1 D</v>
          </cell>
        </row>
        <row r="7229">
          <cell r="B7229" t="str">
            <v>14051106020374</v>
          </cell>
          <cell r="C7229" t="str">
            <v>MYP 30K REACTIVA PERU REPROG 2023    DUP1 D</v>
          </cell>
        </row>
        <row r="7230">
          <cell r="B7230" t="str">
            <v>14051106020375</v>
          </cell>
          <cell r="C7230" t="str">
            <v>MYP 30K REACTIVA PERU REPROG 2023    NOR1 D</v>
          </cell>
        </row>
        <row r="7231">
          <cell r="B7231" t="str">
            <v>14051106020376</v>
          </cell>
          <cell r="C7231" t="str">
            <v>LPC PAG PAPERLESS DERIVADOS NO REVOL CGE1ND</v>
          </cell>
        </row>
        <row r="7232">
          <cell r="B7232" t="str">
            <v>14051106020377</v>
          </cell>
          <cell r="C7232" t="str">
            <v>LPC PAG PAPERLESS DERIVADOS NO REVOL CGE1ND</v>
          </cell>
        </row>
        <row r="7233">
          <cell r="B7233" t="str">
            <v>14051106020378</v>
          </cell>
          <cell r="C7233" t="str">
            <v>CCD-BPE CAPITAL DE TRABAJO_CGEM VEN NORM1 D</v>
          </cell>
        </row>
        <row r="7234">
          <cell r="B7234" t="str">
            <v>14051106020379</v>
          </cell>
          <cell r="C7234" t="str">
            <v>CCD-BPE CAPITAL DE TRABAJO_CGEM VEN DUPE1 D</v>
          </cell>
        </row>
        <row r="7235">
          <cell r="B7235" t="str">
            <v>14051106020380</v>
          </cell>
          <cell r="C7235" t="str">
            <v>CCD-BPE LINEA REVOLVENTE_CGEM VEN DUPE  1 D</v>
          </cell>
        </row>
        <row r="7236">
          <cell r="B7236" t="str">
            <v>14051106020381</v>
          </cell>
          <cell r="C7236" t="str">
            <v>JCC CCD PREJUD CAPITAL DE TRABAJO CGEM  1 D</v>
          </cell>
        </row>
        <row r="7237">
          <cell r="B7237" t="str">
            <v>14051106020382</v>
          </cell>
          <cell r="C7237" t="str">
            <v>CCD-BPE CAP DE TRAB REPROG_CGEM VEN NORM1 D</v>
          </cell>
        </row>
        <row r="7238">
          <cell r="B7238" t="str">
            <v>14051106020383</v>
          </cell>
          <cell r="C7238" t="str">
            <v>CCD-BPE CAP DE TRAB REPROG_CGEM VEN DUPE1 D</v>
          </cell>
        </row>
        <row r="7239">
          <cell r="B7239" t="str">
            <v>14051106090101</v>
          </cell>
          <cell r="C7239" t="str">
            <v>LPC PAG TV D/P VENC NO REV CGEM         1ND</v>
          </cell>
        </row>
        <row r="7240">
          <cell r="B7240" t="str">
            <v>14051106090102</v>
          </cell>
          <cell r="C7240" t="str">
            <v>LPC VENC PAG TV RP NO REVOL CGEM        1ND</v>
          </cell>
        </row>
        <row r="7241">
          <cell r="B7241" t="str">
            <v>14051106090103</v>
          </cell>
          <cell r="C7241" t="str">
            <v>LPC PAG TV REF VENC NO REV CGEM         1ND</v>
          </cell>
        </row>
        <row r="7242">
          <cell r="B7242" t="str">
            <v>14051106090104</v>
          </cell>
          <cell r="C7242" t="str">
            <v>LPC PAG TV REEST REV VENC CGEM          1ND</v>
          </cell>
        </row>
        <row r="7243">
          <cell r="B7243" t="str">
            <v>14051106090105</v>
          </cell>
          <cell r="C7243" t="str">
            <v>LPC P.TV REC.COFIDE NO REVOL VEN CGEM   1ND</v>
          </cell>
        </row>
        <row r="7244">
          <cell r="B7244" t="str">
            <v>14051106090106</v>
          </cell>
          <cell r="C7244" t="str">
            <v>LPC PAG TV  COFIDE  VENCIDO - D/P       1ND</v>
          </cell>
        </row>
        <row r="7245">
          <cell r="B7245" t="str">
            <v>14051106090107</v>
          </cell>
          <cell r="C7245" t="str">
            <v>LPC PAG TV RP MED PLAZO NO REV          1ND</v>
          </cell>
        </row>
        <row r="7246">
          <cell r="B7246" t="str">
            <v>14051106090108</v>
          </cell>
          <cell r="C7246" t="str">
            <v>LPC PAG TV RP MED PLAZO NO REV D/P      1ND</v>
          </cell>
        </row>
        <row r="7247">
          <cell r="B7247" t="str">
            <v>14051106090109</v>
          </cell>
          <cell r="C7247" t="str">
            <v>LPC PAG TV INMOBILIARIO NO REV          1ND</v>
          </cell>
        </row>
        <row r="7248">
          <cell r="B7248" t="str">
            <v>14051106090110</v>
          </cell>
          <cell r="C7248" t="str">
            <v>LPC PAG TV INMOBILIARIO NO REV D/P      1ND</v>
          </cell>
        </row>
        <row r="7249">
          <cell r="B7249" t="str">
            <v>14051106090111</v>
          </cell>
          <cell r="C7249" t="str">
            <v>LPC PAG TV NO REVOL EUROS               1ND</v>
          </cell>
        </row>
        <row r="7250">
          <cell r="B7250" t="str">
            <v>14051106090112</v>
          </cell>
          <cell r="C7250" t="str">
            <v>LPC PAG TV NO REVOL EUROS               1ND</v>
          </cell>
        </row>
        <row r="7251">
          <cell r="B7251" t="str">
            <v>14051106090113</v>
          </cell>
          <cell r="C7251" t="str">
            <v>LPC VENC PAG DERIVADOS NO REVOL CGEM    1ND</v>
          </cell>
        </row>
        <row r="7252">
          <cell r="B7252" t="str">
            <v>14051106090114</v>
          </cell>
          <cell r="C7252" t="str">
            <v>LPC PAG DERIVADOS D/P VENC NO REV CGEM  1ND</v>
          </cell>
        </row>
        <row r="7253">
          <cell r="B7253" t="str">
            <v>14051106090115</v>
          </cell>
          <cell r="C7253" t="str">
            <v>LPC PAG REPROGRAMADO NO REV NORM CGEM   1ND</v>
          </cell>
        </row>
        <row r="7254">
          <cell r="B7254" t="str">
            <v>14051106090116</v>
          </cell>
          <cell r="C7254" t="str">
            <v>LPC PAG REPROGRAMADO NO REV D/P CGEM    1ND</v>
          </cell>
        </row>
        <row r="7255">
          <cell r="B7255" t="str">
            <v>14051106090117</v>
          </cell>
          <cell r="C7255" t="str">
            <v>LPC PAG.INMOB. REPROG-SUSPENSO VENC CGEM1ND</v>
          </cell>
        </row>
        <row r="7256">
          <cell r="B7256" t="str">
            <v>14051106090118</v>
          </cell>
          <cell r="C7256" t="str">
            <v>LPC PAG COMERC REPROG-SUSPENSO VENC CGEM1ND</v>
          </cell>
        </row>
        <row r="7257">
          <cell r="B7257" t="str">
            <v>14051106090119</v>
          </cell>
          <cell r="C7257" t="str">
            <v>LPC PAG.INMOB. REPROG-SUSPENSO VENC CGEM1ND</v>
          </cell>
        </row>
        <row r="7258">
          <cell r="B7258" t="str">
            <v>14051106090201</v>
          </cell>
          <cell r="C7258" t="str">
            <v>CL PAG. TV D/P NO REVOLV VEN CGEM       1ND</v>
          </cell>
        </row>
        <row r="7259">
          <cell r="B7259" t="str">
            <v>14051106090202</v>
          </cell>
          <cell r="C7259" t="str">
            <v>CL PAG TV NO REVOLV VEN CGEM            1ND</v>
          </cell>
        </row>
        <row r="7260">
          <cell r="B7260" t="str">
            <v>14051106090203</v>
          </cell>
          <cell r="C7260" t="str">
            <v>CL PAG.TV NEG.INMOBIL NO REVOLV VEN CGEM1ND</v>
          </cell>
        </row>
        <row r="7261">
          <cell r="B7261" t="str">
            <v>14051106090204</v>
          </cell>
          <cell r="C7261" t="str">
            <v>CL P.TV OTROS SUSP.NO REV VEN CGEM      1ND</v>
          </cell>
        </row>
        <row r="7262">
          <cell r="B7262" t="str">
            <v>14051106090205</v>
          </cell>
          <cell r="C7262" t="str">
            <v>CL P.TV REC.COFIDE.  NO REV VEN CGEM    1ND</v>
          </cell>
        </row>
        <row r="7263">
          <cell r="B7263" t="str">
            <v>14051106090206</v>
          </cell>
          <cell r="C7263" t="str">
            <v>CL PAG.DEUD.VTA CARTERA VEN CGEM        1ND</v>
          </cell>
        </row>
        <row r="7264">
          <cell r="B7264" t="str">
            <v>14051106090207</v>
          </cell>
          <cell r="C7264" t="str">
            <v>CL PRE JUDIC RP CAP.TRAB VENC NO REVOLV 1ND</v>
          </cell>
        </row>
        <row r="7265">
          <cell r="B7265" t="str">
            <v>14051106090208</v>
          </cell>
          <cell r="C7265" t="str">
            <v>CL PRE JUD PAG.TV.COFIDE NO REVOL CGEM  1ND</v>
          </cell>
        </row>
        <row r="7266">
          <cell r="B7266" t="str">
            <v>14051106090209</v>
          </cell>
          <cell r="C7266" t="str">
            <v>CL P.REFI DEUD.VTA.CARTE CGEM VENC      1ND</v>
          </cell>
        </row>
        <row r="7267">
          <cell r="B7267" t="str">
            <v>14051106090210</v>
          </cell>
          <cell r="C7267" t="str">
            <v>CL PRE JUDIC CARTA FIANZA VENC CGEM GL701ND</v>
          </cell>
        </row>
        <row r="7268">
          <cell r="B7268" t="str">
            <v>14051106090301</v>
          </cell>
          <cell r="C7268" t="str">
            <v>JCC PRE JUDIC RP CAP.TRAB VENC NO REVOLV1ND</v>
          </cell>
        </row>
        <row r="7269">
          <cell r="B7269" t="str">
            <v>14051106090302</v>
          </cell>
          <cell r="C7269" t="str">
            <v>JCC PRE JUD PAG.TV.COFIDE NO REVOL CGEM 1ND</v>
          </cell>
        </row>
        <row r="7270">
          <cell r="B7270" t="str">
            <v>14051106090311</v>
          </cell>
          <cell r="C7270" t="str">
            <v>LPC REACTIVA PERU VEN CGEM\NORM         1ND</v>
          </cell>
        </row>
        <row r="7271">
          <cell r="B7271" t="str">
            <v>14051106090312</v>
          </cell>
          <cell r="C7271" t="str">
            <v>LPC REACTIVA PERU VEN CGEM\DUPE         1ND</v>
          </cell>
        </row>
        <row r="7272">
          <cell r="B7272" t="str">
            <v>14051106090313</v>
          </cell>
          <cell r="C7272" t="str">
            <v>LPC COFIDE FONDOS PERU VEN CGEM\NORM    1ND</v>
          </cell>
        </row>
        <row r="7273">
          <cell r="B7273" t="str">
            <v>14051106090314</v>
          </cell>
          <cell r="C7273" t="str">
            <v>LPC COFIDE FONDOS PERU VEN CGEM\DUPE    1ND</v>
          </cell>
        </row>
        <row r="7274">
          <cell r="B7274" t="str">
            <v>14051106090315</v>
          </cell>
          <cell r="C7274" t="str">
            <v>LPC COFIDE FONDO CRECER VEN CGEM\NORM   1ND</v>
          </cell>
        </row>
        <row r="7275">
          <cell r="B7275" t="str">
            <v>14051106090316</v>
          </cell>
          <cell r="C7275" t="str">
            <v>LPC COFIDE FONDO CRECER VEN CGEM\DUPE   1ND</v>
          </cell>
        </row>
        <row r="7276">
          <cell r="B7276" t="str">
            <v>14051106090317</v>
          </cell>
          <cell r="C7276" t="str">
            <v>LPC REACTIVA PERU VEN CGEM\NORM         1ND</v>
          </cell>
        </row>
        <row r="7277">
          <cell r="B7277" t="str">
            <v>14051106090318</v>
          </cell>
          <cell r="C7277" t="str">
            <v>LPC REACTIVA PERU VEN CGEM\DUPE         1ND</v>
          </cell>
        </row>
        <row r="7278">
          <cell r="B7278" t="str">
            <v>14051106090319</v>
          </cell>
          <cell r="C7278" t="str">
            <v>LPC PAG. REPROG-SUSPENSO VENC CMED NOR N1ND</v>
          </cell>
        </row>
        <row r="7279">
          <cell r="B7279" t="str">
            <v>14051106090321</v>
          </cell>
          <cell r="C7279" t="str">
            <v>LPC PAG MEDIANO PLAZO COVID-19 CGEM NO.R1ND</v>
          </cell>
        </row>
        <row r="7280">
          <cell r="B7280" t="str">
            <v>14051106090322</v>
          </cell>
          <cell r="C7280" t="str">
            <v>LPC REF_FINAN_ESPECIALES_CGEM COVID-19  1ND</v>
          </cell>
        </row>
        <row r="7281">
          <cell r="B7281" t="str">
            <v>14051106090323</v>
          </cell>
          <cell r="C7281" t="str">
            <v>LPC REF_FINAN_ESPECIALES_CGEM COVID-19  1ND</v>
          </cell>
        </row>
        <row r="7282">
          <cell r="B7282" t="str">
            <v>14051108000100</v>
          </cell>
          <cell r="C7282" t="str">
            <v>CDO VISA EXTRACASH NO REV VEN CGEM      1ND</v>
          </cell>
        </row>
        <row r="7283">
          <cell r="B7283" t="str">
            <v>14051108000101</v>
          </cell>
          <cell r="C7283" t="str">
            <v>CDO MC EXTRACASH NO REV VEN CGEM        1ND</v>
          </cell>
        </row>
        <row r="7284">
          <cell r="B7284" t="str">
            <v>14051108000102</v>
          </cell>
          <cell r="C7284" t="str">
            <v>CDO AMEX EXTRACASH NO REV VEN CGEM      1ND</v>
          </cell>
        </row>
        <row r="7285">
          <cell r="B7285" t="str">
            <v>14051110000101</v>
          </cell>
          <cell r="C7285" t="str">
            <v>PR LETRAS FACTORING VEN CGEM            1ND</v>
          </cell>
        </row>
        <row r="7286">
          <cell r="B7286" t="str">
            <v>14051110000102</v>
          </cell>
          <cell r="C7286" t="str">
            <v>PR FACT EN FACTORING VENC C/P CGEM      1ND</v>
          </cell>
        </row>
        <row r="7287">
          <cell r="B7287" t="str">
            <v>14051110000103</v>
          </cell>
          <cell r="C7287" t="str">
            <v>FCD FACT ELECTR LET/FACT VEN CGEM       1ND</v>
          </cell>
        </row>
        <row r="7288">
          <cell r="B7288" t="str">
            <v>14051110000104</v>
          </cell>
          <cell r="C7288" t="str">
            <v>PR FACT INTERN VENC CGEM                1ND</v>
          </cell>
        </row>
        <row r="7289">
          <cell r="B7289" t="str">
            <v>14051110000105</v>
          </cell>
          <cell r="C7289" t="str">
            <v>PR PERU FACTORING CAP VEN CGEM          1ND</v>
          </cell>
        </row>
        <row r="7290">
          <cell r="B7290" t="str">
            <v>14051110000106</v>
          </cell>
          <cell r="C7290" t="str">
            <v>PR FORFAITING EXPORTACIÃ“N VENC CGEM    1ND</v>
          </cell>
        </row>
        <row r="7291">
          <cell r="B7291" t="str">
            <v>14051110000201</v>
          </cell>
          <cell r="C7291" t="str">
            <v>CL PRE JUDIC FACTORING LET VENC CGEM GL71ND</v>
          </cell>
        </row>
        <row r="7292">
          <cell r="B7292" t="str">
            <v>14051110000202</v>
          </cell>
          <cell r="C7292" t="str">
            <v>CL PRE JUDIC FACTORING FACT VENC CGEM GL1ND</v>
          </cell>
        </row>
        <row r="7293">
          <cell r="B7293" t="str">
            <v>14051110000203</v>
          </cell>
          <cell r="C7293" t="str">
            <v>CL EX FACTORING FORFAITING VEN CGEM     1ND</v>
          </cell>
        </row>
        <row r="7294">
          <cell r="B7294" t="str">
            <v>14051110000204</v>
          </cell>
          <cell r="C7294" t="str">
            <v>CL  CONFIRMING INTER CAPITAL VENC CGEM  1ND</v>
          </cell>
        </row>
        <row r="7295">
          <cell r="B7295" t="str">
            <v>14051110000205</v>
          </cell>
          <cell r="C7295" t="str">
            <v>FACT INTER IMPORT VENC. CGEM DUPE       1ND</v>
          </cell>
        </row>
        <row r="7296">
          <cell r="B7296" t="str">
            <v>14051110000206</v>
          </cell>
          <cell r="C7296" t="str">
            <v>FACT INTER IMPORT  VENC. CGEM NORMAL    1ND</v>
          </cell>
        </row>
        <row r="7297">
          <cell r="B7297" t="str">
            <v>14051110000301</v>
          </cell>
          <cell r="C7297" t="str">
            <v>JCC PRE JUDIC FACTORING LET VENC CGEM GL1ND</v>
          </cell>
        </row>
        <row r="7298">
          <cell r="B7298" t="str">
            <v>14051110000302</v>
          </cell>
          <cell r="C7298" t="str">
            <v>JCC PRE JUDIC FACTORING FACT VENC CGEM G1ND</v>
          </cell>
        </row>
        <row r="7299">
          <cell r="B7299" t="str">
            <v>14051110000401</v>
          </cell>
          <cell r="C7299" t="str">
            <v>FCD FACT ELECTR VENC DUDOSO CGEM        1ND</v>
          </cell>
        </row>
        <row r="7300">
          <cell r="B7300" t="str">
            <v>14051110000402</v>
          </cell>
          <cell r="C7300" t="str">
            <v>FCD FACT INTER EXPO VENC NORM CGEM      1ND</v>
          </cell>
        </row>
        <row r="7301">
          <cell r="B7301" t="str">
            <v>14051110000403</v>
          </cell>
          <cell r="C7301" t="str">
            <v>FCD FORFAITING EXPO VENC NORM  CGEM     1ND</v>
          </cell>
        </row>
        <row r="7302">
          <cell r="B7302" t="str">
            <v>14051110000404</v>
          </cell>
          <cell r="C7302" t="str">
            <v>FCD FACT INTER EXPO VENC DUPE CGEM      1ND</v>
          </cell>
        </row>
        <row r="7303">
          <cell r="B7303" t="str">
            <v>14051110000405</v>
          </cell>
          <cell r="C7303" t="str">
            <v>FCD FORFAITING EXPO VENC DUPE  CGEM     1ND</v>
          </cell>
        </row>
        <row r="7304">
          <cell r="B7304" t="str">
            <v>14051110000406</v>
          </cell>
          <cell r="C7304" t="str">
            <v>FCD CONFIRMING INTERNACIONAL VENC NORM C1ND</v>
          </cell>
        </row>
        <row r="7305">
          <cell r="B7305" t="str">
            <v>14051110000407</v>
          </cell>
          <cell r="C7305" t="str">
            <v>FCD CONFIRMING INTERNACIONAL VENC DUPE C1ND</v>
          </cell>
        </row>
        <row r="7306">
          <cell r="B7306" t="str">
            <v>14051110000408</v>
          </cell>
          <cell r="C7306" t="str">
            <v>FCD FAC. FIS. LET. VENC. CGEM DUPE      1ND</v>
          </cell>
        </row>
        <row r="7307">
          <cell r="B7307" t="str">
            <v>14051110000409</v>
          </cell>
          <cell r="C7307" t="str">
            <v>FCD FAC. FIS. FAC.. VENC. CGEM DUPE     1ND</v>
          </cell>
        </row>
        <row r="7308">
          <cell r="B7308" t="str">
            <v>14051111000101</v>
          </cell>
          <cell r="C7308" t="str">
            <v>LPC LEASING INT DIFERIDOS VENC RP CGEM  1ND</v>
          </cell>
        </row>
        <row r="7309">
          <cell r="B7309" t="str">
            <v>14051111000102</v>
          </cell>
          <cell r="C7309" t="str">
            <v>LPC LEASING SEGURO INT DIF VENC RP CGEM 1ND</v>
          </cell>
        </row>
        <row r="7310">
          <cell r="B7310" t="str">
            <v>14051111000103</v>
          </cell>
          <cell r="C7310" t="str">
            <v>LPC LEASING VENC SEGUROS RP CGEM        1ND</v>
          </cell>
        </row>
        <row r="7311">
          <cell r="B7311" t="str">
            <v>14051111000104</v>
          </cell>
          <cell r="C7311" t="str">
            <v>LPC LEASING VENC IGV RP CGEM            1ND</v>
          </cell>
        </row>
        <row r="7312">
          <cell r="B7312" t="str">
            <v>14051111000105</v>
          </cell>
          <cell r="C7312" t="str">
            <v>LPC LEASING DEL BIEN VENC RP CGEM       1ND</v>
          </cell>
        </row>
        <row r="7313">
          <cell r="B7313" t="str">
            <v>14051111000106</v>
          </cell>
          <cell r="C7313" t="str">
            <v>LPC LEASING RESUELTO VENCIDO CGEM       1ND</v>
          </cell>
        </row>
        <row r="7314">
          <cell r="B7314" t="str">
            <v>14051111000107</v>
          </cell>
          <cell r="C7314" t="str">
            <v>LPC PSG LEASING MYPÂ  CGEM              1ND</v>
          </cell>
        </row>
        <row r="7315">
          <cell r="B7315" t="str">
            <v>14051111000108</v>
          </cell>
          <cell r="C7315" t="str">
            <v>LPC PIG LEASING IGV MYP CGEM            1ND</v>
          </cell>
        </row>
        <row r="7316">
          <cell r="B7316" t="str">
            <v>14051111000109</v>
          </cell>
          <cell r="C7316" t="str">
            <v>LPC PRI LEASING MYP CGEM                1ND</v>
          </cell>
        </row>
        <row r="7317">
          <cell r="B7317" t="str">
            <v>14051111000110</v>
          </cell>
          <cell r="C7317" t="str">
            <v>LPC PSG MYP ISG CIA SEG LS D/P CGEM     1ND</v>
          </cell>
        </row>
        <row r="7318">
          <cell r="B7318" t="str">
            <v>14051111000111</v>
          </cell>
          <cell r="C7318" t="str">
            <v>LPC PIG LEASING IGV MYP D/P CGEM        1ND</v>
          </cell>
        </row>
        <row r="7319">
          <cell r="B7319" t="str">
            <v>14051111000112</v>
          </cell>
          <cell r="C7319" t="str">
            <v>LPC PRI LEASING MYP D/P CGEM            1ND</v>
          </cell>
        </row>
        <row r="7320">
          <cell r="B7320" t="str">
            <v>14051111000201</v>
          </cell>
          <cell r="C7320" t="str">
            <v>LPC LEAS D/P INT DIF VENC RP CGEM       1ND</v>
          </cell>
        </row>
        <row r="7321">
          <cell r="B7321" t="str">
            <v>14051111000202</v>
          </cell>
          <cell r="C7321" t="str">
            <v>LPC LEAS D/P SEG INT DIF VENC RP CGEM   1ND</v>
          </cell>
        </row>
        <row r="7322">
          <cell r="B7322" t="str">
            <v>14051111000203</v>
          </cell>
          <cell r="C7322" t="str">
            <v>LPC LEASING VENC D/P SEG RP CGEM        1ND</v>
          </cell>
        </row>
        <row r="7323">
          <cell r="B7323" t="str">
            <v>14051111000204</v>
          </cell>
          <cell r="C7323" t="str">
            <v>LPC LEAS DEL BIEN VENC D/P RP CGEM      1ND</v>
          </cell>
        </row>
        <row r="7324">
          <cell r="B7324" t="str">
            <v>14051111000205</v>
          </cell>
          <cell r="C7324" t="str">
            <v>LPC LEASING VENC D/P IGV RP CGEM        1ND</v>
          </cell>
        </row>
        <row r="7325">
          <cell r="B7325" t="str">
            <v>14051111000301</v>
          </cell>
          <cell r="C7325" t="str">
            <v>LPC LSG BIEN ADJ.VEN DIF RP CGEM        1ND</v>
          </cell>
        </row>
        <row r="7326">
          <cell r="B7326" t="str">
            <v>14051111000302</v>
          </cell>
          <cell r="C7326" t="str">
            <v>LPC LSG SEG. ADJ. DIF. VEN RP CGEM      1ND</v>
          </cell>
        </row>
        <row r="7327">
          <cell r="B7327" t="str">
            <v>14051111000303</v>
          </cell>
          <cell r="C7327" t="str">
            <v>LPC LSG ADJ. CIA SEG VEN RP CGEM        1ND</v>
          </cell>
        </row>
        <row r="7328">
          <cell r="B7328" t="str">
            <v>14051111000304</v>
          </cell>
          <cell r="C7328" t="str">
            <v>LPC LSG ADJ. PRIN IGV VEN RP CGEM       1ND</v>
          </cell>
        </row>
        <row r="7329">
          <cell r="B7329" t="str">
            <v>14051111000305</v>
          </cell>
          <cell r="C7329" t="str">
            <v>LPC LSG DEL BIEN VEN ADJ.RP CGEM        1ND</v>
          </cell>
        </row>
        <row r="7330">
          <cell r="B7330" t="str">
            <v>14051111000306</v>
          </cell>
          <cell r="C7330" t="str">
            <v>LPC LSG BIEN ADJ.VEN DIF D/P CGEM       1ND</v>
          </cell>
        </row>
        <row r="7331">
          <cell r="B7331" t="str">
            <v>14051111000307</v>
          </cell>
          <cell r="C7331" t="str">
            <v>LPC  LSG SEG DIF VEN ADJ. D/P CGEM      1ND</v>
          </cell>
        </row>
        <row r="7332">
          <cell r="B7332" t="str">
            <v>14051111000308</v>
          </cell>
          <cell r="C7332" t="str">
            <v>LPC LSG CIA SEG VEN D/P ADJ. CGEM       1ND</v>
          </cell>
        </row>
        <row r="7333">
          <cell r="B7333" t="str">
            <v>14051111000309</v>
          </cell>
          <cell r="C7333" t="str">
            <v>LPC LSG BIEN VEN D/P ADJ. CGEM          1ND</v>
          </cell>
        </row>
        <row r="7334">
          <cell r="B7334" t="str">
            <v>14051111000310</v>
          </cell>
          <cell r="C7334" t="str">
            <v>LPC LSG D/P IGV VEN D/P ADJUD.CGEM      1ND</v>
          </cell>
        </row>
        <row r="7335">
          <cell r="B7335" t="str">
            <v>14051111000311</v>
          </cell>
          <cell r="C7335" t="str">
            <v>LPC CAP DIF.LS  BIEN OTROS SUSP RP CGEM 1ND</v>
          </cell>
        </row>
        <row r="7336">
          <cell r="B7336" t="str">
            <v>14051111000312</v>
          </cell>
          <cell r="C7336" t="str">
            <v>LPC CAP DIF SEG.LS OTROS SUSP RP CGEM   1ND</v>
          </cell>
        </row>
        <row r="7337">
          <cell r="B7337" t="str">
            <v>14051111000313</v>
          </cell>
          <cell r="C7337" t="str">
            <v>LPC CIA SEG CAP VIG OTROS SUSP RP CGEM  1ND</v>
          </cell>
        </row>
        <row r="7338">
          <cell r="B7338" t="str">
            <v>14051111000314</v>
          </cell>
          <cell r="C7338" t="str">
            <v>LPC LS DEL BIEN OTROS SUSP RP CGEM      1ND</v>
          </cell>
        </row>
        <row r="7339">
          <cell r="B7339" t="str">
            <v>14051111000315</v>
          </cell>
          <cell r="C7339" t="str">
            <v>LPC CAP LS IGV OTROS SUSP RP CGEM       1ND</v>
          </cell>
        </row>
        <row r="7340">
          <cell r="B7340" t="str">
            <v>14051111000316</v>
          </cell>
          <cell r="C7340" t="str">
            <v>LPC CAP DIF.SEG.LS OTROS SUSP RP CGEM   1ND</v>
          </cell>
        </row>
        <row r="7341">
          <cell r="B7341" t="str">
            <v>14051111000317</v>
          </cell>
          <cell r="C7341" t="str">
            <v>LPC CIA SEG CAP VEN OTROS SUSP RP CGEM  1ND</v>
          </cell>
        </row>
        <row r="7342">
          <cell r="B7342" t="str">
            <v>14051111000318</v>
          </cell>
          <cell r="C7342" t="str">
            <v>LPC LS DEL BIEN OTROS SUSP RP CGEM      1ND</v>
          </cell>
        </row>
        <row r="7343">
          <cell r="B7343" t="str">
            <v>14051111000319</v>
          </cell>
          <cell r="C7343" t="str">
            <v>LPC CAP LS IGV OTROS SUSP RP CGEM       1ND</v>
          </cell>
        </row>
        <row r="7344">
          <cell r="B7344" t="str">
            <v>14051111000501</v>
          </cell>
          <cell r="C7344" t="str">
            <v>LPC LEASING COFIDE INT DIF VENC PDL CGEM1ND</v>
          </cell>
        </row>
        <row r="7345">
          <cell r="B7345" t="str">
            <v>14051111000502</v>
          </cell>
          <cell r="C7345" t="str">
            <v>LPC LEASING COFIDE SEGURO INT DIF VENC P1ND</v>
          </cell>
        </row>
        <row r="7346">
          <cell r="B7346" t="str">
            <v>14051111000503</v>
          </cell>
          <cell r="C7346" t="str">
            <v>LPC LEASING COFIDE VENC SEGUROS PSG CGEM1ND</v>
          </cell>
        </row>
        <row r="7347">
          <cell r="B7347" t="str">
            <v>14051111000504</v>
          </cell>
          <cell r="C7347" t="str">
            <v>LPC LEASING COFIDE VENC IGV PIG CGEM    1ND</v>
          </cell>
        </row>
        <row r="7348">
          <cell r="B7348" t="str">
            <v>14051111000505</v>
          </cell>
          <cell r="C7348" t="str">
            <v>LPC LEASING COFIDE VENC PRI CGEM        1ND</v>
          </cell>
        </row>
        <row r="7349">
          <cell r="B7349" t="str">
            <v>14051111000506</v>
          </cell>
          <cell r="C7349" t="str">
            <v>LPC LS COFIDE D/P INT DIF VENC PDL CGEM 1ND</v>
          </cell>
        </row>
        <row r="7350">
          <cell r="B7350" t="str">
            <v>14051111000507</v>
          </cell>
          <cell r="C7350" t="str">
            <v>LPC LS COFIDE D/P SEG INT DIF VENC PDS C1ND</v>
          </cell>
        </row>
        <row r="7351">
          <cell r="B7351" t="str">
            <v>14051111000508</v>
          </cell>
          <cell r="C7351" t="str">
            <v>LPC LEASING COFIDE VENC D/P SEG PSG CGEM1ND</v>
          </cell>
        </row>
        <row r="7352">
          <cell r="B7352" t="str">
            <v>14051111000509</v>
          </cell>
          <cell r="C7352" t="str">
            <v>LPC LEASING COFIDE VENC D/P IGV PIG CGEM1ND</v>
          </cell>
        </row>
        <row r="7353">
          <cell r="B7353" t="str">
            <v>14051111000510</v>
          </cell>
          <cell r="C7353" t="str">
            <v>LPC LEASING COFIDE VENC D/P PRI CGEM    1ND</v>
          </cell>
        </row>
        <row r="7354">
          <cell r="B7354" t="str">
            <v>14051111000601</v>
          </cell>
          <cell r="C7354" t="str">
            <v>LPC LEASING DERIVADO DEL BIEN VENC D/P R1ND</v>
          </cell>
        </row>
        <row r="7355">
          <cell r="B7355" t="str">
            <v>14051111000602</v>
          </cell>
          <cell r="C7355" t="str">
            <v>LPC LEASING DERIVADO DEL BIEN VENC RP CG1ND</v>
          </cell>
        </row>
        <row r="7356">
          <cell r="B7356" t="str">
            <v>14051111000603</v>
          </cell>
          <cell r="C7356" t="str">
            <v>LPC LEASING DERIVADO VENC D/P IGV RP CGE1ND</v>
          </cell>
        </row>
        <row r="7357">
          <cell r="B7357" t="str">
            <v>14051111000604</v>
          </cell>
          <cell r="C7357" t="str">
            <v>LPC LEASING DERIVADO VENC D/P SEG RP CGE1ND</v>
          </cell>
        </row>
        <row r="7358">
          <cell r="B7358" t="str">
            <v>14051111000605</v>
          </cell>
          <cell r="C7358" t="str">
            <v>LPC LEASING DERIVADO VENC IGV RP CGEM   1ND</v>
          </cell>
        </row>
        <row r="7359">
          <cell r="B7359" t="str">
            <v>14051111000606</v>
          </cell>
          <cell r="C7359" t="str">
            <v>LPC LEASING DERIVADO VENC SEGUROS RP CGE1ND</v>
          </cell>
        </row>
        <row r="7360">
          <cell r="B7360" t="str">
            <v>14051112000101</v>
          </cell>
          <cell r="C7360" t="str">
            <v>LPC LEASEBACK INT DIF VENC RP CGEM      1ND</v>
          </cell>
        </row>
        <row r="7361">
          <cell r="B7361" t="str">
            <v>14051112000102</v>
          </cell>
          <cell r="C7361" t="str">
            <v>LPC LEASEBACK SEGURO INT DIF VENC RP CGE1ND</v>
          </cell>
        </row>
        <row r="7362">
          <cell r="B7362" t="str">
            <v>14051112000103</v>
          </cell>
          <cell r="C7362" t="str">
            <v>LPC LEASEBACK VENC SEGUROS RP CGEM      1ND</v>
          </cell>
        </row>
        <row r="7363">
          <cell r="B7363" t="str">
            <v>14051112000104</v>
          </cell>
          <cell r="C7363" t="str">
            <v>LPC LEASEBACK IGV VENCIDO RP LPC        1ND</v>
          </cell>
        </row>
        <row r="7364">
          <cell r="B7364" t="str">
            <v>14051112000105</v>
          </cell>
          <cell r="C7364" t="str">
            <v>LPC LEASEBACK DEL BIEN VENC RP CGEM     1ND</v>
          </cell>
        </row>
        <row r="7365">
          <cell r="B7365" t="str">
            <v>14051112000106</v>
          </cell>
          <cell r="C7365" t="str">
            <v>LPC LSBACK D/P INT DIF VENC RP CGEM     1ND</v>
          </cell>
        </row>
        <row r="7366">
          <cell r="B7366" t="str">
            <v>14051112000107</v>
          </cell>
          <cell r="C7366" t="str">
            <v>LPC LSBACK D/P SEG INT DIFERID VENC RP C1ND</v>
          </cell>
        </row>
        <row r="7367">
          <cell r="B7367" t="str">
            <v>14051112000108</v>
          </cell>
          <cell r="C7367" t="str">
            <v>LPC LSBACK VENC D/P SEG RP CGEM         1ND</v>
          </cell>
        </row>
        <row r="7368">
          <cell r="B7368" t="str">
            <v>14051112000109</v>
          </cell>
          <cell r="C7368" t="str">
            <v>LPC LSBACK DEL BIEN VENC D/P RP CGEM    1ND</v>
          </cell>
        </row>
        <row r="7369">
          <cell r="B7369" t="str">
            <v>14051112000110</v>
          </cell>
          <cell r="C7369" t="str">
            <v>LPC LSBACK VENC D/P IGV RP CGEM         1ND</v>
          </cell>
        </row>
        <row r="7370">
          <cell r="B7370" t="str">
            <v>14051112000111</v>
          </cell>
          <cell r="C7370" t="str">
            <v>LPC LEASEBACK COFIDE  INT DIF VEN PDL CG1ND</v>
          </cell>
        </row>
        <row r="7371">
          <cell r="B7371" t="str">
            <v>14051112000112</v>
          </cell>
          <cell r="C7371" t="str">
            <v>LPC LEASEBACK COFIDE  SEG INT DIF VEN PD1ND</v>
          </cell>
        </row>
        <row r="7372">
          <cell r="B7372" t="str">
            <v>14051112000113</v>
          </cell>
          <cell r="C7372" t="str">
            <v>LPC LEASEBACK COFIDE SEGUROS VEN PSG CGE1ND</v>
          </cell>
        </row>
        <row r="7373">
          <cell r="B7373" t="str">
            <v>14051112000114</v>
          </cell>
          <cell r="C7373" t="str">
            <v>LPC LEASEBACK COFIDE IGV VIG PIG CGEM   1ND</v>
          </cell>
        </row>
        <row r="7374">
          <cell r="B7374" t="str">
            <v>14051112000115</v>
          </cell>
          <cell r="C7374" t="str">
            <v>LPC CAPITAL LEASEBACK COFIDE VEN PRI CGE1ND</v>
          </cell>
        </row>
        <row r="7375">
          <cell r="B7375" t="str">
            <v>14051112000116</v>
          </cell>
          <cell r="C7375" t="str">
            <v>LPC LEASEBACK COFIDE D/P INT DIF VEN PDL1ND</v>
          </cell>
        </row>
        <row r="7376">
          <cell r="B7376" t="str">
            <v>14051112000117</v>
          </cell>
          <cell r="C7376" t="str">
            <v>LPC LEASEBACK COFIDE D/P SEG INT DIF VEN1ND</v>
          </cell>
        </row>
        <row r="7377">
          <cell r="B7377" t="str">
            <v>14051112000118</v>
          </cell>
          <cell r="C7377" t="str">
            <v>LPC LEASEBACK COFIDE D/P SEGUROS VEN PSG1ND</v>
          </cell>
        </row>
        <row r="7378">
          <cell r="B7378" t="str">
            <v>14051112000119</v>
          </cell>
          <cell r="C7378" t="str">
            <v>LPC CAPITAL LEASEBACK COFIDE D/P VEN PRI1ND</v>
          </cell>
        </row>
        <row r="7379">
          <cell r="B7379" t="str">
            <v>14051112000120</v>
          </cell>
          <cell r="C7379" t="str">
            <v>LPC LEASEBACK COFIDE D/P IGV VIG PIG CGE1ND</v>
          </cell>
        </row>
        <row r="7380">
          <cell r="B7380" t="str">
            <v>14051112000201</v>
          </cell>
          <cell r="C7380" t="str">
            <v>LPC CAP DIF.LSB  BIEN OTROS SUSP CGEM   1ND</v>
          </cell>
        </row>
        <row r="7381">
          <cell r="B7381" t="str">
            <v>14051112000202</v>
          </cell>
          <cell r="C7381" t="str">
            <v>LPC CAP DIF.SEG.LSB OTROS SUSP CGEM     1ND</v>
          </cell>
        </row>
        <row r="7382">
          <cell r="B7382" t="str">
            <v>14051112000203</v>
          </cell>
          <cell r="C7382" t="str">
            <v>LPC CIA SEG CAP VEN OTROS SUSP CGEM     1ND</v>
          </cell>
        </row>
        <row r="7383">
          <cell r="B7383" t="str">
            <v>14051112000204</v>
          </cell>
          <cell r="C7383" t="str">
            <v>LPC LSB DEL BIEN OTROS SUSP CGEM        1ND</v>
          </cell>
        </row>
        <row r="7384">
          <cell r="B7384" t="str">
            <v>14051112000205</v>
          </cell>
          <cell r="C7384" t="str">
            <v>LPC CAP LSB IGV OTROS SUSPENSO CGEM     1ND</v>
          </cell>
        </row>
        <row r="7385">
          <cell r="B7385" t="str">
            <v>14051112000501</v>
          </cell>
          <cell r="C7385" t="str">
            <v>LPC LEASEBACK INT DIFERIDOS VENC        1ND</v>
          </cell>
        </row>
        <row r="7386">
          <cell r="B7386" t="str">
            <v>14051112000502</v>
          </cell>
          <cell r="C7386" t="str">
            <v>LPC INT LEASEBACK SEG VENC REFIN CGEM   1ND</v>
          </cell>
        </row>
        <row r="7387">
          <cell r="B7387" t="str">
            <v>14051112000503</v>
          </cell>
          <cell r="C7387" t="str">
            <v>LPC LEASEBACK VENC REF SEG REFIN CGEM   1ND</v>
          </cell>
        </row>
        <row r="7388">
          <cell r="B7388" t="str">
            <v>14051112000504</v>
          </cell>
          <cell r="C7388" t="str">
            <v>LPC LEASEBACK VENC REF IGV  REFIN  CGEM 1ND</v>
          </cell>
        </row>
        <row r="7389">
          <cell r="B7389" t="str">
            <v>14051112000505</v>
          </cell>
          <cell r="C7389" t="str">
            <v>LPC LEASEBACK  BIEN VENC REFIN CGEM     1ND</v>
          </cell>
        </row>
        <row r="7390">
          <cell r="B7390" t="str">
            <v>14051119060102</v>
          </cell>
          <cell r="C7390" t="str">
            <v>CL PAG.REF.TV VENC CGEM                 1ND</v>
          </cell>
        </row>
        <row r="7391">
          <cell r="B7391" t="str">
            <v>14051119060201</v>
          </cell>
          <cell r="C7391" t="str">
            <v>PAG TV REFINANCIADO VENC - LPC CGEM     1ND</v>
          </cell>
        </row>
        <row r="7392">
          <cell r="B7392" t="str">
            <v>14051119060301</v>
          </cell>
          <cell r="C7392" t="str">
            <v>MYP PAG.TV REFIN. C/FIJA VEN CGEM       1ND</v>
          </cell>
        </row>
        <row r="7393">
          <cell r="B7393" t="str">
            <v>14051119060302</v>
          </cell>
          <cell r="C7393" t="str">
            <v>LPC PAG REF COVID_19 VENC - CGEM        1ND</v>
          </cell>
        </row>
        <row r="7394">
          <cell r="B7394" t="str">
            <v>14051119060303</v>
          </cell>
          <cell r="C7394" t="str">
            <v>LPC REFINANCIADO REACTIVA CGEM VEN      1 D</v>
          </cell>
        </row>
        <row r="7395">
          <cell r="B7395" t="str">
            <v>14051119060304</v>
          </cell>
          <cell r="C7395" t="str">
            <v>LPC REFINANCIADO CRECER IBK POST HONR CG1ND</v>
          </cell>
        </row>
        <row r="7396">
          <cell r="B7396" t="str">
            <v>14051119060305</v>
          </cell>
          <cell r="C7396" t="str">
            <v>CCD-BPE REFINANCIADO_CGEM VEN           1 D</v>
          </cell>
        </row>
        <row r="7397">
          <cell r="B7397" t="str">
            <v>14051119110101</v>
          </cell>
          <cell r="C7397" t="str">
            <v>LPC REF LEAS DEL BIEN VENC REF RP CGEM  1ND</v>
          </cell>
        </row>
        <row r="7398">
          <cell r="B7398" t="str">
            <v>14051119110102</v>
          </cell>
          <cell r="C7398" t="str">
            <v>LPC REF LEAS VENC REF SEGUROS RP CGEM   1ND</v>
          </cell>
        </row>
        <row r="7399">
          <cell r="B7399" t="str">
            <v>14051119110103</v>
          </cell>
          <cell r="C7399" t="str">
            <v>LPC REF LEAS VENC REF IGV RP CGEM       1ND</v>
          </cell>
        </row>
        <row r="7400">
          <cell r="B7400" t="str">
            <v>14051119110104</v>
          </cell>
          <cell r="C7400" t="str">
            <v>LPC REF LEAS INT DIFERIDOS VENC REF RP C1ND</v>
          </cell>
        </row>
        <row r="7401">
          <cell r="B7401" t="str">
            <v>14051119110105</v>
          </cell>
          <cell r="C7401" t="str">
            <v>LPC REF LEAS SEG INT DIF VENC REF RP CGE1ND</v>
          </cell>
        </row>
        <row r="7402">
          <cell r="B7402" t="str">
            <v>14051119110106</v>
          </cell>
          <cell r="C7402" t="str">
            <v>LPC REF LS COFIGAS VEN PRI CGEM         1ND</v>
          </cell>
        </row>
        <row r="7403">
          <cell r="B7403" t="str">
            <v>14051119110107</v>
          </cell>
          <cell r="C7403" t="str">
            <v>LPC REF LS COFIGAS CAP INT DIF VEN PDL C1ND</v>
          </cell>
        </row>
        <row r="7404">
          <cell r="B7404" t="str">
            <v>14051119110108</v>
          </cell>
          <cell r="C7404" t="str">
            <v>LPC REF LS COFIGAS SEG BIEN VEN PDS CGEM1ND</v>
          </cell>
        </row>
        <row r="7405">
          <cell r="B7405" t="str">
            <v>14051119110109</v>
          </cell>
          <cell r="C7405" t="str">
            <v>LPC REF LS COFIGAS PRIMA SEG VEN PSG CGE1ND</v>
          </cell>
        </row>
        <row r="7406">
          <cell r="B7406" t="str">
            <v>14051119110110</v>
          </cell>
          <cell r="C7406" t="str">
            <v>LPC REF LS COFIGAS IGV VEN PIG CGEM     1ND</v>
          </cell>
        </row>
        <row r="7407">
          <cell r="B7407" t="str">
            <v>14051119110111</v>
          </cell>
          <cell r="C7407" t="str">
            <v>LPC REF LEAS BPE DEL BIEN VENC REF RP CG1ND</v>
          </cell>
        </row>
        <row r="7408">
          <cell r="B7408" t="str">
            <v>14051119110112</v>
          </cell>
          <cell r="C7408" t="str">
            <v>LPC REF LEAS BPE VENC REF SEGUROS RP CGE1ND</v>
          </cell>
        </row>
        <row r="7409">
          <cell r="B7409" t="str">
            <v>14051119110113</v>
          </cell>
          <cell r="C7409" t="str">
            <v>LPC REF LEAS BPE VENC REF IGV RP CGEM   1ND</v>
          </cell>
        </row>
        <row r="7410">
          <cell r="B7410" t="str">
            <v>14051119110114</v>
          </cell>
          <cell r="C7410" t="str">
            <v>LPC REF LEAS BPE INT DIFERIDOS VENC REF 1ND</v>
          </cell>
        </row>
        <row r="7411">
          <cell r="B7411" t="str">
            <v>14051119110115</v>
          </cell>
          <cell r="C7411" t="str">
            <v>LPC REF LEAS BPE SEG INT DIF VENC REF RP1ND</v>
          </cell>
        </row>
        <row r="7412">
          <cell r="B7412" t="str">
            <v>14051119240101</v>
          </cell>
          <cell r="C7412" t="str">
            <v>CL PRE JUD PAG RFA SUBORD VENC CGEM     1ND</v>
          </cell>
        </row>
        <row r="7413">
          <cell r="B7413" t="str">
            <v>14051119240102</v>
          </cell>
          <cell r="C7413" t="str">
            <v>CL PRE JUD PAG RFA FINANC VENC CGEM     1ND</v>
          </cell>
        </row>
        <row r="7414">
          <cell r="B7414" t="str">
            <v>14051119240103</v>
          </cell>
          <cell r="C7414" t="str">
            <v>CL PAG.REF.RFA SUBOR CGEM VENC          1ND</v>
          </cell>
        </row>
        <row r="7415">
          <cell r="B7415" t="str">
            <v>14051119240104</v>
          </cell>
          <cell r="C7415" t="str">
            <v>CL P.REF.RFA FINANC CGEM VENC           1ND</v>
          </cell>
        </row>
        <row r="7416">
          <cell r="B7416" t="str">
            <v>14051119240201</v>
          </cell>
          <cell r="C7416" t="str">
            <v>JCC PRE JUD PAG RFA FINANC VENC CGEM    1ND</v>
          </cell>
        </row>
        <row r="7417">
          <cell r="B7417" t="str">
            <v>14051119240202</v>
          </cell>
          <cell r="C7417" t="str">
            <v>JCC PRE JUD PAG RFA SUBORD VENC CGEM    1ND</v>
          </cell>
        </row>
        <row r="7418">
          <cell r="B7418" t="str">
            <v>14051121000101</v>
          </cell>
          <cell r="C7418" t="str">
            <v>CL CXL CC ACEPTAC BKT CL VEN CGEM       1ND</v>
          </cell>
        </row>
        <row r="7419">
          <cell r="B7419" t="str">
            <v>14051121000102</v>
          </cell>
          <cell r="C7419" t="str">
            <v>CL CXL AVAL X ACEPTAC VENC CGEM         1ND</v>
          </cell>
        </row>
        <row r="7420">
          <cell r="B7420" t="str">
            <v>14051121000103</v>
          </cell>
          <cell r="C7420" t="str">
            <v>CL CXL CRED. X LIQUI.CC AVAL VEN CGEM   1ND</v>
          </cell>
        </row>
        <row r="7421">
          <cell r="B7421" t="str">
            <v>14051121000104</v>
          </cell>
          <cell r="C7421" t="str">
            <v>CL CXL.CAR CRED VISTA VEN CGEM          1ND</v>
          </cell>
        </row>
        <row r="7422">
          <cell r="B7422" t="str">
            <v>14051121000105</v>
          </cell>
          <cell r="C7422" t="str">
            <v>CL CXL.STAND BY VEN CGEM                1ND</v>
          </cell>
        </row>
        <row r="7423">
          <cell r="B7423" t="str">
            <v>14051121000106</v>
          </cell>
          <cell r="C7423" t="str">
            <v>CL CXL.COBRA AVALA VEN CGEM             1ND</v>
          </cell>
        </row>
        <row r="7424">
          <cell r="B7424" t="str">
            <v>14051121000201</v>
          </cell>
          <cell r="C7424" t="str">
            <v>CL CRED.POR LIQ. CARTA FIANZA VEN CGEM  1ND</v>
          </cell>
        </row>
        <row r="7425">
          <cell r="B7425" t="str">
            <v>14051121000202</v>
          </cell>
          <cell r="C7425" t="str">
            <v>JCC COB.PRE.JUD. CARTA FIANZA CGEM      1ND</v>
          </cell>
        </row>
        <row r="7426">
          <cell r="B7426" t="str">
            <v>14051122060104</v>
          </cell>
          <cell r="C7426" t="str">
            <v>CL PAG.REF.TV VENC CGEM                 1ND</v>
          </cell>
        </row>
        <row r="7427">
          <cell r="B7427" t="str">
            <v>14051122060201</v>
          </cell>
          <cell r="C7427" t="str">
            <v>LPC PAG TV REESTRUC COFIDE VENC CGEM    1ND</v>
          </cell>
        </row>
        <row r="7428">
          <cell r="B7428" t="str">
            <v>14051122110101</v>
          </cell>
          <cell r="C7428" t="str">
            <v>LPC LEAS INT DIF VENC REESTR RP CGEM    1ND</v>
          </cell>
        </row>
        <row r="7429">
          <cell r="B7429" t="str">
            <v>14051122110102</v>
          </cell>
          <cell r="C7429" t="str">
            <v>LPC LEAS SEG INT DIF VENC REESTR RP CGEM1ND</v>
          </cell>
        </row>
        <row r="7430">
          <cell r="B7430" t="str">
            <v>14051122110103</v>
          </cell>
          <cell r="C7430" t="str">
            <v>LPC LEAS VENC REF SEG RP REESTR CGEM    1ND</v>
          </cell>
        </row>
        <row r="7431">
          <cell r="B7431" t="str">
            <v>14051122110104</v>
          </cell>
          <cell r="C7431" t="str">
            <v>LPC LEAS DEL BIEN VENC REESTR RP CGEM   1ND</v>
          </cell>
        </row>
        <row r="7432">
          <cell r="B7432" t="str">
            <v>14051122110105</v>
          </cell>
          <cell r="C7432" t="str">
            <v>LPC LEAS VENC REF IGV RP REESTR  CGEM   1ND</v>
          </cell>
        </row>
        <row r="7433">
          <cell r="B7433" t="str">
            <v>14051126000101</v>
          </cell>
          <cell r="C7433" t="str">
            <v>$CL PAG IMPORT.D/P VENC CGEM            1ND</v>
          </cell>
        </row>
        <row r="7434">
          <cell r="B7434" t="str">
            <v>14051126000102</v>
          </cell>
          <cell r="C7434" t="str">
            <v>LPC PAG.VENC EX PRE EMB D/P CGEM        1ND</v>
          </cell>
        </row>
        <row r="7435">
          <cell r="B7435" t="str">
            <v>14051126000103</v>
          </cell>
          <cell r="C7435" t="str">
            <v>LPC PAG EXP POST EMB RP D/P CGEM        1ND</v>
          </cell>
        </row>
        <row r="7436">
          <cell r="B7436" t="str">
            <v>14051126000104</v>
          </cell>
          <cell r="C7436" t="str">
            <v>$CL PAG EXP PRE EM.RP VEN CGEM          1ND</v>
          </cell>
        </row>
        <row r="7437">
          <cell r="B7437" t="str">
            <v>14051126000105</v>
          </cell>
          <cell r="C7437" t="str">
            <v>LPC PAG EXP POST EMB RP CESF VENC       1ND</v>
          </cell>
        </row>
        <row r="7438">
          <cell r="B7438" t="str">
            <v>14051126000106</v>
          </cell>
          <cell r="C7438" t="str">
            <v>CL PAG IMPOR VENC CGEM                  1ND</v>
          </cell>
        </row>
        <row r="7439">
          <cell r="B7439" t="str">
            <v>14051126000107</v>
          </cell>
          <cell r="C7439" t="str">
            <v>LPC WORK CAP. EX PRE EMB.VEN CGEM       1ND</v>
          </cell>
        </row>
        <row r="7440">
          <cell r="B7440" t="str">
            <v>14051126000108</v>
          </cell>
          <cell r="C7440" t="str">
            <v>LPC FINANC PRE EMBARQUE                 1ND</v>
          </cell>
        </row>
        <row r="7441">
          <cell r="B7441" t="str">
            <v>14051126000109</v>
          </cell>
          <cell r="C7441" t="str">
            <v>LPC FINANC PRE EMBARQUE D/P             1ND</v>
          </cell>
        </row>
        <row r="7442">
          <cell r="B7442" t="str">
            <v>14051126000110</v>
          </cell>
          <cell r="C7442" t="str">
            <v>LPC FINANC PRE EMBARQUE-SEPYMEX CGEM    1ND</v>
          </cell>
        </row>
        <row r="7443">
          <cell r="B7443" t="str">
            <v>14051126000111</v>
          </cell>
          <cell r="C7443" t="str">
            <v>LPC FINANC PRE EMBARQUE D/P-SEPYMEX CGEM1ND</v>
          </cell>
        </row>
        <row r="7444">
          <cell r="B7444" t="str">
            <v>14051126000112</v>
          </cell>
          <cell r="C7444" t="str">
            <v>CL PRE JUDIC PAG.IMPORT VENC CGEM       1ND</v>
          </cell>
        </row>
        <row r="7445">
          <cell r="B7445" t="str">
            <v>14051126000113</v>
          </cell>
          <cell r="C7445" t="str">
            <v>LPC PRE EMBARQUE FINANC. VEN. NORM CEGM 1ND</v>
          </cell>
        </row>
        <row r="7446">
          <cell r="B7446" t="str">
            <v>14051126000114</v>
          </cell>
          <cell r="C7446" t="str">
            <v>LPC PRE EMBARQUE FINANC. VEN. DUPE CGEM 1ND</v>
          </cell>
        </row>
        <row r="7447">
          <cell r="B7447" t="str">
            <v>14051126000115</v>
          </cell>
          <cell r="C7447" t="str">
            <v>LPC POST EMBARQUE FINANC. VEN. NORM CEGM1ND</v>
          </cell>
        </row>
        <row r="7448">
          <cell r="B7448" t="str">
            <v>14051126000116</v>
          </cell>
          <cell r="C7448" t="str">
            <v>LPC POST EMBARQUE FINANC. VEN. DUPE CGEM1ND</v>
          </cell>
        </row>
        <row r="7449">
          <cell r="B7449" t="str">
            <v>14051126000117</v>
          </cell>
          <cell r="C7449" t="str">
            <v>LPC IMPORT. CARTA CREDITO  FINANC. VEN. 1ND</v>
          </cell>
        </row>
        <row r="7450">
          <cell r="B7450" t="str">
            <v>14051126000118</v>
          </cell>
          <cell r="C7450" t="str">
            <v>LPC IMPORT. CARTA CREDITO  FINANC. VEN. 1ND</v>
          </cell>
        </row>
        <row r="7451">
          <cell r="B7451" t="str">
            <v>14051126000119</v>
          </cell>
          <cell r="C7451" t="str">
            <v>LPC IMPORT.  FINANC. VEN. NORM CEGM     1ND</v>
          </cell>
        </row>
        <row r="7452">
          <cell r="B7452" t="str">
            <v>14051126000120</v>
          </cell>
          <cell r="C7452" t="str">
            <v>LPC IMPORT.  FINANC. VEN. DUPE CGEM     1ND</v>
          </cell>
        </row>
        <row r="7453">
          <cell r="B7453" t="str">
            <v>14051126000121</v>
          </cell>
          <cell r="C7453" t="str">
            <v>LPC PAGARE FORFAITING VENC CGEM         1ND</v>
          </cell>
        </row>
        <row r="7454">
          <cell r="B7454" t="str">
            <v>14051126000122</v>
          </cell>
          <cell r="C7454" t="str">
            <v>LPC PAGARE FORFAITING VENC D/P  CGEM    1ND</v>
          </cell>
        </row>
        <row r="7455">
          <cell r="B7455" t="str">
            <v>14051126000201</v>
          </cell>
          <cell r="C7455" t="str">
            <v>CL PRE JUDIC PREST EXPORT VENC CGEM GL701ND</v>
          </cell>
        </row>
        <row r="7456">
          <cell r="B7456" t="str">
            <v>14051126000202</v>
          </cell>
          <cell r="C7456" t="str">
            <v>CL PRE JUDIC CARTAS CRED VENC CGEM GL7001ND</v>
          </cell>
        </row>
        <row r="7457">
          <cell r="B7457" t="str">
            <v>14051126000203</v>
          </cell>
          <cell r="C7457" t="str">
            <v>CL PRE JUDIC CARTA FIANZA VENC CGEM GL701ND</v>
          </cell>
        </row>
        <row r="7458">
          <cell r="B7458" t="str">
            <v>14051126000205</v>
          </cell>
          <cell r="C7458" t="str">
            <v>CL EX FORFAITING CAPITAL VENC CGEM      1ND</v>
          </cell>
        </row>
        <row r="7459">
          <cell r="B7459" t="str">
            <v>14051126000206</v>
          </cell>
          <cell r="C7459" t="str">
            <v>CL PAG.PRE EX EMBAR. D/P. VEN. CGEM     1ND</v>
          </cell>
        </row>
        <row r="7460">
          <cell r="B7460" t="str">
            <v>14051126000207</v>
          </cell>
          <cell r="C7460" t="str">
            <v>CL EX VEN PAG.IMPORTAC.D/P CGEM         1ND</v>
          </cell>
        </row>
        <row r="7461">
          <cell r="B7461" t="str">
            <v>14051126000208</v>
          </cell>
          <cell r="C7461" t="str">
            <v>CL BK INT. MORATORIO CPEM               1ND</v>
          </cell>
        </row>
        <row r="7462">
          <cell r="B7462" t="str">
            <v>14051126000301</v>
          </cell>
          <cell r="C7462" t="str">
            <v>JCC PRE JUDIC PREST EXPORT VENC CGEM GL71ND</v>
          </cell>
        </row>
        <row r="7463">
          <cell r="B7463" t="str">
            <v>14051126000302</v>
          </cell>
          <cell r="C7463" t="str">
            <v>JCC PRE JUDIC CARTAS CRED VENC CGEM GL701ND</v>
          </cell>
        </row>
        <row r="7464">
          <cell r="B7464" t="str">
            <v>14051126000303</v>
          </cell>
          <cell r="C7464" t="str">
            <v>JCC PRE JUDIC CARTA FIANZA VENC CGEM GL71ND</v>
          </cell>
        </row>
        <row r="7465">
          <cell r="B7465" t="str">
            <v>14051126000304</v>
          </cell>
          <cell r="C7465" t="str">
            <v>JCC PRE JUDIC PAG.IMPORT VENC CGEM      1ND</v>
          </cell>
        </row>
        <row r="7466">
          <cell r="B7466" t="str">
            <v>14051126000305</v>
          </cell>
          <cell r="C7466" t="str">
            <v>LPC COFIDE FONDOS CRECER CGEM  VEN\NORM 1ND</v>
          </cell>
        </row>
        <row r="7467">
          <cell r="B7467" t="str">
            <v>14051126000306</v>
          </cell>
          <cell r="C7467" t="str">
            <v>LPC COFIDE FONDOS CRECER CGEM  VEN\DUPE 1ND</v>
          </cell>
        </row>
        <row r="7468">
          <cell r="B7468" t="str">
            <v>14051126000307</v>
          </cell>
          <cell r="C7468" t="str">
            <v>LPC COFIDE FONDOS CRECER CGEM  VEN\NORM 1ND</v>
          </cell>
        </row>
        <row r="7469">
          <cell r="B7469" t="str">
            <v>14051126000308</v>
          </cell>
          <cell r="C7469" t="str">
            <v>LPC COFIDE FONDOS CRECER CGEM  VEN\DUPE 1ND</v>
          </cell>
        </row>
        <row r="7470">
          <cell r="B7470" t="str">
            <v>14051126000309</v>
          </cell>
          <cell r="C7470" t="str">
            <v>LPC PAG. REPROG-SUSPENSO INT REFINANCIAD1ND</v>
          </cell>
        </row>
        <row r="7471">
          <cell r="B7471" t="str">
            <v>14051126000310</v>
          </cell>
          <cell r="C7471" t="str">
            <v>LPC PAG. REPROG-SUSPENSO INT. VENC. CMED1ND</v>
          </cell>
        </row>
        <row r="7472">
          <cell r="B7472" t="str">
            <v>14051126000311</v>
          </cell>
          <cell r="C7472" t="str">
            <v>LPC REPROG EM COVID-19 FINAN.COMEX VENC 1ND</v>
          </cell>
        </row>
        <row r="7473">
          <cell r="B7473" t="str">
            <v>14051126000312</v>
          </cell>
          <cell r="C7473" t="str">
            <v>LPC REPROG EM COVID-19 FINANCOMEX VENC C1ND</v>
          </cell>
        </row>
        <row r="7474">
          <cell r="B7474" t="str">
            <v>14051126000313</v>
          </cell>
          <cell r="C7474" t="str">
            <v>LPC REPROG EM COVID-19 POST EMB INT REFI1ND</v>
          </cell>
        </row>
        <row r="7475">
          <cell r="B7475" t="str">
            <v>14051126000314</v>
          </cell>
          <cell r="C7475" t="str">
            <v>LPC REPROG EM COVID-19 POST EMB INT CCOR1ND</v>
          </cell>
        </row>
        <row r="7476">
          <cell r="B7476" t="str">
            <v>14051130000101</v>
          </cell>
          <cell r="C7476" t="str">
            <v>LPC PAG FINAN PROY D/P VENC CGEM        1ND</v>
          </cell>
        </row>
        <row r="7477">
          <cell r="B7477" t="str">
            <v>14051130000102</v>
          </cell>
          <cell r="C7477" t="str">
            <v>LPC PAG FINAN PROY  VENC CGEM           1ND</v>
          </cell>
        </row>
        <row r="7478">
          <cell r="B7478" t="str">
            <v>14051130000103</v>
          </cell>
          <cell r="C7478" t="str">
            <v>LPC PAG. FINANC PROY COFIDE VEN CGEM    1ND</v>
          </cell>
        </row>
        <row r="7479">
          <cell r="B7479" t="str">
            <v>14051130000104</v>
          </cell>
          <cell r="C7479" t="str">
            <v>LPC  PAG. FINANC PROY COFIDE  VENC D/P C1ND</v>
          </cell>
        </row>
        <row r="7480">
          <cell r="B7480" t="str">
            <v>14051130000107</v>
          </cell>
          <cell r="C7480" t="str">
            <v>LPC PAG FINAN PROY VERDE-SOCIAL CGEM DUP1 D</v>
          </cell>
        </row>
        <row r="7481">
          <cell r="B7481" t="str">
            <v>14051130000108</v>
          </cell>
          <cell r="C7481" t="str">
            <v>LPC PAG FINAN PROY VERDE-SOCIAL CGEM NOR1 D</v>
          </cell>
        </row>
        <row r="7482">
          <cell r="B7482" t="str">
            <v>14051130000109</v>
          </cell>
          <cell r="C7482" t="str">
            <v>LPC PAG FINAN PROY VINC-SOSTENIB CGEM DU1 D</v>
          </cell>
        </row>
        <row r="7483">
          <cell r="B7483" t="str">
            <v>14051130000110</v>
          </cell>
          <cell r="C7483" t="str">
            <v>LPC PAG FINAN PROY VINC-SOSTENIB CGEM NO1 D</v>
          </cell>
        </row>
        <row r="7484">
          <cell r="B7484" t="str">
            <v>14051130000111</v>
          </cell>
          <cell r="C7484" t="str">
            <v>LPC LEASING FINANCIACION PROYECTO CGEM V1 D</v>
          </cell>
        </row>
        <row r="7485">
          <cell r="B7485" t="str">
            <v>14051130000112</v>
          </cell>
          <cell r="C7485" t="str">
            <v>LPC LEASING FINANCIACION PROYECTO CGEM V1 D</v>
          </cell>
        </row>
        <row r="7486">
          <cell r="B7486" t="str">
            <v>14051133000101</v>
          </cell>
          <cell r="C7486" t="str">
            <v>LPC PAG INMOBILIARIO CGEM               1ND</v>
          </cell>
        </row>
        <row r="7487">
          <cell r="B7487" t="str">
            <v>14051133000102</v>
          </cell>
          <cell r="C7487" t="str">
            <v>LPC PAG BIENES INMB RENTA VERDE-SOCIAL C1 D</v>
          </cell>
        </row>
        <row r="7488">
          <cell r="B7488" t="str">
            <v>14051133000103</v>
          </cell>
          <cell r="C7488" t="str">
            <v>LPC PAG BIENES INMB RENTA VERDE-SOCIAL C1 D</v>
          </cell>
        </row>
        <row r="7489">
          <cell r="B7489" t="str">
            <v>14051133000104</v>
          </cell>
          <cell r="C7489" t="str">
            <v>LPC PAG BIENES INMB RENTA VINC-SOSTENIB 1 D</v>
          </cell>
        </row>
        <row r="7490">
          <cell r="B7490" t="str">
            <v>14051133000105</v>
          </cell>
          <cell r="C7490" t="str">
            <v>LPC PAG BIENES INMB RENTA VINC-SOSTENIB 1 D</v>
          </cell>
        </row>
        <row r="7491">
          <cell r="B7491" t="str">
            <v>14051202010101</v>
          </cell>
          <cell r="C7491" t="str">
            <v>TC VISA COMERC COLOC.DISP.EFECT. CMED   1ND</v>
          </cell>
        </row>
        <row r="7492">
          <cell r="B7492" t="str">
            <v>14051202010102</v>
          </cell>
          <cell r="C7492" t="str">
            <v>TC MC COMERCIAL. COLOC. CMED            1ND</v>
          </cell>
        </row>
        <row r="7493">
          <cell r="B7493" t="str">
            <v>14051202010103</v>
          </cell>
          <cell r="C7493" t="str">
            <v>TC AMEX COMERC COLOC.DISP.EFECT. CMED   1ND</v>
          </cell>
        </row>
        <row r="7494">
          <cell r="B7494" t="str">
            <v>14051202010104</v>
          </cell>
          <cell r="C7494" t="str">
            <v>TC VEA COMERCIAL. COLOC.DISP. CMED      1ND</v>
          </cell>
        </row>
        <row r="7495">
          <cell r="B7495" t="str">
            <v>14051202010105</v>
          </cell>
          <cell r="C7495" t="str">
            <v>TC COLOC. DISP.EFECTIVO EN CUOTAS VEN. C1ND</v>
          </cell>
        </row>
        <row r="7496">
          <cell r="B7496" t="str">
            <v>14051202010106</v>
          </cell>
          <cell r="C7496" t="str">
            <v>TC AMEX D/E CUOTAS VEN CMED             1ND</v>
          </cell>
        </row>
        <row r="7497">
          <cell r="B7497" t="str">
            <v>14051202010107</v>
          </cell>
          <cell r="C7497" t="str">
            <v>TC AMEX D/E REV VEN CMED                1ND</v>
          </cell>
        </row>
        <row r="7498">
          <cell r="B7498" t="str">
            <v>14051202010108</v>
          </cell>
          <cell r="C7498" t="str">
            <v>TC MC D/E CUOTAS VEN CMED               1ND</v>
          </cell>
        </row>
        <row r="7499">
          <cell r="B7499" t="str">
            <v>14051202010109</v>
          </cell>
          <cell r="C7499" t="str">
            <v>TC MC D/E REV VEN CMED                  1ND</v>
          </cell>
        </row>
        <row r="7500">
          <cell r="B7500" t="str">
            <v>14051202010110</v>
          </cell>
          <cell r="C7500" t="str">
            <v>TC VISA D/E CUOTAS VEN CMED             1ND</v>
          </cell>
        </row>
        <row r="7501">
          <cell r="B7501" t="str">
            <v>14051202010111</v>
          </cell>
          <cell r="C7501" t="str">
            <v>TC VISA D/E REV VEN CMED                1ND</v>
          </cell>
        </row>
        <row r="7502">
          <cell r="B7502" t="str">
            <v>14051202010112</v>
          </cell>
          <cell r="C7502" t="str">
            <v>JCC PRE JUD MASTER C PN DISP EF CMED    1ND</v>
          </cell>
        </row>
        <row r="7503">
          <cell r="B7503" t="str">
            <v>14051202010113</v>
          </cell>
          <cell r="C7503" t="str">
            <v>JCC  PRE JUD VISA PN  DIS EFE CMED      1ND</v>
          </cell>
        </row>
        <row r="7504">
          <cell r="B7504" t="str">
            <v>14051202010114</v>
          </cell>
          <cell r="C7504" t="str">
            <v>JCC PRE JUD AMEX PN DISP EFEC CMED      1ND</v>
          </cell>
        </row>
        <row r="7505">
          <cell r="B7505" t="str">
            <v>14051202010115</v>
          </cell>
          <cell r="C7505" t="str">
            <v>JCC PRE JUD AMEX PN CONSUMO CMED        1ND</v>
          </cell>
        </row>
        <row r="7506">
          <cell r="B7506" t="str">
            <v>14051202010116</v>
          </cell>
          <cell r="C7506" t="str">
            <v>JCC PRE JUD TC.MASTER PJ CONSU CMED     1ND</v>
          </cell>
        </row>
        <row r="7507">
          <cell r="B7507" t="str">
            <v>14051202010117</v>
          </cell>
          <cell r="C7507" t="str">
            <v>JCC PRE JUD TC VISA PJ CONSUM. CMED     1ND</v>
          </cell>
        </row>
        <row r="7508">
          <cell r="B7508" t="str">
            <v>14051202010118</v>
          </cell>
          <cell r="C7508" t="str">
            <v>JCC PRE JUD TC.AMEX PJ CONSU CMED       1ND</v>
          </cell>
        </row>
        <row r="7509">
          <cell r="B7509" t="str">
            <v>14051202010119</v>
          </cell>
          <cell r="C7509" t="str">
            <v>JCC PRE JUD TC.MASTER PJ DISP EFEC CMED 1ND</v>
          </cell>
        </row>
        <row r="7510">
          <cell r="B7510" t="str">
            <v>14051202010120</v>
          </cell>
          <cell r="C7510" t="str">
            <v>JCC PRE JUD TC VISA PJ DISP EFEC CMED   1ND</v>
          </cell>
        </row>
        <row r="7511">
          <cell r="B7511" t="str">
            <v>14051202010121</v>
          </cell>
          <cell r="C7511" t="str">
            <v>JCC PRE JUD TC.AMEX PJ DISP EFEC CMED   1ND</v>
          </cell>
        </row>
        <row r="7512">
          <cell r="B7512" t="str">
            <v>14051202010122</v>
          </cell>
          <cell r="C7512" t="str">
            <v>JCC  PRE JUD VISA PN  CONSUMO CMED      1ND</v>
          </cell>
        </row>
        <row r="7513">
          <cell r="B7513" t="str">
            <v>14051202010201</v>
          </cell>
          <cell r="C7513" t="str">
            <v>CL PRE JUD TC VISA PJ DISP EFEC CMED    1ND</v>
          </cell>
        </row>
        <row r="7514">
          <cell r="B7514" t="str">
            <v>14051202010202</v>
          </cell>
          <cell r="C7514" t="str">
            <v>CL PRE JUD TC.AMEX PJ DISP EFEC CMED    1ND</v>
          </cell>
        </row>
        <row r="7515">
          <cell r="B7515" t="str">
            <v>14051202010203</v>
          </cell>
          <cell r="C7515" t="str">
            <v>CL PRE JUD TC.MASTER PJ DISP EFEC CMED  1ND</v>
          </cell>
        </row>
        <row r="7516">
          <cell r="B7516" t="str">
            <v>14051202010301</v>
          </cell>
          <cell r="C7516" t="str">
            <v>CL  PRE JUD VISA PN  DIS EFE CMED       1ND</v>
          </cell>
        </row>
        <row r="7517">
          <cell r="B7517" t="str">
            <v>14051202010302</v>
          </cell>
          <cell r="C7517" t="str">
            <v>CL PRE JUD AMEX PN DISP EFEC CMED       1ND</v>
          </cell>
        </row>
        <row r="7518">
          <cell r="B7518" t="str">
            <v>14051202010303</v>
          </cell>
          <cell r="C7518" t="str">
            <v>CL PRE JUD MASTER C PN DISP EF CMED     1ND</v>
          </cell>
        </row>
        <row r="7519">
          <cell r="B7519" t="str">
            <v>14051202010304</v>
          </cell>
          <cell r="C7519" t="str">
            <v>CL PRE JUD MASTER C PN DISP EF CMED     1ND</v>
          </cell>
        </row>
        <row r="7520">
          <cell r="B7520" t="str">
            <v>14051202020101</v>
          </cell>
          <cell r="C7520" t="str">
            <v>TC VISA COMERCIAL COLOC.COMPRAS CMED    1ND</v>
          </cell>
        </row>
        <row r="7521">
          <cell r="B7521" t="str">
            <v>14051202020102</v>
          </cell>
          <cell r="C7521" t="str">
            <v>TC MC COMERCIAL. COLOC. COMPRA CMED     1ND</v>
          </cell>
        </row>
        <row r="7522">
          <cell r="B7522" t="str">
            <v>14051202020103</v>
          </cell>
          <cell r="C7522" t="str">
            <v>TC AMEX COMERCIAL COLOC.COMPRAS CMED    1ND</v>
          </cell>
        </row>
        <row r="7523">
          <cell r="B7523" t="str">
            <v>14051202020104</v>
          </cell>
          <cell r="C7523" t="str">
            <v>TC VEA COMERCIAL. COLOC. COMPRA CMED    1ND</v>
          </cell>
        </row>
        <row r="7524">
          <cell r="B7524" t="str">
            <v>14051202020105</v>
          </cell>
          <cell r="C7524" t="str">
            <v>TC COLOC.COMPRAS EN CUOTAS VEN. CMED    1ND</v>
          </cell>
        </row>
        <row r="7525">
          <cell r="B7525" t="str">
            <v>14051202020106</v>
          </cell>
          <cell r="C7525" t="str">
            <v>TC AMEX COMPRA CUOTAS VEN CMED          1ND</v>
          </cell>
        </row>
        <row r="7526">
          <cell r="B7526" t="str">
            <v>14051202020107</v>
          </cell>
          <cell r="C7526" t="str">
            <v>TC AMEX COMPRA REV VEN CMED             1ND</v>
          </cell>
        </row>
        <row r="7527">
          <cell r="B7527" t="str">
            <v>14051202020108</v>
          </cell>
          <cell r="C7527" t="str">
            <v>TC MC COMPRA CUOTAS VEN CMED            1ND</v>
          </cell>
        </row>
        <row r="7528">
          <cell r="B7528" t="str">
            <v>14051202020109</v>
          </cell>
          <cell r="C7528" t="str">
            <v>TC MC COMPRA REV VEN CMED               1ND</v>
          </cell>
        </row>
        <row r="7529">
          <cell r="B7529" t="str">
            <v>14051202020110</v>
          </cell>
          <cell r="C7529" t="str">
            <v>TC VISA COMPRA CUOTAS VEN CMED          1ND</v>
          </cell>
        </row>
        <row r="7530">
          <cell r="B7530" t="str">
            <v>14051202020111</v>
          </cell>
          <cell r="C7530" t="str">
            <v>TC VISA COMPRA REV VEN CMED             1ND</v>
          </cell>
        </row>
        <row r="7531">
          <cell r="B7531" t="str">
            <v>14051202020201</v>
          </cell>
          <cell r="C7531" t="str">
            <v>CL PRE JUD TC VISA PJ CONSUM. CMED      1ND</v>
          </cell>
        </row>
        <row r="7532">
          <cell r="B7532" t="str">
            <v>14051202020202</v>
          </cell>
          <cell r="C7532" t="str">
            <v>CL PRE JUD TC.AMEX PJ CONSU CMED        1ND</v>
          </cell>
        </row>
        <row r="7533">
          <cell r="B7533" t="str">
            <v>14051202020203</v>
          </cell>
          <cell r="C7533" t="str">
            <v>CL PRE JUD TC.MASTER PJ CONSU CMED      1ND</v>
          </cell>
        </row>
        <row r="7534">
          <cell r="B7534" t="str">
            <v>14051202020204</v>
          </cell>
          <cell r="C7534" t="str">
            <v>CL  PRE JUD VISA PN  CONSUMO CMED       1ND</v>
          </cell>
        </row>
        <row r="7535">
          <cell r="B7535" t="str">
            <v>14051202020205</v>
          </cell>
          <cell r="C7535" t="str">
            <v>CL PRE JUD AMEX PN CONSUMO CMED         1ND</v>
          </cell>
        </row>
        <row r="7536">
          <cell r="B7536" t="str">
            <v>14051202090101</v>
          </cell>
          <cell r="C7536" t="str">
            <v>TC AMEX COMERC COLOC. OTROS CMED        1ND</v>
          </cell>
        </row>
        <row r="7537">
          <cell r="B7537" t="str">
            <v>14051202090102</v>
          </cell>
          <cell r="C7537" t="str">
            <v>TC VISA COMERC COLOC. OTROS CMED        1ND</v>
          </cell>
        </row>
        <row r="7538">
          <cell r="B7538" t="str">
            <v>14051202090103</v>
          </cell>
          <cell r="C7538" t="str">
            <v>TC MC COMERC COLOC. OTROS CMED          1ND</v>
          </cell>
        </row>
        <row r="7539">
          <cell r="B7539" t="str">
            <v>14051202090104</v>
          </cell>
          <cell r="C7539" t="str">
            <v>TC VEA COMERC COLOC. OTROS CMED         1ND</v>
          </cell>
        </row>
        <row r="7540">
          <cell r="B7540" t="str">
            <v>14051202090105</v>
          </cell>
          <cell r="C7540" t="str">
            <v>TC REPROGRAMACION VEN. CMED             1ND</v>
          </cell>
        </row>
        <row r="7541">
          <cell r="B7541" t="str">
            <v>14051202090106</v>
          </cell>
          <cell r="C7541" t="str">
            <v>TC AMEX CDEUDA PAR VEN CMED             1ND</v>
          </cell>
        </row>
        <row r="7542">
          <cell r="B7542" t="str">
            <v>14051202090107</v>
          </cell>
          <cell r="C7542" t="str">
            <v>TC AMEX CDEUDA REV VEN CMED             1ND</v>
          </cell>
        </row>
        <row r="7543">
          <cell r="B7543" t="str">
            <v>14051202090108</v>
          </cell>
          <cell r="C7543" t="str">
            <v>TC AMEX EXTRACASH VEN CMED              1ND</v>
          </cell>
        </row>
        <row r="7544">
          <cell r="B7544" t="str">
            <v>14051202090109</v>
          </cell>
          <cell r="C7544" t="str">
            <v>TC AMEX REPROG PAR VEN CMED             1ND</v>
          </cell>
        </row>
        <row r="7545">
          <cell r="B7545" t="str">
            <v>14051202090110</v>
          </cell>
          <cell r="C7545" t="str">
            <v>TC AMEX REPROG REV VEN CMED             1ND</v>
          </cell>
        </row>
        <row r="7546">
          <cell r="B7546" t="str">
            <v>14051202090111</v>
          </cell>
          <cell r="C7546" t="str">
            <v>TC MC CDEUDA PAR VEN CMED               1ND</v>
          </cell>
        </row>
        <row r="7547">
          <cell r="B7547" t="str">
            <v>14051202090112</v>
          </cell>
          <cell r="C7547" t="str">
            <v>TC MC CDEUDA REV VEN CMED               1ND</v>
          </cell>
        </row>
        <row r="7548">
          <cell r="B7548" t="str">
            <v>14051202090113</v>
          </cell>
          <cell r="C7548" t="str">
            <v>TC MC EXTRACASH VEN CMED                1ND</v>
          </cell>
        </row>
        <row r="7549">
          <cell r="B7549" t="str">
            <v>14051202090114</v>
          </cell>
          <cell r="C7549" t="str">
            <v>TC MC REPROG PAR VEN CMED               1ND</v>
          </cell>
        </row>
        <row r="7550">
          <cell r="B7550" t="str">
            <v>14051202090115</v>
          </cell>
          <cell r="C7550" t="str">
            <v>TC MC REPROG REV VEN CMED               1ND</v>
          </cell>
        </row>
        <row r="7551">
          <cell r="B7551" t="str">
            <v>14051202090116</v>
          </cell>
          <cell r="C7551" t="str">
            <v>TC VISA CDEUDA PAR VEN CMED             1ND</v>
          </cell>
        </row>
        <row r="7552">
          <cell r="B7552" t="str">
            <v>14051202090117</v>
          </cell>
          <cell r="C7552" t="str">
            <v>TC VISA CDEUDA REV VEN CMED             1ND</v>
          </cell>
        </row>
        <row r="7553">
          <cell r="B7553" t="str">
            <v>14051202090118</v>
          </cell>
          <cell r="C7553" t="str">
            <v>TC VISA EXTRACASH VEN CMED              1ND</v>
          </cell>
        </row>
        <row r="7554">
          <cell r="B7554" t="str">
            <v>14051202090119</v>
          </cell>
          <cell r="C7554" t="str">
            <v>TC VISA REPROG PAR VEN CMED             1ND</v>
          </cell>
        </row>
        <row r="7555">
          <cell r="B7555" t="str">
            <v>14051202090120</v>
          </cell>
          <cell r="C7555" t="str">
            <v>TC VISA REPROG REV VEN CMED             1ND</v>
          </cell>
        </row>
        <row r="7556">
          <cell r="B7556" t="str">
            <v>14051202090121</v>
          </cell>
          <cell r="C7556" t="str">
            <v>CDO VISA EXTRACASH REV VEN CMED         1ND</v>
          </cell>
        </row>
        <row r="7557">
          <cell r="B7557" t="str">
            <v>14051202090122</v>
          </cell>
          <cell r="C7557" t="str">
            <v>CDO MC EXTRACASH REV VEN CMED           1ND</v>
          </cell>
        </row>
        <row r="7558">
          <cell r="B7558" t="str">
            <v>14051202090123</v>
          </cell>
          <cell r="C7558" t="str">
            <v>CDO AMEX EXTRACASH REV VEN CMED         1ND</v>
          </cell>
        </row>
        <row r="7559">
          <cell r="B7559" t="str">
            <v>14051202090124</v>
          </cell>
          <cell r="C7559" t="str">
            <v>JCC PREJUD CONSU PREFERENTE CMED        1ND</v>
          </cell>
        </row>
        <row r="7560">
          <cell r="B7560" t="str">
            <v>14051202090125</v>
          </cell>
          <cell r="C7560" t="str">
            <v>CDO TC AMEX COMPRA REV VEN NORM CMED    1 D</v>
          </cell>
        </row>
        <row r="7561">
          <cell r="B7561" t="str">
            <v>14051202090126</v>
          </cell>
          <cell r="C7561" t="str">
            <v>CDO TC AMEX COMPRA REV VEN NORM CMED    1 D</v>
          </cell>
        </row>
        <row r="7562">
          <cell r="B7562" t="str">
            <v>14051204000101</v>
          </cell>
          <cell r="C7562" t="str">
            <v>CL PRE JUD SOBR CCTE. PJ VENC CMED      1ND</v>
          </cell>
        </row>
        <row r="7563">
          <cell r="B7563" t="str">
            <v>14051204000201</v>
          </cell>
          <cell r="C7563" t="str">
            <v>IM SOBREG VENC CTA CTE PJ CMED          1ND</v>
          </cell>
        </row>
        <row r="7564">
          <cell r="B7564" t="str">
            <v>14051204000202</v>
          </cell>
          <cell r="C7564" t="str">
            <v>IM SOBREG VENC CTA CTE PJ S/F CMED      1ND</v>
          </cell>
        </row>
        <row r="7565">
          <cell r="B7565" t="str">
            <v>14051204000203</v>
          </cell>
          <cell r="C7565" t="str">
            <v>IM SOBREG VENC CTA CTE PN CMED          1ND</v>
          </cell>
        </row>
        <row r="7566">
          <cell r="B7566" t="str">
            <v>14051204000301</v>
          </cell>
          <cell r="C7566" t="str">
            <v>JCC PRE JUD SOBR CCTE. PJ VENC CMED     1ND</v>
          </cell>
        </row>
        <row r="7567">
          <cell r="B7567" t="str">
            <v>14051205010101</v>
          </cell>
          <cell r="C7567" t="str">
            <v>CL PAG DSCTO VENC CMED                  1ND</v>
          </cell>
        </row>
        <row r="7568">
          <cell r="B7568" t="str">
            <v>14051205010102</v>
          </cell>
          <cell r="C7568" t="str">
            <v>CL PAG.DSCTO D/P VENC CMED              1ND</v>
          </cell>
        </row>
        <row r="7569">
          <cell r="B7569" t="str">
            <v>14051205010103</v>
          </cell>
          <cell r="C7569" t="str">
            <v>CL PRE JUDIC DSCTO.PAG VEN CMED         1ND</v>
          </cell>
        </row>
        <row r="7570">
          <cell r="B7570" t="str">
            <v>14051205010104</v>
          </cell>
          <cell r="C7570" t="str">
            <v>LPC PAG.TSA.DSCTO D/P VENC CMED         1ND</v>
          </cell>
        </row>
        <row r="7571">
          <cell r="B7571" t="str">
            <v>14051205010105</v>
          </cell>
          <cell r="C7571" t="str">
            <v>LPC PAG.TSA.DSCTO VENC CMED             1ND</v>
          </cell>
        </row>
        <row r="7572">
          <cell r="B7572" t="str">
            <v>14051205020101</v>
          </cell>
          <cell r="C7572" t="str">
            <v>FCD  LETRASÂ  DSCTO VCÂ Â  CMED         1ND</v>
          </cell>
        </row>
        <row r="7573">
          <cell r="B7573" t="str">
            <v>14051205020102</v>
          </cell>
          <cell r="C7573" t="str">
            <v>PR DSCTO ELECTR SM PERU VEN CMED        1ND</v>
          </cell>
        </row>
        <row r="7574">
          <cell r="B7574" t="str">
            <v>14051205020103</v>
          </cell>
          <cell r="C7574" t="str">
            <v>PR LETRAS EN DSCTO VEN D/P CMED         1ND</v>
          </cell>
        </row>
        <row r="7575">
          <cell r="B7575" t="str">
            <v>14051205020104</v>
          </cell>
          <cell r="C7575" t="str">
            <v>PR LETRAS T. DESCONTADAÂ  VENCÂ Â  CMED 1ND</v>
          </cell>
        </row>
        <row r="7576">
          <cell r="B7576" t="str">
            <v>14051205020105</v>
          </cell>
          <cell r="C7576" t="str">
            <v>FCD DSCTO ELECTR VENC DUDOSO CMED       1ND</v>
          </cell>
        </row>
        <row r="7577">
          <cell r="B7577" t="str">
            <v>14051205020106</v>
          </cell>
          <cell r="C7577" t="str">
            <v>FCD DESC. LET. VENC. CMED DUPE          1ND</v>
          </cell>
        </row>
        <row r="7578">
          <cell r="B7578" t="str">
            <v>14051205020107</v>
          </cell>
          <cell r="C7578" t="str">
            <v>FCD DESC. FACT. VENC. CMED DUPE         1ND</v>
          </cell>
        </row>
        <row r="7579">
          <cell r="B7579" t="str">
            <v>14051205020108</v>
          </cell>
          <cell r="C7579" t="str">
            <v>FCD DESC. VIRTUAL VENC. CMED DUPE       1ND</v>
          </cell>
        </row>
        <row r="7580">
          <cell r="B7580" t="str">
            <v>14051205020109</v>
          </cell>
          <cell r="C7580" t="str">
            <v>FCD DESC. FACT. NEG. VENC. CMED DUPE    1ND</v>
          </cell>
        </row>
        <row r="7581">
          <cell r="B7581" t="str">
            <v>14051205020110</v>
          </cell>
          <cell r="C7581" t="str">
            <v>FCD DESC. VIRTUAL VENC. CMED NORMAL     1ND</v>
          </cell>
        </row>
        <row r="7582">
          <cell r="B7582" t="str">
            <v>14051205020201</v>
          </cell>
          <cell r="C7582" t="str">
            <v>CL PRE JUDIC DSCTO.LETRAS VENC CMED GL701ND</v>
          </cell>
        </row>
        <row r="7583">
          <cell r="B7583" t="str">
            <v>14051205030101</v>
          </cell>
          <cell r="C7583" t="str">
            <v>JCC PRE JUDIC DSCTO.PAG VEN CMED        1ND</v>
          </cell>
        </row>
        <row r="7584">
          <cell r="B7584" t="str">
            <v>14051205030102</v>
          </cell>
          <cell r="C7584" t="str">
            <v>JCC PRE JUDIC DSCTO.LETRAS VENC CMED GL71ND</v>
          </cell>
        </row>
        <row r="7585">
          <cell r="B7585" t="str">
            <v>14051206010101</v>
          </cell>
          <cell r="C7585" t="str">
            <v>LIC DP CONV NRV OTOR BAJ C NE VENCIDO   1ND</v>
          </cell>
        </row>
        <row r="7586">
          <cell r="B7586" t="str">
            <v>14051206010102</v>
          </cell>
          <cell r="C7586" t="str">
            <v>LIC DP CRED CONV VENC MED EMPR          1ND</v>
          </cell>
        </row>
        <row r="7587">
          <cell r="B7587" t="str">
            <v>14051206010103</v>
          </cell>
          <cell r="C7587" t="str">
            <v>LPC PAG.INMOB. REPROG-SUSPENSO VENC CMED1ND</v>
          </cell>
        </row>
        <row r="7588">
          <cell r="B7588" t="str">
            <v>14051206010201</v>
          </cell>
          <cell r="C7588" t="str">
            <v>LPC PAG TV D/P REV VENC LPC CMED        1ND</v>
          </cell>
        </row>
        <row r="7589">
          <cell r="B7589" t="str">
            <v>14051206010202</v>
          </cell>
          <cell r="C7589" t="str">
            <v>LPC VENC PAG TV RP REVOL CMED           1ND</v>
          </cell>
        </row>
        <row r="7590">
          <cell r="B7590" t="str">
            <v>14051206010203</v>
          </cell>
          <cell r="C7590" t="str">
            <v>LPC PAG TV REF VENC REV CMED            1ND</v>
          </cell>
        </row>
        <row r="7591">
          <cell r="B7591" t="str">
            <v>14051206010204</v>
          </cell>
          <cell r="C7591" t="str">
            <v>LPC P.TV REC.COFIDE REVOL VEN CMED      1ND</v>
          </cell>
        </row>
        <row r="7592">
          <cell r="B7592" t="str">
            <v>14051206010205</v>
          </cell>
          <cell r="C7592" t="str">
            <v>LPC PAG TV  COFIDE  VENCIDO - D/P       1ND</v>
          </cell>
        </row>
        <row r="7593">
          <cell r="B7593" t="str">
            <v>14051206010206</v>
          </cell>
          <cell r="C7593" t="str">
            <v>LPC PAG TV RP MED PLAZO REVOL           1ND</v>
          </cell>
        </row>
        <row r="7594">
          <cell r="B7594" t="str">
            <v>14051206010207</v>
          </cell>
          <cell r="C7594" t="str">
            <v>LPC PAG TV RP MED PLAZO REVOL D/P       1ND</v>
          </cell>
        </row>
        <row r="7595">
          <cell r="B7595" t="str">
            <v>14051206010208</v>
          </cell>
          <cell r="C7595" t="str">
            <v>LPC PAG TV INMOBILIARIO REV             1ND</v>
          </cell>
        </row>
        <row r="7596">
          <cell r="B7596" t="str">
            <v>14051206010209</v>
          </cell>
          <cell r="C7596" t="str">
            <v>LPC PAG TV INMOBILIARIO REV D/P         1ND</v>
          </cell>
        </row>
        <row r="7597">
          <cell r="B7597" t="str">
            <v>14051206010210</v>
          </cell>
          <cell r="C7597" t="str">
            <v>LPC PAG TV REVOL EUROS                  1ND</v>
          </cell>
        </row>
        <row r="7598">
          <cell r="B7598" t="str">
            <v>14051206010211</v>
          </cell>
          <cell r="C7598" t="str">
            <v>LPC PAG TV REVOL EUROS                  1ND</v>
          </cell>
        </row>
        <row r="7599">
          <cell r="B7599" t="str">
            <v>14051206010212</v>
          </cell>
          <cell r="C7599" t="str">
            <v>LPC VENC PAG DERIVADOS REVOL CMED       1ND</v>
          </cell>
        </row>
        <row r="7600">
          <cell r="B7600" t="str">
            <v>14051206010213</v>
          </cell>
          <cell r="C7600" t="str">
            <v>LPC PAG DERIVADOS D/P REV VENC CMED     1ND</v>
          </cell>
        </row>
        <row r="7601">
          <cell r="B7601" t="str">
            <v>14051206010214</v>
          </cell>
          <cell r="C7601" t="str">
            <v>LPC PAG REPROGRAMADO REV NORM CMED      1ND</v>
          </cell>
        </row>
        <row r="7602">
          <cell r="B7602" t="str">
            <v>14051206010215</v>
          </cell>
          <cell r="C7602" t="str">
            <v>LPC PAG REPROGRAMADO REV D/P CMED       1ND</v>
          </cell>
        </row>
        <row r="7603">
          <cell r="B7603" t="str">
            <v>14051206010216</v>
          </cell>
          <cell r="C7603" t="str">
            <v>LPC PAG.INMOB. REPROG-SUSPENSO VENC CMED1ND</v>
          </cell>
        </row>
        <row r="7604">
          <cell r="B7604" t="str">
            <v>14051206010217</v>
          </cell>
          <cell r="C7604" t="str">
            <v>LPC PAG COMERC REPROG-SUSPENSO VENC CMED1ND</v>
          </cell>
        </row>
        <row r="7605">
          <cell r="B7605" t="str">
            <v>14051206010301</v>
          </cell>
          <cell r="C7605" t="str">
            <v>MYP LIN REVOLV VENC CMED                1ND</v>
          </cell>
        </row>
        <row r="7606">
          <cell r="B7606" t="str">
            <v>14051206010302</v>
          </cell>
          <cell r="C7606" t="str">
            <v>MYP D/P LINEA REVOLV VENC CMED          1ND</v>
          </cell>
        </row>
        <row r="7607">
          <cell r="B7607" t="str">
            <v>14051206010303</v>
          </cell>
          <cell r="C7607" t="str">
            <v>MYP REFIN.VENC COBRAN REVOLCMED         1ND</v>
          </cell>
        </row>
        <row r="7608">
          <cell r="B7608" t="str">
            <v>14051206010304</v>
          </cell>
          <cell r="C7608" t="str">
            <v>MYP D/P LIN REV.BPE-BE COM VENC CMED    1ND</v>
          </cell>
        </row>
        <row r="7609">
          <cell r="B7609" t="str">
            <v>14051206010305</v>
          </cell>
          <cell r="C7609" t="str">
            <v>MYP LINEA REV.BPE-BE COM VENC NORM CMED 1ND</v>
          </cell>
        </row>
        <row r="7610">
          <cell r="B7610" t="str">
            <v>14051206010306</v>
          </cell>
          <cell r="C7610" t="str">
            <v>MYP LINEA REVOL PROVREFVEN CMED         1ND</v>
          </cell>
        </row>
        <row r="7611">
          <cell r="B7611" t="str">
            <v>14051206010307</v>
          </cell>
          <cell r="C7611" t="str">
            <v>MYP LINEA REVOL REUT.VEN CMED           1ND</v>
          </cell>
        </row>
        <row r="7612">
          <cell r="B7612" t="str">
            <v>14051206010308</v>
          </cell>
          <cell r="C7612" t="str">
            <v>MYP DUPE LINEA REVOL REUT.VEN CMED      1ND</v>
          </cell>
        </row>
        <row r="7613">
          <cell r="B7613" t="str">
            <v>14051206010401</v>
          </cell>
          <cell r="C7613" t="str">
            <v>CL PAG. TV D/P REVOL VEN CMED           1ND</v>
          </cell>
        </row>
        <row r="7614">
          <cell r="B7614" t="str">
            <v>14051206010402</v>
          </cell>
          <cell r="C7614" t="str">
            <v>CL PAG TV REVOLV VEN CMED               1ND</v>
          </cell>
        </row>
        <row r="7615">
          <cell r="B7615" t="str">
            <v>14051206010403</v>
          </cell>
          <cell r="C7615" t="str">
            <v>CL PAG.TV NEG.INMOBIL REVOLV VEN CMED   1ND</v>
          </cell>
        </row>
        <row r="7616">
          <cell r="B7616" t="str">
            <v>14051206010404</v>
          </cell>
          <cell r="C7616" t="str">
            <v>CL P.TV OTROS SUSP.REVOLV VEN CMED      1ND</v>
          </cell>
        </row>
        <row r="7617">
          <cell r="B7617" t="str">
            <v>14051206010405</v>
          </cell>
          <cell r="C7617" t="str">
            <v>CL P.TV REC.COFIDE.REV VEN CMED         1ND</v>
          </cell>
        </row>
        <row r="7618">
          <cell r="B7618" t="str">
            <v>14051206010406</v>
          </cell>
          <cell r="C7618" t="str">
            <v>CL PAG.DEUD.VTA CARTERA VEN CMED        1ND</v>
          </cell>
        </row>
        <row r="7619">
          <cell r="B7619" t="str">
            <v>14051206010407</v>
          </cell>
          <cell r="C7619" t="str">
            <v>CL PRE JUDIC RP CAP.TRAB VENC REVOLV. CM1ND</v>
          </cell>
        </row>
        <row r="7620">
          <cell r="B7620" t="str">
            <v>14051206010408</v>
          </cell>
          <cell r="C7620" t="str">
            <v>CL PRE JUD PAG.TV.COFIDE REVOL CMED     1ND</v>
          </cell>
        </row>
        <row r="7621">
          <cell r="B7621" t="str">
            <v>14051206010409</v>
          </cell>
          <cell r="C7621" t="str">
            <v>CL PREJUD CONSU REV ADEL SUELDO         1ND</v>
          </cell>
        </row>
        <row r="7622">
          <cell r="B7622" t="str">
            <v>14051206010410</v>
          </cell>
          <cell r="C7622" t="str">
            <v>CL PREJUD CONSU REV PREF CMED           1ND</v>
          </cell>
        </row>
        <row r="7623">
          <cell r="B7623" t="str">
            <v>14051206010411</v>
          </cell>
          <cell r="C7623" t="str">
            <v>CL MYP PRE-JUD.CAP.TRAB.REV.CMED        1ND</v>
          </cell>
        </row>
        <row r="7624">
          <cell r="B7624" t="str">
            <v>14051206010412</v>
          </cell>
          <cell r="C7624" t="str">
            <v>CL PREJUD HIPOT.MI VIVIEND VEN COFIDE CM1ND</v>
          </cell>
        </row>
        <row r="7625">
          <cell r="B7625" t="str">
            <v>14051206010501</v>
          </cell>
          <cell r="C7625" t="str">
            <v>JCC PRE JUDIC RP CAP.TRAB VENC REVOLV. C1ND</v>
          </cell>
        </row>
        <row r="7626">
          <cell r="B7626" t="str">
            <v>14051206010502</v>
          </cell>
          <cell r="C7626" t="str">
            <v>JCC PRE JUD PAG.TV.COFIDE REVOL CMED    1ND</v>
          </cell>
        </row>
        <row r="7627">
          <cell r="B7627" t="str">
            <v>14051206010503</v>
          </cell>
          <cell r="C7627" t="str">
            <v>JCC MYP PRE-JUD.CAP.TRAB.REV.CMED       1ND</v>
          </cell>
        </row>
        <row r="7628">
          <cell r="B7628" t="str">
            <v>14051206010512</v>
          </cell>
          <cell r="C7628" t="str">
            <v>LPC REACTIVA PERU VEN CMED\NORM         1ND</v>
          </cell>
        </row>
        <row r="7629">
          <cell r="B7629" t="str">
            <v>14051206010513</v>
          </cell>
          <cell r="C7629" t="str">
            <v>LPC REACTIVA PERU VEN CMED\DUPE         1ND</v>
          </cell>
        </row>
        <row r="7630">
          <cell r="B7630" t="str">
            <v>14051206010514</v>
          </cell>
          <cell r="C7630" t="str">
            <v>LPC COFIDE FONDOS PERU VEN CMED\NORM    1ND</v>
          </cell>
        </row>
        <row r="7631">
          <cell r="B7631" t="str">
            <v>14051206010515</v>
          </cell>
          <cell r="C7631" t="str">
            <v>LPC COFIDE FONDOS PERU VEN CMED\DUPE    1ND</v>
          </cell>
        </row>
        <row r="7632">
          <cell r="B7632" t="str">
            <v>14051206010516</v>
          </cell>
          <cell r="C7632" t="str">
            <v>LPC COFIDE FONDO CRECER VEN CMED\NORM   1ND</v>
          </cell>
        </row>
        <row r="7633">
          <cell r="B7633" t="str">
            <v>14051206010517</v>
          </cell>
          <cell r="C7633" t="str">
            <v>LPC COFIDE FONDO CRECER VEN CMED\DUPE   1ND</v>
          </cell>
        </row>
        <row r="7634">
          <cell r="B7634" t="str">
            <v>14051206010518</v>
          </cell>
          <cell r="C7634" t="str">
            <v>LPC REACTIVA PERU VEN CMED\NORM         1ND</v>
          </cell>
        </row>
        <row r="7635">
          <cell r="B7635" t="str">
            <v>14051206010519</v>
          </cell>
          <cell r="C7635" t="str">
            <v>LPC REACTIVA PERU VEN CMED\DUPE         1ND</v>
          </cell>
        </row>
        <row r="7636">
          <cell r="B7636" t="str">
            <v>14051206010520</v>
          </cell>
          <cell r="C7636" t="str">
            <v>LPC REPROG EM COVID-19 FINAN.COMEX VENC 1ND</v>
          </cell>
        </row>
        <row r="7637">
          <cell r="B7637" t="str">
            <v>14051206010522</v>
          </cell>
          <cell r="C7637" t="str">
            <v>LPC PAG MEDIANO PLAZO COVID-19 CMED REV 1ND</v>
          </cell>
        </row>
        <row r="7638">
          <cell r="B7638" t="str">
            <v>14051206010523</v>
          </cell>
          <cell r="C7638" t="str">
            <v>LPC REF_FINAN_ESPECIALES_CMED COVID-19  1ND</v>
          </cell>
        </row>
        <row r="7639">
          <cell r="B7639" t="str">
            <v>14051206010524</v>
          </cell>
          <cell r="C7639" t="str">
            <v>LPC REF_FINAN_ESPECIALES_CMED COVID-19  1ND</v>
          </cell>
        </row>
        <row r="7640">
          <cell r="B7640" t="str">
            <v>14051206010525</v>
          </cell>
          <cell r="C7640" t="str">
            <v>LPC RP MED PZ PREST VERDE-SOCIAL CMED VE1 D</v>
          </cell>
        </row>
        <row r="7641">
          <cell r="B7641" t="str">
            <v>14051206010526</v>
          </cell>
          <cell r="C7641" t="str">
            <v>LPC RP MED PZ PREST VERDE-SOCIAL CMED VE1 D</v>
          </cell>
        </row>
        <row r="7642">
          <cell r="B7642" t="str">
            <v>14051206010527</v>
          </cell>
          <cell r="C7642" t="str">
            <v>LPC RP MED PZ PREST SOSTENIBLE CMED VEN 1 D</v>
          </cell>
        </row>
        <row r="7643">
          <cell r="B7643" t="str">
            <v>14051206010528</v>
          </cell>
          <cell r="C7643" t="str">
            <v>LPC RP MED PZ PREST SOSTENIBLE CMED VEN 1 D</v>
          </cell>
        </row>
        <row r="7644">
          <cell r="B7644" t="str">
            <v>14051206010529</v>
          </cell>
          <cell r="C7644" t="str">
            <v>LPC IMPULSO MYPERU CORTO PLAZO VEN REV C1 D</v>
          </cell>
        </row>
        <row r="7645">
          <cell r="B7645" t="str">
            <v>14051206010530</v>
          </cell>
          <cell r="C7645" t="str">
            <v>LPC IMPULSO MYPERU MEDIANO PLAZO VEN REV1 D</v>
          </cell>
        </row>
        <row r="7646">
          <cell r="B7646" t="str">
            <v>14051206010531</v>
          </cell>
          <cell r="C7646" t="str">
            <v>MYP LINEA REVOLV CIMA VEN NORM CMED     1 D</v>
          </cell>
        </row>
        <row r="7647">
          <cell r="B7647" t="str">
            <v>14051206010532</v>
          </cell>
          <cell r="C7647" t="str">
            <v>MYP LINEA REVOLV CIMA VEN DUPE CMED     1 D</v>
          </cell>
        </row>
        <row r="7648">
          <cell r="B7648" t="str">
            <v>14051206010533</v>
          </cell>
          <cell r="C7648" t="str">
            <v>LPC PAG PAPERLESS DERIVADOS REVOL CMED N1ND</v>
          </cell>
        </row>
        <row r="7649">
          <cell r="B7649" t="str">
            <v>14051206010534</v>
          </cell>
          <cell r="C7649" t="str">
            <v>LPC PAG PAPERLESS DERIVADOS REVOL CMED D1ND</v>
          </cell>
        </row>
        <row r="7650">
          <cell r="B7650" t="str">
            <v>14051206010535</v>
          </cell>
          <cell r="C7650" t="str">
            <v>CCD-BPE LINEA REVOLVENTE_CMED VEN NORM  1 D</v>
          </cell>
        </row>
        <row r="7651">
          <cell r="B7651" t="str">
            <v>14051206010536</v>
          </cell>
          <cell r="C7651" t="str">
            <v>CCD-BPE LINEA REVOLVENTE_CMED VEN DUPE  1 D</v>
          </cell>
        </row>
        <row r="7652">
          <cell r="B7652" t="str">
            <v>14051206020101</v>
          </cell>
          <cell r="C7652" t="str">
            <v>MYP CAP.VENC CAP.TRAB.CMED              1ND</v>
          </cell>
        </row>
        <row r="7653">
          <cell r="B7653" t="str">
            <v>14051206020102</v>
          </cell>
          <cell r="C7653" t="str">
            <v>MYP CAP.COMPRA AF CMED                  1ND</v>
          </cell>
        </row>
        <row r="7654">
          <cell r="B7654" t="str">
            <v>14051206020103</v>
          </cell>
          <cell r="C7654" t="str">
            <v>MYP CAP.VENC CRED PARAL.CMED            1ND</v>
          </cell>
        </row>
        <row r="7655">
          <cell r="B7655" t="str">
            <v>14051206020104</v>
          </cell>
          <cell r="C7655" t="str">
            <v>MYP D/P CAP VENC CAP.TRAB CMED          1ND</v>
          </cell>
        </row>
        <row r="7656">
          <cell r="B7656" t="str">
            <v>14051206020105</v>
          </cell>
          <cell r="C7656" t="str">
            <v>MYP D/P CAP VENC AF INMUEBLE CMED       1ND</v>
          </cell>
        </row>
        <row r="7657">
          <cell r="B7657" t="str">
            <v>14051206020106</v>
          </cell>
          <cell r="C7657" t="str">
            <v>MYP D/P CAP VENC AF INMUEBLE CMED       1ND</v>
          </cell>
        </row>
        <row r="7658">
          <cell r="B7658" t="str">
            <v>14051206020107</v>
          </cell>
          <cell r="C7658" t="str">
            <v>MYP D/P CAP VENC AF INMUEBLE CMED       1ND</v>
          </cell>
        </row>
        <row r="7659">
          <cell r="B7659" t="str">
            <v>14051206020108</v>
          </cell>
          <cell r="C7659" t="str">
            <v>MYP CAP.VENC COMPRA DEUD CMED           1ND</v>
          </cell>
        </row>
        <row r="7660">
          <cell r="B7660" t="str">
            <v>14051206020109</v>
          </cell>
          <cell r="C7660" t="str">
            <v>MYP D/P CAP VENC FIN. COMP.DEU.CAP.TRAB 1ND</v>
          </cell>
        </row>
        <row r="7661">
          <cell r="B7661" t="str">
            <v>14051206020110</v>
          </cell>
          <cell r="C7661" t="str">
            <v>MYP CAP.VENC FIN. CRED. PARAL. CMED     1ND</v>
          </cell>
        </row>
        <row r="7662">
          <cell r="B7662" t="str">
            <v>14051206020111</v>
          </cell>
          <cell r="C7662" t="str">
            <v>MYP CAP.VENC TRANSP PUBL CMED           1ND</v>
          </cell>
        </row>
        <row r="7663">
          <cell r="B7663" t="str">
            <v>14051206020112</v>
          </cell>
          <cell r="C7663" t="str">
            <v>MYP D/P CAP VENC TRANSP PUB CMED        1ND</v>
          </cell>
        </row>
        <row r="7664">
          <cell r="B7664" t="str">
            <v>14051206020113</v>
          </cell>
          <cell r="C7664" t="str">
            <v>MYP D/P CAP VENC CRED ESTAC CMED        1ND</v>
          </cell>
        </row>
        <row r="7665">
          <cell r="B7665" t="str">
            <v>14051206020114</v>
          </cell>
          <cell r="C7665" t="str">
            <v>MYP COMP DEUD AF VIG CMED VENC          1ND</v>
          </cell>
        </row>
        <row r="7666">
          <cell r="B7666" t="str">
            <v>14051206020115</v>
          </cell>
          <cell r="C7666" t="str">
            <v>MYP COMP DEUD AF VIG CMED VENC D/P      1ND</v>
          </cell>
        </row>
        <row r="7667">
          <cell r="B7667" t="str">
            <v>14051206020116</v>
          </cell>
          <cell r="C7667" t="str">
            <v>MYP E.R.CAP.VEN.FIN. CAP. TRAB CMED     1ND</v>
          </cell>
        </row>
        <row r="7668">
          <cell r="B7668" t="str">
            <v>14051206020117</v>
          </cell>
          <cell r="C7668" t="str">
            <v>MYP E.R.CAP.VEN.FIN. CAP. TRAB CMED D/P 1ND</v>
          </cell>
        </row>
        <row r="7669">
          <cell r="B7669" t="str">
            <v>14051206020118</v>
          </cell>
          <cell r="C7669" t="str">
            <v>MYP REFIN.VENC COBRAN C/FIJA CMED       1ND</v>
          </cell>
        </row>
        <row r="7670">
          <cell r="B7670" t="str">
            <v>14051206020119</v>
          </cell>
          <cell r="C7670" t="str">
            <v>MYP ER VENC  FIN CAP TRA DUP CMED       1ND</v>
          </cell>
        </row>
        <row r="7671">
          <cell r="B7671" t="str">
            <v>14051206020120</v>
          </cell>
          <cell r="C7671" t="str">
            <v>JCC PRE JUDIC MYP COMP INM  NR CMED     1ND</v>
          </cell>
        </row>
        <row r="7672">
          <cell r="B7672" t="str">
            <v>14051206020121</v>
          </cell>
          <cell r="C7672" t="str">
            <v>JCC PRE JUDIC MYP COMP AF MUEB NR CMED  1ND</v>
          </cell>
        </row>
        <row r="7673">
          <cell r="B7673" t="str">
            <v>14051206020122</v>
          </cell>
          <cell r="C7673" t="str">
            <v>JCC PRE JUD TV MEDI. PLZ C/FIJA CMED    1ND</v>
          </cell>
        </row>
        <row r="7674">
          <cell r="B7674" t="str">
            <v>14051206020123</v>
          </cell>
          <cell r="C7674" t="str">
            <v>JCC  MYP CAP TRAB PRE JUD  CMED         1ND</v>
          </cell>
        </row>
        <row r="7675">
          <cell r="B7675" t="str">
            <v>14051206020124</v>
          </cell>
          <cell r="C7675" t="str">
            <v>JCC PRE JUDIC MYP CRED ESTAC NR CMED    1ND</v>
          </cell>
        </row>
        <row r="7676">
          <cell r="B7676" t="str">
            <v>14051206020125</v>
          </cell>
          <cell r="C7676" t="str">
            <v>JCC PRE JUDIC MYP AF CYBERPLZ NR CMED   1ND</v>
          </cell>
        </row>
        <row r="7677">
          <cell r="B7677" t="str">
            <v>14051206020126</v>
          </cell>
          <cell r="C7677" t="str">
            <v>MYP CAPTRABPROVREFVEN CMED              1ND</v>
          </cell>
        </row>
        <row r="7678">
          <cell r="B7678" t="str">
            <v>14051206020127</v>
          </cell>
          <cell r="C7678" t="str">
            <v>MYP CAP.TRAB.REUT.VEN CMED              1ND</v>
          </cell>
        </row>
        <row r="7679">
          <cell r="B7679" t="str">
            <v>14051206020128</v>
          </cell>
          <cell r="C7679" t="str">
            <v>MYP DUPE CAP TRAB PROV REF VEN CMED     1ND</v>
          </cell>
        </row>
        <row r="7680">
          <cell r="B7680" t="str">
            <v>14051206020201</v>
          </cell>
          <cell r="C7680" t="str">
            <v>CL PRE JUD TV MEDI. PLZ C/FIJA CMED     1ND</v>
          </cell>
        </row>
        <row r="7681">
          <cell r="B7681" t="str">
            <v>14051206020202</v>
          </cell>
          <cell r="C7681" t="str">
            <v>CL CJ MYP CAP TRAB PRE JUD  CMED        1ND</v>
          </cell>
        </row>
        <row r="7682">
          <cell r="B7682" t="str">
            <v>14051206020203</v>
          </cell>
          <cell r="C7682" t="str">
            <v>CL PRE JUDIC MYP COMP INM  NR CMED      1ND</v>
          </cell>
        </row>
        <row r="7683">
          <cell r="B7683" t="str">
            <v>14051206020204</v>
          </cell>
          <cell r="C7683" t="str">
            <v>CL PRE JUDIC MYP COMP AF MUEB NR CMED   1ND</v>
          </cell>
        </row>
        <row r="7684">
          <cell r="B7684" t="str">
            <v>14051206020205</v>
          </cell>
          <cell r="C7684" t="str">
            <v>CL PRE JUDIC MYP CRED ESTAC NR CMED     1ND</v>
          </cell>
        </row>
        <row r="7685">
          <cell r="B7685" t="str">
            <v>14051206020206</v>
          </cell>
          <cell r="C7685" t="str">
            <v>CL PRE JUDIC MYP AF CYBERPLZ NR CMED    1ND</v>
          </cell>
        </row>
        <row r="7686">
          <cell r="B7686" t="str">
            <v>14051206020208</v>
          </cell>
          <cell r="C7686" t="str">
            <v>CL CAPITAL PRE JUD CRED HIPOTEC IC CMED 1ND</v>
          </cell>
        </row>
        <row r="7687">
          <cell r="B7687" t="str">
            <v>14051206020301</v>
          </cell>
          <cell r="C7687" t="str">
            <v>LPC PAG TV REEST NO REV VENC CMED       1ND</v>
          </cell>
        </row>
        <row r="7688">
          <cell r="B7688" t="str">
            <v>14051206020302</v>
          </cell>
          <cell r="C7688" t="str">
            <v>MYP D/P PAG BPE-BE VENC COMERCIAL CMED  1ND</v>
          </cell>
        </row>
        <row r="7689">
          <cell r="B7689" t="str">
            <v>14051206020303</v>
          </cell>
          <cell r="C7689" t="str">
            <v>MYP PAG BPE-BE COMERCIAL VENC NORM CMED 1ND</v>
          </cell>
        </row>
        <row r="7690">
          <cell r="B7690" t="str">
            <v>14051206020401</v>
          </cell>
          <cell r="C7690" t="str">
            <v>HPC ME CAP.VENC EFEC C/GARANT. HIP.     1ND</v>
          </cell>
        </row>
        <row r="7691">
          <cell r="B7691" t="str">
            <v>14051206020402</v>
          </cell>
          <cell r="C7691" t="str">
            <v>HPC ME D/P CAP VENC EFEC C/GARANT. HIP. 1ND</v>
          </cell>
        </row>
        <row r="7692">
          <cell r="B7692" t="str">
            <v>14051206020403</v>
          </cell>
          <cell r="C7692" t="str">
            <v>HPC ME REF CAP.VENC EFEC C/GARANT. HIP. 1ND</v>
          </cell>
        </row>
        <row r="7693">
          <cell r="B7693" t="str">
            <v>14051206020404</v>
          </cell>
          <cell r="C7693" t="str">
            <v>MYP CAP.VENC CAP.TRAB. CIMA NOR/DP CMED 1ND</v>
          </cell>
        </row>
        <row r="7694">
          <cell r="B7694" t="str">
            <v>14051206020405</v>
          </cell>
          <cell r="C7694" t="str">
            <v>MYP CODIFE FONDO CRECER VEN CMED\DUPE   1ND</v>
          </cell>
        </row>
        <row r="7695">
          <cell r="B7695" t="str">
            <v>14051206020406</v>
          </cell>
          <cell r="C7695" t="str">
            <v>MYP CODIFE FONDO CRECER VEN CMED\NORM   1ND</v>
          </cell>
        </row>
        <row r="7696">
          <cell r="B7696" t="str">
            <v>14051206020407</v>
          </cell>
          <cell r="C7696" t="str">
            <v>MYP CODIFE REACTIVA PERU VEN CMED\DUPE  1ND</v>
          </cell>
        </row>
        <row r="7697">
          <cell r="B7697" t="str">
            <v>14051206020408</v>
          </cell>
          <cell r="C7697" t="str">
            <v>MYP CODIFE REACTIVA PERU VEN CMED\NORM  1ND</v>
          </cell>
        </row>
        <row r="7698">
          <cell r="B7698" t="str">
            <v>14051206020409</v>
          </cell>
          <cell r="C7698" t="str">
            <v>LPC VENC PAG TV RP NO REVOL CMED        1ND</v>
          </cell>
        </row>
        <row r="7699">
          <cell r="B7699" t="str">
            <v>14051206020410</v>
          </cell>
          <cell r="C7699" t="str">
            <v>LPC PAG TV RP MED PLAZO NO REV CMED     1ND</v>
          </cell>
        </row>
        <row r="7700">
          <cell r="B7700" t="str">
            <v>14051206020411</v>
          </cell>
          <cell r="C7700" t="str">
            <v>LPC PAG TV RP MED PLAZO NO REV D/P CMED 1ND</v>
          </cell>
        </row>
        <row r="7701">
          <cell r="B7701" t="str">
            <v>14051206020412</v>
          </cell>
          <cell r="C7701" t="str">
            <v>JCC PREJUD RP CAPTRAB VENC NO REVOLV CME1ND</v>
          </cell>
        </row>
        <row r="7702">
          <cell r="B7702" t="str">
            <v>14051206020413</v>
          </cell>
          <cell r="C7702" t="str">
            <v>LPC VENC PAG TV RP NO REVOL CMED        1ND</v>
          </cell>
        </row>
        <row r="7703">
          <cell r="B7703" t="str">
            <v>14051206020414</v>
          </cell>
          <cell r="C7703" t="str">
            <v>LPC PAG TV RP MED PLAZO NO REV CMED     1ND</v>
          </cell>
        </row>
        <row r="7704">
          <cell r="B7704" t="str">
            <v>14051206020415</v>
          </cell>
          <cell r="C7704" t="str">
            <v>LPC PAG TV RP MED PLAZO NO REV D/P CMED 1ND</v>
          </cell>
        </row>
        <row r="7705">
          <cell r="B7705" t="str">
            <v>14051206020416</v>
          </cell>
          <cell r="C7705" t="str">
            <v>JCC PREJUD RP CAPTRAB VENC NO REVOLV CME1ND</v>
          </cell>
        </row>
        <row r="7706">
          <cell r="B7706" t="str">
            <v>14051206020417</v>
          </cell>
          <cell r="C7706" t="str">
            <v>LPC PAG COMERC REPROG-SUSPENSO VENC CMED1ND</v>
          </cell>
        </row>
        <row r="7707">
          <cell r="B7707" t="str">
            <v>14051206020418</v>
          </cell>
          <cell r="C7707" t="str">
            <v>JCC PRE JUD REACTIVA PERU NO REVOLV CMED1ND</v>
          </cell>
        </row>
        <row r="7708">
          <cell r="B7708" t="str">
            <v>14051206020419</v>
          </cell>
          <cell r="C7708" t="str">
            <v>LPC COFIDE FONDO CRECER VEN CMED\NORM   1ND</v>
          </cell>
        </row>
        <row r="7709">
          <cell r="B7709" t="str">
            <v>14051206020420</v>
          </cell>
          <cell r="C7709" t="str">
            <v>LPC COFIDE FONDO CRECER VEN CMED\DUPE   1ND</v>
          </cell>
        </row>
        <row r="7710">
          <cell r="B7710" t="str">
            <v>14051206020421</v>
          </cell>
          <cell r="C7710" t="str">
            <v>LPC PAG TV D/P VENC NO REV CMED         1ND</v>
          </cell>
        </row>
        <row r="7711">
          <cell r="B7711" t="str">
            <v>14051206020422</v>
          </cell>
          <cell r="C7711" t="str">
            <v>LPC PAG TV D/P VENC NO REV CMED         1ND</v>
          </cell>
        </row>
        <row r="7712">
          <cell r="B7712" t="str">
            <v>14051206020423</v>
          </cell>
          <cell r="C7712" t="str">
            <v>LPC PAG.INMOB. REPROG-SUSPENSO VEN CMED 1ND</v>
          </cell>
        </row>
        <row r="7713">
          <cell r="B7713" t="str">
            <v>14051206020424</v>
          </cell>
          <cell r="C7713" t="str">
            <v>LPC PAG TV D/P VENC NO REV CMED         1ND</v>
          </cell>
        </row>
        <row r="7714">
          <cell r="B7714" t="str">
            <v>14051206020425</v>
          </cell>
          <cell r="C7714" t="str">
            <v>LPC PAG.INMOB. REPROG-SUSPENSO VEN CMED 1ND</v>
          </cell>
        </row>
        <row r="7715">
          <cell r="B7715" t="str">
            <v>14051206020426</v>
          </cell>
          <cell r="C7715" t="str">
            <v>LPC REPROG EM COVID-19 FINAN COMEX VENC 1ND</v>
          </cell>
        </row>
        <row r="7716">
          <cell r="B7716" t="str">
            <v>14051206020427</v>
          </cell>
          <cell r="C7716" t="str">
            <v>LPC PAG DERIVADOS D/P VENC NO REV CMED  1 D</v>
          </cell>
        </row>
        <row r="7717">
          <cell r="B7717" t="str">
            <v>14051206020428</v>
          </cell>
          <cell r="C7717" t="str">
            <v>LPC PAG DERIVADOS VEN NO REVOL CMED     1 D</v>
          </cell>
        </row>
        <row r="7718">
          <cell r="B7718" t="str">
            <v>14051206020429</v>
          </cell>
          <cell r="C7718" t="str">
            <v>LPC REACTIVA PERU VEN CMED\DUPE         1 D</v>
          </cell>
        </row>
        <row r="7719">
          <cell r="B7719" t="str">
            <v>14051206020430</v>
          </cell>
          <cell r="C7719" t="str">
            <v>LPC REACTIVA PERU VEN CMED\NORM         1 D</v>
          </cell>
        </row>
        <row r="7720">
          <cell r="B7720" t="str">
            <v>14051206020437</v>
          </cell>
          <cell r="C7720" t="str">
            <v>LPC 30K REACTIVA CORTO PLAZO REPROG VEN 1 D</v>
          </cell>
        </row>
        <row r="7721">
          <cell r="B7721" t="str">
            <v>14051206020438</v>
          </cell>
          <cell r="C7721" t="str">
            <v>LPC 30K REACTIVA CORTO PLAZO REPROG VEN 1 D</v>
          </cell>
        </row>
        <row r="7722">
          <cell r="B7722" t="str">
            <v>14051206020439</v>
          </cell>
          <cell r="C7722" t="str">
            <v>MYP REACTIVA REPROG VEN CMED            1 D</v>
          </cell>
        </row>
        <row r="7723">
          <cell r="B7723" t="str">
            <v>14051206020440</v>
          </cell>
          <cell r="C7723" t="str">
            <v>JCC PRE JUD REACTIVA PERU NO REVOLV CMED1 D</v>
          </cell>
        </row>
        <row r="7724">
          <cell r="B7724" t="str">
            <v>14051206020442</v>
          </cell>
          <cell r="C7724" t="str">
            <v>JCC PRE JUD FONDO CRECER CMED           1 D</v>
          </cell>
        </row>
        <row r="7725">
          <cell r="B7725" t="str">
            <v>14051206020443</v>
          </cell>
          <cell r="C7725" t="str">
            <v>JCC PRE JUD FONDO CRECER CMED           1 D</v>
          </cell>
        </row>
        <row r="7726">
          <cell r="B7726" t="str">
            <v>14051206020444</v>
          </cell>
          <cell r="C7726" t="str">
            <v>JCC PRE JUD REACTIVA PRE-HONRAMIENTO CME1 D</v>
          </cell>
        </row>
        <row r="7727">
          <cell r="B7727" t="str">
            <v>14051206020445</v>
          </cell>
          <cell r="C7727" t="str">
            <v>JCC PRE JUD REACTIVA PRE-HONRAMIENTO CME1 D</v>
          </cell>
        </row>
        <row r="7728">
          <cell r="B7728" t="str">
            <v>14051206020446</v>
          </cell>
          <cell r="C7728" t="str">
            <v>HPC ME CRED VEHICULAR NRV VENC-90       1 D</v>
          </cell>
        </row>
        <row r="7729">
          <cell r="B7729" t="str">
            <v>14051206020447</v>
          </cell>
          <cell r="C7729" t="str">
            <v>LPC P.TV REC.COFIDE NO REVOL VEN CMED   1 D</v>
          </cell>
        </row>
        <row r="7730">
          <cell r="B7730" t="str">
            <v>14051206020448</v>
          </cell>
          <cell r="C7730" t="str">
            <v>LPC PAG TV D/P VENC NO REV CMED         1 D</v>
          </cell>
        </row>
        <row r="7731">
          <cell r="B7731" t="str">
            <v>14051206020449</v>
          </cell>
          <cell r="C7731" t="str">
            <v>LPC PAG TV INMOBILIARIO NO REV          1 D</v>
          </cell>
        </row>
        <row r="7732">
          <cell r="B7732" t="str">
            <v>14051206020450</v>
          </cell>
          <cell r="C7732" t="str">
            <v>LPC PAG TV INMOBILIARIO NO REV D/P      1 D</v>
          </cell>
        </row>
        <row r="7733">
          <cell r="B7733" t="str">
            <v>14051206020451</v>
          </cell>
          <cell r="C7733" t="str">
            <v>JCC PRE JUD NO REV CRED VEHIC CMED      1 D</v>
          </cell>
        </row>
        <row r="7734">
          <cell r="B7734" t="str">
            <v>14051206020452</v>
          </cell>
          <cell r="C7734" t="str">
            <v>HPC ME CRED EFECTIVO NRV VENC           1 D</v>
          </cell>
        </row>
        <row r="7735">
          <cell r="B7735" t="str">
            <v>14051206020453</v>
          </cell>
          <cell r="C7735" t="str">
            <v>LPC REF_FINAN_ESPECIALES_CMED VEN DP COV1 D</v>
          </cell>
        </row>
        <row r="7736">
          <cell r="B7736" t="str">
            <v>14051206020454</v>
          </cell>
          <cell r="C7736" t="str">
            <v>LPC REF_FINAN_ESPECIALES_CMED VEN COVID-1 D</v>
          </cell>
        </row>
        <row r="7737">
          <cell r="B7737" t="str">
            <v>14051206020455</v>
          </cell>
          <cell r="C7737" t="str">
            <v>LPC REPROG REACTIVA DIFE  CMED VEN      1 D</v>
          </cell>
        </row>
        <row r="7738">
          <cell r="B7738" t="str">
            <v>14051206020456</v>
          </cell>
          <cell r="C7738" t="str">
            <v>HPC CRED NRV VEHICULAR VENCIDO CMED NORM1 D</v>
          </cell>
        </row>
        <row r="7739">
          <cell r="B7739" t="str">
            <v>14051206020457</v>
          </cell>
          <cell r="C7739" t="str">
            <v>HPC CRED NRV VEHICULAR VENCIDO CMED DUPE1 D</v>
          </cell>
        </row>
        <row r="7740">
          <cell r="B7740" t="str">
            <v>14051206020458</v>
          </cell>
          <cell r="C7740" t="str">
            <v>LPC REPROG REACTIVA DS.011-2022 CMED NOR1 D</v>
          </cell>
        </row>
        <row r="7741">
          <cell r="B7741" t="str">
            <v>14051206020459</v>
          </cell>
          <cell r="C7741" t="str">
            <v>LPC REPROG REACTIVA DS.011-2022 CMED DUP1 D</v>
          </cell>
        </row>
        <row r="7742">
          <cell r="B7742" t="str">
            <v>14051206020460</v>
          </cell>
          <cell r="C7742" t="str">
            <v>MYP REPROG REACTIVA DS.011-2022 CMED NOR1 D</v>
          </cell>
        </row>
        <row r="7743">
          <cell r="B7743" t="str">
            <v>14051206020461</v>
          </cell>
          <cell r="C7743" t="str">
            <v>MYP REPROG REACTIVA DS.011-2022 CMED DUP1 D</v>
          </cell>
        </row>
        <row r="7744">
          <cell r="B7744" t="str">
            <v>14051206020472</v>
          </cell>
          <cell r="C7744" t="str">
            <v>MYP CAP_TRAB_CIMA CMED VEN  NORM        1 D</v>
          </cell>
        </row>
        <row r="7745">
          <cell r="B7745" t="str">
            <v>14051206020473</v>
          </cell>
          <cell r="C7745" t="str">
            <v>MYP CAP_TRAB_CIMA CMED VEN  DUPE        1 D</v>
          </cell>
        </row>
        <row r="7746">
          <cell r="B7746" t="str">
            <v>14051206020474</v>
          </cell>
          <cell r="C7746" t="str">
            <v>MYP REPROGRAMADO CIMA CMED VEN NORM     1 D</v>
          </cell>
        </row>
        <row r="7747">
          <cell r="B7747" t="str">
            <v>14051206020475</v>
          </cell>
          <cell r="C7747" t="str">
            <v>MYP REPROGRAMADO CIMA CMED VEN DUPE     1 D</v>
          </cell>
        </row>
        <row r="7748">
          <cell r="B7748" t="str">
            <v>14051206020476</v>
          </cell>
          <cell r="C7748" t="str">
            <v>LPC RP MED PZ PREST VERDE-SOCIAL CMED VE1 D</v>
          </cell>
        </row>
        <row r="7749">
          <cell r="B7749" t="str">
            <v>14051206020477</v>
          </cell>
          <cell r="C7749" t="str">
            <v>LPC RP MED PZ PREST VERDE-SOCIAL CMED VE1 D</v>
          </cell>
        </row>
        <row r="7750">
          <cell r="B7750" t="str">
            <v>14051206020478</v>
          </cell>
          <cell r="C7750" t="str">
            <v>LPC RP MED PZ PREST SOSTENIBLE CMED VEN 1 D</v>
          </cell>
        </row>
        <row r="7751">
          <cell r="B7751" t="str">
            <v>14051206020479</v>
          </cell>
          <cell r="C7751" t="str">
            <v>LPC RP MED PZ PREST SOSTENIBLE CMED VEN 1 D</v>
          </cell>
        </row>
        <row r="7752">
          <cell r="B7752" t="str">
            <v>14051206020480</v>
          </cell>
          <cell r="C7752" t="str">
            <v>MYP REPROG REACTIVA 2023 CMED NORM VEN  1 D</v>
          </cell>
        </row>
        <row r="7753">
          <cell r="B7753" t="str">
            <v>14051206020481</v>
          </cell>
          <cell r="C7753" t="str">
            <v>MYP REPROG REACTIVA 2023 CMED DUPE VEN  1 D</v>
          </cell>
        </row>
        <row r="7754">
          <cell r="B7754" t="str">
            <v>14051206020482</v>
          </cell>
          <cell r="C7754" t="str">
            <v>LPC REPROG REACTIVA 2023 VEN CMED NORM  1 D</v>
          </cell>
        </row>
        <row r="7755">
          <cell r="B7755" t="str">
            <v>14051206020483</v>
          </cell>
          <cell r="C7755" t="str">
            <v>LPC REPROG REACTIVA 2023 VEN CMED DUPE  1 D</v>
          </cell>
        </row>
        <row r="7756">
          <cell r="B7756" t="str">
            <v>14051206020484</v>
          </cell>
          <cell r="C7756" t="str">
            <v>MYP CAP. TRAB - PAGARE DIGITAL_CMED NORM1 D</v>
          </cell>
        </row>
        <row r="7757">
          <cell r="B7757" t="str">
            <v>14051206020485</v>
          </cell>
          <cell r="C7757" t="str">
            <v>MYP CAP. TRAB - PAGARE DIGITAL_CMED DUPE1 D</v>
          </cell>
        </row>
        <row r="7758">
          <cell r="B7758" t="str">
            <v>14051206020486</v>
          </cell>
          <cell r="C7758" t="str">
            <v>JCC PRE JU REACTIVA PRE-HONRAMIENTO REPR1 D</v>
          </cell>
        </row>
        <row r="7759">
          <cell r="B7759" t="str">
            <v>14051206020487</v>
          </cell>
          <cell r="C7759" t="str">
            <v>JCC PRE JU REACTIVA PRE-HONRAMIENTO REPR1 D</v>
          </cell>
        </row>
        <row r="7760">
          <cell r="B7760" t="str">
            <v>14051206020488</v>
          </cell>
          <cell r="C7760" t="str">
            <v>JCC PRE JU REACTIVA PRE-HONRAMIENTO REPR1 D</v>
          </cell>
        </row>
        <row r="7761">
          <cell r="B7761" t="str">
            <v>14051206020489</v>
          </cell>
          <cell r="C7761" t="str">
            <v>JCC PRE JUD CRECER PRE-HONRAMIENTO CMED 1 D</v>
          </cell>
        </row>
        <row r="7762">
          <cell r="B7762" t="str">
            <v>14051206020490</v>
          </cell>
          <cell r="C7762" t="str">
            <v>JCC PRE JU REACTIVA PRE-HONRAMIENTO REPR1 D</v>
          </cell>
        </row>
        <row r="7763">
          <cell r="B7763" t="str">
            <v>14051206020491</v>
          </cell>
          <cell r="C7763" t="str">
            <v>JCC PRE JU REACTIVA PRE-HONRAMIENTO REPR1 D</v>
          </cell>
        </row>
        <row r="7764">
          <cell r="B7764" t="str">
            <v>14051206020492</v>
          </cell>
          <cell r="C7764" t="str">
            <v>JCC PRE JU REACTIVA PRE-HONRAMIENTO REPR1 D</v>
          </cell>
        </row>
        <row r="7765">
          <cell r="B7765" t="str">
            <v>14051206020493</v>
          </cell>
          <cell r="C7765" t="str">
            <v>JCC PRE JUD CRECER PRE-HONRAMIENTO CMED 1 D</v>
          </cell>
        </row>
        <row r="7766">
          <cell r="B7766" t="str">
            <v>14051206020494</v>
          </cell>
          <cell r="C7766" t="str">
            <v>MYP IMPULSO MYPERU VEN CMED DUPE        1 D</v>
          </cell>
        </row>
        <row r="7767">
          <cell r="B7767" t="str">
            <v>14051206020495</v>
          </cell>
          <cell r="C7767" t="str">
            <v>MYP IMPULSO MYPERU VEN CMED NORM        1 D</v>
          </cell>
        </row>
        <row r="7768">
          <cell r="B7768" t="str">
            <v>14051206020496</v>
          </cell>
          <cell r="C7768" t="str">
            <v>LPC IMPULSO MYPERU CORTO PLAZO VEN NREV 1 D</v>
          </cell>
        </row>
        <row r="7769">
          <cell r="B7769" t="str">
            <v>14051206020497</v>
          </cell>
          <cell r="C7769" t="str">
            <v>LPC IMPULSO MYPERU MEDIANO PLAZO VEN NRE1 D</v>
          </cell>
        </row>
        <row r="7770">
          <cell r="B7770" t="str">
            <v>14051206020498</v>
          </cell>
          <cell r="C7770" t="str">
            <v>MYP CAPITAL DE TRAB CIMA REUT DIF VEN CM1 D</v>
          </cell>
        </row>
        <row r="7771">
          <cell r="B7771" t="str">
            <v>14051206020499</v>
          </cell>
          <cell r="C7771" t="str">
            <v>MYP CAPITAL DE TRAB CIMA REUT DIF VEN CM1 D</v>
          </cell>
        </row>
        <row r="7772">
          <cell r="B7772" t="str">
            <v>14051206020500</v>
          </cell>
          <cell r="C7772" t="str">
            <v>JCC MP PRE JUD CAP IMPULSO MYPERU IBK CM1 D</v>
          </cell>
        </row>
        <row r="7773">
          <cell r="B7773" t="str">
            <v>14051206020501</v>
          </cell>
          <cell r="C7773" t="str">
            <v>JCC BC PRE JUD CAP IMPULSO MYPERU PRE-HO1 D</v>
          </cell>
        </row>
        <row r="7774">
          <cell r="B7774" t="str">
            <v>14051206020502</v>
          </cell>
          <cell r="C7774" t="str">
            <v>MYP CAP TRAB PER GRACIA PARCIAL VEN NORM1 D</v>
          </cell>
        </row>
        <row r="7775">
          <cell r="B7775" t="str">
            <v>14051206020503</v>
          </cell>
          <cell r="C7775" t="str">
            <v>MYP CAP TRAB PER GRACIA PARCIAL VEN DUPE1 D</v>
          </cell>
        </row>
        <row r="7776">
          <cell r="B7776" t="str">
            <v>14051206020504</v>
          </cell>
          <cell r="C7776" t="str">
            <v>MYP REPROG PERIODO GRACIA PARCIAL VEN CM1 D</v>
          </cell>
        </row>
        <row r="7777">
          <cell r="B7777" t="str">
            <v>14051206020505</v>
          </cell>
          <cell r="C7777" t="str">
            <v>MYP REPROG PERIODO GRACIA PARCIAL VEN CM1 D</v>
          </cell>
        </row>
        <row r="7778">
          <cell r="B7778" t="str">
            <v>14051206020506</v>
          </cell>
          <cell r="C7778" t="str">
            <v>JCC MP PRE JUD IMPLUSO MYPERU HONRADO IB1 D</v>
          </cell>
        </row>
        <row r="7779">
          <cell r="B7779" t="str">
            <v>14051206020507</v>
          </cell>
          <cell r="C7779" t="str">
            <v>LPC PAG PAPERLESS DERIVADOS NO REVOL CME1ND</v>
          </cell>
        </row>
        <row r="7780">
          <cell r="B7780" t="str">
            <v>14051206020508</v>
          </cell>
          <cell r="C7780" t="str">
            <v>LPC PAG PAPERLESS DERIVADOS NO REVOL CME1ND</v>
          </cell>
        </row>
        <row r="7781">
          <cell r="B7781" t="str">
            <v>14051206020509</v>
          </cell>
          <cell r="C7781" t="str">
            <v>CCD-BPE CAPITAL DE TRABAJO_CMED VEN NORM1 D</v>
          </cell>
        </row>
        <row r="7782">
          <cell r="B7782" t="str">
            <v>14051206020510</v>
          </cell>
          <cell r="C7782" t="str">
            <v>CCD-BPE CAPITAL DE TRABAJO_CMED VEN DUPE1 D</v>
          </cell>
        </row>
        <row r="7783">
          <cell r="B7783" t="str">
            <v>14051206020511</v>
          </cell>
          <cell r="C7783" t="str">
            <v>JCC CCD PREJUD CAPITAL DE TRABAJO CMED  1 D</v>
          </cell>
        </row>
        <row r="7784">
          <cell r="B7784" t="str">
            <v>14051206020512</v>
          </cell>
          <cell r="C7784" t="str">
            <v>CCD-BPE CAP DE TRAB REPROG_CMED VEN NORM1 D</v>
          </cell>
        </row>
        <row r="7785">
          <cell r="B7785" t="str">
            <v>14051206020513</v>
          </cell>
          <cell r="C7785" t="str">
            <v>CCD-BPE CAP DE TRAB REPROG_CMED VEN DUPE1 D</v>
          </cell>
        </row>
        <row r="7786">
          <cell r="B7786" t="str">
            <v>14051206020514</v>
          </cell>
          <cell r="C7786" t="str">
            <v>LPC INTXCOB PAG TV INMOBILIARIO DIFE CME1 D</v>
          </cell>
        </row>
        <row r="7787">
          <cell r="B7787" t="str">
            <v>14051206090101</v>
          </cell>
          <cell r="C7787" t="str">
            <v>LIC CRED CONV VENC MED EMPR NO REV      1ND</v>
          </cell>
        </row>
        <row r="7788">
          <cell r="B7788" t="str">
            <v>14051206090102</v>
          </cell>
          <cell r="C7788" t="str">
            <v>LIC DP CRED CONV VENC MED EMPR NO REV   1ND</v>
          </cell>
        </row>
        <row r="7789">
          <cell r="B7789" t="str">
            <v>14051206090103</v>
          </cell>
          <cell r="C7789" t="str">
            <v>LPC PAG.INMOB. REPROG-SUSPENSO VENC CMED1ND</v>
          </cell>
        </row>
        <row r="7790">
          <cell r="B7790" t="str">
            <v>14051206090201</v>
          </cell>
          <cell r="C7790" t="str">
            <v>LPC PAG TV D/P VENC NO REV CMED         1ND</v>
          </cell>
        </row>
        <row r="7791">
          <cell r="B7791" t="str">
            <v>14051206090202</v>
          </cell>
          <cell r="C7791" t="str">
            <v>LPC VENC PAG TV RP NO REVOL CMED        1ND</v>
          </cell>
        </row>
        <row r="7792">
          <cell r="B7792" t="str">
            <v>14051206090203</v>
          </cell>
          <cell r="C7792" t="str">
            <v>LPC PAG TV REF VENC NO REV CMED         1ND</v>
          </cell>
        </row>
        <row r="7793">
          <cell r="B7793" t="str">
            <v>14051206090204</v>
          </cell>
          <cell r="C7793" t="str">
            <v>LPC PAG TV REEST REV VENC CMED          1ND</v>
          </cell>
        </row>
        <row r="7794">
          <cell r="B7794" t="str">
            <v>14051206090205</v>
          </cell>
          <cell r="C7794" t="str">
            <v>LPC P.TV REC.COFIDE NO REVOL VEN CMED   1ND</v>
          </cell>
        </row>
        <row r="7795">
          <cell r="B7795" t="str">
            <v>14051206090206</v>
          </cell>
          <cell r="C7795" t="str">
            <v>LPC PAG TV  COFIDE  VENCIDO - D/P       1ND</v>
          </cell>
        </row>
        <row r="7796">
          <cell r="B7796" t="str">
            <v>14051206090207</v>
          </cell>
          <cell r="C7796" t="str">
            <v>LPC PAG TV RP MED PLAZO NO REV          1ND</v>
          </cell>
        </row>
        <row r="7797">
          <cell r="B7797" t="str">
            <v>14051206090208</v>
          </cell>
          <cell r="C7797" t="str">
            <v>LPC PAG TV RP MED PLAZO NO REV D/P      1ND</v>
          </cell>
        </row>
        <row r="7798">
          <cell r="B7798" t="str">
            <v>14051206090209</v>
          </cell>
          <cell r="C7798" t="str">
            <v>LPC PAG TV INMOBILIARIO NO REV          1ND</v>
          </cell>
        </row>
        <row r="7799">
          <cell r="B7799" t="str">
            <v>14051206090210</v>
          </cell>
          <cell r="C7799" t="str">
            <v>LPC PAG TV INMOBILIARIO NO REV D/P      1ND</v>
          </cell>
        </row>
        <row r="7800">
          <cell r="B7800" t="str">
            <v>14051206090211</v>
          </cell>
          <cell r="C7800" t="str">
            <v>LPC PAG TV NO REVOL EUROS               1ND</v>
          </cell>
        </row>
        <row r="7801">
          <cell r="B7801" t="str">
            <v>14051206090212</v>
          </cell>
          <cell r="C7801" t="str">
            <v>LPC PAG TV NO REVOL EUROS               1ND</v>
          </cell>
        </row>
        <row r="7802">
          <cell r="B7802" t="str">
            <v>14051206090213</v>
          </cell>
          <cell r="C7802" t="str">
            <v>LPC VENC PAG DERIVADOS NO REVOL CMED    1ND</v>
          </cell>
        </row>
        <row r="7803">
          <cell r="B7803" t="str">
            <v>14051206090214</v>
          </cell>
          <cell r="C7803" t="str">
            <v>LPC PAG DERIVADOS D/P VENC NO REV CMED  1ND</v>
          </cell>
        </row>
        <row r="7804">
          <cell r="B7804" t="str">
            <v>14051206090215</v>
          </cell>
          <cell r="C7804" t="str">
            <v>LPC PAG REPROGRAMADO NO REV NORM CMED   1ND</v>
          </cell>
        </row>
        <row r="7805">
          <cell r="B7805" t="str">
            <v>14051206090216</v>
          </cell>
          <cell r="C7805" t="str">
            <v>LPC PAG REPROGRAMADO NO REV D/P CMED    1ND</v>
          </cell>
        </row>
        <row r="7806">
          <cell r="B7806" t="str">
            <v>14051206090217</v>
          </cell>
          <cell r="C7806" t="str">
            <v>LPC PAG.INMOB. REPROG-SUSPENSO VENC CMED1ND</v>
          </cell>
        </row>
        <row r="7807">
          <cell r="B7807" t="str">
            <v>14051206090218</v>
          </cell>
          <cell r="C7807" t="str">
            <v>LPC PAG COMERC REPROG-SUSPENSO VENC CMED1ND</v>
          </cell>
        </row>
        <row r="7808">
          <cell r="B7808" t="str">
            <v>14051206090301</v>
          </cell>
          <cell r="C7808" t="str">
            <v>HPC ME CRED EFECTIVO NRV VENC           1ND</v>
          </cell>
        </row>
        <row r="7809">
          <cell r="B7809" t="str">
            <v>14051206090302</v>
          </cell>
          <cell r="C7809" t="str">
            <v>HPC ME CRED VEHICULAR NRV VENC-90       1ND</v>
          </cell>
        </row>
        <row r="7810">
          <cell r="B7810" t="str">
            <v>14051206090303</v>
          </cell>
          <cell r="C7810" t="str">
            <v>HPC ME D/P CRED EFECTIVO NRV VENC       1ND</v>
          </cell>
        </row>
        <row r="7811">
          <cell r="B7811" t="str">
            <v>14051206090304</v>
          </cell>
          <cell r="C7811" t="str">
            <v>HPC ME D/P CRED VEHICULAR NRV VENC      1ND</v>
          </cell>
        </row>
        <row r="7812">
          <cell r="B7812" t="str">
            <v>14051206090305</v>
          </cell>
          <cell r="C7812" t="str">
            <v>CL PRE JUD CRED EFEC GTIA HIPOT CMED    1ND</v>
          </cell>
        </row>
        <row r="7813">
          <cell r="B7813" t="str">
            <v>14051206090306</v>
          </cell>
          <cell r="C7813" t="str">
            <v>CL PRE JUD SOBREG C.CTE PN  CMED        1ND</v>
          </cell>
        </row>
        <row r="7814">
          <cell r="B7814" t="str">
            <v>14051206090401</v>
          </cell>
          <cell r="C7814" t="str">
            <v>CL PAG. TV D/P NO REVOLV VEN CMED       1ND</v>
          </cell>
        </row>
        <row r="7815">
          <cell r="B7815" t="str">
            <v>14051206090402</v>
          </cell>
          <cell r="C7815" t="str">
            <v>CL PAG TV NO REVOLV VEN CMED            1ND</v>
          </cell>
        </row>
        <row r="7816">
          <cell r="B7816" t="str">
            <v>14051206090403</v>
          </cell>
          <cell r="C7816" t="str">
            <v>CL PAG.TV NEG.INMOBIL NO REVOLV VEN CMED1ND</v>
          </cell>
        </row>
        <row r="7817">
          <cell r="B7817" t="str">
            <v>14051206090404</v>
          </cell>
          <cell r="C7817" t="str">
            <v>CL P.TV OTROS SUSP.NO REV VEN CMED      1ND</v>
          </cell>
        </row>
        <row r="7818">
          <cell r="B7818" t="str">
            <v>14051206090405</v>
          </cell>
          <cell r="C7818" t="str">
            <v>CL P.TV REC.COFIDE.  NO REV VEN CMED    1ND</v>
          </cell>
        </row>
        <row r="7819">
          <cell r="B7819" t="str">
            <v>14051206090406</v>
          </cell>
          <cell r="C7819" t="str">
            <v>CL PRE JUDIC RP CAP.TRAB VENC NO REVOLV 1ND</v>
          </cell>
        </row>
        <row r="7820">
          <cell r="B7820" t="str">
            <v>14051206090407</v>
          </cell>
          <cell r="C7820" t="str">
            <v>CL PRE JUD PAG.TV.COFIDE NO REVOL CMED  1ND</v>
          </cell>
        </row>
        <row r="7821">
          <cell r="B7821" t="str">
            <v>14051206090412</v>
          </cell>
          <cell r="C7821" t="str">
            <v>CL P.REFI DEUD.VTA.CARTE CMED VENC      1ND</v>
          </cell>
        </row>
        <row r="7822">
          <cell r="B7822" t="str">
            <v>14051206090413</v>
          </cell>
          <cell r="C7822" t="str">
            <v>CL PRE JUDIC CARTA FIANZA VENC CMED GL701ND</v>
          </cell>
        </row>
        <row r="7823">
          <cell r="B7823" t="str">
            <v>14051206090414</v>
          </cell>
          <cell r="C7823" t="str">
            <v>CL PRE JUDIC CRED EFECT NR CMED         1ND</v>
          </cell>
        </row>
        <row r="7824">
          <cell r="B7824" t="str">
            <v>14051206090415</v>
          </cell>
          <cell r="C7824" t="str">
            <v>CL PRE JUDIC CRED CONSUMO NR CMED       1ND</v>
          </cell>
        </row>
        <row r="7825">
          <cell r="B7825" t="str">
            <v>14051206090416</v>
          </cell>
          <cell r="C7825" t="str">
            <v>CL PRE JUD NO REV CRED VEHIC CMED       1ND</v>
          </cell>
        </row>
        <row r="7826">
          <cell r="B7826" t="str">
            <v>14051206090417</v>
          </cell>
          <cell r="C7826" t="str">
            <v>CL PRE JUD NR CONV NOELEG CMED          1ND</v>
          </cell>
        </row>
        <row r="7827">
          <cell r="B7827" t="str">
            <v>14051206090418</v>
          </cell>
          <cell r="C7827" t="str">
            <v>CL COB JUD LIC REV CONV CMED            1ND</v>
          </cell>
        </row>
        <row r="7828">
          <cell r="B7828" t="str">
            <v>14051206090419</v>
          </cell>
          <cell r="C7828" t="str">
            <v>CL PRE JUD NR CONV NOELEG CMED          1ND</v>
          </cell>
        </row>
        <row r="7829">
          <cell r="B7829" t="str">
            <v>14051206090420</v>
          </cell>
          <cell r="C7829" t="str">
            <v>CL COB JUD NR CONV NOELEG CMED          1ND</v>
          </cell>
        </row>
        <row r="7830">
          <cell r="B7830" t="str">
            <v>14051206090501</v>
          </cell>
          <cell r="C7830" t="str">
            <v>JCC PRE JUDIC RP CAP.TRAB VENC NO REVOLV1ND</v>
          </cell>
        </row>
        <row r="7831">
          <cell r="B7831" t="str">
            <v>14051206090502</v>
          </cell>
          <cell r="C7831" t="str">
            <v>JCC PRE JUD NO REV CRED VEHIC CMED      1ND</v>
          </cell>
        </row>
        <row r="7832">
          <cell r="B7832" t="str">
            <v>14051206090503</v>
          </cell>
          <cell r="C7832" t="str">
            <v>JCC PRE JUD PAG.TV.COFIDE NO REVOL CMED 1ND</v>
          </cell>
        </row>
        <row r="7833">
          <cell r="B7833" t="str">
            <v>14051206090504</v>
          </cell>
          <cell r="C7833" t="str">
            <v>JCC PRE JUD SOBR C.CTE.PN VENC GL7003   1ND</v>
          </cell>
        </row>
        <row r="7834">
          <cell r="B7834" t="str">
            <v>14051206090505</v>
          </cell>
          <cell r="C7834" t="str">
            <v>JCC PRE.JUD.SOBR.CTA.CTE.PN             1ND</v>
          </cell>
        </row>
        <row r="7835">
          <cell r="B7835" t="str">
            <v>14051206090514</v>
          </cell>
          <cell r="C7835" t="str">
            <v>LPC REACTIVA PERU VEN CMED\NORM         1ND</v>
          </cell>
        </row>
        <row r="7836">
          <cell r="B7836" t="str">
            <v>14051206090515</v>
          </cell>
          <cell r="C7836" t="str">
            <v>LPC REACTIVA PERU VEN CMED\DUPE         1ND</v>
          </cell>
        </row>
        <row r="7837">
          <cell r="B7837" t="str">
            <v>14051206090516</v>
          </cell>
          <cell r="C7837" t="str">
            <v>LPC COFIDE FONDOS PERU VEN CMED\NORM    1ND</v>
          </cell>
        </row>
        <row r="7838">
          <cell r="B7838" t="str">
            <v>14051206090517</v>
          </cell>
          <cell r="C7838" t="str">
            <v>LPC COFIDE FONDOS PERU VEN CMED\DUPE    1ND</v>
          </cell>
        </row>
        <row r="7839">
          <cell r="B7839" t="str">
            <v>14051206090518</v>
          </cell>
          <cell r="C7839" t="str">
            <v>LPC COFIDE FONDO CRECER VEN CMED\NORM   1ND</v>
          </cell>
        </row>
        <row r="7840">
          <cell r="B7840" t="str">
            <v>14051206090519</v>
          </cell>
          <cell r="C7840" t="str">
            <v>LPC COFIDE FONDO CRECER VEN CMED\DUPE   1ND</v>
          </cell>
        </row>
        <row r="7841">
          <cell r="B7841" t="str">
            <v>14051206090520</v>
          </cell>
          <cell r="C7841" t="str">
            <v>LPC REACTIVA PERU VEN CMED\NORM         1ND</v>
          </cell>
        </row>
        <row r="7842">
          <cell r="B7842" t="str">
            <v>14051206090521</v>
          </cell>
          <cell r="C7842" t="str">
            <v>LPC REACTIVA PERU VEN CMED\DUPE         1ND</v>
          </cell>
        </row>
        <row r="7843">
          <cell r="B7843" t="str">
            <v>14051206090522</v>
          </cell>
          <cell r="C7843" t="str">
            <v>LPC REPROG EM COVID-19 FINAN COMEX VENC 1ND</v>
          </cell>
        </row>
        <row r="7844">
          <cell r="B7844" t="str">
            <v>14051206090524</v>
          </cell>
          <cell r="C7844" t="str">
            <v>LPC PAG MEDIANO PLAZO COVID-19 CMED NO.R1ND</v>
          </cell>
        </row>
        <row r="7845">
          <cell r="B7845" t="str">
            <v>14051206090525</v>
          </cell>
          <cell r="C7845" t="str">
            <v>LPC REF_FINAN_ESPECIALES_CMED COVID-19  1ND</v>
          </cell>
        </row>
        <row r="7846">
          <cell r="B7846" t="str">
            <v>14051206090526</v>
          </cell>
          <cell r="C7846" t="str">
            <v>LPC REF_FINAN_ESPECIALES_CMED COVID-19  1ND</v>
          </cell>
        </row>
        <row r="7847">
          <cell r="B7847" t="str">
            <v>14051208000100</v>
          </cell>
          <cell r="C7847" t="str">
            <v>CDO VISA EXTRACASH NO REV VEN CMED      1ND</v>
          </cell>
        </row>
        <row r="7848">
          <cell r="B7848" t="str">
            <v>14051208000101</v>
          </cell>
          <cell r="C7848" t="str">
            <v>CDO MC EXTRACASH NO REV VEN CMED        1ND</v>
          </cell>
        </row>
        <row r="7849">
          <cell r="B7849" t="str">
            <v>14051208000102</v>
          </cell>
          <cell r="C7849" t="str">
            <v>CDO AMEX EXTRACASH NO REV VEN CMED      1ND</v>
          </cell>
        </row>
        <row r="7850">
          <cell r="B7850" t="str">
            <v>14051210000101</v>
          </cell>
          <cell r="C7850" t="str">
            <v>PR LETRAS FACTORING VEN CMED            1ND</v>
          </cell>
        </row>
        <row r="7851">
          <cell r="B7851" t="str">
            <v>14051210000102</v>
          </cell>
          <cell r="C7851" t="str">
            <v>FCD FACT EN FACTORING VENC C/P CMED     1ND</v>
          </cell>
        </row>
        <row r="7852">
          <cell r="B7852" t="str">
            <v>14051210000103</v>
          </cell>
          <cell r="C7852" t="str">
            <v>PR FACT ELECTR LET/FACT VEN CMED        1ND</v>
          </cell>
        </row>
        <row r="7853">
          <cell r="B7853" t="str">
            <v>14051210000104</v>
          </cell>
          <cell r="C7853" t="str">
            <v>PR FACT INTERN VENC CMED                1ND</v>
          </cell>
        </row>
        <row r="7854">
          <cell r="B7854" t="str">
            <v>14051210000105</v>
          </cell>
          <cell r="C7854" t="str">
            <v>PR PERU FACTORING CAP VEN CMED          1ND</v>
          </cell>
        </row>
        <row r="7855">
          <cell r="B7855" t="str">
            <v>14051210000106</v>
          </cell>
          <cell r="C7855" t="str">
            <v>PR FORFAITING EXPORTACIÃ“N VENC CMED    1ND</v>
          </cell>
        </row>
        <row r="7856">
          <cell r="B7856" t="str">
            <v>14051210000201</v>
          </cell>
          <cell r="C7856" t="str">
            <v>CL PRE JUDIC FACTORING LET VENC CMED GL71ND</v>
          </cell>
        </row>
        <row r="7857">
          <cell r="B7857" t="str">
            <v>14051210000202</v>
          </cell>
          <cell r="C7857" t="str">
            <v>CL PRE JUDIC FACTORING FACT VENC CMED GL1ND</v>
          </cell>
        </row>
        <row r="7858">
          <cell r="B7858" t="str">
            <v>14051210000203</v>
          </cell>
          <cell r="C7858" t="str">
            <v>CL EX FACTORING FORFAITING VEN CMED     1ND</v>
          </cell>
        </row>
        <row r="7859">
          <cell r="B7859" t="str">
            <v>14051210000204</v>
          </cell>
          <cell r="C7859" t="str">
            <v>CL  CONFIRMING INTER CAPITAL VENC CMED  1ND</v>
          </cell>
        </row>
        <row r="7860">
          <cell r="B7860" t="str">
            <v>14051210000205</v>
          </cell>
          <cell r="C7860" t="str">
            <v>FACT INTER IMPORT VENC. CMED DUPE       1ND</v>
          </cell>
        </row>
        <row r="7861">
          <cell r="B7861" t="str">
            <v>14051210000206</v>
          </cell>
          <cell r="C7861" t="str">
            <v>FACT INTER IMPORT  VENC. CMED NORMAL    1ND</v>
          </cell>
        </row>
        <row r="7862">
          <cell r="B7862" t="str">
            <v>14051210000301</v>
          </cell>
          <cell r="C7862" t="str">
            <v>JCC PRE JUDIC FACTORING LET VENC CMED GL1ND</v>
          </cell>
        </row>
        <row r="7863">
          <cell r="B7863" t="str">
            <v>14051210000302</v>
          </cell>
          <cell r="C7863" t="str">
            <v>JCC PRE JUDIC FACTORING FACT VENC CMED G1ND</v>
          </cell>
        </row>
        <row r="7864">
          <cell r="B7864" t="str">
            <v>14051210000401</v>
          </cell>
          <cell r="C7864" t="str">
            <v>FCD FACT ELECTR VENC DUDOSO CMED        1ND</v>
          </cell>
        </row>
        <row r="7865">
          <cell r="B7865" t="str">
            <v>14051210000402</v>
          </cell>
          <cell r="C7865" t="str">
            <v>FCD FACT INTER EXPO VENC NORM CMED      1ND</v>
          </cell>
        </row>
        <row r="7866">
          <cell r="B7866" t="str">
            <v>14051210000403</v>
          </cell>
          <cell r="C7866" t="str">
            <v>FCD FORFAITING EXPO VENC NORM  CMED     1ND</v>
          </cell>
        </row>
        <row r="7867">
          <cell r="B7867" t="str">
            <v>14051210000404</v>
          </cell>
          <cell r="C7867" t="str">
            <v>FCD FACT INTER EXPO VENC DUPE CMED      1ND</v>
          </cell>
        </row>
        <row r="7868">
          <cell r="B7868" t="str">
            <v>14051210000405</v>
          </cell>
          <cell r="C7868" t="str">
            <v>FCD FORFAITING EXPO VENC DUPE  CMED     1ND</v>
          </cell>
        </row>
        <row r="7869">
          <cell r="B7869" t="str">
            <v>14051210000406</v>
          </cell>
          <cell r="C7869" t="str">
            <v>FCD CONFIRMING INTERNACIONAL VENC NORM C1ND</v>
          </cell>
        </row>
        <row r="7870">
          <cell r="B7870" t="str">
            <v>14051210000407</v>
          </cell>
          <cell r="C7870" t="str">
            <v>FCD CONFIRMING INTERNACIONAL VENC DUPE C1ND</v>
          </cell>
        </row>
        <row r="7871">
          <cell r="B7871" t="str">
            <v>14051210000408</v>
          </cell>
          <cell r="C7871" t="str">
            <v>FCD FAC. FIS. LET. VENC. CMED DUPE      1ND</v>
          </cell>
        </row>
        <row r="7872">
          <cell r="B7872" t="str">
            <v>14051210000409</v>
          </cell>
          <cell r="C7872" t="str">
            <v>FCD FAC. FIS. FAC.. VENC. CMED DUPE     1ND</v>
          </cell>
        </row>
        <row r="7873">
          <cell r="B7873" t="str">
            <v>14051211000101</v>
          </cell>
          <cell r="C7873" t="str">
            <v>LPC LEASING INT DIFERIDOS VENC RP CMED  1ND</v>
          </cell>
        </row>
        <row r="7874">
          <cell r="B7874" t="str">
            <v>14051211000102</v>
          </cell>
          <cell r="C7874" t="str">
            <v>LPC LEASING SEGURO INT DIF VENC RP CMED 1ND</v>
          </cell>
        </row>
        <row r="7875">
          <cell r="B7875" t="str">
            <v>14051211000103</v>
          </cell>
          <cell r="C7875" t="str">
            <v>LPC LEASING VENC SEGUROS RP CMED        1ND</v>
          </cell>
        </row>
        <row r="7876">
          <cell r="B7876" t="str">
            <v>14051211000104</v>
          </cell>
          <cell r="C7876" t="str">
            <v>LPC LEASING VENC IGV RP CMED            1ND</v>
          </cell>
        </row>
        <row r="7877">
          <cell r="B7877" t="str">
            <v>14051211000105</v>
          </cell>
          <cell r="C7877" t="str">
            <v>LPC LEASING DEL BIEN VENC RP CMED       1ND</v>
          </cell>
        </row>
        <row r="7878">
          <cell r="B7878" t="str">
            <v>14051211000201</v>
          </cell>
          <cell r="C7878" t="str">
            <v>LPC LEAS D/P INT DIF VENC RP CMED       1ND</v>
          </cell>
        </row>
        <row r="7879">
          <cell r="B7879" t="str">
            <v>14051211000202</v>
          </cell>
          <cell r="C7879" t="str">
            <v>LPC LEAS D/P SEG INT DIF VENC RP CMED   1ND</v>
          </cell>
        </row>
        <row r="7880">
          <cell r="B7880" t="str">
            <v>14051211000203</v>
          </cell>
          <cell r="C7880" t="str">
            <v>LPC LEASING VENC D/P SEG RP CMED        1ND</v>
          </cell>
        </row>
        <row r="7881">
          <cell r="B7881" t="str">
            <v>14051211000204</v>
          </cell>
          <cell r="C7881" t="str">
            <v>LPC LEAS DEL BIEN VENC D/P RP CMED      1ND</v>
          </cell>
        </row>
        <row r="7882">
          <cell r="B7882" t="str">
            <v>14051211000205</v>
          </cell>
          <cell r="C7882" t="str">
            <v>LPC LEASING VENC D/P IGV RP CMED        1ND</v>
          </cell>
        </row>
        <row r="7883">
          <cell r="B7883" t="str">
            <v>14051211000301</v>
          </cell>
          <cell r="C7883" t="str">
            <v>LPC LSG BIEN ADJ.VEN DIF RP CMED        1ND</v>
          </cell>
        </row>
        <row r="7884">
          <cell r="B7884" t="str">
            <v>14051211000302</v>
          </cell>
          <cell r="C7884" t="str">
            <v>LPC LSG SEG. ADJ. DIF. VEN RP CMED      1ND</v>
          </cell>
        </row>
        <row r="7885">
          <cell r="B7885" t="str">
            <v>14051211000303</v>
          </cell>
          <cell r="C7885" t="str">
            <v>LPC LSG ADJ. CIA SEG VEN RP CMED        1ND</v>
          </cell>
        </row>
        <row r="7886">
          <cell r="B7886" t="str">
            <v>14051211000304</v>
          </cell>
          <cell r="C7886" t="str">
            <v>LPC LSG ADJ. PRIN IGV VEN RP CMED       1ND</v>
          </cell>
        </row>
        <row r="7887">
          <cell r="B7887" t="str">
            <v>14051211000305</v>
          </cell>
          <cell r="C7887" t="str">
            <v>LPC LSG DEL BIEN VEN ADJ.RP CMED        1ND</v>
          </cell>
        </row>
        <row r="7888">
          <cell r="B7888" t="str">
            <v>14051211000306</v>
          </cell>
          <cell r="C7888" t="str">
            <v>LPC LSG BIEN ADJ.VEN DIF D/P CMED       1ND</v>
          </cell>
        </row>
        <row r="7889">
          <cell r="B7889" t="str">
            <v>14051211000307</v>
          </cell>
          <cell r="C7889" t="str">
            <v>LPC  LSG SEG DIF VEN ADJ. D/P CMED      1ND</v>
          </cell>
        </row>
        <row r="7890">
          <cell r="B7890" t="str">
            <v>14051211000308</v>
          </cell>
          <cell r="C7890" t="str">
            <v>LPC LSG CIA SEG VEN D/P ADJ. CMED       1ND</v>
          </cell>
        </row>
        <row r="7891">
          <cell r="B7891" t="str">
            <v>14051211000309</v>
          </cell>
          <cell r="C7891" t="str">
            <v>LPC LSG BIEN VEN D/P ADJ. CMED          1ND</v>
          </cell>
        </row>
        <row r="7892">
          <cell r="B7892" t="str">
            <v>14051211000310</v>
          </cell>
          <cell r="C7892" t="str">
            <v>LPC LSG D/P IGV VEN D/P ADJUD.CMED      1ND</v>
          </cell>
        </row>
        <row r="7893">
          <cell r="B7893" t="str">
            <v>14051211000311</v>
          </cell>
          <cell r="C7893" t="str">
            <v>LPC CAP DIF.LS  BIEN OTROS SUSP RP CMED 1ND</v>
          </cell>
        </row>
        <row r="7894">
          <cell r="B7894" t="str">
            <v>14051211000312</v>
          </cell>
          <cell r="C7894" t="str">
            <v>LPC CAP DIF.SEG.LS OTROS SUSP RP CMED   1ND</v>
          </cell>
        </row>
        <row r="7895">
          <cell r="B7895" t="str">
            <v>14051211000313</v>
          </cell>
          <cell r="C7895" t="str">
            <v>LPC CIA SEG CAP VEN OTROS SUSP RP CMED  1ND</v>
          </cell>
        </row>
        <row r="7896">
          <cell r="B7896" t="str">
            <v>14051211000314</v>
          </cell>
          <cell r="C7896" t="str">
            <v>LPC LS DEL BIEN OTROS SUSP RP CMED      1ND</v>
          </cell>
        </row>
        <row r="7897">
          <cell r="B7897" t="str">
            <v>14051211000315</v>
          </cell>
          <cell r="C7897" t="str">
            <v>LPC CAP LS IGV OTROS SUSP RP CMED       1ND</v>
          </cell>
        </row>
        <row r="7898">
          <cell r="B7898" t="str">
            <v>14051211000401</v>
          </cell>
          <cell r="C7898" t="str">
            <v>LPC PDL LEASING MYP INT DIFERIDOS CMED  1ND</v>
          </cell>
        </row>
        <row r="7899">
          <cell r="B7899" t="str">
            <v>14051211000402</v>
          </cell>
          <cell r="C7899" t="str">
            <v>LPC PDS LEASING MYP INT DIFERIDOS CMED  1ND</v>
          </cell>
        </row>
        <row r="7900">
          <cell r="B7900" t="str">
            <v>14051211000403</v>
          </cell>
          <cell r="C7900" t="str">
            <v>LPC PSG LEASING MYP  CMED               1ND</v>
          </cell>
        </row>
        <row r="7901">
          <cell r="B7901" t="str">
            <v>14051211000404</v>
          </cell>
          <cell r="C7901" t="str">
            <v>LPC PIG LEASING IGV MYP CMED            1ND</v>
          </cell>
        </row>
        <row r="7902">
          <cell r="B7902" t="str">
            <v>14051211000405</v>
          </cell>
          <cell r="C7902" t="str">
            <v>LPC PRI LEASING MYP CMED                1ND</v>
          </cell>
        </row>
        <row r="7903">
          <cell r="B7903" t="str">
            <v>14051211000406</v>
          </cell>
          <cell r="C7903" t="str">
            <v>LPC LEASING RESUELTO VENCIDO CMED       1ND</v>
          </cell>
        </row>
        <row r="7904">
          <cell r="B7904" t="str">
            <v>14051211000407</v>
          </cell>
          <cell r="C7904" t="str">
            <v>LPC PDL LEASING MYP INT DIF D/P CMED    1ND</v>
          </cell>
        </row>
        <row r="7905">
          <cell r="B7905" t="str">
            <v>14051211000408</v>
          </cell>
          <cell r="C7905" t="str">
            <v>LPC PDS LEASING MYP INT DIF D/P CMED    1ND</v>
          </cell>
        </row>
        <row r="7906">
          <cell r="B7906" t="str">
            <v>14051211000409</v>
          </cell>
          <cell r="C7906" t="str">
            <v>LPC MYP ISG CIA SEG LEAS D/P CMED       1ND</v>
          </cell>
        </row>
        <row r="7907">
          <cell r="B7907" t="str">
            <v>14051211000410</v>
          </cell>
          <cell r="C7907" t="str">
            <v>LPC PIG LEASING IGV MYP D/P CMED        1ND</v>
          </cell>
        </row>
        <row r="7908">
          <cell r="B7908" t="str">
            <v>14051211000411</v>
          </cell>
          <cell r="C7908" t="str">
            <v>LPC PRI LEASING MYP D/P CMED            1ND</v>
          </cell>
        </row>
        <row r="7909">
          <cell r="B7909" t="str">
            <v>14051211000412</v>
          </cell>
          <cell r="C7909" t="str">
            <v>LPC LS RESUELTO VENC BPE CMED           1ND</v>
          </cell>
        </row>
        <row r="7910">
          <cell r="B7910" t="str">
            <v>14051211000501</v>
          </cell>
          <cell r="C7910" t="str">
            <v>LPC LEASING COFIDE INT DIF VENC PDL CMED1ND</v>
          </cell>
        </row>
        <row r="7911">
          <cell r="B7911" t="str">
            <v>14051211000502</v>
          </cell>
          <cell r="C7911" t="str">
            <v>LPC LEASING COFIDE SEGURO INT DIF VENC P1ND</v>
          </cell>
        </row>
        <row r="7912">
          <cell r="B7912" t="str">
            <v>14051211000503</v>
          </cell>
          <cell r="C7912" t="str">
            <v>LPC LEASING COFIDE VENC SEGUROS PSG CMED1ND</v>
          </cell>
        </row>
        <row r="7913">
          <cell r="B7913" t="str">
            <v>14051211000504</v>
          </cell>
          <cell r="C7913" t="str">
            <v>LPC LEASING COFIDE VENC IGV PIG CMED    1ND</v>
          </cell>
        </row>
        <row r="7914">
          <cell r="B7914" t="str">
            <v>14051211000505</v>
          </cell>
          <cell r="C7914" t="str">
            <v>LPC LEASING COFIDE VENC PRI CMED        1ND</v>
          </cell>
        </row>
        <row r="7915">
          <cell r="B7915" t="str">
            <v>14051211000506</v>
          </cell>
          <cell r="C7915" t="str">
            <v>LPC LS COFIDE D/P INT DIF VENC PDL CMED 1ND</v>
          </cell>
        </row>
        <row r="7916">
          <cell r="B7916" t="str">
            <v>14051211000507</v>
          </cell>
          <cell r="C7916" t="str">
            <v>LPC LS COFIDE D/P SEG INT DIF VENC PDS C1ND</v>
          </cell>
        </row>
        <row r="7917">
          <cell r="B7917" t="str">
            <v>14051211000508</v>
          </cell>
          <cell r="C7917" t="str">
            <v>LPC LEASING COFIDE VENC D/P SEG PSG CMED1ND</v>
          </cell>
        </row>
        <row r="7918">
          <cell r="B7918" t="str">
            <v>14051211000509</v>
          </cell>
          <cell r="C7918" t="str">
            <v>LPC LEASING COFIDE VENC D/P IGV PIG CMED1ND</v>
          </cell>
        </row>
        <row r="7919">
          <cell r="B7919" t="str">
            <v>14051211000510</v>
          </cell>
          <cell r="C7919" t="str">
            <v>LPC LEASING COFIDE VENC D/P PRI CMED    1ND</v>
          </cell>
        </row>
        <row r="7920">
          <cell r="B7920" t="str">
            <v>14051211000601</v>
          </cell>
          <cell r="C7920" t="str">
            <v>CL COB. PRE-JUD. ARREND. FINANC PJ CMED 1ND</v>
          </cell>
        </row>
        <row r="7921">
          <cell r="B7921" t="str">
            <v>14051211000602</v>
          </cell>
          <cell r="C7921" t="str">
            <v>JCC PREJUDIC MYP LEASING BPE CMED       1ND</v>
          </cell>
        </row>
        <row r="7922">
          <cell r="B7922" t="str">
            <v>14051211000701</v>
          </cell>
          <cell r="C7922" t="str">
            <v>LPC LEASING DERIVADO DEL BIEN VENC D/P R1ND</v>
          </cell>
        </row>
        <row r="7923">
          <cell r="B7923" t="str">
            <v>14051211000702</v>
          </cell>
          <cell r="C7923" t="str">
            <v>LPC LEASING DERIVADO DEL BIEN VENC RP CM1ND</v>
          </cell>
        </row>
        <row r="7924">
          <cell r="B7924" t="str">
            <v>14051211000703</v>
          </cell>
          <cell r="C7924" t="str">
            <v>LPC LEASING DERIVADO VENC D/P IGV RP CME1ND</v>
          </cell>
        </row>
        <row r="7925">
          <cell r="B7925" t="str">
            <v>14051211000704</v>
          </cell>
          <cell r="C7925" t="str">
            <v>LPC LEASING DERIVADO VENC D/P SEG RP CME1ND</v>
          </cell>
        </row>
        <row r="7926">
          <cell r="B7926" t="str">
            <v>14051211000705</v>
          </cell>
          <cell r="C7926" t="str">
            <v>LPC LEASING DERIVADO VENC IGV RP CMED   1ND</v>
          </cell>
        </row>
        <row r="7927">
          <cell r="B7927" t="str">
            <v>14051211000706</v>
          </cell>
          <cell r="C7927" t="str">
            <v>LPC LEASING DERIVADO VENC SEGUROS RP CME1ND</v>
          </cell>
        </row>
        <row r="7928">
          <cell r="B7928" t="str">
            <v>14051212000101</v>
          </cell>
          <cell r="C7928" t="str">
            <v>LPC LEASEBACK INT DIF VENC RP CMED      1ND</v>
          </cell>
        </row>
        <row r="7929">
          <cell r="B7929" t="str">
            <v>14051212000102</v>
          </cell>
          <cell r="C7929" t="str">
            <v>LPC LEASEBACK SEGURO INT DIF VENC RP CME1ND</v>
          </cell>
        </row>
        <row r="7930">
          <cell r="B7930" t="str">
            <v>14051212000103</v>
          </cell>
          <cell r="C7930" t="str">
            <v>LPC LEASEBACK VENC SEGUROS RP CMED      1ND</v>
          </cell>
        </row>
        <row r="7931">
          <cell r="B7931" t="str">
            <v>14051212000104</v>
          </cell>
          <cell r="C7931" t="str">
            <v>LPC LEASEBACK IGV VENCIDO RP LPC        1ND</v>
          </cell>
        </row>
        <row r="7932">
          <cell r="B7932" t="str">
            <v>14051212000105</v>
          </cell>
          <cell r="C7932" t="str">
            <v>LPC LEASING DEL BIEN VENC RP CMED       1ND</v>
          </cell>
        </row>
        <row r="7933">
          <cell r="B7933" t="str">
            <v>14051212000106</v>
          </cell>
          <cell r="C7933" t="str">
            <v>LPC LSBACK D/P INT DIF VENC RP CMED     1ND</v>
          </cell>
        </row>
        <row r="7934">
          <cell r="B7934" t="str">
            <v>14051212000107</v>
          </cell>
          <cell r="C7934" t="str">
            <v>LPC LSBACK D/P SEG INT DIFERID VENC RP C1ND</v>
          </cell>
        </row>
        <row r="7935">
          <cell r="B7935" t="str">
            <v>14051212000108</v>
          </cell>
          <cell r="C7935" t="str">
            <v>LPC LSBACK VENC D/P SEG RP CMED         1ND</v>
          </cell>
        </row>
        <row r="7936">
          <cell r="B7936" t="str">
            <v>14051212000109</v>
          </cell>
          <cell r="C7936" t="str">
            <v>LPC LSBACK DEL BIEN VENC D/P RP CMED    1ND</v>
          </cell>
        </row>
        <row r="7937">
          <cell r="B7937" t="str">
            <v>14051212000110</v>
          </cell>
          <cell r="C7937" t="str">
            <v>LPC LSBACK VENC D/P IGV RP CMED         1ND</v>
          </cell>
        </row>
        <row r="7938">
          <cell r="B7938" t="str">
            <v>14051212000201</v>
          </cell>
          <cell r="C7938" t="str">
            <v>LPC CAP DIF.LSB  BIEN OTROS SUSP CMED   1ND</v>
          </cell>
        </row>
        <row r="7939">
          <cell r="B7939" t="str">
            <v>14051212000202</v>
          </cell>
          <cell r="C7939" t="str">
            <v>LPC CAP DIF.SEG.LSB OTROS SUSP CMED     1ND</v>
          </cell>
        </row>
        <row r="7940">
          <cell r="B7940" t="str">
            <v>14051212000203</v>
          </cell>
          <cell r="C7940" t="str">
            <v>LPC CIA SEG CAP VEN OTROS SUSP CMED     1ND</v>
          </cell>
        </row>
        <row r="7941">
          <cell r="B7941" t="str">
            <v>14051212000204</v>
          </cell>
          <cell r="C7941" t="str">
            <v>LPC LSB DEL BIEN OTROS SUSP CMED        1ND</v>
          </cell>
        </row>
        <row r="7942">
          <cell r="B7942" t="str">
            <v>14051212000205</v>
          </cell>
          <cell r="C7942" t="str">
            <v>LPC CAP LSB IGV OTROS SUSPENSO CMED     1ND</v>
          </cell>
        </row>
        <row r="7943">
          <cell r="B7943" t="str">
            <v>14051212000301</v>
          </cell>
          <cell r="C7943" t="str">
            <v>LPC LEASEBACK INT DIFERIDOS VENC        1ND</v>
          </cell>
        </row>
        <row r="7944">
          <cell r="B7944" t="str">
            <v>14051212000302</v>
          </cell>
          <cell r="C7944" t="str">
            <v>LPC INT LEASEBACK SEG VENC REFIN CMED   1ND</v>
          </cell>
        </row>
        <row r="7945">
          <cell r="B7945" t="str">
            <v>14051212000303</v>
          </cell>
          <cell r="C7945" t="str">
            <v>LPC LEASEBACK VENC REF SEG REFIN CMED   1ND</v>
          </cell>
        </row>
        <row r="7946">
          <cell r="B7946" t="str">
            <v>14051212000304</v>
          </cell>
          <cell r="C7946" t="str">
            <v>LPC LEASEBACK VENC REF IGV  REFIN  CMED 1ND</v>
          </cell>
        </row>
        <row r="7947">
          <cell r="B7947" t="str">
            <v>14051212000305</v>
          </cell>
          <cell r="C7947" t="str">
            <v>LPC LEASEBACK  BIEN VENC REFIN CMED     1ND</v>
          </cell>
        </row>
        <row r="7948">
          <cell r="B7948" t="str">
            <v>14051212000401</v>
          </cell>
          <cell r="C7948" t="str">
            <v>LPC LEASE-BACK COFIDE INT DIF VENC PDL C1ND</v>
          </cell>
        </row>
        <row r="7949">
          <cell r="B7949" t="str">
            <v>14051212000402</v>
          </cell>
          <cell r="C7949" t="str">
            <v>LPC LEASE-BACK COFIDE SEGURO INT DIF VEN1ND</v>
          </cell>
        </row>
        <row r="7950">
          <cell r="B7950" t="str">
            <v>14051212000403</v>
          </cell>
          <cell r="C7950" t="str">
            <v>LPC LEASE-BACK COFIDE VENC SEGUROS PSG C1ND</v>
          </cell>
        </row>
        <row r="7951">
          <cell r="B7951" t="str">
            <v>14051212000404</v>
          </cell>
          <cell r="C7951" t="str">
            <v>LPC LEASE-BACK COFIDE VENC IGV PIG CMED 1ND</v>
          </cell>
        </row>
        <row r="7952">
          <cell r="B7952" t="str">
            <v>14051212000405</v>
          </cell>
          <cell r="C7952" t="str">
            <v>LPC LEASE-BACK COFIDE VENC PRI CMED     1ND</v>
          </cell>
        </row>
        <row r="7953">
          <cell r="B7953" t="str">
            <v>14051212000406</v>
          </cell>
          <cell r="C7953" t="str">
            <v>LPC LB COFIDE D/P INT DIF VENC PDL CMED 1ND</v>
          </cell>
        </row>
        <row r="7954">
          <cell r="B7954" t="str">
            <v>14051212000407</v>
          </cell>
          <cell r="C7954" t="str">
            <v>LPC LB COFIDE D/P SEG INT DIF VENC PDS C1ND</v>
          </cell>
        </row>
        <row r="7955">
          <cell r="B7955" t="str">
            <v>14051212000408</v>
          </cell>
          <cell r="C7955" t="str">
            <v>LPC LEASE-BACK COFIDE VENC D/P SEG PSG C1ND</v>
          </cell>
        </row>
        <row r="7956">
          <cell r="B7956" t="str">
            <v>14051212000409</v>
          </cell>
          <cell r="C7956" t="str">
            <v>LPC LEASE-BACK COFIDE VENC D/P IGV PIG C1ND</v>
          </cell>
        </row>
        <row r="7957">
          <cell r="B7957" t="str">
            <v>14051212000410</v>
          </cell>
          <cell r="C7957" t="str">
            <v>LPC LEASE-BACK COFIDE VENC D/P PRI CMED 1ND</v>
          </cell>
        </row>
        <row r="7958">
          <cell r="B7958" t="str">
            <v>14051219020101</v>
          </cell>
          <cell r="C7958" t="str">
            <v>HPC ME REF TC IB PN COLOCAC. VENCIDO    1ND</v>
          </cell>
        </row>
        <row r="7959">
          <cell r="B7959" t="str">
            <v>14051219060101</v>
          </cell>
          <cell r="C7959" t="str">
            <v>MYP PAG.TV REFIN. C/FIJA VEN  CMED      1ND</v>
          </cell>
        </row>
        <row r="7960">
          <cell r="B7960" t="str">
            <v>14051219060102</v>
          </cell>
          <cell r="C7960" t="str">
            <v>MYP PAG.TV REFIN. REVOL VENC MES CMED   1ND</v>
          </cell>
        </row>
        <row r="7961">
          <cell r="B7961" t="str">
            <v>14051219060103</v>
          </cell>
          <cell r="C7961" t="str">
            <v>JCC PRE JUD REFIN IC VENC CMED          1ND</v>
          </cell>
        </row>
        <row r="7962">
          <cell r="B7962" t="str">
            <v>14051219060201</v>
          </cell>
          <cell r="C7962" t="str">
            <v>CL PAG.REF.TV VENC CMED                 1ND</v>
          </cell>
        </row>
        <row r="7963">
          <cell r="B7963" t="str">
            <v>14051219060202</v>
          </cell>
          <cell r="C7963" t="str">
            <v>CL PRE JUD REFIN IC VENC CMED           1ND</v>
          </cell>
        </row>
        <row r="7964">
          <cell r="B7964" t="str">
            <v>14051219060203</v>
          </cell>
          <cell r="C7964" t="str">
            <v>CL PRE-JUD P.REFIN RP CAP TRABAJO CMED  1ND</v>
          </cell>
        </row>
        <row r="7965">
          <cell r="B7965" t="str">
            <v>14051219060301</v>
          </cell>
          <cell r="C7965" t="str">
            <v>HPC ME CRED REFIN CONSUM NRV VENCIDO    1ND</v>
          </cell>
        </row>
        <row r="7966">
          <cell r="B7966" t="str">
            <v>14051219060302</v>
          </cell>
          <cell r="C7966" t="str">
            <v>HPC ME CRED REFIN NRV AUTOMOVILES VENCID1ND</v>
          </cell>
        </row>
        <row r="7967">
          <cell r="B7967" t="str">
            <v>14051219060401</v>
          </cell>
          <cell r="C7967" t="str">
            <v>PAG TV REFINANCIADO VENC - LPC CMED     1ND</v>
          </cell>
        </row>
        <row r="7968">
          <cell r="B7968" t="str">
            <v>14051219060402</v>
          </cell>
          <cell r="C7968" t="str">
            <v>LPC PAG REF COVID_19 VENC - CMED        1ND</v>
          </cell>
        </row>
        <row r="7969">
          <cell r="B7969" t="str">
            <v>14051219060403</v>
          </cell>
          <cell r="C7969" t="str">
            <v>MYP REFINANC. COVID-19                  1ND</v>
          </cell>
        </row>
        <row r="7970">
          <cell r="B7970" t="str">
            <v>14051219060404</v>
          </cell>
          <cell r="C7970" t="str">
            <v>LPC REFINANCIADO REACTIVA CMED VEN      1 D</v>
          </cell>
        </row>
        <row r="7971">
          <cell r="B7971" t="str">
            <v>14051219060408</v>
          </cell>
          <cell r="C7971" t="str">
            <v>MYP REFINANCIADO CIMA CMED VEN          1 D</v>
          </cell>
        </row>
        <row r="7972">
          <cell r="B7972" t="str">
            <v>14051219060409</v>
          </cell>
          <cell r="C7972" t="str">
            <v>LPC REFINANCIADO CRECER IBK POST HONR CM1 D</v>
          </cell>
        </row>
        <row r="7973">
          <cell r="B7973" t="str">
            <v>14051219060410</v>
          </cell>
          <cell r="C7973" t="str">
            <v>CCD-BPE REFINANCIADO_CMED VEN           1 D</v>
          </cell>
        </row>
        <row r="7974">
          <cell r="B7974" t="str">
            <v>14051219110101</v>
          </cell>
          <cell r="C7974" t="str">
            <v>LPC REF LEAS DEL BIEN VENC REF RP CMED  1ND</v>
          </cell>
        </row>
        <row r="7975">
          <cell r="B7975" t="str">
            <v>14051219110102</v>
          </cell>
          <cell r="C7975" t="str">
            <v>LPC REF LEAS VENC REF SEGUROS RP CMED   1ND</v>
          </cell>
        </row>
        <row r="7976">
          <cell r="B7976" t="str">
            <v>14051219110103</v>
          </cell>
          <cell r="C7976" t="str">
            <v>LPC REF LEAS VENC REF IGV RP CMED       1ND</v>
          </cell>
        </row>
        <row r="7977">
          <cell r="B7977" t="str">
            <v>14051219110104</v>
          </cell>
          <cell r="C7977" t="str">
            <v>LPC REF LEAS INT DIFERIDOS VENC REF RP C1ND</v>
          </cell>
        </row>
        <row r="7978">
          <cell r="B7978" t="str">
            <v>14051219110105</v>
          </cell>
          <cell r="C7978" t="str">
            <v>LPC REF LEAS SEG INT DIF VENC REF RP CME1ND</v>
          </cell>
        </row>
        <row r="7979">
          <cell r="B7979" t="str">
            <v>14051219110106</v>
          </cell>
          <cell r="C7979" t="str">
            <v>LPC REF LEAS BPE DEL BIEN VENC REF RP CM1ND</v>
          </cell>
        </row>
        <row r="7980">
          <cell r="B7980" t="str">
            <v>14051219110107</v>
          </cell>
          <cell r="C7980" t="str">
            <v>LPC REF LEAS BPE VENC REF SEGUROS RP CME1ND</v>
          </cell>
        </row>
        <row r="7981">
          <cell r="B7981" t="str">
            <v>14051219110108</v>
          </cell>
          <cell r="C7981" t="str">
            <v>LPC REF LEAS BPE VENC REF IGV RP CMED   1ND</v>
          </cell>
        </row>
        <row r="7982">
          <cell r="B7982" t="str">
            <v>14051219110109</v>
          </cell>
          <cell r="C7982" t="str">
            <v>LPC REF LEAS BPE INT DIFERIDOS VENC REF 1ND</v>
          </cell>
        </row>
        <row r="7983">
          <cell r="B7983" t="str">
            <v>14051219110110</v>
          </cell>
          <cell r="C7983" t="str">
            <v>LPC REF LEAS BPE SEG INT DIF VENC REF RP1ND</v>
          </cell>
        </row>
        <row r="7984">
          <cell r="B7984" t="str">
            <v>14051219110111</v>
          </cell>
          <cell r="C7984" t="str">
            <v>LPC REF LS COFIGAS VEN PRI CMED         1ND</v>
          </cell>
        </row>
        <row r="7985">
          <cell r="B7985" t="str">
            <v>14051219110112</v>
          </cell>
          <cell r="C7985" t="str">
            <v>LPC REF LS COFIGAS CAP INT DIF VEN PDL C1ND</v>
          </cell>
        </row>
        <row r="7986">
          <cell r="B7986" t="str">
            <v>14051219110113</v>
          </cell>
          <cell r="C7986" t="str">
            <v>LPC REF LS COFIGAS SEG BIEN VEN PDS CMED1ND</v>
          </cell>
        </row>
        <row r="7987">
          <cell r="B7987" t="str">
            <v>14051219110114</v>
          </cell>
          <cell r="C7987" t="str">
            <v>LPC REF LS COFIGAS PRIMA SEG VEN PSG CME1ND</v>
          </cell>
        </row>
        <row r="7988">
          <cell r="B7988" t="str">
            <v>14051219110115</v>
          </cell>
          <cell r="C7988" t="str">
            <v>LPC REF LS COFIGAS IGV VEN PIG CMED     1ND</v>
          </cell>
        </row>
        <row r="7989">
          <cell r="B7989" t="str">
            <v>14051219240101</v>
          </cell>
          <cell r="C7989" t="str">
            <v>CL PRE JUD PAG RFA SUBORD VENC CMED     1ND</v>
          </cell>
        </row>
        <row r="7990">
          <cell r="B7990" t="str">
            <v>14051219240102</v>
          </cell>
          <cell r="C7990" t="str">
            <v>CL PRE JUD PAG RFA FINANC VENC CMED     1ND</v>
          </cell>
        </row>
        <row r="7991">
          <cell r="B7991" t="str">
            <v>14051219240103</v>
          </cell>
          <cell r="C7991" t="str">
            <v>CL PAG.REF.RFA SUBOR CMED VENC          1ND</v>
          </cell>
        </row>
        <row r="7992">
          <cell r="B7992" t="str">
            <v>14051219240104</v>
          </cell>
          <cell r="C7992" t="str">
            <v>CL P.REF.RFA FINANC CMED VENC           1ND</v>
          </cell>
        </row>
        <row r="7993">
          <cell r="B7993" t="str">
            <v>14051219240201</v>
          </cell>
          <cell r="C7993" t="str">
            <v>JCC PRE JUD PAG RFA FINANC VENC CMED    1ND</v>
          </cell>
        </row>
        <row r="7994">
          <cell r="B7994" t="str">
            <v>14051219240202</v>
          </cell>
          <cell r="C7994" t="str">
            <v>JCC PRE JUD PAG RFA SUBORD VENC CMED    1ND</v>
          </cell>
        </row>
        <row r="7995">
          <cell r="B7995" t="str">
            <v>14051219990701</v>
          </cell>
          <cell r="C7995" t="str">
            <v>RCC  CRÃ‰DITOS A MEDIANAS EMPRESAS      1ND</v>
          </cell>
        </row>
        <row r="7996">
          <cell r="B7996" t="str">
            <v>14051221000101</v>
          </cell>
          <cell r="C7996" t="str">
            <v>CL CXL CC ACEPTAC BKT CL VEN CMED       1ND</v>
          </cell>
        </row>
        <row r="7997">
          <cell r="B7997" t="str">
            <v>14051221000102</v>
          </cell>
          <cell r="C7997" t="str">
            <v>CL CXL AVAL X ACEPTAC VENC CMED         1ND</v>
          </cell>
        </row>
        <row r="7998">
          <cell r="B7998" t="str">
            <v>14051221000103</v>
          </cell>
          <cell r="C7998" t="str">
            <v>CL CXL CRED. X LIQUI.CC AVAL VEN CMED   1ND</v>
          </cell>
        </row>
        <row r="7999">
          <cell r="B7999" t="str">
            <v>14051221000104</v>
          </cell>
          <cell r="C7999" t="str">
            <v>CL CXL.CAR CRED VISTA VEN CMED          1ND</v>
          </cell>
        </row>
        <row r="8000">
          <cell r="B8000" t="str">
            <v>14051221000105</v>
          </cell>
          <cell r="C8000" t="str">
            <v>CL CXL.STAND BY VEN CMED                1ND</v>
          </cell>
        </row>
        <row r="8001">
          <cell r="B8001" t="str">
            <v>14051221000108</v>
          </cell>
          <cell r="C8001" t="str">
            <v>CL CXL.COBRA AVALA VEN CMED             1ND</v>
          </cell>
        </row>
        <row r="8002">
          <cell r="B8002" t="str">
            <v>14051221000109</v>
          </cell>
          <cell r="C8002" t="str">
            <v>CL CRED.POR LIQ. CARTA FIANZA VEN CMED  1ND</v>
          </cell>
        </row>
        <row r="8003">
          <cell r="B8003" t="str">
            <v>14051221000201</v>
          </cell>
          <cell r="C8003" t="str">
            <v>JCC COB.PRE.JUD. CARTA FIANZA CMED      1ND</v>
          </cell>
        </row>
        <row r="8004">
          <cell r="B8004" t="str">
            <v>14051222060101</v>
          </cell>
          <cell r="C8004" t="str">
            <v>CL PAG.REF.TV VENC CMED                 1ND</v>
          </cell>
        </row>
        <row r="8005">
          <cell r="B8005" t="str">
            <v>14051222060201</v>
          </cell>
          <cell r="C8005" t="str">
            <v>LPC PAG TV REESTRUC COFIDE VENC CMED    1ND</v>
          </cell>
        </row>
        <row r="8006">
          <cell r="B8006" t="str">
            <v>14051222110101</v>
          </cell>
          <cell r="C8006" t="str">
            <v>LPC LEAS INT DIF VENC REESTR RP CMED    1ND</v>
          </cell>
        </row>
        <row r="8007">
          <cell r="B8007" t="str">
            <v>14051222110102</v>
          </cell>
          <cell r="C8007" t="str">
            <v>LPC LEAS SEG INT DIF VENC REESTR RP CMED1ND</v>
          </cell>
        </row>
        <row r="8008">
          <cell r="B8008" t="str">
            <v>14051222110103</v>
          </cell>
          <cell r="C8008" t="str">
            <v>LPC LEAS VENC REF SEG RP REESTR CMED    1ND</v>
          </cell>
        </row>
        <row r="8009">
          <cell r="B8009" t="str">
            <v>14051222110104</v>
          </cell>
          <cell r="C8009" t="str">
            <v>LPC LEAS VENC REF IGV RP REESTR  CMED   1ND</v>
          </cell>
        </row>
        <row r="8010">
          <cell r="B8010" t="str">
            <v>14051222110105</v>
          </cell>
          <cell r="C8010" t="str">
            <v>LPC LEAS DEL BIEN VENC REESTR RP CMED   1ND</v>
          </cell>
        </row>
        <row r="8011">
          <cell r="B8011" t="str">
            <v>14051226000101</v>
          </cell>
          <cell r="C8011" t="str">
            <v>MYP EXPORT.POST EMBARQUE  VENC CMED     1ND</v>
          </cell>
        </row>
        <row r="8012">
          <cell r="B8012" t="str">
            <v>14051226000102</v>
          </cell>
          <cell r="C8012" t="str">
            <v>MYP EXPORT.PRE EMBARQ REC PROP  VENC CME1ND</v>
          </cell>
        </row>
        <row r="8013">
          <cell r="B8013" t="str">
            <v>14051226000103</v>
          </cell>
          <cell r="C8013" t="str">
            <v>MYP D/P EXPORT.POST EMBARQ VIG CMED     1ND</v>
          </cell>
        </row>
        <row r="8014">
          <cell r="B8014" t="str">
            <v>14051226000104</v>
          </cell>
          <cell r="C8014" t="str">
            <v>MYP D/P EXPORT.PRE EMBARQ  VENC CMED    1ND</v>
          </cell>
        </row>
        <row r="8015">
          <cell r="B8015" t="str">
            <v>14051226000105</v>
          </cell>
          <cell r="C8015" t="str">
            <v>MYP D/P IMPOR REC PROP COM VENC CMED    1ND</v>
          </cell>
        </row>
        <row r="8016">
          <cell r="B8016" t="str">
            <v>14051226000106</v>
          </cell>
          <cell r="C8016" t="str">
            <v>MYP FINANC IMPORT CAPITAL DE TRAB MES VE1ND</v>
          </cell>
        </row>
        <row r="8017">
          <cell r="B8017" t="str">
            <v>14051226000107</v>
          </cell>
          <cell r="C8017" t="str">
            <v>MYP FINANC IMPORT ACT FIJO VENC CMED    1ND</v>
          </cell>
        </row>
        <row r="8018">
          <cell r="B8018" t="str">
            <v>14051226000108</v>
          </cell>
          <cell r="C8018" t="str">
            <v>MYP IMPANC IMPORT CAPITAL DE TRAB  VENC-1ND</v>
          </cell>
        </row>
        <row r="8019">
          <cell r="B8019" t="str">
            <v>14051226000109</v>
          </cell>
          <cell r="C8019" t="str">
            <v>MYP D/P FIN IMPOR ACT FIJO VENC CMED    1ND</v>
          </cell>
        </row>
        <row r="8020">
          <cell r="B8020" t="str">
            <v>14051226000110</v>
          </cell>
          <cell r="C8020" t="str">
            <v>MYP COMP DEUD AF VIG CMED VENC          1ND</v>
          </cell>
        </row>
        <row r="8021">
          <cell r="B8021" t="str">
            <v>14051226000111</v>
          </cell>
          <cell r="C8021" t="str">
            <v>MYP COMP DEUD AF VIG CMED VENC D/P      1ND</v>
          </cell>
        </row>
        <row r="8022">
          <cell r="B8022" t="str">
            <v>14051226000201</v>
          </cell>
          <cell r="C8022" t="str">
            <v>CL PAG IMPORT.D/P VENC CMED             1ND</v>
          </cell>
        </row>
        <row r="8023">
          <cell r="B8023" t="str">
            <v>14051226000202</v>
          </cell>
          <cell r="C8023" t="str">
            <v>LPC PAG.VENC EX PRE EMB D/P CMED        1ND</v>
          </cell>
        </row>
        <row r="8024">
          <cell r="B8024" t="str">
            <v>14051226000203</v>
          </cell>
          <cell r="C8024" t="str">
            <v>LPC PAG EXP POST EMB RP D/P CMED        1ND</v>
          </cell>
        </row>
        <row r="8025">
          <cell r="B8025" t="str">
            <v>14051226000204</v>
          </cell>
          <cell r="C8025" t="str">
            <v>CL PAG EXP PRE EM.RP VEN CMED           1ND</v>
          </cell>
        </row>
        <row r="8026">
          <cell r="B8026" t="str">
            <v>14051226000205</v>
          </cell>
          <cell r="C8026" t="str">
            <v>CL PAG EXP POST EMB RP CMED VENC        1ND</v>
          </cell>
        </row>
        <row r="8027">
          <cell r="B8027" t="str">
            <v>14051226000206</v>
          </cell>
          <cell r="C8027" t="str">
            <v>CL PAG IMPOR VENC CMED                  1ND</v>
          </cell>
        </row>
        <row r="8028">
          <cell r="B8028" t="str">
            <v>14051226000207</v>
          </cell>
          <cell r="C8028" t="str">
            <v>LPC WORK CAP. EX PRE EMB.VEN CMED       1ND</v>
          </cell>
        </row>
        <row r="8029">
          <cell r="B8029" t="str">
            <v>14051226000208</v>
          </cell>
          <cell r="C8029" t="str">
            <v>LPC FINANC PRE EMBARQUE                 1ND</v>
          </cell>
        </row>
        <row r="8030">
          <cell r="B8030" t="str">
            <v>14051226000209</v>
          </cell>
          <cell r="C8030" t="str">
            <v>LPC FINANC PRE EMBARQUE D/P             1ND</v>
          </cell>
        </row>
        <row r="8031">
          <cell r="B8031" t="str">
            <v>14051226000210</v>
          </cell>
          <cell r="C8031" t="str">
            <v>LPC FINANC PRE EMBARQUE-SEPYMEX CMED    1ND</v>
          </cell>
        </row>
        <row r="8032">
          <cell r="B8032" t="str">
            <v>14051226000211</v>
          </cell>
          <cell r="C8032" t="str">
            <v>LPC FINANC PRE EMBARQUE D/P-SEPYMEX CMED1ND</v>
          </cell>
        </row>
        <row r="8033">
          <cell r="B8033" t="str">
            <v>14051226000212</v>
          </cell>
          <cell r="C8033" t="str">
            <v>LPC PRE EMBARQUE FINANC. VEN. NORM CMED 1ND</v>
          </cell>
        </row>
        <row r="8034">
          <cell r="B8034" t="str">
            <v>14051226000213</v>
          </cell>
          <cell r="C8034" t="str">
            <v>LPC PRE EMBARQUE FINANC. VEN. DUPE CMED 1ND</v>
          </cell>
        </row>
        <row r="8035">
          <cell r="B8035" t="str">
            <v>14051226000214</v>
          </cell>
          <cell r="C8035" t="str">
            <v>LPC POST EMBARQUE FINANC. VEN. NORM CMED1ND</v>
          </cell>
        </row>
        <row r="8036">
          <cell r="B8036" t="str">
            <v>14051226000215</v>
          </cell>
          <cell r="C8036" t="str">
            <v>LPC POST EMBARQUE FINANC. VEN. DUPE CMED1ND</v>
          </cell>
        </row>
        <row r="8037">
          <cell r="B8037" t="str">
            <v>14051226000216</v>
          </cell>
          <cell r="C8037" t="str">
            <v>LPC IMPORT. CARTA CREDITO  FINANC. VEN. 1ND</v>
          </cell>
        </row>
        <row r="8038">
          <cell r="B8038" t="str">
            <v>14051226000217</v>
          </cell>
          <cell r="C8038" t="str">
            <v>LPC IMPORT. CARTA CREDITO  FINANC. VEN. 1ND</v>
          </cell>
        </row>
        <row r="8039">
          <cell r="B8039" t="str">
            <v>14051226000218</v>
          </cell>
          <cell r="C8039" t="str">
            <v>LPC IMPORT.  FINANC. VEN. NORM CMED     1ND</v>
          </cell>
        </row>
        <row r="8040">
          <cell r="B8040" t="str">
            <v>14051226000219</v>
          </cell>
          <cell r="C8040" t="str">
            <v>LPC IMPORT.  FINANC. VEN. DUPE CMED     1ND</v>
          </cell>
        </row>
        <row r="8041">
          <cell r="B8041" t="str">
            <v>14051226000220</v>
          </cell>
          <cell r="C8041" t="str">
            <v>LPC PAGARE FORFAITING VENC CMED         1ND</v>
          </cell>
        </row>
        <row r="8042">
          <cell r="B8042" t="str">
            <v>14051226000221</v>
          </cell>
          <cell r="C8042" t="str">
            <v>LPC PAGARE FORFAITING VENC D/P  CMED    1ND</v>
          </cell>
        </row>
        <row r="8043">
          <cell r="B8043" t="str">
            <v>14051226000301</v>
          </cell>
          <cell r="C8043" t="str">
            <v>CL PRE JUDIC PREST EXPORT VENC CMED GL701ND</v>
          </cell>
        </row>
        <row r="8044">
          <cell r="B8044" t="str">
            <v>14051226000302</v>
          </cell>
          <cell r="C8044" t="str">
            <v>CL PRE JUDIC PAG.IMPORT VENC CMED GL70031ND</v>
          </cell>
        </row>
        <row r="8045">
          <cell r="B8045" t="str">
            <v>14051226000303</v>
          </cell>
          <cell r="C8045" t="str">
            <v>CL PRE JUDIC CARTAS CRED VENC CMED GL7001ND</v>
          </cell>
        </row>
        <row r="8046">
          <cell r="B8046" t="str">
            <v>14051226000304</v>
          </cell>
          <cell r="C8046" t="str">
            <v>CL PRE JUDIC CARTA FIANZA VENC CMED GL701ND</v>
          </cell>
        </row>
        <row r="8047">
          <cell r="B8047" t="str">
            <v>14051226000305</v>
          </cell>
          <cell r="C8047" t="str">
            <v>CL EX FORFAITING CAPITAL VENC CMED      1ND</v>
          </cell>
        </row>
        <row r="8048">
          <cell r="B8048" t="str">
            <v>14051226000306</v>
          </cell>
          <cell r="C8048" t="str">
            <v>CL PAG.PRE EX EMBAR. D/P. VEN. CMED     1ND</v>
          </cell>
        </row>
        <row r="8049">
          <cell r="B8049" t="str">
            <v>14051226000307</v>
          </cell>
          <cell r="C8049" t="str">
            <v>CL PAG.POST. EX EMBAR. D/P. VEN. CCOR   1ND</v>
          </cell>
        </row>
        <row r="8050">
          <cell r="B8050" t="str">
            <v>14051226000308</v>
          </cell>
          <cell r="C8050" t="str">
            <v>CL EX VEN PAG.IMPORTAC.D/P CMED         1ND</v>
          </cell>
        </row>
        <row r="8051">
          <cell r="B8051" t="str">
            <v>14051226000401</v>
          </cell>
          <cell r="C8051" t="str">
            <v>JCC PRE JUDIC PREST EXPORT VENC CMED GL71ND</v>
          </cell>
        </row>
        <row r="8052">
          <cell r="B8052" t="str">
            <v>14051226000402</v>
          </cell>
          <cell r="C8052" t="str">
            <v>CJ PRE JUDIC PAG.IMPORT VENC CMED GL70031ND</v>
          </cell>
        </row>
        <row r="8053">
          <cell r="B8053" t="str">
            <v>14051226000403</v>
          </cell>
          <cell r="C8053" t="str">
            <v>JCC PRE JUDIC CARTAS CRED VENC CMED GL701ND</v>
          </cell>
        </row>
        <row r="8054">
          <cell r="B8054" t="str">
            <v>14051226000404</v>
          </cell>
          <cell r="C8054" t="str">
            <v>JCC PRE JUDIC CARTA FIANZA VENC CMED GL71ND</v>
          </cell>
        </row>
        <row r="8055">
          <cell r="B8055" t="str">
            <v>14051226000501</v>
          </cell>
          <cell r="C8055" t="str">
            <v>FCD COMEX EXPO VENC NORM  CMED          1ND</v>
          </cell>
        </row>
        <row r="8056">
          <cell r="B8056" t="str">
            <v>14051226000502</v>
          </cell>
          <cell r="C8056" t="str">
            <v>LPC COFIDE FONDOS CRECER CMED  VEN\NORM 1ND</v>
          </cell>
        </row>
        <row r="8057">
          <cell r="B8057" t="str">
            <v>14051226000503</v>
          </cell>
          <cell r="C8057" t="str">
            <v>LPC COFIDE FONDOS CRECER CMED  VEN\DUPE 1ND</v>
          </cell>
        </row>
        <row r="8058">
          <cell r="B8058" t="str">
            <v>14051226000504</v>
          </cell>
          <cell r="C8058" t="str">
            <v>LPC COFIDE FONDOS CRECER CMED  VEN\NORM 1ND</v>
          </cell>
        </row>
        <row r="8059">
          <cell r="B8059" t="str">
            <v>14051226000505</v>
          </cell>
          <cell r="C8059" t="str">
            <v>LPC COFIDE FONDOS CRECER CMED  VEN\DUPE 1ND</v>
          </cell>
        </row>
        <row r="8060">
          <cell r="B8060" t="str">
            <v>14051226000506</v>
          </cell>
          <cell r="C8060" t="str">
            <v>LPC REPROG EM COVID-19 POST EMB INT REFI1ND</v>
          </cell>
        </row>
        <row r="8061">
          <cell r="B8061" t="str">
            <v>14051226000507</v>
          </cell>
          <cell r="C8061" t="str">
            <v>LPC REPROG EM COVID-19 POST EMB INT CGEM1ND</v>
          </cell>
        </row>
        <row r="8062">
          <cell r="B8062" t="str">
            <v>14051226000508</v>
          </cell>
          <cell r="C8062" t="str">
            <v>LPC REPROG EM COVID-19 FINAN.COMEX VENC 1ND</v>
          </cell>
        </row>
        <row r="8063">
          <cell r="B8063" t="str">
            <v>14051226000509</v>
          </cell>
          <cell r="C8063" t="str">
            <v>LPC REPROG EM COVID-19 FINAN.COMEX VENC 1ND</v>
          </cell>
        </row>
        <row r="8064">
          <cell r="B8064" t="str">
            <v>14051226000510</v>
          </cell>
          <cell r="C8064" t="str">
            <v>LPC REPROG EM COVID-19 POST EMB INT REFI1ND</v>
          </cell>
        </row>
        <row r="8065">
          <cell r="B8065" t="str">
            <v>14051226000511</v>
          </cell>
          <cell r="C8065" t="str">
            <v>LPC REPROG EM COVID-19 POST EMB INT CMED1ND</v>
          </cell>
        </row>
        <row r="8066">
          <cell r="B8066" t="str">
            <v>14051230000101</v>
          </cell>
          <cell r="C8066" t="str">
            <v>LPC PAG FINAN PROY D/P VENC CMED        1ND</v>
          </cell>
        </row>
        <row r="8067">
          <cell r="B8067" t="str">
            <v>14051230000102</v>
          </cell>
          <cell r="C8067" t="str">
            <v>LPC PAG FINAN PROY  VENC CMED           1ND</v>
          </cell>
        </row>
        <row r="8068">
          <cell r="B8068" t="str">
            <v>14051230000103</v>
          </cell>
          <cell r="C8068" t="str">
            <v>LPC PAG. FINANC PROY COFIDE VEN CMED    1ND</v>
          </cell>
        </row>
        <row r="8069">
          <cell r="B8069" t="str">
            <v>14051230000104</v>
          </cell>
          <cell r="C8069" t="str">
            <v>LPC  PAG. FINANC PROY COFIDE  VENC D/P C1ND</v>
          </cell>
        </row>
        <row r="8070">
          <cell r="B8070" t="str">
            <v>14051230000107</v>
          </cell>
          <cell r="C8070" t="str">
            <v>LPC PAG FINAN PROY VERDE-SOCIAL CMED DUP1 D</v>
          </cell>
        </row>
        <row r="8071">
          <cell r="B8071" t="str">
            <v>14051230000108</v>
          </cell>
          <cell r="C8071" t="str">
            <v>LPC PAG FINAN PROY VERDE-SOCIAL CMED NOR1 D</v>
          </cell>
        </row>
        <row r="8072">
          <cell r="B8072" t="str">
            <v>14051230000109</v>
          </cell>
          <cell r="C8072" t="str">
            <v>LPC PAG FINAN PROY VINC-SOSTENIB CMED DU1 D</v>
          </cell>
        </row>
        <row r="8073">
          <cell r="B8073" t="str">
            <v>14051230000110</v>
          </cell>
          <cell r="C8073" t="str">
            <v>LPC PAG FINAN PROY VINC-SOSTENIB CMED NO1 D</v>
          </cell>
        </row>
        <row r="8074">
          <cell r="B8074" t="str">
            <v>14051230000111</v>
          </cell>
          <cell r="C8074" t="str">
            <v>LPC LEASING FINANCIACION PROYECTO CMED V1 D</v>
          </cell>
        </row>
        <row r="8075">
          <cell r="B8075" t="str">
            <v>14051230000112</v>
          </cell>
          <cell r="C8075" t="str">
            <v>LPC LEASING FINANCIACION PROYECTO CMED V1 D</v>
          </cell>
        </row>
        <row r="8076">
          <cell r="B8076" t="str">
            <v>14051233000101</v>
          </cell>
          <cell r="C8076" t="str">
            <v>LPC PAG INMOBILIARIO CMED               1ND</v>
          </cell>
        </row>
        <row r="8077">
          <cell r="B8077" t="str">
            <v>14051233000701</v>
          </cell>
          <cell r="C8077" t="str">
            <v>RCC  CRÃ‰DITOS A MEDIANAS EMP - FINANCIA1ND</v>
          </cell>
        </row>
        <row r="8078">
          <cell r="B8078" t="str">
            <v>14051233000702</v>
          </cell>
          <cell r="C8078" t="str">
            <v>LPC PAG BIENES INMB RENTA VERDE-SOCIAL C1 D</v>
          </cell>
        </row>
        <row r="8079">
          <cell r="B8079" t="str">
            <v>14051233000703</v>
          </cell>
          <cell r="C8079" t="str">
            <v>LPC PAG BIENES INMB RENTA VERDE-SOCIAL C1 D</v>
          </cell>
        </row>
        <row r="8080">
          <cell r="B8080" t="str">
            <v>14051233000704</v>
          </cell>
          <cell r="C8080" t="str">
            <v>LPC PAG BIENES INMB RENTA VINC-SOSTENIB 1 D</v>
          </cell>
        </row>
        <row r="8081">
          <cell r="B8081" t="str">
            <v>14051233000705</v>
          </cell>
          <cell r="C8081" t="str">
            <v>LPC PAG BIENES INMB RENTA VINC-SOSTENIB 1 D</v>
          </cell>
        </row>
        <row r="8082">
          <cell r="B8082" t="str">
            <v>14051302010101</v>
          </cell>
          <cell r="C8082" t="str">
            <v>TC VISA COMERC COLOC.DISP.EFECT. CPEM   1ND</v>
          </cell>
        </row>
        <row r="8083">
          <cell r="B8083" t="str">
            <v>14051302010102</v>
          </cell>
          <cell r="C8083" t="str">
            <v>TC MC COMERCIAL. COLOC. CPEM            1ND</v>
          </cell>
        </row>
        <row r="8084">
          <cell r="B8084" t="str">
            <v>14051302010103</v>
          </cell>
          <cell r="C8084" t="str">
            <v>TC AMEX COMERC COLOC.DISP.EFECT. CPEM   1ND</v>
          </cell>
        </row>
        <row r="8085">
          <cell r="B8085" t="str">
            <v>14051302010104</v>
          </cell>
          <cell r="C8085" t="str">
            <v>TC VEA COMERCIAL. COLOC. DISP. CPEM     1ND</v>
          </cell>
        </row>
        <row r="8086">
          <cell r="B8086" t="str">
            <v>14051302010105</v>
          </cell>
          <cell r="C8086" t="str">
            <v>TC COLOC. DISP.EFECTIVO EN CUOTAS VEN. C1ND</v>
          </cell>
        </row>
        <row r="8087">
          <cell r="B8087" t="str">
            <v>14051302010106</v>
          </cell>
          <cell r="C8087" t="str">
            <v>TC AMEX D/E CUOTAS VEN CPEM             1ND</v>
          </cell>
        </row>
        <row r="8088">
          <cell r="B8088" t="str">
            <v>14051302010107</v>
          </cell>
          <cell r="C8088" t="str">
            <v>TC AMEX D/E REV VEN CPEM                1ND</v>
          </cell>
        </row>
        <row r="8089">
          <cell r="B8089" t="str">
            <v>14051302010108</v>
          </cell>
          <cell r="C8089" t="str">
            <v>TC MC D/E CUOTAS VEN CPEM               1ND</v>
          </cell>
        </row>
        <row r="8090">
          <cell r="B8090" t="str">
            <v>14051302010109</v>
          </cell>
          <cell r="C8090" t="str">
            <v>TC MC D/E REV VEN CPEM                  1ND</v>
          </cell>
        </row>
        <row r="8091">
          <cell r="B8091" t="str">
            <v>14051302010110</v>
          </cell>
          <cell r="C8091" t="str">
            <v>TC VISA D/E CUOTAS VEN CPEM             1ND</v>
          </cell>
        </row>
        <row r="8092">
          <cell r="B8092" t="str">
            <v>14051302010111</v>
          </cell>
          <cell r="C8092" t="str">
            <v>TC VISA D/E REV VEN CPEM                1ND</v>
          </cell>
        </row>
        <row r="8093">
          <cell r="B8093" t="str">
            <v>14051302010201</v>
          </cell>
          <cell r="C8093" t="str">
            <v>CL PRE JUD TC VISA PJ DISP EFEC CPEM    1ND</v>
          </cell>
        </row>
        <row r="8094">
          <cell r="B8094" t="str">
            <v>14051302010202</v>
          </cell>
          <cell r="C8094" t="str">
            <v>CL PRE JUD TC.AMEX PJ DISP EFEC CPEM    1ND</v>
          </cell>
        </row>
        <row r="8095">
          <cell r="B8095" t="str">
            <v>14051302010203</v>
          </cell>
          <cell r="C8095" t="str">
            <v>CL PRE JUD TC.MASTER PJ DISP EFEC CPEM  1ND</v>
          </cell>
        </row>
        <row r="8096">
          <cell r="B8096" t="str">
            <v>14051302020101</v>
          </cell>
          <cell r="C8096" t="str">
            <v>TC VISA COMERCIAL COLOC.COMPRAS CPEM    1ND</v>
          </cell>
        </row>
        <row r="8097">
          <cell r="B8097" t="str">
            <v>14051302020102</v>
          </cell>
          <cell r="C8097" t="str">
            <v>TC MC COMERCIAL. COLOC. COMPRA CPEM     1ND</v>
          </cell>
        </row>
        <row r="8098">
          <cell r="B8098" t="str">
            <v>14051302020103</v>
          </cell>
          <cell r="C8098" t="str">
            <v>TC AMEX COMERCIAL COLOC.COMPRAS CPEM    1ND</v>
          </cell>
        </row>
        <row r="8099">
          <cell r="B8099" t="str">
            <v>14051302020104</v>
          </cell>
          <cell r="C8099" t="str">
            <v>TC VEA COMERCIAL. COLOC. COMPRA CPEM    1ND</v>
          </cell>
        </row>
        <row r="8100">
          <cell r="B8100" t="str">
            <v>14051302020105</v>
          </cell>
          <cell r="C8100" t="str">
            <v>TC COLOC.COMPRAS EN CUOTAS VEN. CPEM    1ND</v>
          </cell>
        </row>
        <row r="8101">
          <cell r="B8101" t="str">
            <v>14051302020106</v>
          </cell>
          <cell r="C8101" t="str">
            <v>TC AMEX COMPRA CUOTAS VEN CPEM          1ND</v>
          </cell>
        </row>
        <row r="8102">
          <cell r="B8102" t="str">
            <v>14051302020107</v>
          </cell>
          <cell r="C8102" t="str">
            <v>TC AMEX COMPRA REV VEN CPEM             1ND</v>
          </cell>
        </row>
        <row r="8103">
          <cell r="B8103" t="str">
            <v>14051302020108</v>
          </cell>
          <cell r="C8103" t="str">
            <v>TC MC COMPRA CUOTAS VEN CPEM            1ND</v>
          </cell>
        </row>
        <row r="8104">
          <cell r="B8104" t="str">
            <v>14051302020109</v>
          </cell>
          <cell r="C8104" t="str">
            <v>TC MC COMPRA REV VEN CPEM               1ND</v>
          </cell>
        </row>
        <row r="8105">
          <cell r="B8105" t="str">
            <v>14051302020110</v>
          </cell>
          <cell r="C8105" t="str">
            <v>TC VISA COMPRA CUOTAS VEN CPEM          1ND</v>
          </cell>
        </row>
        <row r="8106">
          <cell r="B8106" t="str">
            <v>14051302020111</v>
          </cell>
          <cell r="C8106" t="str">
            <v>TC VISA COMPRA REV VEN CPEM             1ND</v>
          </cell>
        </row>
        <row r="8107">
          <cell r="B8107" t="str">
            <v>14051302020201</v>
          </cell>
          <cell r="C8107" t="str">
            <v>CL PRE JUD TC VISA PJ CONSUM. CPEM      1ND</v>
          </cell>
        </row>
        <row r="8108">
          <cell r="B8108" t="str">
            <v>14051302020202</v>
          </cell>
          <cell r="C8108" t="str">
            <v>CL PRE JUD TC.AMEX PJ CONSU CPEM        1ND</v>
          </cell>
        </row>
        <row r="8109">
          <cell r="B8109" t="str">
            <v>14051302020203</v>
          </cell>
          <cell r="C8109" t="str">
            <v>CL PRE JUD TC.MASTER PJ CONSU CPEM      1ND</v>
          </cell>
        </row>
        <row r="8110">
          <cell r="B8110" t="str">
            <v>14051302030101</v>
          </cell>
          <cell r="C8110" t="str">
            <v>JCC PRE JUD TC.MASTER PJ CONSU CPEM     1ND</v>
          </cell>
        </row>
        <row r="8111">
          <cell r="B8111" t="str">
            <v>14051302030102</v>
          </cell>
          <cell r="C8111" t="str">
            <v>JCC PRE JUD TC VISA PJ CONSUM. CPEM     1ND</v>
          </cell>
        </row>
        <row r="8112">
          <cell r="B8112" t="str">
            <v>14051302030103</v>
          </cell>
          <cell r="C8112" t="str">
            <v>JCC PRE JUD TC.AMEX PJ CONSU CPEM       1ND</v>
          </cell>
        </row>
        <row r="8113">
          <cell r="B8113" t="str">
            <v>14051302030104</v>
          </cell>
          <cell r="C8113" t="str">
            <v>JCC PRE JUD TC.MASTER PJ DISP EFEC CPEM 1ND</v>
          </cell>
        </row>
        <row r="8114">
          <cell r="B8114" t="str">
            <v>14051302030105</v>
          </cell>
          <cell r="C8114" t="str">
            <v>JCC PRE JUD TC VISA PJ DISP EFEC CPEM   1ND</v>
          </cell>
        </row>
        <row r="8115">
          <cell r="B8115" t="str">
            <v>14051302030106</v>
          </cell>
          <cell r="C8115" t="str">
            <v>JCC PRE JUD TC.AMEX PJ DISP EFEC CPEM   1ND</v>
          </cell>
        </row>
        <row r="8116">
          <cell r="B8116" t="str">
            <v>14051302090101</v>
          </cell>
          <cell r="C8116" t="str">
            <v>TC VISA COMERC COLOC.OTROS CPEM         1ND</v>
          </cell>
        </row>
        <row r="8117">
          <cell r="B8117" t="str">
            <v>14051302090102</v>
          </cell>
          <cell r="C8117" t="str">
            <v>TC MC COMERC COLOC.OTROS CPEM           1ND</v>
          </cell>
        </row>
        <row r="8118">
          <cell r="B8118" t="str">
            <v>14051302090103</v>
          </cell>
          <cell r="C8118" t="str">
            <v>TC AMEX COMERC COLOC.OTROS CPEM         1ND</v>
          </cell>
        </row>
        <row r="8119">
          <cell r="B8119" t="str">
            <v>14051302090104</v>
          </cell>
          <cell r="C8119" t="str">
            <v>TC VEA COMERC COLOC.OTROS CPEM          1ND</v>
          </cell>
        </row>
        <row r="8120">
          <cell r="B8120" t="str">
            <v>14051302090105</v>
          </cell>
          <cell r="C8120" t="str">
            <v>TC REPROGRAMACION VEN. CPEM             1ND</v>
          </cell>
        </row>
        <row r="8121">
          <cell r="B8121" t="str">
            <v>14051302090106</v>
          </cell>
          <cell r="C8121" t="str">
            <v>TC AMEX CDEUDA PAR VEN CPEM             1ND</v>
          </cell>
        </row>
        <row r="8122">
          <cell r="B8122" t="str">
            <v>14051302090107</v>
          </cell>
          <cell r="C8122" t="str">
            <v>TC AMEX CDEUDA REV VEN CPEM             1ND</v>
          </cell>
        </row>
        <row r="8123">
          <cell r="B8123" t="str">
            <v>14051302090108</v>
          </cell>
          <cell r="C8123" t="str">
            <v>TC AMEX EXTRACASH VEN CPEM              1ND</v>
          </cell>
        </row>
        <row r="8124">
          <cell r="B8124" t="str">
            <v>14051302090109</v>
          </cell>
          <cell r="C8124" t="str">
            <v>TC AMEX REPROG PAR VEN CPEM             1ND</v>
          </cell>
        </row>
        <row r="8125">
          <cell r="B8125" t="str">
            <v>14051302090110</v>
          </cell>
          <cell r="C8125" t="str">
            <v>TC AMEX REPROG REV VEN CPEM             1ND</v>
          </cell>
        </row>
        <row r="8126">
          <cell r="B8126" t="str">
            <v>14051302090111</v>
          </cell>
          <cell r="C8126" t="str">
            <v>TC MC CDEUDA PAR VEN CPEM               1ND</v>
          </cell>
        </row>
        <row r="8127">
          <cell r="B8127" t="str">
            <v>14051302090112</v>
          </cell>
          <cell r="C8127" t="str">
            <v>TC MC CDEUDA REV VEN CPEM               1ND</v>
          </cell>
        </row>
        <row r="8128">
          <cell r="B8128" t="str">
            <v>14051302090113</v>
          </cell>
          <cell r="C8128" t="str">
            <v>TC MC EXTRACASH VEN CPEM                1ND</v>
          </cell>
        </row>
        <row r="8129">
          <cell r="B8129" t="str">
            <v>14051302090114</v>
          </cell>
          <cell r="C8129" t="str">
            <v>TC MC REPROG PAR VEN CPEM               1ND</v>
          </cell>
        </row>
        <row r="8130">
          <cell r="B8130" t="str">
            <v>14051302090115</v>
          </cell>
          <cell r="C8130" t="str">
            <v>TC MC REPROG REV VEN CPEM               1ND</v>
          </cell>
        </row>
        <row r="8131">
          <cell r="B8131" t="str">
            <v>14051302090116</v>
          </cell>
          <cell r="C8131" t="str">
            <v>TC VISA CDEUDA PAR VEN CPEM             1ND</v>
          </cell>
        </row>
        <row r="8132">
          <cell r="B8132" t="str">
            <v>14051302090117</v>
          </cell>
          <cell r="C8132" t="str">
            <v>TC VISA CDEUDA REV VEN CPEM             1ND</v>
          </cell>
        </row>
        <row r="8133">
          <cell r="B8133" t="str">
            <v>14051302090118</v>
          </cell>
          <cell r="C8133" t="str">
            <v>TC VISA EXTRACASH VEN CPEM              1ND</v>
          </cell>
        </row>
        <row r="8134">
          <cell r="B8134" t="str">
            <v>14051302090119</v>
          </cell>
          <cell r="C8134" t="str">
            <v>TC VISA REPROG PAR VEN CPEM             1ND</v>
          </cell>
        </row>
        <row r="8135">
          <cell r="B8135" t="str">
            <v>14051302090120</v>
          </cell>
          <cell r="C8135" t="str">
            <v>TC VISA REPROG REV VEN CPEM             1ND</v>
          </cell>
        </row>
        <row r="8136">
          <cell r="B8136" t="str">
            <v>14051304000101</v>
          </cell>
          <cell r="C8136" t="str">
            <v>CL PRE JUD SOBR CCTE. PJ VENC CPEM      1ND</v>
          </cell>
        </row>
        <row r="8137">
          <cell r="B8137" t="str">
            <v>14051304000201</v>
          </cell>
          <cell r="C8137" t="str">
            <v>IM SOBREG VENC CTA CTE PJ CPEM          1ND</v>
          </cell>
        </row>
        <row r="8138">
          <cell r="B8138" t="str">
            <v>14051304000202</v>
          </cell>
          <cell r="C8138" t="str">
            <v>IM SOBREG VENC CTA CTE PJ S/F CPEM      1ND</v>
          </cell>
        </row>
        <row r="8139">
          <cell r="B8139" t="str">
            <v>14051304000301</v>
          </cell>
          <cell r="C8139" t="str">
            <v>JCC PRE JUD SOBR CCTE. PJ VENC CPEM     1ND</v>
          </cell>
        </row>
        <row r="8140">
          <cell r="B8140" t="str">
            <v>14051305010101</v>
          </cell>
          <cell r="C8140" t="str">
            <v>CL PAG DSCTO VENC CPEM                  1ND</v>
          </cell>
        </row>
        <row r="8141">
          <cell r="B8141" t="str">
            <v>14051305010102</v>
          </cell>
          <cell r="C8141" t="str">
            <v>CL PAG.DSCTO D/P VENC CPEM              1ND</v>
          </cell>
        </row>
        <row r="8142">
          <cell r="B8142" t="str">
            <v>14051305010103</v>
          </cell>
          <cell r="C8142" t="str">
            <v>CL PRE JUDIC DSCTO.PAGARE VEN CPEM      1ND</v>
          </cell>
        </row>
        <row r="8143">
          <cell r="B8143" t="str">
            <v>14051305010104</v>
          </cell>
          <cell r="C8143" t="str">
            <v>LPC PAG.TSA.DSCTO D/P VENC CPEM         1ND</v>
          </cell>
        </row>
        <row r="8144">
          <cell r="B8144" t="str">
            <v>14051305010105</v>
          </cell>
          <cell r="C8144" t="str">
            <v>LPC PAG.TSA.DSCTO VENC CPEM             1ND</v>
          </cell>
        </row>
        <row r="8145">
          <cell r="B8145" t="str">
            <v>14051305020101</v>
          </cell>
          <cell r="C8145" t="str">
            <v>PR LETRAS  DSCTO VC   CPEM              1ND</v>
          </cell>
        </row>
        <row r="8146">
          <cell r="B8146" t="str">
            <v>14051305020102</v>
          </cell>
          <cell r="C8146" t="str">
            <v>PR DSCTO ELECTR SM PERU VEN CMED        1ND</v>
          </cell>
        </row>
        <row r="8147">
          <cell r="B8147" t="str">
            <v>14051305020103</v>
          </cell>
          <cell r="C8147" t="str">
            <v>PR LETRAS EN DSCTO VEN D/P CPEM         1ND</v>
          </cell>
        </row>
        <row r="8148">
          <cell r="B8148" t="str">
            <v>14051305020104</v>
          </cell>
          <cell r="C8148" t="str">
            <v>PR LETRAS T. DESCONTADAÂ  VENCÂ Â  CPEM 1ND</v>
          </cell>
        </row>
        <row r="8149">
          <cell r="B8149" t="str">
            <v>14051305020105</v>
          </cell>
          <cell r="C8149" t="str">
            <v>FCD DSCTO ELECTR VENC DUDOSO CPEM       1ND</v>
          </cell>
        </row>
        <row r="8150">
          <cell r="B8150" t="str">
            <v>14051305020106</v>
          </cell>
          <cell r="C8150" t="str">
            <v>FCD DESC. LET. VENC. CPEM DUPE          1ND</v>
          </cell>
        </row>
        <row r="8151">
          <cell r="B8151" t="str">
            <v>14051305020107</v>
          </cell>
          <cell r="C8151" t="str">
            <v>FCD DESC. FACT. VENC. CPEM DUPE         1ND</v>
          </cell>
        </row>
        <row r="8152">
          <cell r="B8152" t="str">
            <v>14051305020108</v>
          </cell>
          <cell r="C8152" t="str">
            <v>FCD DESC. VIRTUAL VENC. CPEM DUPE       1ND</v>
          </cell>
        </row>
        <row r="8153">
          <cell r="B8153" t="str">
            <v>14051305020109</v>
          </cell>
          <cell r="C8153" t="str">
            <v>FCD DESC. FACT. NEG. VENC. CPEM DUPE    1ND</v>
          </cell>
        </row>
        <row r="8154">
          <cell r="B8154" t="str">
            <v>14051305020110</v>
          </cell>
          <cell r="C8154" t="str">
            <v>FCD DESC. VIRTUAL VENC. CPEM NORMAL     1ND</v>
          </cell>
        </row>
        <row r="8155">
          <cell r="B8155" t="str">
            <v>14051305020201</v>
          </cell>
          <cell r="C8155" t="str">
            <v>CL PRE JUDIC DSCTO.LETRAS VENC CPEM GL701ND</v>
          </cell>
        </row>
        <row r="8156">
          <cell r="B8156" t="str">
            <v>14051305030101</v>
          </cell>
          <cell r="C8156" t="str">
            <v>JCC PRE JUDIC DSCTO.PAGARE VEN CPEM     1ND</v>
          </cell>
        </row>
        <row r="8157">
          <cell r="B8157" t="str">
            <v>14051305030102</v>
          </cell>
          <cell r="C8157" t="str">
            <v>JCC PRE JUDIC DSCTO.LETRAS VENC CPEM GL71ND</v>
          </cell>
        </row>
        <row r="8158">
          <cell r="B8158" t="str">
            <v>14051306010101</v>
          </cell>
          <cell r="C8158" t="str">
            <v>MYP LIN REVOLV VENC CPEM                1ND</v>
          </cell>
        </row>
        <row r="8159">
          <cell r="B8159" t="str">
            <v>14051306010102</v>
          </cell>
          <cell r="C8159" t="str">
            <v>MYP D/P LINEA REVOLV VENC CPEM          1ND</v>
          </cell>
        </row>
        <row r="8160">
          <cell r="B8160" t="str">
            <v>14051306010103</v>
          </cell>
          <cell r="C8160" t="str">
            <v>MYP REFIN.VENC COBRAN REVOLCPEM         1ND</v>
          </cell>
        </row>
        <row r="8161">
          <cell r="B8161" t="str">
            <v>14051306010104</v>
          </cell>
          <cell r="C8161" t="str">
            <v>MYP D/P LIN REV.BPE-BE COM VENC CPEM    1ND</v>
          </cell>
        </row>
        <row r="8162">
          <cell r="B8162" t="str">
            <v>14051306010105</v>
          </cell>
          <cell r="C8162" t="str">
            <v>MYP LINEA REV.BPE-BE COM VENC NORM CPEM 1ND</v>
          </cell>
        </row>
        <row r="8163">
          <cell r="B8163" t="str">
            <v>14051306010106</v>
          </cell>
          <cell r="C8163" t="str">
            <v>MYP LINEA REVOL PROVREFVEN CPEM         1ND</v>
          </cell>
        </row>
        <row r="8164">
          <cell r="B8164" t="str">
            <v>14051306010107</v>
          </cell>
          <cell r="C8164" t="str">
            <v>MYP LINEA REVOL REUT.VEN CPEM           1ND</v>
          </cell>
        </row>
        <row r="8165">
          <cell r="B8165" t="str">
            <v>14051306010201</v>
          </cell>
          <cell r="C8165" t="str">
            <v>LPC PAG. TV D/P REVOL VEN CPEM          1ND</v>
          </cell>
        </row>
        <row r="8166">
          <cell r="B8166" t="str">
            <v>14051306010202</v>
          </cell>
          <cell r="C8166" t="str">
            <v>CL PAG TV REVOLV VEN CPEM               1ND</v>
          </cell>
        </row>
        <row r="8167">
          <cell r="B8167" t="str">
            <v>14051306010203</v>
          </cell>
          <cell r="C8167" t="str">
            <v>CL PAG.TV NEG.INMOBIL REVOLV VEN CPEM   1ND</v>
          </cell>
        </row>
        <row r="8168">
          <cell r="B8168" t="str">
            <v>14051306010204</v>
          </cell>
          <cell r="C8168" t="str">
            <v>CL P.TV OTROS SUSP.REVOLV VEN CPEM      1ND</v>
          </cell>
        </row>
        <row r="8169">
          <cell r="B8169" t="str">
            <v>14051306010205</v>
          </cell>
          <cell r="C8169" t="str">
            <v>CL P.TV REC.COFIDE.REV VEN CPEM         1ND</v>
          </cell>
        </row>
        <row r="8170">
          <cell r="B8170" t="str">
            <v>14051306010206</v>
          </cell>
          <cell r="C8170" t="str">
            <v>CL PRE JUDIC RP CAP.TRAB VENC REVOLV. CP1ND</v>
          </cell>
        </row>
        <row r="8171">
          <cell r="B8171" t="str">
            <v>14051306010207</v>
          </cell>
          <cell r="C8171" t="str">
            <v>CL PRE JUD PAG.TV.COFIDE REVOL CPEM     1ND</v>
          </cell>
        </row>
        <row r="8172">
          <cell r="B8172" t="str">
            <v>14051306010208</v>
          </cell>
          <cell r="C8172" t="str">
            <v>CL MYP PRE-JUD.CAP.TRAB.REV.CPEM        1ND</v>
          </cell>
        </row>
        <row r="8173">
          <cell r="B8173" t="str">
            <v>14051306010209</v>
          </cell>
          <cell r="C8173" t="str">
            <v>CL PRE JUD TC MASTER PN-DIS.EFE CPEM    1ND</v>
          </cell>
        </row>
        <row r="8174">
          <cell r="B8174" t="str">
            <v>14051306010301</v>
          </cell>
          <cell r="C8174" t="str">
            <v>LPC PAG TV D/P REV VENC LPC CPEM        1ND</v>
          </cell>
        </row>
        <row r="8175">
          <cell r="B8175" t="str">
            <v>14051306010302</v>
          </cell>
          <cell r="C8175" t="str">
            <v>LPC P.TV REC.COFIDE REVOL VEN CPEM      1ND</v>
          </cell>
        </row>
        <row r="8176">
          <cell r="B8176" t="str">
            <v>14051306010303</v>
          </cell>
          <cell r="C8176" t="str">
            <v>LPC VENC PAG TV RP REVOL CPEM           1ND</v>
          </cell>
        </row>
        <row r="8177">
          <cell r="B8177" t="str">
            <v>14051306010304</v>
          </cell>
          <cell r="C8177" t="str">
            <v>LPC PAG TV  COFIDE  VENCIDO - D/P       1ND</v>
          </cell>
        </row>
        <row r="8178">
          <cell r="B8178" t="str">
            <v>14051306010305</v>
          </cell>
          <cell r="C8178" t="str">
            <v>LPC PAG TV REF VENC REV CPEM            1ND</v>
          </cell>
        </row>
        <row r="8179">
          <cell r="B8179" t="str">
            <v>14051306010306</v>
          </cell>
          <cell r="C8179" t="str">
            <v>LPC PAG TV RP MED PLAZO REVOL           1ND</v>
          </cell>
        </row>
        <row r="8180">
          <cell r="B8180" t="str">
            <v>14051306010307</v>
          </cell>
          <cell r="C8180" t="str">
            <v>LPC PAG TV RP MED PLAZO REVOL D/P       1ND</v>
          </cell>
        </row>
        <row r="8181">
          <cell r="B8181" t="str">
            <v>14051306010308</v>
          </cell>
          <cell r="C8181" t="str">
            <v>LPC PAG TV INMOBILIARIO REV             1ND</v>
          </cell>
        </row>
        <row r="8182">
          <cell r="B8182" t="str">
            <v>14051306010309</v>
          </cell>
          <cell r="C8182" t="str">
            <v>LPC PAG TV INMOBILIARIO REV D/P         1ND</v>
          </cell>
        </row>
        <row r="8183">
          <cell r="B8183" t="str">
            <v>14051306010310</v>
          </cell>
          <cell r="C8183" t="str">
            <v>LPC PAG TV REVOL EUROS                  1ND</v>
          </cell>
        </row>
        <row r="8184">
          <cell r="B8184" t="str">
            <v>14051306010311</v>
          </cell>
          <cell r="C8184" t="str">
            <v>LPC PAG TV REVOL EUROS                  1ND</v>
          </cell>
        </row>
        <row r="8185">
          <cell r="B8185" t="str">
            <v>14051306010312</v>
          </cell>
          <cell r="C8185" t="str">
            <v>PAG TASA VENCIDA - VENC LPC CPEM        1ND</v>
          </cell>
        </row>
        <row r="8186">
          <cell r="B8186" t="str">
            <v>14051306010313</v>
          </cell>
          <cell r="C8186" t="str">
            <v>LPC PAG TV INMOBILIARIO REV VEN D/P CPEM1ND</v>
          </cell>
        </row>
        <row r="8187">
          <cell r="B8187" t="str">
            <v>14051306010314</v>
          </cell>
          <cell r="C8187" t="str">
            <v>LPC PAG DERIVADOS REVOL VENC DUPE CPEM  1ND</v>
          </cell>
        </row>
        <row r="8188">
          <cell r="B8188" t="str">
            <v>14051306010315</v>
          </cell>
          <cell r="C8188" t="str">
            <v>LPC PAG DERIVADOS REVOL VENC NORM CPEM  1ND</v>
          </cell>
        </row>
        <row r="8189">
          <cell r="B8189" t="str">
            <v>14051306010316</v>
          </cell>
          <cell r="C8189" t="str">
            <v>LPC PAG REPROGRAMADO REV NORM CPEM      1ND</v>
          </cell>
        </row>
        <row r="8190">
          <cell r="B8190" t="str">
            <v>14051306010317</v>
          </cell>
          <cell r="C8190" t="str">
            <v>LPC PAG REPROGRAMADO REV D/P CPEM       1ND</v>
          </cell>
        </row>
        <row r="8191">
          <cell r="B8191" t="str">
            <v>14051306010401</v>
          </cell>
          <cell r="C8191" t="str">
            <v>JCC PRE JUDIC RP CAP.TRAB VENC REVOLV. C1ND</v>
          </cell>
        </row>
        <row r="8192">
          <cell r="B8192" t="str">
            <v>14051306010402</v>
          </cell>
          <cell r="C8192" t="str">
            <v>JCC PRE JUD PAG.TV.COFIDE REVOL CPEM    1ND</v>
          </cell>
        </row>
        <row r="8193">
          <cell r="B8193" t="str">
            <v>14051306010403</v>
          </cell>
          <cell r="C8193" t="str">
            <v>JCC MYP PRE-JUD.CAP.TRAB.REV.CPEM       1ND</v>
          </cell>
        </row>
        <row r="8194">
          <cell r="B8194" t="str">
            <v>14051306010412</v>
          </cell>
          <cell r="C8194" t="str">
            <v>LPC REACTIVA PERU VEN CPEM\NORM         1ND</v>
          </cell>
        </row>
        <row r="8195">
          <cell r="B8195" t="str">
            <v>14051306010413</v>
          </cell>
          <cell r="C8195" t="str">
            <v>LPC REACTIVA PERU VEN CPEM\DUPE         1ND</v>
          </cell>
        </row>
        <row r="8196">
          <cell r="B8196" t="str">
            <v>14051306010414</v>
          </cell>
          <cell r="C8196" t="str">
            <v>LPC COFIDE FONDOS PERU VEN CPEM\NORM    1ND</v>
          </cell>
        </row>
        <row r="8197">
          <cell r="B8197" t="str">
            <v>14051306010415</v>
          </cell>
          <cell r="C8197" t="str">
            <v>LPC COFIDE FONDOS PERU VEN CPEM\DUPE    1ND</v>
          </cell>
        </row>
        <row r="8198">
          <cell r="B8198" t="str">
            <v>14051306010416</v>
          </cell>
          <cell r="C8198" t="str">
            <v>LPC COFIDE FONDO CRECER VEN CPEM\NORM   1ND</v>
          </cell>
        </row>
        <row r="8199">
          <cell r="B8199" t="str">
            <v>14051306010417</v>
          </cell>
          <cell r="C8199" t="str">
            <v>LPC COFIDE FONDO CRECER VEN CPEM\DUPE   1ND</v>
          </cell>
        </row>
        <row r="8200">
          <cell r="B8200" t="str">
            <v>14051306010418</v>
          </cell>
          <cell r="C8200" t="str">
            <v>LPC REACTIVA PERU VEN CPEM\NORM         1ND</v>
          </cell>
        </row>
        <row r="8201">
          <cell r="B8201" t="str">
            <v>14051306010419</v>
          </cell>
          <cell r="C8201" t="str">
            <v>LPC REACTIVA PERU VEN CPEM\DUPE         1ND</v>
          </cell>
        </row>
        <row r="8202">
          <cell r="B8202" t="str">
            <v>14051306010420</v>
          </cell>
          <cell r="C8202" t="str">
            <v>LPC PAG.INMOB. REPROG-SUSPENSO VEN CPEM 1ND</v>
          </cell>
        </row>
        <row r="8203">
          <cell r="B8203" t="str">
            <v>14051306010421</v>
          </cell>
          <cell r="C8203" t="str">
            <v>LPC PAG.INMOB. REPROG-SUSPENSO VEN CPEM 1ND</v>
          </cell>
        </row>
        <row r="8204">
          <cell r="B8204" t="str">
            <v>14051306010422</v>
          </cell>
          <cell r="C8204" t="str">
            <v>LPC PAG.INMOB. REPROG-SUSPENSO VEN CPEM 1ND</v>
          </cell>
        </row>
        <row r="8205">
          <cell r="B8205" t="str">
            <v>14051306010423</v>
          </cell>
          <cell r="C8205" t="str">
            <v>LPC IMPULSO MYPERU CORTO PLAZO VEN REV C1 D</v>
          </cell>
        </row>
        <row r="8206">
          <cell r="B8206" t="str">
            <v>14051306010424</v>
          </cell>
          <cell r="C8206" t="str">
            <v>LPC IMPULSO MYPERU MEDIANO PLAZO VEN REV1 D</v>
          </cell>
        </row>
        <row r="8207">
          <cell r="B8207" t="str">
            <v>14051306010425</v>
          </cell>
          <cell r="C8207" t="str">
            <v>MYP LINEA REVOLV CIMA VEN NORM CPEM     1 D</v>
          </cell>
        </row>
        <row r="8208">
          <cell r="B8208" t="str">
            <v>14051306010426</v>
          </cell>
          <cell r="C8208" t="str">
            <v>MYP LINEA REVOLV CIMA VEN DUPE CPEM     1 D</v>
          </cell>
        </row>
        <row r="8209">
          <cell r="B8209" t="str">
            <v>14051306010427</v>
          </cell>
          <cell r="C8209" t="str">
            <v>LPC PAG PAPERLESS DERIVADOS REVOL CPEM D1ND</v>
          </cell>
        </row>
        <row r="8210">
          <cell r="B8210" t="str">
            <v>14051306010428</v>
          </cell>
          <cell r="C8210" t="str">
            <v>LPC PAG PAPERLESS DERIVADOS REVOL CPEM N1ND</v>
          </cell>
        </row>
        <row r="8211">
          <cell r="B8211" t="str">
            <v>14051306010429</v>
          </cell>
          <cell r="C8211" t="str">
            <v>CCD-BPE LINEA REVOLVENTE_CPEM VEN DUPE  1 D</v>
          </cell>
        </row>
        <row r="8212">
          <cell r="B8212" t="str">
            <v>14051306010430</v>
          </cell>
          <cell r="C8212" t="str">
            <v>CCD-BPE LINEA REVOLVENTE_CPEM VEN NORM  1ND</v>
          </cell>
        </row>
        <row r="8213">
          <cell r="B8213" t="str">
            <v>14051306020101</v>
          </cell>
          <cell r="C8213" t="str">
            <v>MYP CAP.VENC CAP.TRAB.CPEM              1ND</v>
          </cell>
        </row>
        <row r="8214">
          <cell r="B8214" t="str">
            <v>14051306020102</v>
          </cell>
          <cell r="C8214" t="str">
            <v>MYP CAP.COMPRA AF CPEM                  1ND</v>
          </cell>
        </row>
        <row r="8215">
          <cell r="B8215" t="str">
            <v>14051306020103</v>
          </cell>
          <cell r="C8215" t="str">
            <v>MYP CAP.VENC CRED PARAL.CPEM            1ND</v>
          </cell>
        </row>
        <row r="8216">
          <cell r="B8216" t="str">
            <v>14051306020104</v>
          </cell>
          <cell r="C8216" t="str">
            <v>MYP D/P CAP VENC CAP.TRAB CPEM          1ND</v>
          </cell>
        </row>
        <row r="8217">
          <cell r="B8217" t="str">
            <v>14051306020105</v>
          </cell>
          <cell r="C8217" t="str">
            <v>MYP D/P CAP VENC AF INMUEBLE CPEM       1ND</v>
          </cell>
        </row>
        <row r="8218">
          <cell r="B8218" t="str">
            <v>14051306020106</v>
          </cell>
          <cell r="C8218" t="str">
            <v>MYP D/P CAP VENC CRED ESTAC CPEM        1ND</v>
          </cell>
        </row>
        <row r="8219">
          <cell r="B8219" t="str">
            <v>14051306020108</v>
          </cell>
          <cell r="C8219" t="str">
            <v>MYP D/P CAP VENC AF INMUEBLE CPEM       1ND</v>
          </cell>
        </row>
        <row r="8220">
          <cell r="B8220" t="str">
            <v>14051306020109</v>
          </cell>
          <cell r="C8220" t="str">
            <v>MYP D/P CAP VENC AF INMUEBLE CPEM       1ND</v>
          </cell>
        </row>
        <row r="8221">
          <cell r="B8221" t="str">
            <v>14051306020110</v>
          </cell>
          <cell r="C8221" t="str">
            <v>MYP CAP.VENC COMP DEUD CPEM             1ND</v>
          </cell>
        </row>
        <row r="8222">
          <cell r="B8222" t="str">
            <v>14051306020111</v>
          </cell>
          <cell r="C8222" t="str">
            <v>MYP D/P CAP VENC FIN. COMP.DEU.CAP.TRAB 1ND</v>
          </cell>
        </row>
        <row r="8223">
          <cell r="B8223" t="str">
            <v>14051306020112</v>
          </cell>
          <cell r="C8223" t="str">
            <v>MYP CAP.VENC FIN. CRED. PARAL. CPEM     1ND</v>
          </cell>
        </row>
        <row r="8224">
          <cell r="B8224" t="str">
            <v>14051306020113</v>
          </cell>
          <cell r="C8224" t="str">
            <v>MYP CAP.VENC TRANSP PUBL CPEM           1ND</v>
          </cell>
        </row>
        <row r="8225">
          <cell r="B8225" t="str">
            <v>14051306020114</v>
          </cell>
          <cell r="C8225" t="str">
            <v>MYP D/P CAP VENC TRANSP PUB CPEM        1ND</v>
          </cell>
        </row>
        <row r="8226">
          <cell r="B8226" t="str">
            <v>14051306020115</v>
          </cell>
          <cell r="C8226" t="str">
            <v>MYP COMP DEUD AF VIG CPEM VENC          1ND</v>
          </cell>
        </row>
        <row r="8227">
          <cell r="B8227" t="str">
            <v>14051306020116</v>
          </cell>
          <cell r="C8227" t="str">
            <v>MYP COMP DEUD AF VIG CPEM VENC D/P      1ND</v>
          </cell>
        </row>
        <row r="8228">
          <cell r="B8228" t="str">
            <v>14051306020117</v>
          </cell>
          <cell r="C8228" t="str">
            <v>MYP E.R.CAP.VEN.FIN. CAP. TRAB CPEM     1ND</v>
          </cell>
        </row>
        <row r="8229">
          <cell r="B8229" t="str">
            <v>14051306020118</v>
          </cell>
          <cell r="C8229" t="str">
            <v>MYP E.R.CAP.VEN.FIN. CAP. TRAB CPEM D/P 1ND</v>
          </cell>
        </row>
        <row r="8230">
          <cell r="B8230" t="str">
            <v>14051306020119</v>
          </cell>
          <cell r="C8230" t="str">
            <v>MYP REFIN.VENC COBRAN C/FIJA CPEM       1ND</v>
          </cell>
        </row>
        <row r="8231">
          <cell r="B8231" t="str">
            <v>14051306020120</v>
          </cell>
          <cell r="C8231" t="str">
            <v>MYP CAPTRABPROVREFVEN CPEM              1ND</v>
          </cell>
        </row>
        <row r="8232">
          <cell r="B8232" t="str">
            <v>14051306020121</v>
          </cell>
          <cell r="C8232" t="str">
            <v>MYP CAP.TRAB.REUT.VEN CPEM              1ND</v>
          </cell>
        </row>
        <row r="8233">
          <cell r="B8233" t="str">
            <v>14051306020126</v>
          </cell>
          <cell r="C8233" t="str">
            <v>MYPÂ  C VEN E.R.FIN CAPTRAB DUPE        1ND</v>
          </cell>
        </row>
        <row r="8234">
          <cell r="B8234" t="str">
            <v>14051306020127</v>
          </cell>
          <cell r="C8234" t="str">
            <v>MYP ER VENC  FIN CAP TRA DUP CPEM       1ND</v>
          </cell>
        </row>
        <row r="8235">
          <cell r="B8235" t="str">
            <v>14051306020128</v>
          </cell>
          <cell r="C8235" t="str">
            <v>MYP D/P PAG BPE-BE COMERCIAL VENC CPEM  1ND</v>
          </cell>
        </row>
        <row r="8236">
          <cell r="B8236" t="str">
            <v>14051306020129</v>
          </cell>
          <cell r="C8236" t="str">
            <v>MYP PAG BPE-BE COMERCIAL VENC NORM CPEM 1ND</v>
          </cell>
        </row>
        <row r="8237">
          <cell r="B8237" t="str">
            <v>14051306020130</v>
          </cell>
          <cell r="C8237" t="str">
            <v>MYP DUPE CAPTRABPROVREFVEN CPEM         1ND</v>
          </cell>
        </row>
        <row r="8238">
          <cell r="B8238" t="str">
            <v>14051306020131</v>
          </cell>
          <cell r="C8238" t="str">
            <v>MYP DUPE LINEA REVOL REUT.VEN CPEM      1ND</v>
          </cell>
        </row>
        <row r="8239">
          <cell r="B8239" t="str">
            <v>14051306020132</v>
          </cell>
          <cell r="C8239" t="str">
            <v>MYP DUPE CAP.TRAB.REUT.VEN.CPEM         1ND</v>
          </cell>
        </row>
        <row r="8240">
          <cell r="B8240" t="str">
            <v>14051306020201</v>
          </cell>
          <cell r="C8240" t="str">
            <v>CL PRE JUD TV MEDI. PLZ C/FIJA CPEM     1ND</v>
          </cell>
        </row>
        <row r="8241">
          <cell r="B8241" t="str">
            <v>14051306020202</v>
          </cell>
          <cell r="C8241" t="str">
            <v>CL CJ MYP CAP TRAB PRE JUD  CPEM        1ND</v>
          </cell>
        </row>
        <row r="8242">
          <cell r="B8242" t="str">
            <v>14051306020203</v>
          </cell>
          <cell r="C8242" t="str">
            <v>CL PRE JUDIC MYP COMP INM  NR CPEM      1ND</v>
          </cell>
        </row>
        <row r="8243">
          <cell r="B8243" t="str">
            <v>14051306020204</v>
          </cell>
          <cell r="C8243" t="str">
            <v>CL CJ MYP COMP AF MUE NRV CPEM          1ND</v>
          </cell>
        </row>
        <row r="8244">
          <cell r="B8244" t="str">
            <v>14051306020205</v>
          </cell>
          <cell r="C8244" t="str">
            <v>CL PRE JUDIC MYP CRED ESTAC NR CPEM     1ND</v>
          </cell>
        </row>
        <row r="8245">
          <cell r="B8245" t="str">
            <v>14051306020206</v>
          </cell>
          <cell r="C8245" t="str">
            <v>CL PRE JUDIC MYP AF CYBERPLZ  NR CPEM   1ND</v>
          </cell>
        </row>
        <row r="8246">
          <cell r="B8246" t="str">
            <v>14051306020207</v>
          </cell>
          <cell r="C8246" t="str">
            <v>JCC PRE JUDIC MYP COMP INM  NR CPEM     1ND</v>
          </cell>
        </row>
        <row r="8247">
          <cell r="B8247" t="str">
            <v>14051306020208</v>
          </cell>
          <cell r="C8247" t="str">
            <v>JCC CJ MYP COMP AF MUE NRV CPEM         1ND</v>
          </cell>
        </row>
        <row r="8248">
          <cell r="B8248" t="str">
            <v>14051306020209</v>
          </cell>
          <cell r="C8248" t="str">
            <v>JCC CJ MYP COMP AF INMUEB MES           1ND</v>
          </cell>
        </row>
        <row r="8249">
          <cell r="B8249" t="str">
            <v>14051306020210</v>
          </cell>
          <cell r="C8249" t="str">
            <v>JCC CJ MYP COMP AF MUEB MES             1ND</v>
          </cell>
        </row>
        <row r="8250">
          <cell r="B8250" t="str">
            <v>14051306020211</v>
          </cell>
          <cell r="C8250" t="str">
            <v>JCC PRE JUD TV MEDI. PLZ C/FIJA CPEM    1ND</v>
          </cell>
        </row>
        <row r="8251">
          <cell r="B8251" t="str">
            <v>14051306020212</v>
          </cell>
          <cell r="C8251" t="str">
            <v>JCC MYP CAP TRAB PRE JUD  CPEM          1ND</v>
          </cell>
        </row>
        <row r="8252">
          <cell r="B8252" t="str">
            <v>14051306020213</v>
          </cell>
          <cell r="C8252" t="str">
            <v>JCC PRE JUDIC MYP CRED ESTAC NR CPEM    1ND</v>
          </cell>
        </row>
        <row r="8253">
          <cell r="B8253" t="str">
            <v>14051306020214</v>
          </cell>
          <cell r="C8253" t="str">
            <v>JCC PRE JUDIC MYP AF CYBERPLZ  NR CPEM  1ND</v>
          </cell>
        </row>
        <row r="8254">
          <cell r="B8254" t="str">
            <v>14051306020301</v>
          </cell>
          <cell r="C8254" t="str">
            <v>LPC PAG TV REEST NO REV VENC CPEM       1ND</v>
          </cell>
        </row>
        <row r="8255">
          <cell r="B8255" t="str">
            <v>14051306020302</v>
          </cell>
          <cell r="C8255" t="str">
            <v>MYP CAP.VENC CAP.TRAB. CIMA NOR/DUPE CPE1ND</v>
          </cell>
        </row>
        <row r="8256">
          <cell r="B8256" t="str">
            <v>14051306020303</v>
          </cell>
          <cell r="C8256" t="str">
            <v>MYP CODIFE FONDO CRECER VEN CPEM\DUPE   1ND</v>
          </cell>
        </row>
        <row r="8257">
          <cell r="B8257" t="str">
            <v>14051306020304</v>
          </cell>
          <cell r="C8257" t="str">
            <v>MYP CODIFE FONDO CRECER VEN CPEM\NORM   1ND</v>
          </cell>
        </row>
        <row r="8258">
          <cell r="B8258" t="str">
            <v>14051306020305</v>
          </cell>
          <cell r="C8258" t="str">
            <v>MYP CODIFE REACTIVA PERU VEN CPEM\DUPE  1ND</v>
          </cell>
        </row>
        <row r="8259">
          <cell r="B8259" t="str">
            <v>14051306020306</v>
          </cell>
          <cell r="C8259" t="str">
            <v>MYP CODIFE REACTIVA PERU VEN CPEM\NORM  1ND</v>
          </cell>
        </row>
        <row r="8260">
          <cell r="B8260" t="str">
            <v>14051306020307</v>
          </cell>
          <cell r="C8260" t="str">
            <v>LPC PAGINMOB REPROG-SUSPENSO VEN CPEM DU1ND</v>
          </cell>
        </row>
        <row r="8261">
          <cell r="B8261" t="str">
            <v>14051306020308</v>
          </cell>
          <cell r="C8261" t="str">
            <v>LPC PAGINMOB REPROG-SUSPENSO VEN CPEM DU1ND</v>
          </cell>
        </row>
        <row r="8262">
          <cell r="B8262" t="str">
            <v>14051306020309</v>
          </cell>
          <cell r="C8262" t="str">
            <v>JCC PRE JUD REACTIVA PERU NO REVOLV CPEM1ND</v>
          </cell>
        </row>
        <row r="8263">
          <cell r="B8263" t="str">
            <v>14051306020310</v>
          </cell>
          <cell r="C8263" t="str">
            <v>LPC PAG TV D/P VENC NO REV CPEM         1ND</v>
          </cell>
        </row>
        <row r="8264">
          <cell r="B8264" t="str">
            <v>14051306020311</v>
          </cell>
          <cell r="C8264" t="str">
            <v>LPC VENC PAG TV RP NO REVOL CPEM        1ND</v>
          </cell>
        </row>
        <row r="8265">
          <cell r="B8265" t="str">
            <v>14051306020312</v>
          </cell>
          <cell r="C8265" t="str">
            <v>LPC PAG.INMOB. REPROG-SUSPENSO VEN CPEM 1ND</v>
          </cell>
        </row>
        <row r="8266">
          <cell r="B8266" t="str">
            <v>14051306020313</v>
          </cell>
          <cell r="C8266" t="str">
            <v>LPC PAG DERIVADOS D/P VENC NO REV CPED  1 D</v>
          </cell>
        </row>
        <row r="8267">
          <cell r="B8267" t="str">
            <v>14051306020314</v>
          </cell>
          <cell r="C8267" t="str">
            <v>LPC PAG DERIVADOS VEN NO REVOL CPEM     1 D</v>
          </cell>
        </row>
        <row r="8268">
          <cell r="B8268" t="str">
            <v>14051306020315</v>
          </cell>
          <cell r="C8268" t="str">
            <v>LPC REACTIVA PERU VEN CPEM\DUPE         1 D</v>
          </cell>
        </row>
        <row r="8269">
          <cell r="B8269" t="str">
            <v>14051306020316</v>
          </cell>
          <cell r="C8269" t="str">
            <v>LPC REACTIVA PERU VEN CPEM\NORM         1 D</v>
          </cell>
        </row>
        <row r="8270">
          <cell r="B8270" t="str">
            <v>14051306020319</v>
          </cell>
          <cell r="C8270" t="str">
            <v>LPC 30K REACTIVA CORTO PLAZO REPROG VEN 1 D</v>
          </cell>
        </row>
        <row r="8271">
          <cell r="B8271" t="str">
            <v>14051306020320</v>
          </cell>
          <cell r="C8271" t="str">
            <v>LPC 30K REACTIVA CORTO PLAZO REPROG VEN 1 D</v>
          </cell>
        </row>
        <row r="8272">
          <cell r="B8272" t="str">
            <v>14051306020321</v>
          </cell>
          <cell r="C8272" t="str">
            <v>MYP REACTIVA REPROG VEN CPEM            1 D</v>
          </cell>
        </row>
        <row r="8273">
          <cell r="B8273" t="str">
            <v>14051306020322</v>
          </cell>
          <cell r="C8273" t="str">
            <v>JCC PRE JUD REACTIVA PERU NO REVOLV CPEM1 D</v>
          </cell>
        </row>
        <row r="8274">
          <cell r="B8274" t="str">
            <v>14051306020323</v>
          </cell>
          <cell r="C8274" t="str">
            <v>JCC PRE JUD FONDO CRECER CPEM           1 D</v>
          </cell>
        </row>
        <row r="8275">
          <cell r="B8275" t="str">
            <v>14051306020324</v>
          </cell>
          <cell r="C8275" t="str">
            <v>JCC PRE JUD FONDO CRECER CPEM           1 D</v>
          </cell>
        </row>
        <row r="8276">
          <cell r="B8276" t="str">
            <v>14051306020325</v>
          </cell>
          <cell r="C8276" t="str">
            <v>JCC PRE JUD REACTIVA PRE-HONRAMIENTO CPE1 D</v>
          </cell>
        </row>
        <row r="8277">
          <cell r="B8277" t="str">
            <v>14051306020326</v>
          </cell>
          <cell r="C8277" t="str">
            <v>JCC PRE JUD REACTIVA PRE-HONRAMIENTO CPE1 D</v>
          </cell>
        </row>
        <row r="8278">
          <cell r="B8278" t="str">
            <v>14051306020327</v>
          </cell>
          <cell r="C8278" t="str">
            <v>LPC REPROG REACTIVA DIFE  CPEM VEN      1 D</v>
          </cell>
        </row>
        <row r="8279">
          <cell r="B8279" t="str">
            <v>14051306020328</v>
          </cell>
          <cell r="C8279" t="str">
            <v>LPC REPROG REACTIVA DS.011-2022 CPEM NOR1 D</v>
          </cell>
        </row>
        <row r="8280">
          <cell r="B8280" t="str">
            <v>14051306020329</v>
          </cell>
          <cell r="C8280" t="str">
            <v>LPC REPROG REACTIVA DS.011-2022 CPEM DUP1 D</v>
          </cell>
        </row>
        <row r="8281">
          <cell r="B8281" t="str">
            <v>14051306020330</v>
          </cell>
          <cell r="C8281" t="str">
            <v>MYP REPROG REACTIVA DS.011-2022 CPEM DUP1 D</v>
          </cell>
        </row>
        <row r="8282">
          <cell r="B8282" t="str">
            <v>14051306020331</v>
          </cell>
          <cell r="C8282" t="str">
            <v>MYP REPROG REACTIVA DS.011-2022 CPEM NOR1 D</v>
          </cell>
        </row>
        <row r="8283">
          <cell r="B8283" t="str">
            <v>14051306020332</v>
          </cell>
          <cell r="C8283" t="str">
            <v>LPC COFIDE FONDOS CRECER VEN CPEM\NORM  1ND</v>
          </cell>
        </row>
        <row r="8284">
          <cell r="B8284" t="str">
            <v>14051306020343</v>
          </cell>
          <cell r="C8284" t="str">
            <v>MYP CAP_TRAB_CIMA CPEM VEN  NORM        1 D</v>
          </cell>
        </row>
        <row r="8285">
          <cell r="B8285" t="str">
            <v>14051306020344</v>
          </cell>
          <cell r="C8285" t="str">
            <v>MYP CAP_TRAB_CIMA CPEM VEN  DUPE        1 D</v>
          </cell>
        </row>
        <row r="8286">
          <cell r="B8286" t="str">
            <v>14051306020345</v>
          </cell>
          <cell r="C8286" t="str">
            <v>MYP REPROGRAMADO CIMA CPEM VEN NORM     1 D</v>
          </cell>
        </row>
        <row r="8287">
          <cell r="B8287" t="str">
            <v>14051306020346</v>
          </cell>
          <cell r="C8287" t="str">
            <v>MYP REPROGRAMADO CIMA CPEM VEN DUPE     1 D</v>
          </cell>
        </row>
        <row r="8288">
          <cell r="B8288" t="str">
            <v>14051306020347</v>
          </cell>
          <cell r="C8288" t="str">
            <v>MYP REPROG REACTIVA 2023 CPEM DUPE VEN  1 D</v>
          </cell>
        </row>
        <row r="8289">
          <cell r="B8289" t="str">
            <v>14051306020348</v>
          </cell>
          <cell r="C8289" t="str">
            <v>MYP REPROG REACTIVA 2023 CPEM NORM VEN  1 D</v>
          </cell>
        </row>
        <row r="8290">
          <cell r="B8290" t="str">
            <v>14051306020349</v>
          </cell>
          <cell r="C8290" t="str">
            <v>LPC REPROG REACTIVA 2023 VEN CPEM NORM  1 D</v>
          </cell>
        </row>
        <row r="8291">
          <cell r="B8291" t="str">
            <v>14051306020350</v>
          </cell>
          <cell r="C8291" t="str">
            <v>LPC REPROG REACTIVA 2023 VEN CPEM DUPE  1 D</v>
          </cell>
        </row>
        <row r="8292">
          <cell r="B8292" t="str">
            <v>14051306020351</v>
          </cell>
          <cell r="C8292" t="str">
            <v>MYP CAP. TRAB - PAGARE DIGITAL_CPEM NORM1 D</v>
          </cell>
        </row>
        <row r="8293">
          <cell r="B8293" t="str">
            <v>14051306020352</v>
          </cell>
          <cell r="C8293" t="str">
            <v>MYP CAP. TRAB - PAGARE DIGITAL_CPEM DUPE1 D</v>
          </cell>
        </row>
        <row r="8294">
          <cell r="B8294" t="str">
            <v>14051306020353</v>
          </cell>
          <cell r="C8294" t="str">
            <v>JCC PRE JU REACTIVA PRE-HONRAMIENTO REPR1 D</v>
          </cell>
        </row>
        <row r="8295">
          <cell r="B8295" t="str">
            <v>14051306020354</v>
          </cell>
          <cell r="C8295" t="str">
            <v>JCC PRE JU REACTIVA PRE-HONRAMIENTO REPR1 D</v>
          </cell>
        </row>
        <row r="8296">
          <cell r="B8296" t="str">
            <v>14051306020355</v>
          </cell>
          <cell r="C8296" t="str">
            <v>JCC PRE JU REACTIVA PRE-HONRAMIENTO REPR1 D</v>
          </cell>
        </row>
        <row r="8297">
          <cell r="B8297" t="str">
            <v>14051306020356</v>
          </cell>
          <cell r="C8297" t="str">
            <v>JCC PRE JUD CRECER PRE-HONRAMIENTO CPEM 1 D</v>
          </cell>
        </row>
        <row r="8298">
          <cell r="B8298" t="str">
            <v>14051306020357</v>
          </cell>
          <cell r="C8298" t="str">
            <v>JCC PRE JU REACTIVA PRE-HONRAMIENTO REPR1 D</v>
          </cell>
        </row>
        <row r="8299">
          <cell r="B8299" t="str">
            <v>14051306020358</v>
          </cell>
          <cell r="C8299" t="str">
            <v>JCC PRE JU REACTIVA PRE-HONRAMIENTO REPR1 D</v>
          </cell>
        </row>
        <row r="8300">
          <cell r="B8300" t="str">
            <v>14051306020359</v>
          </cell>
          <cell r="C8300" t="str">
            <v>JCC PRE JU REACTIVA PRE-HONRAMIENTO REPR1 D</v>
          </cell>
        </row>
        <row r="8301">
          <cell r="B8301" t="str">
            <v>14051306020360</v>
          </cell>
          <cell r="C8301" t="str">
            <v>JCC PRE JUD CRECER PRE-HONRAMIENTO CPEM 1 D</v>
          </cell>
        </row>
        <row r="8302">
          <cell r="B8302" t="str">
            <v>14051306020361</v>
          </cell>
          <cell r="C8302" t="str">
            <v>MYP IMPULSO MYPERU VEN CPEM DUPE        1 D</v>
          </cell>
        </row>
        <row r="8303">
          <cell r="B8303" t="str">
            <v>14051306020362</v>
          </cell>
          <cell r="C8303" t="str">
            <v>MYP IMPULSO MYPERU VEN CPEM NORM        1 D</v>
          </cell>
        </row>
        <row r="8304">
          <cell r="B8304" t="str">
            <v>14051306020363</v>
          </cell>
          <cell r="C8304" t="str">
            <v>LPC IMPULSO MYPERU CORTO PLAZO VEN NREV 1 D</v>
          </cell>
        </row>
        <row r="8305">
          <cell r="B8305" t="str">
            <v>14051306020364</v>
          </cell>
          <cell r="C8305" t="str">
            <v>LPC IMPULSO MYPERU MEDIANO PLAZO VEN NRE1 D</v>
          </cell>
        </row>
        <row r="8306">
          <cell r="B8306" t="str">
            <v>14051306020365</v>
          </cell>
          <cell r="C8306" t="str">
            <v>MYP CAPITAL DE TRAB CIMA REUT DIF VEN CP1 D</v>
          </cell>
        </row>
        <row r="8307">
          <cell r="B8307" t="str">
            <v>14051306020366</v>
          </cell>
          <cell r="C8307" t="str">
            <v>MYP CAPITAL DE TRAB CIMA REUT DIF VEN CP1 D</v>
          </cell>
        </row>
        <row r="8308">
          <cell r="B8308" t="str">
            <v>14051306020367</v>
          </cell>
          <cell r="C8308" t="str">
            <v>JCC MP PRE JUD CAP IMPULSO MYPERU IBK CP1 D</v>
          </cell>
        </row>
        <row r="8309">
          <cell r="B8309" t="str">
            <v>14051306020368</v>
          </cell>
          <cell r="C8309" t="str">
            <v>JCC BC PRE JUD CAP IMPULSO MYPERU PRE-HO1 D</v>
          </cell>
        </row>
        <row r="8310">
          <cell r="B8310" t="str">
            <v>14051306020369</v>
          </cell>
          <cell r="C8310" t="str">
            <v>MYP CAP TRAB PER GRACIA PARCIAL VEN NORM1 D</v>
          </cell>
        </row>
        <row r="8311">
          <cell r="B8311" t="str">
            <v>14051306020370</v>
          </cell>
          <cell r="C8311" t="str">
            <v>MYP CAP TRAB PER GRACIA PARCIAL VEN DUPE1 D</v>
          </cell>
        </row>
        <row r="8312">
          <cell r="B8312" t="str">
            <v>14051306020371</v>
          </cell>
          <cell r="C8312" t="str">
            <v>MYP REPROG PERIODO GRACIA PARCIAL VEN CP1 D</v>
          </cell>
        </row>
        <row r="8313">
          <cell r="B8313" t="str">
            <v>14051306020372</v>
          </cell>
          <cell r="C8313" t="str">
            <v>MYP REPROG PERIODO GRACIA PARCIAL VEN CP1 D</v>
          </cell>
        </row>
        <row r="8314">
          <cell r="B8314" t="str">
            <v>14051306020373</v>
          </cell>
          <cell r="C8314" t="str">
            <v>JCC MP PRE JUD IMPLUSO MYPERU HONRADO IB1 D</v>
          </cell>
        </row>
        <row r="8315">
          <cell r="B8315" t="str">
            <v>14051306020374</v>
          </cell>
          <cell r="C8315" t="str">
            <v>JCC PRE JUDIC RP CAP.TRAB VENC NO REVOLV1 D</v>
          </cell>
        </row>
        <row r="8316">
          <cell r="B8316" t="str">
            <v>14051306020375</v>
          </cell>
          <cell r="C8316" t="str">
            <v>LPC PAG PAPERLESS DERIVADOS NO REVOL CPE1ND</v>
          </cell>
        </row>
        <row r="8317">
          <cell r="B8317" t="str">
            <v>14051306020376</v>
          </cell>
          <cell r="C8317" t="str">
            <v>LPC PAG PAPERLESS DERIVADOS NO REVOL CPE1ND</v>
          </cell>
        </row>
        <row r="8318">
          <cell r="B8318" t="str">
            <v>14051306020377</v>
          </cell>
          <cell r="C8318" t="str">
            <v>CCD-BPE CAPITAL DE TRABAJO_CPEM VEN NORM1 D</v>
          </cell>
        </row>
        <row r="8319">
          <cell r="B8319" t="str">
            <v>14051306020378</v>
          </cell>
          <cell r="C8319" t="str">
            <v>CCD-BPE CAPITAL DE TRABAJO_CPEM VEN DUPE1 D</v>
          </cell>
        </row>
        <row r="8320">
          <cell r="B8320" t="str">
            <v>14051306020379</v>
          </cell>
          <cell r="C8320" t="str">
            <v>LPC PAG TV RP MED PLAZO NO REV          1 D</v>
          </cell>
        </row>
        <row r="8321">
          <cell r="B8321" t="str">
            <v>14051306020380</v>
          </cell>
          <cell r="C8321" t="str">
            <v>JCC CCD PREJUD CAPITAL DE TRABAJO CPEM  1 D</v>
          </cell>
        </row>
        <row r="8322">
          <cell r="B8322" t="str">
            <v>14051306020381</v>
          </cell>
          <cell r="C8322" t="str">
            <v>CCD-BPE CAP DE TRAB REPROG_CPEM VEN NORM1 D</v>
          </cell>
        </row>
        <row r="8323">
          <cell r="B8323" t="str">
            <v>14051306020382</v>
          </cell>
          <cell r="C8323" t="str">
            <v>CCD-BPE CAP DE TRAB REPROG_CPEM VEN DUPE1 D</v>
          </cell>
        </row>
        <row r="8324">
          <cell r="B8324" t="str">
            <v>14051306020383</v>
          </cell>
          <cell r="C8324" t="str">
            <v>LPC COFIDE FONDO CRECER VEN CPEM\NORM   1 D</v>
          </cell>
        </row>
        <row r="8325">
          <cell r="B8325" t="str">
            <v>14051306020384</v>
          </cell>
          <cell r="C8325" t="str">
            <v>LPC COFIDE FONDO CRECER VEN CPEM\DUPE   1 D</v>
          </cell>
        </row>
        <row r="8326">
          <cell r="B8326" t="str">
            <v>14051306090101</v>
          </cell>
          <cell r="C8326" t="str">
            <v>LPC PAG TV D/P VENC NO REV CPEM         1ND</v>
          </cell>
        </row>
        <row r="8327">
          <cell r="B8327" t="str">
            <v>14051306090102</v>
          </cell>
          <cell r="C8327" t="str">
            <v>LPC PAG TV RP NO REVOL CPEM             1ND</v>
          </cell>
        </row>
        <row r="8328">
          <cell r="B8328" t="str">
            <v>14051306090103</v>
          </cell>
          <cell r="C8328" t="str">
            <v>LPC VENC PAG TV RP NO REVOL CPEM        1ND</v>
          </cell>
        </row>
        <row r="8329">
          <cell r="B8329" t="str">
            <v>14051306090104</v>
          </cell>
          <cell r="C8329" t="str">
            <v>LPC PAG TV REF VENC NO REV CPEM         1ND</v>
          </cell>
        </row>
        <row r="8330">
          <cell r="B8330" t="str">
            <v>14051306090105</v>
          </cell>
          <cell r="C8330" t="str">
            <v>LPC PAG TV REEST REV VENC CPEM          1ND</v>
          </cell>
        </row>
        <row r="8331">
          <cell r="B8331" t="str">
            <v>14051306090106</v>
          </cell>
          <cell r="C8331" t="str">
            <v>LPC P.TV REC.COFIDE NO REVOL VEN CPEM   1ND</v>
          </cell>
        </row>
        <row r="8332">
          <cell r="B8332" t="str">
            <v>14051306090107</v>
          </cell>
          <cell r="C8332" t="str">
            <v>LPC PAG TV  COFIDE  VENCIDO - D/P       1ND</v>
          </cell>
        </row>
        <row r="8333">
          <cell r="B8333" t="str">
            <v>14051306090108</v>
          </cell>
          <cell r="C8333" t="str">
            <v>LPC PAG TV RP MED PLAZO NO REV          1ND</v>
          </cell>
        </row>
        <row r="8334">
          <cell r="B8334" t="str">
            <v>14051306090109</v>
          </cell>
          <cell r="C8334" t="str">
            <v>LPC PAG TV RP MED PLAZO NO REV D/P      1ND</v>
          </cell>
        </row>
        <row r="8335">
          <cell r="B8335" t="str">
            <v>14051306090110</v>
          </cell>
          <cell r="C8335" t="str">
            <v>LPC PAG TV INMOBILIARIO NO REV          1ND</v>
          </cell>
        </row>
        <row r="8336">
          <cell r="B8336" t="str">
            <v>14051306090111</v>
          </cell>
          <cell r="C8336" t="str">
            <v>LPC PAG TV INMOBILIARIO NO REV D/P      1ND</v>
          </cell>
        </row>
        <row r="8337">
          <cell r="B8337" t="str">
            <v>14051306090112</v>
          </cell>
          <cell r="C8337" t="str">
            <v>LPC PAG TV NO REVOL EUROS               1ND</v>
          </cell>
        </row>
        <row r="8338">
          <cell r="B8338" t="str">
            <v>14051306090113</v>
          </cell>
          <cell r="C8338" t="str">
            <v>LPC PAG TV NO REVOL EUROS               1ND</v>
          </cell>
        </row>
        <row r="8339">
          <cell r="B8339" t="str">
            <v>14051306090114</v>
          </cell>
          <cell r="C8339" t="str">
            <v>LPC PAG TV INMOBILIARIO NO REV VEN D/P C1ND</v>
          </cell>
        </row>
        <row r="8340">
          <cell r="B8340" t="str">
            <v>14051306090115</v>
          </cell>
          <cell r="C8340" t="str">
            <v>LPC VENC PAG DERIVADOS NO REVOL CPEM    1ND</v>
          </cell>
        </row>
        <row r="8341">
          <cell r="B8341" t="str">
            <v>14051306090116</v>
          </cell>
          <cell r="C8341" t="str">
            <v>LPC PAG DERIVADOS N/REVOL VENC DUPE CPEM1ND</v>
          </cell>
        </row>
        <row r="8342">
          <cell r="B8342" t="str">
            <v>14051306090117</v>
          </cell>
          <cell r="C8342" t="str">
            <v>LPC PAG REPROGRAMADO NO REV NORM CPEM   1ND</v>
          </cell>
        </row>
        <row r="8343">
          <cell r="B8343" t="str">
            <v>14051306090118</v>
          </cell>
          <cell r="C8343" t="str">
            <v>LPC PAG REPROGRAMADO NO REV D/P CPEM    1ND</v>
          </cell>
        </row>
        <row r="8344">
          <cell r="B8344" t="str">
            <v>14051306090201</v>
          </cell>
          <cell r="C8344" t="str">
            <v>CL PAG. TV D/P NO REVOLV VEN CPEM       1ND</v>
          </cell>
        </row>
        <row r="8345">
          <cell r="B8345" t="str">
            <v>14051306090202</v>
          </cell>
          <cell r="C8345" t="str">
            <v>CL PAG TV NO REVOLV VEN CPEM            1ND</v>
          </cell>
        </row>
        <row r="8346">
          <cell r="B8346" t="str">
            <v>14051306090203</v>
          </cell>
          <cell r="C8346" t="str">
            <v>CL PAG.TV NEG.INMOBIL NO REVOLV VEN CPEM1ND</v>
          </cell>
        </row>
        <row r="8347">
          <cell r="B8347" t="str">
            <v>14051306090204</v>
          </cell>
          <cell r="C8347" t="str">
            <v>CL P.TV OTROS SUSP.NO REV VEN CPEM      1ND</v>
          </cell>
        </row>
        <row r="8348">
          <cell r="B8348" t="str">
            <v>14051306090205</v>
          </cell>
          <cell r="C8348" t="str">
            <v>CL P.TV REC.COFIDE.  NO REV VEN CPEM    1ND</v>
          </cell>
        </row>
        <row r="8349">
          <cell r="B8349" t="str">
            <v>14051306090206</v>
          </cell>
          <cell r="C8349" t="str">
            <v>CL PRE JUDIC RP CAP.TRAB VENC NO REVOLV 1ND</v>
          </cell>
        </row>
        <row r="8350">
          <cell r="B8350" t="str">
            <v>14051306090207</v>
          </cell>
          <cell r="C8350" t="str">
            <v>CL PRE JUD PAG.TV.COFIDE NO REVOL CPEM  1ND</v>
          </cell>
        </row>
        <row r="8351">
          <cell r="B8351" t="str">
            <v>14051306090210</v>
          </cell>
          <cell r="C8351" t="str">
            <v>CL P.REFI DEUD.VTA.CARTE CPEM VENC      1ND</v>
          </cell>
        </row>
        <row r="8352">
          <cell r="B8352" t="str">
            <v>14051306090211</v>
          </cell>
          <cell r="C8352" t="str">
            <v>CL PRE JUDIC CARTA FIANZA VENC CPEM GL701ND</v>
          </cell>
        </row>
        <row r="8353">
          <cell r="B8353" t="str">
            <v>14051306090301</v>
          </cell>
          <cell r="C8353" t="str">
            <v>JCC PRE JUDIC RP CAP.TRAB VENC NO REVOLV1ND</v>
          </cell>
        </row>
        <row r="8354">
          <cell r="B8354" t="str">
            <v>14051306090302</v>
          </cell>
          <cell r="C8354" t="str">
            <v>JCC PRE JUD PAG.TV.COFIDE NO REVOL CPEM 1ND</v>
          </cell>
        </row>
        <row r="8355">
          <cell r="B8355" t="str">
            <v>14051306090311</v>
          </cell>
          <cell r="C8355" t="str">
            <v>LPC REACTIVA PERU VEN CPEM\NORM         1ND</v>
          </cell>
        </row>
        <row r="8356">
          <cell r="B8356" t="str">
            <v>14051306090312</v>
          </cell>
          <cell r="C8356" t="str">
            <v>LPC REACTIVA PERU VEN CPEM\DUPE         1ND</v>
          </cell>
        </row>
        <row r="8357">
          <cell r="B8357" t="str">
            <v>14051306090313</v>
          </cell>
          <cell r="C8357" t="str">
            <v>LPC COFIDE FONDOS PERU VEN CPEM\NORM    1ND</v>
          </cell>
        </row>
        <row r="8358">
          <cell r="B8358" t="str">
            <v>14051306090314</v>
          </cell>
          <cell r="C8358" t="str">
            <v>LPC COFIDE FONDOS PERU VEN CPEM\DUPE    1ND</v>
          </cell>
        </row>
        <row r="8359">
          <cell r="B8359" t="str">
            <v>14051306090315</v>
          </cell>
          <cell r="C8359" t="str">
            <v>LPC COFIDE FONDO CRECER VEN CPEM\NORM   1ND</v>
          </cell>
        </row>
        <row r="8360">
          <cell r="B8360" t="str">
            <v>14051306090316</v>
          </cell>
          <cell r="C8360" t="str">
            <v>LPC COFIDE FONDO CRECER VEN CPEM\DUPE   1ND</v>
          </cell>
        </row>
        <row r="8361">
          <cell r="B8361" t="str">
            <v>14051306090317</v>
          </cell>
          <cell r="C8361" t="str">
            <v>LPC REACTIVA PERU VEN CPEM\NORM         1ND</v>
          </cell>
        </row>
        <row r="8362">
          <cell r="B8362" t="str">
            <v>14051306090318</v>
          </cell>
          <cell r="C8362" t="str">
            <v>LPC REACTIVA PERU VEN CPEM\DUPE         1ND</v>
          </cell>
        </row>
        <row r="8363">
          <cell r="B8363" t="str">
            <v>14051306090319</v>
          </cell>
          <cell r="C8363" t="str">
            <v>LPC PAG.INMOB. REPROG-SUSPENSO VEN CPEM 1ND</v>
          </cell>
        </row>
        <row r="8364">
          <cell r="B8364" t="str">
            <v>14051306090320</v>
          </cell>
          <cell r="C8364" t="str">
            <v>LPC PAG.INMOB. REPROG-SUSPENSO VEN CPEM 1ND</v>
          </cell>
        </row>
        <row r="8365">
          <cell r="B8365" t="str">
            <v>14051308000100</v>
          </cell>
          <cell r="C8365" t="str">
            <v>CDO VISA EXTRACASH NO REV VEN CPEM      1ND</v>
          </cell>
        </row>
        <row r="8366">
          <cell r="B8366" t="str">
            <v>14051308000101</v>
          </cell>
          <cell r="C8366" t="str">
            <v>CDO MC EXTRACASH NO REV VEN CPEM        1ND</v>
          </cell>
        </row>
        <row r="8367">
          <cell r="B8367" t="str">
            <v>14051308000102</v>
          </cell>
          <cell r="C8367" t="str">
            <v>CDO AMEX EXTRACASH NO REV VEN CPEM      1ND</v>
          </cell>
        </row>
        <row r="8368">
          <cell r="B8368" t="str">
            <v>14051310000101</v>
          </cell>
          <cell r="C8368" t="str">
            <v>PR LETRAS FACTORING VEN CPEM            1ND</v>
          </cell>
        </row>
        <row r="8369">
          <cell r="B8369" t="str">
            <v>14051310000102</v>
          </cell>
          <cell r="C8369" t="str">
            <v>PR FACT EN FACTORING VENC C/P CPEM      1ND</v>
          </cell>
        </row>
        <row r="8370">
          <cell r="B8370" t="str">
            <v>14051310000103</v>
          </cell>
          <cell r="C8370" t="str">
            <v>PR FACT ELECTR LET/FACT VEN CPEM        1ND</v>
          </cell>
        </row>
        <row r="8371">
          <cell r="B8371" t="str">
            <v>14051310000104</v>
          </cell>
          <cell r="C8371" t="str">
            <v>PR FACT INTERN VENC CPEM                1ND</v>
          </cell>
        </row>
        <row r="8372">
          <cell r="B8372" t="str">
            <v>14051310000105</v>
          </cell>
          <cell r="C8372" t="str">
            <v>PR PERU FACTORING CAP VEN CPEM          1ND</v>
          </cell>
        </row>
        <row r="8373">
          <cell r="B8373" t="str">
            <v>14051310000106</v>
          </cell>
          <cell r="C8373" t="str">
            <v>PR FORFAITING EXPORTACIÃ“N VENC CPEM    1ND</v>
          </cell>
        </row>
        <row r="8374">
          <cell r="B8374" t="str">
            <v>14051310000201</v>
          </cell>
          <cell r="C8374" t="str">
            <v>CL PRE JUDIC FACTORING LET VENC CPEM GL71ND</v>
          </cell>
        </row>
        <row r="8375">
          <cell r="B8375" t="str">
            <v>14051310000202</v>
          </cell>
          <cell r="C8375" t="str">
            <v>CL PRE JUDIC FACTORING FACT VENC CPEM GL1ND</v>
          </cell>
        </row>
        <row r="8376">
          <cell r="B8376" t="str">
            <v>14051310000203</v>
          </cell>
          <cell r="C8376" t="str">
            <v>CL EX FACTORING FORFAITING VEN CPEM     1ND</v>
          </cell>
        </row>
        <row r="8377">
          <cell r="B8377" t="str">
            <v>14051310000204</v>
          </cell>
          <cell r="C8377" t="str">
            <v>CL  CONFIRMING INTER CAPITAL VENC CPEM  1ND</v>
          </cell>
        </row>
        <row r="8378">
          <cell r="B8378" t="str">
            <v>14051310000205</v>
          </cell>
          <cell r="C8378" t="str">
            <v>FACT INTER IMPORT VENC. CPEM DUPE       1ND</v>
          </cell>
        </row>
        <row r="8379">
          <cell r="B8379" t="str">
            <v>14051310000206</v>
          </cell>
          <cell r="C8379" t="str">
            <v>FACT INTER IMPORT  VENC. CPEM NORMAL    1ND</v>
          </cell>
        </row>
        <row r="8380">
          <cell r="B8380" t="str">
            <v>14051310000301</v>
          </cell>
          <cell r="C8380" t="str">
            <v>JCC PRE JUDIC FACTORING LET VENC CPEM GL1ND</v>
          </cell>
        </row>
        <row r="8381">
          <cell r="B8381" t="str">
            <v>14051310000302</v>
          </cell>
          <cell r="C8381" t="str">
            <v>JCC PRE JUDIC FACTORING FACT VENC CPEM G1ND</v>
          </cell>
        </row>
        <row r="8382">
          <cell r="B8382" t="str">
            <v>14051310000401</v>
          </cell>
          <cell r="C8382" t="str">
            <v>FCD FACT ELECTR VENC DUDOSO CPEM        1ND</v>
          </cell>
        </row>
        <row r="8383">
          <cell r="B8383" t="str">
            <v>14051310000402</v>
          </cell>
          <cell r="C8383" t="str">
            <v>FCD FACT INTER EXPO VENC NORM CPEM      1ND</v>
          </cell>
        </row>
        <row r="8384">
          <cell r="B8384" t="str">
            <v>14051310000403</v>
          </cell>
          <cell r="C8384" t="str">
            <v>FCD FORFAITING EXPO VENC NORM  CPEM     1ND</v>
          </cell>
        </row>
        <row r="8385">
          <cell r="B8385" t="str">
            <v>14051310000404</v>
          </cell>
          <cell r="C8385" t="str">
            <v>FCD FACT INTER EXPO VENC DUPE CPEM      1ND</v>
          </cell>
        </row>
        <row r="8386">
          <cell r="B8386" t="str">
            <v>14051310000405</v>
          </cell>
          <cell r="C8386" t="str">
            <v>FCD FORFAITING EXPO VENC DUPE  CPEM     1ND</v>
          </cell>
        </row>
        <row r="8387">
          <cell r="B8387" t="str">
            <v>14051310000406</v>
          </cell>
          <cell r="C8387" t="str">
            <v>FCD CONFIRMING INTERNACIONAL VENC NORM C1ND</v>
          </cell>
        </row>
        <row r="8388">
          <cell r="B8388" t="str">
            <v>14051310000407</v>
          </cell>
          <cell r="C8388" t="str">
            <v>FCD CONFIRMING INTERNACIONAL VENC DUPE C1ND</v>
          </cell>
        </row>
        <row r="8389">
          <cell r="B8389" t="str">
            <v>14051310000408</v>
          </cell>
          <cell r="C8389" t="str">
            <v>FCD FAC. FIS. LET. VENC. CPEM DUPE      1ND</v>
          </cell>
        </row>
        <row r="8390">
          <cell r="B8390" t="str">
            <v>14051310000409</v>
          </cell>
          <cell r="C8390" t="str">
            <v>FCD FAC. FIS. FAC.. VENC. CPEM DUPE     1ND</v>
          </cell>
        </row>
        <row r="8391">
          <cell r="B8391" t="str">
            <v>14051311000101</v>
          </cell>
          <cell r="C8391" t="str">
            <v>LPC LEASING INT DIFERIDOS VENC RP CPEM  1ND</v>
          </cell>
        </row>
        <row r="8392">
          <cell r="B8392" t="str">
            <v>14051311000102</v>
          </cell>
          <cell r="C8392" t="str">
            <v>LPC LEASING SEGURO INT DIF VENC RP CPEM 1ND</v>
          </cell>
        </row>
        <row r="8393">
          <cell r="B8393" t="str">
            <v>14051311000103</v>
          </cell>
          <cell r="C8393" t="str">
            <v>LPC LEASING VENC SEGUROS RP CPEM        1ND</v>
          </cell>
        </row>
        <row r="8394">
          <cell r="B8394" t="str">
            <v>14051311000104</v>
          </cell>
          <cell r="C8394" t="str">
            <v>LPC LEASING VENC IGV RP CPEM            1ND</v>
          </cell>
        </row>
        <row r="8395">
          <cell r="B8395" t="str">
            <v>14051311000105</v>
          </cell>
          <cell r="C8395" t="str">
            <v>LPC LEASING DEL BIEN VENC RP CPEM       1ND</v>
          </cell>
        </row>
        <row r="8396">
          <cell r="B8396" t="str">
            <v>14051311000106</v>
          </cell>
          <cell r="C8396" t="str">
            <v>LPC LEASING DERIVADO DEL BIEN VENC RP CP1ND</v>
          </cell>
        </row>
        <row r="8397">
          <cell r="B8397" t="str">
            <v>14051311000107</v>
          </cell>
          <cell r="C8397" t="str">
            <v>LPC LEASING DERIVADO DEL BIEN VENC D/P R1ND</v>
          </cell>
        </row>
        <row r="8398">
          <cell r="B8398" t="str">
            <v>14051311000108</v>
          </cell>
          <cell r="C8398" t="str">
            <v>LPC LEASING DERIVADO VENC SEGUROS RP CPE1ND</v>
          </cell>
        </row>
        <row r="8399">
          <cell r="B8399" t="str">
            <v>14051311000109</v>
          </cell>
          <cell r="C8399" t="str">
            <v>LPC LEASING DERIVADO VENC D/P SEG RP CPE1ND</v>
          </cell>
        </row>
        <row r="8400">
          <cell r="B8400" t="str">
            <v>14051311000110</v>
          </cell>
          <cell r="C8400" t="str">
            <v>LPC LEASING DERIVADO VENC IGV RP CPEM   1ND</v>
          </cell>
        </row>
        <row r="8401">
          <cell r="B8401" t="str">
            <v>14051311000111</v>
          </cell>
          <cell r="C8401" t="str">
            <v>LPC LEASING DERIVADO VENC D/P IGV RP CPE1ND</v>
          </cell>
        </row>
        <row r="8402">
          <cell r="B8402" t="str">
            <v>14051311000201</v>
          </cell>
          <cell r="C8402" t="str">
            <v>LPC LEAS D/P INT DIF VENC RP CPEM       1ND</v>
          </cell>
        </row>
        <row r="8403">
          <cell r="B8403" t="str">
            <v>14051311000202</v>
          </cell>
          <cell r="C8403" t="str">
            <v>LPC LEAS D/P SEG INT DIF VENC RP CPEM   1ND</v>
          </cell>
        </row>
        <row r="8404">
          <cell r="B8404" t="str">
            <v>14051311000203</v>
          </cell>
          <cell r="C8404" t="str">
            <v>LPC LEASING VENC D/P SEG RP CPEM        1ND</v>
          </cell>
        </row>
        <row r="8405">
          <cell r="B8405" t="str">
            <v>14051311000204</v>
          </cell>
          <cell r="C8405" t="str">
            <v>LPC LEAS DEL BIEN VENC D/P RP CPEM      1ND</v>
          </cell>
        </row>
        <row r="8406">
          <cell r="B8406" t="str">
            <v>14051311000205</v>
          </cell>
          <cell r="C8406" t="str">
            <v>LPC LEASING VENC D/P IGV RP CPEM        1ND</v>
          </cell>
        </row>
        <row r="8407">
          <cell r="B8407" t="str">
            <v>14051311000301</v>
          </cell>
          <cell r="C8407" t="str">
            <v>LPC LSG BIEN ADJ.VEN DIF RP CPEM        1ND</v>
          </cell>
        </row>
        <row r="8408">
          <cell r="B8408" t="str">
            <v>14051311000302</v>
          </cell>
          <cell r="C8408" t="str">
            <v>LPC LSG SEG. ADJ. DIF. VEN RP CPEM      1ND</v>
          </cell>
        </row>
        <row r="8409">
          <cell r="B8409" t="str">
            <v>14051311000303</v>
          </cell>
          <cell r="C8409" t="str">
            <v>LPC LSG ADJ. CIA SEG VEN RP CPEM        1ND</v>
          </cell>
        </row>
        <row r="8410">
          <cell r="B8410" t="str">
            <v>14051311000304</v>
          </cell>
          <cell r="C8410" t="str">
            <v>LPC LSG ADJ. PRIN IGV VEN RP CPEM       1ND</v>
          </cell>
        </row>
        <row r="8411">
          <cell r="B8411" t="str">
            <v>14051311000305</v>
          </cell>
          <cell r="C8411" t="str">
            <v>LPC LSG DEL BIEN VEN ADJ.RP CPEM        1ND</v>
          </cell>
        </row>
        <row r="8412">
          <cell r="B8412" t="str">
            <v>14051311000306</v>
          </cell>
          <cell r="C8412" t="str">
            <v>LPC LSG BIEN ADJ.VEN DIF D/P CPEM       1ND</v>
          </cell>
        </row>
        <row r="8413">
          <cell r="B8413" t="str">
            <v>14051311000307</v>
          </cell>
          <cell r="C8413" t="str">
            <v>LPC  LSG SEG DIF VEN ADJ. D/P CPEM      1ND</v>
          </cell>
        </row>
        <row r="8414">
          <cell r="B8414" t="str">
            <v>14051311000308</v>
          </cell>
          <cell r="C8414" t="str">
            <v>LPC LSG CIA SEG VEN D/P ADJ. CPEM       1ND</v>
          </cell>
        </row>
        <row r="8415">
          <cell r="B8415" t="str">
            <v>14051311000309</v>
          </cell>
          <cell r="C8415" t="str">
            <v>LPC LSG BIEN VEN D/P ADJ. CPEM          1ND</v>
          </cell>
        </row>
        <row r="8416">
          <cell r="B8416" t="str">
            <v>14051311000310</v>
          </cell>
          <cell r="C8416" t="str">
            <v>LPC LSG D/P IGV VEN D/P ADJUD.CPEM      1ND</v>
          </cell>
        </row>
        <row r="8417">
          <cell r="B8417" t="str">
            <v>14051311000311</v>
          </cell>
          <cell r="C8417" t="str">
            <v>LPC CAP DIF.LS  BIEN OTROS SUSP RP CPEM 1ND</v>
          </cell>
        </row>
        <row r="8418">
          <cell r="B8418" t="str">
            <v>14051311000312</v>
          </cell>
          <cell r="C8418" t="str">
            <v>LPC CAP DIF.SEG.LS OTROS SUSP RP CPEM   1ND</v>
          </cell>
        </row>
        <row r="8419">
          <cell r="B8419" t="str">
            <v>14051311000313</v>
          </cell>
          <cell r="C8419" t="str">
            <v>LPC CIA SEG CAP VEN OTROS SUSP RP CPEM  1ND</v>
          </cell>
        </row>
        <row r="8420">
          <cell r="B8420" t="str">
            <v>14051311000314</v>
          </cell>
          <cell r="C8420" t="str">
            <v>LPC LS DEL BIEN OTROS SUSP RP CPEM      1ND</v>
          </cell>
        </row>
        <row r="8421">
          <cell r="B8421" t="str">
            <v>14051311000315</v>
          </cell>
          <cell r="C8421" t="str">
            <v>LPC CAP LS IGV OTROS SUSP RP CPEM       1ND</v>
          </cell>
        </row>
        <row r="8422">
          <cell r="B8422" t="str">
            <v>14051311000401</v>
          </cell>
          <cell r="C8422" t="str">
            <v>LPC PDL LEASING MYP INT DIFERIDOS CPEM  1ND</v>
          </cell>
        </row>
        <row r="8423">
          <cell r="B8423" t="str">
            <v>14051311000402</v>
          </cell>
          <cell r="C8423" t="str">
            <v>LPC PDS LEASING MYP INT DIFERIDOS CPEM  1ND</v>
          </cell>
        </row>
        <row r="8424">
          <cell r="B8424" t="str">
            <v>14051311000403</v>
          </cell>
          <cell r="C8424" t="str">
            <v>LPC PSG LEASING MYP  CPEM               1ND</v>
          </cell>
        </row>
        <row r="8425">
          <cell r="B8425" t="str">
            <v>14051311000404</v>
          </cell>
          <cell r="C8425" t="str">
            <v>LPC PIG LEASING IGV MYP CPEM            1ND</v>
          </cell>
        </row>
        <row r="8426">
          <cell r="B8426" t="str">
            <v>14051311000405</v>
          </cell>
          <cell r="C8426" t="str">
            <v>LPC PRI LEASING MYP CPEM                1ND</v>
          </cell>
        </row>
        <row r="8427">
          <cell r="B8427" t="str">
            <v>14051311000406</v>
          </cell>
          <cell r="C8427" t="str">
            <v>LPC LEASING RESUELTO VENCIDO CPEM       1ND</v>
          </cell>
        </row>
        <row r="8428">
          <cell r="B8428" t="str">
            <v>14051311000407</v>
          </cell>
          <cell r="C8428" t="str">
            <v>LPC PDL LEASING MYP INT DIF D/P CPEM    1ND</v>
          </cell>
        </row>
        <row r="8429">
          <cell r="B8429" t="str">
            <v>14051311000408</v>
          </cell>
          <cell r="C8429" t="str">
            <v>LPC PDS LEASING MYP INT DIF D/P CPEM    1ND</v>
          </cell>
        </row>
        <row r="8430">
          <cell r="B8430" t="str">
            <v>14051311000409</v>
          </cell>
          <cell r="C8430" t="str">
            <v>LPC MYP ISG CIA SEG LEAS D/P CPEM       1ND</v>
          </cell>
        </row>
        <row r="8431">
          <cell r="B8431" t="str">
            <v>14051311000410</v>
          </cell>
          <cell r="C8431" t="str">
            <v>LPC PIG LEASING IGV MYP D/P CPEM        1ND</v>
          </cell>
        </row>
        <row r="8432">
          <cell r="B8432" t="str">
            <v>14051311000411</v>
          </cell>
          <cell r="C8432" t="str">
            <v>LPC PRI LEASING MYP D/P CPEM            1ND</v>
          </cell>
        </row>
        <row r="8433">
          <cell r="B8433" t="str">
            <v>14051311000412</v>
          </cell>
          <cell r="C8433" t="str">
            <v>LPC LS RESUELTO VENC BPE CPEM           1ND</v>
          </cell>
        </row>
        <row r="8434">
          <cell r="B8434" t="str">
            <v>14051311000601</v>
          </cell>
          <cell r="C8434" t="str">
            <v>LPC LEASING COFIDE INT DIF VENC PDL CPEM1ND</v>
          </cell>
        </row>
        <row r="8435">
          <cell r="B8435" t="str">
            <v>14051311000602</v>
          </cell>
          <cell r="C8435" t="str">
            <v>LPC LEASING COFIDE SEGURO INT DIF VENC P1ND</v>
          </cell>
        </row>
        <row r="8436">
          <cell r="B8436" t="str">
            <v>14051311000603</v>
          </cell>
          <cell r="C8436" t="str">
            <v>LPC LEASING COFIDE VENC SEGUROS PSG CPEM1ND</v>
          </cell>
        </row>
        <row r="8437">
          <cell r="B8437" t="str">
            <v>14051311000604</v>
          </cell>
          <cell r="C8437" t="str">
            <v>LPC LEASING COFIDE VENC IGV PIG CPEM    1ND</v>
          </cell>
        </row>
        <row r="8438">
          <cell r="B8438" t="str">
            <v>14051311000605</v>
          </cell>
          <cell r="C8438" t="str">
            <v>LPC LEASING COFIDE VENC PRI CPEM        1ND</v>
          </cell>
        </row>
        <row r="8439">
          <cell r="B8439" t="str">
            <v>14051311000606</v>
          </cell>
          <cell r="C8439" t="str">
            <v>LPC LS COFIDE D/P INT DIF VENC PDL CPEM 1ND</v>
          </cell>
        </row>
        <row r="8440">
          <cell r="B8440" t="str">
            <v>14051311000607</v>
          </cell>
          <cell r="C8440" t="str">
            <v>LPC LS COFIDE D/P SEG INT DIF VENC PDS C1ND</v>
          </cell>
        </row>
        <row r="8441">
          <cell r="B8441" t="str">
            <v>14051311000608</v>
          </cell>
          <cell r="C8441" t="str">
            <v>LPC LEASING COFIDE VENC D/P SEG PSG CPEM1ND</v>
          </cell>
        </row>
        <row r="8442">
          <cell r="B8442" t="str">
            <v>14051311000609</v>
          </cell>
          <cell r="C8442" t="str">
            <v>LPC LEASING COFIDE VENC D/P IGV PIG CPEM1ND</v>
          </cell>
        </row>
        <row r="8443">
          <cell r="B8443" t="str">
            <v>14051311000610</v>
          </cell>
          <cell r="C8443" t="str">
            <v>LPC LEASING COFIDE VENC D/P PRI CPEM    1ND</v>
          </cell>
        </row>
        <row r="8444">
          <cell r="B8444" t="str">
            <v>14051311000701</v>
          </cell>
          <cell r="C8444" t="str">
            <v>CL COB. PRE-JUD. ARREND. FINANC PJ CPEM 1ND</v>
          </cell>
        </row>
        <row r="8445">
          <cell r="B8445" t="str">
            <v>14051311000702</v>
          </cell>
          <cell r="C8445" t="str">
            <v>JCC PREJUDIC MYP LEASING BPE CPEM       1ND</v>
          </cell>
        </row>
        <row r="8446">
          <cell r="B8446" t="str">
            <v>14051312000101</v>
          </cell>
          <cell r="C8446" t="str">
            <v>LPC LEASEBACK INT DIF VENC RP CPEM      1ND</v>
          </cell>
        </row>
        <row r="8447">
          <cell r="B8447" t="str">
            <v>14051312000102</v>
          </cell>
          <cell r="C8447" t="str">
            <v>LPC LEASEBACK SEGURO INT DIF VENC RP CPE1ND</v>
          </cell>
        </row>
        <row r="8448">
          <cell r="B8448" t="str">
            <v>14051312000103</v>
          </cell>
          <cell r="C8448" t="str">
            <v>LPC LEASEBACK VENC SEGUROS RP CPEM      1ND</v>
          </cell>
        </row>
        <row r="8449">
          <cell r="B8449" t="str">
            <v>14051312000104</v>
          </cell>
          <cell r="C8449" t="str">
            <v>LPC LEASEBACK IGV VENCIDO RP LPC        1ND</v>
          </cell>
        </row>
        <row r="8450">
          <cell r="B8450" t="str">
            <v>14051312000105</v>
          </cell>
          <cell r="C8450" t="str">
            <v>LPC LEASEBACK DEL BIEN VENC RP CPEM     1ND</v>
          </cell>
        </row>
        <row r="8451">
          <cell r="B8451" t="str">
            <v>14051312000106</v>
          </cell>
          <cell r="C8451" t="str">
            <v>LPC LSBACK D/P INT DIF VENC RP CPEM     1ND</v>
          </cell>
        </row>
        <row r="8452">
          <cell r="B8452" t="str">
            <v>14051312000107</v>
          </cell>
          <cell r="C8452" t="str">
            <v>LPC LSBACK D/P SEG INT DIFERID VENC RP C1ND</v>
          </cell>
        </row>
        <row r="8453">
          <cell r="B8453" t="str">
            <v>14051312000108</v>
          </cell>
          <cell r="C8453" t="str">
            <v>LPC LSBACK VENC D/P SEG RP CPEM         1ND</v>
          </cell>
        </row>
        <row r="8454">
          <cell r="B8454" t="str">
            <v>14051312000109</v>
          </cell>
          <cell r="C8454" t="str">
            <v>LPC LSBACK DEL BIEN VENC D/P RP CPEM    1ND</v>
          </cell>
        </row>
        <row r="8455">
          <cell r="B8455" t="str">
            <v>14051312000110</v>
          </cell>
          <cell r="C8455" t="str">
            <v>LPC LSBACK VENC D/P IGV RP CPEM         1ND</v>
          </cell>
        </row>
        <row r="8456">
          <cell r="B8456" t="str">
            <v>14051312000201</v>
          </cell>
          <cell r="C8456" t="str">
            <v>LPC CAP DIF.LSB  BIEN OTROS SUSP CPEM   1ND</v>
          </cell>
        </row>
        <row r="8457">
          <cell r="B8457" t="str">
            <v>14051312000202</v>
          </cell>
          <cell r="C8457" t="str">
            <v>LPC CAP DIF.SEG.LSB OTROS SUSP CPEM     1ND</v>
          </cell>
        </row>
        <row r="8458">
          <cell r="B8458" t="str">
            <v>14051312000203</v>
          </cell>
          <cell r="C8458" t="str">
            <v>LPC CIA SEG CAP VEN OTROS SUSP CPEM     1ND</v>
          </cell>
        </row>
        <row r="8459">
          <cell r="B8459" t="str">
            <v>14051312000204</v>
          </cell>
          <cell r="C8459" t="str">
            <v>LPC LSB DEL BIEN OTROS SUSP CPEM        1ND</v>
          </cell>
        </row>
        <row r="8460">
          <cell r="B8460" t="str">
            <v>14051312000205</v>
          </cell>
          <cell r="C8460" t="str">
            <v>LPC CAP LSB IGV OTROS SUSPENSO CPEM     1ND</v>
          </cell>
        </row>
        <row r="8461">
          <cell r="B8461" t="str">
            <v>14051312000301</v>
          </cell>
          <cell r="C8461" t="str">
            <v>LPC LEASEBACK INT DIFERIDOS VENC        1ND</v>
          </cell>
        </row>
        <row r="8462">
          <cell r="B8462" t="str">
            <v>14051312000302</v>
          </cell>
          <cell r="C8462" t="str">
            <v>LPC INT LEASEBACK SEG VENC REFIN CPEM   1ND</v>
          </cell>
        </row>
        <row r="8463">
          <cell r="B8463" t="str">
            <v>14051312000303</v>
          </cell>
          <cell r="C8463" t="str">
            <v>LPC LEASEBACK VENC REF SEG REFIN CPEM   1ND</v>
          </cell>
        </row>
        <row r="8464">
          <cell r="B8464" t="str">
            <v>14051312000304</v>
          </cell>
          <cell r="C8464" t="str">
            <v>LPC LEASEBACK VENC REF IGV  REFIN  CPEM 1ND</v>
          </cell>
        </row>
        <row r="8465">
          <cell r="B8465" t="str">
            <v>14051312000305</v>
          </cell>
          <cell r="C8465" t="str">
            <v>LPC LEASEBACK  BIEN VENC REFIN CPEM     1ND</v>
          </cell>
        </row>
        <row r="8466">
          <cell r="B8466" t="str">
            <v>14051319060101</v>
          </cell>
          <cell r="C8466" t="str">
            <v>MYP PAG.TV REFIN. C/FIJA VEN  CPEM      1ND</v>
          </cell>
        </row>
        <row r="8467">
          <cell r="B8467" t="str">
            <v>14051319060102</v>
          </cell>
          <cell r="C8467" t="str">
            <v>MYP PAG.TV REFIN. REVOL VENC MES CPEM   1ND</v>
          </cell>
        </row>
        <row r="8468">
          <cell r="B8468" t="str">
            <v>14051319060201</v>
          </cell>
          <cell r="C8468" t="str">
            <v>CL PAG.REF.TV VENC CPEM                 1ND</v>
          </cell>
        </row>
        <row r="8469">
          <cell r="B8469" t="str">
            <v>14051319060301</v>
          </cell>
          <cell r="C8469" t="str">
            <v>PAG TV REFINANCIADO VENC - LPC CPEM     1ND</v>
          </cell>
        </row>
        <row r="8470">
          <cell r="B8470" t="str">
            <v>14051319060302</v>
          </cell>
          <cell r="C8470" t="str">
            <v>MYP REFINANC. COVID-19                  1ND</v>
          </cell>
        </row>
        <row r="8471">
          <cell r="B8471" t="str">
            <v>14051319060303</v>
          </cell>
          <cell r="C8471" t="str">
            <v>LPC REFINANCIADO REACTIVA CPEM VEN      1 D</v>
          </cell>
        </row>
        <row r="8472">
          <cell r="B8472" t="str">
            <v>14051319060307</v>
          </cell>
          <cell r="C8472" t="str">
            <v>MYP REFINANCIADO CIMA CPEM VEN          1 D</v>
          </cell>
        </row>
        <row r="8473">
          <cell r="B8473" t="str">
            <v>14051319060308</v>
          </cell>
          <cell r="C8473" t="str">
            <v>LPC REFINANCIADO CRECER IBK POST HONR CP1 D</v>
          </cell>
        </row>
        <row r="8474">
          <cell r="B8474" t="str">
            <v>14051319060309</v>
          </cell>
          <cell r="C8474" t="str">
            <v>CCD-BPE REFINANCIADO_CPEM VEN           1 D</v>
          </cell>
        </row>
        <row r="8475">
          <cell r="B8475" t="str">
            <v>14051319060310</v>
          </cell>
          <cell r="C8475" t="str">
            <v>LPC REFINANCIADO REACTIVA CPEM VEN      1 D</v>
          </cell>
        </row>
        <row r="8476">
          <cell r="B8476" t="str">
            <v>14051319110101</v>
          </cell>
          <cell r="C8476" t="str">
            <v>LPC REF LEAS DEL BIEN VENC REF RP CPEM  1ND</v>
          </cell>
        </row>
        <row r="8477">
          <cell r="B8477" t="str">
            <v>14051319110102</v>
          </cell>
          <cell r="C8477" t="str">
            <v>LPC REF LEAS VENC REF SEGUROS RP CPEM   1ND</v>
          </cell>
        </row>
        <row r="8478">
          <cell r="B8478" t="str">
            <v>14051319110103</v>
          </cell>
          <cell r="C8478" t="str">
            <v>LPC REF LEAS VENC REF IGV RP CPEM       1ND</v>
          </cell>
        </row>
        <row r="8479">
          <cell r="B8479" t="str">
            <v>14051319110104</v>
          </cell>
          <cell r="C8479" t="str">
            <v>LPC REF LEAS INT DIFERIDOS VENC REF RP C1ND</v>
          </cell>
        </row>
        <row r="8480">
          <cell r="B8480" t="str">
            <v>14051319110105</v>
          </cell>
          <cell r="C8480" t="str">
            <v>LPC REF LEAS SEG INT DIF VENC REF RP CPE1ND</v>
          </cell>
        </row>
        <row r="8481">
          <cell r="B8481" t="str">
            <v>14051319110106</v>
          </cell>
          <cell r="C8481" t="str">
            <v>LPC REF LEAS BPE DEL BIEN VENC REF RP CP1ND</v>
          </cell>
        </row>
        <row r="8482">
          <cell r="B8482" t="str">
            <v>14051319110107</v>
          </cell>
          <cell r="C8482" t="str">
            <v>LPC REF LEAS BPE VENC REF SEGUROS RP CPE1ND</v>
          </cell>
        </row>
        <row r="8483">
          <cell r="B8483" t="str">
            <v>14051319110108</v>
          </cell>
          <cell r="C8483" t="str">
            <v>LPC REF LEAS BPE VENC REF IGV RP CPEM   1ND</v>
          </cell>
        </row>
        <row r="8484">
          <cell r="B8484" t="str">
            <v>14051319110109</v>
          </cell>
          <cell r="C8484" t="str">
            <v>LPC REF LEAS BPE INT DIFERIDOS VENC REF 1ND</v>
          </cell>
        </row>
        <row r="8485">
          <cell r="B8485" t="str">
            <v>14051319110110</v>
          </cell>
          <cell r="C8485" t="str">
            <v>LPC REF LEAS BPE SEG INT DIF VENC REF RP1ND</v>
          </cell>
        </row>
        <row r="8486">
          <cell r="B8486" t="str">
            <v>14051319110111</v>
          </cell>
          <cell r="C8486" t="str">
            <v>LPC REF LS COFIGAS VEN PRI CPEM         1ND</v>
          </cell>
        </row>
        <row r="8487">
          <cell r="B8487" t="str">
            <v>14051319110112</v>
          </cell>
          <cell r="C8487" t="str">
            <v>LPC REF LS COFIGAS CAP INT DIF VEN PDL C1ND</v>
          </cell>
        </row>
        <row r="8488">
          <cell r="B8488" t="str">
            <v>14051319110113</v>
          </cell>
          <cell r="C8488" t="str">
            <v>LPC REF LS COFIGAS SEG BIEN VEN PDS CPEM1ND</v>
          </cell>
        </row>
        <row r="8489">
          <cell r="B8489" t="str">
            <v>14051319110114</v>
          </cell>
          <cell r="C8489" t="str">
            <v>LPC REF LS COFIGAS PRIMA SEG VEN PSG CPE1ND</v>
          </cell>
        </row>
        <row r="8490">
          <cell r="B8490" t="str">
            <v>14051319110115</v>
          </cell>
          <cell r="C8490" t="str">
            <v>LPC REF LS COFIGAS IGV VEN PIG CPEM     1ND</v>
          </cell>
        </row>
        <row r="8491">
          <cell r="B8491" t="str">
            <v>14051319240101</v>
          </cell>
          <cell r="C8491" t="str">
            <v>CL PRE JUD PAG RFA SUBORD VENC CPEM     1ND</v>
          </cell>
        </row>
        <row r="8492">
          <cell r="B8492" t="str">
            <v>14051319240102</v>
          </cell>
          <cell r="C8492" t="str">
            <v>CL PRE JUD PAG RFA FINANC VENC CPEM     1ND</v>
          </cell>
        </row>
        <row r="8493">
          <cell r="B8493" t="str">
            <v>14051319240103</v>
          </cell>
          <cell r="C8493" t="str">
            <v>CL PAG.REF.RFA SUBOR CCOR VENC          1ND</v>
          </cell>
        </row>
        <row r="8494">
          <cell r="B8494" t="str">
            <v>14051319240104</v>
          </cell>
          <cell r="C8494" t="str">
            <v>CL P.REF.RFA FINANC CPEM VENC           1ND</v>
          </cell>
        </row>
        <row r="8495">
          <cell r="B8495" t="str">
            <v>14051319240201</v>
          </cell>
          <cell r="C8495" t="str">
            <v>JCC PRE JUD PAG RFA FINANC VENC CPEM    1ND</v>
          </cell>
        </row>
        <row r="8496">
          <cell r="B8496" t="str">
            <v>14051319240202</v>
          </cell>
          <cell r="C8496" t="str">
            <v>JCC PRE JUD PAG RFA SUBORD VENC CPEM    1ND</v>
          </cell>
        </row>
        <row r="8497">
          <cell r="B8497" t="str">
            <v>14051319270701</v>
          </cell>
          <cell r="C8497" t="str">
            <v>RCC  CRÃ‰DITOS A PEQUEÃ‘AS EMPRESAS - CR1ND</v>
          </cell>
        </row>
        <row r="8498">
          <cell r="B8498" t="str">
            <v>14051321000101</v>
          </cell>
          <cell r="C8498" t="str">
            <v>CL CXL CC ACEPTAC BKT CL VEN CPEM       1ND</v>
          </cell>
        </row>
        <row r="8499">
          <cell r="B8499" t="str">
            <v>14051321000102</v>
          </cell>
          <cell r="C8499" t="str">
            <v>CL CXL AVAL X ACEPTAC VENC CPEM         1ND</v>
          </cell>
        </row>
        <row r="8500">
          <cell r="B8500" t="str">
            <v>14051321000103</v>
          </cell>
          <cell r="C8500" t="str">
            <v>CL CXL CRED. X LIQUI.CC AVAL VEN CPEM   1ND</v>
          </cell>
        </row>
        <row r="8501">
          <cell r="B8501" t="str">
            <v>14051321000104</v>
          </cell>
          <cell r="C8501" t="str">
            <v>CL CXL.CAR CRED VISTA VEN CPEM          1ND</v>
          </cell>
        </row>
        <row r="8502">
          <cell r="B8502" t="str">
            <v>14051321000105</v>
          </cell>
          <cell r="C8502" t="str">
            <v>CL CXL.STAND BY VEN CPEM                1ND</v>
          </cell>
        </row>
        <row r="8503">
          <cell r="B8503" t="str">
            <v>14051321000107</v>
          </cell>
          <cell r="C8503" t="str">
            <v>CL PAG.DEUD.VTA CARTERA VEN CPEM        1ND</v>
          </cell>
        </row>
        <row r="8504">
          <cell r="B8504" t="str">
            <v>14051321000108</v>
          </cell>
          <cell r="C8504" t="str">
            <v>CL CXL.COBRA AVALA VEN CPEM             1ND</v>
          </cell>
        </row>
        <row r="8505">
          <cell r="B8505" t="str">
            <v>14051321000201</v>
          </cell>
          <cell r="C8505" t="str">
            <v>CL CRED.POR LIQ. CARTA FIANZA VEN CPEM  1ND</v>
          </cell>
        </row>
        <row r="8506">
          <cell r="B8506" t="str">
            <v>14051321000202</v>
          </cell>
          <cell r="C8506" t="str">
            <v>JCC COB.PRE.JUD. CARTA FIANZA CPEM      1ND</v>
          </cell>
        </row>
        <row r="8507">
          <cell r="B8507" t="str">
            <v>14051322060101</v>
          </cell>
          <cell r="C8507" t="str">
            <v>CL PAG.REF.TV VENC CPEM                 1ND</v>
          </cell>
        </row>
        <row r="8508">
          <cell r="B8508" t="str">
            <v>14051322060201</v>
          </cell>
          <cell r="C8508" t="str">
            <v>LPC PAG TV REESTRUC COFIDE VENC CPEM    1ND</v>
          </cell>
        </row>
        <row r="8509">
          <cell r="B8509" t="str">
            <v>14051322110101</v>
          </cell>
          <cell r="C8509" t="str">
            <v>LPC LEAS INT DIF VENC REESTR RP CPEM    1ND</v>
          </cell>
        </row>
        <row r="8510">
          <cell r="B8510" t="str">
            <v>14051322110102</v>
          </cell>
          <cell r="C8510" t="str">
            <v>LPC LEAS SEG INT DIF VENC REESTR RP CPEM1ND</v>
          </cell>
        </row>
        <row r="8511">
          <cell r="B8511" t="str">
            <v>14051322110103</v>
          </cell>
          <cell r="C8511" t="str">
            <v>LPC LEAS VENC REF SEG RP REESTR CPEM    1ND</v>
          </cell>
        </row>
        <row r="8512">
          <cell r="B8512" t="str">
            <v>14051322110104</v>
          </cell>
          <cell r="C8512" t="str">
            <v>LPC LEAS VENC REF IGV RP REESTR  CPEM   1ND</v>
          </cell>
        </row>
        <row r="8513">
          <cell r="B8513" t="str">
            <v>14051322110105</v>
          </cell>
          <cell r="C8513" t="str">
            <v>LPC LEAS DEL BIEN VENC REESTR RP CPEM   1ND</v>
          </cell>
        </row>
        <row r="8514">
          <cell r="B8514" t="str">
            <v>14051326000101</v>
          </cell>
          <cell r="C8514" t="str">
            <v>MYP EXPORT.POST EMBARQUE REC PROP MES VE1ND</v>
          </cell>
        </row>
        <row r="8515">
          <cell r="B8515" t="str">
            <v>14051326000102</v>
          </cell>
          <cell r="C8515" t="str">
            <v>MYP EXPORT.PRE EMBARQ REC PROP  VENC CPE1ND</v>
          </cell>
        </row>
        <row r="8516">
          <cell r="B8516" t="str">
            <v>14051326000103</v>
          </cell>
          <cell r="C8516" t="str">
            <v>MYP D/P EXPORT.POST EMB VIG CPEM        1ND</v>
          </cell>
        </row>
        <row r="8517">
          <cell r="B8517" t="str">
            <v>14051326000104</v>
          </cell>
          <cell r="C8517" t="str">
            <v>MYP D/P EXPORT.PRE EMBARQ  VENC CPEM    1ND</v>
          </cell>
        </row>
        <row r="8518">
          <cell r="B8518" t="str">
            <v>14051326000105</v>
          </cell>
          <cell r="C8518" t="str">
            <v>MYP D/P IMPOR REC PROP COM VENC CPEM    1ND</v>
          </cell>
        </row>
        <row r="8519">
          <cell r="B8519" t="str">
            <v>14051326000106</v>
          </cell>
          <cell r="C8519" t="str">
            <v>MYP FINANC IMPORT CAPITAL DE TRAB  VENC 1ND</v>
          </cell>
        </row>
        <row r="8520">
          <cell r="B8520" t="str">
            <v>14051326000107</v>
          </cell>
          <cell r="C8520" t="str">
            <v>MYP FINANC IMPORT ACT FIJO VENC CPEM    1ND</v>
          </cell>
        </row>
        <row r="8521">
          <cell r="B8521" t="str">
            <v>14051326000108</v>
          </cell>
          <cell r="C8521" t="str">
            <v>MYP IMPANC IMPORT CAPITAL DE TRAB  VENC-1ND</v>
          </cell>
        </row>
        <row r="8522">
          <cell r="B8522" t="str">
            <v>14051326000109</v>
          </cell>
          <cell r="C8522" t="str">
            <v>MYP D/P FIN IMPOR ACT FIJO VENC CPEM    1ND</v>
          </cell>
        </row>
        <row r="8523">
          <cell r="B8523" t="str">
            <v>14051326000110</v>
          </cell>
          <cell r="C8523" t="str">
            <v>MYP COMP DEUD AF VIG CPEM VENC          1ND</v>
          </cell>
        </row>
        <row r="8524">
          <cell r="B8524" t="str">
            <v>14051326000111</v>
          </cell>
          <cell r="C8524" t="str">
            <v>MYP COMP DEUD AF VIG CPEM VENC D/P      1ND</v>
          </cell>
        </row>
        <row r="8525">
          <cell r="B8525" t="str">
            <v>14051326000201</v>
          </cell>
          <cell r="C8525" t="str">
            <v>LPC PAG IMPORT.D/P VENC CPEM            1ND</v>
          </cell>
        </row>
        <row r="8526">
          <cell r="B8526" t="str">
            <v>14051326000202</v>
          </cell>
          <cell r="C8526" t="str">
            <v>LPC PAG.VENC EX PRE EMB D/P CPEM        1ND</v>
          </cell>
        </row>
        <row r="8527">
          <cell r="B8527" t="str">
            <v>14051326000203</v>
          </cell>
          <cell r="C8527" t="str">
            <v>LPC PAG EXP POST EMB RP D/P CPEM        1ND</v>
          </cell>
        </row>
        <row r="8528">
          <cell r="B8528" t="str">
            <v>14051326000204</v>
          </cell>
          <cell r="C8528" t="str">
            <v>LPC PAG EXP PRE EM.RP VEN CPEM          1ND</v>
          </cell>
        </row>
        <row r="8529">
          <cell r="B8529" t="str">
            <v>14051326000205</v>
          </cell>
          <cell r="C8529" t="str">
            <v>LPC PAG EXP POST EMB RP CPEM VENC       1ND</v>
          </cell>
        </row>
        <row r="8530">
          <cell r="B8530" t="str">
            <v>14051326000206</v>
          </cell>
          <cell r="C8530" t="str">
            <v>LPC PAG IMPOR VENC CPEM                 1ND</v>
          </cell>
        </row>
        <row r="8531">
          <cell r="B8531" t="str">
            <v>14051326000207</v>
          </cell>
          <cell r="C8531" t="str">
            <v>LPC WORK CAP. EX PRE EMB.VEN CMED       1ND</v>
          </cell>
        </row>
        <row r="8532">
          <cell r="B8532" t="str">
            <v>14051326000208</v>
          </cell>
          <cell r="C8532" t="str">
            <v>LPC FINANC PRE EMBARQUE                 1ND</v>
          </cell>
        </row>
        <row r="8533">
          <cell r="B8533" t="str">
            <v>14051326000209</v>
          </cell>
          <cell r="C8533" t="str">
            <v>LPC FINANC PRE EMBARQUE  D/P            1ND</v>
          </cell>
        </row>
        <row r="8534">
          <cell r="B8534" t="str">
            <v>14051326000210</v>
          </cell>
          <cell r="C8534" t="str">
            <v>LPC FINANC PRE EMBARQUE-SEPYMEX CPEM    1ND</v>
          </cell>
        </row>
        <row r="8535">
          <cell r="B8535" t="str">
            <v>14051326000211</v>
          </cell>
          <cell r="C8535" t="str">
            <v>LPC FINANC PRE EMBARQUE  D/P-SEPYMEX CPE1ND</v>
          </cell>
        </row>
        <row r="8536">
          <cell r="B8536" t="str">
            <v>14051326000212</v>
          </cell>
          <cell r="C8536" t="str">
            <v>LPC PRE EMBARQUE FINANC. VEN. NORM CPEM 1ND</v>
          </cell>
        </row>
        <row r="8537">
          <cell r="B8537" t="str">
            <v>14051326000213</v>
          </cell>
          <cell r="C8537" t="str">
            <v>LPC PRE EMBARQUE FINANC. VEN. DUPE CPEM 1ND</v>
          </cell>
        </row>
        <row r="8538">
          <cell r="B8538" t="str">
            <v>14051326000214</v>
          </cell>
          <cell r="C8538" t="str">
            <v>LPC POST EMBARQUE FINANC. VEN. NORM CPEM1ND</v>
          </cell>
        </row>
        <row r="8539">
          <cell r="B8539" t="str">
            <v>14051326000215</v>
          </cell>
          <cell r="C8539" t="str">
            <v>LPC POST EMBARQUE FINANC. VEN. DUPE CPEM1ND</v>
          </cell>
        </row>
        <row r="8540">
          <cell r="B8540" t="str">
            <v>14051326000216</v>
          </cell>
          <cell r="C8540" t="str">
            <v>LPC IMPORT. CARTA CREDITO  FINANC. VEN. 1ND</v>
          </cell>
        </row>
        <row r="8541">
          <cell r="B8541" t="str">
            <v>14051326000217</v>
          </cell>
          <cell r="C8541" t="str">
            <v>LPC IMPORT. CARTA CREDITO  FINANC. VEN. 1ND</v>
          </cell>
        </row>
        <row r="8542">
          <cell r="B8542" t="str">
            <v>14051326000218</v>
          </cell>
          <cell r="C8542" t="str">
            <v>LPC IMPORT.  FINANC. VEN. NORM CPEM     1ND</v>
          </cell>
        </row>
        <row r="8543">
          <cell r="B8543" t="str">
            <v>14051326000219</v>
          </cell>
          <cell r="C8543" t="str">
            <v>LPC IMPORT.  FINANC. VEN. DUPE CPEM     1ND</v>
          </cell>
        </row>
        <row r="8544">
          <cell r="B8544" t="str">
            <v>14051326000301</v>
          </cell>
          <cell r="C8544" t="str">
            <v>CL PRE JUDIC PREST EXPORT VENC CPEM GL701ND</v>
          </cell>
        </row>
        <row r="8545">
          <cell r="B8545" t="str">
            <v>14051326000302</v>
          </cell>
          <cell r="C8545" t="str">
            <v>CL PRE JUDIC PAG.IMPORT VENC CPEM GL70031ND</v>
          </cell>
        </row>
        <row r="8546">
          <cell r="B8546" t="str">
            <v>14051326000303</v>
          </cell>
          <cell r="C8546" t="str">
            <v>CL PRE JUDIC CARTAS CRED VENC CPEM GL7001ND</v>
          </cell>
        </row>
        <row r="8547">
          <cell r="B8547" t="str">
            <v>14051326000304</v>
          </cell>
          <cell r="C8547" t="str">
            <v>CL PRE JUDIC CARTA FIANZA VENC CPEM GL701ND</v>
          </cell>
        </row>
        <row r="8548">
          <cell r="B8548" t="str">
            <v>14051326000305</v>
          </cell>
          <cell r="C8548" t="str">
            <v>CL EX FORFAITING CAPITAL VENC CPEM      1ND</v>
          </cell>
        </row>
        <row r="8549">
          <cell r="B8549" t="str">
            <v>14051326000306</v>
          </cell>
          <cell r="C8549" t="str">
            <v>TC VEA COMERCIAL. COLOC. COMPRA CMIE    1ND</v>
          </cell>
        </row>
        <row r="8550">
          <cell r="B8550" t="str">
            <v>14051326000307</v>
          </cell>
          <cell r="C8550" t="str">
            <v>TC VISA COMERCIAL. COLOC. OTROS CMIE    1ND</v>
          </cell>
        </row>
        <row r="8551">
          <cell r="B8551" t="str">
            <v>14051326000308</v>
          </cell>
          <cell r="C8551" t="str">
            <v>TC MC COMERCIAL. COLOC. OTROS CMIE      1ND</v>
          </cell>
        </row>
        <row r="8552">
          <cell r="B8552" t="str">
            <v>14051326000401</v>
          </cell>
          <cell r="C8552" t="str">
            <v>JCC PRE JUDIC PREST EXPORT VENC CPEM GL71ND</v>
          </cell>
        </row>
        <row r="8553">
          <cell r="B8553" t="str">
            <v>14051326000402</v>
          </cell>
          <cell r="C8553" t="str">
            <v>JCC PRE JUDIC PAG.IMPORT VENC CPEM GL7001ND</v>
          </cell>
        </row>
        <row r="8554">
          <cell r="B8554" t="str">
            <v>14051326000403</v>
          </cell>
          <cell r="C8554" t="str">
            <v>JCC PRE JUDIC CARTAS CRED VENC CPEM GL701ND</v>
          </cell>
        </row>
        <row r="8555">
          <cell r="B8555" t="str">
            <v>14051326000404</v>
          </cell>
          <cell r="C8555" t="str">
            <v>JCC PRE JUDIC CARTA FIANZA VENC CPEM GL71ND</v>
          </cell>
        </row>
        <row r="8556">
          <cell r="B8556" t="str">
            <v>14051326000405</v>
          </cell>
          <cell r="C8556" t="str">
            <v>LPC PRE EMBARQUE FONDOS CRECER CPEM VEN\1ND</v>
          </cell>
        </row>
        <row r="8557">
          <cell r="B8557" t="str">
            <v>14051326000406</v>
          </cell>
          <cell r="C8557" t="str">
            <v>LPC PRE EMBARQUE FONDOS CRECER CPEM VEN\1ND</v>
          </cell>
        </row>
        <row r="8558">
          <cell r="B8558" t="str">
            <v>14060102000101</v>
          </cell>
          <cell r="C8558" t="str">
            <v>CL COB.JUD.TARJ.CRED.VISA PJ            1ND</v>
          </cell>
        </row>
        <row r="8559">
          <cell r="B8559" t="str">
            <v>14060102010101</v>
          </cell>
          <cell r="C8559" t="str">
            <v>CL COB JUD TC VISA PJ-DISP.EFEC         1ND</v>
          </cell>
        </row>
        <row r="8560">
          <cell r="B8560" t="str">
            <v>14060104000101</v>
          </cell>
          <cell r="C8560" t="str">
            <v>CL COB.JUD.SOBR.CTA.CTE.PJ              1ND</v>
          </cell>
        </row>
        <row r="8561">
          <cell r="B8561" t="str">
            <v>14060105000103</v>
          </cell>
          <cell r="C8561" t="str">
            <v>BL COB. JUD. PERSONA JURIDICA CL        1ND</v>
          </cell>
        </row>
        <row r="8562">
          <cell r="B8562" t="str">
            <v>14060105010101</v>
          </cell>
          <cell r="C8562" t="str">
            <v>CL COB.JUD.DSCTO.PAGARE                 1ND</v>
          </cell>
        </row>
        <row r="8563">
          <cell r="B8563" t="str">
            <v>14060105020101</v>
          </cell>
          <cell r="C8563" t="str">
            <v>CL COB.JUD.DSCTO. LETRAS                1ND</v>
          </cell>
        </row>
        <row r="8564">
          <cell r="B8564" t="str">
            <v>14060106000114</v>
          </cell>
          <cell r="C8564" t="str">
            <v>COB JUD CARTA FIANZA CL                 1ND</v>
          </cell>
        </row>
        <row r="8565">
          <cell r="B8565" t="str">
            <v>14060106000119</v>
          </cell>
          <cell r="C8565" t="str">
            <v>CL COB.JUD.P.RP CAP.TRAB                1ND</v>
          </cell>
        </row>
        <row r="8566">
          <cell r="B8566" t="str">
            <v>14060106000120</v>
          </cell>
          <cell r="C8566" t="str">
            <v>COB JUD REFINANCIADOS IC-CL             1ND</v>
          </cell>
        </row>
        <row r="8567">
          <cell r="B8567" t="str">
            <v>14060106000124</v>
          </cell>
          <cell r="C8567" t="str">
            <v>LPC COB.JUD.PAG.VAC RP VN .NCO          1ND</v>
          </cell>
        </row>
        <row r="8568">
          <cell r="B8568" t="str">
            <v>14060106000125</v>
          </cell>
          <cell r="C8568" t="str">
            <v>LPC COB.JUD.PAG.VAC RP INDX. .NCO       1ND</v>
          </cell>
        </row>
        <row r="8569">
          <cell r="B8569" t="str">
            <v>14060106000126</v>
          </cell>
          <cell r="C8569" t="str">
            <v>CL COB.JUD. CARTAS DE CREDITO           1ND</v>
          </cell>
        </row>
        <row r="8570">
          <cell r="B8570" t="str">
            <v>14060106010101</v>
          </cell>
          <cell r="C8570" t="str">
            <v>CL COB JUD PAG.TV REVOLVENTE            1ND</v>
          </cell>
        </row>
        <row r="8571">
          <cell r="B8571" t="str">
            <v>14060106010103</v>
          </cell>
          <cell r="C8571" t="str">
            <v>CL CJ MYP CAP TRAB COMERC REV           1ND</v>
          </cell>
        </row>
        <row r="8572">
          <cell r="B8572" t="str">
            <v>14060106020102</v>
          </cell>
          <cell r="C8572" t="str">
            <v>CL CJ MYP CAP TRAB COMERC               1ND</v>
          </cell>
        </row>
        <row r="8573">
          <cell r="B8573" t="str">
            <v>14060106020103</v>
          </cell>
          <cell r="C8573" t="str">
            <v>UCL CJ MYP COMP AF INMUEB COMERC        1ND</v>
          </cell>
        </row>
        <row r="8574">
          <cell r="B8574" t="str">
            <v>14060106020104</v>
          </cell>
          <cell r="C8574" t="str">
            <v>CL CJ MYP COMP AF MUEB COMERC           1ND</v>
          </cell>
        </row>
        <row r="8575">
          <cell r="B8575" t="str">
            <v>14060106020105</v>
          </cell>
          <cell r="C8575" t="str">
            <v>CL CJ MYP CRED ESTAC COMERC             1ND</v>
          </cell>
        </row>
        <row r="8576">
          <cell r="B8576" t="str">
            <v>14060106020106</v>
          </cell>
          <cell r="C8576" t="str">
            <v>CL CJ MYP AF CYBERPL COMERC             1ND</v>
          </cell>
        </row>
        <row r="8577">
          <cell r="B8577" t="str">
            <v>14060106090101</v>
          </cell>
          <cell r="C8577" t="str">
            <v>CL COB JUD PAG.TV NO REVOLVENTE         1ND</v>
          </cell>
        </row>
        <row r="8578">
          <cell r="B8578" t="str">
            <v>14060106090103</v>
          </cell>
          <cell r="C8578" t="str">
            <v>CL COB JUD CARTA FIANZA                 1ND</v>
          </cell>
        </row>
        <row r="8579">
          <cell r="B8579" t="str">
            <v>14060111000101</v>
          </cell>
          <cell r="C8579" t="str">
            <v>CL COB.JUD.LEASING PJ                   1ND</v>
          </cell>
        </row>
        <row r="8580">
          <cell r="B8580" t="str">
            <v>14060111000102</v>
          </cell>
          <cell r="C8580" t="str">
            <v>COB JUD ARREND FINANC PN-CL             1ND</v>
          </cell>
        </row>
        <row r="8581">
          <cell r="B8581" t="str">
            <v>14060111000103</v>
          </cell>
          <cell r="C8581" t="str">
            <v>LPC LEASING BIEN COB.JUD                1ND</v>
          </cell>
        </row>
        <row r="8582">
          <cell r="B8582" t="str">
            <v>14060116010101</v>
          </cell>
          <cell r="C8582" t="str">
            <v>BANCO CENTRAL DE RESERVA DEL PERU       1ND</v>
          </cell>
        </row>
        <row r="8583">
          <cell r="B8583" t="str">
            <v>14060116010102</v>
          </cell>
          <cell r="C8583" t="str">
            <v>BANCO DE LA NACIÓN                      1ND</v>
          </cell>
        </row>
        <row r="8584">
          <cell r="B8584" t="str">
            <v>14060116010103</v>
          </cell>
          <cell r="C8584" t="str">
            <v>BANCODE CREDITO DEL PERU                1ND</v>
          </cell>
        </row>
        <row r="8585">
          <cell r="B8585" t="str">
            <v>14060116010104</v>
          </cell>
          <cell r="C8585" t="str">
            <v>BANCO INTERNACIONAL DEL PERU - INTERBANK1ND</v>
          </cell>
        </row>
        <row r="8586">
          <cell r="B8586" t="str">
            <v>14060116010105</v>
          </cell>
          <cell r="C8586" t="str">
            <v>SCOTIABANK PERU S. A. A.                1ND</v>
          </cell>
        </row>
        <row r="8587">
          <cell r="B8587" t="str">
            <v>14060116010106</v>
          </cell>
          <cell r="C8587" t="str">
            <v>BANCO CONTINENTAL                       1ND</v>
          </cell>
        </row>
        <row r="8588">
          <cell r="B8588" t="str">
            <v>14060116010108</v>
          </cell>
          <cell r="C8588" t="str">
            <v>BANCO DE COMERCIO                       1ND</v>
          </cell>
        </row>
        <row r="8589">
          <cell r="B8589" t="str">
            <v>14060116010109</v>
          </cell>
          <cell r="C8589" t="str">
            <v>BANCO FINANCIERO DEL PERU               1ND</v>
          </cell>
        </row>
        <row r="8590">
          <cell r="B8590" t="str">
            <v>14060116010116</v>
          </cell>
          <cell r="C8590" t="str">
            <v>CITIBANK N. A. , SUCURSAL EN EL PERU DEL1ND</v>
          </cell>
        </row>
        <row r="8591">
          <cell r="B8591" t="str">
            <v>14060116010121</v>
          </cell>
          <cell r="C8591" t="str">
            <v>BANCO INTERAMERICANO DE FINANZAS - S. A.1ND</v>
          </cell>
        </row>
        <row r="8592">
          <cell r="B8592" t="str">
            <v>14060116010128</v>
          </cell>
          <cell r="C8592" t="str">
            <v>CORPORACIÓN FINANCIERA DE DESARROLLO S. 1ND</v>
          </cell>
        </row>
        <row r="8593">
          <cell r="B8593" t="str">
            <v>14060116010129</v>
          </cell>
          <cell r="C8593" t="str">
            <v>MIBANCO BANCO DE LA MICROEMPRESA - MIBAN1ND</v>
          </cell>
        </row>
        <row r="8594">
          <cell r="B8594" t="str">
            <v>14060116010131</v>
          </cell>
          <cell r="C8594" t="str">
            <v>BANCO AGROPECUARIO - AGROBANCO          1ND</v>
          </cell>
        </row>
        <row r="8595">
          <cell r="B8595" t="str">
            <v>14060116010132</v>
          </cell>
          <cell r="C8595" t="str">
            <v>HSBC BANK PERU S. A.                    1ND</v>
          </cell>
        </row>
        <row r="8596">
          <cell r="B8596" t="str">
            <v>14060116010133</v>
          </cell>
          <cell r="C8596" t="str">
            <v>BANCO FALABELLA DEL PERU                1ND</v>
          </cell>
        </row>
        <row r="8597">
          <cell r="B8597" t="str">
            <v>14060116010134</v>
          </cell>
          <cell r="C8597" t="str">
            <v>BANCO SANTANDER PERU S. A.              1ND</v>
          </cell>
        </row>
        <row r="8598">
          <cell r="B8598" t="str">
            <v>14060116010135</v>
          </cell>
          <cell r="C8598" t="str">
            <v>BANCO RIPLEY S. A.                      1ND</v>
          </cell>
        </row>
        <row r="8599">
          <cell r="B8599" t="str">
            <v>14060116010136</v>
          </cell>
          <cell r="C8599" t="str">
            <v>BANCO AZTECA DEL PERU S. A.             1ND</v>
          </cell>
        </row>
        <row r="8600">
          <cell r="B8600" t="str">
            <v>14060116010137</v>
          </cell>
          <cell r="C8600" t="str">
            <v>DEUTSCHE BANK (PERU) S. A.              1ND</v>
          </cell>
        </row>
        <row r="8601">
          <cell r="B8601" t="str">
            <v>14060116010199</v>
          </cell>
          <cell r="C8601" t="str">
            <v>BANCOS EN LIQUIDACIÓN                   1ND</v>
          </cell>
        </row>
        <row r="8602">
          <cell r="B8602" t="str">
            <v>14060116010203</v>
          </cell>
          <cell r="C8602" t="str">
            <v>SOLUCIÓN FINANCIERADE CREDITO DEL PERU  1ND</v>
          </cell>
        </row>
        <row r="8603">
          <cell r="B8603" t="str">
            <v>14060116010207</v>
          </cell>
          <cell r="C8603" t="str">
            <v>FINANCIERA TFC S. A.                    1ND</v>
          </cell>
        </row>
        <row r="8604">
          <cell r="B8604" t="str">
            <v>14060116010209</v>
          </cell>
          <cell r="C8604" t="str">
            <v>FINANCIERA EDYFICAR S. A.               1ND</v>
          </cell>
        </row>
        <row r="8605">
          <cell r="B8605" t="str">
            <v>14060116010210</v>
          </cell>
          <cell r="C8605" t="str">
            <v>CREDISCOTIA FINANCIERA S. A.            1ND</v>
          </cell>
        </row>
        <row r="8606">
          <cell r="B8606" t="str">
            <v>14060116010211</v>
          </cell>
          <cell r="C8606" t="str">
            <v>FINANCIERA CREAR S. A.                  1ND</v>
          </cell>
        </row>
        <row r="8607">
          <cell r="B8607" t="str">
            <v>14060116010212</v>
          </cell>
          <cell r="C8607" t="str">
            <v>FINANCIERA CONFIANZA S. A.              1ND</v>
          </cell>
        </row>
        <row r="8608">
          <cell r="B8608" t="str">
            <v>14060116010213</v>
          </cell>
          <cell r="C8608" t="str">
            <v>FINANCIERA UNIVERSAL S. A.              1ND</v>
          </cell>
        </row>
        <row r="8609">
          <cell r="B8609" t="str">
            <v>14060116010214</v>
          </cell>
          <cell r="C8609" t="str">
            <v>FINANCIERA UNO S. A.                    1ND</v>
          </cell>
        </row>
        <row r="8610">
          <cell r="B8610" t="str">
            <v>14060116010299</v>
          </cell>
          <cell r="C8610" t="str">
            <v>FINANCIERAS EN LIQUIDACIÓN              1ND</v>
          </cell>
        </row>
        <row r="8611">
          <cell r="B8611" t="str">
            <v>14060116010301</v>
          </cell>
          <cell r="C8611" t="str">
            <v>CAJA MUNICIPAL DE AHORRO YCREDITO DE SUL1ND</v>
          </cell>
        </row>
        <row r="8612">
          <cell r="B8612" t="str">
            <v>14060116010302</v>
          </cell>
          <cell r="C8612" t="str">
            <v>CAJA MUNICIPALDE CREDITO POPULAR DE LIMA1ND</v>
          </cell>
        </row>
        <row r="8613">
          <cell r="B8613" t="str">
            <v>14060116010303</v>
          </cell>
          <cell r="C8613" t="str">
            <v>CAJA MUNICIPAL DE AHORRO YCREDITO DE PIU1ND</v>
          </cell>
        </row>
        <row r="8614">
          <cell r="B8614" t="str">
            <v>14060116010304</v>
          </cell>
          <cell r="C8614" t="str">
            <v>CAJA MUNICIPAL DE AHORRO YCREDITO DE ARE1ND</v>
          </cell>
        </row>
        <row r="8615">
          <cell r="B8615" t="str">
            <v>14060116010305</v>
          </cell>
          <cell r="C8615" t="str">
            <v>CAJA MUNICIPAL DE AHORRO YCREDITO DE HUA1ND</v>
          </cell>
        </row>
        <row r="8616">
          <cell r="B8616" t="str">
            <v>14060116010306</v>
          </cell>
          <cell r="C8616" t="str">
            <v>CAJA MUNICIPAL DE AHORRO YCREDITO CUSCO 1ND</v>
          </cell>
        </row>
        <row r="8617">
          <cell r="B8617" t="str">
            <v>14060116010307</v>
          </cell>
          <cell r="C8617" t="str">
            <v>CAJA MUNICIPAL DE AHORRO YCREDITO DE MAY1ND</v>
          </cell>
        </row>
        <row r="8618">
          <cell r="B8618" t="str">
            <v>14060116010308</v>
          </cell>
          <cell r="C8618" t="str">
            <v>CAJA MUNICIPAL DE AHORRO YCREDITO DE ICA1ND</v>
          </cell>
        </row>
        <row r="8619">
          <cell r="B8619" t="str">
            <v>14060116010309</v>
          </cell>
          <cell r="C8619" t="str">
            <v>CAJA MUNICIPAL DE AHORRO YCREDITO DE PAI1ND</v>
          </cell>
        </row>
        <row r="8620">
          <cell r="B8620" t="str">
            <v>14060116010310</v>
          </cell>
          <cell r="C8620" t="str">
            <v>CAJA MUNICIPAL DE AHORRO YCREDITO DEL SA1ND</v>
          </cell>
        </row>
        <row r="8621">
          <cell r="B8621" t="str">
            <v>14060116010311</v>
          </cell>
          <cell r="C8621" t="str">
            <v>CAJA MUNICIPAL DE AHORRO YCREDITO DE TRU1ND</v>
          </cell>
        </row>
        <row r="8622">
          <cell r="B8622" t="str">
            <v>14060116010312</v>
          </cell>
          <cell r="C8622" t="str">
            <v>CAJA MUNICIPAL DE AHORRO YCREDITO DE TAC1ND</v>
          </cell>
        </row>
        <row r="8623">
          <cell r="B8623" t="str">
            <v>14060116010313</v>
          </cell>
          <cell r="C8623" t="str">
            <v>CAJA MUNICIPAL DE AHORRO YCREDITO DE PIS1ND</v>
          </cell>
        </row>
        <row r="8624">
          <cell r="B8624" t="str">
            <v>14060116010399</v>
          </cell>
          <cell r="C8624" t="str">
            <v>CAJAS MUNICIPALES DE AHORRO YCREDITO EN 1ND</v>
          </cell>
        </row>
        <row r="8625">
          <cell r="B8625" t="str">
            <v>14060116010403</v>
          </cell>
          <cell r="C8625" t="str">
            <v>CAJA RURAL DE AHORRO YCREDITO QUILLABAMB1ND</v>
          </cell>
        </row>
        <row r="8626">
          <cell r="B8626" t="str">
            <v>14060116010405</v>
          </cell>
          <cell r="C8626" t="str">
            <v>CAJA RURAL DE AHORRO YCREDITO LOS LIBERT1ND</v>
          </cell>
        </row>
        <row r="8627">
          <cell r="B8627" t="str">
            <v>14060116010406</v>
          </cell>
          <cell r="C8627" t="str">
            <v>CAJA RURAL DE AHORRO YCREDITO SEÑOR DE L1ND</v>
          </cell>
        </row>
        <row r="8628">
          <cell r="B8628" t="str">
            <v>14060116010407</v>
          </cell>
          <cell r="C8628" t="str">
            <v>CAJA RURAL DE AHORRO YCREDITO CHAVÍN S. 1ND</v>
          </cell>
        </row>
        <row r="8629">
          <cell r="B8629" t="str">
            <v>14060116010408</v>
          </cell>
          <cell r="C8629" t="str">
            <v>CAJA RURAL DE AHORRO YCREDITO NUESTRA GE1ND</v>
          </cell>
        </row>
        <row r="8630">
          <cell r="B8630" t="str">
            <v>14060116010409</v>
          </cell>
          <cell r="C8630" t="str">
            <v>CAJA RURAL DE AHORRO YCREDITO CAJAMARCA 1ND</v>
          </cell>
        </row>
        <row r="8631">
          <cell r="B8631" t="str">
            <v>14060116010410</v>
          </cell>
          <cell r="C8631" t="str">
            <v>CAJA RURAL DE AHORRO YCREDITO PROFINANZA1ND</v>
          </cell>
        </row>
        <row r="8632">
          <cell r="B8632" t="str">
            <v>14060116010412</v>
          </cell>
          <cell r="C8632" t="str">
            <v>CAJA RURAL DE AHORRO YCREDITO SIPÁN S. A1ND</v>
          </cell>
        </row>
        <row r="8633">
          <cell r="B8633" t="str">
            <v>14060116010414</v>
          </cell>
          <cell r="C8633" t="str">
            <v>CAJA RURAL DE AHORRO YCREDITO PRYMERA S.1ND</v>
          </cell>
        </row>
        <row r="8634">
          <cell r="B8634" t="str">
            <v>14060116010415</v>
          </cell>
          <cell r="C8634" t="str">
            <v>CAJA RURAL DE AHORRO YCREDITO LOS ANDES 1ND</v>
          </cell>
        </row>
        <row r="8635">
          <cell r="B8635" t="str">
            <v>14060116010499</v>
          </cell>
          <cell r="C8635" t="str">
            <v>CAJAS RURALES DE AHORRO YCREDITO EN LIQU1ND</v>
          </cell>
        </row>
        <row r="8636">
          <cell r="B8636" t="str">
            <v>14060116010503</v>
          </cell>
          <cell r="C8636" t="str">
            <v>PROEMPRESA S. A.                        1ND</v>
          </cell>
        </row>
        <row r="8637">
          <cell r="B8637" t="str">
            <v>14060116010506</v>
          </cell>
          <cell r="C8637" t="str">
            <v>NUEVA VISIÓN S. A.                      1ND</v>
          </cell>
        </row>
        <row r="8638">
          <cell r="B8638" t="str">
            <v>14060116010508</v>
          </cell>
          <cell r="C8638" t="str">
            <v>RAIZ S. A.                              1ND</v>
          </cell>
        </row>
        <row r="8639">
          <cell r="B8639" t="str">
            <v>14060116010510</v>
          </cell>
          <cell r="C8639" t="str">
            <v>SOLIDARIDAD S. A.                       1ND</v>
          </cell>
        </row>
        <row r="8640">
          <cell r="B8640" t="str">
            <v>14060116010511</v>
          </cell>
          <cell r="C8640" t="str">
            <v>CREDIVISIÓN S. A.                       1ND</v>
          </cell>
        </row>
        <row r="8641">
          <cell r="B8641" t="str">
            <v>14060116010512</v>
          </cell>
          <cell r="C8641" t="str">
            <v>ACCESO CREDITICIO S. A.                 1ND</v>
          </cell>
        </row>
        <row r="8642">
          <cell r="B8642" t="str">
            <v>14060116010514</v>
          </cell>
          <cell r="C8642" t="str">
            <v>ALTERNATIVA S. A.                       1ND</v>
          </cell>
        </row>
        <row r="8643">
          <cell r="B8643" t="str">
            <v>14060116010515</v>
          </cell>
          <cell r="C8643" t="str">
            <v>PRONEGOCIOS S. A.                       1ND</v>
          </cell>
        </row>
        <row r="8644">
          <cell r="B8644" t="str">
            <v>14060116010516</v>
          </cell>
          <cell r="C8644" t="str">
            <v>MICASITA S. A.                          1ND</v>
          </cell>
        </row>
        <row r="8645">
          <cell r="B8645" t="str">
            <v>14060116010517</v>
          </cell>
          <cell r="C8645" t="str">
            <v>CREDIJET DEL PERU S. A.                 1ND</v>
          </cell>
        </row>
        <row r="8646">
          <cell r="B8646" t="str">
            <v>14060116010599</v>
          </cell>
          <cell r="C8646" t="str">
            <v>EDPYMES EN LIQUIDACIÓN                  1ND</v>
          </cell>
        </row>
        <row r="8647">
          <cell r="B8647" t="str">
            <v>14060116010710</v>
          </cell>
          <cell r="C8647" t="str">
            <v>LEASING TOTAL S. A.                     1ND</v>
          </cell>
        </row>
        <row r="8648">
          <cell r="B8648" t="str">
            <v>14060116010711</v>
          </cell>
          <cell r="C8648" t="str">
            <v>MITSUI - MASA LEASING S. A.             1ND</v>
          </cell>
        </row>
        <row r="8649">
          <cell r="B8649" t="str">
            <v>14060116010799</v>
          </cell>
          <cell r="C8649" t="str">
            <v>LEASING EN LIQUIDACIÓN                  1ND</v>
          </cell>
        </row>
        <row r="8650">
          <cell r="B8650" t="str">
            <v>14060116010801</v>
          </cell>
          <cell r="C8650" t="str">
            <v>FONDO DE GARANTÍA PARA PRSTAMOS A LA PEQ1ND</v>
          </cell>
        </row>
        <row r="8651">
          <cell r="B8651" t="str">
            <v>14060116010901</v>
          </cell>
          <cell r="C8651" t="str">
            <v>ALMACENERA DEL PERU S. A. ALMA - PERU   1ND</v>
          </cell>
        </row>
        <row r="8652">
          <cell r="B8652" t="str">
            <v>14060116010902</v>
          </cell>
          <cell r="C8652" t="str">
            <v>DEPÓSITOS S. A.                         1ND</v>
          </cell>
        </row>
        <row r="8653">
          <cell r="B8653" t="str">
            <v>14060116010903</v>
          </cell>
          <cell r="C8653" t="str">
            <v>COMPAÑÍA ALMACENERA S. A. CASA          1ND</v>
          </cell>
        </row>
        <row r="8654">
          <cell r="B8654" t="str">
            <v>14060116010904</v>
          </cell>
          <cell r="C8654" t="str">
            <v>ALMACENES FINANCIEROS S. A.             1ND</v>
          </cell>
        </row>
        <row r="8655">
          <cell r="B8655" t="str">
            <v>14060116010999</v>
          </cell>
          <cell r="C8655" t="str">
            <v>ALMACENES EN LIQUIDACIÓN                1ND</v>
          </cell>
        </row>
        <row r="8656">
          <cell r="B8656" t="str">
            <v>14060116011001</v>
          </cell>
          <cell r="C8656" t="str">
            <v>RÍMAC INTERNACIONAL COMPAÑÍA DE SEGUROS 1ND</v>
          </cell>
        </row>
        <row r="8657">
          <cell r="B8657" t="str">
            <v>14060116011004</v>
          </cell>
          <cell r="C8657" t="str">
            <v>PACÍFICO PERUANO SUIZA COMPAÑÍA DE SEGUR1ND</v>
          </cell>
        </row>
        <row r="8658">
          <cell r="B8658" t="str">
            <v>14060116011005</v>
          </cell>
          <cell r="C8658" t="str">
            <v>LA POSITIVA COMPAÑÍA DE SEGUROS         1ND</v>
          </cell>
        </row>
        <row r="8659">
          <cell r="B8659" t="str">
            <v>14060116011009</v>
          </cell>
          <cell r="C8659" t="str">
            <v>SECREX COMPAÑÍA DE SEGUROS DE  Y GARANTÍ1ND</v>
          </cell>
        </row>
        <row r="8660">
          <cell r="B8660" t="str">
            <v>14060116011012</v>
          </cell>
          <cell r="C8660" t="str">
            <v>MAPFRE PERU COMPAÑÍA DE SEGUROS Y REASEG1ND</v>
          </cell>
        </row>
        <row r="8661">
          <cell r="B8661" t="str">
            <v>14060116011013</v>
          </cell>
          <cell r="C8661" t="str">
            <v>EL PACÍFICO VIDA COMPAÑÍA DE SEGUROS Y R1ND</v>
          </cell>
        </row>
        <row r="8662">
          <cell r="B8662" t="str">
            <v>14060116011015</v>
          </cell>
          <cell r="C8662" t="str">
            <v>INTERSEGURO COMPAÑÍA DE SEGUROS S. A.   1ND</v>
          </cell>
        </row>
        <row r="8663">
          <cell r="B8663" t="str">
            <v>14060116011016</v>
          </cell>
          <cell r="C8663" t="str">
            <v>MAPFRE PERU VIDA COMPAÑÍA DE SEGUROS    1ND</v>
          </cell>
        </row>
        <row r="8664">
          <cell r="B8664" t="str">
            <v>14060116011017</v>
          </cell>
          <cell r="C8664" t="str">
            <v>ACE SEGUROS S. A.                       1ND</v>
          </cell>
        </row>
        <row r="8665">
          <cell r="B8665" t="str">
            <v>14060116011018</v>
          </cell>
          <cell r="C8665" t="str">
            <v>INVITA SEGUROS DE VIDA                  1ND</v>
          </cell>
        </row>
        <row r="8666">
          <cell r="B8666" t="str">
            <v>14060116011020</v>
          </cell>
          <cell r="C8666" t="str">
            <v>LA POSITIVA VIDA SEGUROS Y REASEUROS S. 1ND</v>
          </cell>
        </row>
        <row r="8667">
          <cell r="B8667" t="str">
            <v>14060116011021</v>
          </cell>
          <cell r="C8667" t="str">
            <v>CARDIF DEL PERU S. A. COMPAÑÍA DE SEGURO1ND</v>
          </cell>
        </row>
        <row r="8668">
          <cell r="B8668" t="str">
            <v>14060116011022</v>
          </cell>
          <cell r="C8668" t="str">
            <v>INSUR COMPAÑÍA DE SEGUROS S. A.         1ND</v>
          </cell>
        </row>
        <row r="8669">
          <cell r="B8669" t="str">
            <v>14060116011023</v>
          </cell>
          <cell r="C8669" t="str">
            <v>PROTECTA COMPAÑÍA DE SEGUROS Y REASEGURO1ND</v>
          </cell>
        </row>
        <row r="8670">
          <cell r="B8670" t="str">
            <v>14060116011099</v>
          </cell>
          <cell r="C8670" t="str">
            <v>SEGUROS EN LIQUIDACIÓN                  1ND</v>
          </cell>
        </row>
        <row r="8671">
          <cell r="B8671" t="str">
            <v>14060116011301</v>
          </cell>
          <cell r="C8671" t="str">
            <v>LA FIDUCIARIA S. A.                     1ND</v>
          </cell>
        </row>
        <row r="8672">
          <cell r="B8672" t="str">
            <v>14060116011401</v>
          </cell>
          <cell r="C8672" t="str">
            <v>FONDO MIVIVIENDA S. A.                  1ND</v>
          </cell>
        </row>
        <row r="8673">
          <cell r="B8673" t="str">
            <v>14060116011501</v>
          </cell>
          <cell r="C8673" t="str">
            <v>AMRICA FACTORING S. A.                  1ND</v>
          </cell>
        </row>
        <row r="8674">
          <cell r="B8674" t="str">
            <v>14060116011601</v>
          </cell>
          <cell r="C8674" t="str">
            <v>INCASA S. A.                            1ND</v>
          </cell>
        </row>
        <row r="8675">
          <cell r="B8675" t="str">
            <v>14060116020101</v>
          </cell>
          <cell r="C8675" t="str">
            <v>BANCO CENTRAL DE RESERVA DEL PERU       1ND</v>
          </cell>
        </row>
        <row r="8676">
          <cell r="B8676" t="str">
            <v>14060116020102</v>
          </cell>
          <cell r="C8676" t="str">
            <v>BANCO DE LA NACIÓN                      1ND</v>
          </cell>
        </row>
        <row r="8677">
          <cell r="B8677" t="str">
            <v>14060116020103</v>
          </cell>
          <cell r="C8677" t="str">
            <v>BANCODE CREDITO DEL PERU                1ND</v>
          </cell>
        </row>
        <row r="8678">
          <cell r="B8678" t="str">
            <v>14060116020104</v>
          </cell>
          <cell r="C8678" t="str">
            <v>BANCO INTERNACIONAL DEL PERU - INTERBANK1ND</v>
          </cell>
        </row>
        <row r="8679">
          <cell r="B8679" t="str">
            <v>14060116020105</v>
          </cell>
          <cell r="C8679" t="str">
            <v>SCOTIABANK PERU S. A. A.                1ND</v>
          </cell>
        </row>
        <row r="8680">
          <cell r="B8680" t="str">
            <v>14060116020106</v>
          </cell>
          <cell r="C8680" t="str">
            <v>BANCO CONTINENTAL                       1ND</v>
          </cell>
        </row>
        <row r="8681">
          <cell r="B8681" t="str">
            <v>14060116020108</v>
          </cell>
          <cell r="C8681" t="str">
            <v>BANCO DE COMERCIO                       1ND</v>
          </cell>
        </row>
        <row r="8682">
          <cell r="B8682" t="str">
            <v>14060116020109</v>
          </cell>
          <cell r="C8682" t="str">
            <v>BANCO FINANCIERO DEL PERU               1ND</v>
          </cell>
        </row>
        <row r="8683">
          <cell r="B8683" t="str">
            <v>14060116020116</v>
          </cell>
          <cell r="C8683" t="str">
            <v>CITIBANK N. A. , SUCURSAL EN EL PERU DEL1ND</v>
          </cell>
        </row>
        <row r="8684">
          <cell r="B8684" t="str">
            <v>14060116020121</v>
          </cell>
          <cell r="C8684" t="str">
            <v>BANCO INTERAMERICANO DE FINANZAS - S. A.1ND</v>
          </cell>
        </row>
        <row r="8685">
          <cell r="B8685" t="str">
            <v>14060116020128</v>
          </cell>
          <cell r="C8685" t="str">
            <v>CORPORACIÓN FINANCIERA DE DESARROLLO S. 1ND</v>
          </cell>
        </row>
        <row r="8686">
          <cell r="B8686" t="str">
            <v>14060116020129</v>
          </cell>
          <cell r="C8686" t="str">
            <v>MIBANCO BANCO DE LA MICROEMPRESA - MIBAN1ND</v>
          </cell>
        </row>
        <row r="8687">
          <cell r="B8687" t="str">
            <v>14060116020131</v>
          </cell>
          <cell r="C8687" t="str">
            <v>BANCO AGROPECUARIO - AGROBANCO          1ND</v>
          </cell>
        </row>
        <row r="8688">
          <cell r="B8688" t="str">
            <v>14060116020132</v>
          </cell>
          <cell r="C8688" t="str">
            <v>HSBC BANK PERU S. A.                    1ND</v>
          </cell>
        </row>
        <row r="8689">
          <cell r="B8689" t="str">
            <v>14060116020133</v>
          </cell>
          <cell r="C8689" t="str">
            <v>BANCO FALABELLA DEL PERU                1ND</v>
          </cell>
        </row>
        <row r="8690">
          <cell r="B8690" t="str">
            <v>14060116020134</v>
          </cell>
          <cell r="C8690" t="str">
            <v>BANCO SANTANDER PERU S. A.              1ND</v>
          </cell>
        </row>
        <row r="8691">
          <cell r="B8691" t="str">
            <v>14060116020135</v>
          </cell>
          <cell r="C8691" t="str">
            <v>BANCO RIPLEY S. A.                      1ND</v>
          </cell>
        </row>
        <row r="8692">
          <cell r="B8692" t="str">
            <v>14060116020136</v>
          </cell>
          <cell r="C8692" t="str">
            <v>BANCO AZTECA DEL PERU S. A.             1ND</v>
          </cell>
        </row>
        <row r="8693">
          <cell r="B8693" t="str">
            <v>14060116020137</v>
          </cell>
          <cell r="C8693" t="str">
            <v>DEUTSCHE BANK (PERU) S. A.              1ND</v>
          </cell>
        </row>
        <row r="8694">
          <cell r="B8694" t="str">
            <v>14060116020199</v>
          </cell>
          <cell r="C8694" t="str">
            <v>BANCOS EN LIQUIDACIÓN                   1ND</v>
          </cell>
        </row>
        <row r="8695">
          <cell r="B8695" t="str">
            <v>14060116020203</v>
          </cell>
          <cell r="C8695" t="str">
            <v>SOLUCIÓN FINANCIERADE CREDITO DEL PERU  1ND</v>
          </cell>
        </row>
        <row r="8696">
          <cell r="B8696" t="str">
            <v>14060116020207</v>
          </cell>
          <cell r="C8696" t="str">
            <v>FINANCIERA TFC S. A.                    1ND</v>
          </cell>
        </row>
        <row r="8697">
          <cell r="B8697" t="str">
            <v>14060116020209</v>
          </cell>
          <cell r="C8697" t="str">
            <v>FINANCIERA EDYFICAR S. A.               1ND</v>
          </cell>
        </row>
        <row r="8698">
          <cell r="B8698" t="str">
            <v>14060116020210</v>
          </cell>
          <cell r="C8698" t="str">
            <v>CREDISCOTIA FINANCIERA S. A.            1ND</v>
          </cell>
        </row>
        <row r="8699">
          <cell r="B8699" t="str">
            <v>14060116020211</v>
          </cell>
          <cell r="C8699" t="str">
            <v>FINANCIERA CREAR S. A.                  1ND</v>
          </cell>
        </row>
        <row r="8700">
          <cell r="B8700" t="str">
            <v>14060116020212</v>
          </cell>
          <cell r="C8700" t="str">
            <v>FINANCIERA CONFIANZA S. A.              1ND</v>
          </cell>
        </row>
        <row r="8701">
          <cell r="B8701" t="str">
            <v>14060116020213</v>
          </cell>
          <cell r="C8701" t="str">
            <v>FINANCIERA UNIVERSAL S. A.              1ND</v>
          </cell>
        </row>
        <row r="8702">
          <cell r="B8702" t="str">
            <v>14060116020214</v>
          </cell>
          <cell r="C8702" t="str">
            <v>FINANCIERA UNO S. A.                    1ND</v>
          </cell>
        </row>
        <row r="8703">
          <cell r="B8703" t="str">
            <v>14060116020299</v>
          </cell>
          <cell r="C8703" t="str">
            <v>FINANCIERAS EN LIQUIDACIÓN              1ND</v>
          </cell>
        </row>
        <row r="8704">
          <cell r="B8704" t="str">
            <v>14060116020301</v>
          </cell>
          <cell r="C8704" t="str">
            <v>CAJA MUNICIPAL DE AHORRO YCREDITO DE SUL1ND</v>
          </cell>
        </row>
        <row r="8705">
          <cell r="B8705" t="str">
            <v>14060116020302</v>
          </cell>
          <cell r="C8705" t="str">
            <v>CAJA MUNICIPALDE CREDITO POPULAR DE LIMA1ND</v>
          </cell>
        </row>
        <row r="8706">
          <cell r="B8706" t="str">
            <v>14060116020303</v>
          </cell>
          <cell r="C8706" t="str">
            <v>CAJA MUNICIPAL DE AHORRO YCREDITO DE PIU1ND</v>
          </cell>
        </row>
        <row r="8707">
          <cell r="B8707" t="str">
            <v>14060116020304</v>
          </cell>
          <cell r="C8707" t="str">
            <v>CAJA MUNICIPAL DE AHORRO YCREDITO DE ARE1ND</v>
          </cell>
        </row>
        <row r="8708">
          <cell r="B8708" t="str">
            <v>14060116020305</v>
          </cell>
          <cell r="C8708" t="str">
            <v>CAJA MUNICIPAL DE AHORRO YCREDITO DE HUA1ND</v>
          </cell>
        </row>
        <row r="8709">
          <cell r="B8709" t="str">
            <v>14060116020306</v>
          </cell>
          <cell r="C8709" t="str">
            <v>CAJA MUNICIPAL DE AHORRO YCREDITO CUSCO 1ND</v>
          </cell>
        </row>
        <row r="8710">
          <cell r="B8710" t="str">
            <v>14060116020307</v>
          </cell>
          <cell r="C8710" t="str">
            <v>CAJA MUNICIPAL DE AHORRO YCREDITO DE MAY1ND</v>
          </cell>
        </row>
        <row r="8711">
          <cell r="B8711" t="str">
            <v>14060116020308</v>
          </cell>
          <cell r="C8711" t="str">
            <v>CAJA MUNICIPAL DE AHORRO YCREDITO DE ICA1ND</v>
          </cell>
        </row>
        <row r="8712">
          <cell r="B8712" t="str">
            <v>14060116020309</v>
          </cell>
          <cell r="C8712" t="str">
            <v>CAJA MUNICIPAL DE AHORRO YCREDITO DE PAI1ND</v>
          </cell>
        </row>
        <row r="8713">
          <cell r="B8713" t="str">
            <v>14060116020310</v>
          </cell>
          <cell r="C8713" t="str">
            <v>CAJA MUNICIPAL DE AHORRO YCREDITO DEL SA1ND</v>
          </cell>
        </row>
        <row r="8714">
          <cell r="B8714" t="str">
            <v>14060116020311</v>
          </cell>
          <cell r="C8714" t="str">
            <v>CAJA MUNICIPAL DE AHORRO YCREDITO DE TRU1ND</v>
          </cell>
        </row>
        <row r="8715">
          <cell r="B8715" t="str">
            <v>14060116020312</v>
          </cell>
          <cell r="C8715" t="str">
            <v>CAJA MUNICIPAL DE AHORRO YCREDITO DE TAC1ND</v>
          </cell>
        </row>
        <row r="8716">
          <cell r="B8716" t="str">
            <v>14060116020313</v>
          </cell>
          <cell r="C8716" t="str">
            <v>CAJA MUNICIPAL DE AHORRO YCREDITO DE PIS1ND</v>
          </cell>
        </row>
        <row r="8717">
          <cell r="B8717" t="str">
            <v>14060116020399</v>
          </cell>
          <cell r="C8717" t="str">
            <v>CAJAS MUNICIPALES DE AHORRO YCREDITO EN 1ND</v>
          </cell>
        </row>
        <row r="8718">
          <cell r="B8718" t="str">
            <v>14060116020403</v>
          </cell>
          <cell r="C8718" t="str">
            <v>CAJA RURAL DE AHORRO YCREDITO QUILLABAMB1ND</v>
          </cell>
        </row>
        <row r="8719">
          <cell r="B8719" t="str">
            <v>14060116020405</v>
          </cell>
          <cell r="C8719" t="str">
            <v>CAJA RURAL DE AHORRO YCREDITO LOS LIBERT1ND</v>
          </cell>
        </row>
        <row r="8720">
          <cell r="B8720" t="str">
            <v>14060116020406</v>
          </cell>
          <cell r="C8720" t="str">
            <v>CAJA RURAL DE AHORRO YCREDITO SEÑOR DE L1ND</v>
          </cell>
        </row>
        <row r="8721">
          <cell r="B8721" t="str">
            <v>14060116020407</v>
          </cell>
          <cell r="C8721" t="str">
            <v>CAJA RURAL DE AHORRO YCREDITO CHAVÍN S. 1ND</v>
          </cell>
        </row>
        <row r="8722">
          <cell r="B8722" t="str">
            <v>14060116020408</v>
          </cell>
          <cell r="C8722" t="str">
            <v>CAJA RURAL DE AHORRO YCREDITO NUESTRA GE1ND</v>
          </cell>
        </row>
        <row r="8723">
          <cell r="B8723" t="str">
            <v>14060116020409</v>
          </cell>
          <cell r="C8723" t="str">
            <v>CAJA RURAL DE AHORRO YCREDITO CAJAMARCA 1ND</v>
          </cell>
        </row>
        <row r="8724">
          <cell r="B8724" t="str">
            <v>14060116020410</v>
          </cell>
          <cell r="C8724" t="str">
            <v>CAJA RURAL DE AHORRO YCREDITO PROFINANZA1ND</v>
          </cell>
        </row>
        <row r="8725">
          <cell r="B8725" t="str">
            <v>14060116020412</v>
          </cell>
          <cell r="C8725" t="str">
            <v>CAJA RURAL DE AHORRO YCREDITO SIPÁN S. A1ND</v>
          </cell>
        </row>
        <row r="8726">
          <cell r="B8726" t="str">
            <v>14060116020414</v>
          </cell>
          <cell r="C8726" t="str">
            <v>CAJA RURAL DE AHORRO YCREDITO PRYMERA S.1ND</v>
          </cell>
        </row>
        <row r="8727">
          <cell r="B8727" t="str">
            <v>14060116020415</v>
          </cell>
          <cell r="C8727" t="str">
            <v>CAJA RURAL DE AHORRO YCREDITO LOS ANDES 1ND</v>
          </cell>
        </row>
        <row r="8728">
          <cell r="B8728" t="str">
            <v>14060116020499</v>
          </cell>
          <cell r="C8728" t="str">
            <v>CAJAS RURALES DE AHORRO YCREDITO EN LIQU1ND</v>
          </cell>
        </row>
        <row r="8729">
          <cell r="B8729" t="str">
            <v>14060116020503</v>
          </cell>
          <cell r="C8729" t="str">
            <v>PROEMPRESA S. A.                        1ND</v>
          </cell>
        </row>
        <row r="8730">
          <cell r="B8730" t="str">
            <v>14060116020506</v>
          </cell>
          <cell r="C8730" t="str">
            <v>NUEVA VISIÓN S. A.                      1ND</v>
          </cell>
        </row>
        <row r="8731">
          <cell r="B8731" t="str">
            <v>14060116020508</v>
          </cell>
          <cell r="C8731" t="str">
            <v>RAIZ S. A.                              1ND</v>
          </cell>
        </row>
        <row r="8732">
          <cell r="B8732" t="str">
            <v>14060116020510</v>
          </cell>
          <cell r="C8732" t="str">
            <v>SOLIDARIDAD S. A.                       1ND</v>
          </cell>
        </row>
        <row r="8733">
          <cell r="B8733" t="str">
            <v>14060116020511</v>
          </cell>
          <cell r="C8733" t="str">
            <v>CREDIVISIÓN S. A.                       1ND</v>
          </cell>
        </row>
        <row r="8734">
          <cell r="B8734" t="str">
            <v>14060116020512</v>
          </cell>
          <cell r="C8734" t="str">
            <v>ACCESO CREDITICIO S. A.                 1ND</v>
          </cell>
        </row>
        <row r="8735">
          <cell r="B8735" t="str">
            <v>14060116020514</v>
          </cell>
          <cell r="C8735" t="str">
            <v>ALTERNATIVA S. A.                       1ND</v>
          </cell>
        </row>
        <row r="8736">
          <cell r="B8736" t="str">
            <v>14060116020515</v>
          </cell>
          <cell r="C8736" t="str">
            <v>PRONEGOCIOS S. A.                       1ND</v>
          </cell>
        </row>
        <row r="8737">
          <cell r="B8737" t="str">
            <v>14060116020516</v>
          </cell>
          <cell r="C8737" t="str">
            <v>MICASITA S. A.                          1ND</v>
          </cell>
        </row>
        <row r="8738">
          <cell r="B8738" t="str">
            <v>14060116020517</v>
          </cell>
          <cell r="C8738" t="str">
            <v>CREDIJET DEL PERU S. A.                 1ND</v>
          </cell>
        </row>
        <row r="8739">
          <cell r="B8739" t="str">
            <v>14060116020599</v>
          </cell>
          <cell r="C8739" t="str">
            <v>EDPYMES EN LIQUIDACIÓN                  1ND</v>
          </cell>
        </row>
        <row r="8740">
          <cell r="B8740" t="str">
            <v>14060116020710</v>
          </cell>
          <cell r="C8740" t="str">
            <v>LEASING TOTAL S. A.                     1ND</v>
          </cell>
        </row>
        <row r="8741">
          <cell r="B8741" t="str">
            <v>14060116020711</v>
          </cell>
          <cell r="C8741" t="str">
            <v>MITSUI - MASA LEASING S. A.             1ND</v>
          </cell>
        </row>
        <row r="8742">
          <cell r="B8742" t="str">
            <v>14060116020799</v>
          </cell>
          <cell r="C8742" t="str">
            <v>LEASING EN LIQUIDACIÓN                  1ND</v>
          </cell>
        </row>
        <row r="8743">
          <cell r="B8743" t="str">
            <v>14060116020801</v>
          </cell>
          <cell r="C8743" t="str">
            <v>FONDO DE GARANTÍA PARA PRSTAMOS A LA PEQ1ND</v>
          </cell>
        </row>
        <row r="8744">
          <cell r="B8744" t="str">
            <v>14060116021001</v>
          </cell>
          <cell r="C8744" t="str">
            <v>RÍMAC INTERNACIONAL COMPAÑÍA DE SEGUROS 1ND</v>
          </cell>
        </row>
        <row r="8745">
          <cell r="B8745" t="str">
            <v>14060116021004</v>
          </cell>
          <cell r="C8745" t="str">
            <v>PACÍFICO PERUANO SUIZA COMPAÑÍA DE SEGUR1ND</v>
          </cell>
        </row>
        <row r="8746">
          <cell r="B8746" t="str">
            <v>14060116021005</v>
          </cell>
          <cell r="C8746" t="str">
            <v>LA POSITIVA COMPAÑÍA DE SEGUROS         1ND</v>
          </cell>
        </row>
        <row r="8747">
          <cell r="B8747" t="str">
            <v>14060116021009</v>
          </cell>
          <cell r="C8747" t="str">
            <v>SECREX COMPAÑÍA DE SEGUROS DE  Y GARANTÍ1ND</v>
          </cell>
        </row>
        <row r="8748">
          <cell r="B8748" t="str">
            <v>14060116021012</v>
          </cell>
          <cell r="C8748" t="str">
            <v>MAPFRE PERU COMPAÑÍA DE SEGUROS Y REASEG1ND</v>
          </cell>
        </row>
        <row r="8749">
          <cell r="B8749" t="str">
            <v>14060116021013</v>
          </cell>
          <cell r="C8749" t="str">
            <v>EL PACÍFICO VIDA COMPAÑÍA DE SEGUROS Y R1ND</v>
          </cell>
        </row>
        <row r="8750">
          <cell r="B8750" t="str">
            <v>14060116021015</v>
          </cell>
          <cell r="C8750" t="str">
            <v>INTERSEGURO COMPAÑÍA DE SEGUROS S. A.   1ND</v>
          </cell>
        </row>
        <row r="8751">
          <cell r="B8751" t="str">
            <v>14060116021016</v>
          </cell>
          <cell r="C8751" t="str">
            <v>MAPFRE PERU VIDA COMPAÑÍA DE SEGUROS    1ND</v>
          </cell>
        </row>
        <row r="8752">
          <cell r="B8752" t="str">
            <v>14060116021017</v>
          </cell>
          <cell r="C8752" t="str">
            <v>ACE SEGUROS S. A.                       1ND</v>
          </cell>
        </row>
        <row r="8753">
          <cell r="B8753" t="str">
            <v>14060116021018</v>
          </cell>
          <cell r="C8753" t="str">
            <v>INVITA SEGUROS DE VIDA                  1ND</v>
          </cell>
        </row>
        <row r="8754">
          <cell r="B8754" t="str">
            <v>14060116021020</v>
          </cell>
          <cell r="C8754" t="str">
            <v>LA POSITIVA VIDA SEGUROS Y REASEUROS S. 1ND</v>
          </cell>
        </row>
        <row r="8755">
          <cell r="B8755" t="str">
            <v>14060116021021</v>
          </cell>
          <cell r="C8755" t="str">
            <v>CARDIF DEL PERU S. A. COMPAÑÍA DE SEGURO1ND</v>
          </cell>
        </row>
        <row r="8756">
          <cell r="B8756" t="str">
            <v>14060116021022</v>
          </cell>
          <cell r="C8756" t="str">
            <v>INSUR COMPAÑÍA DE SEGUROS S. A.         1ND</v>
          </cell>
        </row>
        <row r="8757">
          <cell r="B8757" t="str">
            <v>14060116021023</v>
          </cell>
          <cell r="C8757" t="str">
            <v>PROTECTA COMPAÑÍA DE SEGUROS Y REASEGURO1ND</v>
          </cell>
        </row>
        <row r="8758">
          <cell r="B8758" t="str">
            <v>14060116021099</v>
          </cell>
          <cell r="C8758" t="str">
            <v>SEGUROS EN LIQUIDACIÓN                  1ND</v>
          </cell>
        </row>
        <row r="8759">
          <cell r="B8759" t="str">
            <v>14060116021301</v>
          </cell>
          <cell r="C8759" t="str">
            <v>LA FIDUCIARIA S. A.                     1ND</v>
          </cell>
        </row>
        <row r="8760">
          <cell r="B8760" t="str">
            <v>14060116021302</v>
          </cell>
          <cell r="C8760" t="str">
            <v>FIDUCIARIA GBC S. A.                    1ND</v>
          </cell>
        </row>
        <row r="8761">
          <cell r="B8761" t="str">
            <v>14060116021401</v>
          </cell>
          <cell r="C8761" t="str">
            <v>FONDO MIVIVIENDA S. A.                  1ND</v>
          </cell>
        </row>
        <row r="8762">
          <cell r="B8762" t="str">
            <v>14060116021501</v>
          </cell>
          <cell r="C8762" t="str">
            <v>AMRICA FACTORING S. A.                  1ND</v>
          </cell>
        </row>
        <row r="8763">
          <cell r="B8763" t="str">
            <v>14060116021601</v>
          </cell>
          <cell r="C8763" t="str">
            <v>INCASA S. A.                            1ND</v>
          </cell>
        </row>
        <row r="8764">
          <cell r="B8764" t="str">
            <v>14060119000105</v>
          </cell>
          <cell r="C8764" t="str">
            <v>REF COB JUD PAGARES -CL                 1ND</v>
          </cell>
        </row>
        <row r="8765">
          <cell r="B8765" t="str">
            <v>14060119010102</v>
          </cell>
          <cell r="C8765" t="str">
            <v>CL CJ CAPITAL P.REF FOPE GL7004         1ND</v>
          </cell>
        </row>
        <row r="8766">
          <cell r="B8766" t="str">
            <v>14060119020101</v>
          </cell>
          <cell r="C8766" t="str">
            <v>PAG.COB JUDIC.RFA SUBORDINADO CL        1ND</v>
          </cell>
        </row>
        <row r="8767">
          <cell r="B8767" t="str">
            <v>14060119020102</v>
          </cell>
          <cell r="C8767" t="str">
            <v>PAG. COB. JUD RFA FINANC CL             1ND</v>
          </cell>
        </row>
        <row r="8768">
          <cell r="B8768" t="str">
            <v>14060119240101</v>
          </cell>
          <cell r="C8768" t="str">
            <v>COB.JUD PAG RFA SUBORDINADOS            1ND</v>
          </cell>
        </row>
        <row r="8769">
          <cell r="B8769" t="str">
            <v>14060119240102</v>
          </cell>
          <cell r="C8769" t="str">
            <v>COB.JUD PAG RFA FINANCIAM CL            1ND</v>
          </cell>
        </row>
        <row r="8770">
          <cell r="B8770" t="str">
            <v>14060119250101</v>
          </cell>
          <cell r="C8770" t="str">
            <v>CL CJ CAPITAL P.REF FOPE SUBOR GL7004   1ND</v>
          </cell>
        </row>
        <row r="8771">
          <cell r="B8771" t="str">
            <v>14060119250102</v>
          </cell>
          <cell r="C8771" t="str">
            <v>CL COB.JUD.PAG.FOPE REFINAN             1ND</v>
          </cell>
        </row>
        <row r="8772">
          <cell r="B8772" t="str">
            <v>14060126000101</v>
          </cell>
          <cell r="C8772" t="str">
            <v>CL COB.JUD.PREST.RP EXPORT              1ND</v>
          </cell>
        </row>
        <row r="8773">
          <cell r="B8773" t="str">
            <v>14060126000102</v>
          </cell>
          <cell r="C8773" t="str">
            <v>CL COB.JUD.PAG.IMPORT                   1ND</v>
          </cell>
        </row>
        <row r="8774">
          <cell r="B8774" t="str">
            <v>14060126000103</v>
          </cell>
          <cell r="C8774" t="str">
            <v>CL COB.JUD. CARTAS DE CREDITO           1ND</v>
          </cell>
        </row>
        <row r="8775">
          <cell r="B8775" t="str">
            <v>14060129000101</v>
          </cell>
          <cell r="C8775" t="str">
            <v>CL COB.JUD.CRED.HIPOT.PJ CL             1ND</v>
          </cell>
        </row>
        <row r="8776">
          <cell r="B8776" t="str">
            <v>14060202010101</v>
          </cell>
          <cell r="C8776" t="str">
            <v>$CL COBJUD TCVISA PJ-DIS.EFE MES        1ND</v>
          </cell>
        </row>
        <row r="8777">
          <cell r="B8777" t="str">
            <v>14060202010102</v>
          </cell>
          <cell r="C8777" t="str">
            <v>$CL COBJUD TCAMEX PJ-DIS.EFE MES        1ND</v>
          </cell>
        </row>
        <row r="8778">
          <cell r="B8778" t="str">
            <v>14060202010103</v>
          </cell>
          <cell r="C8778" t="str">
            <v>$CL COBJUD TCMAST PJ-DIS.EFE MES        1ND</v>
          </cell>
        </row>
        <row r="8779">
          <cell r="B8779" t="str">
            <v>14060202010201</v>
          </cell>
          <cell r="C8779" t="str">
            <v>JCC COBJUD TCMAST PJ-DIS.EFE MES        1ND</v>
          </cell>
        </row>
        <row r="8780">
          <cell r="B8780" t="str">
            <v>14060202010203</v>
          </cell>
          <cell r="C8780" t="str">
            <v>JCC COBJUD TCVISA PJ-DIS.EFE MES        1ND</v>
          </cell>
        </row>
        <row r="8781">
          <cell r="B8781" t="str">
            <v>14060202010204</v>
          </cell>
          <cell r="C8781" t="str">
            <v>JCC COBJUD TCAMEX PJ-DIS.EFE MES        1ND</v>
          </cell>
        </row>
        <row r="8782">
          <cell r="B8782" t="str">
            <v>14060202020101</v>
          </cell>
          <cell r="C8782" t="str">
            <v>$CL COBJUD TCVISA PN-CONSUM MES         1ND</v>
          </cell>
        </row>
        <row r="8783">
          <cell r="B8783" t="str">
            <v>14060202020102</v>
          </cell>
          <cell r="C8783" t="str">
            <v>$CL COBJUD TCAMEX PJ-CONSUM MES         1ND</v>
          </cell>
        </row>
        <row r="8784">
          <cell r="B8784" t="str">
            <v>14060202020103</v>
          </cell>
          <cell r="C8784" t="str">
            <v>$CL COBJUD TCMASTER PJ-CONSU MES        1ND</v>
          </cell>
        </row>
        <row r="8785">
          <cell r="B8785" t="str">
            <v>14060202020201</v>
          </cell>
          <cell r="C8785" t="str">
            <v>JCC COBJUD TCMASTER PJ-CONSU MES        1ND</v>
          </cell>
        </row>
        <row r="8786">
          <cell r="B8786" t="str">
            <v>14060202020203</v>
          </cell>
          <cell r="C8786" t="str">
            <v>JCC COBJUD TCAMEX PJ-CONSUM MES         1ND</v>
          </cell>
        </row>
        <row r="8787">
          <cell r="B8787" t="str">
            <v>14060202020204</v>
          </cell>
          <cell r="C8787" t="str">
            <v>JCC COBJUD TCVISA PN-CONSUM MES         1ND</v>
          </cell>
        </row>
        <row r="8788">
          <cell r="B8788" t="str">
            <v>14060204000101</v>
          </cell>
          <cell r="C8788" t="str">
            <v>CL COB.JUD CTA.CTE. PJ MES              1ND</v>
          </cell>
        </row>
        <row r="8789">
          <cell r="B8789" t="str">
            <v>14060204000201</v>
          </cell>
          <cell r="C8789" t="str">
            <v>JCC COB.JUD CTA.CTE. PJ MES             1ND</v>
          </cell>
        </row>
        <row r="8790">
          <cell r="B8790" t="str">
            <v>14060205010101</v>
          </cell>
          <cell r="C8790" t="str">
            <v>CL COB.JUD.DSCTO.PAG.MES                1ND</v>
          </cell>
        </row>
        <row r="8791">
          <cell r="B8791" t="str">
            <v>14060205010201</v>
          </cell>
          <cell r="C8791" t="str">
            <v>JCC COB.JUD.DSCTO.PAG.MES               1ND</v>
          </cell>
        </row>
        <row r="8792">
          <cell r="B8792" t="str">
            <v>14060205020101</v>
          </cell>
          <cell r="C8792" t="str">
            <v>CL COB.JUD.DSCTO.LETRA MES              1ND</v>
          </cell>
        </row>
        <row r="8793">
          <cell r="B8793" t="str">
            <v>14060205020201</v>
          </cell>
          <cell r="C8793" t="str">
            <v>JCC COB.JUD.DSCTO.LETRA MES             1ND</v>
          </cell>
        </row>
        <row r="8794">
          <cell r="B8794" t="str">
            <v>14060206000101</v>
          </cell>
          <cell r="C8794" t="str">
            <v>CL COB.JUD.CAP.TRAB.MES                 1ND</v>
          </cell>
        </row>
        <row r="8795">
          <cell r="B8795" t="str">
            <v>14060206000102</v>
          </cell>
          <cell r="C8795" t="str">
            <v>CL COB. JUD. CARTA FIANZA-MES           1ND</v>
          </cell>
        </row>
        <row r="8796">
          <cell r="B8796" t="str">
            <v>14060206010101</v>
          </cell>
          <cell r="C8796" t="str">
            <v>CL COB JUD PAG.TV REVOLVEN MES          1ND</v>
          </cell>
        </row>
        <row r="8797">
          <cell r="B8797" t="str">
            <v>14060206010102</v>
          </cell>
          <cell r="C8797" t="str">
            <v>$CL COBJUD P.TV COFIDE REVOL MES        1ND</v>
          </cell>
        </row>
        <row r="8798">
          <cell r="B8798" t="str">
            <v>14060206010103</v>
          </cell>
          <cell r="C8798" t="str">
            <v>CL CJ MYP CAP TRAB MES REV              1ND</v>
          </cell>
        </row>
        <row r="8799">
          <cell r="B8799" t="str">
            <v>14060206010108</v>
          </cell>
          <cell r="C8799" t="str">
            <v>CL MYP JUD.CAP.TRAB.REV.CMIE            1ND</v>
          </cell>
        </row>
        <row r="8800">
          <cell r="B8800" t="str">
            <v>14060206010201</v>
          </cell>
          <cell r="C8800" t="str">
            <v>JCC COB JUD PAG.TV REVOLVEN MES         1ND</v>
          </cell>
        </row>
        <row r="8801">
          <cell r="B8801" t="str">
            <v>14060206010202</v>
          </cell>
          <cell r="C8801" t="str">
            <v>JCC MYP JUD.CAP.TRAB.REV.CMIE           1ND</v>
          </cell>
        </row>
        <row r="8802">
          <cell r="B8802" t="str">
            <v>14060206020102</v>
          </cell>
          <cell r="C8802" t="str">
            <v>CL CJ MYP CAP TRAB MES                  1ND</v>
          </cell>
        </row>
        <row r="8803">
          <cell r="B8803" t="str">
            <v>14060206020103</v>
          </cell>
          <cell r="C8803" t="str">
            <v>UCL CJ MYP COMP AF INMUEB MES           1ND</v>
          </cell>
        </row>
        <row r="8804">
          <cell r="B8804" t="str">
            <v>14060206020104</v>
          </cell>
          <cell r="C8804" t="str">
            <v>CL CJ MYP COMP AF MUEB MES              1ND</v>
          </cell>
        </row>
        <row r="8805">
          <cell r="B8805" t="str">
            <v>14060206020105</v>
          </cell>
          <cell r="C8805" t="str">
            <v>UCL CJ MYP CRED ESTAC MES               1ND</v>
          </cell>
        </row>
        <row r="8806">
          <cell r="B8806" t="str">
            <v>14060206020106</v>
          </cell>
          <cell r="C8806" t="str">
            <v>CL CJ MYP AF CYBERPL MES                1ND</v>
          </cell>
        </row>
        <row r="8807">
          <cell r="B8807" t="str">
            <v>14060206020201</v>
          </cell>
          <cell r="C8807" t="str">
            <v>JCC MYP CAP TRAB MES                    1ND</v>
          </cell>
        </row>
        <row r="8808">
          <cell r="B8808" t="str">
            <v>14060206020202</v>
          </cell>
          <cell r="C8808" t="str">
            <v>JCC CJ MYP CRED ESTAC MES               1ND</v>
          </cell>
        </row>
        <row r="8809">
          <cell r="B8809" t="str">
            <v>14060206020203</v>
          </cell>
          <cell r="C8809" t="str">
            <v>JCC  MYP AF CYBERPL MES                 1ND</v>
          </cell>
        </row>
        <row r="8810">
          <cell r="B8810" t="str">
            <v>14060206020204</v>
          </cell>
          <cell r="C8810" t="str">
            <v>JCC CJ MYP COMP AF INMUEB MES           1ND</v>
          </cell>
        </row>
        <row r="8811">
          <cell r="B8811" t="str">
            <v>14060206020205</v>
          </cell>
          <cell r="C8811" t="str">
            <v>JCC CJ MYP COMP AF MUE NRV CPEM         1ND</v>
          </cell>
        </row>
        <row r="8812">
          <cell r="B8812" t="str">
            <v>14060206020206</v>
          </cell>
          <cell r="C8812" t="str">
            <v>JCC CJ MYP COMP AF MUEB CMIE            1ND</v>
          </cell>
        </row>
        <row r="8813">
          <cell r="B8813" t="str">
            <v>14060206020207</v>
          </cell>
          <cell r="C8813" t="str">
            <v>JCC COB JUD REACTIVA PERU NO REVOLV CMIE1ND</v>
          </cell>
        </row>
        <row r="8814">
          <cell r="B8814" t="str">
            <v>14060206020208</v>
          </cell>
          <cell r="C8814" t="str">
            <v>JCC COB JUD REACTIVA PERU NO REVOLV CMIE1 D</v>
          </cell>
        </row>
        <row r="8815">
          <cell r="B8815" t="str">
            <v>14060206020209</v>
          </cell>
          <cell r="C8815" t="str">
            <v>JCC COB JUD FONDO CRECER CMIE           1 D</v>
          </cell>
        </row>
        <row r="8816">
          <cell r="B8816" t="str">
            <v>14060206020210</v>
          </cell>
          <cell r="C8816" t="str">
            <v>JCC COB JUD FONDO CRECER CMIE           1 D</v>
          </cell>
        </row>
        <row r="8817">
          <cell r="B8817" t="str">
            <v>14060206020211</v>
          </cell>
          <cell r="C8817" t="str">
            <v>JCC COB JUD REACTIVA PRE-HONRAMIENTO CMI1 D</v>
          </cell>
        </row>
        <row r="8818">
          <cell r="B8818" t="str">
            <v>14060206020212</v>
          </cell>
          <cell r="C8818" t="str">
            <v>JCC COB JUD REACTIVA PRE-HONRAMIENTO CMI1 D</v>
          </cell>
        </row>
        <row r="8819">
          <cell r="B8819" t="str">
            <v>14060206020213</v>
          </cell>
          <cell r="C8819" t="str">
            <v>JCC COB JU REACTIVA PRE-HONRAMIENTO REPR1 D</v>
          </cell>
        </row>
        <row r="8820">
          <cell r="B8820" t="str">
            <v>14060206020214</v>
          </cell>
          <cell r="C8820" t="str">
            <v>JCC COB JU REACTIVA PRE-HONRAMIENTO REPR1 D</v>
          </cell>
        </row>
        <row r="8821">
          <cell r="B8821" t="str">
            <v>14060206020215</v>
          </cell>
          <cell r="C8821" t="str">
            <v>JCC COB JU REACTIVA PRE-HONRAMIENTO REPR1 D</v>
          </cell>
        </row>
        <row r="8822">
          <cell r="B8822" t="str">
            <v>14060206020216</v>
          </cell>
          <cell r="C8822" t="str">
            <v>JCC COB JUD CRECER PRE-HONRAMIENTO CMIE 1 D</v>
          </cell>
        </row>
        <row r="8823">
          <cell r="B8823" t="str">
            <v>14060206020217</v>
          </cell>
          <cell r="C8823" t="str">
            <v>JCC COB JU REACTIVA PRE-HONRAMIENTO REPR1 D</v>
          </cell>
        </row>
        <row r="8824">
          <cell r="B8824" t="str">
            <v>14060206020218</v>
          </cell>
          <cell r="C8824" t="str">
            <v>JCC COB JU REACTIVA PRE-HONRAMIENTO REPR1 D</v>
          </cell>
        </row>
        <row r="8825">
          <cell r="B8825" t="str">
            <v>14060206020219</v>
          </cell>
          <cell r="C8825" t="str">
            <v>JCC COB JU REACTIVA PRE-HONRAMIENTO REPR1 D</v>
          </cell>
        </row>
        <row r="8826">
          <cell r="B8826" t="str">
            <v>14060206020220</v>
          </cell>
          <cell r="C8826" t="str">
            <v>JCC COB JUD CRECER PRE-HONRAMIENTO CMIE 1 D</v>
          </cell>
        </row>
        <row r="8827">
          <cell r="B8827" t="str">
            <v>14060206020221</v>
          </cell>
          <cell r="C8827" t="str">
            <v>JCC COB JUD PAG.TV NO REV. CMIE         1 D</v>
          </cell>
        </row>
        <row r="8828">
          <cell r="B8828" t="str">
            <v>14060206020222</v>
          </cell>
          <cell r="C8828" t="str">
            <v>JCC COB JUD PAG.TV NO REVOLV CMIE       1 D</v>
          </cell>
        </row>
        <row r="8829">
          <cell r="B8829" t="str">
            <v>14060206020223</v>
          </cell>
          <cell r="C8829" t="str">
            <v>JCC MP COB JUD CAP IMPULSO MYPERU IBK CM1 D</v>
          </cell>
        </row>
        <row r="8830">
          <cell r="B8830" t="str">
            <v>14060206020224</v>
          </cell>
          <cell r="C8830" t="str">
            <v>JCC BC COB JUD IMPULSO MYPERU PRE-HONRA 1 D</v>
          </cell>
        </row>
        <row r="8831">
          <cell r="B8831" t="str">
            <v>14060206020225</v>
          </cell>
          <cell r="C8831" t="str">
            <v>JCC MP COB JUD IMPLUSO MYPERU HONRADO IB1 D</v>
          </cell>
        </row>
        <row r="8832">
          <cell r="B8832" t="str">
            <v>14060206020226</v>
          </cell>
          <cell r="C8832" t="str">
            <v>JCC CCD COBJUD CAPITAL DE TRABAJO CMIE  1 D</v>
          </cell>
        </row>
        <row r="8833">
          <cell r="B8833" t="str">
            <v>14060206090101</v>
          </cell>
          <cell r="C8833" t="str">
            <v>CL COB JUD PAG.TV NO REVOLV MES         1ND</v>
          </cell>
        </row>
        <row r="8834">
          <cell r="B8834" t="str">
            <v>14060206090102</v>
          </cell>
          <cell r="C8834" t="str">
            <v>$CL COBJUD P.TV COFID NO REV MES        1ND</v>
          </cell>
        </row>
        <row r="8835">
          <cell r="B8835" t="str">
            <v>14060206090201</v>
          </cell>
          <cell r="C8835" t="str">
            <v>JCC COB JUD PAG.TV NO REVOLV MES        1ND</v>
          </cell>
        </row>
        <row r="8836">
          <cell r="B8836" t="str">
            <v>14060206090202</v>
          </cell>
          <cell r="C8836" t="str">
            <v>JCC COB. JUD. CARTA FIANZA-MES          1ND</v>
          </cell>
        </row>
        <row r="8837">
          <cell r="B8837" t="str">
            <v>14060210000101</v>
          </cell>
          <cell r="C8837" t="str">
            <v>CL COB.JUD.FACT.LETRAS MES              1ND</v>
          </cell>
        </row>
        <row r="8838">
          <cell r="B8838" t="str">
            <v>14060210000102</v>
          </cell>
          <cell r="C8838" t="str">
            <v>CL COB.JUD.FACT.FACTU.MES               1ND</v>
          </cell>
        </row>
        <row r="8839">
          <cell r="B8839" t="str">
            <v>14060210000201</v>
          </cell>
          <cell r="C8839" t="str">
            <v>JCC COB.JUD.FACT.LETRAS MES             1ND</v>
          </cell>
        </row>
        <row r="8840">
          <cell r="B8840" t="str">
            <v>14060210000202</v>
          </cell>
          <cell r="C8840" t="str">
            <v>JCC COB.JUD.FACT.FACTU.MES              1ND</v>
          </cell>
        </row>
        <row r="8841">
          <cell r="B8841" t="str">
            <v>14060211000101</v>
          </cell>
          <cell r="C8841" t="str">
            <v>LPC COB. JUD LEASING - MES              1ND</v>
          </cell>
        </row>
        <row r="8842">
          <cell r="B8842" t="str">
            <v>14060211000102</v>
          </cell>
          <cell r="C8842" t="str">
            <v>LPC LEASING RESUELTO COBJUD CMIE        1ND</v>
          </cell>
        </row>
        <row r="8843">
          <cell r="B8843" t="str">
            <v>14060211000103</v>
          </cell>
          <cell r="C8843" t="str">
            <v>LPC LEASING COB.JUD BPE CMIE            1ND</v>
          </cell>
        </row>
        <row r="8844">
          <cell r="B8844" t="str">
            <v>14060211000104</v>
          </cell>
          <cell r="C8844" t="str">
            <v>LPC LS RESUELTO COB.JUD BPE CMIE        1ND</v>
          </cell>
        </row>
        <row r="8845">
          <cell r="B8845" t="str">
            <v>14060211000105</v>
          </cell>
          <cell r="C8845" t="str">
            <v>JCC COB. JUD. ARREND. FINANC PN CMIE    1ND</v>
          </cell>
        </row>
        <row r="8846">
          <cell r="B8846" t="str">
            <v>14060211000106</v>
          </cell>
          <cell r="C8846" t="str">
            <v>JCC COB. JUD. ARREND. FINANC PJ CMIE    1ND</v>
          </cell>
        </row>
        <row r="8847">
          <cell r="B8847" t="str">
            <v>14060211000201</v>
          </cell>
          <cell r="C8847" t="str">
            <v>JCC JUD.MYP LEASING BPE CMIE            1ND</v>
          </cell>
        </row>
        <row r="8848">
          <cell r="B8848" t="str">
            <v>14060219010101</v>
          </cell>
          <cell r="C8848" t="str">
            <v>CL COB.JUD PAG RFA SUBORDINADOS MES     1ND</v>
          </cell>
        </row>
        <row r="8849">
          <cell r="B8849" t="str">
            <v>14060219010102</v>
          </cell>
          <cell r="C8849" t="str">
            <v>CL COB.JUD PAG RFA FINANCIAM MES        1ND</v>
          </cell>
        </row>
        <row r="8850">
          <cell r="B8850" t="str">
            <v>14060219240101</v>
          </cell>
          <cell r="C8850" t="str">
            <v>CL COB.JUD.P.RFA SUB. MES               1ND</v>
          </cell>
        </row>
        <row r="8851">
          <cell r="B8851" t="str">
            <v>14060219240102</v>
          </cell>
          <cell r="C8851" t="str">
            <v>CL COB.JUD PAG RFA FINANCIAM MES GL 70041ND</v>
          </cell>
        </row>
        <row r="8852">
          <cell r="B8852" t="str">
            <v>14060219240201</v>
          </cell>
          <cell r="C8852" t="str">
            <v>JCC COB.JUD.P.RFA SUB. MES              1ND</v>
          </cell>
        </row>
        <row r="8853">
          <cell r="B8853" t="str">
            <v>14060219290101</v>
          </cell>
          <cell r="C8853" t="str">
            <v>CL COB.JUD CARTAS DE CREDITO MES        1ND</v>
          </cell>
        </row>
        <row r="8854">
          <cell r="B8854" t="str">
            <v>14060219990101</v>
          </cell>
          <cell r="C8854" t="str">
            <v>JCC COB.JUD CARTAS DE CREDITO MES       1ND</v>
          </cell>
        </row>
        <row r="8855">
          <cell r="B8855" t="str">
            <v>14060221000101</v>
          </cell>
          <cell r="C8855" t="str">
            <v>JCC COB. JUD. CARTA FIANZA CMIE         1ND</v>
          </cell>
        </row>
        <row r="8856">
          <cell r="B8856" t="str">
            <v>14060226000101</v>
          </cell>
          <cell r="C8856" t="str">
            <v>CL PREST COBR JUDIC EXPORT MES          1ND</v>
          </cell>
        </row>
        <row r="8857">
          <cell r="B8857" t="str">
            <v>14060226000102</v>
          </cell>
          <cell r="C8857" t="str">
            <v>CL COB.JUD.PAG.IMPORTACIONES MES        1ND</v>
          </cell>
        </row>
        <row r="8858">
          <cell r="B8858" t="str">
            <v>14060226000201</v>
          </cell>
          <cell r="C8858" t="str">
            <v>JCC PREST COBR JUDIC EXPORT MES         1ND</v>
          </cell>
        </row>
        <row r="8859">
          <cell r="B8859" t="str">
            <v>14060226000202</v>
          </cell>
          <cell r="C8859" t="str">
            <v>JCC COB.JUD.PAG.IMPORTACIONES MES       1ND</v>
          </cell>
        </row>
        <row r="8860">
          <cell r="B8860" t="str">
            <v>14060229000101</v>
          </cell>
          <cell r="C8860" t="str">
            <v>CL COB.JUD.CRED.HIPOT.COM.MES           1ND</v>
          </cell>
        </row>
        <row r="8861">
          <cell r="B8861" t="str">
            <v>14060302000101</v>
          </cell>
          <cell r="C8861" t="str">
            <v>CL COB.JUD.TARJ.CRED.VISA PN            1ND</v>
          </cell>
        </row>
        <row r="8862">
          <cell r="B8862" t="str">
            <v>14060302000102</v>
          </cell>
          <cell r="C8862" t="str">
            <v>CL COB.JUD. TARJ.CRED.MASTER PN         1ND</v>
          </cell>
        </row>
        <row r="8863">
          <cell r="B8863" t="str">
            <v>14060302000103</v>
          </cell>
          <cell r="C8863" t="str">
            <v>CL COB.JUD.TARJ.CRED.AMEX PN            1ND</v>
          </cell>
        </row>
        <row r="8864">
          <cell r="B8864" t="str">
            <v>14060302010101</v>
          </cell>
          <cell r="C8864" t="str">
            <v>CL COB JUD TC VISA PN-DISP.EFEC         1ND</v>
          </cell>
        </row>
        <row r="8865">
          <cell r="B8865" t="str">
            <v>14060302010102</v>
          </cell>
          <cell r="C8865" t="str">
            <v>CL COB JUD TC AMEX PN-DISP.EFE          1ND</v>
          </cell>
        </row>
        <row r="8866">
          <cell r="B8866" t="str">
            <v>14060302010103</v>
          </cell>
          <cell r="C8866" t="str">
            <v>CL COB JUD TC MASTER PN-DIS.EFE         1ND</v>
          </cell>
        </row>
        <row r="8867">
          <cell r="B8867" t="str">
            <v>14060302010104</v>
          </cell>
          <cell r="C8867" t="str">
            <v>JCC COB JUD TC MASTER PN-DIS.EFE        1ND</v>
          </cell>
        </row>
        <row r="8868">
          <cell r="B8868" t="str">
            <v>14060302010105</v>
          </cell>
          <cell r="C8868" t="str">
            <v>JCC COB JUD TC VISA PN-DISP.EFEC        1ND</v>
          </cell>
        </row>
        <row r="8869">
          <cell r="B8869" t="str">
            <v>14060302010106</v>
          </cell>
          <cell r="C8869" t="str">
            <v>JCC COB JUD TC AMEX PN-DISP.EFE         1ND</v>
          </cell>
        </row>
        <row r="8870">
          <cell r="B8870" t="str">
            <v>14060302020101</v>
          </cell>
          <cell r="C8870" t="str">
            <v>CL COB JUD TC VISA PN-CONSUMOS          1ND</v>
          </cell>
        </row>
        <row r="8871">
          <cell r="B8871" t="str">
            <v>14060302020102</v>
          </cell>
          <cell r="C8871" t="str">
            <v>CL COB JUD TC AMEX PN-CONSUMOS          1ND</v>
          </cell>
        </row>
        <row r="8872">
          <cell r="B8872" t="str">
            <v>14060302020103</v>
          </cell>
          <cell r="C8872" t="str">
            <v>CL COB JUD TC MASTER PN-CONSUMO         1ND</v>
          </cell>
        </row>
        <row r="8873">
          <cell r="B8873" t="str">
            <v>14060302020104</v>
          </cell>
          <cell r="C8873" t="str">
            <v>JCC COB JUD TC MASTER PN-CONSUMO        1ND</v>
          </cell>
        </row>
        <row r="8874">
          <cell r="B8874" t="str">
            <v>14060302020105</v>
          </cell>
          <cell r="C8874" t="str">
            <v>JCC COB JUD TC AMEX PN-CONSUMOS         1ND</v>
          </cell>
        </row>
        <row r="8875">
          <cell r="B8875" t="str">
            <v>14060302020106</v>
          </cell>
          <cell r="C8875" t="str">
            <v>JCC COB JUD TC VISA PN-CONSUMOS         1ND</v>
          </cell>
        </row>
        <row r="8876">
          <cell r="B8876" t="str">
            <v>14060302020107</v>
          </cell>
          <cell r="C8876" t="str">
            <v>JCC BTC COB JUD RAPPIBANK REV           1 D</v>
          </cell>
        </row>
        <row r="8877">
          <cell r="B8877" t="str">
            <v>14060303010100</v>
          </cell>
          <cell r="C8877" t="str">
            <v>JCC COBJUD CONSU REV CONV.NOELEG        1ND</v>
          </cell>
        </row>
        <row r="8878">
          <cell r="B8878" t="str">
            <v>14060303020100</v>
          </cell>
          <cell r="C8878" t="str">
            <v>JCC COBJUD CONSU REV ADEL SUELDO        1ND</v>
          </cell>
        </row>
        <row r="8879">
          <cell r="B8879" t="str">
            <v>14060303020101</v>
          </cell>
          <cell r="C8879" t="str">
            <v>JCC COBJUD CONSU REV PREFERENTE         1ND</v>
          </cell>
        </row>
        <row r="8880">
          <cell r="B8880" t="str">
            <v>14060304000101</v>
          </cell>
          <cell r="C8880" t="str">
            <v>CL COB.JUD.SOBR.CTA.CTE.PN              1ND</v>
          </cell>
        </row>
        <row r="8881">
          <cell r="B8881" t="str">
            <v>14060304000103</v>
          </cell>
          <cell r="C8881" t="str">
            <v>JCC COB.JUD.SOBR.CTA.CTE.PN             1ND</v>
          </cell>
        </row>
        <row r="8882">
          <cell r="B8882" t="str">
            <v>14060304000104</v>
          </cell>
          <cell r="C8882" t="str">
            <v>JCC COB.JUD.SOBR.CTA.CTE.PN             1ND</v>
          </cell>
        </row>
        <row r="8883">
          <cell r="B8883" t="str">
            <v>14060306000102</v>
          </cell>
          <cell r="C8883" t="str">
            <v>CL COB.JUD.CRED.EFECTIVO                1ND</v>
          </cell>
        </row>
        <row r="8884">
          <cell r="B8884" t="str">
            <v>14060306000104</v>
          </cell>
          <cell r="C8884" t="str">
            <v>CL COB.JUD.CRED.PORFIN                  1ND</v>
          </cell>
        </row>
        <row r="8885">
          <cell r="B8885" t="str">
            <v>14060306000105</v>
          </cell>
          <cell r="C8885" t="str">
            <v>BL COB. JUD. PERSONA NATURAL CL         1ND</v>
          </cell>
        </row>
        <row r="8886">
          <cell r="B8886" t="str">
            <v>14060306000106</v>
          </cell>
          <cell r="C8886" t="str">
            <v>CL COB.JUD.CONVENIOS IC                 1ND</v>
          </cell>
        </row>
        <row r="8887">
          <cell r="B8887" t="str">
            <v>14060306010101</v>
          </cell>
          <cell r="C8887" t="str">
            <v>$CL COB JUD LIC REVOLVENTE CONV         1ND</v>
          </cell>
        </row>
        <row r="8888">
          <cell r="B8888" t="str">
            <v>14060306010102</v>
          </cell>
          <cell r="C8888" t="str">
            <v>CL COBJUD CONSU REV ADEL SUELDO         1ND</v>
          </cell>
        </row>
        <row r="8889">
          <cell r="B8889" t="str">
            <v>14060306010103</v>
          </cell>
          <cell r="C8889" t="str">
            <v>CL COBJUD CONSU REV PREFERENTE          1ND</v>
          </cell>
        </row>
        <row r="8890">
          <cell r="B8890" t="str">
            <v>14060306010104</v>
          </cell>
          <cell r="C8890" t="str">
            <v>JCC COBJUD CONSU REV ADEL SUELDO        1ND</v>
          </cell>
        </row>
        <row r="8891">
          <cell r="B8891" t="str">
            <v>14060306010105</v>
          </cell>
          <cell r="C8891" t="str">
            <v>JCC COB.JUD.CRED.PORFIN                 1ND</v>
          </cell>
        </row>
        <row r="8892">
          <cell r="B8892" t="str">
            <v>14060306020101</v>
          </cell>
          <cell r="C8892" t="str">
            <v>CL COBJUD NO REVOL CRE.VEHICULAR        1ND</v>
          </cell>
        </row>
        <row r="8893">
          <cell r="B8893" t="str">
            <v>14060306020201</v>
          </cell>
          <cell r="C8893" t="str">
            <v>JCC COBJUD NO REVOL CRE.VEHICULAR       1ND</v>
          </cell>
        </row>
        <row r="8894">
          <cell r="B8894" t="str">
            <v>14060306030101</v>
          </cell>
          <cell r="C8894" t="str">
            <v>CL COBJUD EFEC.NO REV LIBR.DISP         1ND</v>
          </cell>
        </row>
        <row r="8895">
          <cell r="B8895" t="str">
            <v>14060306030102</v>
          </cell>
          <cell r="C8895" t="str">
            <v>CL COBJUD CONSU.NO REV LIBR.DI          1ND</v>
          </cell>
        </row>
        <row r="8896">
          <cell r="B8896" t="str">
            <v>14060306030103</v>
          </cell>
          <cell r="C8896" t="str">
            <v>CL COB JUD PREST EFEC GTIA HIPOT        1ND</v>
          </cell>
        </row>
        <row r="8897">
          <cell r="B8897" t="str">
            <v>14060306030104</v>
          </cell>
          <cell r="C8897" t="str">
            <v>JCC COB JUD PREST EFEC GTIA HIPOT       1ND</v>
          </cell>
        </row>
        <row r="8898">
          <cell r="B8898" t="str">
            <v>14060306030105</v>
          </cell>
          <cell r="C8898" t="str">
            <v>CL COBJUD CONS N REV ADEL SUELDO CCNR   1ND</v>
          </cell>
        </row>
        <row r="8899">
          <cell r="B8899" t="str">
            <v>14060306030201</v>
          </cell>
          <cell r="C8899" t="str">
            <v>JCC COBJUD EFEC.NO REV LIBR.DISP        1ND</v>
          </cell>
        </row>
        <row r="8900">
          <cell r="B8900" t="str">
            <v>14060306050101</v>
          </cell>
          <cell r="C8900" t="str">
            <v>CL COBJU NO REVO CONV.NOELEG I          1ND</v>
          </cell>
        </row>
        <row r="8901">
          <cell r="B8901" t="str">
            <v>14060306050102</v>
          </cell>
          <cell r="C8901" t="str">
            <v>CL JUD CONSU PREFERENTE CCNR            1ND</v>
          </cell>
        </row>
        <row r="8902">
          <cell r="B8902" t="str">
            <v>14060306050103</v>
          </cell>
          <cell r="C8902" t="str">
            <v>CL COB.CONVENIO NO REV.CNG              1ND</v>
          </cell>
        </row>
        <row r="8903">
          <cell r="B8903" t="str">
            <v>14060306050104</v>
          </cell>
          <cell r="C8903" t="str">
            <v>JCC COBJU NO REVO CONV.NOELEG I         1ND</v>
          </cell>
        </row>
        <row r="8904">
          <cell r="B8904" t="str">
            <v>14060306050105</v>
          </cell>
          <cell r="C8904" t="str">
            <v>JCC JUD CONSU PREFERENTE CCNR           1ND</v>
          </cell>
        </row>
        <row r="8905">
          <cell r="B8905" t="str">
            <v>14060306050106</v>
          </cell>
          <cell r="C8905" t="str">
            <v>JCC COB.CONVENIO NO REV.CNG             1ND</v>
          </cell>
        </row>
        <row r="8906">
          <cell r="B8906" t="str">
            <v>14060306050107</v>
          </cell>
          <cell r="C8906" t="str">
            <v>CL JUD CONSU PREFERENTE CCNR            1ND</v>
          </cell>
        </row>
        <row r="8907">
          <cell r="B8907" t="str">
            <v>14060306060101</v>
          </cell>
          <cell r="C8907" t="str">
            <v>CL JUD. CONSUMO REVOLV. CCRV            1ND</v>
          </cell>
        </row>
        <row r="8908">
          <cell r="B8908" t="str">
            <v>14060306060102</v>
          </cell>
          <cell r="C8908" t="str">
            <v>CL JUD CONSU PREFERENTE CCRV            1ND</v>
          </cell>
        </row>
        <row r="8909">
          <cell r="B8909" t="str">
            <v>14060306060103</v>
          </cell>
          <cell r="C8909" t="str">
            <v>JCC JUD CONSU PREFERENTE CCRV           1ND</v>
          </cell>
        </row>
        <row r="8910">
          <cell r="B8910" t="str">
            <v>14060306060104</v>
          </cell>
          <cell r="C8910" t="str">
            <v>CL COBJU REVO CONV.N ELEG  CCRV         1ND</v>
          </cell>
        </row>
        <row r="8911">
          <cell r="B8911" t="str">
            <v>14060306120701</v>
          </cell>
          <cell r="C8911" t="str">
            <v>RCC  CRÃ‰DITOS DE CONSUMO - CONVENIOS NO1ND</v>
          </cell>
        </row>
        <row r="8912">
          <cell r="B8912" t="str">
            <v>14060306120702</v>
          </cell>
          <cell r="C8912" t="str">
            <v>JCC COBJUD CONSU REV ADEL SUELDO        1ND</v>
          </cell>
        </row>
        <row r="8913">
          <cell r="B8913" t="str">
            <v>14060306120703</v>
          </cell>
          <cell r="C8913" t="str">
            <v>JCC JUD CONSU PREFERENTE CCRV           1ND</v>
          </cell>
        </row>
        <row r="8914">
          <cell r="B8914" t="str">
            <v>14060306120704</v>
          </cell>
          <cell r="C8914" t="str">
            <v>JCC COBJUD CONSU REV ADEL SUELDO        1ND</v>
          </cell>
        </row>
        <row r="8915">
          <cell r="B8915" t="str">
            <v>14060306120705</v>
          </cell>
          <cell r="C8915" t="str">
            <v>JCC JUD CONSU PREFERENTE CCRV           1ND</v>
          </cell>
        </row>
        <row r="8916">
          <cell r="B8916" t="str">
            <v>14060306190701</v>
          </cell>
          <cell r="C8916" t="str">
            <v>RCC  CRÃ‰DITOS DE CONSUMO - OTROS PRÃ‰ST1ND</v>
          </cell>
        </row>
        <row r="8917">
          <cell r="B8917" t="str">
            <v>14060311000101</v>
          </cell>
          <cell r="C8917" t="str">
            <v>CL COB.JUD.ARREND.FINANC PN             1ND</v>
          </cell>
        </row>
        <row r="8918">
          <cell r="B8918" t="str">
            <v>14060311000102</v>
          </cell>
          <cell r="C8918" t="str">
            <v>JCC COB.JUD.ARREND.FINANC PN            1ND</v>
          </cell>
        </row>
        <row r="8919">
          <cell r="B8919" t="str">
            <v>14060319000106</v>
          </cell>
          <cell r="C8919" t="str">
            <v>COB JUD REFINANCIADO IC-CL UMO          1ND</v>
          </cell>
        </row>
        <row r="8920">
          <cell r="B8920" t="str">
            <v>14060319020101</v>
          </cell>
          <cell r="C8920" t="str">
            <v>JCC JUD REFINANC TC VISA                1ND</v>
          </cell>
        </row>
        <row r="8921">
          <cell r="B8921" t="str">
            <v>14060319020102</v>
          </cell>
          <cell r="C8921" t="str">
            <v>JCC JUD REFINANC TC AMEX                1ND</v>
          </cell>
        </row>
        <row r="8922">
          <cell r="B8922" t="str">
            <v>14060319020103</v>
          </cell>
          <cell r="C8922" t="str">
            <v>JCC JUD REFINANC TC MC                  1ND</v>
          </cell>
        </row>
        <row r="8923">
          <cell r="B8923" t="str">
            <v>14060319060101</v>
          </cell>
          <cell r="C8923" t="str">
            <v>CL COB.JUD.REFINANCIADOS IC             1ND</v>
          </cell>
        </row>
        <row r="8924">
          <cell r="B8924" t="str">
            <v>14060319060102</v>
          </cell>
          <cell r="C8924" t="str">
            <v>CL JUD REFINANC CONVENIO NO REV.CNG     1ND</v>
          </cell>
        </row>
        <row r="8925">
          <cell r="B8925" t="str">
            <v>14060319060103</v>
          </cell>
          <cell r="C8925" t="str">
            <v>JCC COB.JUD.REFINANCIADOS               1ND</v>
          </cell>
        </row>
        <row r="8926">
          <cell r="B8926" t="str">
            <v>14060319060104</v>
          </cell>
          <cell r="C8926" t="str">
            <v>JCC JUD REFINANC CONVENIO NO REV.CNG    1ND</v>
          </cell>
        </row>
        <row r="8927">
          <cell r="B8927" t="str">
            <v>14060319080001</v>
          </cell>
          <cell r="C8927" t="str">
            <v>JCC JUD REFINANC TC VISA                1ND</v>
          </cell>
        </row>
        <row r="8928">
          <cell r="B8928" t="str">
            <v>14060319080002</v>
          </cell>
          <cell r="C8928" t="str">
            <v>JCC JUD REFINANC TC AMEX                1ND</v>
          </cell>
        </row>
        <row r="8929">
          <cell r="B8929" t="str">
            <v>14060319080003</v>
          </cell>
          <cell r="C8929" t="str">
            <v>JCC JUD REFINANC TC MC                  1ND</v>
          </cell>
        </row>
        <row r="8930">
          <cell r="B8930" t="str">
            <v>14060319990001</v>
          </cell>
          <cell r="C8930" t="str">
            <v>JCC COB.JUD.REFINANCIADOS               1ND</v>
          </cell>
        </row>
        <row r="8931">
          <cell r="B8931" t="str">
            <v>14060399000701</v>
          </cell>
          <cell r="C8931" t="str">
            <v>RCC  CRÃ‰DITOS DE CONSUMO - OTROS       1ND</v>
          </cell>
        </row>
        <row r="8932">
          <cell r="B8932" t="str">
            <v>14060406000101</v>
          </cell>
          <cell r="C8932" t="str">
            <v>CL COB.JUD.CRED. HIPOTECARIO IC         1ND</v>
          </cell>
        </row>
        <row r="8933">
          <cell r="B8933" t="str">
            <v>14060406000102</v>
          </cell>
          <cell r="C8933" t="str">
            <v>CL COB.JUD.CRED.HIPOTEC.CL              1ND</v>
          </cell>
        </row>
        <row r="8934">
          <cell r="B8934" t="str">
            <v>14060406000104</v>
          </cell>
          <cell r="C8934" t="str">
            <v>CL COB JUD CRED TECHOPROPIO-RECUPER C   1ND</v>
          </cell>
        </row>
        <row r="8935">
          <cell r="B8935" t="str">
            <v>14060406000105</v>
          </cell>
          <cell r="C8935" t="str">
            <v>CL COB JUD H. MIVIVIENDA RP             1ND</v>
          </cell>
        </row>
        <row r="8936">
          <cell r="B8936" t="str">
            <v>14060406010101</v>
          </cell>
          <cell r="C8936" t="str">
            <v>CL COB JUD CRED HIPOTEC-RECUPER CHPV    1ND</v>
          </cell>
        </row>
        <row r="8937">
          <cell r="B8937" t="str">
            <v>14060406010102</v>
          </cell>
          <cell r="C8937" t="str">
            <v>CL COB. JUD. CRED DE HIPOT CHPV         1ND</v>
          </cell>
        </row>
        <row r="8938">
          <cell r="B8938" t="str">
            <v>14060406010103</v>
          </cell>
          <cell r="C8938" t="str">
            <v>CL COB JUD H. MIVIVIENDA RP CHPV        1ND</v>
          </cell>
        </row>
        <row r="8939">
          <cell r="B8939" t="str">
            <v>14060406010201</v>
          </cell>
          <cell r="C8939" t="str">
            <v>JCC COB JUD CRED HIPOTEC-RECUPER CHPV   1ND</v>
          </cell>
        </row>
        <row r="8940">
          <cell r="B8940" t="str">
            <v>14060406010202</v>
          </cell>
          <cell r="C8940" t="str">
            <v>JCC COB JUD H. MIVIVIENDA RP CHPV       1ND</v>
          </cell>
        </row>
        <row r="8941">
          <cell r="B8941" t="str">
            <v>14060419060101</v>
          </cell>
          <cell r="C8941" t="str">
            <v>CL COB.JUD.REFIN.HIPOTEC.IC             1ND</v>
          </cell>
        </row>
        <row r="8942">
          <cell r="B8942" t="str">
            <v>14060419060102</v>
          </cell>
          <cell r="C8942" t="str">
            <v>JCC COB.JUD.REFIN.HIPOTEC.              1ND</v>
          </cell>
        </row>
        <row r="8943">
          <cell r="B8943" t="str">
            <v>14060423000102</v>
          </cell>
          <cell r="C8943" t="str">
            <v>REAJ INDEX CAPITAL PH MIVIVIENDA JUD CL 1ND</v>
          </cell>
        </row>
        <row r="8944">
          <cell r="B8944" t="str">
            <v>14060423000103</v>
          </cell>
          <cell r="C8944" t="str">
            <v>CL JUDIC.HIPOT.MI VIVIENDA COFIDE       1ND</v>
          </cell>
        </row>
        <row r="8945">
          <cell r="B8945" t="str">
            <v>14060423000104</v>
          </cell>
          <cell r="C8945" t="str">
            <v>CL BT JUD.HIP.MIVIV COFIDE              1ND</v>
          </cell>
        </row>
        <row r="8946">
          <cell r="B8946" t="str">
            <v>14060423000105</v>
          </cell>
          <cell r="C8946" t="str">
            <v>CL COB JUD H. MI HOGAR COFIDE           1ND</v>
          </cell>
        </row>
        <row r="8947">
          <cell r="B8947" t="str">
            <v>14060423000106</v>
          </cell>
          <cell r="C8947" t="str">
            <v>CL COB JUD CRED TECHOPROPIO-RECUPER CHPV1ND</v>
          </cell>
        </row>
        <row r="8948">
          <cell r="B8948" t="str">
            <v>14060423000107</v>
          </cell>
          <cell r="C8948" t="str">
            <v>JCC JUDIC.HIPOT.MI VIVIENDA COFIDE      1ND</v>
          </cell>
        </row>
        <row r="8949">
          <cell r="B8949" t="str">
            <v>14060423000108</v>
          </cell>
          <cell r="C8949" t="str">
            <v>JCC COB JUD H. MI HOGAR COFIDE          1ND</v>
          </cell>
        </row>
        <row r="8950">
          <cell r="B8950" t="str">
            <v>14060423000109</v>
          </cell>
          <cell r="C8950" t="str">
            <v>JCC COB JUD CRED TECHOPROPIO-RECUPER CHP1ND</v>
          </cell>
        </row>
        <row r="8951">
          <cell r="B8951" t="str">
            <v>14060702010101</v>
          </cell>
          <cell r="C8951" t="str">
            <v>CL JUD TC VISA PJ DISP EFEC CESP        1ND</v>
          </cell>
        </row>
        <row r="8952">
          <cell r="B8952" t="str">
            <v>14060702010102</v>
          </cell>
          <cell r="C8952" t="str">
            <v>CL COB. JUD. TARJ CRED.AMEX PJ DISP EFEC1ND</v>
          </cell>
        </row>
        <row r="8953">
          <cell r="B8953" t="str">
            <v>14060702010103</v>
          </cell>
          <cell r="C8953" t="str">
            <v>CL COB. JUD. TC MASTERC PJ-DISP EFEC CES1ND</v>
          </cell>
        </row>
        <row r="8954">
          <cell r="B8954" t="str">
            <v>14060702020101</v>
          </cell>
          <cell r="C8954" t="str">
            <v>CL JUD TC VISA PJ CONSU. CESP           1ND</v>
          </cell>
        </row>
        <row r="8955">
          <cell r="B8955" t="str">
            <v>14060702020102</v>
          </cell>
          <cell r="C8955" t="str">
            <v>CL COB. JUD. TARJ CRED.AMEX PJ CONSU CES1ND</v>
          </cell>
        </row>
        <row r="8956">
          <cell r="B8956" t="str">
            <v>14060702020103</v>
          </cell>
          <cell r="C8956" t="str">
            <v>CL COB. JUD. TC MASTERC PJ-CONSU CESP   1ND</v>
          </cell>
        </row>
        <row r="8957">
          <cell r="B8957" t="str">
            <v>14060702030101</v>
          </cell>
          <cell r="C8957" t="str">
            <v>JCC COB. JUD. TC MASTERC PJ-CONSU CESP  1ND</v>
          </cell>
        </row>
        <row r="8958">
          <cell r="B8958" t="str">
            <v>14060702030102</v>
          </cell>
          <cell r="C8958" t="str">
            <v>JCC JUD TC VISA PJ CONSU. CESP          1ND</v>
          </cell>
        </row>
        <row r="8959">
          <cell r="B8959" t="str">
            <v>14060702030103</v>
          </cell>
          <cell r="C8959" t="str">
            <v>JCC COB. JUD. TARJ CRED.AMEX PJ CONSU CE1ND</v>
          </cell>
        </row>
        <row r="8960">
          <cell r="B8960" t="str">
            <v>14060702030104</v>
          </cell>
          <cell r="C8960" t="str">
            <v>JCC COB. JUD. TC MASTERC PJ-DISP EFEC CE1ND</v>
          </cell>
        </row>
        <row r="8961">
          <cell r="B8961" t="str">
            <v>14060702030105</v>
          </cell>
          <cell r="C8961" t="str">
            <v>JCC JUD TC VISA PJ DISP EFEC CESP       1ND</v>
          </cell>
        </row>
        <row r="8962">
          <cell r="B8962" t="str">
            <v>14060702030106</v>
          </cell>
          <cell r="C8962" t="str">
            <v>JCC COB. JUD. TARJ CRED.AMEX PJ DISP EFE1ND</v>
          </cell>
        </row>
        <row r="8963">
          <cell r="B8963" t="str">
            <v>14060704000101</v>
          </cell>
          <cell r="C8963" t="str">
            <v>CL COB. JUD. SOBREG CCTE. PJ CESP       1ND</v>
          </cell>
        </row>
        <row r="8964">
          <cell r="B8964" t="str">
            <v>14060704000201</v>
          </cell>
          <cell r="C8964" t="str">
            <v>JCC COB. JUD. SOBREG CCTE. PJ CESP      1ND</v>
          </cell>
        </row>
        <row r="8965">
          <cell r="B8965" t="str">
            <v>14060705010101</v>
          </cell>
          <cell r="C8965" t="str">
            <v>CL COB.JUD. DESCTO. PAG CESP            1ND</v>
          </cell>
        </row>
        <row r="8966">
          <cell r="B8966" t="str">
            <v>14060705020101</v>
          </cell>
          <cell r="C8966" t="str">
            <v>CL COB. JUD. DSCTO. LETRAS CESP-CL      1ND</v>
          </cell>
        </row>
        <row r="8967">
          <cell r="B8967" t="str">
            <v>14060705030101</v>
          </cell>
          <cell r="C8967" t="str">
            <v>JCC COB.JUD. DESCTO. PAG CESP           1ND</v>
          </cell>
        </row>
        <row r="8968">
          <cell r="B8968" t="str">
            <v>14060705030102</v>
          </cell>
          <cell r="C8968" t="str">
            <v>JCC COB. JUD. DSCTO. LETRAS CESP-JCC    1ND</v>
          </cell>
        </row>
        <row r="8969">
          <cell r="B8969" t="str">
            <v>14060706000102</v>
          </cell>
          <cell r="C8969" t="str">
            <v>CL COB.JUDIC PAG TV COFIDE REVOL CESP   1ND</v>
          </cell>
        </row>
        <row r="8970">
          <cell r="B8970" t="str">
            <v>14060706010103</v>
          </cell>
          <cell r="C8970" t="str">
            <v>CL COB.JUDIC PAG TV COFIDE REVOL CESP   1ND</v>
          </cell>
        </row>
        <row r="8971">
          <cell r="B8971" t="str">
            <v>14060706010104</v>
          </cell>
          <cell r="C8971" t="str">
            <v>CL COB. JUD. RP CAP. DE TRAB CESP       1ND</v>
          </cell>
        </row>
        <row r="8972">
          <cell r="B8972" t="str">
            <v>14060706010201</v>
          </cell>
          <cell r="C8972" t="str">
            <v>JCC COB. JUD. RP CAP. DE TRAB CESP      1ND</v>
          </cell>
        </row>
        <row r="8973">
          <cell r="B8973" t="str">
            <v>14060706010202</v>
          </cell>
          <cell r="C8973" t="str">
            <v>JCC COB.JUDIC PAG TV COFIDE REVOL CESP  1ND</v>
          </cell>
        </row>
        <row r="8974">
          <cell r="B8974" t="str">
            <v>14060706020101</v>
          </cell>
          <cell r="C8974" t="str">
            <v>CL COB JUD P TV MED PLZ C/FIJA CESP     1ND</v>
          </cell>
        </row>
        <row r="8975">
          <cell r="B8975" t="str">
            <v>14060706020201</v>
          </cell>
          <cell r="C8975" t="str">
            <v>JCC COB JUD P TV MED PLZ C/FIJA CESP    1ND</v>
          </cell>
        </row>
        <row r="8976">
          <cell r="B8976" t="str">
            <v>14060706090101</v>
          </cell>
          <cell r="C8976" t="str">
            <v>CL COB. JUD. RP CAP. DE TRAB NR CESP    1ND</v>
          </cell>
        </row>
        <row r="8977">
          <cell r="B8977" t="str">
            <v>14060706090102</v>
          </cell>
          <cell r="C8977" t="str">
            <v>CL COB.JUDIC PAG TV COFIDE NO REVOL CESP1ND</v>
          </cell>
        </row>
        <row r="8978">
          <cell r="B8978" t="str">
            <v>14060706090103</v>
          </cell>
          <cell r="C8978" t="str">
            <v>CL COB. JUD. CARTA FIANZA CESP          1ND</v>
          </cell>
        </row>
        <row r="8979">
          <cell r="B8979" t="str">
            <v>14060706090201</v>
          </cell>
          <cell r="C8979" t="str">
            <v>JCC COB. JUD. RP CAP. DE TRAB NR CESP   1ND</v>
          </cell>
        </row>
        <row r="8980">
          <cell r="B8980" t="str">
            <v>14060706090202</v>
          </cell>
          <cell r="C8980" t="str">
            <v>JCC COB.JUDIC PAG TV COFIDE NO REVOL CES1ND</v>
          </cell>
        </row>
        <row r="8981">
          <cell r="B8981" t="str">
            <v>14060710000101</v>
          </cell>
          <cell r="C8981" t="str">
            <v>CL COB. JUD. FACTORING LETRAS CESP      1ND</v>
          </cell>
        </row>
        <row r="8982">
          <cell r="B8982" t="str">
            <v>14060710000102</v>
          </cell>
          <cell r="C8982" t="str">
            <v>CL COB. JUD. FACTORING FACT. CESP       1ND</v>
          </cell>
        </row>
        <row r="8983">
          <cell r="B8983" t="str">
            <v>14060710000201</v>
          </cell>
          <cell r="C8983" t="str">
            <v>JCC COB. JUD. FACTORING LETRAS CESP     1ND</v>
          </cell>
        </row>
        <row r="8984">
          <cell r="B8984" t="str">
            <v>14060710000202</v>
          </cell>
          <cell r="C8984" t="str">
            <v>JCC COB. JUD. FACTORING FACT. CESP      1ND</v>
          </cell>
        </row>
        <row r="8985">
          <cell r="B8985" t="str">
            <v>14060711000101</v>
          </cell>
          <cell r="C8985" t="str">
            <v>CL COB. JUD. ARREND. FINANC PJ CESP     1ND</v>
          </cell>
        </row>
        <row r="8986">
          <cell r="B8986" t="str">
            <v>14060711000201</v>
          </cell>
          <cell r="C8986" t="str">
            <v>JCC COB. JUD. ARREND. FINANC PJ CESP    1ND</v>
          </cell>
        </row>
        <row r="8987">
          <cell r="B8987" t="str">
            <v>14060721000101</v>
          </cell>
          <cell r="C8987" t="str">
            <v>JCC COB. JUD. CARTA FIANZA CESP         1ND</v>
          </cell>
        </row>
        <row r="8988">
          <cell r="B8988" t="str">
            <v>14060726000101</v>
          </cell>
          <cell r="C8988" t="str">
            <v>CL  PREST COBR JUDIC EXPORT CESP        1ND</v>
          </cell>
        </row>
        <row r="8989">
          <cell r="B8989" t="str">
            <v>14060726000102</v>
          </cell>
          <cell r="C8989" t="str">
            <v>CL COB.JUD.PAG.IMPORTAC CESP            1ND</v>
          </cell>
        </row>
        <row r="8990">
          <cell r="B8990" t="str">
            <v>14060726000103</v>
          </cell>
          <cell r="C8990" t="str">
            <v>CL COB.JUD CARTAS DE CRED. CESP         1ND</v>
          </cell>
        </row>
        <row r="8991">
          <cell r="B8991" t="str">
            <v>14060726000104</v>
          </cell>
          <cell r="C8991" t="str">
            <v>CL COB. JUD. CARTA FIANZA CESP          1ND</v>
          </cell>
        </row>
        <row r="8992">
          <cell r="B8992" t="str">
            <v>14060726000105</v>
          </cell>
          <cell r="C8992" t="str">
            <v>CL COB.JUD.PAG.IMPORTAC CESP            1ND</v>
          </cell>
        </row>
        <row r="8993">
          <cell r="B8993" t="str">
            <v>14060726000201</v>
          </cell>
          <cell r="C8993" t="str">
            <v>JCC  PREST COBR JUDIC EXPORT CESP       1ND</v>
          </cell>
        </row>
        <row r="8994">
          <cell r="B8994" t="str">
            <v>14060726000202</v>
          </cell>
          <cell r="C8994" t="str">
            <v>JCC COB.JUD.PAG.IMPORTAC CESP           1ND</v>
          </cell>
        </row>
        <row r="8995">
          <cell r="B8995" t="str">
            <v>14060726000203</v>
          </cell>
          <cell r="C8995" t="str">
            <v>JCC COB.JUD CARTAS DE CRED. CESP        1ND</v>
          </cell>
        </row>
        <row r="8996">
          <cell r="B8996" t="str">
            <v>14060726000204</v>
          </cell>
          <cell r="C8996" t="str">
            <v>JCC COB. JUD. CARTA FIANZA CESP         1ND</v>
          </cell>
        </row>
        <row r="8997">
          <cell r="B8997" t="str">
            <v>14060906060101</v>
          </cell>
          <cell r="C8997" t="str">
            <v>BANCO CENTRAL DE RESERVA DEL PERU       1ND</v>
          </cell>
        </row>
        <row r="8998">
          <cell r="B8998" t="str">
            <v>14060906060102</v>
          </cell>
          <cell r="C8998" t="str">
            <v>BANCO DE LA NACIÃ“N                     1ND</v>
          </cell>
        </row>
        <row r="8999">
          <cell r="B8999" t="str">
            <v>14060906060103</v>
          </cell>
          <cell r="C8999" t="str">
            <v>BANCODE CREDITO DEL PERU                1ND</v>
          </cell>
        </row>
        <row r="9000">
          <cell r="B9000" t="str">
            <v>14060906060104</v>
          </cell>
          <cell r="C9000" t="str">
            <v>BANCO INTERNACIONAL DEL PERU - INTERBANK1ND</v>
          </cell>
        </row>
        <row r="9001">
          <cell r="B9001" t="str">
            <v>14060906060105</v>
          </cell>
          <cell r="C9001" t="str">
            <v>SCOTIABANK PERU S. A. A.                1ND</v>
          </cell>
        </row>
        <row r="9002">
          <cell r="B9002" t="str">
            <v>14060906060106</v>
          </cell>
          <cell r="C9002" t="str">
            <v>BANCO CONTINENTAL                       1ND</v>
          </cell>
        </row>
        <row r="9003">
          <cell r="B9003" t="str">
            <v>14060906060108</v>
          </cell>
          <cell r="C9003" t="str">
            <v>BANCO DE COMERCIO                       1ND</v>
          </cell>
        </row>
        <row r="9004">
          <cell r="B9004" t="str">
            <v>14060906060109</v>
          </cell>
          <cell r="C9004" t="str">
            <v>BANCO FINANCIERO DEL PERU               1ND</v>
          </cell>
        </row>
        <row r="9005">
          <cell r="B9005" t="str">
            <v>14060906060116</v>
          </cell>
          <cell r="C9005" t="str">
            <v>CITIBANK N. A.   SUCURSAL EN EL PERU DEL1ND</v>
          </cell>
        </row>
        <row r="9006">
          <cell r="B9006" t="str">
            <v>14060906060121</v>
          </cell>
          <cell r="C9006" t="str">
            <v>BANCO INTERAMERICANO DE FINANZAS - S. A.1ND</v>
          </cell>
        </row>
        <row r="9007">
          <cell r="B9007" t="str">
            <v>14060906060128</v>
          </cell>
          <cell r="C9007" t="str">
            <v>CORPORACIÃ“N FINANCIERA DE DESARROLLO S.1ND</v>
          </cell>
        </row>
        <row r="9008">
          <cell r="B9008" t="str">
            <v>14060906060129</v>
          </cell>
          <cell r="C9008" t="str">
            <v>MIBANCO BANCO DE LA MICROEMPRESA - MIBAN1ND</v>
          </cell>
        </row>
        <row r="9009">
          <cell r="B9009" t="str">
            <v>14060906060131</v>
          </cell>
          <cell r="C9009" t="str">
            <v>BANCO AGROPECUARIO - AGROBANCO          1ND</v>
          </cell>
        </row>
        <row r="9010">
          <cell r="B9010" t="str">
            <v>14060906060132</v>
          </cell>
          <cell r="C9010" t="str">
            <v>HSBC BANK PERU S. A.                    1ND</v>
          </cell>
        </row>
        <row r="9011">
          <cell r="B9011" t="str">
            <v>14060906060133</v>
          </cell>
          <cell r="C9011" t="str">
            <v>BANCO FALABELLA DEL PERU                1ND</v>
          </cell>
        </row>
        <row r="9012">
          <cell r="B9012" t="str">
            <v>14060906060134</v>
          </cell>
          <cell r="C9012" t="str">
            <v>BANCO SANTANDER PERU S. A.              1ND</v>
          </cell>
        </row>
        <row r="9013">
          <cell r="B9013" t="str">
            <v>14060906060135</v>
          </cell>
          <cell r="C9013" t="str">
            <v>BANCO RIPLEY S. A.                      1ND</v>
          </cell>
        </row>
        <row r="9014">
          <cell r="B9014" t="str">
            <v>14060906060136</v>
          </cell>
          <cell r="C9014" t="str">
            <v>BANCO AZTECA DEL PERU S. A.             1ND</v>
          </cell>
        </row>
        <row r="9015">
          <cell r="B9015" t="str">
            <v>14060906060137</v>
          </cell>
          <cell r="C9015" t="str">
            <v>DEUTSCHE BANK (PERU) S. A.              1ND</v>
          </cell>
        </row>
        <row r="9016">
          <cell r="B9016" t="str">
            <v>14060906060199</v>
          </cell>
          <cell r="C9016" t="str">
            <v>BANCOS EN LIQUIDACIÃ“N                  1ND</v>
          </cell>
        </row>
        <row r="9017">
          <cell r="B9017" t="str">
            <v>14060906060203</v>
          </cell>
          <cell r="C9017" t="str">
            <v>SOLUCIÃ“N FINANCIERADE CREDITO DEL PERU 1ND</v>
          </cell>
        </row>
        <row r="9018">
          <cell r="B9018" t="str">
            <v>14060906060207</v>
          </cell>
          <cell r="C9018" t="str">
            <v>FINANCIERA TFC S. A.                    1ND</v>
          </cell>
        </row>
        <row r="9019">
          <cell r="B9019" t="str">
            <v>14060906060209</v>
          </cell>
          <cell r="C9019" t="str">
            <v>FINANCIERA EDYFICAR S. A.               1ND</v>
          </cell>
        </row>
        <row r="9020">
          <cell r="B9020" t="str">
            <v>14060906060210</v>
          </cell>
          <cell r="C9020" t="str">
            <v>CREDISCOTIA FINANCIERA S. A.            1ND</v>
          </cell>
        </row>
        <row r="9021">
          <cell r="B9021" t="str">
            <v>14060906060211</v>
          </cell>
          <cell r="C9021" t="str">
            <v>FINANCIERA CREAR S. A.                  1ND</v>
          </cell>
        </row>
        <row r="9022">
          <cell r="B9022" t="str">
            <v>14060906060212</v>
          </cell>
          <cell r="C9022" t="str">
            <v>FINANCIERA CONFIANZA S. A.              1ND</v>
          </cell>
        </row>
        <row r="9023">
          <cell r="B9023" t="str">
            <v>14060906060213</v>
          </cell>
          <cell r="C9023" t="str">
            <v>FINANCIERA UNIVERSAL S. A.              1ND</v>
          </cell>
        </row>
        <row r="9024">
          <cell r="B9024" t="str">
            <v>14060906060214</v>
          </cell>
          <cell r="C9024" t="str">
            <v>FINANCIERA UNO S. A.                    1ND</v>
          </cell>
        </row>
        <row r="9025">
          <cell r="B9025" t="str">
            <v>14060906060215</v>
          </cell>
          <cell r="C9025" t="str">
            <v>FINANCIERA EFECTIVA S. A.               1ND</v>
          </cell>
        </row>
        <row r="9026">
          <cell r="B9026" t="str">
            <v>14060906060216</v>
          </cell>
          <cell r="C9026" t="str">
            <v>AMERIKA FINANCIERA S. A.                1ND</v>
          </cell>
        </row>
        <row r="9027">
          <cell r="B9027" t="str">
            <v>14060906060299</v>
          </cell>
          <cell r="C9027" t="str">
            <v>FINANCIERAS EN LIQUIDACIÃ“N             1ND</v>
          </cell>
        </row>
        <row r="9028">
          <cell r="B9028" t="str">
            <v>14060906060301</v>
          </cell>
          <cell r="C9028" t="str">
            <v>CAJA MUNICIPAL DE AHORRO YCREDITO DE SUL1ND</v>
          </cell>
        </row>
        <row r="9029">
          <cell r="B9029" t="str">
            <v>14060906060302</v>
          </cell>
          <cell r="C9029" t="str">
            <v>CAJA MUNICIPALDE CREDITO POPULAR DE LIMA1ND</v>
          </cell>
        </row>
        <row r="9030">
          <cell r="B9030" t="str">
            <v>14060906060303</v>
          </cell>
          <cell r="C9030" t="str">
            <v>CAJA MUNICIPAL DE AHORRO YCREDITO DE PIU1ND</v>
          </cell>
        </row>
        <row r="9031">
          <cell r="B9031" t="str">
            <v>14060906060304</v>
          </cell>
          <cell r="C9031" t="str">
            <v>CAJA MUNICIPAL DE AHORRO YCREDITO DE ARE1ND</v>
          </cell>
        </row>
        <row r="9032">
          <cell r="B9032" t="str">
            <v>14060906060305</v>
          </cell>
          <cell r="C9032" t="str">
            <v>CAJA MUNICIPAL DE AHORRO YCREDITO DE HUA1ND</v>
          </cell>
        </row>
        <row r="9033">
          <cell r="B9033" t="str">
            <v>14060906060306</v>
          </cell>
          <cell r="C9033" t="str">
            <v>CAJA MUNICIPAL DE AHORRO YCREDITO CUSCO 1ND</v>
          </cell>
        </row>
        <row r="9034">
          <cell r="B9034" t="str">
            <v>14060906060307</v>
          </cell>
          <cell r="C9034" t="str">
            <v>CAJA MUNICIPAL DE AHORRO YCREDITO DE MAY1ND</v>
          </cell>
        </row>
        <row r="9035">
          <cell r="B9035" t="str">
            <v>14060906060308</v>
          </cell>
          <cell r="C9035" t="str">
            <v>CAJA MUNICIPAL DE AHORRO YCREDITO DE ICA1ND</v>
          </cell>
        </row>
        <row r="9036">
          <cell r="B9036" t="str">
            <v>14060906060309</v>
          </cell>
          <cell r="C9036" t="str">
            <v>CAJA MUNICIPAL DE AHORRO YCREDITO DE PAI1ND</v>
          </cell>
        </row>
        <row r="9037">
          <cell r="B9037" t="str">
            <v>14060906060310</v>
          </cell>
          <cell r="C9037" t="str">
            <v>CAJA MUNICIPAL DE AHORRO YCREDITO DEL SA1ND</v>
          </cell>
        </row>
        <row r="9038">
          <cell r="B9038" t="str">
            <v>14060906060311</v>
          </cell>
          <cell r="C9038" t="str">
            <v>CAJA MUNICIPAL DE AHORRO YCREDITO DE TRU1ND</v>
          </cell>
        </row>
        <row r="9039">
          <cell r="B9039" t="str">
            <v>14060906060312</v>
          </cell>
          <cell r="C9039" t="str">
            <v>CAJA MUNICIPAL DE AHORRO YCREDITO DE TAC1ND</v>
          </cell>
        </row>
        <row r="9040">
          <cell r="B9040" t="str">
            <v>14060906060313</v>
          </cell>
          <cell r="C9040" t="str">
            <v>CAJA MUNICIPAL DE AHORRO YCREDITO DE PIS1ND</v>
          </cell>
        </row>
        <row r="9041">
          <cell r="B9041" t="str">
            <v>14060906060399</v>
          </cell>
          <cell r="C9041" t="str">
            <v>CAJAS MUNICIPALES DE AHORRO YCREDITO EN 1ND</v>
          </cell>
        </row>
        <row r="9042">
          <cell r="B9042" t="str">
            <v>14060906060403</v>
          </cell>
          <cell r="C9042" t="str">
            <v>CAJA RURAL DE AHORRO YCREDITO QUILLABAMB1ND</v>
          </cell>
        </row>
        <row r="9043">
          <cell r="B9043" t="str">
            <v>14060906060405</v>
          </cell>
          <cell r="C9043" t="str">
            <v>CAJA RURAL DE AHORRO YCREDITO LOS LIBERT1ND</v>
          </cell>
        </row>
        <row r="9044">
          <cell r="B9044" t="str">
            <v>14060906060406</v>
          </cell>
          <cell r="C9044" t="str">
            <v>CAJA RURAL DE AHORRO YCREDITO SEÃ‘OR DE 1ND</v>
          </cell>
        </row>
        <row r="9045">
          <cell r="B9045" t="str">
            <v>14060906060407</v>
          </cell>
          <cell r="C9045" t="str">
            <v>CAJA RURAL DE AHORRO YCREDITO CHAVÃN S.1ND</v>
          </cell>
        </row>
        <row r="9046">
          <cell r="B9046" t="str">
            <v>14060906060408</v>
          </cell>
          <cell r="C9046" t="str">
            <v>CAJA RURAL DE AHORRO YCREDITO NUESTRA GE1ND</v>
          </cell>
        </row>
        <row r="9047">
          <cell r="B9047" t="str">
            <v>14060906060409</v>
          </cell>
          <cell r="C9047" t="str">
            <v>CAJA RURAL DE AHORRO YCREDITO CAJAMARCA 1ND</v>
          </cell>
        </row>
        <row r="9048">
          <cell r="B9048" t="str">
            <v>14060906060410</v>
          </cell>
          <cell r="C9048" t="str">
            <v>CAJA RURAL DE AHORRO YCREDITO PROFINANZA1ND</v>
          </cell>
        </row>
        <row r="9049">
          <cell r="B9049" t="str">
            <v>14060906060412</v>
          </cell>
          <cell r="C9049" t="str">
            <v>CAJA RURAL DE AHORRO YCREDITO SIPÃN S. 1ND</v>
          </cell>
        </row>
        <row r="9050">
          <cell r="B9050" t="str">
            <v>14060906060414</v>
          </cell>
          <cell r="C9050" t="str">
            <v>CAJA RURAL DE AHORRO YCREDITO PRYMERA S.1ND</v>
          </cell>
        </row>
        <row r="9051">
          <cell r="B9051" t="str">
            <v>14060906060415</v>
          </cell>
          <cell r="C9051" t="str">
            <v>CAJA RURAL DE AHORRO YCREDITO LOS ANDES 1ND</v>
          </cell>
        </row>
        <row r="9052">
          <cell r="B9052" t="str">
            <v>14060906060499</v>
          </cell>
          <cell r="C9052" t="str">
            <v>CAJAS RURALES DE AHORRO YCREDITO EN LIQU1ND</v>
          </cell>
        </row>
        <row r="9053">
          <cell r="B9053" t="str">
            <v>14060906060503</v>
          </cell>
          <cell r="C9053" t="str">
            <v>PROEMPRESA S. A.                        1ND</v>
          </cell>
        </row>
        <row r="9054">
          <cell r="B9054" t="str">
            <v>14060906060506</v>
          </cell>
          <cell r="C9054" t="str">
            <v>NUEVA VISIÃ“N S. A.                     1ND</v>
          </cell>
        </row>
        <row r="9055">
          <cell r="B9055" t="str">
            <v>14060906060508</v>
          </cell>
          <cell r="C9055" t="str">
            <v>RAIZ S. A.                              1ND</v>
          </cell>
        </row>
        <row r="9056">
          <cell r="B9056" t="str">
            <v>14060906060510</v>
          </cell>
          <cell r="C9056" t="str">
            <v>SOLIDARIDAD S. A.                       1ND</v>
          </cell>
        </row>
        <row r="9057">
          <cell r="B9057" t="str">
            <v>14060906060511</v>
          </cell>
          <cell r="C9057" t="str">
            <v>CREDIVISIÃ“N S. A.                      1ND</v>
          </cell>
        </row>
        <row r="9058">
          <cell r="B9058" t="str">
            <v>14060906060512</v>
          </cell>
          <cell r="C9058" t="str">
            <v>ACCESO CREDITICIO S. A.                 1ND</v>
          </cell>
        </row>
        <row r="9059">
          <cell r="B9059" t="str">
            <v>14060906060514</v>
          </cell>
          <cell r="C9059" t="str">
            <v>ALTERNATIVA S. A.                       1ND</v>
          </cell>
        </row>
        <row r="9060">
          <cell r="B9060" t="str">
            <v>14060906060515</v>
          </cell>
          <cell r="C9060" t="str">
            <v>PRONEGOCIOS S. A.                       1ND</v>
          </cell>
        </row>
        <row r="9061">
          <cell r="B9061" t="str">
            <v>14060906060516</v>
          </cell>
          <cell r="C9061" t="str">
            <v>MICASITA S. A.                          1ND</v>
          </cell>
        </row>
        <row r="9062">
          <cell r="B9062" t="str">
            <v>14060906060517</v>
          </cell>
          <cell r="C9062" t="str">
            <v>CREDIJET DEL PERU S. A.                 1ND</v>
          </cell>
        </row>
        <row r="9063">
          <cell r="B9063" t="str">
            <v>14060906060599</v>
          </cell>
          <cell r="C9063" t="str">
            <v>EDPYMES EN LIQUIDACIÃ“N                 1ND</v>
          </cell>
        </row>
        <row r="9064">
          <cell r="B9064" t="str">
            <v>14060906060710</v>
          </cell>
          <cell r="C9064" t="str">
            <v>LEASING TOTAL S. A.                     1ND</v>
          </cell>
        </row>
        <row r="9065">
          <cell r="B9065" t="str">
            <v>14060906060711</v>
          </cell>
          <cell r="C9065" t="str">
            <v>MITSUI - MASA LEASING S. A.             1ND</v>
          </cell>
        </row>
        <row r="9066">
          <cell r="B9066" t="str">
            <v>14060906060799</v>
          </cell>
          <cell r="C9066" t="str">
            <v>LEASING EN LIQUIDACIÃ“N                 1ND</v>
          </cell>
        </row>
        <row r="9067">
          <cell r="B9067" t="str">
            <v>14060906060801</v>
          </cell>
          <cell r="C9067" t="str">
            <v>FONDO DE GARANTÃA PARA PRSTAMOS A LA PE1ND</v>
          </cell>
        </row>
        <row r="9068">
          <cell r="B9068" t="str">
            <v>14060906061301</v>
          </cell>
          <cell r="C9068" t="str">
            <v>LA FIDUCIARIA S. A.                     1ND</v>
          </cell>
        </row>
        <row r="9069">
          <cell r="B9069" t="str">
            <v>14060906061302</v>
          </cell>
          <cell r="C9069" t="str">
            <v>FIDUCIARIA GBC S. A.                    1ND</v>
          </cell>
        </row>
        <row r="9070">
          <cell r="B9070" t="str">
            <v>14060906061401</v>
          </cell>
          <cell r="C9070" t="str">
            <v>FONDO MIVIVIENDA S. A.                  1ND</v>
          </cell>
        </row>
        <row r="9071">
          <cell r="B9071" t="str">
            <v>14060906061501</v>
          </cell>
          <cell r="C9071" t="str">
            <v>AMRICA FACTORING S. A.                  1ND</v>
          </cell>
        </row>
        <row r="9072">
          <cell r="B9072" t="str">
            <v>14060906061601</v>
          </cell>
          <cell r="C9072" t="str">
            <v>INCASA S. A.                            1ND</v>
          </cell>
        </row>
        <row r="9073">
          <cell r="B9073" t="str">
            <v>14060906061701</v>
          </cell>
          <cell r="C9073" t="str">
            <v>BANCOS DEL EXTERIOR                     1ND</v>
          </cell>
        </row>
        <row r="9074">
          <cell r="B9074" t="str">
            <v>14060906061702</v>
          </cell>
          <cell r="C9074" t="str">
            <v>OTRAS EMPRESAS DEL SISTEMA FINANCIERO DE1ND</v>
          </cell>
        </row>
        <row r="9075">
          <cell r="B9075" t="str">
            <v>14060906070101</v>
          </cell>
          <cell r="C9075" t="str">
            <v>BANCO CENTRAL DE RESERVA DEL PERU       1ND</v>
          </cell>
        </row>
        <row r="9076">
          <cell r="B9076" t="str">
            <v>14060906070102</v>
          </cell>
          <cell r="C9076" t="str">
            <v>BANCO DE LA NACIÃ“N                     1ND</v>
          </cell>
        </row>
        <row r="9077">
          <cell r="B9077" t="str">
            <v>14060906070103</v>
          </cell>
          <cell r="C9077" t="str">
            <v>BANCODE CREDITO DEL PERU                1ND</v>
          </cell>
        </row>
        <row r="9078">
          <cell r="B9078" t="str">
            <v>14060906070104</v>
          </cell>
          <cell r="C9078" t="str">
            <v>BANCO INTERNACIONAL DEL PERU - INTERBANK1ND</v>
          </cell>
        </row>
        <row r="9079">
          <cell r="B9079" t="str">
            <v>14060906070105</v>
          </cell>
          <cell r="C9079" t="str">
            <v>SCOTIABANK PERU S. A. A.                1ND</v>
          </cell>
        </row>
        <row r="9080">
          <cell r="B9080" t="str">
            <v>14060906070106</v>
          </cell>
          <cell r="C9080" t="str">
            <v>BANCO CONTINENTAL                       1ND</v>
          </cell>
        </row>
        <row r="9081">
          <cell r="B9081" t="str">
            <v>14060906070108</v>
          </cell>
          <cell r="C9081" t="str">
            <v>BANCO DE COMERCIO                       1ND</v>
          </cell>
        </row>
        <row r="9082">
          <cell r="B9082" t="str">
            <v>14060906070109</v>
          </cell>
          <cell r="C9082" t="str">
            <v>BANCO FINANCIERO DEL PERU               1ND</v>
          </cell>
        </row>
        <row r="9083">
          <cell r="B9083" t="str">
            <v>14060906070116</v>
          </cell>
          <cell r="C9083" t="str">
            <v>CITIBANK N. A.   SUCURSAL EN EL PERU DEL1ND</v>
          </cell>
        </row>
        <row r="9084">
          <cell r="B9084" t="str">
            <v>14060906070121</v>
          </cell>
          <cell r="C9084" t="str">
            <v>BANCO INTERAMERICANO DE FINANZAS - S. A.1ND</v>
          </cell>
        </row>
        <row r="9085">
          <cell r="B9085" t="str">
            <v>14060906070128</v>
          </cell>
          <cell r="C9085" t="str">
            <v>CORPORACIÃ“N FINANCIERA DE DESARROLLO S.1ND</v>
          </cell>
        </row>
        <row r="9086">
          <cell r="B9086" t="str">
            <v>14060906070129</v>
          </cell>
          <cell r="C9086" t="str">
            <v>MIBANCO BANCO DE LA MICROEMPRESA - MIBAN1ND</v>
          </cell>
        </row>
        <row r="9087">
          <cell r="B9087" t="str">
            <v>14060906070131</v>
          </cell>
          <cell r="C9087" t="str">
            <v>BANCO AGROPECUARIO - AGROBANCO          1ND</v>
          </cell>
        </row>
        <row r="9088">
          <cell r="B9088" t="str">
            <v>14060906070132</v>
          </cell>
          <cell r="C9088" t="str">
            <v>HSBC BANK PERU S. A.                    1ND</v>
          </cell>
        </row>
        <row r="9089">
          <cell r="B9089" t="str">
            <v>14060906070133</v>
          </cell>
          <cell r="C9089" t="str">
            <v>BANCO FALABELLA DEL PERU                1ND</v>
          </cell>
        </row>
        <row r="9090">
          <cell r="B9090" t="str">
            <v>14060906070134</v>
          </cell>
          <cell r="C9090" t="str">
            <v>BANCO SANTANDER PERU S. A.              1ND</v>
          </cell>
        </row>
        <row r="9091">
          <cell r="B9091" t="str">
            <v>14060906070135</v>
          </cell>
          <cell r="C9091" t="str">
            <v>BANCO RIPLEY S. A.                      1ND</v>
          </cell>
        </row>
        <row r="9092">
          <cell r="B9092" t="str">
            <v>14060906070136</v>
          </cell>
          <cell r="C9092" t="str">
            <v>BANCO AZTECA DEL PERU S. A.             1ND</v>
          </cell>
        </row>
        <row r="9093">
          <cell r="B9093" t="str">
            <v>14060906070137</v>
          </cell>
          <cell r="C9093" t="str">
            <v>DEUTSCHE BANK (PERU) S. A.              1ND</v>
          </cell>
        </row>
        <row r="9094">
          <cell r="B9094" t="str">
            <v>14060906070199</v>
          </cell>
          <cell r="C9094" t="str">
            <v>BANCOS EN LIQUIDACIÃ“N                  1ND</v>
          </cell>
        </row>
        <row r="9095">
          <cell r="B9095" t="str">
            <v>14060906070203</v>
          </cell>
          <cell r="C9095" t="str">
            <v>SOLUCIÃ“N FINANCIERADE CREDITO DEL PERU 1ND</v>
          </cell>
        </row>
        <row r="9096">
          <cell r="B9096" t="str">
            <v>14060906070207</v>
          </cell>
          <cell r="C9096" t="str">
            <v>FINANCIERA TFC S. A.                    1ND</v>
          </cell>
        </row>
        <row r="9097">
          <cell r="B9097" t="str">
            <v>14060906070209</v>
          </cell>
          <cell r="C9097" t="str">
            <v>FINANCIERA EDYFICAR S. A.               1ND</v>
          </cell>
        </row>
        <row r="9098">
          <cell r="B9098" t="str">
            <v>14060906070210</v>
          </cell>
          <cell r="C9098" t="str">
            <v>CREDISCOTIA FINANCIERA S. A.            1ND</v>
          </cell>
        </row>
        <row r="9099">
          <cell r="B9099" t="str">
            <v>14060906070211</v>
          </cell>
          <cell r="C9099" t="str">
            <v>FINANCIERA CREAR S. A.                  1ND</v>
          </cell>
        </row>
        <row r="9100">
          <cell r="B9100" t="str">
            <v>14060906070212</v>
          </cell>
          <cell r="C9100" t="str">
            <v>FINANCIERA CONFIANZA S. A.              1ND</v>
          </cell>
        </row>
        <row r="9101">
          <cell r="B9101" t="str">
            <v>14060906070213</v>
          </cell>
          <cell r="C9101" t="str">
            <v>FINANCIERA UNIVERSAL S. A.              1ND</v>
          </cell>
        </row>
        <row r="9102">
          <cell r="B9102" t="str">
            <v>14060906070214</v>
          </cell>
          <cell r="C9102" t="str">
            <v>FINANCIERA UNO S. A.                    1ND</v>
          </cell>
        </row>
        <row r="9103">
          <cell r="B9103" t="str">
            <v>14060906070215</v>
          </cell>
          <cell r="C9103" t="str">
            <v>FINANCIERA EFECTIVA S. A.               1ND</v>
          </cell>
        </row>
        <row r="9104">
          <cell r="B9104" t="str">
            <v>14060906070216</v>
          </cell>
          <cell r="C9104" t="str">
            <v>AMERIKA FINANCIERA S. A.                1ND</v>
          </cell>
        </row>
        <row r="9105">
          <cell r="B9105" t="str">
            <v>14060906070299</v>
          </cell>
          <cell r="C9105" t="str">
            <v>FINANCIERAS EN LIQUIDACIÃ“N             1ND</v>
          </cell>
        </row>
        <row r="9106">
          <cell r="B9106" t="str">
            <v>14060906070301</v>
          </cell>
          <cell r="C9106" t="str">
            <v>CAJA MUNICIPAL DE AHORRO YCREDITO DE SUL1ND</v>
          </cell>
        </row>
        <row r="9107">
          <cell r="B9107" t="str">
            <v>14060906070302</v>
          </cell>
          <cell r="C9107" t="str">
            <v>CAJA MUNICIPALDE CREDITO POPULAR DE LIMA1ND</v>
          </cell>
        </row>
        <row r="9108">
          <cell r="B9108" t="str">
            <v>14060906070303</v>
          </cell>
          <cell r="C9108" t="str">
            <v>CAJA MUNICIPAL DE AHORRO YCREDITO DE PIU1ND</v>
          </cell>
        </row>
        <row r="9109">
          <cell r="B9109" t="str">
            <v>14060906070304</v>
          </cell>
          <cell r="C9109" t="str">
            <v>CAJA MUNICIPAL DE AHORRO YCREDITO DE ARE1ND</v>
          </cell>
        </row>
        <row r="9110">
          <cell r="B9110" t="str">
            <v>14060906070305</v>
          </cell>
          <cell r="C9110" t="str">
            <v>CAJA MUNICIPAL DE AHORRO YCREDITO DE HUA1ND</v>
          </cell>
        </row>
        <row r="9111">
          <cell r="B9111" t="str">
            <v>14060906070306</v>
          </cell>
          <cell r="C9111" t="str">
            <v>CAJA MUNICIPAL DE AHORRO YCREDITO CUSCO 1ND</v>
          </cell>
        </row>
        <row r="9112">
          <cell r="B9112" t="str">
            <v>14060906070307</v>
          </cell>
          <cell r="C9112" t="str">
            <v>CAJA MUNICIPAL DE AHORRO YCREDITO DE MAY1ND</v>
          </cell>
        </row>
        <row r="9113">
          <cell r="B9113" t="str">
            <v>14060906070308</v>
          </cell>
          <cell r="C9113" t="str">
            <v>CAJA MUNICIPAL DE AHORRO YCREDITO DE ICA1ND</v>
          </cell>
        </row>
        <row r="9114">
          <cell r="B9114" t="str">
            <v>14060906070309</v>
          </cell>
          <cell r="C9114" t="str">
            <v>CAJA MUNICIPAL DE AHORRO YCREDITO DE PAI1ND</v>
          </cell>
        </row>
        <row r="9115">
          <cell r="B9115" t="str">
            <v>14060906070310</v>
          </cell>
          <cell r="C9115" t="str">
            <v>CAJA MUNICIPAL DE AHORRO YCREDITO DEL SA1ND</v>
          </cell>
        </row>
        <row r="9116">
          <cell r="B9116" t="str">
            <v>14060906070311</v>
          </cell>
          <cell r="C9116" t="str">
            <v>CAJA MUNICIPAL DE AHORRO YCREDITO DE TRU1ND</v>
          </cell>
        </row>
        <row r="9117">
          <cell r="B9117" t="str">
            <v>14060906070312</v>
          </cell>
          <cell r="C9117" t="str">
            <v>CAJA MUNICIPAL DE AHORRO YCREDITO DE TAC1ND</v>
          </cell>
        </row>
        <row r="9118">
          <cell r="B9118" t="str">
            <v>14060906070313</v>
          </cell>
          <cell r="C9118" t="str">
            <v>CAJA MUNICIPAL DE AHORRO YCREDITO DE PIS1ND</v>
          </cell>
        </row>
        <row r="9119">
          <cell r="B9119" t="str">
            <v>14060906070399</v>
          </cell>
          <cell r="C9119" t="str">
            <v>CAJAS MUNICIPALES DE AHORRO YCREDITO EN 1ND</v>
          </cell>
        </row>
        <row r="9120">
          <cell r="B9120" t="str">
            <v>14060906070403</v>
          </cell>
          <cell r="C9120" t="str">
            <v>CAJA RURAL DE AHORRO YCREDITO QUILLABAMB1ND</v>
          </cell>
        </row>
        <row r="9121">
          <cell r="B9121" t="str">
            <v>14060906070405</v>
          </cell>
          <cell r="C9121" t="str">
            <v>CAJA RURAL DE AHORRO YCREDITO LOS LIBERT1ND</v>
          </cell>
        </row>
        <row r="9122">
          <cell r="B9122" t="str">
            <v>14060906070406</v>
          </cell>
          <cell r="C9122" t="str">
            <v>CAJA RURAL DE AHORRO YCREDITO SEÃ‘OR DE 1ND</v>
          </cell>
        </row>
        <row r="9123">
          <cell r="B9123" t="str">
            <v>14060906070407</v>
          </cell>
          <cell r="C9123" t="str">
            <v>CAJA RURAL DE AHORRO YCREDITO CHAVÃN S.1ND</v>
          </cell>
        </row>
        <row r="9124">
          <cell r="B9124" t="str">
            <v>14060906070408</v>
          </cell>
          <cell r="C9124" t="str">
            <v>CAJA RURAL DE AHORRO YCREDITO NUESTRA GE1ND</v>
          </cell>
        </row>
        <row r="9125">
          <cell r="B9125" t="str">
            <v>14060906070409</v>
          </cell>
          <cell r="C9125" t="str">
            <v>CAJA RURAL DE AHORRO YCREDITO CAJAMARCA 1ND</v>
          </cell>
        </row>
        <row r="9126">
          <cell r="B9126" t="str">
            <v>14060906070410</v>
          </cell>
          <cell r="C9126" t="str">
            <v>CAJA RURAL DE AHORRO YCREDITO PROFINANZA1ND</v>
          </cell>
        </row>
        <row r="9127">
          <cell r="B9127" t="str">
            <v>14060906070412</v>
          </cell>
          <cell r="C9127" t="str">
            <v>CAJA RURAL DE AHORRO YCREDITO SIPÃN S. 1ND</v>
          </cell>
        </row>
        <row r="9128">
          <cell r="B9128" t="str">
            <v>14060906070414</v>
          </cell>
          <cell r="C9128" t="str">
            <v>CAJA RURAL DE AHORRO YCREDITO PRYMERA S.1ND</v>
          </cell>
        </row>
        <row r="9129">
          <cell r="B9129" t="str">
            <v>14060906070415</v>
          </cell>
          <cell r="C9129" t="str">
            <v>CAJA RURAL DE AHORRO YCREDITO LOS ANDES 1ND</v>
          </cell>
        </row>
        <row r="9130">
          <cell r="B9130" t="str">
            <v>14060906070499</v>
          </cell>
          <cell r="C9130" t="str">
            <v>CAJAS RURALES DE AHORRO YCREDITO EN LIQU1ND</v>
          </cell>
        </row>
        <row r="9131">
          <cell r="B9131" t="str">
            <v>14060906070503</v>
          </cell>
          <cell r="C9131" t="str">
            <v>PROEMPRESA S. A.                        1ND</v>
          </cell>
        </row>
        <row r="9132">
          <cell r="B9132" t="str">
            <v>14060906070506</v>
          </cell>
          <cell r="C9132" t="str">
            <v>NUEVA VISIÃ“N S. A.                     1ND</v>
          </cell>
        </row>
        <row r="9133">
          <cell r="B9133" t="str">
            <v>14060906070508</v>
          </cell>
          <cell r="C9133" t="str">
            <v>RAIZ S. A.                              1ND</v>
          </cell>
        </row>
        <row r="9134">
          <cell r="B9134" t="str">
            <v>14060906070510</v>
          </cell>
          <cell r="C9134" t="str">
            <v>SOLIDARIDAD S. A.                       1ND</v>
          </cell>
        </row>
        <row r="9135">
          <cell r="B9135" t="str">
            <v>14060906070511</v>
          </cell>
          <cell r="C9135" t="str">
            <v>CREDIVISIÃ“N S. A.                      1ND</v>
          </cell>
        </row>
        <row r="9136">
          <cell r="B9136" t="str">
            <v>14060906070512</v>
          </cell>
          <cell r="C9136" t="str">
            <v>ACCESO CREDITICIO S. A.                 1ND</v>
          </cell>
        </row>
        <row r="9137">
          <cell r="B9137" t="str">
            <v>14060906070514</v>
          </cell>
          <cell r="C9137" t="str">
            <v>ALTERNATIVA S. A.                       1ND</v>
          </cell>
        </row>
        <row r="9138">
          <cell r="B9138" t="str">
            <v>14060906070515</v>
          </cell>
          <cell r="C9138" t="str">
            <v>PRONEGOCIOS S. A.                       1ND</v>
          </cell>
        </row>
        <row r="9139">
          <cell r="B9139" t="str">
            <v>14060906070516</v>
          </cell>
          <cell r="C9139" t="str">
            <v>MICASITA S. A.                          1ND</v>
          </cell>
        </row>
        <row r="9140">
          <cell r="B9140" t="str">
            <v>14060906070517</v>
          </cell>
          <cell r="C9140" t="str">
            <v>CREDIJET DEL PERU S. A.                 1ND</v>
          </cell>
        </row>
        <row r="9141">
          <cell r="B9141" t="str">
            <v>14060906070599</v>
          </cell>
          <cell r="C9141" t="str">
            <v>EDPYMES EN LIQUIDACIÃ“N                 1ND</v>
          </cell>
        </row>
        <row r="9142">
          <cell r="B9142" t="str">
            <v>14060906070710</v>
          </cell>
          <cell r="C9142" t="str">
            <v>LEASING TOTAL S. A.                     1ND</v>
          </cell>
        </row>
        <row r="9143">
          <cell r="B9143" t="str">
            <v>14060906070711</v>
          </cell>
          <cell r="C9143" t="str">
            <v>MITSUI - MASA LEASING S. A.             1ND</v>
          </cell>
        </row>
        <row r="9144">
          <cell r="B9144" t="str">
            <v>14060906070799</v>
          </cell>
          <cell r="C9144" t="str">
            <v>LEASING EN LIQUIDACIÃ“N                 1ND</v>
          </cell>
        </row>
        <row r="9145">
          <cell r="B9145" t="str">
            <v>14060906070801</v>
          </cell>
          <cell r="C9145" t="str">
            <v>FONDO DE GARANTÃA PARA PRSTAMOS A LA PE1ND</v>
          </cell>
        </row>
        <row r="9146">
          <cell r="B9146" t="str">
            <v>14060906071301</v>
          </cell>
          <cell r="C9146" t="str">
            <v>LA FIDUCIARIA S. A.                     1ND</v>
          </cell>
        </row>
        <row r="9147">
          <cell r="B9147" t="str">
            <v>14060906071302</v>
          </cell>
          <cell r="C9147" t="str">
            <v>FIDUCIARIA GBC S. A.                    1ND</v>
          </cell>
        </row>
        <row r="9148">
          <cell r="B9148" t="str">
            <v>14060906071401</v>
          </cell>
          <cell r="C9148" t="str">
            <v>FONDO MIVIVIENDA S. A.                  1ND</v>
          </cell>
        </row>
        <row r="9149">
          <cell r="B9149" t="str">
            <v>14060906071501</v>
          </cell>
          <cell r="C9149" t="str">
            <v>AMRICA FACTORING S. A.                  1ND</v>
          </cell>
        </row>
        <row r="9150">
          <cell r="B9150" t="str">
            <v>14060906071601</v>
          </cell>
          <cell r="C9150" t="str">
            <v>INCASA S. A.                            1ND</v>
          </cell>
        </row>
        <row r="9151">
          <cell r="B9151" t="str">
            <v>14060906071701</v>
          </cell>
          <cell r="C9151" t="str">
            <v>BANCOS DEL EXTERIOR                     1ND</v>
          </cell>
        </row>
        <row r="9152">
          <cell r="B9152" t="str">
            <v>14060906071702</v>
          </cell>
          <cell r="C9152" t="str">
            <v>OTRAS EMPRESAS DEL SISTEMA FINANCIERO DE1ND</v>
          </cell>
        </row>
        <row r="9153">
          <cell r="B9153" t="str">
            <v>14060918010101</v>
          </cell>
          <cell r="C9153" t="str">
            <v>BANCO CENTRAL DE RESERVA DEL PERU       1ND</v>
          </cell>
        </row>
        <row r="9154">
          <cell r="B9154" t="str">
            <v>14060918010102</v>
          </cell>
          <cell r="C9154" t="str">
            <v>BANCO DE LA NACIÃ“N                     1ND</v>
          </cell>
        </row>
        <row r="9155">
          <cell r="B9155" t="str">
            <v>14060918010103</v>
          </cell>
          <cell r="C9155" t="str">
            <v>BANCODE CREDITO DEL PERU                1ND</v>
          </cell>
        </row>
        <row r="9156">
          <cell r="B9156" t="str">
            <v>14060918010104</v>
          </cell>
          <cell r="C9156" t="str">
            <v>BANCO INTERNACIONAL DEL PERU - INTERBANK1ND</v>
          </cell>
        </row>
        <row r="9157">
          <cell r="B9157" t="str">
            <v>14060918010105</v>
          </cell>
          <cell r="C9157" t="str">
            <v>SCOTIABANK PERU S. A. A.                1ND</v>
          </cell>
        </row>
        <row r="9158">
          <cell r="B9158" t="str">
            <v>14060918010106</v>
          </cell>
          <cell r="C9158" t="str">
            <v>BANCO CONTINENTAL                       1ND</v>
          </cell>
        </row>
        <row r="9159">
          <cell r="B9159" t="str">
            <v>14060918010108</v>
          </cell>
          <cell r="C9159" t="str">
            <v>BANCO DE COMERCIO                       1ND</v>
          </cell>
        </row>
        <row r="9160">
          <cell r="B9160" t="str">
            <v>14060918010109</v>
          </cell>
          <cell r="C9160" t="str">
            <v>BANCO FINANCIERO DEL PERU               1ND</v>
          </cell>
        </row>
        <row r="9161">
          <cell r="B9161" t="str">
            <v>14060918010116</v>
          </cell>
          <cell r="C9161" t="str">
            <v>CITIBANK N. A.   SUCURSAL EN EL PERU DEL1ND</v>
          </cell>
        </row>
        <row r="9162">
          <cell r="B9162" t="str">
            <v>14060918010121</v>
          </cell>
          <cell r="C9162" t="str">
            <v>BANCO INTERAMERICANO DE FINANZAS - S. A.1ND</v>
          </cell>
        </row>
        <row r="9163">
          <cell r="B9163" t="str">
            <v>14060918010128</v>
          </cell>
          <cell r="C9163" t="str">
            <v>CORPORACIÃ“N FINANCIERA DE DESARROLLO S.1ND</v>
          </cell>
        </row>
        <row r="9164">
          <cell r="B9164" t="str">
            <v>14060918010129</v>
          </cell>
          <cell r="C9164" t="str">
            <v>MIBANCO BANCO DE LA MICROEMPRESA - MIBAN1ND</v>
          </cell>
        </row>
        <row r="9165">
          <cell r="B9165" t="str">
            <v>14060918010131</v>
          </cell>
          <cell r="C9165" t="str">
            <v>BANCO AGROPECUARIO - AGROBANCO          1ND</v>
          </cell>
        </row>
        <row r="9166">
          <cell r="B9166" t="str">
            <v>14060918010132</v>
          </cell>
          <cell r="C9166" t="str">
            <v>HSBC BANK PERU S. A.                    1ND</v>
          </cell>
        </row>
        <row r="9167">
          <cell r="B9167" t="str">
            <v>14060918010133</v>
          </cell>
          <cell r="C9167" t="str">
            <v>BANCO FALABELLA DEL PERU                1ND</v>
          </cell>
        </row>
        <row r="9168">
          <cell r="B9168" t="str">
            <v>14060918010134</v>
          </cell>
          <cell r="C9168" t="str">
            <v>BANCO SANTANDER PERU S. A.              1ND</v>
          </cell>
        </row>
        <row r="9169">
          <cell r="B9169" t="str">
            <v>14060918010135</v>
          </cell>
          <cell r="C9169" t="str">
            <v>BANCO RIPLEY S. A.                      1ND</v>
          </cell>
        </row>
        <row r="9170">
          <cell r="B9170" t="str">
            <v>14060918010136</v>
          </cell>
          <cell r="C9170" t="str">
            <v>BANCO AZTECA DEL PERU S. A.             1ND</v>
          </cell>
        </row>
        <row r="9171">
          <cell r="B9171" t="str">
            <v>14060918010137</v>
          </cell>
          <cell r="C9171" t="str">
            <v>DEUTSCHE BANK (PERU) S. A.              1ND</v>
          </cell>
        </row>
        <row r="9172">
          <cell r="B9172" t="str">
            <v>14060918010199</v>
          </cell>
          <cell r="C9172" t="str">
            <v>BANCOS EN LIQUIDACIÃ“N                  1ND</v>
          </cell>
        </row>
        <row r="9173">
          <cell r="B9173" t="str">
            <v>14060918010203</v>
          </cell>
          <cell r="C9173" t="str">
            <v>SOLUCIÃ“N FINANCIERADE CREDITO DEL PERU 1ND</v>
          </cell>
        </row>
        <row r="9174">
          <cell r="B9174" t="str">
            <v>14060918010207</v>
          </cell>
          <cell r="C9174" t="str">
            <v>FINANCIERA TFC S. A.                    1ND</v>
          </cell>
        </row>
        <row r="9175">
          <cell r="B9175" t="str">
            <v>14060918010209</v>
          </cell>
          <cell r="C9175" t="str">
            <v>FINANCIERA EDYFICAR S. A.               1ND</v>
          </cell>
        </row>
        <row r="9176">
          <cell r="B9176" t="str">
            <v>14060918010210</v>
          </cell>
          <cell r="C9176" t="str">
            <v>CREDISCOTIA FINANCIERA S. A.            1ND</v>
          </cell>
        </row>
        <row r="9177">
          <cell r="B9177" t="str">
            <v>14060918010211</v>
          </cell>
          <cell r="C9177" t="str">
            <v>FINANCIERA CREAR S. A.                  1ND</v>
          </cell>
        </row>
        <row r="9178">
          <cell r="B9178" t="str">
            <v>14060918010212</v>
          </cell>
          <cell r="C9178" t="str">
            <v>FINANCIERA CONFIANZA S. A.              1ND</v>
          </cell>
        </row>
        <row r="9179">
          <cell r="B9179" t="str">
            <v>14060918010213</v>
          </cell>
          <cell r="C9179" t="str">
            <v>FINANCIERA UNIVERSAL S. A.              1ND</v>
          </cell>
        </row>
        <row r="9180">
          <cell r="B9180" t="str">
            <v>14060918010214</v>
          </cell>
          <cell r="C9180" t="str">
            <v>FINANCIERA UNO S. A.                    1ND</v>
          </cell>
        </row>
        <row r="9181">
          <cell r="B9181" t="str">
            <v>14060918010215</v>
          </cell>
          <cell r="C9181" t="str">
            <v>FINANCIERA EFECTIVA S. A.               1ND</v>
          </cell>
        </row>
        <row r="9182">
          <cell r="B9182" t="str">
            <v>14060918010216</v>
          </cell>
          <cell r="C9182" t="str">
            <v>AMERIKA FINANCIERA S. A.                1ND</v>
          </cell>
        </row>
        <row r="9183">
          <cell r="B9183" t="str">
            <v>14060918010299</v>
          </cell>
          <cell r="C9183" t="str">
            <v>FINANCIERAS EN LIQUIDACIÃ“N             1ND</v>
          </cell>
        </row>
        <row r="9184">
          <cell r="B9184" t="str">
            <v>14060918010301</v>
          </cell>
          <cell r="C9184" t="str">
            <v>CAJA MUNICIPAL DE AHORRO YCREDITO DE SUL1ND</v>
          </cell>
        </row>
        <row r="9185">
          <cell r="B9185" t="str">
            <v>14060918010302</v>
          </cell>
          <cell r="C9185" t="str">
            <v>CAJA MUNICIPALDE CREDITO POPULAR DE LIMA1ND</v>
          </cell>
        </row>
        <row r="9186">
          <cell r="B9186" t="str">
            <v>14060918010303</v>
          </cell>
          <cell r="C9186" t="str">
            <v>CAJA MUNICIPAL DE AHORRO YCREDITO DE PIU1ND</v>
          </cell>
        </row>
        <row r="9187">
          <cell r="B9187" t="str">
            <v>14060918010304</v>
          </cell>
          <cell r="C9187" t="str">
            <v>CAJA MUNICIPAL DE AHORRO YCREDITO DE ARE1ND</v>
          </cell>
        </row>
        <row r="9188">
          <cell r="B9188" t="str">
            <v>14060918010305</v>
          </cell>
          <cell r="C9188" t="str">
            <v>CAJA MUNICIPAL DE AHORRO YCREDITO DE HUA1ND</v>
          </cell>
        </row>
        <row r="9189">
          <cell r="B9189" t="str">
            <v>14060918010306</v>
          </cell>
          <cell r="C9189" t="str">
            <v>CAJA MUNICIPAL DE AHORRO YCREDITO CUSCO 1ND</v>
          </cell>
        </row>
        <row r="9190">
          <cell r="B9190" t="str">
            <v>14060918010307</v>
          </cell>
          <cell r="C9190" t="str">
            <v>CAJA MUNICIPAL DE AHORRO YCREDITO DE MAY1ND</v>
          </cell>
        </row>
        <row r="9191">
          <cell r="B9191" t="str">
            <v>14060918010308</v>
          </cell>
          <cell r="C9191" t="str">
            <v>CAJA MUNICIPAL DE AHORRO YCREDITO DE ICA1ND</v>
          </cell>
        </row>
        <row r="9192">
          <cell r="B9192" t="str">
            <v>14060918010309</v>
          </cell>
          <cell r="C9192" t="str">
            <v>CAJA MUNICIPAL DE AHORRO YCREDITO DE PAI1ND</v>
          </cell>
        </row>
        <row r="9193">
          <cell r="B9193" t="str">
            <v>14060918010310</v>
          </cell>
          <cell r="C9193" t="str">
            <v>CAJA MUNICIPAL DE AHORRO YCREDITO DEL SA1ND</v>
          </cell>
        </row>
        <row r="9194">
          <cell r="B9194" t="str">
            <v>14060918010311</v>
          </cell>
          <cell r="C9194" t="str">
            <v>CAJA MUNICIPAL DE AHORRO YCREDITO DE TRU1ND</v>
          </cell>
        </row>
        <row r="9195">
          <cell r="B9195" t="str">
            <v>14060918010312</v>
          </cell>
          <cell r="C9195" t="str">
            <v>CAJA MUNICIPAL DE AHORRO YCREDITO DE TAC1ND</v>
          </cell>
        </row>
        <row r="9196">
          <cell r="B9196" t="str">
            <v>14060918010313</v>
          </cell>
          <cell r="C9196" t="str">
            <v>CAJA MUNICIPAL DE AHORRO YCREDITO DE PIS1ND</v>
          </cell>
        </row>
        <row r="9197">
          <cell r="B9197" t="str">
            <v>14060918010399</v>
          </cell>
          <cell r="C9197" t="str">
            <v>CAJAS MUNICIPALES DE AHORRO YCREDITO EN 1ND</v>
          </cell>
        </row>
        <row r="9198">
          <cell r="B9198" t="str">
            <v>14060918010403</v>
          </cell>
          <cell r="C9198" t="str">
            <v>CAJA RURAL DE AHORRO YCREDITO QUILLABAMB1ND</v>
          </cell>
        </row>
        <row r="9199">
          <cell r="B9199" t="str">
            <v>14060918010405</v>
          </cell>
          <cell r="C9199" t="str">
            <v>CAJA RURAL DE AHORRO YCREDITO LOS LIBERT1ND</v>
          </cell>
        </row>
        <row r="9200">
          <cell r="B9200" t="str">
            <v>14060918010406</v>
          </cell>
          <cell r="C9200" t="str">
            <v>CAJA RURAL DE AHORRO YCREDITO SEÃ‘OR DE 1ND</v>
          </cell>
        </row>
        <row r="9201">
          <cell r="B9201" t="str">
            <v>14060918010407</v>
          </cell>
          <cell r="C9201" t="str">
            <v>CAJA RURAL DE AHORRO YCREDITO CHAVÃN S.1ND</v>
          </cell>
        </row>
        <row r="9202">
          <cell r="B9202" t="str">
            <v>14060918010408</v>
          </cell>
          <cell r="C9202" t="str">
            <v>CAJA RURAL DE AHORRO YCREDITO NUESTRA GE1ND</v>
          </cell>
        </row>
        <row r="9203">
          <cell r="B9203" t="str">
            <v>14060918010409</v>
          </cell>
          <cell r="C9203" t="str">
            <v>CAJA RURAL DE AHORRO YCREDITO CAJAMARCA 1ND</v>
          </cell>
        </row>
        <row r="9204">
          <cell r="B9204" t="str">
            <v>14060918010410</v>
          </cell>
          <cell r="C9204" t="str">
            <v>CAJA RURAL DE AHORRO YCREDITO PROFINANZA1ND</v>
          </cell>
        </row>
        <row r="9205">
          <cell r="B9205" t="str">
            <v>14060918010412</v>
          </cell>
          <cell r="C9205" t="str">
            <v>CAJA RURAL DE AHORRO YCREDITO SIPÃN S. 1ND</v>
          </cell>
        </row>
        <row r="9206">
          <cell r="B9206" t="str">
            <v>14060918010414</v>
          </cell>
          <cell r="C9206" t="str">
            <v>CAJA RURAL DE AHORRO YCREDITO PRYMERA S.1ND</v>
          </cell>
        </row>
        <row r="9207">
          <cell r="B9207" t="str">
            <v>14060918010415</v>
          </cell>
          <cell r="C9207" t="str">
            <v>CAJA RURAL DE AHORRO YCREDITO LOS ANDES 1ND</v>
          </cell>
        </row>
        <row r="9208">
          <cell r="B9208" t="str">
            <v>14060918010499</v>
          </cell>
          <cell r="C9208" t="str">
            <v>CAJAS RURALES DE AHORRO YCREDITO EN LIQU1ND</v>
          </cell>
        </row>
        <row r="9209">
          <cell r="B9209" t="str">
            <v>14060918010503</v>
          </cell>
          <cell r="C9209" t="str">
            <v>PROEMPRESA S. A.                        1ND</v>
          </cell>
        </row>
        <row r="9210">
          <cell r="B9210" t="str">
            <v>14060918010506</v>
          </cell>
          <cell r="C9210" t="str">
            <v>NUEVA VISIÃ“N S. A.                     1ND</v>
          </cell>
        </row>
        <row r="9211">
          <cell r="B9211" t="str">
            <v>14060918010508</v>
          </cell>
          <cell r="C9211" t="str">
            <v>RAIZ S. A.                              1ND</v>
          </cell>
        </row>
        <row r="9212">
          <cell r="B9212" t="str">
            <v>14060918010510</v>
          </cell>
          <cell r="C9212" t="str">
            <v>SOLIDARIDAD S. A.                       1ND</v>
          </cell>
        </row>
        <row r="9213">
          <cell r="B9213" t="str">
            <v>14060918010511</v>
          </cell>
          <cell r="C9213" t="str">
            <v>CREDIVISIÃ“N S. A.                      1ND</v>
          </cell>
        </row>
        <row r="9214">
          <cell r="B9214" t="str">
            <v>14060918010512</v>
          </cell>
          <cell r="C9214" t="str">
            <v>ACCESO CREDITICIO S. A.                 1ND</v>
          </cell>
        </row>
        <row r="9215">
          <cell r="B9215" t="str">
            <v>14060918010514</v>
          </cell>
          <cell r="C9215" t="str">
            <v>ALTERNATIVA S. A.                       1ND</v>
          </cell>
        </row>
        <row r="9216">
          <cell r="B9216" t="str">
            <v>14060918010515</v>
          </cell>
          <cell r="C9216" t="str">
            <v>PRONEGOCIOS S. A.                       1ND</v>
          </cell>
        </row>
        <row r="9217">
          <cell r="B9217" t="str">
            <v>14060918010516</v>
          </cell>
          <cell r="C9217" t="str">
            <v>MICASITA S. A.                          1ND</v>
          </cell>
        </row>
        <row r="9218">
          <cell r="B9218" t="str">
            <v>14060918010517</v>
          </cell>
          <cell r="C9218" t="str">
            <v>CREDIJET DEL PERU S. A.                 1ND</v>
          </cell>
        </row>
        <row r="9219">
          <cell r="B9219" t="str">
            <v>14060918010599</v>
          </cell>
          <cell r="C9219" t="str">
            <v>EDPYMES EN LIQUIDACIÃ“N                 1ND</v>
          </cell>
        </row>
        <row r="9220">
          <cell r="B9220" t="str">
            <v>14060918010710</v>
          </cell>
          <cell r="C9220" t="str">
            <v>LEASING TOTAL S. A.                     1ND</v>
          </cell>
        </row>
        <row r="9221">
          <cell r="B9221" t="str">
            <v>14060918010711</v>
          </cell>
          <cell r="C9221" t="str">
            <v>MITSUI - MASA LEASING S. A.             1ND</v>
          </cell>
        </row>
        <row r="9222">
          <cell r="B9222" t="str">
            <v>14060918010799</v>
          </cell>
          <cell r="C9222" t="str">
            <v>LEASING EN LIQUIDACIÃ“N                 1ND</v>
          </cell>
        </row>
        <row r="9223">
          <cell r="B9223" t="str">
            <v>14060918010801</v>
          </cell>
          <cell r="C9223" t="str">
            <v>FONDO DE GARANTÃA PARA PRSTAMOS A LA PE1ND</v>
          </cell>
        </row>
        <row r="9224">
          <cell r="B9224" t="str">
            <v>14060918011301</v>
          </cell>
          <cell r="C9224" t="str">
            <v>LA FIDUCIARIA S. A.                     1ND</v>
          </cell>
        </row>
        <row r="9225">
          <cell r="B9225" t="str">
            <v>14060918011302</v>
          </cell>
          <cell r="C9225" t="str">
            <v>FIDUCIARIA GBC S. A.                    1ND</v>
          </cell>
        </row>
        <row r="9226">
          <cell r="B9226" t="str">
            <v>14060918011401</v>
          </cell>
          <cell r="C9226" t="str">
            <v>FONDO MIVIVIENDA S. A.                  1ND</v>
          </cell>
        </row>
        <row r="9227">
          <cell r="B9227" t="str">
            <v>14060918011501</v>
          </cell>
          <cell r="C9227" t="str">
            <v>AMRICA FACTORING S. A.                  1ND</v>
          </cell>
        </row>
        <row r="9228">
          <cell r="B9228" t="str">
            <v>14060918011601</v>
          </cell>
          <cell r="C9228" t="str">
            <v>INCASA S. A.                            1ND</v>
          </cell>
        </row>
        <row r="9229">
          <cell r="B9229" t="str">
            <v>14060918011701</v>
          </cell>
          <cell r="C9229" t="str">
            <v>BANCOS DEL EXTERIOR                     1ND</v>
          </cell>
        </row>
        <row r="9230">
          <cell r="B9230" t="str">
            <v>14060918011702</v>
          </cell>
          <cell r="C9230" t="str">
            <v>OTRAS EMPRESAS DEL SISTEMA FINANCIERO DE1ND</v>
          </cell>
        </row>
        <row r="9231">
          <cell r="B9231" t="str">
            <v>14060918020101</v>
          </cell>
          <cell r="C9231" t="str">
            <v>BANCO CENTRAL DE RESERVA DEL PERU       1ND</v>
          </cell>
        </row>
        <row r="9232">
          <cell r="B9232" t="str">
            <v>14060918020102</v>
          </cell>
          <cell r="C9232" t="str">
            <v>BANCO DE LA NACIÃ“N                     1ND</v>
          </cell>
        </row>
        <row r="9233">
          <cell r="B9233" t="str">
            <v>14060918020103</v>
          </cell>
          <cell r="C9233" t="str">
            <v>BANCODE CREDITO DEL PERU                1ND</v>
          </cell>
        </row>
        <row r="9234">
          <cell r="B9234" t="str">
            <v>14060918020104</v>
          </cell>
          <cell r="C9234" t="str">
            <v>BANCO INTERNACIONAL DEL PERU - INTERBANK1ND</v>
          </cell>
        </row>
        <row r="9235">
          <cell r="B9235" t="str">
            <v>14060918020105</v>
          </cell>
          <cell r="C9235" t="str">
            <v>SCOTIABANK PERU S. A. A.                1ND</v>
          </cell>
        </row>
        <row r="9236">
          <cell r="B9236" t="str">
            <v>14060918020106</v>
          </cell>
          <cell r="C9236" t="str">
            <v>BANCO CONTINENTAL                       1ND</v>
          </cell>
        </row>
        <row r="9237">
          <cell r="B9237" t="str">
            <v>14060918020108</v>
          </cell>
          <cell r="C9237" t="str">
            <v>BANCO DE COMERCIO                       1ND</v>
          </cell>
        </row>
        <row r="9238">
          <cell r="B9238" t="str">
            <v>14060918020109</v>
          </cell>
          <cell r="C9238" t="str">
            <v>BANCO FINANCIERO DEL PERU               1ND</v>
          </cell>
        </row>
        <row r="9239">
          <cell r="B9239" t="str">
            <v>14060918020116</v>
          </cell>
          <cell r="C9239" t="str">
            <v>CITIBANK N. A.   SUCURSAL EN EL PERU DEL1ND</v>
          </cell>
        </row>
        <row r="9240">
          <cell r="B9240" t="str">
            <v>14060918020121</v>
          </cell>
          <cell r="C9240" t="str">
            <v>BANCO INTERAMERICANO DE FINANZAS - S. A.1ND</v>
          </cell>
        </row>
        <row r="9241">
          <cell r="B9241" t="str">
            <v>14060918020128</v>
          </cell>
          <cell r="C9241" t="str">
            <v>CORPORACIÃ“N FINANCIERA DE DESARROLLO S.1ND</v>
          </cell>
        </row>
        <row r="9242">
          <cell r="B9242" t="str">
            <v>14060918020129</v>
          </cell>
          <cell r="C9242" t="str">
            <v>MIBANCO BANCO DE LA MICROEMPRESA - MIBAN1ND</v>
          </cell>
        </row>
        <row r="9243">
          <cell r="B9243" t="str">
            <v>14060918020131</v>
          </cell>
          <cell r="C9243" t="str">
            <v>BANCO AGROPECUARIO - AGROBANCO          1ND</v>
          </cell>
        </row>
        <row r="9244">
          <cell r="B9244" t="str">
            <v>14060918020132</v>
          </cell>
          <cell r="C9244" t="str">
            <v>HSBC BANK PERU S. A.                    1ND</v>
          </cell>
        </row>
        <row r="9245">
          <cell r="B9245" t="str">
            <v>14060918020133</v>
          </cell>
          <cell r="C9245" t="str">
            <v>BANCO FALABELLA DEL PERU                1ND</v>
          </cell>
        </row>
        <row r="9246">
          <cell r="B9246" t="str">
            <v>14060918020134</v>
          </cell>
          <cell r="C9246" t="str">
            <v>BANCO SANTANDER PERU S. A.              1ND</v>
          </cell>
        </row>
        <row r="9247">
          <cell r="B9247" t="str">
            <v>14060918020135</v>
          </cell>
          <cell r="C9247" t="str">
            <v>BANCO RIPLEY S. A.                      1ND</v>
          </cell>
        </row>
        <row r="9248">
          <cell r="B9248" t="str">
            <v>14060918020136</v>
          </cell>
          <cell r="C9248" t="str">
            <v>BANCO AZTECA DEL PERU S. A.             1ND</v>
          </cell>
        </row>
        <row r="9249">
          <cell r="B9249" t="str">
            <v>14060918020137</v>
          </cell>
          <cell r="C9249" t="str">
            <v>DEUTSCHE BANK (PERU) S. A.              1ND</v>
          </cell>
        </row>
        <row r="9250">
          <cell r="B9250" t="str">
            <v>14060918020199</v>
          </cell>
          <cell r="C9250" t="str">
            <v>BANCOS EN LIQUIDACIÃ“N                  1ND</v>
          </cell>
        </row>
        <row r="9251">
          <cell r="B9251" t="str">
            <v>14060918020203</v>
          </cell>
          <cell r="C9251" t="str">
            <v>SOLUCIÃ“N FINANCIERADE CREDITO DEL PERU 1ND</v>
          </cell>
        </row>
        <row r="9252">
          <cell r="B9252" t="str">
            <v>14060918020207</v>
          </cell>
          <cell r="C9252" t="str">
            <v>FINANCIERA TFC S. A.                    1ND</v>
          </cell>
        </row>
        <row r="9253">
          <cell r="B9253" t="str">
            <v>14060918020209</v>
          </cell>
          <cell r="C9253" t="str">
            <v>FINANCIERA EDYFICAR S. A.               1ND</v>
          </cell>
        </row>
        <row r="9254">
          <cell r="B9254" t="str">
            <v>14060918020210</v>
          </cell>
          <cell r="C9254" t="str">
            <v>CREDISCOTIA FINANCIERA S. A.            1ND</v>
          </cell>
        </row>
        <row r="9255">
          <cell r="B9255" t="str">
            <v>14060918020211</v>
          </cell>
          <cell r="C9255" t="str">
            <v>FINANCIERA CREAR S. A.                  1ND</v>
          </cell>
        </row>
        <row r="9256">
          <cell r="B9256" t="str">
            <v>14060918020212</v>
          </cell>
          <cell r="C9256" t="str">
            <v>FINANCIERA CONFIANZA S. A.              1ND</v>
          </cell>
        </row>
        <row r="9257">
          <cell r="B9257" t="str">
            <v>14060918020213</v>
          </cell>
          <cell r="C9257" t="str">
            <v>FINANCIERA UNIVERSAL S. A.              1ND</v>
          </cell>
        </row>
        <row r="9258">
          <cell r="B9258" t="str">
            <v>14060918020214</v>
          </cell>
          <cell r="C9258" t="str">
            <v>FINANCIERA UNO S. A.                    1ND</v>
          </cell>
        </row>
        <row r="9259">
          <cell r="B9259" t="str">
            <v>14060918020215</v>
          </cell>
          <cell r="C9259" t="str">
            <v>FINANCIERA EFECTIVA S. A.               1ND</v>
          </cell>
        </row>
        <row r="9260">
          <cell r="B9260" t="str">
            <v>14060918020216</v>
          </cell>
          <cell r="C9260" t="str">
            <v>AMERIKA FINANCIERA S. A.                1ND</v>
          </cell>
        </row>
        <row r="9261">
          <cell r="B9261" t="str">
            <v>14060918020299</v>
          </cell>
          <cell r="C9261" t="str">
            <v>FINANCIERAS EN LIQUIDACIÃ“N             1ND</v>
          </cell>
        </row>
        <row r="9262">
          <cell r="B9262" t="str">
            <v>14060918020301</v>
          </cell>
          <cell r="C9262" t="str">
            <v>CAJA MUNICIPAL DE AHORRO YCREDITO DE SUL1ND</v>
          </cell>
        </row>
        <row r="9263">
          <cell r="B9263" t="str">
            <v>14060918020302</v>
          </cell>
          <cell r="C9263" t="str">
            <v>CAJA MUNICIPALDE CREDITO POPULAR DE LIMA1ND</v>
          </cell>
        </row>
        <row r="9264">
          <cell r="B9264" t="str">
            <v>14060918020303</v>
          </cell>
          <cell r="C9264" t="str">
            <v>CAJA MUNICIPAL DE AHORRO YCREDITO DE PIU1ND</v>
          </cell>
        </row>
        <row r="9265">
          <cell r="B9265" t="str">
            <v>14060918020304</v>
          </cell>
          <cell r="C9265" t="str">
            <v>CAJA MUNICIPAL DE AHORRO YCREDITO DE ARE1ND</v>
          </cell>
        </row>
        <row r="9266">
          <cell r="B9266" t="str">
            <v>14060918020305</v>
          </cell>
          <cell r="C9266" t="str">
            <v>CAJA MUNICIPAL DE AHORRO YCREDITO DE HUA1ND</v>
          </cell>
        </row>
        <row r="9267">
          <cell r="B9267" t="str">
            <v>14060918020306</v>
          </cell>
          <cell r="C9267" t="str">
            <v>CAJA MUNICIPAL DE AHORRO YCREDITO CUSCO 1ND</v>
          </cell>
        </row>
        <row r="9268">
          <cell r="B9268" t="str">
            <v>14060918020307</v>
          </cell>
          <cell r="C9268" t="str">
            <v>CAJA MUNICIPAL DE AHORRO YCREDITO DE MAY1ND</v>
          </cell>
        </row>
        <row r="9269">
          <cell r="B9269" t="str">
            <v>14060918020308</v>
          </cell>
          <cell r="C9269" t="str">
            <v>CAJA MUNICIPAL DE AHORRO YCREDITO DE ICA1ND</v>
          </cell>
        </row>
        <row r="9270">
          <cell r="B9270" t="str">
            <v>14060918020309</v>
          </cell>
          <cell r="C9270" t="str">
            <v>CAJA MUNICIPAL DE AHORRO YCREDITO DE PAI1ND</v>
          </cell>
        </row>
        <row r="9271">
          <cell r="B9271" t="str">
            <v>14060918020310</v>
          </cell>
          <cell r="C9271" t="str">
            <v>CAJA MUNICIPAL DE AHORRO YCREDITO DEL SA1ND</v>
          </cell>
        </row>
        <row r="9272">
          <cell r="B9272" t="str">
            <v>14060918020311</v>
          </cell>
          <cell r="C9272" t="str">
            <v>CAJA MUNICIPAL DE AHORRO YCREDITO DE TRU1ND</v>
          </cell>
        </row>
        <row r="9273">
          <cell r="B9273" t="str">
            <v>14060918020312</v>
          </cell>
          <cell r="C9273" t="str">
            <v>CAJA MUNICIPAL DE AHORRO YCREDITO DE TAC1ND</v>
          </cell>
        </row>
        <row r="9274">
          <cell r="B9274" t="str">
            <v>14060918020313</v>
          </cell>
          <cell r="C9274" t="str">
            <v>CAJA MUNICIPAL DE AHORRO YCREDITO DE PIS1ND</v>
          </cell>
        </row>
        <row r="9275">
          <cell r="B9275" t="str">
            <v>14060918020399</v>
          </cell>
          <cell r="C9275" t="str">
            <v>CAJAS MUNICIPALES DE AHORRO YCREDITO EN 1ND</v>
          </cell>
        </row>
        <row r="9276">
          <cell r="B9276" t="str">
            <v>14060918020403</v>
          </cell>
          <cell r="C9276" t="str">
            <v>CAJA RURAL DE AHORRO YCREDITO QUILLABAMB1ND</v>
          </cell>
        </row>
        <row r="9277">
          <cell r="B9277" t="str">
            <v>14060918020405</v>
          </cell>
          <cell r="C9277" t="str">
            <v>CAJA RURAL DE AHORRO YCREDITO LOS LIBERT1ND</v>
          </cell>
        </row>
        <row r="9278">
          <cell r="B9278" t="str">
            <v>14060918020406</v>
          </cell>
          <cell r="C9278" t="str">
            <v>CAJA RURAL DE AHORRO YCREDITO SEÃ‘OR DE 1ND</v>
          </cell>
        </row>
        <row r="9279">
          <cell r="B9279" t="str">
            <v>14060918020407</v>
          </cell>
          <cell r="C9279" t="str">
            <v>CAJA RURAL DE AHORRO YCREDITO CHAVÃN S.1ND</v>
          </cell>
        </row>
        <row r="9280">
          <cell r="B9280" t="str">
            <v>14060918020408</v>
          </cell>
          <cell r="C9280" t="str">
            <v>CAJA RURAL DE AHORRO YCREDITO NUESTRA GE1ND</v>
          </cell>
        </row>
        <row r="9281">
          <cell r="B9281" t="str">
            <v>14060918020409</v>
          </cell>
          <cell r="C9281" t="str">
            <v>CAJA RURAL DE AHORRO YCREDITO CAJAMARCA 1ND</v>
          </cell>
        </row>
        <row r="9282">
          <cell r="B9282" t="str">
            <v>14060918020410</v>
          </cell>
          <cell r="C9282" t="str">
            <v>CAJA RURAL DE AHORRO YCREDITO PROFINANZA1ND</v>
          </cell>
        </row>
        <row r="9283">
          <cell r="B9283" t="str">
            <v>14060918020412</v>
          </cell>
          <cell r="C9283" t="str">
            <v>CAJA RURAL DE AHORRO YCREDITO SIPÃN S. 1ND</v>
          </cell>
        </row>
        <row r="9284">
          <cell r="B9284" t="str">
            <v>14060918020414</v>
          </cell>
          <cell r="C9284" t="str">
            <v>CAJA RURAL DE AHORRO YCREDITO PRYMERA S.1ND</v>
          </cell>
        </row>
        <row r="9285">
          <cell r="B9285" t="str">
            <v>14060918020415</v>
          </cell>
          <cell r="C9285" t="str">
            <v>CAJA RURAL DE AHORRO YCREDITO LOS ANDES 1ND</v>
          </cell>
        </row>
        <row r="9286">
          <cell r="B9286" t="str">
            <v>14060918020499</v>
          </cell>
          <cell r="C9286" t="str">
            <v>CAJAS RURALES DE AHORRO YCREDITO EN LIQU1ND</v>
          </cell>
        </row>
        <row r="9287">
          <cell r="B9287" t="str">
            <v>14060918020503</v>
          </cell>
          <cell r="C9287" t="str">
            <v>PROEMPRESA S. A.                        1ND</v>
          </cell>
        </row>
        <row r="9288">
          <cell r="B9288" t="str">
            <v>14060918020506</v>
          </cell>
          <cell r="C9288" t="str">
            <v>NUEVA VISIÃ“N S. A.                     1ND</v>
          </cell>
        </row>
        <row r="9289">
          <cell r="B9289" t="str">
            <v>14060918020508</v>
          </cell>
          <cell r="C9289" t="str">
            <v>RAIZ S. A.                              1ND</v>
          </cell>
        </row>
        <row r="9290">
          <cell r="B9290" t="str">
            <v>14060918020510</v>
          </cell>
          <cell r="C9290" t="str">
            <v>SOLIDARIDAD S. A.                       1ND</v>
          </cell>
        </row>
        <row r="9291">
          <cell r="B9291" t="str">
            <v>14060918020511</v>
          </cell>
          <cell r="C9291" t="str">
            <v>CREDIVISIÃ“N S. A.                      1ND</v>
          </cell>
        </row>
        <row r="9292">
          <cell r="B9292" t="str">
            <v>14060918020512</v>
          </cell>
          <cell r="C9292" t="str">
            <v>ACCESO CREDITICIO S. A.                 1ND</v>
          </cell>
        </row>
        <row r="9293">
          <cell r="B9293" t="str">
            <v>14060918020514</v>
          </cell>
          <cell r="C9293" t="str">
            <v>ALTERNATIVA S. A.                       1ND</v>
          </cell>
        </row>
        <row r="9294">
          <cell r="B9294" t="str">
            <v>14060918020515</v>
          </cell>
          <cell r="C9294" t="str">
            <v>PRONEGOCIOS S. A.                       1ND</v>
          </cell>
        </row>
        <row r="9295">
          <cell r="B9295" t="str">
            <v>14060918020516</v>
          </cell>
          <cell r="C9295" t="str">
            <v>MICASITA S. A.                          1ND</v>
          </cell>
        </row>
        <row r="9296">
          <cell r="B9296" t="str">
            <v>14060918020517</v>
          </cell>
          <cell r="C9296" t="str">
            <v>CREDIJET DEL PERU S. A.                 1ND</v>
          </cell>
        </row>
        <row r="9297">
          <cell r="B9297" t="str">
            <v>14060918020599</v>
          </cell>
          <cell r="C9297" t="str">
            <v>EDPYMES EN LIQUIDACIÃ“N                 1ND</v>
          </cell>
        </row>
        <row r="9298">
          <cell r="B9298" t="str">
            <v>14060918020710</v>
          </cell>
          <cell r="C9298" t="str">
            <v>LEASING TOTAL S. A.                     1ND</v>
          </cell>
        </row>
        <row r="9299">
          <cell r="B9299" t="str">
            <v>14060918020711</v>
          </cell>
          <cell r="C9299" t="str">
            <v>MITSUI - MASA LEASING S. A.             1ND</v>
          </cell>
        </row>
        <row r="9300">
          <cell r="B9300" t="str">
            <v>14060918020799</v>
          </cell>
          <cell r="C9300" t="str">
            <v>LEASING EN LIQUIDACIÃ“N                 1ND</v>
          </cell>
        </row>
        <row r="9301">
          <cell r="B9301" t="str">
            <v>14060918020801</v>
          </cell>
          <cell r="C9301" t="str">
            <v>FONDO DE GARANTÃA PARA PRSTAMOS A LA PE1ND</v>
          </cell>
        </row>
        <row r="9302">
          <cell r="B9302" t="str">
            <v>14060918021301</v>
          </cell>
          <cell r="C9302" t="str">
            <v>LA FIDUCIARIA S. A.                     1ND</v>
          </cell>
        </row>
        <row r="9303">
          <cell r="B9303" t="str">
            <v>14060918021302</v>
          </cell>
          <cell r="C9303" t="str">
            <v>FIDUCIARIA GBC S. A.                    1ND</v>
          </cell>
        </row>
        <row r="9304">
          <cell r="B9304" t="str">
            <v>14060918021401</v>
          </cell>
          <cell r="C9304" t="str">
            <v>FONDO MIVIVIENDA S. A.                  1ND</v>
          </cell>
        </row>
        <row r="9305">
          <cell r="B9305" t="str">
            <v>14060918021501</v>
          </cell>
          <cell r="C9305" t="str">
            <v>AMRICA FACTORING S. A.                  1ND</v>
          </cell>
        </row>
        <row r="9306">
          <cell r="B9306" t="str">
            <v>14060918021601</v>
          </cell>
          <cell r="C9306" t="str">
            <v>INCASA S. A.                            1ND</v>
          </cell>
        </row>
        <row r="9307">
          <cell r="B9307" t="str">
            <v>14060918021701</v>
          </cell>
          <cell r="C9307" t="str">
            <v>BANCOS DEL EXTERIOR                     1ND</v>
          </cell>
        </row>
        <row r="9308">
          <cell r="B9308" t="str">
            <v>14060918021702</v>
          </cell>
          <cell r="C9308" t="str">
            <v>OTRAS EMPRESAS DEL SISTEMA FINANCIERO DE1ND</v>
          </cell>
        </row>
        <row r="9309">
          <cell r="B9309" t="str">
            <v>14060919060101</v>
          </cell>
          <cell r="C9309" t="str">
            <v>BANCO CENTRAL DE RESERVA DEL PERU       1ND</v>
          </cell>
        </row>
        <row r="9310">
          <cell r="B9310" t="str">
            <v>14060919060102</v>
          </cell>
          <cell r="C9310" t="str">
            <v>BANCO DE LA NACIÃ“N                     1ND</v>
          </cell>
        </row>
        <row r="9311">
          <cell r="B9311" t="str">
            <v>14060919060103</v>
          </cell>
          <cell r="C9311" t="str">
            <v>BANCODE CREDITO DEL PERU                1ND</v>
          </cell>
        </row>
        <row r="9312">
          <cell r="B9312" t="str">
            <v>14060919060104</v>
          </cell>
          <cell r="C9312" t="str">
            <v>BANCO INTERNACIONAL DEL PERU - INTERBANK1ND</v>
          </cell>
        </row>
        <row r="9313">
          <cell r="B9313" t="str">
            <v>14060919060105</v>
          </cell>
          <cell r="C9313" t="str">
            <v>SCOTIABANK PERU S. A. A.                1ND</v>
          </cell>
        </row>
        <row r="9314">
          <cell r="B9314" t="str">
            <v>14060919060106</v>
          </cell>
          <cell r="C9314" t="str">
            <v>BANCO CONTINENTAL                       1ND</v>
          </cell>
        </row>
        <row r="9315">
          <cell r="B9315" t="str">
            <v>14060919060108</v>
          </cell>
          <cell r="C9315" t="str">
            <v>BANCO DE COMERCIO                       1ND</v>
          </cell>
        </row>
        <row r="9316">
          <cell r="B9316" t="str">
            <v>14060919060109</v>
          </cell>
          <cell r="C9316" t="str">
            <v>BANCO FINANCIERO DEL PERU               1ND</v>
          </cell>
        </row>
        <row r="9317">
          <cell r="B9317" t="str">
            <v>14060919060116</v>
          </cell>
          <cell r="C9317" t="str">
            <v>CITIBANK N. A.   SUCURSAL EN EL PERU DEL1ND</v>
          </cell>
        </row>
        <row r="9318">
          <cell r="B9318" t="str">
            <v>14060919060121</v>
          </cell>
          <cell r="C9318" t="str">
            <v>BANCO INTERAMERICANO DE FINANZAS - S. A.1ND</v>
          </cell>
        </row>
        <row r="9319">
          <cell r="B9319" t="str">
            <v>14060919060128</v>
          </cell>
          <cell r="C9319" t="str">
            <v>CORPORACIÃ“N FINANCIERA DE DESARROLLO S.1ND</v>
          </cell>
        </row>
        <row r="9320">
          <cell r="B9320" t="str">
            <v>14060919060129</v>
          </cell>
          <cell r="C9320" t="str">
            <v>MIBANCO BANCO DE LA MICROEMPRESA - MIBAN1ND</v>
          </cell>
        </row>
        <row r="9321">
          <cell r="B9321" t="str">
            <v>14060919060131</v>
          </cell>
          <cell r="C9321" t="str">
            <v>BANCO AGROPECUARIO - AGROBANCO          1ND</v>
          </cell>
        </row>
        <row r="9322">
          <cell r="B9322" t="str">
            <v>14060919060132</v>
          </cell>
          <cell r="C9322" t="str">
            <v>HSBC BANK PERU S. A.                    1ND</v>
          </cell>
        </row>
        <row r="9323">
          <cell r="B9323" t="str">
            <v>14060919060133</v>
          </cell>
          <cell r="C9323" t="str">
            <v>BANCO FALABELLA DEL PERU                1ND</v>
          </cell>
        </row>
        <row r="9324">
          <cell r="B9324" t="str">
            <v>14060919060134</v>
          </cell>
          <cell r="C9324" t="str">
            <v>BANCO SANTANDER PERU S. A.              1ND</v>
          </cell>
        </row>
        <row r="9325">
          <cell r="B9325" t="str">
            <v>14060919060135</v>
          </cell>
          <cell r="C9325" t="str">
            <v>BANCO RIPLEY S. A.                      1ND</v>
          </cell>
        </row>
        <row r="9326">
          <cell r="B9326" t="str">
            <v>14060919060136</v>
          </cell>
          <cell r="C9326" t="str">
            <v>BANCO AZTECA DEL PERU S. A.             1ND</v>
          </cell>
        </row>
        <row r="9327">
          <cell r="B9327" t="str">
            <v>14060919060137</v>
          </cell>
          <cell r="C9327" t="str">
            <v>DEUTSCHE BANK (PERU) S. A.              1ND</v>
          </cell>
        </row>
        <row r="9328">
          <cell r="B9328" t="str">
            <v>14060919060199</v>
          </cell>
          <cell r="C9328" t="str">
            <v>BANCOS EN LIQUIDACIÃ“N                  1ND</v>
          </cell>
        </row>
        <row r="9329">
          <cell r="B9329" t="str">
            <v>14060919060203</v>
          </cell>
          <cell r="C9329" t="str">
            <v>SOLUCIÃ“N FINANCIERADE CREDITO DEL PERU 1ND</v>
          </cell>
        </row>
        <row r="9330">
          <cell r="B9330" t="str">
            <v>14060919060207</v>
          </cell>
          <cell r="C9330" t="str">
            <v>FINANCIERA TFC S. A.                    1ND</v>
          </cell>
        </row>
        <row r="9331">
          <cell r="B9331" t="str">
            <v>14060919060209</v>
          </cell>
          <cell r="C9331" t="str">
            <v>FINANCIERA EDYFICAR S. A.               1ND</v>
          </cell>
        </row>
        <row r="9332">
          <cell r="B9332" t="str">
            <v>14060919060210</v>
          </cell>
          <cell r="C9332" t="str">
            <v>CREDISCOTIA FINANCIERA S. A.            1ND</v>
          </cell>
        </row>
        <row r="9333">
          <cell r="B9333" t="str">
            <v>14060919060211</v>
          </cell>
          <cell r="C9333" t="str">
            <v>FINANCIERA CREAR S. A.                  1ND</v>
          </cell>
        </row>
        <row r="9334">
          <cell r="B9334" t="str">
            <v>14060919060212</v>
          </cell>
          <cell r="C9334" t="str">
            <v>FINANCIERA CONFIANZA S. A.              1ND</v>
          </cell>
        </row>
        <row r="9335">
          <cell r="B9335" t="str">
            <v>14060919060213</v>
          </cell>
          <cell r="C9335" t="str">
            <v>FINANCIERA UNIVERSAL S. A.              1ND</v>
          </cell>
        </row>
        <row r="9336">
          <cell r="B9336" t="str">
            <v>14060919060214</v>
          </cell>
          <cell r="C9336" t="str">
            <v>FINANCIERA UNO S. A.                    1ND</v>
          </cell>
        </row>
        <row r="9337">
          <cell r="B9337" t="str">
            <v>14060919060215</v>
          </cell>
          <cell r="C9337" t="str">
            <v>FINANCIERA EFECTIVA S. A.               1ND</v>
          </cell>
        </row>
        <row r="9338">
          <cell r="B9338" t="str">
            <v>14060919060216</v>
          </cell>
          <cell r="C9338" t="str">
            <v>AMERIKA FINANCIERA S. A.                1ND</v>
          </cell>
        </row>
        <row r="9339">
          <cell r="B9339" t="str">
            <v>14060919060299</v>
          </cell>
          <cell r="C9339" t="str">
            <v>FINANCIERAS EN LIQUIDACIÃ“N             1ND</v>
          </cell>
        </row>
        <row r="9340">
          <cell r="B9340" t="str">
            <v>14060919060301</v>
          </cell>
          <cell r="C9340" t="str">
            <v>CAJA MUNICIPAL DE AHORRO YCREDITO DE SUL1ND</v>
          </cell>
        </row>
        <row r="9341">
          <cell r="B9341" t="str">
            <v>14060919060302</v>
          </cell>
          <cell r="C9341" t="str">
            <v>CAJA MUNICIPALDE CREDITO POPULAR DE LIMA1ND</v>
          </cell>
        </row>
        <row r="9342">
          <cell r="B9342" t="str">
            <v>14060919060303</v>
          </cell>
          <cell r="C9342" t="str">
            <v>CAJA MUNICIPAL DE AHORRO YCREDITO DE PIU1ND</v>
          </cell>
        </row>
        <row r="9343">
          <cell r="B9343" t="str">
            <v>14060919060304</v>
          </cell>
          <cell r="C9343" t="str">
            <v>CAJA MUNICIPAL DE AHORRO YCREDITO DE ARE1ND</v>
          </cell>
        </row>
        <row r="9344">
          <cell r="B9344" t="str">
            <v>14060919060305</v>
          </cell>
          <cell r="C9344" t="str">
            <v>CAJA MUNICIPAL DE AHORRO YCREDITO DE HUA1ND</v>
          </cell>
        </row>
        <row r="9345">
          <cell r="B9345" t="str">
            <v>14060919060306</v>
          </cell>
          <cell r="C9345" t="str">
            <v>CAJA MUNICIPAL DE AHORRO YCREDITO CUSCO 1ND</v>
          </cell>
        </row>
        <row r="9346">
          <cell r="B9346" t="str">
            <v>14060919060307</v>
          </cell>
          <cell r="C9346" t="str">
            <v>CAJA MUNICIPAL DE AHORRO YCREDITO DE MAY1ND</v>
          </cell>
        </row>
        <row r="9347">
          <cell r="B9347" t="str">
            <v>14060919060308</v>
          </cell>
          <cell r="C9347" t="str">
            <v>CAJA MUNICIPAL DE AHORRO YCREDITO DE ICA1ND</v>
          </cell>
        </row>
        <row r="9348">
          <cell r="B9348" t="str">
            <v>14060919060309</v>
          </cell>
          <cell r="C9348" t="str">
            <v>CAJA MUNICIPAL DE AHORRO YCREDITO DE PAI1ND</v>
          </cell>
        </row>
        <row r="9349">
          <cell r="B9349" t="str">
            <v>14060919060310</v>
          </cell>
          <cell r="C9349" t="str">
            <v>CAJA MUNICIPAL DE AHORRO YCREDITO DEL SA1ND</v>
          </cell>
        </row>
        <row r="9350">
          <cell r="B9350" t="str">
            <v>14060919060311</v>
          </cell>
          <cell r="C9350" t="str">
            <v>CAJA MUNICIPAL DE AHORRO YCREDITO DE TRU1ND</v>
          </cell>
        </row>
        <row r="9351">
          <cell r="B9351" t="str">
            <v>14060919060312</v>
          </cell>
          <cell r="C9351" t="str">
            <v>CAJA MUNICIPAL DE AHORRO YCREDITO DE TAC1ND</v>
          </cell>
        </row>
        <row r="9352">
          <cell r="B9352" t="str">
            <v>14060919060313</v>
          </cell>
          <cell r="C9352" t="str">
            <v>CAJA MUNICIPAL DE AHORRO YCREDITO DE PIS1ND</v>
          </cell>
        </row>
        <row r="9353">
          <cell r="B9353" t="str">
            <v>14060919060399</v>
          </cell>
          <cell r="C9353" t="str">
            <v>CAJAS MUNICIPALES DE AHORRO YCREDITO EN 1ND</v>
          </cell>
        </row>
        <row r="9354">
          <cell r="B9354" t="str">
            <v>14060919060403</v>
          </cell>
          <cell r="C9354" t="str">
            <v>CAJA RURAL DE AHORRO YCREDITO QUILLABAMB1ND</v>
          </cell>
        </row>
        <row r="9355">
          <cell r="B9355" t="str">
            <v>14060919060405</v>
          </cell>
          <cell r="C9355" t="str">
            <v>CAJA RURAL DE AHORRO YCREDITO LOS LIBERT1ND</v>
          </cell>
        </row>
        <row r="9356">
          <cell r="B9356" t="str">
            <v>14060919060406</v>
          </cell>
          <cell r="C9356" t="str">
            <v>CAJA RURAL DE AHORRO YCREDITO SEÃ‘OR DE 1ND</v>
          </cell>
        </row>
        <row r="9357">
          <cell r="B9357" t="str">
            <v>14060919060407</v>
          </cell>
          <cell r="C9357" t="str">
            <v>CAJA RURAL DE AHORRO YCREDITO CHAVÃN S.1ND</v>
          </cell>
        </row>
        <row r="9358">
          <cell r="B9358" t="str">
            <v>14060919060408</v>
          </cell>
          <cell r="C9358" t="str">
            <v>CAJA RURAL DE AHORRO YCREDITO NUESTRA GE1ND</v>
          </cell>
        </row>
        <row r="9359">
          <cell r="B9359" t="str">
            <v>14060919060409</v>
          </cell>
          <cell r="C9359" t="str">
            <v>CAJA RURAL DE AHORRO YCREDITO CAJAMARCA 1ND</v>
          </cell>
        </row>
        <row r="9360">
          <cell r="B9360" t="str">
            <v>14060919060410</v>
          </cell>
          <cell r="C9360" t="str">
            <v>CAJA RURAL DE AHORRO YCREDITO PROFINANZA1ND</v>
          </cell>
        </row>
        <row r="9361">
          <cell r="B9361" t="str">
            <v>14060919060412</v>
          </cell>
          <cell r="C9361" t="str">
            <v>CAJA RURAL DE AHORRO YCREDITO SIPÃN S. 1ND</v>
          </cell>
        </row>
        <row r="9362">
          <cell r="B9362" t="str">
            <v>14060919060414</v>
          </cell>
          <cell r="C9362" t="str">
            <v>CAJA RURAL DE AHORRO YCREDITO PRYMERA S.1ND</v>
          </cell>
        </row>
        <row r="9363">
          <cell r="B9363" t="str">
            <v>14060919060415</v>
          </cell>
          <cell r="C9363" t="str">
            <v>CAJA RURAL DE AHORRO YCREDITO LOS ANDES 1ND</v>
          </cell>
        </row>
        <row r="9364">
          <cell r="B9364" t="str">
            <v>14060919060499</v>
          </cell>
          <cell r="C9364" t="str">
            <v>CAJAS RURALES DE AHORRO YCREDITO EN LIQU1ND</v>
          </cell>
        </row>
        <row r="9365">
          <cell r="B9365" t="str">
            <v>14060919060503</v>
          </cell>
          <cell r="C9365" t="str">
            <v>PROEMPRESA S. A.                        1ND</v>
          </cell>
        </row>
        <row r="9366">
          <cell r="B9366" t="str">
            <v>14060919060506</v>
          </cell>
          <cell r="C9366" t="str">
            <v>NUEVA VISIÃ“N S. A.                     1ND</v>
          </cell>
        </row>
        <row r="9367">
          <cell r="B9367" t="str">
            <v>14060919060508</v>
          </cell>
          <cell r="C9367" t="str">
            <v>RAIZ S. A.                              1ND</v>
          </cell>
        </row>
        <row r="9368">
          <cell r="B9368" t="str">
            <v>14060919060510</v>
          </cell>
          <cell r="C9368" t="str">
            <v>SOLIDARIDAD S. A.                       1ND</v>
          </cell>
        </row>
        <row r="9369">
          <cell r="B9369" t="str">
            <v>14060919060511</v>
          </cell>
          <cell r="C9369" t="str">
            <v>CREDIVISIÃ“N S. A.                      1ND</v>
          </cell>
        </row>
        <row r="9370">
          <cell r="B9370" t="str">
            <v>14060919060512</v>
          </cell>
          <cell r="C9370" t="str">
            <v>ACCESO CREDITICIO S. A.                 1ND</v>
          </cell>
        </row>
        <row r="9371">
          <cell r="B9371" t="str">
            <v>14060919060514</v>
          </cell>
          <cell r="C9371" t="str">
            <v>ALTERNATIVA S. A.                       1ND</v>
          </cell>
        </row>
        <row r="9372">
          <cell r="B9372" t="str">
            <v>14060919060515</v>
          </cell>
          <cell r="C9372" t="str">
            <v>PRONEGOCIOS S. A.                       1ND</v>
          </cell>
        </row>
        <row r="9373">
          <cell r="B9373" t="str">
            <v>14060919060516</v>
          </cell>
          <cell r="C9373" t="str">
            <v>MICASITA S. A.                          1ND</v>
          </cell>
        </row>
        <row r="9374">
          <cell r="B9374" t="str">
            <v>14060919060517</v>
          </cell>
          <cell r="C9374" t="str">
            <v>CREDIJET DEL PERU S. A.                 1ND</v>
          </cell>
        </row>
        <row r="9375">
          <cell r="B9375" t="str">
            <v>14060919060599</v>
          </cell>
          <cell r="C9375" t="str">
            <v>EDPYMES EN LIQUIDACIÃ“N                 1ND</v>
          </cell>
        </row>
        <row r="9376">
          <cell r="B9376" t="str">
            <v>14060919060710</v>
          </cell>
          <cell r="C9376" t="str">
            <v>LEASING TOTAL S. A.                     1ND</v>
          </cell>
        </row>
        <row r="9377">
          <cell r="B9377" t="str">
            <v>14060919060711</v>
          </cell>
          <cell r="C9377" t="str">
            <v>MITSUI - MASA LEASING S. A              1ND</v>
          </cell>
        </row>
        <row r="9378">
          <cell r="B9378" t="str">
            <v>14060919060799</v>
          </cell>
          <cell r="C9378" t="str">
            <v>LEASING EN LIQUIDACIÃ“N                 1ND</v>
          </cell>
        </row>
        <row r="9379">
          <cell r="B9379" t="str">
            <v>14060919060801</v>
          </cell>
          <cell r="C9379" t="str">
            <v>FONDO DE GARANTÃA PARA PRSTAMOS A LA PE1ND</v>
          </cell>
        </row>
        <row r="9380">
          <cell r="B9380" t="str">
            <v>14060919061301</v>
          </cell>
          <cell r="C9380" t="str">
            <v>LA FIDUCIARIA S. A.                     1ND</v>
          </cell>
        </row>
        <row r="9381">
          <cell r="B9381" t="str">
            <v>14060919061401</v>
          </cell>
          <cell r="C9381" t="str">
            <v>FONDO MIVIVIENDA S. A.                  1ND</v>
          </cell>
        </row>
        <row r="9382">
          <cell r="B9382" t="str">
            <v>14060919061501</v>
          </cell>
          <cell r="C9382" t="str">
            <v>AMRICA FACTORING S. A.                  1ND</v>
          </cell>
        </row>
        <row r="9383">
          <cell r="B9383" t="str">
            <v>14060919061601</v>
          </cell>
          <cell r="C9383" t="str">
            <v>INCASA S. A.                            1ND</v>
          </cell>
        </row>
        <row r="9384">
          <cell r="B9384" t="str">
            <v>14060919061701</v>
          </cell>
          <cell r="C9384" t="str">
            <v>BANCOS DEL EXTERIOR                     1ND</v>
          </cell>
        </row>
        <row r="9385">
          <cell r="B9385" t="str">
            <v>14060919061702</v>
          </cell>
          <cell r="C9385" t="str">
            <v>OTRAS EMPRESAS DEL SISTEMA FINANCIERO DE1ND</v>
          </cell>
        </row>
        <row r="9386">
          <cell r="B9386" t="str">
            <v>14060919180101</v>
          </cell>
          <cell r="C9386" t="str">
            <v>BANCO CENTRAL DE RESERVA DEL PERU       1ND</v>
          </cell>
        </row>
        <row r="9387">
          <cell r="B9387" t="str">
            <v>14060919180102</v>
          </cell>
          <cell r="C9387" t="str">
            <v>BANCO DE LA NACIÃ“N                     1ND</v>
          </cell>
        </row>
        <row r="9388">
          <cell r="B9388" t="str">
            <v>14060919180103</v>
          </cell>
          <cell r="C9388" t="str">
            <v>BANCODE CREDITO DEL PERU                1ND</v>
          </cell>
        </row>
        <row r="9389">
          <cell r="B9389" t="str">
            <v>14060919180104</v>
          </cell>
          <cell r="C9389" t="str">
            <v>BANCO INTERNACIONAL DEL PERU - INTERBANK1ND</v>
          </cell>
        </row>
        <row r="9390">
          <cell r="B9390" t="str">
            <v>14060919180105</v>
          </cell>
          <cell r="C9390" t="str">
            <v>SCOTIABANK PERU S. A. A.                1ND</v>
          </cell>
        </row>
        <row r="9391">
          <cell r="B9391" t="str">
            <v>14060919180106</v>
          </cell>
          <cell r="C9391" t="str">
            <v>BANCO CONTINENTAL                       1ND</v>
          </cell>
        </row>
        <row r="9392">
          <cell r="B9392" t="str">
            <v>14060919180108</v>
          </cell>
          <cell r="C9392" t="str">
            <v>BANCO DE COMERCIO                       1ND</v>
          </cell>
        </row>
        <row r="9393">
          <cell r="B9393" t="str">
            <v>14060919180109</v>
          </cell>
          <cell r="C9393" t="str">
            <v>BANCO FINANCIERO DEL PERU               1ND</v>
          </cell>
        </row>
        <row r="9394">
          <cell r="B9394" t="str">
            <v>14060919180116</v>
          </cell>
          <cell r="C9394" t="str">
            <v>CITIBANK N. A.   SUCURSAL EN EL PERU DEL1ND</v>
          </cell>
        </row>
        <row r="9395">
          <cell r="B9395" t="str">
            <v>14060919180121</v>
          </cell>
          <cell r="C9395" t="str">
            <v>BANCO INTERAMERICANO DE FINANZAS - S. A.1ND</v>
          </cell>
        </row>
        <row r="9396">
          <cell r="B9396" t="str">
            <v>14060919180128</v>
          </cell>
          <cell r="C9396" t="str">
            <v>CORPORACIÃ“N FINANCIERA DE DESARROLLO S.1ND</v>
          </cell>
        </row>
        <row r="9397">
          <cell r="B9397" t="str">
            <v>14060919180129</v>
          </cell>
          <cell r="C9397" t="str">
            <v>MIBANCO BANCO DE LA MICROEMPRESA - MIBAN1ND</v>
          </cell>
        </row>
        <row r="9398">
          <cell r="B9398" t="str">
            <v>14060919180131</v>
          </cell>
          <cell r="C9398" t="str">
            <v>BANCO AGROPECUARIO - AGROBANCO          1ND</v>
          </cell>
        </row>
        <row r="9399">
          <cell r="B9399" t="str">
            <v>14060919180132</v>
          </cell>
          <cell r="C9399" t="str">
            <v>HSBC BANK PERU S. A.                    1ND</v>
          </cell>
        </row>
        <row r="9400">
          <cell r="B9400" t="str">
            <v>14060919180133</v>
          </cell>
          <cell r="C9400" t="str">
            <v>BANCO FALABELLA DEL PERU                1ND</v>
          </cell>
        </row>
        <row r="9401">
          <cell r="B9401" t="str">
            <v>14060919180134</v>
          </cell>
          <cell r="C9401" t="str">
            <v>BANCO SANTANDER PERU S. A.              1ND</v>
          </cell>
        </row>
        <row r="9402">
          <cell r="B9402" t="str">
            <v>14060919180135</v>
          </cell>
          <cell r="C9402" t="str">
            <v>BANCO RIPLEY S. A.                      1ND</v>
          </cell>
        </row>
        <row r="9403">
          <cell r="B9403" t="str">
            <v>14060919180136</v>
          </cell>
          <cell r="C9403" t="str">
            <v>BANCO AZTECA DEL PERU S. A.             1ND</v>
          </cell>
        </row>
        <row r="9404">
          <cell r="B9404" t="str">
            <v>14060919180137</v>
          </cell>
          <cell r="C9404" t="str">
            <v>DEUTSCHE BANK (PERU) S. A.              1ND</v>
          </cell>
        </row>
        <row r="9405">
          <cell r="B9405" t="str">
            <v>14060919180199</v>
          </cell>
          <cell r="C9405" t="str">
            <v>BANCOS EN LIQUIDACIÃ“N                  1ND</v>
          </cell>
        </row>
        <row r="9406">
          <cell r="B9406" t="str">
            <v>14060919180203</v>
          </cell>
          <cell r="C9406" t="str">
            <v>SOLUCIÃ“N FINANCIERADE CREDITO DEL PERU 1ND</v>
          </cell>
        </row>
        <row r="9407">
          <cell r="B9407" t="str">
            <v>14060919180207</v>
          </cell>
          <cell r="C9407" t="str">
            <v>FINANCIERA TFC S. A.                    1ND</v>
          </cell>
        </row>
        <row r="9408">
          <cell r="B9408" t="str">
            <v>14060919180209</v>
          </cell>
          <cell r="C9408" t="str">
            <v>FINANCIERA EDYFICAR S. A.               1ND</v>
          </cell>
        </row>
        <row r="9409">
          <cell r="B9409" t="str">
            <v>14060919180210</v>
          </cell>
          <cell r="C9409" t="str">
            <v>CREDISCOTIA FINANCIERA S. A.            1ND</v>
          </cell>
        </row>
        <row r="9410">
          <cell r="B9410" t="str">
            <v>14060919180211</v>
          </cell>
          <cell r="C9410" t="str">
            <v>FINANCIERA CREAR S. A.                  1ND</v>
          </cell>
        </row>
        <row r="9411">
          <cell r="B9411" t="str">
            <v>14060919180212</v>
          </cell>
          <cell r="C9411" t="str">
            <v>FINANCIERA CONFIANZA S. A.              1ND</v>
          </cell>
        </row>
        <row r="9412">
          <cell r="B9412" t="str">
            <v>14060919180213</v>
          </cell>
          <cell r="C9412" t="str">
            <v>FINANCIERA UNIVERSAL S. A.              1ND</v>
          </cell>
        </row>
        <row r="9413">
          <cell r="B9413" t="str">
            <v>14060919180214</v>
          </cell>
          <cell r="C9413" t="str">
            <v>FINANCIERA UNO S. A.                    1ND</v>
          </cell>
        </row>
        <row r="9414">
          <cell r="B9414" t="str">
            <v>14060919180215</v>
          </cell>
          <cell r="C9414" t="str">
            <v>FINANCIERA EFECTIVA S. A.               1ND</v>
          </cell>
        </row>
        <row r="9415">
          <cell r="B9415" t="str">
            <v>14060919180216</v>
          </cell>
          <cell r="C9415" t="str">
            <v>AMERIKA FINANCIERA S. A.                1ND</v>
          </cell>
        </row>
        <row r="9416">
          <cell r="B9416" t="str">
            <v>14060919180299</v>
          </cell>
          <cell r="C9416" t="str">
            <v>FINANCIERAS EN LIQUIDACIÃ“N             1ND</v>
          </cell>
        </row>
        <row r="9417">
          <cell r="B9417" t="str">
            <v>14060919180301</v>
          </cell>
          <cell r="C9417" t="str">
            <v>CAJA MUNICIPAL DE AHORRO YCREDITO DE SUL1ND</v>
          </cell>
        </row>
        <row r="9418">
          <cell r="B9418" t="str">
            <v>14060919180302</v>
          </cell>
          <cell r="C9418" t="str">
            <v>CAJA MUNICIPALDE CREDITO POPULAR DE LIMA1ND</v>
          </cell>
        </row>
        <row r="9419">
          <cell r="B9419" t="str">
            <v>14060919180303</v>
          </cell>
          <cell r="C9419" t="str">
            <v>CAJA MUNICIPAL DE AHORRO YCREDITO DE PIU1ND</v>
          </cell>
        </row>
        <row r="9420">
          <cell r="B9420" t="str">
            <v>14060919180304</v>
          </cell>
          <cell r="C9420" t="str">
            <v>CAJA MUNICIPAL DE AHORRO YCREDITO DE ARE1ND</v>
          </cell>
        </row>
        <row r="9421">
          <cell r="B9421" t="str">
            <v>14060919180305</v>
          </cell>
          <cell r="C9421" t="str">
            <v>CAJA MUNICIPAL DE AHORRO YCREDITO DE HUA1ND</v>
          </cell>
        </row>
        <row r="9422">
          <cell r="B9422" t="str">
            <v>14060919180306</v>
          </cell>
          <cell r="C9422" t="str">
            <v>CAJA MUNICIPAL DE AHORRO YCREDITO CUSCO 1ND</v>
          </cell>
        </row>
        <row r="9423">
          <cell r="B9423" t="str">
            <v>14060919180307</v>
          </cell>
          <cell r="C9423" t="str">
            <v>CAJA MUNICIPAL DE AHORRO YCREDITO DE MAY1ND</v>
          </cell>
        </row>
        <row r="9424">
          <cell r="B9424" t="str">
            <v>14060919180308</v>
          </cell>
          <cell r="C9424" t="str">
            <v>CAJA MUNICIPAL DE AHORRO YCREDITO DE ICA1ND</v>
          </cell>
        </row>
        <row r="9425">
          <cell r="B9425" t="str">
            <v>14060919180309</v>
          </cell>
          <cell r="C9425" t="str">
            <v>CAJA MUNICIPAL DE AHORRO YCREDITO DE PAI1ND</v>
          </cell>
        </row>
        <row r="9426">
          <cell r="B9426" t="str">
            <v>14060919180310</v>
          </cell>
          <cell r="C9426" t="str">
            <v>CAJA MUNICIPAL DE AHORRO YCREDITO DEL SA1ND</v>
          </cell>
        </row>
        <row r="9427">
          <cell r="B9427" t="str">
            <v>14060919180311</v>
          </cell>
          <cell r="C9427" t="str">
            <v>CAJA MUNICIPAL DE AHORRO YCREDITO DE TRU1ND</v>
          </cell>
        </row>
        <row r="9428">
          <cell r="B9428" t="str">
            <v>14060919180312</v>
          </cell>
          <cell r="C9428" t="str">
            <v>CAJA MUNICIPAL DE AHORRO YCREDITO DE TAC1ND</v>
          </cell>
        </row>
        <row r="9429">
          <cell r="B9429" t="str">
            <v>14060919180313</v>
          </cell>
          <cell r="C9429" t="str">
            <v>CAJA MUNICIPAL DE AHORRO YCREDITO DE PIS1ND</v>
          </cell>
        </row>
        <row r="9430">
          <cell r="B9430" t="str">
            <v>14060919180399</v>
          </cell>
          <cell r="C9430" t="str">
            <v>CAJAS MUNICIPALES DE AHORRO YCREDITO EN 1ND</v>
          </cell>
        </row>
        <row r="9431">
          <cell r="B9431" t="str">
            <v>14060919180403</v>
          </cell>
          <cell r="C9431" t="str">
            <v>CAJA RURAL DE AHORRO YCREDITO QUILLABAMB1ND</v>
          </cell>
        </row>
        <row r="9432">
          <cell r="B9432" t="str">
            <v>14060919180405</v>
          </cell>
          <cell r="C9432" t="str">
            <v>CAJA RURAL DE AHORRO YCREDITO LOS LIBERT1ND</v>
          </cell>
        </row>
        <row r="9433">
          <cell r="B9433" t="str">
            <v>14060919180406</v>
          </cell>
          <cell r="C9433" t="str">
            <v>CAJA RURAL DE AHORRO YCREDITO SEÃ‘OR DE 1ND</v>
          </cell>
        </row>
        <row r="9434">
          <cell r="B9434" t="str">
            <v>14060919180407</v>
          </cell>
          <cell r="C9434" t="str">
            <v>CAJA RURAL DE AHORRO YCREDITO CHAVÃN S.1ND</v>
          </cell>
        </row>
        <row r="9435">
          <cell r="B9435" t="str">
            <v>14060919180408</v>
          </cell>
          <cell r="C9435" t="str">
            <v>CAJA RURAL DE AHORRO YCREDITO NUESTRA GE1ND</v>
          </cell>
        </row>
        <row r="9436">
          <cell r="B9436" t="str">
            <v>14060919180409</v>
          </cell>
          <cell r="C9436" t="str">
            <v>CAJA RURAL DE AHORRO YCREDITO CAJAMARCA 1ND</v>
          </cell>
        </row>
        <row r="9437">
          <cell r="B9437" t="str">
            <v>14060919180410</v>
          </cell>
          <cell r="C9437" t="str">
            <v>CAJA RURAL DE AHORRO YCREDITO PROFINANZA1ND</v>
          </cell>
        </row>
        <row r="9438">
          <cell r="B9438" t="str">
            <v>14060919180412</v>
          </cell>
          <cell r="C9438" t="str">
            <v>CAJA RURAL DE AHORRO YCREDITO SIPÃN S. 1ND</v>
          </cell>
        </row>
        <row r="9439">
          <cell r="B9439" t="str">
            <v>14060919180414</v>
          </cell>
          <cell r="C9439" t="str">
            <v>CAJA RURAL DE AHORRO YCREDITO PRYMERA S.1ND</v>
          </cell>
        </row>
        <row r="9440">
          <cell r="B9440" t="str">
            <v>14060919180415</v>
          </cell>
          <cell r="C9440" t="str">
            <v>CAJA RURAL DE AHORRO YCREDITO LOS ANDES 1ND</v>
          </cell>
        </row>
        <row r="9441">
          <cell r="B9441" t="str">
            <v>14060919180499</v>
          </cell>
          <cell r="C9441" t="str">
            <v>CAJAS RURALES DE AHORRO YCREDITO EN LIQU1ND</v>
          </cell>
        </row>
        <row r="9442">
          <cell r="B9442" t="str">
            <v>14060919180503</v>
          </cell>
          <cell r="C9442" t="str">
            <v>PROEMPRESA S. A.                        1ND</v>
          </cell>
        </row>
        <row r="9443">
          <cell r="B9443" t="str">
            <v>14060919180506</v>
          </cell>
          <cell r="C9443" t="str">
            <v>NUEVA VISIÃ“N S. A.                     1ND</v>
          </cell>
        </row>
        <row r="9444">
          <cell r="B9444" t="str">
            <v>14060919180508</v>
          </cell>
          <cell r="C9444" t="str">
            <v>RAIZ S. A.                              1ND</v>
          </cell>
        </row>
        <row r="9445">
          <cell r="B9445" t="str">
            <v>14060919180510</v>
          </cell>
          <cell r="C9445" t="str">
            <v>SOLIDARIDAD S. A.                       1ND</v>
          </cell>
        </row>
        <row r="9446">
          <cell r="B9446" t="str">
            <v>14060919180511</v>
          </cell>
          <cell r="C9446" t="str">
            <v>CREDIVISIÃ“N S. A.                      1ND</v>
          </cell>
        </row>
        <row r="9447">
          <cell r="B9447" t="str">
            <v>14060919180512</v>
          </cell>
          <cell r="C9447" t="str">
            <v>ACCESO CREDITICIO S. A.                 1ND</v>
          </cell>
        </row>
        <row r="9448">
          <cell r="B9448" t="str">
            <v>14060919180514</v>
          </cell>
          <cell r="C9448" t="str">
            <v>ALTERNATIVA S. A.                       1ND</v>
          </cell>
        </row>
        <row r="9449">
          <cell r="B9449" t="str">
            <v>14060919180515</v>
          </cell>
          <cell r="C9449" t="str">
            <v>PRONEGOCIOS S. A.                       1ND</v>
          </cell>
        </row>
        <row r="9450">
          <cell r="B9450" t="str">
            <v>14060919180516</v>
          </cell>
          <cell r="C9450" t="str">
            <v>MICASITA S. A.                          1ND</v>
          </cell>
        </row>
        <row r="9451">
          <cell r="B9451" t="str">
            <v>14060919180517</v>
          </cell>
          <cell r="C9451" t="str">
            <v>CREDIJET DEL PERU S. A.                 1ND</v>
          </cell>
        </row>
        <row r="9452">
          <cell r="B9452" t="str">
            <v>14060919180599</v>
          </cell>
          <cell r="C9452" t="str">
            <v>EDPYMES EN LIQUIDACIÃ“N                 1ND</v>
          </cell>
        </row>
        <row r="9453">
          <cell r="B9453" t="str">
            <v>14060919180710</v>
          </cell>
          <cell r="C9453" t="str">
            <v>LEASING TOTAL S. A.                     1ND</v>
          </cell>
        </row>
        <row r="9454">
          <cell r="B9454" t="str">
            <v>14060919180711</v>
          </cell>
          <cell r="C9454" t="str">
            <v>MITSUI - MASA LEASING S. A              1ND</v>
          </cell>
        </row>
        <row r="9455">
          <cell r="B9455" t="str">
            <v>14060919180799</v>
          </cell>
          <cell r="C9455" t="str">
            <v>LEASING EN LIQUIDACIÃ“N                 1ND</v>
          </cell>
        </row>
        <row r="9456">
          <cell r="B9456" t="str">
            <v>14060919180801</v>
          </cell>
          <cell r="C9456" t="str">
            <v>FONDO DE GARANTÃA PARA PRSTAMOS A LA PE1ND</v>
          </cell>
        </row>
        <row r="9457">
          <cell r="B9457" t="str">
            <v>14060919181301</v>
          </cell>
          <cell r="C9457" t="str">
            <v>LA FIDUCIARIA S. A.                     1ND</v>
          </cell>
        </row>
        <row r="9458">
          <cell r="B9458" t="str">
            <v>14060919181401</v>
          </cell>
          <cell r="C9458" t="str">
            <v>FONDO MIVIVIENDA S. A.                  1ND</v>
          </cell>
        </row>
        <row r="9459">
          <cell r="B9459" t="str">
            <v>14060919181501</v>
          </cell>
          <cell r="C9459" t="str">
            <v>AMRICA FACTORING S. A.                  1ND</v>
          </cell>
        </row>
        <row r="9460">
          <cell r="B9460" t="str">
            <v>14060919181601</v>
          </cell>
          <cell r="C9460" t="str">
            <v>INCASA S. A.                            1ND</v>
          </cell>
        </row>
        <row r="9461">
          <cell r="B9461" t="str">
            <v>14060919181701</v>
          </cell>
          <cell r="C9461" t="str">
            <v>BANCOS DEL EXTERIOR                     1ND</v>
          </cell>
        </row>
        <row r="9462">
          <cell r="B9462" t="str">
            <v>14060919181702</v>
          </cell>
          <cell r="C9462" t="str">
            <v>OTRAS EMPRESAS DEL SISTEMA FINANCIERO DE1ND</v>
          </cell>
        </row>
        <row r="9463">
          <cell r="B9463" t="str">
            <v>14060919190101</v>
          </cell>
          <cell r="C9463" t="str">
            <v>BANCO CENTRAL DE RESERVA DEL PERU       1ND</v>
          </cell>
        </row>
        <row r="9464">
          <cell r="B9464" t="str">
            <v>14060919190102</v>
          </cell>
          <cell r="C9464" t="str">
            <v>BANCO DE LA NACIÃ“N                     1ND</v>
          </cell>
        </row>
        <row r="9465">
          <cell r="B9465" t="str">
            <v>14060919190103</v>
          </cell>
          <cell r="C9465" t="str">
            <v>BANCODE CREDITO DEL PERU                1ND</v>
          </cell>
        </row>
        <row r="9466">
          <cell r="B9466" t="str">
            <v>14060919190104</v>
          </cell>
          <cell r="C9466" t="str">
            <v>BANCO INTERNACIONAL DEL PERU - INTERBANK1ND</v>
          </cell>
        </row>
        <row r="9467">
          <cell r="B9467" t="str">
            <v>14060919190105</v>
          </cell>
          <cell r="C9467" t="str">
            <v>SCOTIABANK PERU S. A. A.                1ND</v>
          </cell>
        </row>
        <row r="9468">
          <cell r="B9468" t="str">
            <v>14060919190106</v>
          </cell>
          <cell r="C9468" t="str">
            <v>BANCO CONTINENTAL                       1ND</v>
          </cell>
        </row>
        <row r="9469">
          <cell r="B9469" t="str">
            <v>14060919190108</v>
          </cell>
          <cell r="C9469" t="str">
            <v>BANCO DE COMERCIO                       1ND</v>
          </cell>
        </row>
        <row r="9470">
          <cell r="B9470" t="str">
            <v>14060919190109</v>
          </cell>
          <cell r="C9470" t="str">
            <v>BANCO FINANCIERO DEL PERU               1ND</v>
          </cell>
        </row>
        <row r="9471">
          <cell r="B9471" t="str">
            <v>14060919190116</v>
          </cell>
          <cell r="C9471" t="str">
            <v>CITIBANK N. A.   SUCURSAL EN EL PERU DEL1ND</v>
          </cell>
        </row>
        <row r="9472">
          <cell r="B9472" t="str">
            <v>14060919190121</v>
          </cell>
          <cell r="C9472" t="str">
            <v>BANCO INTERAMERICANO DE FINANZAS - S. A.1ND</v>
          </cell>
        </row>
        <row r="9473">
          <cell r="B9473" t="str">
            <v>14060919190128</v>
          </cell>
          <cell r="C9473" t="str">
            <v>CORPORACIÃ“N FINANCIERA DE DESARROLLO S.1ND</v>
          </cell>
        </row>
        <row r="9474">
          <cell r="B9474" t="str">
            <v>14060919190129</v>
          </cell>
          <cell r="C9474" t="str">
            <v>MIBANCO BANCO DE LA MICROEMPRESA - MIBAN1ND</v>
          </cell>
        </row>
        <row r="9475">
          <cell r="B9475" t="str">
            <v>14060919190131</v>
          </cell>
          <cell r="C9475" t="str">
            <v>BANCO AGROPECUARIO - AGROBANCO          1ND</v>
          </cell>
        </row>
        <row r="9476">
          <cell r="B9476" t="str">
            <v>14060919190132</v>
          </cell>
          <cell r="C9476" t="str">
            <v>HSBC BANK PERU S. A.                    1ND</v>
          </cell>
        </row>
        <row r="9477">
          <cell r="B9477" t="str">
            <v>14060919190133</v>
          </cell>
          <cell r="C9477" t="str">
            <v>BANCO FALABELLA DEL PERU                1ND</v>
          </cell>
        </row>
        <row r="9478">
          <cell r="B9478" t="str">
            <v>14060919190134</v>
          </cell>
          <cell r="C9478" t="str">
            <v>BANCO SANTANDER PERU S. A.              1ND</v>
          </cell>
        </row>
        <row r="9479">
          <cell r="B9479" t="str">
            <v>14060919190135</v>
          </cell>
          <cell r="C9479" t="str">
            <v>BANCO RIPLEY S. A.                      1ND</v>
          </cell>
        </row>
        <row r="9480">
          <cell r="B9480" t="str">
            <v>14060919190136</v>
          </cell>
          <cell r="C9480" t="str">
            <v>BANCO AZTECA DEL PERU S. A.             1ND</v>
          </cell>
        </row>
        <row r="9481">
          <cell r="B9481" t="str">
            <v>14060919190137</v>
          </cell>
          <cell r="C9481" t="str">
            <v>DEUTSCHE BANK (PERU) S. A.              1ND</v>
          </cell>
        </row>
        <row r="9482">
          <cell r="B9482" t="str">
            <v>14060919190199</v>
          </cell>
          <cell r="C9482" t="str">
            <v>BANCOS EN LIQUIDACIÃ“N                  1ND</v>
          </cell>
        </row>
        <row r="9483">
          <cell r="B9483" t="str">
            <v>14060919190203</v>
          </cell>
          <cell r="C9483" t="str">
            <v>SOLUCIÃ“N FINANCIERADE CREDITO DEL PERU 1ND</v>
          </cell>
        </row>
        <row r="9484">
          <cell r="B9484" t="str">
            <v>14060919190207</v>
          </cell>
          <cell r="C9484" t="str">
            <v>FINANCIERA TFC S. A.                    1ND</v>
          </cell>
        </row>
        <row r="9485">
          <cell r="B9485" t="str">
            <v>14060919190209</v>
          </cell>
          <cell r="C9485" t="str">
            <v>FINANCIERA EDYFICAR S. A.               1ND</v>
          </cell>
        </row>
        <row r="9486">
          <cell r="B9486" t="str">
            <v>14060919190210</v>
          </cell>
          <cell r="C9486" t="str">
            <v>CREDISCOTIA FINANCIERA S. A.            1ND</v>
          </cell>
        </row>
        <row r="9487">
          <cell r="B9487" t="str">
            <v>14060919190211</v>
          </cell>
          <cell r="C9487" t="str">
            <v>FINANCIERA CREAR S. A.                  1ND</v>
          </cell>
        </row>
        <row r="9488">
          <cell r="B9488" t="str">
            <v>14060919190212</v>
          </cell>
          <cell r="C9488" t="str">
            <v>FINANCIERA CONFIANZA S. A.              1ND</v>
          </cell>
        </row>
        <row r="9489">
          <cell r="B9489" t="str">
            <v>14060919190213</v>
          </cell>
          <cell r="C9489" t="str">
            <v>FINANCIERA UNIVERSAL S. A.              1ND</v>
          </cell>
        </row>
        <row r="9490">
          <cell r="B9490" t="str">
            <v>14060919190214</v>
          </cell>
          <cell r="C9490" t="str">
            <v>FINANCIERA UNO S. A.                    1ND</v>
          </cell>
        </row>
        <row r="9491">
          <cell r="B9491" t="str">
            <v>14060919190215</v>
          </cell>
          <cell r="C9491" t="str">
            <v>FINANCIERA EFECTIVA S. A.               1ND</v>
          </cell>
        </row>
        <row r="9492">
          <cell r="B9492" t="str">
            <v>14060919190216</v>
          </cell>
          <cell r="C9492" t="str">
            <v>AMERIKA FINANCIERA S. A.                1ND</v>
          </cell>
        </row>
        <row r="9493">
          <cell r="B9493" t="str">
            <v>14060919190299</v>
          </cell>
          <cell r="C9493" t="str">
            <v>FINANCIERAS EN LIQUIDACIÃ“N             1ND</v>
          </cell>
        </row>
        <row r="9494">
          <cell r="B9494" t="str">
            <v>14060919190301</v>
          </cell>
          <cell r="C9494" t="str">
            <v>CAJA MUNICIPAL DE AHORRO YCREDITO DE SUL1ND</v>
          </cell>
        </row>
        <row r="9495">
          <cell r="B9495" t="str">
            <v>14060919190302</v>
          </cell>
          <cell r="C9495" t="str">
            <v>CAJA MUNICIPALDE CREDITO POPULAR DE LIMA1ND</v>
          </cell>
        </row>
        <row r="9496">
          <cell r="B9496" t="str">
            <v>14060919190303</v>
          </cell>
          <cell r="C9496" t="str">
            <v>CAJA MUNICIPAL DE AHORRO YCREDITO DE PIU1ND</v>
          </cell>
        </row>
        <row r="9497">
          <cell r="B9497" t="str">
            <v>14060919190304</v>
          </cell>
          <cell r="C9497" t="str">
            <v>CAJA MUNICIPAL DE AHORRO YCREDITO DE ARE1ND</v>
          </cell>
        </row>
        <row r="9498">
          <cell r="B9498" t="str">
            <v>14060919190305</v>
          </cell>
          <cell r="C9498" t="str">
            <v>CAJA MUNICIPAL DE AHORRO YCREDITO DE HUA1ND</v>
          </cell>
        </row>
        <row r="9499">
          <cell r="B9499" t="str">
            <v>14060919190306</v>
          </cell>
          <cell r="C9499" t="str">
            <v>CAJA MUNICIPAL DE AHORRO YCREDITO CUSCO 1ND</v>
          </cell>
        </row>
        <row r="9500">
          <cell r="B9500" t="str">
            <v>14060919190307</v>
          </cell>
          <cell r="C9500" t="str">
            <v>CAJA MUNICIPAL DE AHORRO YCREDITO DE MAY1ND</v>
          </cell>
        </row>
        <row r="9501">
          <cell r="B9501" t="str">
            <v>14060919190308</v>
          </cell>
          <cell r="C9501" t="str">
            <v>CAJA MUNICIPAL DE AHORRO YCREDITO DE ICA1ND</v>
          </cell>
        </row>
        <row r="9502">
          <cell r="B9502" t="str">
            <v>14060919190309</v>
          </cell>
          <cell r="C9502" t="str">
            <v>CAJA MUNICIPAL DE AHORRO YCREDITO DE PAI1ND</v>
          </cell>
        </row>
        <row r="9503">
          <cell r="B9503" t="str">
            <v>14060919190310</v>
          </cell>
          <cell r="C9503" t="str">
            <v>CAJA MUNICIPAL DE AHORRO YCREDITO DEL SA1ND</v>
          </cell>
        </row>
        <row r="9504">
          <cell r="B9504" t="str">
            <v>14060919190311</v>
          </cell>
          <cell r="C9504" t="str">
            <v>CAJA MUNICIPAL DE AHORRO YCREDITO DE TRU1ND</v>
          </cell>
        </row>
        <row r="9505">
          <cell r="B9505" t="str">
            <v>14060919190312</v>
          </cell>
          <cell r="C9505" t="str">
            <v>CAJA MUNICIPAL DE AHORRO YCREDITO DE TAC1ND</v>
          </cell>
        </row>
        <row r="9506">
          <cell r="B9506" t="str">
            <v>14060919190313</v>
          </cell>
          <cell r="C9506" t="str">
            <v>CAJA MUNICIPAL DE AHORRO YCREDITO DE PIS1ND</v>
          </cell>
        </row>
        <row r="9507">
          <cell r="B9507" t="str">
            <v>14060919190399</v>
          </cell>
          <cell r="C9507" t="str">
            <v>CAJAS MUNICIPALES DE AHORRO YCREDITO EN 1ND</v>
          </cell>
        </row>
        <row r="9508">
          <cell r="B9508" t="str">
            <v>14060919190403</v>
          </cell>
          <cell r="C9508" t="str">
            <v>CAJA RURAL DE AHORRO YCREDITO QUILLABAMB1ND</v>
          </cell>
        </row>
        <row r="9509">
          <cell r="B9509" t="str">
            <v>14060919190405</v>
          </cell>
          <cell r="C9509" t="str">
            <v>CAJA RURAL DE AHORRO YCREDITO LOS LIBERT1ND</v>
          </cell>
        </row>
        <row r="9510">
          <cell r="B9510" t="str">
            <v>14060919190406</v>
          </cell>
          <cell r="C9510" t="str">
            <v>CAJA RURAL DE AHORRO YCREDITO SEÃ‘OR DE 1ND</v>
          </cell>
        </row>
        <row r="9511">
          <cell r="B9511" t="str">
            <v>14060919190407</v>
          </cell>
          <cell r="C9511" t="str">
            <v>CAJA RURAL DE AHORRO YCREDITO CHAVÃN S.1ND</v>
          </cell>
        </row>
        <row r="9512">
          <cell r="B9512" t="str">
            <v>14060919190408</v>
          </cell>
          <cell r="C9512" t="str">
            <v>CAJA RURAL DE AHORRO YCREDITO NUESTRA GE1ND</v>
          </cell>
        </row>
        <row r="9513">
          <cell r="B9513" t="str">
            <v>14060919190409</v>
          </cell>
          <cell r="C9513" t="str">
            <v>CAJA RURAL DE AHORRO YCREDITO CAJAMARCA 1ND</v>
          </cell>
        </row>
        <row r="9514">
          <cell r="B9514" t="str">
            <v>14060919190410</v>
          </cell>
          <cell r="C9514" t="str">
            <v>CAJA RURAL DE AHORRO YCREDITO PROFINANZA1ND</v>
          </cell>
        </row>
        <row r="9515">
          <cell r="B9515" t="str">
            <v>14060919190412</v>
          </cell>
          <cell r="C9515" t="str">
            <v>CAJA RURAL DE AHORRO YCREDITO SIPÃN S. 1ND</v>
          </cell>
        </row>
        <row r="9516">
          <cell r="B9516" t="str">
            <v>14060919190414</v>
          </cell>
          <cell r="C9516" t="str">
            <v>CAJA RURAL DE AHORRO YCREDITO PRYMERA S.1ND</v>
          </cell>
        </row>
        <row r="9517">
          <cell r="B9517" t="str">
            <v>14060919190415</v>
          </cell>
          <cell r="C9517" t="str">
            <v>CAJA RURAL DE AHORRO YCREDITO LOS ANDES 1ND</v>
          </cell>
        </row>
        <row r="9518">
          <cell r="B9518" t="str">
            <v>14060919190499</v>
          </cell>
          <cell r="C9518" t="str">
            <v>CAJAS RURALES DE AHORRO YCREDITO EN LIQU1ND</v>
          </cell>
        </row>
        <row r="9519">
          <cell r="B9519" t="str">
            <v>14060919190503</v>
          </cell>
          <cell r="C9519" t="str">
            <v>PROEMPRESA S. A.                        1ND</v>
          </cell>
        </row>
        <row r="9520">
          <cell r="B9520" t="str">
            <v>14060919190506</v>
          </cell>
          <cell r="C9520" t="str">
            <v>NUEVA VISIÃ“N S. A.                     1ND</v>
          </cell>
        </row>
        <row r="9521">
          <cell r="B9521" t="str">
            <v>14060919190508</v>
          </cell>
          <cell r="C9521" t="str">
            <v>RAIZ S. A.                              1ND</v>
          </cell>
        </row>
        <row r="9522">
          <cell r="B9522" t="str">
            <v>14060919190510</v>
          </cell>
          <cell r="C9522" t="str">
            <v>SOLIDARIDAD S. A.                       1ND</v>
          </cell>
        </row>
        <row r="9523">
          <cell r="B9523" t="str">
            <v>14060919190511</v>
          </cell>
          <cell r="C9523" t="str">
            <v>CREDIVISIÃ“N S. A.                      1ND</v>
          </cell>
        </row>
        <row r="9524">
          <cell r="B9524" t="str">
            <v>14060919190512</v>
          </cell>
          <cell r="C9524" t="str">
            <v>ACCESO CREDITICIO S. A.                 1ND</v>
          </cell>
        </row>
        <row r="9525">
          <cell r="B9525" t="str">
            <v>14060919190514</v>
          </cell>
          <cell r="C9525" t="str">
            <v>ALTERNATIVA S. A.                       1ND</v>
          </cell>
        </row>
        <row r="9526">
          <cell r="B9526" t="str">
            <v>14060919190515</v>
          </cell>
          <cell r="C9526" t="str">
            <v>PRONEGOCIOS S. A.                       1ND</v>
          </cell>
        </row>
        <row r="9527">
          <cell r="B9527" t="str">
            <v>14060919190516</v>
          </cell>
          <cell r="C9527" t="str">
            <v>MICASITA S. A.                          1ND</v>
          </cell>
        </row>
        <row r="9528">
          <cell r="B9528" t="str">
            <v>14060919190517</v>
          </cell>
          <cell r="C9528" t="str">
            <v>CREDIJET DEL PERU S. A.                 1ND</v>
          </cell>
        </row>
        <row r="9529">
          <cell r="B9529" t="str">
            <v>14060919190599</v>
          </cell>
          <cell r="C9529" t="str">
            <v>EDPYMES EN LIQUIDACIÃ“N                 1ND</v>
          </cell>
        </row>
        <row r="9530">
          <cell r="B9530" t="str">
            <v>14060919190710</v>
          </cell>
          <cell r="C9530" t="str">
            <v>LEASING TOTAL S. A.                     1ND</v>
          </cell>
        </row>
        <row r="9531">
          <cell r="B9531" t="str">
            <v>14060919190711</v>
          </cell>
          <cell r="C9531" t="str">
            <v>MITSUI - MASA LEASING S. A.             1ND</v>
          </cell>
        </row>
        <row r="9532">
          <cell r="B9532" t="str">
            <v>14060919190799</v>
          </cell>
          <cell r="C9532" t="str">
            <v>LEASING EN LIQUIDACIÃ“N                 1ND</v>
          </cell>
        </row>
        <row r="9533">
          <cell r="B9533" t="str">
            <v>14060919190801</v>
          </cell>
          <cell r="C9533" t="str">
            <v>FONDO DE GARANTÃA PARA PRSTAMOS A LA PE1ND</v>
          </cell>
        </row>
        <row r="9534">
          <cell r="B9534" t="str">
            <v>14060919191301</v>
          </cell>
          <cell r="C9534" t="str">
            <v>LA FIDUCIARIA S. A.                     1ND</v>
          </cell>
        </row>
        <row r="9535">
          <cell r="B9535" t="str">
            <v>14060919191401</v>
          </cell>
          <cell r="C9535" t="str">
            <v>FONDO MIVIVIENDA S. A.                  1ND</v>
          </cell>
        </row>
        <row r="9536">
          <cell r="B9536" t="str">
            <v>14060919191501</v>
          </cell>
          <cell r="C9536" t="str">
            <v>AMRICA FACTORING S. A.                  1ND</v>
          </cell>
        </row>
        <row r="9537">
          <cell r="B9537" t="str">
            <v>14060919191601</v>
          </cell>
          <cell r="C9537" t="str">
            <v>INCASA S. A.                            1ND</v>
          </cell>
        </row>
        <row r="9538">
          <cell r="B9538" t="str">
            <v>14060919191701</v>
          </cell>
          <cell r="C9538" t="str">
            <v>BANCOS DEL EXTERIOR                     1ND</v>
          </cell>
        </row>
        <row r="9539">
          <cell r="B9539" t="str">
            <v>14060919191702</v>
          </cell>
          <cell r="C9539" t="str">
            <v>OTRAS EMPRESAS DEL SISTEMA FINANCIERO DE1ND</v>
          </cell>
        </row>
        <row r="9540">
          <cell r="B9540" t="str">
            <v>14060919990101</v>
          </cell>
          <cell r="C9540" t="str">
            <v>BANCO CENTRAL DE RESERVA DEL PERU       1ND</v>
          </cell>
        </row>
        <row r="9541">
          <cell r="B9541" t="str">
            <v>14060919990102</v>
          </cell>
          <cell r="C9541" t="str">
            <v>BANCO DE LA NACIÃ“N                     1ND</v>
          </cell>
        </row>
        <row r="9542">
          <cell r="B9542" t="str">
            <v>14060919990103</v>
          </cell>
          <cell r="C9542" t="str">
            <v>BANCODE CREDITO DEL PERU                1ND</v>
          </cell>
        </row>
        <row r="9543">
          <cell r="B9543" t="str">
            <v>14060919990104</v>
          </cell>
          <cell r="C9543" t="str">
            <v>BANCO INTERNACIONAL DEL PERU - INTERBANK1ND</v>
          </cell>
        </row>
        <row r="9544">
          <cell r="B9544" t="str">
            <v>14060919990105</v>
          </cell>
          <cell r="C9544" t="str">
            <v>SCOTIABANK PERU S. A. A.                1ND</v>
          </cell>
        </row>
        <row r="9545">
          <cell r="B9545" t="str">
            <v>14060919990106</v>
          </cell>
          <cell r="C9545" t="str">
            <v>BANCO CONTINENTAL                       1ND</v>
          </cell>
        </row>
        <row r="9546">
          <cell r="B9546" t="str">
            <v>14060919990108</v>
          </cell>
          <cell r="C9546" t="str">
            <v>BANCO DE COMERCIO                       1ND</v>
          </cell>
        </row>
        <row r="9547">
          <cell r="B9547" t="str">
            <v>14060919990109</v>
          </cell>
          <cell r="C9547" t="str">
            <v>BANCO FINANCIERO DEL PERU               1ND</v>
          </cell>
        </row>
        <row r="9548">
          <cell r="B9548" t="str">
            <v>14060919990116</v>
          </cell>
          <cell r="C9548" t="str">
            <v>CITIBANK N. A.   SUCURSAL EN EL PERU DEL1ND</v>
          </cell>
        </row>
        <row r="9549">
          <cell r="B9549" t="str">
            <v>14060919990121</v>
          </cell>
          <cell r="C9549" t="str">
            <v>BANCO INTERAMERICANO DE FINANZAS - S. A.1ND</v>
          </cell>
        </row>
        <row r="9550">
          <cell r="B9550" t="str">
            <v>14060919990128</v>
          </cell>
          <cell r="C9550" t="str">
            <v>CORPORACIÃ“N FINANCIERA DE DESARROLLO S.1ND</v>
          </cell>
        </row>
        <row r="9551">
          <cell r="B9551" t="str">
            <v>14060919990129</v>
          </cell>
          <cell r="C9551" t="str">
            <v>MIBANCO BANCO DE LA MICROEMPRESA - MIBAN1ND</v>
          </cell>
        </row>
        <row r="9552">
          <cell r="B9552" t="str">
            <v>14060919990131</v>
          </cell>
          <cell r="C9552" t="str">
            <v>BANCO AGROPECUARIO - AGROBANCO          1ND</v>
          </cell>
        </row>
        <row r="9553">
          <cell r="B9553" t="str">
            <v>14060919990132</v>
          </cell>
          <cell r="C9553" t="str">
            <v>HSBC BANK PERU S. A.                    1ND</v>
          </cell>
        </row>
        <row r="9554">
          <cell r="B9554" t="str">
            <v>14060919990133</v>
          </cell>
          <cell r="C9554" t="str">
            <v>BANCO FALABELLA DEL PERU                1ND</v>
          </cell>
        </row>
        <row r="9555">
          <cell r="B9555" t="str">
            <v>14060919990134</v>
          </cell>
          <cell r="C9555" t="str">
            <v>BANCO SANTANDER PERU S. A.              1ND</v>
          </cell>
        </row>
        <row r="9556">
          <cell r="B9556" t="str">
            <v>14060919990135</v>
          </cell>
          <cell r="C9556" t="str">
            <v>BANCO RIPLEY S. A.                      1ND</v>
          </cell>
        </row>
        <row r="9557">
          <cell r="B9557" t="str">
            <v>14060919990136</v>
          </cell>
          <cell r="C9557" t="str">
            <v>BANCO AZTECA DEL PERU S. A.             1ND</v>
          </cell>
        </row>
        <row r="9558">
          <cell r="B9558" t="str">
            <v>14060919990137</v>
          </cell>
          <cell r="C9558" t="str">
            <v>DEUTSCHE BANK (PERU) S. A.              1ND</v>
          </cell>
        </row>
        <row r="9559">
          <cell r="B9559" t="str">
            <v>14060919990199</v>
          </cell>
          <cell r="C9559" t="str">
            <v>BANCOS EN LIQUIDACIÃ“N                  1ND</v>
          </cell>
        </row>
        <row r="9560">
          <cell r="B9560" t="str">
            <v>14060919990203</v>
          </cell>
          <cell r="C9560" t="str">
            <v>SOLUCIÃ“N FINANCIERADE CREDITO DEL PERU 1ND</v>
          </cell>
        </row>
        <row r="9561">
          <cell r="B9561" t="str">
            <v>14060919990207</v>
          </cell>
          <cell r="C9561" t="str">
            <v>FINANCIERA TFC S. A.                    1ND</v>
          </cell>
        </row>
        <row r="9562">
          <cell r="B9562" t="str">
            <v>14060919990209</v>
          </cell>
          <cell r="C9562" t="str">
            <v>FINANCIERA EDYFICAR S. A.               1ND</v>
          </cell>
        </row>
        <row r="9563">
          <cell r="B9563" t="str">
            <v>14060919990210</v>
          </cell>
          <cell r="C9563" t="str">
            <v>CREDISCOTIA FINANCIERA S. A.            1ND</v>
          </cell>
        </row>
        <row r="9564">
          <cell r="B9564" t="str">
            <v>14060919990211</v>
          </cell>
          <cell r="C9564" t="str">
            <v>FINANCIERA CREAR S. A.                  1ND</v>
          </cell>
        </row>
        <row r="9565">
          <cell r="B9565" t="str">
            <v>14060919990212</v>
          </cell>
          <cell r="C9565" t="str">
            <v>FINANCIERA CONFIANZA S. A.              1ND</v>
          </cell>
        </row>
        <row r="9566">
          <cell r="B9566" t="str">
            <v>14060919990213</v>
          </cell>
          <cell r="C9566" t="str">
            <v>FINANCIERA UNIVERSAL S. A.              1ND</v>
          </cell>
        </row>
        <row r="9567">
          <cell r="B9567" t="str">
            <v>14060919990214</v>
          </cell>
          <cell r="C9567" t="str">
            <v>FINANCIERA UNO S. A.                    1ND</v>
          </cell>
        </row>
        <row r="9568">
          <cell r="B9568" t="str">
            <v>14060919990215</v>
          </cell>
          <cell r="C9568" t="str">
            <v>FINANCIERA EFECTIVA S. A.               1ND</v>
          </cell>
        </row>
        <row r="9569">
          <cell r="B9569" t="str">
            <v>14060919990216</v>
          </cell>
          <cell r="C9569" t="str">
            <v>AMERIKA FINANCIERA S. A.                1ND</v>
          </cell>
        </row>
        <row r="9570">
          <cell r="B9570" t="str">
            <v>14060919990299</v>
          </cell>
          <cell r="C9570" t="str">
            <v>FINANCIERAS EN LIQUIDACIÃ“N             1ND</v>
          </cell>
        </row>
        <row r="9571">
          <cell r="B9571" t="str">
            <v>14060919990301</v>
          </cell>
          <cell r="C9571" t="str">
            <v>CAJA MUNICIPAL DE AHORRO YCREDITO DE SUL1ND</v>
          </cell>
        </row>
        <row r="9572">
          <cell r="B9572" t="str">
            <v>14060919990302</v>
          </cell>
          <cell r="C9572" t="str">
            <v>CAJA MUNICIPALDE CREDITO POPULAR DE LIMA1ND</v>
          </cell>
        </row>
        <row r="9573">
          <cell r="B9573" t="str">
            <v>14060919990303</v>
          </cell>
          <cell r="C9573" t="str">
            <v>CAJA MUNICIPAL DE AHORRO YCREDITO DE PIU1ND</v>
          </cell>
        </row>
        <row r="9574">
          <cell r="B9574" t="str">
            <v>14060919990304</v>
          </cell>
          <cell r="C9574" t="str">
            <v>CAJA MUNICIPAL DE AHORRO YCREDITO DE ARE1ND</v>
          </cell>
        </row>
        <row r="9575">
          <cell r="B9575" t="str">
            <v>14060919990305</v>
          </cell>
          <cell r="C9575" t="str">
            <v>CAJA MUNICIPAL DE AHORRO YCREDITO DE HUA1ND</v>
          </cell>
        </row>
        <row r="9576">
          <cell r="B9576" t="str">
            <v>14060919990306</v>
          </cell>
          <cell r="C9576" t="str">
            <v>CAJA MUNICIPAL DE AHORRO YCREDITO CUSCO 1ND</v>
          </cell>
        </row>
        <row r="9577">
          <cell r="B9577" t="str">
            <v>14060919990307</v>
          </cell>
          <cell r="C9577" t="str">
            <v>CAJA MUNICIPAL DE AHORRO YCREDITO DE MAY1ND</v>
          </cell>
        </row>
        <row r="9578">
          <cell r="B9578" t="str">
            <v>14060919990308</v>
          </cell>
          <cell r="C9578" t="str">
            <v>CAJA MUNICIPAL DE AHORRO YCREDITO DE ICA1ND</v>
          </cell>
        </row>
        <row r="9579">
          <cell r="B9579" t="str">
            <v>14060919990309</v>
          </cell>
          <cell r="C9579" t="str">
            <v>CAJA MUNICIPAL DE AHORRO YCREDITO DE PAI1ND</v>
          </cell>
        </row>
        <row r="9580">
          <cell r="B9580" t="str">
            <v>14060919990310</v>
          </cell>
          <cell r="C9580" t="str">
            <v>CAJA MUNICIPAL DE AHORRO YCREDITO DEL SA1ND</v>
          </cell>
        </row>
        <row r="9581">
          <cell r="B9581" t="str">
            <v>14060919990311</v>
          </cell>
          <cell r="C9581" t="str">
            <v>CAJA MUNICIPAL DE AHORRO YCREDITO DE TRU1ND</v>
          </cell>
        </row>
        <row r="9582">
          <cell r="B9582" t="str">
            <v>14060919990312</v>
          </cell>
          <cell r="C9582" t="str">
            <v>CAJA MUNICIPAL DE AHORRO YCREDITO DE TAC1ND</v>
          </cell>
        </row>
        <row r="9583">
          <cell r="B9583" t="str">
            <v>14060919990313</v>
          </cell>
          <cell r="C9583" t="str">
            <v>CAJA MUNICIPAL DE AHORRO YCREDITO DE PIS1ND</v>
          </cell>
        </row>
        <row r="9584">
          <cell r="B9584" t="str">
            <v>14060919990399</v>
          </cell>
          <cell r="C9584" t="str">
            <v>CAJAS MUNICIPALES DE AHORRO YCREDITO EN 1ND</v>
          </cell>
        </row>
        <row r="9585">
          <cell r="B9585" t="str">
            <v>14060919990403</v>
          </cell>
          <cell r="C9585" t="str">
            <v>CAJA RURAL DE AHORRO YCREDITO QUILLABAMB1ND</v>
          </cell>
        </row>
        <row r="9586">
          <cell r="B9586" t="str">
            <v>14060919990405</v>
          </cell>
          <cell r="C9586" t="str">
            <v>CAJA RURAL DE AHORRO YCREDITO LOS LIBERT1ND</v>
          </cell>
        </row>
        <row r="9587">
          <cell r="B9587" t="str">
            <v>14060919990406</v>
          </cell>
          <cell r="C9587" t="str">
            <v>CAJA RURAL DE AHORRO YCREDITO SEÃ‘OR DE 1ND</v>
          </cell>
        </row>
        <row r="9588">
          <cell r="B9588" t="str">
            <v>14060919990407</v>
          </cell>
          <cell r="C9588" t="str">
            <v>CAJA RURAL DE AHORRO YCREDITO CHAVÃN S.1ND</v>
          </cell>
        </row>
        <row r="9589">
          <cell r="B9589" t="str">
            <v>14060919990408</v>
          </cell>
          <cell r="C9589" t="str">
            <v>CAJA RURAL DE AHORRO YCREDITO NUESTRA GE1ND</v>
          </cell>
        </row>
        <row r="9590">
          <cell r="B9590" t="str">
            <v>14060919990409</v>
          </cell>
          <cell r="C9590" t="str">
            <v>CAJA RURAL DE AHORRO YCREDITO CAJAMARCA 1ND</v>
          </cell>
        </row>
        <row r="9591">
          <cell r="B9591" t="str">
            <v>14060919990410</v>
          </cell>
          <cell r="C9591" t="str">
            <v>CAJA RURAL DE AHORRO YCREDITO PROFINANZA1ND</v>
          </cell>
        </row>
        <row r="9592">
          <cell r="B9592" t="str">
            <v>14060919990412</v>
          </cell>
          <cell r="C9592" t="str">
            <v>CAJA RURAL DE AHORRO YCREDITO SIPÃN S. 1ND</v>
          </cell>
        </row>
        <row r="9593">
          <cell r="B9593" t="str">
            <v>14060919990414</v>
          </cell>
          <cell r="C9593" t="str">
            <v>CAJA RURAL DE AHORRO YCREDITO PRYMERA S.1ND</v>
          </cell>
        </row>
        <row r="9594">
          <cell r="B9594" t="str">
            <v>14060919990415</v>
          </cell>
          <cell r="C9594" t="str">
            <v>CAJA RURAL DE AHORRO YCREDITO LOS ANDES 1ND</v>
          </cell>
        </row>
        <row r="9595">
          <cell r="B9595" t="str">
            <v>14060919990499</v>
          </cell>
          <cell r="C9595" t="str">
            <v>CAJAS RURALES DE AHORRO YCREDITO EN LIQU1ND</v>
          </cell>
        </row>
        <row r="9596">
          <cell r="B9596" t="str">
            <v>14060919990503</v>
          </cell>
          <cell r="C9596" t="str">
            <v>PROEMPRESA S. A.                        1ND</v>
          </cell>
        </row>
        <row r="9597">
          <cell r="B9597" t="str">
            <v>14060919990506</v>
          </cell>
          <cell r="C9597" t="str">
            <v>NUEVA VISIÃ“N S. A.                     1ND</v>
          </cell>
        </row>
        <row r="9598">
          <cell r="B9598" t="str">
            <v>14060919990508</v>
          </cell>
          <cell r="C9598" t="str">
            <v>RAIZ S. A.                              1ND</v>
          </cell>
        </row>
        <row r="9599">
          <cell r="B9599" t="str">
            <v>14060919990510</v>
          </cell>
          <cell r="C9599" t="str">
            <v>SOLIDARIDAD S. A.                       1ND</v>
          </cell>
        </row>
        <row r="9600">
          <cell r="B9600" t="str">
            <v>14060919990511</v>
          </cell>
          <cell r="C9600" t="str">
            <v>CREDIVISIÃ“N S. A.                      1ND</v>
          </cell>
        </row>
        <row r="9601">
          <cell r="B9601" t="str">
            <v>14060919990512</v>
          </cell>
          <cell r="C9601" t="str">
            <v>ACCESO CREDITICIO S. A.                 1ND</v>
          </cell>
        </row>
        <row r="9602">
          <cell r="B9602" t="str">
            <v>14060919990514</v>
          </cell>
          <cell r="C9602" t="str">
            <v>ALTERNATIVA S. A.                       1ND</v>
          </cell>
        </row>
        <row r="9603">
          <cell r="B9603" t="str">
            <v>14060919990515</v>
          </cell>
          <cell r="C9603" t="str">
            <v>PRONEGOCIOS S. A.                       1ND</v>
          </cell>
        </row>
        <row r="9604">
          <cell r="B9604" t="str">
            <v>14060919990516</v>
          </cell>
          <cell r="C9604" t="str">
            <v>MICASITA S. A.                          1ND</v>
          </cell>
        </row>
        <row r="9605">
          <cell r="B9605" t="str">
            <v>14060919990517</v>
          </cell>
          <cell r="C9605" t="str">
            <v>CREDIJET DEL PERU S. A.                 1ND</v>
          </cell>
        </row>
        <row r="9606">
          <cell r="B9606" t="str">
            <v>14060919990599</v>
          </cell>
          <cell r="C9606" t="str">
            <v>EDPYMES EN LIQUIDACIÃ“N                 1ND</v>
          </cell>
        </row>
        <row r="9607">
          <cell r="B9607" t="str">
            <v>14060919990710</v>
          </cell>
          <cell r="C9607" t="str">
            <v>LEASING TOTAL S. A.                     1ND</v>
          </cell>
        </row>
        <row r="9608">
          <cell r="B9608" t="str">
            <v>14060919990711</v>
          </cell>
          <cell r="C9608" t="str">
            <v>MITSUI - MASA LEASING S. A.             1ND</v>
          </cell>
        </row>
        <row r="9609">
          <cell r="B9609" t="str">
            <v>14060919990799</v>
          </cell>
          <cell r="C9609" t="str">
            <v>LEASING EN LIQUIDACIÃ“N                 1ND</v>
          </cell>
        </row>
        <row r="9610">
          <cell r="B9610" t="str">
            <v>14060919990801</v>
          </cell>
          <cell r="C9610" t="str">
            <v>FONDO DE GARANTÃA PARA PRSTAMOS A LA PE1ND</v>
          </cell>
        </row>
        <row r="9611">
          <cell r="B9611" t="str">
            <v>14060919991301</v>
          </cell>
          <cell r="C9611" t="str">
            <v>LA FIDUCIARIA S. A.                     1ND</v>
          </cell>
        </row>
        <row r="9612">
          <cell r="B9612" t="str">
            <v>14060919991401</v>
          </cell>
          <cell r="C9612" t="str">
            <v>FONDO MIVIVIENDA S. A.                  1ND</v>
          </cell>
        </row>
        <row r="9613">
          <cell r="B9613" t="str">
            <v>14060919991501</v>
          </cell>
          <cell r="C9613" t="str">
            <v>AMRICA FACTORING S. A.                  1ND</v>
          </cell>
        </row>
        <row r="9614">
          <cell r="B9614" t="str">
            <v>14060919991601</v>
          </cell>
          <cell r="C9614" t="str">
            <v>INCASA S. A.                            1ND</v>
          </cell>
        </row>
        <row r="9615">
          <cell r="B9615" t="str">
            <v>14060919991701</v>
          </cell>
          <cell r="C9615" t="str">
            <v>BANCOS DEL EXTERIOR                     1ND</v>
          </cell>
        </row>
        <row r="9616">
          <cell r="B9616" t="str">
            <v>14060919991702</v>
          </cell>
          <cell r="C9616" t="str">
            <v>OTRAS EMPRESAS DEL SISTEMA FINANCIERO DE1ND</v>
          </cell>
        </row>
        <row r="9617">
          <cell r="B9617" t="str">
            <v>14060999130101</v>
          </cell>
          <cell r="C9617" t="str">
            <v>LPC LS LA FIDUCIARIA COB.JUD CESF       1ND</v>
          </cell>
        </row>
        <row r="9618">
          <cell r="B9618" t="str">
            <v>14061002010101</v>
          </cell>
          <cell r="C9618" t="str">
            <v>CL JUD TC VISA PJ DISP EFEC CCOR        1ND</v>
          </cell>
        </row>
        <row r="9619">
          <cell r="B9619" t="str">
            <v>14061002010102</v>
          </cell>
          <cell r="C9619" t="str">
            <v>CL COB. JUD. TARJ CRED.AMEX PJ DISP EFEC1ND</v>
          </cell>
        </row>
        <row r="9620">
          <cell r="B9620" t="str">
            <v>14061002010103</v>
          </cell>
          <cell r="C9620" t="str">
            <v>CL COB. JUD. TC MASTERC PJ-DISP EFEC CCO1ND</v>
          </cell>
        </row>
        <row r="9621">
          <cell r="B9621" t="str">
            <v>14061002020101</v>
          </cell>
          <cell r="C9621" t="str">
            <v>CL JUD TC VISA PJ CONSU. CCOR           1ND</v>
          </cell>
        </row>
        <row r="9622">
          <cell r="B9622" t="str">
            <v>14061002020102</v>
          </cell>
          <cell r="C9622" t="str">
            <v>CL COB. JUD. TARJ CRED.AMEX PJ CONSU CCO1ND</v>
          </cell>
        </row>
        <row r="9623">
          <cell r="B9623" t="str">
            <v>14061002020103</v>
          </cell>
          <cell r="C9623" t="str">
            <v>CL COB. JUD. TC MASTERC PJ-CONSU CCOR   1ND</v>
          </cell>
        </row>
        <row r="9624">
          <cell r="B9624" t="str">
            <v>14061002030101</v>
          </cell>
          <cell r="C9624" t="str">
            <v>JCC COB. JUD. TC MASTERC PJ-CONSU CCOR  1ND</v>
          </cell>
        </row>
        <row r="9625">
          <cell r="B9625" t="str">
            <v>14061002030102</v>
          </cell>
          <cell r="C9625" t="str">
            <v>JCC JUD TC VISA PJ CONSU. CCOR          1ND</v>
          </cell>
        </row>
        <row r="9626">
          <cell r="B9626" t="str">
            <v>14061002030103</v>
          </cell>
          <cell r="C9626" t="str">
            <v>JCC COB. JUD. TARJ CRED.AMEX PJ CONSU CC1ND</v>
          </cell>
        </row>
        <row r="9627">
          <cell r="B9627" t="str">
            <v>14061002030104</v>
          </cell>
          <cell r="C9627" t="str">
            <v>JCC COB. JUD. TC MASTERC PJ-DISP EFEC CC1ND</v>
          </cell>
        </row>
        <row r="9628">
          <cell r="B9628" t="str">
            <v>14061002030105</v>
          </cell>
          <cell r="C9628" t="str">
            <v>JCC JUD TC VISA PJ DISP EFEC CCOR       1ND</v>
          </cell>
        </row>
        <row r="9629">
          <cell r="B9629" t="str">
            <v>14061002030106</v>
          </cell>
          <cell r="C9629" t="str">
            <v>JCC COB. JUD. TARJ CRED.AMEX PJ DISP EFE1ND</v>
          </cell>
        </row>
        <row r="9630">
          <cell r="B9630" t="str">
            <v>14061004000101</v>
          </cell>
          <cell r="C9630" t="str">
            <v>CL COB. JUD. SOBREG CCTE. PJ CCOR       1ND</v>
          </cell>
        </row>
        <row r="9631">
          <cell r="B9631" t="str">
            <v>14061004000201</v>
          </cell>
          <cell r="C9631" t="str">
            <v>JCC COB. JUD. SOBREG CCTE. PJ CCOR      1ND</v>
          </cell>
        </row>
        <row r="9632">
          <cell r="B9632" t="str">
            <v>14061005010101</v>
          </cell>
          <cell r="C9632" t="str">
            <v>CL COB.JUD. DSCTO. PAG CCOR             1ND</v>
          </cell>
        </row>
        <row r="9633">
          <cell r="B9633" t="str">
            <v>14061005020101</v>
          </cell>
          <cell r="C9633" t="str">
            <v>CL COB. JUD. DSCTO. LETRAS CCOR-CL      1ND</v>
          </cell>
        </row>
        <row r="9634">
          <cell r="B9634" t="str">
            <v>14061005030101</v>
          </cell>
          <cell r="C9634" t="str">
            <v>JCC COB.JUD. DSCTO. PAG CCOR            1ND</v>
          </cell>
        </row>
        <row r="9635">
          <cell r="B9635" t="str">
            <v>14061005030102</v>
          </cell>
          <cell r="C9635" t="str">
            <v>JCC COB. JUD. DSCTO. LETRAS CCOR-JCC    1ND</v>
          </cell>
        </row>
        <row r="9636">
          <cell r="B9636" t="str">
            <v>14061006010101</v>
          </cell>
          <cell r="C9636" t="str">
            <v>CL COB. JUD. RP CAP. DE TRAB CCOR       1ND</v>
          </cell>
        </row>
        <row r="9637">
          <cell r="B9637" t="str">
            <v>14061006010102</v>
          </cell>
          <cell r="C9637" t="str">
            <v>CL COB.JUDIC PAG TV COFIDE REVOL CCOR   1ND</v>
          </cell>
        </row>
        <row r="9638">
          <cell r="B9638" t="str">
            <v>14061006010201</v>
          </cell>
          <cell r="C9638" t="str">
            <v>JCC COB. JUD. RP CAP. DE TRAB CCOR      1ND</v>
          </cell>
        </row>
        <row r="9639">
          <cell r="B9639" t="str">
            <v>14061006010202</v>
          </cell>
          <cell r="C9639" t="str">
            <v>JCC COB.JUDIC PAG TV COFIDE REVOL CCOR  1ND</v>
          </cell>
        </row>
        <row r="9640">
          <cell r="B9640" t="str">
            <v>14061006020101</v>
          </cell>
          <cell r="C9640" t="str">
            <v>CL COB JUD P TV MED PLZ C/FIJA CCOR     1ND</v>
          </cell>
        </row>
        <row r="9641">
          <cell r="B9641" t="str">
            <v>14061006020201</v>
          </cell>
          <cell r="C9641" t="str">
            <v>JCC COB JUD P TV MED PLZ C/FIJA CCOR    1ND</v>
          </cell>
        </row>
        <row r="9642">
          <cell r="B9642" t="str">
            <v>14061006020202</v>
          </cell>
          <cell r="C9642" t="str">
            <v>JCC COB JUD REACTIVA PERU NO REVOLV CCOR1ND</v>
          </cell>
        </row>
        <row r="9643">
          <cell r="B9643" t="str">
            <v>14061006020203</v>
          </cell>
          <cell r="C9643" t="str">
            <v>JCC COB JUD REACTIVA PERU NO REVOLV CCOR1 D</v>
          </cell>
        </row>
        <row r="9644">
          <cell r="B9644" t="str">
            <v>14061006020204</v>
          </cell>
          <cell r="C9644" t="str">
            <v>JCC COB JUD FONDO CRECER CCOR           1 D</v>
          </cell>
        </row>
        <row r="9645">
          <cell r="B9645" t="str">
            <v>14061006020205</v>
          </cell>
          <cell r="C9645" t="str">
            <v>JCC COB JUD REACTIVA PRE-HONRAMIENTO CCO1 D</v>
          </cell>
        </row>
        <row r="9646">
          <cell r="B9646" t="str">
            <v>14061006020206</v>
          </cell>
          <cell r="C9646" t="str">
            <v>JCC COB. JUD. RP CAP. DE TRAB NR CCOR   1 D</v>
          </cell>
        </row>
        <row r="9647">
          <cell r="B9647" t="str">
            <v>14061006020207</v>
          </cell>
          <cell r="C9647" t="str">
            <v>JCC COB JU REACTIVA PRE-HONRAMIENTO REPR1 D</v>
          </cell>
        </row>
        <row r="9648">
          <cell r="B9648" t="str">
            <v>14061006020208</v>
          </cell>
          <cell r="C9648" t="str">
            <v>JCC COB JU REACTIVA PRE-HONRAMIENTO REPR1 D</v>
          </cell>
        </row>
        <row r="9649">
          <cell r="B9649" t="str">
            <v>14061006020209</v>
          </cell>
          <cell r="C9649" t="str">
            <v>JCC COB JU REACTIVA PRE-HONRAMIENTO REPR1 D</v>
          </cell>
        </row>
        <row r="9650">
          <cell r="B9650" t="str">
            <v>14061006020210</v>
          </cell>
          <cell r="C9650" t="str">
            <v>JCC COB JUD CRECER PRE-HONRAMIENTO CCOR 1 D</v>
          </cell>
        </row>
        <row r="9651">
          <cell r="B9651" t="str">
            <v>14061006020211</v>
          </cell>
          <cell r="C9651" t="str">
            <v>JCC COB JU REACTIVA PRE-HONRAMIENTO REPR1 D</v>
          </cell>
        </row>
        <row r="9652">
          <cell r="B9652" t="str">
            <v>14061006020212</v>
          </cell>
          <cell r="C9652" t="str">
            <v>JCC COB JU REACTIVA PRE-HONRAMIENTO REPR1 D</v>
          </cell>
        </row>
        <row r="9653">
          <cell r="B9653" t="str">
            <v>14061006020213</v>
          </cell>
          <cell r="C9653" t="str">
            <v>JCC COB JU REACTIVA PRE-HONRAMIENTO REPR1 D</v>
          </cell>
        </row>
        <row r="9654">
          <cell r="B9654" t="str">
            <v>14061006020214</v>
          </cell>
          <cell r="C9654" t="str">
            <v>JCC COB JUD CRECER PRE-HONRAMIENTO CCOR 1 D</v>
          </cell>
        </row>
        <row r="9655">
          <cell r="B9655" t="str">
            <v>14061006020215</v>
          </cell>
          <cell r="C9655" t="str">
            <v>JCC BC COB JUD CAP IMPULSO MYPERU PRE-HO1 D</v>
          </cell>
        </row>
        <row r="9656">
          <cell r="B9656" t="str">
            <v>14061006020216</v>
          </cell>
          <cell r="C9656" t="str">
            <v>JCC BC COB JUD IMPLUSO MYPERU HONRADO IB1 D</v>
          </cell>
        </row>
        <row r="9657">
          <cell r="B9657" t="str">
            <v>14061006090101</v>
          </cell>
          <cell r="C9657" t="str">
            <v>CL COB. JUD. RP CAP. DE TRAB NR CCOR    1ND</v>
          </cell>
        </row>
        <row r="9658">
          <cell r="B9658" t="str">
            <v>14061006090102</v>
          </cell>
          <cell r="C9658" t="str">
            <v>CL COB.JUDIC PAG TV COFIDE NO REVOL CCOR1ND</v>
          </cell>
        </row>
        <row r="9659">
          <cell r="B9659" t="str">
            <v>14061006090103</v>
          </cell>
          <cell r="C9659" t="str">
            <v>CL COB. JUD. CARTA FIANZA CCOR          1ND</v>
          </cell>
        </row>
        <row r="9660">
          <cell r="B9660" t="str">
            <v>14061006090201</v>
          </cell>
          <cell r="C9660" t="str">
            <v>JCC COB. JUD. RP CAP. DE TRAB NR CCOR   1ND</v>
          </cell>
        </row>
        <row r="9661">
          <cell r="B9661" t="str">
            <v>14061006090202</v>
          </cell>
          <cell r="C9661" t="str">
            <v>JCC COB.JUDIC PAG TV COFIDE NO REVOL CCO1ND</v>
          </cell>
        </row>
        <row r="9662">
          <cell r="B9662" t="str">
            <v>14061010000101</v>
          </cell>
          <cell r="C9662" t="str">
            <v>CL COB. JUD. FACTORING LETRAS CCOR      1ND</v>
          </cell>
        </row>
        <row r="9663">
          <cell r="B9663" t="str">
            <v>14061010000102</v>
          </cell>
          <cell r="C9663" t="str">
            <v>CL COB. JUD. FACTORING FACT. CCOR       1ND</v>
          </cell>
        </row>
        <row r="9664">
          <cell r="B9664" t="str">
            <v>14061010000201</v>
          </cell>
          <cell r="C9664" t="str">
            <v>JCC COB. JUD. FACTORING LETRAS CCOR     1ND</v>
          </cell>
        </row>
        <row r="9665">
          <cell r="B9665" t="str">
            <v>14061010000202</v>
          </cell>
          <cell r="C9665" t="str">
            <v>JCC COB. JUD. FACTORING FACT. CCOR      1ND</v>
          </cell>
        </row>
        <row r="9666">
          <cell r="B9666" t="str">
            <v>14061011000101</v>
          </cell>
          <cell r="C9666" t="str">
            <v>LPC LEASING BIEN COB.JUD CCOR           1ND</v>
          </cell>
        </row>
        <row r="9667">
          <cell r="B9667" t="str">
            <v>14061011000102</v>
          </cell>
          <cell r="C9667" t="str">
            <v>LPC LEASING RESUELTO COBJUD CCOR        1ND</v>
          </cell>
        </row>
        <row r="9668">
          <cell r="B9668" t="str">
            <v>14061011000201</v>
          </cell>
          <cell r="C9668" t="str">
            <v>CL COB. JUD. ARREND. FINANC PJ CCOR     1ND</v>
          </cell>
        </row>
        <row r="9669">
          <cell r="B9669" t="str">
            <v>14061011000301</v>
          </cell>
          <cell r="C9669" t="str">
            <v>JCC COB. JUD. ARREND. FINANC PJ CCOR    1ND</v>
          </cell>
        </row>
        <row r="9670">
          <cell r="B9670" t="str">
            <v>14061019240101</v>
          </cell>
          <cell r="C9670" t="str">
            <v>CL COB.JUD PAG RFA SUBORDI CCOR         1ND</v>
          </cell>
        </row>
        <row r="9671">
          <cell r="B9671" t="str">
            <v>14061019240102</v>
          </cell>
          <cell r="C9671" t="str">
            <v>CL COB.JUD PAG RFA FINANC CCOR          1ND</v>
          </cell>
        </row>
        <row r="9672">
          <cell r="B9672" t="str">
            <v>14061019240201</v>
          </cell>
          <cell r="C9672" t="str">
            <v>JCC COB.JUD PAG RFA FINANC CCOR         1ND</v>
          </cell>
        </row>
        <row r="9673">
          <cell r="B9673" t="str">
            <v>14061019240202</v>
          </cell>
          <cell r="C9673" t="str">
            <v>JCC COB.JUD PAG RFA SUBORDI CCOR        1ND</v>
          </cell>
        </row>
        <row r="9674">
          <cell r="B9674" t="str">
            <v>14061021000101</v>
          </cell>
          <cell r="C9674" t="str">
            <v>JCC COB. JUD. CARTA FIANZA CCOR         1ND</v>
          </cell>
        </row>
        <row r="9675">
          <cell r="B9675" t="str">
            <v>14061026000101</v>
          </cell>
          <cell r="C9675" t="str">
            <v>CL  PREST COBR JUDIC EXPORT CCOR        1ND</v>
          </cell>
        </row>
        <row r="9676">
          <cell r="B9676" t="str">
            <v>14061026000102</v>
          </cell>
          <cell r="C9676" t="str">
            <v>CL COB.JUD.PAG.IMPORTAC CCOR            1ND</v>
          </cell>
        </row>
        <row r="9677">
          <cell r="B9677" t="str">
            <v>14061026000103</v>
          </cell>
          <cell r="C9677" t="str">
            <v>COB.JUD CARTAS DE CRED. CCOR            1ND</v>
          </cell>
        </row>
        <row r="9678">
          <cell r="B9678" t="str">
            <v>14061026000104</v>
          </cell>
          <cell r="C9678" t="str">
            <v>CL COB. JUD. CARTA FIANZA CCOR          1ND</v>
          </cell>
        </row>
        <row r="9679">
          <cell r="B9679" t="str">
            <v>14061026000201</v>
          </cell>
          <cell r="C9679" t="str">
            <v>JCC  PREST COBR JUDIC EXPORT CCOR       1ND</v>
          </cell>
        </row>
        <row r="9680">
          <cell r="B9680" t="str">
            <v>14061026000202</v>
          </cell>
          <cell r="C9680" t="str">
            <v>JCC COB.JUD.PAG.IMPORTAC CCOR           1ND</v>
          </cell>
        </row>
        <row r="9681">
          <cell r="B9681" t="str">
            <v>14061026000203</v>
          </cell>
          <cell r="C9681" t="str">
            <v>COB.JUD CARTAS DE CRED. CCOR            1ND</v>
          </cell>
        </row>
        <row r="9682">
          <cell r="B9682" t="str">
            <v>14061026000204</v>
          </cell>
          <cell r="C9682" t="str">
            <v>JCC COB. JUD. CARTA FIANZA CCOR         1ND</v>
          </cell>
        </row>
        <row r="9683">
          <cell r="B9683" t="str">
            <v>14061102010101</v>
          </cell>
          <cell r="C9683" t="str">
            <v>CL JUD TC VISA PJ DISP EFEC CGEM        1ND</v>
          </cell>
        </row>
        <row r="9684">
          <cell r="B9684" t="str">
            <v>14061102010102</v>
          </cell>
          <cell r="C9684" t="str">
            <v>CL COB. JUD. TARJ CRED.AMEX PJ DISP EFEC1ND</v>
          </cell>
        </row>
        <row r="9685">
          <cell r="B9685" t="str">
            <v>14061102010103</v>
          </cell>
          <cell r="C9685" t="str">
            <v>CL COB. JUD. TC MASTERC PJ-DISP EFEC CGE1ND</v>
          </cell>
        </row>
        <row r="9686">
          <cell r="B9686" t="str">
            <v>14061102020101</v>
          </cell>
          <cell r="C9686" t="str">
            <v>CL JUD TC VISA PJ CONSU. CGEM           1ND</v>
          </cell>
        </row>
        <row r="9687">
          <cell r="B9687" t="str">
            <v>14061102020102</v>
          </cell>
          <cell r="C9687" t="str">
            <v>CL COB. JUD. TARJ CRED.AMEX PJ CONSU CGE1ND</v>
          </cell>
        </row>
        <row r="9688">
          <cell r="B9688" t="str">
            <v>14061102020103</v>
          </cell>
          <cell r="C9688" t="str">
            <v>CL COB. JUD. TC MASTERC PJ-CONSU CGEM   1ND</v>
          </cell>
        </row>
        <row r="9689">
          <cell r="B9689" t="str">
            <v>14061102030101</v>
          </cell>
          <cell r="C9689" t="str">
            <v>JCC COB. JUD. TC MASTERC PJ-CONSU CGEM  1ND</v>
          </cell>
        </row>
        <row r="9690">
          <cell r="B9690" t="str">
            <v>14061102030102</v>
          </cell>
          <cell r="C9690" t="str">
            <v>JCC JUD TC VISA PJ CONSU. CGEM          1ND</v>
          </cell>
        </row>
        <row r="9691">
          <cell r="B9691" t="str">
            <v>14061102030103</v>
          </cell>
          <cell r="C9691" t="str">
            <v>JCC COB. JUD. TARJ CRED.AMEX PJ CONSU CG1ND</v>
          </cell>
        </row>
        <row r="9692">
          <cell r="B9692" t="str">
            <v>14061102030104</v>
          </cell>
          <cell r="C9692" t="str">
            <v>JCC COB. JUD. TC MASTERC PJ-DISP EFEC CG1ND</v>
          </cell>
        </row>
        <row r="9693">
          <cell r="B9693" t="str">
            <v>14061102030105</v>
          </cell>
          <cell r="C9693" t="str">
            <v>JCC JUD TC VISA PJ DISP EFEC CGEM       1ND</v>
          </cell>
        </row>
        <row r="9694">
          <cell r="B9694" t="str">
            <v>14061102030106</v>
          </cell>
          <cell r="C9694" t="str">
            <v>JCC COB. JUD. TARJ CRED.AMEX PJ DISP EFE1ND</v>
          </cell>
        </row>
        <row r="9695">
          <cell r="B9695" t="str">
            <v>14061104000101</v>
          </cell>
          <cell r="C9695" t="str">
            <v>CL COB. JUD. SOBREG CCTE. PJ CGEM       1ND</v>
          </cell>
        </row>
        <row r="9696">
          <cell r="B9696" t="str">
            <v>14061104000201</v>
          </cell>
          <cell r="C9696" t="str">
            <v>JCC COB. JUD. SOBREG CCTE. PJ CGEM      1ND</v>
          </cell>
        </row>
        <row r="9697">
          <cell r="B9697" t="str">
            <v>14061105010101</v>
          </cell>
          <cell r="C9697" t="str">
            <v>CL COB.JUD. DESCTO. DE PAGARE CGEM      1ND</v>
          </cell>
        </row>
        <row r="9698">
          <cell r="B9698" t="str">
            <v>14061105020101</v>
          </cell>
          <cell r="C9698" t="str">
            <v>CL COB. JUD. DSCTO. LETRAS CGEM-CL      1ND</v>
          </cell>
        </row>
        <row r="9699">
          <cell r="B9699" t="str">
            <v>14061105030101</v>
          </cell>
          <cell r="C9699" t="str">
            <v>JCC COB.JUD. DESCTO. DE PAGARE CGEM     1ND</v>
          </cell>
        </row>
        <row r="9700">
          <cell r="B9700" t="str">
            <v>14061105030102</v>
          </cell>
          <cell r="C9700" t="str">
            <v>JCC COB. JUD. DSCTO. LETRAS CGEM-JCC    1ND</v>
          </cell>
        </row>
        <row r="9701">
          <cell r="B9701" t="str">
            <v>14061106010101</v>
          </cell>
          <cell r="C9701" t="str">
            <v>CL COB. JUD. RP CAP. DE TRAB CGEM       1ND</v>
          </cell>
        </row>
        <row r="9702">
          <cell r="B9702" t="str">
            <v>14061106010102</v>
          </cell>
          <cell r="C9702" t="str">
            <v>CL COB.JUDIC PAG TV COFIDE REVOL CGEM   1ND</v>
          </cell>
        </row>
        <row r="9703">
          <cell r="B9703" t="str">
            <v>14061106010201</v>
          </cell>
          <cell r="C9703" t="str">
            <v>JCC COB. JUD. RP CAP. DE TRAB CGEM      1ND</v>
          </cell>
        </row>
        <row r="9704">
          <cell r="B9704" t="str">
            <v>14061106010202</v>
          </cell>
          <cell r="C9704" t="str">
            <v>JCC COB.JUDIC PAG TV COFIDE REVOL CGEM  1ND</v>
          </cell>
        </row>
        <row r="9705">
          <cell r="B9705" t="str">
            <v>14061106020101</v>
          </cell>
          <cell r="C9705" t="str">
            <v>CL COB JUD P TV MED PLZ C/FIJA CGEM     1ND</v>
          </cell>
        </row>
        <row r="9706">
          <cell r="B9706" t="str">
            <v>14061106020201</v>
          </cell>
          <cell r="C9706" t="str">
            <v>JCC COB JUD P TV MED PLZ C/FIJA CGEM    1ND</v>
          </cell>
        </row>
        <row r="9707">
          <cell r="B9707" t="str">
            <v>14061106020202</v>
          </cell>
          <cell r="C9707" t="str">
            <v>JCC MYP JUD CAP TRAB COM NR CMED        1ND</v>
          </cell>
        </row>
        <row r="9708">
          <cell r="B9708" t="str">
            <v>14061106020203</v>
          </cell>
          <cell r="C9708" t="str">
            <v>JCC COB JUD RP CAP DE TRAB NR CGEM      1ND</v>
          </cell>
        </row>
        <row r="9709">
          <cell r="B9709" t="str">
            <v>14061106020204</v>
          </cell>
          <cell r="C9709" t="str">
            <v>JCC COB JUD RP CAP DE TRAB NR CGEM      1ND</v>
          </cell>
        </row>
        <row r="9710">
          <cell r="B9710" t="str">
            <v>14061106020205</v>
          </cell>
          <cell r="C9710" t="str">
            <v>JCC COB JUD REACTIVA PERU NO REVOLV CGEM1ND</v>
          </cell>
        </row>
        <row r="9711">
          <cell r="B9711" t="str">
            <v>14061106020206</v>
          </cell>
          <cell r="C9711" t="str">
            <v>JCC COB JUD REACTIVA PERU NO REVOLV CGEM1 D</v>
          </cell>
        </row>
        <row r="9712">
          <cell r="B9712" t="str">
            <v>14061106020207</v>
          </cell>
          <cell r="C9712" t="str">
            <v>JCC COB JUD FONDO CRECER CGEM           1 D</v>
          </cell>
        </row>
        <row r="9713">
          <cell r="B9713" t="str">
            <v>14061106020208</v>
          </cell>
          <cell r="C9713" t="str">
            <v>JCC COB JUD FONDO CRECER CGEM           1 D</v>
          </cell>
        </row>
        <row r="9714">
          <cell r="B9714" t="str">
            <v>14061106020209</v>
          </cell>
          <cell r="C9714" t="str">
            <v>JCC COB JUD REACTIVA PRE-HONRAMIENTO CGE1 D</v>
          </cell>
        </row>
        <row r="9715">
          <cell r="B9715" t="str">
            <v>14061106020210</v>
          </cell>
          <cell r="C9715" t="str">
            <v>JCC COB JUD REACTIVA PRE-HONRAMIENTO CGE1 D</v>
          </cell>
        </row>
        <row r="9716">
          <cell r="B9716" t="str">
            <v>14061106020211</v>
          </cell>
          <cell r="C9716" t="str">
            <v>JCC COB JU REACTIVA PRE-HONRAMIENTO REPR1 D</v>
          </cell>
        </row>
        <row r="9717">
          <cell r="B9717" t="str">
            <v>14061106020212</v>
          </cell>
          <cell r="C9717" t="str">
            <v>JCC COB JU REACTIVA PRE-HONRAMIENTO REPR1 D</v>
          </cell>
        </row>
        <row r="9718">
          <cell r="B9718" t="str">
            <v>14061106020213</v>
          </cell>
          <cell r="C9718" t="str">
            <v>JCC COB JU REACTIVA PRE-HONRAMIENTO REPR1 D</v>
          </cell>
        </row>
        <row r="9719">
          <cell r="B9719" t="str">
            <v>14061106020214</v>
          </cell>
          <cell r="C9719" t="str">
            <v>JCC COB JUD CRECER PRE-HONRAMIENTO CGEM 1 D</v>
          </cell>
        </row>
        <row r="9720">
          <cell r="B9720" t="str">
            <v>14061106020215</v>
          </cell>
          <cell r="C9720" t="str">
            <v>JCC COB JU REACTIVA PRE-HONRAMIENTO REPR1 D</v>
          </cell>
        </row>
        <row r="9721">
          <cell r="B9721" t="str">
            <v>14061106020216</v>
          </cell>
          <cell r="C9721" t="str">
            <v>JCC COB JU REACTIVA PRE-HONRAMIENTO REPR1 D</v>
          </cell>
        </row>
        <row r="9722">
          <cell r="B9722" t="str">
            <v>14061106020217</v>
          </cell>
          <cell r="C9722" t="str">
            <v>JCC COB JU REACTIVA PRE-HONRAMIENTO REPR1 D</v>
          </cell>
        </row>
        <row r="9723">
          <cell r="B9723" t="str">
            <v>14061106020218</v>
          </cell>
          <cell r="C9723" t="str">
            <v>JCC COB JUD CRECER PRE-HONRAMIENTO CGEM 1 D</v>
          </cell>
        </row>
        <row r="9724">
          <cell r="B9724" t="str">
            <v>14061106020219</v>
          </cell>
          <cell r="C9724" t="str">
            <v>JCC MP COB JUD CAP IMPULSO MYPERU IBK CG1 D</v>
          </cell>
        </row>
        <row r="9725">
          <cell r="B9725" t="str">
            <v>14061106020220</v>
          </cell>
          <cell r="C9725" t="str">
            <v>JCC BC COB JUD CAP IMPULSO MYPERU PRE-HO1 D</v>
          </cell>
        </row>
        <row r="9726">
          <cell r="B9726" t="str">
            <v>14061106020221</v>
          </cell>
          <cell r="C9726" t="str">
            <v>JCC MP COB JUD IMPLUSO MYPERU HONRADO IB1 D</v>
          </cell>
        </row>
        <row r="9727">
          <cell r="B9727" t="str">
            <v>14061106020222</v>
          </cell>
          <cell r="C9727" t="str">
            <v>JCC CCD COBJUD CAPITAL DE TRABAJO CGEM  1 D</v>
          </cell>
        </row>
        <row r="9728">
          <cell r="B9728" t="str">
            <v>14061106090101</v>
          </cell>
          <cell r="C9728" t="str">
            <v>CL COB. JUD. RP CAP. DE TRAB NR CGEM    1ND</v>
          </cell>
        </row>
        <row r="9729">
          <cell r="B9729" t="str">
            <v>14061106090102</v>
          </cell>
          <cell r="C9729" t="str">
            <v>CL COB.JUDIC PAG TV COFIDE NO REVOL CGEM1ND</v>
          </cell>
        </row>
        <row r="9730">
          <cell r="B9730" t="str">
            <v>14061106090103</v>
          </cell>
          <cell r="C9730" t="str">
            <v>CL COB. JUD. CARTA FIANZA CGEM          1ND</v>
          </cell>
        </row>
        <row r="9731">
          <cell r="B9731" t="str">
            <v>14061106090201</v>
          </cell>
          <cell r="C9731" t="str">
            <v>JCC COB. JUD. RP CAP. DE TRAB NR CGEM   1ND</v>
          </cell>
        </row>
        <row r="9732">
          <cell r="B9732" t="str">
            <v>14061106090202</v>
          </cell>
          <cell r="C9732" t="str">
            <v>JCC COB.JUDIC PAG TV COFIDE NO REVOL CGE1ND</v>
          </cell>
        </row>
        <row r="9733">
          <cell r="B9733" t="str">
            <v>14061110000101</v>
          </cell>
          <cell r="C9733" t="str">
            <v>CL COB. JUD. FACTORING LETRAS CGEM      1ND</v>
          </cell>
        </row>
        <row r="9734">
          <cell r="B9734" t="str">
            <v>14061110000102</v>
          </cell>
          <cell r="C9734" t="str">
            <v>CL COB. JUD. FACTORING FACT. CGEM       1ND</v>
          </cell>
        </row>
        <row r="9735">
          <cell r="B9735" t="str">
            <v>14061110000201</v>
          </cell>
          <cell r="C9735" t="str">
            <v>JCC COB. JUD. FACTORING LETRAS CGEM     1ND</v>
          </cell>
        </row>
        <row r="9736">
          <cell r="B9736" t="str">
            <v>14061110000202</v>
          </cell>
          <cell r="C9736" t="str">
            <v>JCC COB. JUD. FACTORING FACT. CGEM      1ND</v>
          </cell>
        </row>
        <row r="9737">
          <cell r="B9737" t="str">
            <v>14061111000101</v>
          </cell>
          <cell r="C9737" t="str">
            <v>LPC LEASING BIEN COB.JUD CGEM           1ND</v>
          </cell>
        </row>
        <row r="9738">
          <cell r="B9738" t="str">
            <v>14061111000102</v>
          </cell>
          <cell r="C9738" t="str">
            <v>LPC LEASING RESUELTO COBJUD CGEM        1ND</v>
          </cell>
        </row>
        <row r="9739">
          <cell r="B9739" t="str">
            <v>14061111000201</v>
          </cell>
          <cell r="C9739" t="str">
            <v>CL COB. JUD. ARREND. FINANC PJ CGEM     1ND</v>
          </cell>
        </row>
        <row r="9740">
          <cell r="B9740" t="str">
            <v>14061111000301</v>
          </cell>
          <cell r="C9740" t="str">
            <v>JCC COB. JUD. ARREND. FINANC PJ CGEM    1ND</v>
          </cell>
        </row>
        <row r="9741">
          <cell r="B9741" t="str">
            <v>14061119240101</v>
          </cell>
          <cell r="C9741" t="str">
            <v>CL COB.JUD PAG RFA SUBORDI CGEM         1ND</v>
          </cell>
        </row>
        <row r="9742">
          <cell r="B9742" t="str">
            <v>14061119240102</v>
          </cell>
          <cell r="C9742" t="str">
            <v>CL COB.JUD PAG RFA FINANC CGEM          1ND</v>
          </cell>
        </row>
        <row r="9743">
          <cell r="B9743" t="str">
            <v>14061119240201</v>
          </cell>
          <cell r="C9743" t="str">
            <v>JCC COB.JUD PAG RFA FINANC CGEM         1ND</v>
          </cell>
        </row>
        <row r="9744">
          <cell r="B9744" t="str">
            <v>14061119240202</v>
          </cell>
          <cell r="C9744" t="str">
            <v>JCC COB.JUD PAG RFA SUBORDI CGEM        1ND</v>
          </cell>
        </row>
        <row r="9745">
          <cell r="B9745" t="str">
            <v>14061121000101</v>
          </cell>
          <cell r="C9745" t="str">
            <v>JCC COB. JUD. CARTA FIANZA CGEM         1ND</v>
          </cell>
        </row>
        <row r="9746">
          <cell r="B9746" t="str">
            <v>14061126000101</v>
          </cell>
          <cell r="C9746" t="str">
            <v>CL  PREST COBR JUDIC EXPORT CGEM        1ND</v>
          </cell>
        </row>
        <row r="9747">
          <cell r="B9747" t="str">
            <v>14061126000102</v>
          </cell>
          <cell r="C9747" t="str">
            <v>CL COB.JUD CARTAS DE CRED. CGEM         1ND</v>
          </cell>
        </row>
        <row r="9748">
          <cell r="B9748" t="str">
            <v>14061126000103</v>
          </cell>
          <cell r="C9748" t="str">
            <v>CL COB. JUD. CARTA FIANZA CGEM          1ND</v>
          </cell>
        </row>
        <row r="9749">
          <cell r="B9749" t="str">
            <v>14061126000201</v>
          </cell>
          <cell r="C9749" t="str">
            <v>JCC  PREST COBR JUDIC EXPORT CGEM       1ND</v>
          </cell>
        </row>
        <row r="9750">
          <cell r="B9750" t="str">
            <v>14061126000301</v>
          </cell>
          <cell r="C9750" t="str">
            <v>JCC COB.JUD CARTAS DE CRED. CGEM        1ND</v>
          </cell>
        </row>
        <row r="9751">
          <cell r="B9751" t="str">
            <v>14061126000302</v>
          </cell>
          <cell r="C9751" t="str">
            <v>JCC COB. JUD. CARTA FIANZA CGEM         1ND</v>
          </cell>
        </row>
        <row r="9752">
          <cell r="B9752" t="str">
            <v>14061126000303</v>
          </cell>
          <cell r="C9752" t="str">
            <v>JCCJUDIC PAG.IMPORT VENC CGEM           1ND</v>
          </cell>
        </row>
        <row r="9753">
          <cell r="B9753" t="str">
            <v>14061202000101</v>
          </cell>
          <cell r="C9753" t="str">
            <v>JCC JUD MASTER C PN DISP EF CMED        1ND</v>
          </cell>
        </row>
        <row r="9754">
          <cell r="B9754" t="str">
            <v>14061202000102</v>
          </cell>
          <cell r="C9754" t="str">
            <v>JCC JUD VISA PN  DIS EFE CMED           1ND</v>
          </cell>
        </row>
        <row r="9755">
          <cell r="B9755" t="str">
            <v>14061202000103</v>
          </cell>
          <cell r="C9755" t="str">
            <v>JCC JUD AMEX PN DISP EFEC CMED          1ND</v>
          </cell>
        </row>
        <row r="9756">
          <cell r="B9756" t="str">
            <v>14061202000104</v>
          </cell>
          <cell r="C9756" t="str">
            <v>JCC JUD AMEX PN CONSUMO CMED            1ND</v>
          </cell>
        </row>
        <row r="9757">
          <cell r="B9757" t="str">
            <v>14061202010101</v>
          </cell>
          <cell r="C9757" t="str">
            <v>CL JUD TC VISA PJ DISP EFEC CMED        1ND</v>
          </cell>
        </row>
        <row r="9758">
          <cell r="B9758" t="str">
            <v>14061202010102</v>
          </cell>
          <cell r="C9758" t="str">
            <v>CL COB. JUD. TARJ CRED.AMEX PJ DISP EFEC1ND</v>
          </cell>
        </row>
        <row r="9759">
          <cell r="B9759" t="str">
            <v>14061202010103</v>
          </cell>
          <cell r="C9759" t="str">
            <v>CL COB. JUD. TC MASTERC PJ-DISP EFEC CME1ND</v>
          </cell>
        </row>
        <row r="9760">
          <cell r="B9760" t="str">
            <v>14061202010104</v>
          </cell>
          <cell r="C9760" t="str">
            <v>CL JUD VISA PN  DIS EFE CMED            1ND</v>
          </cell>
        </row>
        <row r="9761">
          <cell r="B9761" t="str">
            <v>14061202010105</v>
          </cell>
          <cell r="C9761" t="str">
            <v>CL JUD AMEX PN DISP EFEC CMED           1ND</v>
          </cell>
        </row>
        <row r="9762">
          <cell r="B9762" t="str">
            <v>14061202010106</v>
          </cell>
          <cell r="C9762" t="str">
            <v>CL JUD MASTER C PN DISP EF CMED         1ND</v>
          </cell>
        </row>
        <row r="9763">
          <cell r="B9763" t="str">
            <v>14061202010107</v>
          </cell>
          <cell r="C9763" t="str">
            <v>CL JUD MASTER C PN DISP EF CMED         1ND</v>
          </cell>
        </row>
        <row r="9764">
          <cell r="B9764" t="str">
            <v>14061202020101</v>
          </cell>
          <cell r="C9764" t="str">
            <v>CL JUD TC VISA PJ CONSU. CMED           1ND</v>
          </cell>
        </row>
        <row r="9765">
          <cell r="B9765" t="str">
            <v>14061202020102</v>
          </cell>
          <cell r="C9765" t="str">
            <v>CL COB. JUD. TARJ CRED.AMEX PJ CONSU CME1ND</v>
          </cell>
        </row>
        <row r="9766">
          <cell r="B9766" t="str">
            <v>14061202020103</v>
          </cell>
          <cell r="C9766" t="str">
            <v>CL COB. JUD. TC MASTERC PJ-CONSU CMED   1ND</v>
          </cell>
        </row>
        <row r="9767">
          <cell r="B9767" t="str">
            <v>14061202020104</v>
          </cell>
          <cell r="C9767" t="str">
            <v>CL JUD VISA PN  CONSUMO CMED            1ND</v>
          </cell>
        </row>
        <row r="9768">
          <cell r="B9768" t="str">
            <v>14061202020105</v>
          </cell>
          <cell r="C9768" t="str">
            <v>CL JUD AMEX PN CONSUMO CMED             1ND</v>
          </cell>
        </row>
        <row r="9769">
          <cell r="B9769" t="str">
            <v>14061202030101</v>
          </cell>
          <cell r="C9769" t="str">
            <v>JCC COB. JUD. TC MASTERC PJ-CONSU CMED  1ND</v>
          </cell>
        </row>
        <row r="9770">
          <cell r="B9770" t="str">
            <v>14061202030102</v>
          </cell>
          <cell r="C9770" t="str">
            <v>JCC JUD TC VISA PJ CONSU. CMED          1ND</v>
          </cell>
        </row>
        <row r="9771">
          <cell r="B9771" t="str">
            <v>14061202030103</v>
          </cell>
          <cell r="C9771" t="str">
            <v>JCC COB. JUD. TARJ CRED.AMEX PJ CONSU CM1ND</v>
          </cell>
        </row>
        <row r="9772">
          <cell r="B9772" t="str">
            <v>14061202030104</v>
          </cell>
          <cell r="C9772" t="str">
            <v>JCC COB. JUD. TC MASTERC PJ-DISP EFEC CM1ND</v>
          </cell>
        </row>
        <row r="9773">
          <cell r="B9773" t="str">
            <v>14061202030105</v>
          </cell>
          <cell r="C9773" t="str">
            <v>JCC JUD TC VISA PJ DISP EFEC CMED       1ND</v>
          </cell>
        </row>
        <row r="9774">
          <cell r="B9774" t="str">
            <v>14061202030106</v>
          </cell>
          <cell r="C9774" t="str">
            <v>JCC COB. JUD. TARJ CRED.AMEX PJ DISP EFE1ND</v>
          </cell>
        </row>
        <row r="9775">
          <cell r="B9775" t="str">
            <v>14061202030107</v>
          </cell>
          <cell r="C9775" t="str">
            <v>JCC   JUD VISA PN  CONSUMO CMED         1ND</v>
          </cell>
        </row>
        <row r="9776">
          <cell r="B9776" t="str">
            <v>14061204000101</v>
          </cell>
          <cell r="C9776" t="str">
            <v>CL COB. JUD. SOBREG CCTE. PJ CMED       1ND</v>
          </cell>
        </row>
        <row r="9777">
          <cell r="B9777" t="str">
            <v>14061204000201</v>
          </cell>
          <cell r="C9777" t="str">
            <v>JCC COB. JUD. SOBREG CCTE. PJ CMED      1ND</v>
          </cell>
        </row>
        <row r="9778">
          <cell r="B9778" t="str">
            <v>14061205010101</v>
          </cell>
          <cell r="C9778" t="str">
            <v>CL COB.JUD. DESCTO. DE PAGARE CMED      1ND</v>
          </cell>
        </row>
        <row r="9779">
          <cell r="B9779" t="str">
            <v>14061205020101</v>
          </cell>
          <cell r="C9779" t="str">
            <v>CL COB. JUD. DSCTO. LETRAS CMED-CL      1ND</v>
          </cell>
        </row>
        <row r="9780">
          <cell r="B9780" t="str">
            <v>14061205030101</v>
          </cell>
          <cell r="C9780" t="str">
            <v>JCC COB.JUD. DESCTO. DE PAGARE CMED     1ND</v>
          </cell>
        </row>
        <row r="9781">
          <cell r="B9781" t="str">
            <v>14061205030102</v>
          </cell>
          <cell r="C9781" t="str">
            <v>JCC COB. JUD. DSCTO. LETRAS CMED-JCC    1ND</v>
          </cell>
        </row>
        <row r="9782">
          <cell r="B9782" t="str">
            <v>14061206010101</v>
          </cell>
          <cell r="C9782" t="str">
            <v>CL COB. JUD. RP CAP. DE TRAB CMED       1ND</v>
          </cell>
        </row>
        <row r="9783">
          <cell r="B9783" t="str">
            <v>14061206010102</v>
          </cell>
          <cell r="C9783" t="str">
            <v>CL COB.JUDIC PAG TV COFIDE REVOL CMED   1ND</v>
          </cell>
        </row>
        <row r="9784">
          <cell r="B9784" t="str">
            <v>14061206010103</v>
          </cell>
          <cell r="C9784" t="str">
            <v>CL COBJUD CONSU REV ADEL SUELDO         1ND</v>
          </cell>
        </row>
        <row r="9785">
          <cell r="B9785" t="str">
            <v>14061206010104</v>
          </cell>
          <cell r="C9785" t="str">
            <v>CL COBJUD CONSU REV PREF CMED           1ND</v>
          </cell>
        </row>
        <row r="9786">
          <cell r="B9786" t="str">
            <v>14061206010105</v>
          </cell>
          <cell r="C9786" t="str">
            <v>CL MYP JUD.CAP.TRAB.REV.CMED            1ND</v>
          </cell>
        </row>
        <row r="9787">
          <cell r="B9787" t="str">
            <v>14061206010106</v>
          </cell>
          <cell r="C9787" t="str">
            <v>CL COB. JUD. CRED DE HIPOT CMED         1ND</v>
          </cell>
        </row>
        <row r="9788">
          <cell r="B9788" t="str">
            <v>14061206010201</v>
          </cell>
          <cell r="C9788" t="str">
            <v>JCC COB. JUD. RP CAP. DE TRAB CMED      1ND</v>
          </cell>
        </row>
        <row r="9789">
          <cell r="B9789" t="str">
            <v>14061206010202</v>
          </cell>
          <cell r="C9789" t="str">
            <v>JCC COB.JUDIC PAG TV COFIDE REVOL CMED  1ND</v>
          </cell>
        </row>
        <row r="9790">
          <cell r="B9790" t="str">
            <v>14061206010203</v>
          </cell>
          <cell r="C9790" t="str">
            <v>JCC MYP JUD.CAP.TRAB.REV.CMED           1ND</v>
          </cell>
        </row>
        <row r="9791">
          <cell r="B9791" t="str">
            <v>14061206020101</v>
          </cell>
          <cell r="C9791" t="str">
            <v>CL COB JUD P TV MED PLZ C/FIJA CMED     1ND</v>
          </cell>
        </row>
        <row r="9792">
          <cell r="B9792" t="str">
            <v>14061206020102</v>
          </cell>
          <cell r="C9792" t="str">
            <v>CL CJ MYP CAP TRAB COM NR CMED          1ND</v>
          </cell>
        </row>
        <row r="9793">
          <cell r="B9793" t="str">
            <v>14061206020103</v>
          </cell>
          <cell r="C9793" t="str">
            <v>CL CJ MYP COMP AF INM  NRV CMED         1ND</v>
          </cell>
        </row>
        <row r="9794">
          <cell r="B9794" t="str">
            <v>14061206020104</v>
          </cell>
          <cell r="C9794" t="str">
            <v>CL CJ MYP COMP AF MUE NRV CMED          1ND</v>
          </cell>
        </row>
        <row r="9795">
          <cell r="B9795" t="str">
            <v>14061206020105</v>
          </cell>
          <cell r="C9795" t="str">
            <v>CL CJ MYP CRED ESTAC NRV CMED           1ND</v>
          </cell>
        </row>
        <row r="9796">
          <cell r="B9796" t="str">
            <v>14061206020106</v>
          </cell>
          <cell r="C9796" t="str">
            <v>CL CJ MYP AF CYBERPL NRV CMED           1ND</v>
          </cell>
        </row>
        <row r="9797">
          <cell r="B9797" t="str">
            <v>14061206020107</v>
          </cell>
          <cell r="C9797" t="str">
            <v>JCC CJ MYP COMP AF INM  NRV CMED        1ND</v>
          </cell>
        </row>
        <row r="9798">
          <cell r="B9798" t="str">
            <v>14061206020108</v>
          </cell>
          <cell r="C9798" t="str">
            <v>JCC CJ MYP COMP AF MUE NRV CMED         1ND</v>
          </cell>
        </row>
        <row r="9799">
          <cell r="B9799" t="str">
            <v>14061206020109</v>
          </cell>
          <cell r="C9799" t="str">
            <v>JCC COB JUD P TV MED PLZ C/FIJA CMED    1ND</v>
          </cell>
        </row>
        <row r="9800">
          <cell r="B9800" t="str">
            <v>14061206020110</v>
          </cell>
          <cell r="C9800" t="str">
            <v>JCC  MYP CAP TRAB COM NR CMED           1ND</v>
          </cell>
        </row>
        <row r="9801">
          <cell r="B9801" t="str">
            <v>14061206020111</v>
          </cell>
          <cell r="C9801" t="str">
            <v>JCC CJ MYP CRED ESTAC NRV CMED          1ND</v>
          </cell>
        </row>
        <row r="9802">
          <cell r="B9802" t="str">
            <v>14061206020112</v>
          </cell>
          <cell r="C9802" t="str">
            <v>JCC  MYP AF CYBERPL NRV CMED            1ND</v>
          </cell>
        </row>
        <row r="9803">
          <cell r="B9803" t="str">
            <v>14061206020114</v>
          </cell>
          <cell r="C9803" t="str">
            <v>JCC COB JUD RP CAP DE TRAB NR CMED      1ND</v>
          </cell>
        </row>
        <row r="9804">
          <cell r="B9804" t="str">
            <v>14061206020115</v>
          </cell>
          <cell r="C9804" t="str">
            <v>JCC COB JUD RP CAP DE TRAB NR CMED      1ND</v>
          </cell>
        </row>
        <row r="9805">
          <cell r="B9805" t="str">
            <v>14061206020116</v>
          </cell>
          <cell r="C9805" t="str">
            <v>JCC COB JUD REACTIVA PERU NO REVOLV CMED1ND</v>
          </cell>
        </row>
        <row r="9806">
          <cell r="B9806" t="str">
            <v>14061206020117</v>
          </cell>
          <cell r="C9806" t="str">
            <v>JCC COB JUD REACTIVA PERU NO REVOLV CMED1 D</v>
          </cell>
        </row>
        <row r="9807">
          <cell r="B9807" t="str">
            <v>14061206020118</v>
          </cell>
          <cell r="C9807" t="str">
            <v>JCC COB JUD FONDO CRECER CMED           1 D</v>
          </cell>
        </row>
        <row r="9808">
          <cell r="B9808" t="str">
            <v>14061206020119</v>
          </cell>
          <cell r="C9808" t="str">
            <v>JCC COB JUD FONDO CRECER CMED           1 D</v>
          </cell>
        </row>
        <row r="9809">
          <cell r="B9809" t="str">
            <v>14061206020120</v>
          </cell>
          <cell r="C9809" t="str">
            <v>JCC COB JUD REACTIVA PRE-HONRAMIENTO CME1 D</v>
          </cell>
        </row>
        <row r="9810">
          <cell r="B9810" t="str">
            <v>14061206020121</v>
          </cell>
          <cell r="C9810" t="str">
            <v>JCC COB JUD REACTIVA PRE-HONRAMIENTO CME1 D</v>
          </cell>
        </row>
        <row r="9811">
          <cell r="B9811" t="str">
            <v>14061206020122</v>
          </cell>
          <cell r="C9811" t="str">
            <v>JCC COB JU REACTIVA PRE-HONRAMIENTO REPR1 D</v>
          </cell>
        </row>
        <row r="9812">
          <cell r="B9812" t="str">
            <v>14061206020123</v>
          </cell>
          <cell r="C9812" t="str">
            <v>JCC COB JU REACTIVA PRE-HONRAMIENTO REPR1 D</v>
          </cell>
        </row>
        <row r="9813">
          <cell r="B9813" t="str">
            <v>14061206020124</v>
          </cell>
          <cell r="C9813" t="str">
            <v>JCC COB JU REACTIVA PRE-HONRAMIENTO REPR1 D</v>
          </cell>
        </row>
        <row r="9814">
          <cell r="B9814" t="str">
            <v>14061206020125</v>
          </cell>
          <cell r="C9814" t="str">
            <v>JCC COB JUD CRECER PRE-HONRAMIENTO CMED 1 D</v>
          </cell>
        </row>
        <row r="9815">
          <cell r="B9815" t="str">
            <v>14061206020126</v>
          </cell>
          <cell r="C9815" t="str">
            <v>JCC COB JU REACTIVA PRE-HONRAMIENTO REPR1 D</v>
          </cell>
        </row>
        <row r="9816">
          <cell r="B9816" t="str">
            <v>14061206020127</v>
          </cell>
          <cell r="C9816" t="str">
            <v>JCC COB JU REACTIVA PRE-HONRAMIENTO REPR1 D</v>
          </cell>
        </row>
        <row r="9817">
          <cell r="B9817" t="str">
            <v>14061206020128</v>
          </cell>
          <cell r="C9817" t="str">
            <v>JCC COB JU REACTIVA PRE-HONRAMIENTO REPR1 D</v>
          </cell>
        </row>
        <row r="9818">
          <cell r="B9818" t="str">
            <v>14061206020129</v>
          </cell>
          <cell r="C9818" t="str">
            <v>JCC COB JUD CRECER PRE-HONRAMIENTO CMED 1 D</v>
          </cell>
        </row>
        <row r="9819">
          <cell r="B9819" t="str">
            <v>14061206020130</v>
          </cell>
          <cell r="C9819" t="str">
            <v>JCC MP COB JUD CAP IMPULSO MYPERU IBK CM1 D</v>
          </cell>
        </row>
        <row r="9820">
          <cell r="B9820" t="str">
            <v>14061206020131</v>
          </cell>
          <cell r="C9820" t="str">
            <v>JCC BC COB JUD CAP IMPULSO MYPERU PRE-HO1 D</v>
          </cell>
        </row>
        <row r="9821">
          <cell r="B9821" t="str">
            <v>14061206020132</v>
          </cell>
          <cell r="C9821" t="str">
            <v>JCC MP COB JUD IMPLUSO MYPERU HONRADO IB1 D</v>
          </cell>
        </row>
        <row r="9822">
          <cell r="B9822" t="str">
            <v>14061206020133</v>
          </cell>
          <cell r="C9822" t="str">
            <v>JCC CCD COBJUD CAPITAL DE TRABAJO CMED  1 D</v>
          </cell>
        </row>
        <row r="9823">
          <cell r="B9823" t="str">
            <v>14061206090101</v>
          </cell>
          <cell r="C9823" t="str">
            <v>CL COB. JUD. RP CAP. DE TRAB NR CMED    1ND</v>
          </cell>
        </row>
        <row r="9824">
          <cell r="B9824" t="str">
            <v>14061206090102</v>
          </cell>
          <cell r="C9824" t="str">
            <v>CL COB.JUDIC PAG TV COFIDE NO REVOL CMED1ND</v>
          </cell>
        </row>
        <row r="9825">
          <cell r="B9825" t="str">
            <v>14061206090108</v>
          </cell>
          <cell r="C9825" t="str">
            <v>CL COB. JUD. CARTA FIANZA CMED          1ND</v>
          </cell>
        </row>
        <row r="9826">
          <cell r="B9826" t="str">
            <v>14061206090109</v>
          </cell>
          <cell r="C9826" t="str">
            <v>CL COBJUD CRED EFEC NR LIBR.DISP CMED   1ND</v>
          </cell>
        </row>
        <row r="9827">
          <cell r="B9827" t="str">
            <v>14061206090110</v>
          </cell>
          <cell r="C9827" t="str">
            <v>CL COBJUD CRED CONS NR LIBR.DISP CMED   1ND</v>
          </cell>
        </row>
        <row r="9828">
          <cell r="B9828" t="str">
            <v>14061206090111</v>
          </cell>
          <cell r="C9828" t="str">
            <v>CL COB. JUD.NO REV CRED  VEHIC CMED     1ND</v>
          </cell>
        </row>
        <row r="9829">
          <cell r="B9829" t="str">
            <v>14061206090112</v>
          </cell>
          <cell r="C9829" t="str">
            <v>CL COB JUD LIC NO REV CONV CMED         1ND</v>
          </cell>
        </row>
        <row r="9830">
          <cell r="B9830" t="str">
            <v>14061206090113</v>
          </cell>
          <cell r="C9830" t="str">
            <v>CL COB JUD CRED EFEC GTIA HIPOT CMED    1ND</v>
          </cell>
        </row>
        <row r="9831">
          <cell r="B9831" t="str">
            <v>14061206090114</v>
          </cell>
          <cell r="C9831" t="str">
            <v>CL JUD SOBREG C.CTE PN CMED             1ND</v>
          </cell>
        </row>
        <row r="9832">
          <cell r="B9832" t="str">
            <v>14061206090115</v>
          </cell>
          <cell r="C9832" t="str">
            <v>CL COBJUD EFEC. N R LIBR.DISP           1ND</v>
          </cell>
        </row>
        <row r="9833">
          <cell r="B9833" t="str">
            <v>14061206090201</v>
          </cell>
          <cell r="C9833" t="str">
            <v>JCC COB. JUD. RP CAP. DE TRAB NR CMED   1ND</v>
          </cell>
        </row>
        <row r="9834">
          <cell r="B9834" t="str">
            <v>14061206090202</v>
          </cell>
          <cell r="C9834" t="str">
            <v>JCC COBJUD CRED EFEC NR LIBR.DISP CMED  1ND</v>
          </cell>
        </row>
        <row r="9835">
          <cell r="B9835" t="str">
            <v>14061206090203</v>
          </cell>
          <cell r="C9835" t="str">
            <v>JCC COB. JUD.NO REV CRED  VEHIC CMED    1ND</v>
          </cell>
        </row>
        <row r="9836">
          <cell r="B9836" t="str">
            <v>14061206090204</v>
          </cell>
          <cell r="C9836" t="str">
            <v>JCC COB.JUDIC PAG TV COFIDE NO REVOL CME1ND</v>
          </cell>
        </row>
        <row r="9837">
          <cell r="B9837" t="str">
            <v>14061210000101</v>
          </cell>
          <cell r="C9837" t="str">
            <v>CL COB. JUD. FACTORING LETRAS CMED      1ND</v>
          </cell>
        </row>
        <row r="9838">
          <cell r="B9838" t="str">
            <v>14061210000102</v>
          </cell>
          <cell r="C9838" t="str">
            <v>CL COB. JUD. FACTORING FACT. CMED       1ND</v>
          </cell>
        </row>
        <row r="9839">
          <cell r="B9839" t="str">
            <v>14061210000201</v>
          </cell>
          <cell r="C9839" t="str">
            <v>JCC COB. JUD. FACTORING LETRAS CMED     1ND</v>
          </cell>
        </row>
        <row r="9840">
          <cell r="B9840" t="str">
            <v>14061210000202</v>
          </cell>
          <cell r="C9840" t="str">
            <v>JCC COB. JUD. FACTORING FACT. CMED      1ND</v>
          </cell>
        </row>
        <row r="9841">
          <cell r="B9841" t="str">
            <v>14061211000101</v>
          </cell>
          <cell r="C9841" t="str">
            <v>LPC LEASING BIEN COB.JUD CMED           1ND</v>
          </cell>
        </row>
        <row r="9842">
          <cell r="B9842" t="str">
            <v>14061211000102</v>
          </cell>
          <cell r="C9842" t="str">
            <v>LPC LEASING RESUELTO COBJUD CMED        1ND</v>
          </cell>
        </row>
        <row r="9843">
          <cell r="B9843" t="str">
            <v>14061211000103</v>
          </cell>
          <cell r="C9843" t="str">
            <v>LPC LEASING COB.JUD BPE CMED            1ND</v>
          </cell>
        </row>
        <row r="9844">
          <cell r="B9844" t="str">
            <v>14061211000104</v>
          </cell>
          <cell r="C9844" t="str">
            <v>LPC LS RESUELTO COB.JUD BPE CMED        1ND</v>
          </cell>
        </row>
        <row r="9845">
          <cell r="B9845" t="str">
            <v>14061211000201</v>
          </cell>
          <cell r="C9845" t="str">
            <v>CL COB. JUD. ARREND. FINANC PJ CMED     1ND</v>
          </cell>
        </row>
        <row r="9846">
          <cell r="B9846" t="str">
            <v>14061211000301</v>
          </cell>
          <cell r="C9846" t="str">
            <v>LPC LEASING COFIDE COB.JUD CMED         1ND</v>
          </cell>
        </row>
        <row r="9847">
          <cell r="B9847" t="str">
            <v>14061211000401</v>
          </cell>
          <cell r="C9847" t="str">
            <v>JCC COB. JUD. ARREND. FINANC PJ CMED    1ND</v>
          </cell>
        </row>
        <row r="9848">
          <cell r="B9848" t="str">
            <v>14061211000402</v>
          </cell>
          <cell r="C9848" t="str">
            <v>JCC JUD.MYP LEASING BPE CMED            1ND</v>
          </cell>
        </row>
        <row r="9849">
          <cell r="B9849" t="str">
            <v>14061212000101</v>
          </cell>
          <cell r="C9849" t="str">
            <v>LPC LEASE-BACK COFIDE COB.JUD CMED      1ND</v>
          </cell>
        </row>
        <row r="9850">
          <cell r="B9850" t="str">
            <v>14061219060101</v>
          </cell>
          <cell r="C9850" t="str">
            <v>CL COB. JUD. REFIN IC CMED              1ND</v>
          </cell>
        </row>
        <row r="9851">
          <cell r="B9851" t="str">
            <v>14061219060102</v>
          </cell>
          <cell r="C9851" t="str">
            <v>JCC COB. JUD. REFIN IC CMED             1ND</v>
          </cell>
        </row>
        <row r="9852">
          <cell r="B9852" t="str">
            <v>14061219060103</v>
          </cell>
          <cell r="C9852" t="str">
            <v>CL JUD P.REFIN RP CAP TRABAJO CMED      1ND</v>
          </cell>
        </row>
        <row r="9853">
          <cell r="B9853" t="str">
            <v>14061219240101</v>
          </cell>
          <cell r="C9853" t="str">
            <v>CL COB.JUD PAG RFA SUBORDI CMED         1ND</v>
          </cell>
        </row>
        <row r="9854">
          <cell r="B9854" t="str">
            <v>14061219240102</v>
          </cell>
          <cell r="C9854" t="str">
            <v>CL COB.JUD PAG RFA FINANC CMED          1ND</v>
          </cell>
        </row>
        <row r="9855">
          <cell r="B9855" t="str">
            <v>14061219240201</v>
          </cell>
          <cell r="C9855" t="str">
            <v>JCC COB.JUD PAG RFA FINANC CMED         1ND</v>
          </cell>
        </row>
        <row r="9856">
          <cell r="B9856" t="str">
            <v>14061219240202</v>
          </cell>
          <cell r="C9856" t="str">
            <v>JCC COB.JUD PAG RFA SUBORDI CMED        1ND</v>
          </cell>
        </row>
        <row r="9857">
          <cell r="B9857" t="str">
            <v>14061221000101</v>
          </cell>
          <cell r="C9857" t="str">
            <v>JCC COB. JUD. CARTA FIANZA CMED         1ND</v>
          </cell>
        </row>
        <row r="9858">
          <cell r="B9858" t="str">
            <v>14061226000101</v>
          </cell>
          <cell r="C9858" t="str">
            <v>CL  PREST COBR JUDIC EXPORT CMED        1ND</v>
          </cell>
        </row>
        <row r="9859">
          <cell r="B9859" t="str">
            <v>14061226000102</v>
          </cell>
          <cell r="C9859" t="str">
            <v>CL COB.JUD.PAG.IMPORTAC CMED            1ND</v>
          </cell>
        </row>
        <row r="9860">
          <cell r="B9860" t="str">
            <v>14061226000103</v>
          </cell>
          <cell r="C9860" t="str">
            <v>COB.JUD CARTAS DE CRED. CMED            1ND</v>
          </cell>
        </row>
        <row r="9861">
          <cell r="B9861" t="str">
            <v>14061226000104</v>
          </cell>
          <cell r="C9861" t="str">
            <v>CL COB. JUD. CARTA FIANZA CMED          1ND</v>
          </cell>
        </row>
        <row r="9862">
          <cell r="B9862" t="str">
            <v>14061226000201</v>
          </cell>
          <cell r="C9862" t="str">
            <v>JCC  PREST COBR JUDIC EXPORT CMED       1ND</v>
          </cell>
        </row>
        <row r="9863">
          <cell r="B9863" t="str">
            <v>14061226000202</v>
          </cell>
          <cell r="C9863" t="str">
            <v>JCC COB.JUD.PAG.IMPORTAC CMED           1ND</v>
          </cell>
        </row>
        <row r="9864">
          <cell r="B9864" t="str">
            <v>14061226000203</v>
          </cell>
          <cell r="C9864" t="str">
            <v>JCC COB.JUD CARTAS DE CRED. CMED        1ND</v>
          </cell>
        </row>
        <row r="9865">
          <cell r="B9865" t="str">
            <v>14061226000204</v>
          </cell>
          <cell r="C9865" t="str">
            <v>JCC COB. JUD. CARTA FIANZA CMED         1ND</v>
          </cell>
        </row>
        <row r="9866">
          <cell r="B9866" t="str">
            <v>14061233000701</v>
          </cell>
          <cell r="C9866" t="str">
            <v>RCC  CRÃ‰DITOS A MEDIANAS EMP - FINANCIA1ND</v>
          </cell>
        </row>
        <row r="9867">
          <cell r="B9867" t="str">
            <v>14061302010101</v>
          </cell>
          <cell r="C9867" t="str">
            <v>CL JUD TC VISA PJ DISP EFEC CPEM        1ND</v>
          </cell>
        </row>
        <row r="9868">
          <cell r="B9868" t="str">
            <v>14061302010102</v>
          </cell>
          <cell r="C9868" t="str">
            <v>CL COB. JUD. TARJ CRED.AMEX PJ DISP EFEC1ND</v>
          </cell>
        </row>
        <row r="9869">
          <cell r="B9869" t="str">
            <v>14061302010103</v>
          </cell>
          <cell r="C9869" t="str">
            <v>CL COB. JUD. TC MASTERC PJ-DISP EFEC CPE1ND</v>
          </cell>
        </row>
        <row r="9870">
          <cell r="B9870" t="str">
            <v>14061302010104</v>
          </cell>
          <cell r="C9870" t="str">
            <v>CL COB JUD TC MASTER PN-DIS.EFE  CPEM   1ND</v>
          </cell>
        </row>
        <row r="9871">
          <cell r="B9871" t="str">
            <v>14061302010105</v>
          </cell>
          <cell r="C9871" t="str">
            <v>JCC CAP JUD TC MASTER PN-DIS.EFE  CPEM  1ND</v>
          </cell>
        </row>
        <row r="9872">
          <cell r="B9872" t="str">
            <v>14061302020101</v>
          </cell>
          <cell r="C9872" t="str">
            <v>CL JUD TC VISA PJ CONSU. CPEM           1ND</v>
          </cell>
        </row>
        <row r="9873">
          <cell r="B9873" t="str">
            <v>14061302020102</v>
          </cell>
          <cell r="C9873" t="str">
            <v>CL COB. JUD. TARJ CRED.AMEX PJ CONSU CPE1ND</v>
          </cell>
        </row>
        <row r="9874">
          <cell r="B9874" t="str">
            <v>14061302020103</v>
          </cell>
          <cell r="C9874" t="str">
            <v>CL COB. JUD. TC MASTERC PJ-CONSU CPEM   1ND</v>
          </cell>
        </row>
        <row r="9875">
          <cell r="B9875" t="str">
            <v>14061302030101</v>
          </cell>
          <cell r="C9875" t="str">
            <v>JCC COB. JUD. TC MASTERC PJ-CONSU CPEM  1ND</v>
          </cell>
        </row>
        <row r="9876">
          <cell r="B9876" t="str">
            <v>14061302030102</v>
          </cell>
          <cell r="C9876" t="str">
            <v>JCC JUD TC VISA PJ CONSU. CPEM          1ND</v>
          </cell>
        </row>
        <row r="9877">
          <cell r="B9877" t="str">
            <v>14061302030103</v>
          </cell>
          <cell r="C9877" t="str">
            <v>JCC COB. JUD. TARJ CRED.AMEX PJ CONSU CP1ND</v>
          </cell>
        </row>
        <row r="9878">
          <cell r="B9878" t="str">
            <v>14061302030104</v>
          </cell>
          <cell r="C9878" t="str">
            <v>JCC COB. JUD. TC MASTERC PJ-DISP EFEC CP1ND</v>
          </cell>
        </row>
        <row r="9879">
          <cell r="B9879" t="str">
            <v>14061302030105</v>
          </cell>
          <cell r="C9879" t="str">
            <v>JCC JUD TC VISA PJ DISP EFEC CPEM       1ND</v>
          </cell>
        </row>
        <row r="9880">
          <cell r="B9880" t="str">
            <v>14061302030106</v>
          </cell>
          <cell r="C9880" t="str">
            <v>JCC COB. JUD. TARJ CRED.AMEX PJ DISP EFE1ND</v>
          </cell>
        </row>
        <row r="9881">
          <cell r="B9881" t="str">
            <v>14061304000101</v>
          </cell>
          <cell r="C9881" t="str">
            <v>CL COB. JUD. SOBREG CCTE. PJ CPEM       1ND</v>
          </cell>
        </row>
        <row r="9882">
          <cell r="B9882" t="str">
            <v>14061304000201</v>
          </cell>
          <cell r="C9882" t="str">
            <v>JCC COB. JUD. SOBREG CCTE. PJ CPEM      1ND</v>
          </cell>
        </row>
        <row r="9883">
          <cell r="B9883" t="str">
            <v>14061305010101</v>
          </cell>
          <cell r="C9883" t="str">
            <v>CL COB.JUD. DESCTO. DE PAGARE CPEM      1ND</v>
          </cell>
        </row>
        <row r="9884">
          <cell r="B9884" t="str">
            <v>14061305020101</v>
          </cell>
          <cell r="C9884" t="str">
            <v>CL COB. JUD. DSCTO. LETRAS CPEM-CL      1ND</v>
          </cell>
        </row>
        <row r="9885">
          <cell r="B9885" t="str">
            <v>14061305030101</v>
          </cell>
          <cell r="C9885" t="str">
            <v>JCC COB.JUD. DESCTO. DE PAGARE CPEM     1ND</v>
          </cell>
        </row>
        <row r="9886">
          <cell r="B9886" t="str">
            <v>14061305030102</v>
          </cell>
          <cell r="C9886" t="str">
            <v>JCC COB. JUD. DSCTO. LETRAS CPEM-JCC    1ND</v>
          </cell>
        </row>
        <row r="9887">
          <cell r="B9887" t="str">
            <v>14061306010101</v>
          </cell>
          <cell r="C9887" t="str">
            <v>CL COB. JUD. RP CAP. DE TRAB CPEM       1ND</v>
          </cell>
        </row>
        <row r="9888">
          <cell r="B9888" t="str">
            <v>14061306010102</v>
          </cell>
          <cell r="C9888" t="str">
            <v>CL COB.JUDIC PAG TV COFIDE REVOL CPEM   1ND</v>
          </cell>
        </row>
        <row r="9889">
          <cell r="B9889" t="str">
            <v>14061306010103</v>
          </cell>
          <cell r="C9889" t="str">
            <v>JCC CJ MYP COMP AF INM  NRV CPEM        1ND</v>
          </cell>
        </row>
        <row r="9890">
          <cell r="B9890" t="str">
            <v>14061306010104</v>
          </cell>
          <cell r="C9890" t="str">
            <v>CL MYP JUD.CAP.TRAB.REV.CPEM            1ND</v>
          </cell>
        </row>
        <row r="9891">
          <cell r="B9891" t="str">
            <v>14061306010201</v>
          </cell>
          <cell r="C9891" t="str">
            <v>JCC COB. JUD. RP CAP. DE TRAB CPEM      1ND</v>
          </cell>
        </row>
        <row r="9892">
          <cell r="B9892" t="str">
            <v>14061306010202</v>
          </cell>
          <cell r="C9892" t="str">
            <v>JCC COB.JUDIC PAG TV COFIDE REVOL CPEM  1ND</v>
          </cell>
        </row>
        <row r="9893">
          <cell r="B9893" t="str">
            <v>14061306010203</v>
          </cell>
          <cell r="C9893" t="str">
            <v>JCC MYP JUD.CAP.TRAB.REV.CPEM           1ND</v>
          </cell>
        </row>
        <row r="9894">
          <cell r="B9894" t="str">
            <v>14061306020101</v>
          </cell>
          <cell r="C9894" t="str">
            <v>CL COB JUD P TV MED PLZ C/FIJA CPEM     1ND</v>
          </cell>
        </row>
        <row r="9895">
          <cell r="B9895" t="str">
            <v>14061306020102</v>
          </cell>
          <cell r="C9895" t="str">
            <v>CL CJ MYP CAP TRAB COM NR CPEM          1ND</v>
          </cell>
        </row>
        <row r="9896">
          <cell r="B9896" t="str">
            <v>14061306020103</v>
          </cell>
          <cell r="C9896" t="str">
            <v>CL CJ MYP COMP AF INM  NRV CPEM         1ND</v>
          </cell>
        </row>
        <row r="9897">
          <cell r="B9897" t="str">
            <v>14061306020104</v>
          </cell>
          <cell r="C9897" t="str">
            <v>CL CJ MYP COMP AF MUE NRV CPEM          1ND</v>
          </cell>
        </row>
        <row r="9898">
          <cell r="B9898" t="str">
            <v>14061306020105</v>
          </cell>
          <cell r="C9898" t="str">
            <v>CL CJ MYP CRED ESTAC NRV CPEM           1ND</v>
          </cell>
        </row>
        <row r="9899">
          <cell r="B9899" t="str">
            <v>14061306020106</v>
          </cell>
          <cell r="C9899" t="str">
            <v>CL CJ MYP AF CYBERPL  NRV CPEM          1ND</v>
          </cell>
        </row>
        <row r="9900">
          <cell r="B9900" t="str">
            <v>14061306020107</v>
          </cell>
          <cell r="C9900" t="str">
            <v>JCC CJ MYP COMP AF MUE NRV CPEM         1ND</v>
          </cell>
        </row>
        <row r="9901">
          <cell r="B9901" t="str">
            <v>14061306020108</v>
          </cell>
          <cell r="C9901" t="str">
            <v>JCC COB JUD P TV MED PLZ C/FIJA CPEM    1ND</v>
          </cell>
        </row>
        <row r="9902">
          <cell r="B9902" t="str">
            <v>14061306020109</v>
          </cell>
          <cell r="C9902" t="str">
            <v>JCC  MYP CAP TRAB COM NR CPEM           1ND</v>
          </cell>
        </row>
        <row r="9903">
          <cell r="B9903" t="str">
            <v>14061306020110</v>
          </cell>
          <cell r="C9903" t="str">
            <v>JCC CJ MYP CRED ESTAC NRV CPEM          1ND</v>
          </cell>
        </row>
        <row r="9904">
          <cell r="B9904" t="str">
            <v>14061306020111</v>
          </cell>
          <cell r="C9904" t="str">
            <v>JCC MYP AF CYBERPL  NRV CPEM            1ND</v>
          </cell>
        </row>
        <row r="9905">
          <cell r="B9905" t="str">
            <v>14061306020112</v>
          </cell>
          <cell r="C9905" t="str">
            <v>JCC COB JUD RP CAP DE TRAB NR CPEM      1ND</v>
          </cell>
        </row>
        <row r="9906">
          <cell r="B9906" t="str">
            <v>14061306020113</v>
          </cell>
          <cell r="C9906" t="str">
            <v>JCC COB JUD RP CAP DE TRAB NR CPEM      1ND</v>
          </cell>
        </row>
        <row r="9907">
          <cell r="B9907" t="str">
            <v>14061306020114</v>
          </cell>
          <cell r="C9907" t="str">
            <v>JCC COB JUD REACTIVA PERU NO REVOLV CPEM1ND</v>
          </cell>
        </row>
        <row r="9908">
          <cell r="B9908" t="str">
            <v>14061306020115</v>
          </cell>
          <cell r="C9908" t="str">
            <v>JCC COB JUD REACTIVA PERU NO REVOLV CPEM1 D</v>
          </cell>
        </row>
        <row r="9909">
          <cell r="B9909" t="str">
            <v>14061306020116</v>
          </cell>
          <cell r="C9909" t="str">
            <v>JCC COB JUD FONDO CRECER CPEM           1 D</v>
          </cell>
        </row>
        <row r="9910">
          <cell r="B9910" t="str">
            <v>14061306020117</v>
          </cell>
          <cell r="C9910" t="str">
            <v>JCC COB JUD FONDO CRECER CPEM           1 D</v>
          </cell>
        </row>
        <row r="9911">
          <cell r="B9911" t="str">
            <v>14061306020118</v>
          </cell>
          <cell r="C9911" t="str">
            <v>JCC COB JUD REACTIVA PRE-HONRAMIENTO CPE1 D</v>
          </cell>
        </row>
        <row r="9912">
          <cell r="B9912" t="str">
            <v>14061306020119</v>
          </cell>
          <cell r="C9912" t="str">
            <v>JCC COB JUD REACTIVA PRE-HONRAMIENTO CPE1 D</v>
          </cell>
        </row>
        <row r="9913">
          <cell r="B9913" t="str">
            <v>14061306020120</v>
          </cell>
          <cell r="C9913" t="str">
            <v>JCC COB JU REACTIVA PRE-HONRAMIENTO REPR1 D</v>
          </cell>
        </row>
        <row r="9914">
          <cell r="B9914" t="str">
            <v>14061306020121</v>
          </cell>
          <cell r="C9914" t="str">
            <v>JCC COB JU REACTIVA PRE-HONRAMIENTO REPR1 D</v>
          </cell>
        </row>
        <row r="9915">
          <cell r="B9915" t="str">
            <v>14061306020122</v>
          </cell>
          <cell r="C9915" t="str">
            <v>JCC COB JU REACTIVA PRE-HONRAMIENTO REPR1 D</v>
          </cell>
        </row>
        <row r="9916">
          <cell r="B9916" t="str">
            <v>14061306020123</v>
          </cell>
          <cell r="C9916" t="str">
            <v>JCC COB JUD CRECER PRE-HONRAMIENTO CPEM 1 D</v>
          </cell>
        </row>
        <row r="9917">
          <cell r="B9917" t="str">
            <v>14061306020124</v>
          </cell>
          <cell r="C9917" t="str">
            <v>JCC COB JU REACTIVA PRE-HONRAMIENTO REPR1 D</v>
          </cell>
        </row>
        <row r="9918">
          <cell r="B9918" t="str">
            <v>14061306020125</v>
          </cell>
          <cell r="C9918" t="str">
            <v>JCC COB JU REACTIVA PRE-HONRAMIENTO REPR1 D</v>
          </cell>
        </row>
        <row r="9919">
          <cell r="B9919" t="str">
            <v>14061306020126</v>
          </cell>
          <cell r="C9919" t="str">
            <v>JCC COB JU REACTIVA PRE-HONRAMIENTO REPR1 D</v>
          </cell>
        </row>
        <row r="9920">
          <cell r="B9920" t="str">
            <v>14061306020127</v>
          </cell>
          <cell r="C9920" t="str">
            <v>JCC COB JUD CRECER PRE-HONRAMIENTO CPEM 1 D</v>
          </cell>
        </row>
        <row r="9921">
          <cell r="B9921" t="str">
            <v>14061306020128</v>
          </cell>
          <cell r="C9921" t="str">
            <v>JCC MP COB JUD CAP IMPULSO MYPERU IBK CP1 D</v>
          </cell>
        </row>
        <row r="9922">
          <cell r="B9922" t="str">
            <v>14061306020129</v>
          </cell>
          <cell r="C9922" t="str">
            <v>JCC BC COB JUD CAP IMPULSO MYPERU PRE-HO1 D</v>
          </cell>
        </row>
        <row r="9923">
          <cell r="B9923" t="str">
            <v>14061306020130</v>
          </cell>
          <cell r="C9923" t="str">
            <v>JCC MP COB JUD IMPLUSO MYPERU HONRADO IB1 D</v>
          </cell>
        </row>
        <row r="9924">
          <cell r="B9924" t="str">
            <v>14061306020131</v>
          </cell>
          <cell r="C9924" t="str">
            <v>JCC CCD COBJUD CAPITAL DE TRABAJO CPEM  1 D</v>
          </cell>
        </row>
        <row r="9925">
          <cell r="B9925" t="str">
            <v>14061306090101</v>
          </cell>
          <cell r="C9925" t="str">
            <v>CL COB. JUD. RP CAP. DE TRAB NR CPEM    1ND</v>
          </cell>
        </row>
        <row r="9926">
          <cell r="B9926" t="str">
            <v>14061306090102</v>
          </cell>
          <cell r="C9926" t="str">
            <v>CL COB.JUDIC PAG TV COFIDE NO REVOL CPEM1ND</v>
          </cell>
        </row>
        <row r="9927">
          <cell r="B9927" t="str">
            <v>14061306090109</v>
          </cell>
          <cell r="C9927" t="str">
            <v>CL COB. JUD. CARTA FIANZA CPEM          1ND</v>
          </cell>
        </row>
        <row r="9928">
          <cell r="B9928" t="str">
            <v>14061306090201</v>
          </cell>
          <cell r="C9928" t="str">
            <v>JCC COB. JUD. RP CAP. DE TRAB NR CPEM   1ND</v>
          </cell>
        </row>
        <row r="9929">
          <cell r="B9929" t="str">
            <v>14061306090202</v>
          </cell>
          <cell r="C9929" t="str">
            <v>JCC COB.JUDIC PAG TV COFIDE NO REVOL CPE1ND</v>
          </cell>
        </row>
        <row r="9930">
          <cell r="B9930" t="str">
            <v>14061310000101</v>
          </cell>
          <cell r="C9930" t="str">
            <v>CL COB. JUD. FACTORING LETRAS CPEM      1ND</v>
          </cell>
        </row>
        <row r="9931">
          <cell r="B9931" t="str">
            <v>14061310000102</v>
          </cell>
          <cell r="C9931" t="str">
            <v>CL COB. JUD. FACTORING FACT. CPEM       1ND</v>
          </cell>
        </row>
        <row r="9932">
          <cell r="B9932" t="str">
            <v>14061310000201</v>
          </cell>
          <cell r="C9932" t="str">
            <v>JCC COB. JUD. FACTORING LETRAS CPEM     1ND</v>
          </cell>
        </row>
        <row r="9933">
          <cell r="B9933" t="str">
            <v>14061310000202</v>
          </cell>
          <cell r="C9933" t="str">
            <v>JCC COB. JUD. FACTORING FACT. CPEM      1ND</v>
          </cell>
        </row>
        <row r="9934">
          <cell r="B9934" t="str">
            <v>14061311000101</v>
          </cell>
          <cell r="C9934" t="str">
            <v>CL COB. JUD. ARREND. FINANC PJ CPEM     1ND</v>
          </cell>
        </row>
        <row r="9935">
          <cell r="B9935" t="str">
            <v>14061311000102</v>
          </cell>
          <cell r="C9935" t="str">
            <v>LPC LEASING RESUELTO COBJUD CPEM        1ND</v>
          </cell>
        </row>
        <row r="9936">
          <cell r="B9936" t="str">
            <v>14061311000103</v>
          </cell>
          <cell r="C9936" t="str">
            <v>LPC LEASING COB.JUD BPE CPEM            1ND</v>
          </cell>
        </row>
        <row r="9937">
          <cell r="B9937" t="str">
            <v>14061311000104</v>
          </cell>
          <cell r="C9937" t="str">
            <v>LPC LS RESUELTO COB.JUD BPE CPEM        1ND</v>
          </cell>
        </row>
        <row r="9938">
          <cell r="B9938" t="str">
            <v>14061311000201</v>
          </cell>
          <cell r="C9938" t="str">
            <v>LPC LEASING BIEN COB.JUD CCPEM          1ND</v>
          </cell>
        </row>
        <row r="9939">
          <cell r="B9939" t="str">
            <v>14061311000301</v>
          </cell>
          <cell r="C9939" t="str">
            <v>JCC COB. JUD. ARREND. FINANC PJ CPEM    1ND</v>
          </cell>
        </row>
        <row r="9940">
          <cell r="B9940" t="str">
            <v>14061311000302</v>
          </cell>
          <cell r="C9940" t="str">
            <v>JCC JUD.MYP LEASING BPE CPEM            1ND</v>
          </cell>
        </row>
        <row r="9941">
          <cell r="B9941" t="str">
            <v>14061311000303</v>
          </cell>
          <cell r="C9941" t="str">
            <v>JCC COB. JUD. ARREND. FINANC CPEM       1ND</v>
          </cell>
        </row>
        <row r="9942">
          <cell r="B9942" t="str">
            <v>14061312000101</v>
          </cell>
          <cell r="C9942" t="str">
            <v>LPC LEASEBACK DEL BIEN COB JUD  CPEM    1ND</v>
          </cell>
        </row>
        <row r="9943">
          <cell r="B9943" t="str">
            <v>14061319240101</v>
          </cell>
          <cell r="C9943" t="str">
            <v>CL COB.JUD PAG RFA SUBORDI CPEM         1ND</v>
          </cell>
        </row>
        <row r="9944">
          <cell r="B9944" t="str">
            <v>14061319240102</v>
          </cell>
          <cell r="C9944" t="str">
            <v>CL COB.JUD PAG RFA FINANC CPEM          1ND</v>
          </cell>
        </row>
        <row r="9945">
          <cell r="B9945" t="str">
            <v>14061319240201</v>
          </cell>
          <cell r="C9945" t="str">
            <v>JCC COB.JUD PAG RFA FINANC CPEM         1ND</v>
          </cell>
        </row>
        <row r="9946">
          <cell r="B9946" t="str">
            <v>14061319240202</v>
          </cell>
          <cell r="C9946" t="str">
            <v>JCC COB.JUD PAG RFA SUBORDI CPEM        1ND</v>
          </cell>
        </row>
        <row r="9947">
          <cell r="B9947" t="str">
            <v>14061321000101</v>
          </cell>
          <cell r="C9947" t="str">
            <v>JCC COB. JUD. CARTA FIANZA CPEM         1ND</v>
          </cell>
        </row>
        <row r="9948">
          <cell r="B9948" t="str">
            <v>14061326000101</v>
          </cell>
          <cell r="C9948" t="str">
            <v>CL  PREST COBR JUDIC EXPORT CPEM        1ND</v>
          </cell>
        </row>
        <row r="9949">
          <cell r="B9949" t="str">
            <v>14061326000102</v>
          </cell>
          <cell r="C9949" t="str">
            <v>CL COB.JUD.PAG.IMPORTAC CPEM            1ND</v>
          </cell>
        </row>
        <row r="9950">
          <cell r="B9950" t="str">
            <v>14061326000103</v>
          </cell>
          <cell r="C9950" t="str">
            <v>CLCOB.JUD CARTAS CRED. CPEM             1ND</v>
          </cell>
        </row>
        <row r="9951">
          <cell r="B9951" t="str">
            <v>14061326000104</v>
          </cell>
          <cell r="C9951" t="str">
            <v>CL COB. JUD. CARTA FIANZA CPEM          1ND</v>
          </cell>
        </row>
        <row r="9952">
          <cell r="B9952" t="str">
            <v>14061326000201</v>
          </cell>
          <cell r="C9952" t="str">
            <v>JCC  PREST COBR JUDIC EXPORT CPEM       1ND</v>
          </cell>
        </row>
        <row r="9953">
          <cell r="B9953" t="str">
            <v>14061326000202</v>
          </cell>
          <cell r="C9953" t="str">
            <v>JCC COB.JUD.PAG.IMPORTAC CPEM           1ND</v>
          </cell>
        </row>
        <row r="9954">
          <cell r="B9954" t="str">
            <v>14061326000203</v>
          </cell>
          <cell r="C9954" t="str">
            <v>JCCCOB.JUD CARTAS CRED. CPEM            1ND</v>
          </cell>
        </row>
        <row r="9955">
          <cell r="B9955" t="str">
            <v>14061326000204</v>
          </cell>
          <cell r="C9955" t="str">
            <v>JCC COB. JUD. CARTA FIANZA CPEM         1ND</v>
          </cell>
        </row>
        <row r="9956">
          <cell r="B9956" t="str">
            <v>14070101000101</v>
          </cell>
          <cell r="C9956" t="str">
            <v>BL AVANCE CTA.CTE. PJ-VN                1ND</v>
          </cell>
        </row>
        <row r="9957">
          <cell r="B9957" t="str">
            <v>14070101000103</v>
          </cell>
          <cell r="C9957" t="str">
            <v>BL SOBREGIROS CTA.CTE.PJ-VN             1ND</v>
          </cell>
        </row>
        <row r="9958">
          <cell r="B9958" t="str">
            <v>14070101000106</v>
          </cell>
          <cell r="C9958" t="str">
            <v>BL PAGARES-EXP-PRE EMB-CL-VN            1ND</v>
          </cell>
        </row>
        <row r="9959">
          <cell r="B9959" t="str">
            <v>14070101000110</v>
          </cell>
          <cell r="C9959" t="str">
            <v>BL PAGARE EXP PRE EMB RBANK CL          1ND</v>
          </cell>
        </row>
        <row r="9960">
          <cell r="B9960" t="str">
            <v>14070101000111</v>
          </cell>
          <cell r="C9960" t="str">
            <v>BL PAGARE IMPORTACION RP CL             1ND</v>
          </cell>
        </row>
        <row r="9961">
          <cell r="B9961" t="str">
            <v>14070101000112</v>
          </cell>
          <cell r="C9961" t="str">
            <v>BL CREDITOS POR LIQUIDAR CL             1ND</v>
          </cell>
        </row>
        <row r="9962">
          <cell r="B9962" t="str">
            <v>14070101000117</v>
          </cell>
          <cell r="C9962" t="str">
            <v>BL LEASING -VN                          1ND</v>
          </cell>
        </row>
        <row r="9963">
          <cell r="B9963" t="str">
            <v>14070101000120</v>
          </cell>
          <cell r="C9963" t="str">
            <v>BL AVANCE CTA CTE PJ S/F LUCRO -VN      1ND</v>
          </cell>
        </row>
        <row r="9964">
          <cell r="B9964" t="str">
            <v>14070101000121</v>
          </cell>
          <cell r="C9964" t="str">
            <v>BL SOBREGIROS CTA.CTE. PJ S/F-VN        1ND</v>
          </cell>
        </row>
        <row r="9965">
          <cell r="B9965" t="str">
            <v>14070301000101</v>
          </cell>
          <cell r="C9965" t="str">
            <v>BL AVANCE CTA CTE PN-VN                 1ND</v>
          </cell>
        </row>
        <row r="9966">
          <cell r="B9966" t="str">
            <v>14070301000104</v>
          </cell>
          <cell r="C9966" t="str">
            <v>BL SOBREGIROS CTA.CTE. PN-VN            1ND</v>
          </cell>
        </row>
        <row r="9967">
          <cell r="B9967" t="str">
            <v>14070301000108</v>
          </cell>
          <cell r="C9967" t="str">
            <v>BL PRESTAMOS GTIA CTS CTA CTE -VN       1ND</v>
          </cell>
        </row>
        <row r="9968">
          <cell r="B9968" t="str">
            <v>14070301000117</v>
          </cell>
          <cell r="C9968" t="str">
            <v>BL CTA CTE DEUDORAS PN                  1ND</v>
          </cell>
        </row>
        <row r="9969">
          <cell r="B9969" t="str">
            <v>14080100000101</v>
          </cell>
          <cell r="C9969" t="str">
            <v>INT X COBRAR CTAS CTES PJ               1ND</v>
          </cell>
        </row>
        <row r="9970">
          <cell r="B9970" t="str">
            <v>14080100000102</v>
          </cell>
          <cell r="C9970" t="str">
            <v>BL INT X COBRAR CTAS CTES PJ-BL         1ND</v>
          </cell>
        </row>
        <row r="9971">
          <cell r="B9971" t="str">
            <v>14080100000103</v>
          </cell>
          <cell r="C9971" t="str">
            <v>MYP INT.X COB.VIG FIN.IMPORT CAP TRAB CO1ND</v>
          </cell>
        </row>
        <row r="9972">
          <cell r="B9972" t="str">
            <v>14080100000104</v>
          </cell>
          <cell r="C9972" t="str">
            <v>MYP INT.X COB.VIG FIN.IMPORT ACTIVO F   1ND</v>
          </cell>
        </row>
        <row r="9973">
          <cell r="B9973" t="str">
            <v>14080100000105</v>
          </cell>
          <cell r="C9973" t="str">
            <v>LPC INT X COBRAR IMPOR RP               1ND</v>
          </cell>
        </row>
        <row r="9974">
          <cell r="B9974" t="str">
            <v>14080100000201</v>
          </cell>
          <cell r="C9974" t="str">
            <v>INT X COB TC-COMERCIAL                  1ND</v>
          </cell>
        </row>
        <row r="9975">
          <cell r="B9975" t="str">
            <v>14080100000202</v>
          </cell>
          <cell r="C9975" t="str">
            <v>COM X COB TC IBKVISA COMERCIAL          1ND</v>
          </cell>
        </row>
        <row r="9976">
          <cell r="B9976" t="str">
            <v>14080100000203</v>
          </cell>
          <cell r="C9976" t="str">
            <v>BL INT X COB TC-COMERCIAL MC            1ND</v>
          </cell>
        </row>
        <row r="9977">
          <cell r="B9977" t="str">
            <v>14080100000204</v>
          </cell>
          <cell r="C9977" t="str">
            <v>BL COM X COB TC COMERCIAL MC            1ND</v>
          </cell>
        </row>
        <row r="9978">
          <cell r="B9978" t="str">
            <v>14080100000501</v>
          </cell>
          <cell r="C9978" t="str">
            <v>PR LETR./FACT.DSCTO.INT.CXC             1ND</v>
          </cell>
        </row>
        <row r="9979">
          <cell r="B9979" t="str">
            <v>14080100000502</v>
          </cell>
          <cell r="C9979" t="str">
            <v>CL PAG.TASA DSCTA.INT.X COB             1ND</v>
          </cell>
        </row>
        <row r="9980">
          <cell r="B9980" t="str">
            <v>14080100000503</v>
          </cell>
          <cell r="C9980" t="str">
            <v>BL INTxCOB PAG EN DSCTO  CP CL          1ND</v>
          </cell>
        </row>
        <row r="9981">
          <cell r="B9981" t="str">
            <v>14080100000507</v>
          </cell>
          <cell r="C9981" t="str">
            <v>PR DSCTO ELECTR SM PERUAN I.VIG         1ND</v>
          </cell>
        </row>
        <row r="9982">
          <cell r="B9982" t="str">
            <v>14080100000508</v>
          </cell>
          <cell r="C9982" t="str">
            <v>PR FACTORING INTEL INTE VIG             1ND</v>
          </cell>
        </row>
        <row r="9983">
          <cell r="B9983" t="str">
            <v>14080100000601</v>
          </cell>
          <cell r="C9983" t="str">
            <v>CL PAG.TASA VENCIDA INT.XCOB            1ND</v>
          </cell>
        </row>
        <row r="9984">
          <cell r="B9984" t="str">
            <v>14080100000602</v>
          </cell>
          <cell r="C9984" t="str">
            <v>INT X COBRAR EX PRE EM RP               1ND</v>
          </cell>
        </row>
        <row r="9985">
          <cell r="B9985" t="str">
            <v>14080100000603</v>
          </cell>
          <cell r="C9985" t="str">
            <v>CL P.EXP.POST EMB RP CXC                1ND</v>
          </cell>
        </row>
        <row r="9986">
          <cell r="B9986" t="str">
            <v>14080100000604</v>
          </cell>
          <cell r="C9986" t="str">
            <v>INT X COB PAGARES-IMP-CL                1ND</v>
          </cell>
        </row>
        <row r="9987">
          <cell r="B9987" t="str">
            <v>14080100000605</v>
          </cell>
          <cell r="C9987" t="str">
            <v>LPC PAG.COFIDE VAC VIG VN CXC .NCO      1ND</v>
          </cell>
        </row>
        <row r="9988">
          <cell r="B9988" t="str">
            <v>14080100000606</v>
          </cell>
          <cell r="C9988" t="str">
            <v>LPC PAG.COFIDE VAC VIG INDX.CXC .NCO    1ND</v>
          </cell>
        </row>
        <row r="9989">
          <cell r="B9989" t="str">
            <v>14080100000609</v>
          </cell>
          <cell r="C9989" t="str">
            <v>CL P.T.VENCIDA COFIDE INT.XCOB          1ND</v>
          </cell>
        </row>
        <row r="9990">
          <cell r="B9990" t="str">
            <v>14080100000612</v>
          </cell>
          <cell r="C9990" t="str">
            <v>CL P.EXPORT.POST EMB RB CXC             1ND</v>
          </cell>
        </row>
        <row r="9991">
          <cell r="B9991" t="str">
            <v>14080100000613</v>
          </cell>
          <cell r="C9991" t="str">
            <v>INT XCOB REAJ PAG T/V VAC               1ND</v>
          </cell>
        </row>
        <row r="9992">
          <cell r="B9992" t="str">
            <v>14080100000615</v>
          </cell>
          <cell r="C9992" t="str">
            <v>CL P.EXPORT PRE EMB BANQ                1ND</v>
          </cell>
        </row>
        <row r="9993">
          <cell r="B9993" t="str">
            <v>14080100000616</v>
          </cell>
          <cell r="C9993" t="str">
            <v>CL P.IMPORT REC.BANQ.CXC                1ND</v>
          </cell>
        </row>
        <row r="9994">
          <cell r="B9994" t="str">
            <v>14080100000622</v>
          </cell>
          <cell r="C9994" t="str">
            <v>BL COM AVAL X COB AAPJ EXP PRE CL       1ND</v>
          </cell>
        </row>
        <row r="9995">
          <cell r="B9995" t="str">
            <v>14080100000623</v>
          </cell>
          <cell r="C9995" t="str">
            <v>BL CX AVALXCOB AD AC FIN IMPORT CL      1ND</v>
          </cell>
        </row>
        <row r="9996">
          <cell r="B9996" t="str">
            <v>14080100000631</v>
          </cell>
          <cell r="C9996" t="str">
            <v>CL P.CAP.TRABAJO PRIME CXC              1ND</v>
          </cell>
        </row>
        <row r="9997">
          <cell r="B9997" t="str">
            <v>14080100000633</v>
          </cell>
          <cell r="C9997" t="str">
            <v>LPC PAG.TASA VENCIDA INT.CXC VIG        1ND</v>
          </cell>
        </row>
        <row r="9998">
          <cell r="B9998" t="str">
            <v>14080100000634</v>
          </cell>
          <cell r="C9998" t="str">
            <v>INT X COBRAR PAG TV COFIDE - LPC        1ND</v>
          </cell>
        </row>
        <row r="9999">
          <cell r="B9999" t="str">
            <v>14080100000636</v>
          </cell>
          <cell r="C9999" t="str">
            <v>LPC PAG.TV.BNES.ADJUD.INT.VIG           1ND</v>
          </cell>
        </row>
        <row r="10000">
          <cell r="B10000" t="str">
            <v>14080100000637</v>
          </cell>
          <cell r="C10000" t="str">
            <v>CL INTXCOB PAG.TV NEG.INMOBILIA         1ND</v>
          </cell>
        </row>
        <row r="10001">
          <cell r="B10001" t="str">
            <v>14080100000640</v>
          </cell>
          <cell r="C10001" t="str">
            <v>LPC INTXCOB AVANCE CTACTE COMER         1ND</v>
          </cell>
        </row>
        <row r="10002">
          <cell r="B10002" t="str">
            <v>14080100000641</v>
          </cell>
          <cell r="C10002" t="str">
            <v>MYP C INT.X COB.VIG FIN. CAP.TRAB       1ND</v>
          </cell>
        </row>
        <row r="10003">
          <cell r="B10003" t="str">
            <v>14080100000642</v>
          </cell>
          <cell r="C10003" t="str">
            <v>MYP C INT.X COB.VIG FIN. COMPRA.        1ND</v>
          </cell>
        </row>
        <row r="10004">
          <cell r="B10004" t="str">
            <v>14080100000643</v>
          </cell>
          <cell r="C10004" t="str">
            <v>MYP INT VIG FIN CRED PARAL COMERC       1ND</v>
          </cell>
        </row>
        <row r="10005">
          <cell r="B10005" t="str">
            <v>14080100000644</v>
          </cell>
          <cell r="C10005" t="str">
            <v>MYP INT.X COB.VIG FIN. COMPRA DE        1ND</v>
          </cell>
        </row>
        <row r="10006">
          <cell r="B10006" t="str">
            <v>14080100000645</v>
          </cell>
          <cell r="C10006" t="str">
            <v>MYP C INT.X COB.VIG LINEA REVOLVENTE    1ND</v>
          </cell>
        </row>
        <row r="10007">
          <cell r="B10007" t="str">
            <v>14080100000647</v>
          </cell>
          <cell r="C10007" t="str">
            <v>CL CXL AVAL ACEPT.BKT INT GL2008        1ND</v>
          </cell>
        </row>
        <row r="10008">
          <cell r="B10008" t="str">
            <v>14080100000650</v>
          </cell>
          <cell r="C10008" t="str">
            <v>MYP C INT.X COB.VIG TRANSP PUBLICO      1ND</v>
          </cell>
        </row>
        <row r="10009">
          <cell r="B10009" t="str">
            <v>14080100000651</v>
          </cell>
          <cell r="C10009" t="str">
            <v>MYP E.R.C.INT.X COB.VIG.FCTRAB          1ND</v>
          </cell>
        </row>
        <row r="10010">
          <cell r="B10010" t="str">
            <v>14080100000702</v>
          </cell>
          <cell r="C10010" t="str">
            <v>LPC INTXCOB PAG.TV NEG.INMOBILIA        1ND</v>
          </cell>
        </row>
        <row r="10011">
          <cell r="B10011" t="str">
            <v>14080100000703</v>
          </cell>
          <cell r="C10011" t="str">
            <v>LPC PDE LS BIEN BPE INT.CXC VIG         1ND</v>
          </cell>
        </row>
        <row r="10012">
          <cell r="B10012" t="str">
            <v>14080100000704</v>
          </cell>
          <cell r="C10012" t="str">
            <v>LPC SDE LS BIEN BPE INT.CXC SEG         1ND</v>
          </cell>
        </row>
        <row r="10013">
          <cell r="B10013" t="str">
            <v>14080100001001</v>
          </cell>
          <cell r="C10013" t="str">
            <v>PR LET.FACTOR.CXC COMP                  1ND</v>
          </cell>
        </row>
        <row r="10014">
          <cell r="B10014" t="str">
            <v>14080100001002</v>
          </cell>
          <cell r="C10014" t="str">
            <v>REND DEVENGADOS FACTURAS FACTORING      1ND</v>
          </cell>
        </row>
        <row r="10015">
          <cell r="B10015" t="str">
            <v>14080100001003</v>
          </cell>
          <cell r="C10015" t="str">
            <v>PR LET.FACTO.DIF.CXC HSTA.8D            1ND</v>
          </cell>
        </row>
        <row r="10016">
          <cell r="B10016" t="str">
            <v>14080100001004</v>
          </cell>
          <cell r="C10016" t="str">
            <v>CTA.X COB (UTILIDAD ) FACTURAS FACTORING1ND</v>
          </cell>
        </row>
        <row r="10017">
          <cell r="B10017" t="str">
            <v>14080100001005</v>
          </cell>
          <cell r="C10017" t="str">
            <v>PR LET.FACTO.TITUL.DIF.HSTA.8D          1ND</v>
          </cell>
        </row>
        <row r="10018">
          <cell r="B10018" t="str">
            <v>14080100001006</v>
          </cell>
          <cell r="C10018" t="str">
            <v>PR FACTORING FACTU.TITU.INT.DIF         1ND</v>
          </cell>
        </row>
        <row r="10019">
          <cell r="B10019" t="str">
            <v>14080100001011</v>
          </cell>
          <cell r="C10019" t="str">
            <v>PR FACT ELECTR LET/FACT I.COMPENS       1ND</v>
          </cell>
        </row>
        <row r="10020">
          <cell r="B10020" t="str">
            <v>14080100001012</v>
          </cell>
          <cell r="C10020" t="str">
            <v>PR FACT ELECTR LET/FACT I.DIF           1ND</v>
          </cell>
        </row>
        <row r="10021">
          <cell r="B10021" t="str">
            <v>14080100001102</v>
          </cell>
          <cell r="C10021" t="str">
            <v>LPC PDE LS BIEN/ LS ADJU.CXC DIF        1ND</v>
          </cell>
        </row>
        <row r="10022">
          <cell r="B10022" t="str">
            <v>14080100001103</v>
          </cell>
          <cell r="C10022" t="str">
            <v>LPC SDE LS BIEN RP INT.CXC SEG          1ND</v>
          </cell>
        </row>
        <row r="10023">
          <cell r="B10023" t="str">
            <v>14080100001201</v>
          </cell>
          <cell r="C10023" t="str">
            <v>LPC PDE CTA X COB INT DIF LSBACK        1ND</v>
          </cell>
        </row>
        <row r="10024">
          <cell r="B10024" t="str">
            <v>14080100001202</v>
          </cell>
          <cell r="C10024" t="str">
            <v>LEASEBACK SEG INT DIFERIDOS RP LPC      1ND</v>
          </cell>
        </row>
        <row r="10025">
          <cell r="B10025" t="str">
            <v>14080100001401</v>
          </cell>
          <cell r="C10025" t="str">
            <v>CL INT.DEUD.VTA CARTERA VIG             1ND</v>
          </cell>
        </row>
        <row r="10026">
          <cell r="B10026" t="str">
            <v>14080100001501</v>
          </cell>
          <cell r="C10026" t="str">
            <v>CL P.VTA.BNES.ADJUDICA.INTXCOB          1ND</v>
          </cell>
        </row>
        <row r="10027">
          <cell r="B10027" t="str">
            <v>14080100001601</v>
          </cell>
          <cell r="C10027" t="str">
            <v>LPC INT.EMP.SIST.FIN.NO SUB.PAIS        1ND</v>
          </cell>
        </row>
        <row r="10028">
          <cell r="B10028" t="str">
            <v>14080100001606</v>
          </cell>
          <cell r="C10028" t="str">
            <v>LPC INT X COB PAG COOP AHO Y CRED       1ND</v>
          </cell>
        </row>
        <row r="10029">
          <cell r="B10029" t="str">
            <v>14080100002601</v>
          </cell>
          <cell r="C10029" t="str">
            <v>CL EX FORFAITING INT.CXC                1ND</v>
          </cell>
        </row>
        <row r="10030">
          <cell r="B10030" t="str">
            <v>14080100002603</v>
          </cell>
          <cell r="C10030" t="str">
            <v>CL INTXCOB WORKING CAPITAL EXPORT       1ND</v>
          </cell>
        </row>
        <row r="10031">
          <cell r="B10031" t="str">
            <v>14080100002901</v>
          </cell>
          <cell r="C10031" t="str">
            <v>IC INT X COB VIG OTROS C.COMERCIAL      1ND</v>
          </cell>
        </row>
        <row r="10032">
          <cell r="B10032" t="str">
            <v>14080200000102</v>
          </cell>
          <cell r="C10032" t="str">
            <v>MYP INT.X COB.VIG FIN.IMPORT CAP TRAB   1ND</v>
          </cell>
        </row>
        <row r="10033">
          <cell r="B10033" t="str">
            <v>14080200000103</v>
          </cell>
          <cell r="C10033" t="str">
            <v>MYP INT.X COB.VIG FIN.IMPORT ACTIVO FIJO1ND</v>
          </cell>
        </row>
        <row r="10034">
          <cell r="B10034" t="str">
            <v>14080200000104</v>
          </cell>
          <cell r="C10034" t="str">
            <v>LPC INT X COBRAR IMPOR RP MES           1ND</v>
          </cell>
        </row>
        <row r="10035">
          <cell r="B10035" t="str">
            <v>14080200000105</v>
          </cell>
          <cell r="C10035" t="str">
            <v>CL INT.X COB.CRED.POR LIQ. CARTA FIANZA 1ND</v>
          </cell>
        </row>
        <row r="10036">
          <cell r="B10036" t="str">
            <v>14080200000106</v>
          </cell>
          <cell r="C10036" t="str">
            <v>MYP INTX COBVIG LREVOL PROVREFCMIE      1ND</v>
          </cell>
        </row>
        <row r="10037">
          <cell r="B10037" t="str">
            <v>14080200000107</v>
          </cell>
          <cell r="C10037" t="str">
            <v>MYP INTXCOBVIG CTRABPROVREFCMIE         1ND</v>
          </cell>
        </row>
        <row r="10038">
          <cell r="B10038" t="str">
            <v>14080200000108</v>
          </cell>
          <cell r="C10038" t="str">
            <v>MYP INT.X COB.VIG L.REVOL REUT.CMIE     1ND</v>
          </cell>
        </row>
        <row r="10039">
          <cell r="B10039" t="str">
            <v>14080200000109</v>
          </cell>
          <cell r="C10039" t="str">
            <v>MYP INTXCOB.VIG C.TRAB.REUT.CMIE        1ND</v>
          </cell>
        </row>
        <row r="10040">
          <cell r="B10040" t="str">
            <v>14080200000110</v>
          </cell>
          <cell r="C10040" t="str">
            <v>MYP INT.X COB.VIG CAP.TRAB CIMA NOR/DUPE1ND</v>
          </cell>
        </row>
        <row r="10041">
          <cell r="B10041" t="str">
            <v>14080200000201</v>
          </cell>
          <cell r="C10041" t="str">
            <v>INTERESES POR COBRAR TC MES             1ND</v>
          </cell>
        </row>
        <row r="10042">
          <cell r="B10042" t="str">
            <v>14080200000202</v>
          </cell>
          <cell r="C10042" t="str">
            <v>COMISIONES POR COBRAR TC MES            1ND</v>
          </cell>
        </row>
        <row r="10043">
          <cell r="B10043" t="str">
            <v>14080200000301</v>
          </cell>
          <cell r="C10043" t="str">
            <v>FACT INTER IMPORT   COMP.VIG. CMIE NORMA1ND</v>
          </cell>
        </row>
        <row r="10044">
          <cell r="B10044" t="str">
            <v>14080200000501</v>
          </cell>
          <cell r="C10044" t="str">
            <v>CL PAG.DSCTO MES INT.CXC                1ND</v>
          </cell>
        </row>
        <row r="10045">
          <cell r="B10045" t="str">
            <v>14080200000502</v>
          </cell>
          <cell r="C10045" t="str">
            <v>FCD  LETR./FACT.DSCTO.MES INT.CXC       1ND</v>
          </cell>
        </row>
        <row r="10046">
          <cell r="B10046" t="str">
            <v>14080200000503</v>
          </cell>
          <cell r="C10046" t="str">
            <v>FCD DSCTO ELECTR SM PERUAN I.VIG MES    1ND</v>
          </cell>
        </row>
        <row r="10047">
          <cell r="B10047" t="str">
            <v>14080200000601</v>
          </cell>
          <cell r="C10047" t="str">
            <v>CL INTXCOB TASA VENCIDA CL MES          1ND</v>
          </cell>
        </row>
        <row r="10048">
          <cell r="B10048" t="str">
            <v>14080200000603</v>
          </cell>
          <cell r="C10048" t="str">
            <v>CL INT X COBRAR PREST COFIDE MES        1ND</v>
          </cell>
        </row>
        <row r="10049">
          <cell r="B10049" t="str">
            <v>14080200000604</v>
          </cell>
          <cell r="C10049" t="str">
            <v>LPC INTXCOB PAGARE TASA VENCIDA MES     1ND</v>
          </cell>
        </row>
        <row r="10050">
          <cell r="B10050" t="str">
            <v>14080200000611</v>
          </cell>
          <cell r="C10050" t="str">
            <v>MYP INT.X COB.VIG FIN. CAP.TRAB         1ND</v>
          </cell>
        </row>
        <row r="10051">
          <cell r="B10051" t="str">
            <v>14080200000612</v>
          </cell>
          <cell r="C10051" t="str">
            <v>MYP INT.X COB.VIG FIN. COMPRA. AF.      1ND</v>
          </cell>
        </row>
        <row r="10052">
          <cell r="B10052" t="str">
            <v>14080200000613</v>
          </cell>
          <cell r="C10052" t="str">
            <v>MYP INT.X COB.VIG FIN. CRED. PARAL.     1ND</v>
          </cell>
        </row>
        <row r="10053">
          <cell r="B10053" t="str">
            <v>14080200000616</v>
          </cell>
          <cell r="C10053" t="str">
            <v>MYP INT.X COB.VIG FIN. COMPRA DE DE     1ND</v>
          </cell>
        </row>
        <row r="10054">
          <cell r="B10054" t="str">
            <v>14080200000617</v>
          </cell>
          <cell r="C10054" t="str">
            <v>MYP INT.X COB.VIG LINEA REVOLVENTE      1ND</v>
          </cell>
        </row>
        <row r="10055">
          <cell r="B10055" t="str">
            <v>14080200000618</v>
          </cell>
          <cell r="C10055" t="str">
            <v>MYP INT.X COB.VIG TRANSP PUBLICO C      1ND</v>
          </cell>
        </row>
        <row r="10056">
          <cell r="B10056" t="str">
            <v>14080200000619</v>
          </cell>
          <cell r="C10056" t="str">
            <v>MYP E.R.INT.X COB.VIG FIN. CAP.T        1ND</v>
          </cell>
        </row>
        <row r="10057">
          <cell r="B10057" t="str">
            <v>14080200000620</v>
          </cell>
          <cell r="C10057" t="str">
            <v>CL INTXC.CXL AVA.X ACEP-VIG-MES         1ND</v>
          </cell>
        </row>
        <row r="10058">
          <cell r="B10058" t="str">
            <v>14080200000750</v>
          </cell>
          <cell r="C10058" t="str">
            <v>COMXCOB REPROGRAMACION TC MES           1ND</v>
          </cell>
        </row>
        <row r="10059">
          <cell r="B10059" t="str">
            <v>14080200000751</v>
          </cell>
          <cell r="C10059" t="str">
            <v>COMXCOB REPROGRAMACION TC MES           1ND</v>
          </cell>
        </row>
        <row r="10060">
          <cell r="B10060" t="str">
            <v>14080200000801</v>
          </cell>
          <cell r="C10060" t="str">
            <v>COM X COB TC COMERC VEA CMIE            1ND</v>
          </cell>
        </row>
        <row r="10061">
          <cell r="B10061" t="str">
            <v>14080200000802</v>
          </cell>
          <cell r="C10061" t="str">
            <v>COM X COB TC COMERC AMEX CMIE           1ND</v>
          </cell>
        </row>
        <row r="10062">
          <cell r="B10062" t="str">
            <v>14080200000803</v>
          </cell>
          <cell r="C10062" t="str">
            <v>INT X COB TC-COMERC VEA CMIE            1ND</v>
          </cell>
        </row>
        <row r="10063">
          <cell r="B10063" t="str">
            <v>14080200000804</v>
          </cell>
          <cell r="C10063" t="str">
            <v>INT X COB TC-COMERC AMEX CMIE           1ND</v>
          </cell>
        </row>
        <row r="10064">
          <cell r="B10064" t="str">
            <v>14080200000805</v>
          </cell>
          <cell r="C10064" t="str">
            <v>COM X COB TC MC VIG. CMIE               1ND</v>
          </cell>
        </row>
        <row r="10065">
          <cell r="B10065" t="str">
            <v>14080200000806</v>
          </cell>
          <cell r="C10065" t="str">
            <v>COM X COB TC VISA VIG. CMIE             1ND</v>
          </cell>
        </row>
        <row r="10066">
          <cell r="B10066" t="str">
            <v>14080200000807</v>
          </cell>
          <cell r="C10066" t="str">
            <v>INT X COB TC MC VIG. CMIE               1ND</v>
          </cell>
        </row>
        <row r="10067">
          <cell r="B10067" t="str">
            <v>14080200000808</v>
          </cell>
          <cell r="C10067" t="str">
            <v>INT X COB TC VISA VIG. CMIE             1ND</v>
          </cell>
        </row>
        <row r="10068">
          <cell r="B10068" t="str">
            <v>14080200000901</v>
          </cell>
          <cell r="C10068" t="str">
            <v>IM INT X COBRAR  CTA CTE CMIE           1ND</v>
          </cell>
        </row>
        <row r="10069">
          <cell r="B10069" t="str">
            <v>14080200000902</v>
          </cell>
          <cell r="C10069" t="str">
            <v>INTxCOB REPROGRAMACION TC VIG. CMIE     1ND</v>
          </cell>
        </row>
        <row r="10070">
          <cell r="B10070" t="str">
            <v>14080200000903</v>
          </cell>
          <cell r="C10070" t="str">
            <v>COMxCOB REPROGRAMACION TC VIG. CMIE     1ND</v>
          </cell>
        </row>
        <row r="10071">
          <cell r="B10071" t="str">
            <v>14080200001001</v>
          </cell>
          <cell r="C10071" t="str">
            <v>PR LETRAS FACTO.MES INT.COMP            1ND</v>
          </cell>
        </row>
        <row r="10072">
          <cell r="B10072" t="str">
            <v>14080200001002</v>
          </cell>
          <cell r="C10072" t="str">
            <v>PR FACTORING FACTU.MES INT.COMP         1ND</v>
          </cell>
        </row>
        <row r="10073">
          <cell r="B10073" t="str">
            <v>14080200001003</v>
          </cell>
          <cell r="C10073" t="str">
            <v>PR LETRAS FACTO.MES INT.DIFE            1ND</v>
          </cell>
        </row>
        <row r="10074">
          <cell r="B10074" t="str">
            <v>14080200001004</v>
          </cell>
          <cell r="C10074" t="str">
            <v>PR FACTORING FACTU.MES INT.DIFE         1ND</v>
          </cell>
        </row>
        <row r="10075">
          <cell r="B10075" t="str">
            <v>14080200001009</v>
          </cell>
          <cell r="C10075" t="str">
            <v>$PR FACT ELECTR LET/FACT I.COMP MES     1ND</v>
          </cell>
        </row>
        <row r="10076">
          <cell r="B10076" t="str">
            <v>14080200001010</v>
          </cell>
          <cell r="C10076" t="str">
            <v>PR FACT ELECTR LET/FACT I.DIF MES       1ND</v>
          </cell>
        </row>
        <row r="10077">
          <cell r="B10077" t="str">
            <v>14080200001011</v>
          </cell>
          <cell r="C10077" t="str">
            <v>PR PERU FACTORING INT COMPENS MES       1ND</v>
          </cell>
        </row>
        <row r="10078">
          <cell r="B10078" t="str">
            <v>14080200001012</v>
          </cell>
          <cell r="C10078" t="str">
            <v>PR PERU FACTORING INT.DIF MES           1ND</v>
          </cell>
        </row>
        <row r="10079">
          <cell r="B10079" t="str">
            <v>14080200001013</v>
          </cell>
          <cell r="C10079" t="str">
            <v>FCD FORFAITING EXPORT.X COBRAR VIG CMIE 1ND</v>
          </cell>
        </row>
        <row r="10080">
          <cell r="B10080" t="str">
            <v>14080200001014</v>
          </cell>
          <cell r="C10080" t="str">
            <v>PR FACT INTERN INT POR COB VIG CMIE     1ND</v>
          </cell>
        </row>
        <row r="10081">
          <cell r="B10081" t="str">
            <v>14080200001015</v>
          </cell>
          <cell r="C10081" t="str">
            <v>FCD DESC. VIRTUAL I. COMP.VIG. CMIE NORM1ND</v>
          </cell>
        </row>
        <row r="10082">
          <cell r="B10082" t="str">
            <v>14080200001016</v>
          </cell>
          <cell r="C10082" t="str">
            <v>FCD FACT INTER EXPO INT X COBRAR VIG NOR1ND</v>
          </cell>
        </row>
        <row r="10083">
          <cell r="B10083" t="str">
            <v>14080200001017</v>
          </cell>
          <cell r="C10083" t="str">
            <v>FCD FORFAITING EXPO X COBRAR VIG NORMÂ  1ND</v>
          </cell>
        </row>
        <row r="10084">
          <cell r="B10084" t="str">
            <v>14080200001101</v>
          </cell>
          <cell r="C10084" t="str">
            <v>LPC LEASING DEL BIEN INT DIFERIDOS RP   1ND</v>
          </cell>
        </row>
        <row r="10085">
          <cell r="B10085" t="str">
            <v>14080200001102</v>
          </cell>
          <cell r="C10085" t="str">
            <v>LPC CTA X COB INT SEGURO LS MES         1ND</v>
          </cell>
        </row>
        <row r="10086">
          <cell r="B10086" t="str">
            <v>14080200001103</v>
          </cell>
          <cell r="C10086" t="str">
            <v>LPC CTA X COBRAR MYP INT DIFER LS CMIE  1ND</v>
          </cell>
        </row>
        <row r="10087">
          <cell r="B10087" t="str">
            <v>14080200001104</v>
          </cell>
          <cell r="C10087" t="str">
            <v>LPC CTA X COBRAR MYP INT DIFER CMIE     1ND</v>
          </cell>
        </row>
        <row r="10088">
          <cell r="B10088" t="str">
            <v>14080200001105</v>
          </cell>
          <cell r="C10088" t="str">
            <v>LPC INTXCOB PAG TV RP MED PLAZO  CMIE   1ND</v>
          </cell>
        </row>
        <row r="10089">
          <cell r="B10089" t="str">
            <v>14080200001106</v>
          </cell>
          <cell r="C10089" t="str">
            <v>LPC INTXCOB PAG TV INMOBILIARIO  CMIE   1ND</v>
          </cell>
        </row>
        <row r="10090">
          <cell r="B10090" t="str">
            <v>14080200001107</v>
          </cell>
          <cell r="C10090" t="str">
            <v>LPC AVA CUENT  INT X COB CMIE           1ND</v>
          </cell>
        </row>
        <row r="10091">
          <cell r="B10091" t="str">
            <v>14080200001108</v>
          </cell>
          <cell r="C10091" t="str">
            <v>LPC INTXCOB PRE EMBARQUE VIG.NORM CMIE  1ND</v>
          </cell>
        </row>
        <row r="10092">
          <cell r="B10092" t="str">
            <v>14080200001109</v>
          </cell>
          <cell r="C10092" t="str">
            <v>LPC INTXCOB POST EMBARQUE VIG.NORM CMIE 1ND</v>
          </cell>
        </row>
        <row r="10093">
          <cell r="B10093" t="str">
            <v>14080200001110</v>
          </cell>
          <cell r="C10093" t="str">
            <v>LPC INTXCOB IMPORT. CARTA CREDITO  VIG.N1ND</v>
          </cell>
        </row>
        <row r="10094">
          <cell r="B10094" t="str">
            <v>14080200001111</v>
          </cell>
          <cell r="C10094" t="str">
            <v>LPC INTXCOB IMPORT.  VIG.NORM CMIE      1ND</v>
          </cell>
        </row>
        <row r="10095">
          <cell r="B10095" t="str">
            <v>14080200001112</v>
          </cell>
          <cell r="C10095" t="str">
            <v>LPC P.TSA.DSCTO.INT.X COB.VIG CMIE      1ND</v>
          </cell>
        </row>
        <row r="10096">
          <cell r="B10096" t="str">
            <v>14080200001113</v>
          </cell>
          <cell r="C10096" t="str">
            <v>LPC INT X COBRAR PAG TV COFIDE CMIE     1ND</v>
          </cell>
        </row>
        <row r="10097">
          <cell r="B10097" t="str">
            <v>14080200001114</v>
          </cell>
          <cell r="C10097" t="str">
            <v>LPC INTXCOB PAG REPROGRAMADO            1ND</v>
          </cell>
        </row>
        <row r="10098">
          <cell r="B10098" t="str">
            <v>14080200001201</v>
          </cell>
          <cell r="C10098" t="str">
            <v>LPC LEASEBACK DEL BIEN INT DIFER RP MES 1ND</v>
          </cell>
        </row>
        <row r="10099">
          <cell r="B10099" t="str">
            <v>14080200001202</v>
          </cell>
          <cell r="C10099" t="str">
            <v>LPC LEASEBACK SEG INT DIFERIDOS RP MES  1ND</v>
          </cell>
        </row>
        <row r="10100">
          <cell r="B10100" t="str">
            <v>14080200001301</v>
          </cell>
          <cell r="C10100" t="str">
            <v>LPC INTXCOB FINANC PRE EMBARQUE-SEPYMEX 1ND</v>
          </cell>
        </row>
        <row r="10101">
          <cell r="B10101" t="str">
            <v>14080200001601</v>
          </cell>
          <cell r="C10101" t="str">
            <v>TC INT X COB AMEX CDEUDA PAR VIG CMIE   1ND</v>
          </cell>
        </row>
        <row r="10102">
          <cell r="B10102" t="str">
            <v>14080200001602</v>
          </cell>
          <cell r="C10102" t="str">
            <v>TC INT X COB AMEX CDEUDA REV VIG CMIE   1ND</v>
          </cell>
        </row>
        <row r="10103">
          <cell r="B10103" t="str">
            <v>14080200001603</v>
          </cell>
          <cell r="C10103" t="str">
            <v>TC INT X COB AMEX COMPRA REV VIG CMIE   1ND</v>
          </cell>
        </row>
        <row r="10104">
          <cell r="B10104" t="str">
            <v>14080200001604</v>
          </cell>
          <cell r="C10104" t="str">
            <v>TC INT X COB AMEX D/E CUOTAS VIG CMIE   1ND</v>
          </cell>
        </row>
        <row r="10105">
          <cell r="B10105" t="str">
            <v>14080200001605</v>
          </cell>
          <cell r="C10105" t="str">
            <v>TC INT X COB AMEX D/E REV VIG CMIE      1ND</v>
          </cell>
        </row>
        <row r="10106">
          <cell r="B10106" t="str">
            <v>14080200001606</v>
          </cell>
          <cell r="C10106" t="str">
            <v>TC INT X COB AMEX EXTRACASH VIG CMIE    1ND</v>
          </cell>
        </row>
        <row r="10107">
          <cell r="B10107" t="str">
            <v>14080200001607</v>
          </cell>
          <cell r="C10107" t="str">
            <v>TC INT X COB AMEX REPROG PAR VIG CMIE   1ND</v>
          </cell>
        </row>
        <row r="10108">
          <cell r="B10108" t="str">
            <v>14080200001608</v>
          </cell>
          <cell r="C10108" t="str">
            <v>TC INT X COB AMEX REPROG REV VIG CMIE   1ND</v>
          </cell>
        </row>
        <row r="10109">
          <cell r="B10109" t="str">
            <v>14080200001609</v>
          </cell>
          <cell r="C10109" t="str">
            <v>TC INTXCOB AMEX COMPRA CUOTA VIG CMIE   1ND</v>
          </cell>
        </row>
        <row r="10110">
          <cell r="B10110" t="str">
            <v>14080200001610</v>
          </cell>
          <cell r="C10110" t="str">
            <v>TC INT X COB MC CDEUDA PAR VIG CMIE     1ND</v>
          </cell>
        </row>
        <row r="10111">
          <cell r="B10111" t="str">
            <v>14080200001611</v>
          </cell>
          <cell r="C10111" t="str">
            <v>TC INT X COB MC CDEUDA REV VIG CMIE     1ND</v>
          </cell>
        </row>
        <row r="10112">
          <cell r="B10112" t="str">
            <v>14080200001612</v>
          </cell>
          <cell r="C10112" t="str">
            <v>TC INT X COB MC COMPRA REV VIG CMIE     1ND</v>
          </cell>
        </row>
        <row r="10113">
          <cell r="B10113" t="str">
            <v>14080200001613</v>
          </cell>
          <cell r="C10113" t="str">
            <v>TC INT X COB MC D/E CUOTAS VIG CMIE     1ND</v>
          </cell>
        </row>
        <row r="10114">
          <cell r="B10114" t="str">
            <v>14080200001614</v>
          </cell>
          <cell r="C10114" t="str">
            <v>TC INT X COB MC D/E REV VIG CMIE        1ND</v>
          </cell>
        </row>
        <row r="10115">
          <cell r="B10115" t="str">
            <v>14080200001615</v>
          </cell>
          <cell r="C10115" t="str">
            <v>TC INT X COB MC EXTRACASH VIG CMIE      1ND</v>
          </cell>
        </row>
        <row r="10116">
          <cell r="B10116" t="str">
            <v>14080200001616</v>
          </cell>
          <cell r="C10116" t="str">
            <v>TC INT X COB MC REPROG PAR VIG CMIE     1ND</v>
          </cell>
        </row>
        <row r="10117">
          <cell r="B10117" t="str">
            <v>14080200001617</v>
          </cell>
          <cell r="C10117" t="str">
            <v>TC INT X COB MC REPROG REV VIG CMIE     1ND</v>
          </cell>
        </row>
        <row r="10118">
          <cell r="B10118" t="str">
            <v>14080200001618</v>
          </cell>
          <cell r="C10118" t="str">
            <v>TC INTXCOB MC COMPRA CUOTA VIG CMIE     1ND</v>
          </cell>
        </row>
        <row r="10119">
          <cell r="B10119" t="str">
            <v>14080200001619</v>
          </cell>
          <cell r="C10119" t="str">
            <v>TC INT X COB VISA CDEUDA PAR VIG CMIE   1ND</v>
          </cell>
        </row>
        <row r="10120">
          <cell r="B10120" t="str">
            <v>14080200001620</v>
          </cell>
          <cell r="C10120" t="str">
            <v>TC INT X COB VISA CDEUDA REV VIG CMIE   1ND</v>
          </cell>
        </row>
        <row r="10121">
          <cell r="B10121" t="str">
            <v>14080200001621</v>
          </cell>
          <cell r="C10121" t="str">
            <v>TC INT X COB VISA COMPRA REV VIG CMIE   1ND</v>
          </cell>
        </row>
        <row r="10122">
          <cell r="B10122" t="str">
            <v>14080200001622</v>
          </cell>
          <cell r="C10122" t="str">
            <v>TC INT X COB VISA D/E CUOTAS VIG CMIE   1ND</v>
          </cell>
        </row>
        <row r="10123">
          <cell r="B10123" t="str">
            <v>14080200001623</v>
          </cell>
          <cell r="C10123" t="str">
            <v>TC INT X COB VISA D/E REV VIG CMIE      1ND</v>
          </cell>
        </row>
        <row r="10124">
          <cell r="B10124" t="str">
            <v>14080200001624</v>
          </cell>
          <cell r="C10124" t="str">
            <v>TC INT X COB VISA EXTRACASH VIG CMIE    1ND</v>
          </cell>
        </row>
        <row r="10125">
          <cell r="B10125" t="str">
            <v>14080200001625</v>
          </cell>
          <cell r="C10125" t="str">
            <v>TC INT X COB VISA REPROG PAR VIG CMIE   1ND</v>
          </cell>
        </row>
        <row r="10126">
          <cell r="B10126" t="str">
            <v>14080200001626</v>
          </cell>
          <cell r="C10126" t="str">
            <v>TC INT X COB VISA REPROG REV VIG CMIE   1ND</v>
          </cell>
        </row>
        <row r="10127">
          <cell r="B10127" t="str">
            <v>14080200001627</v>
          </cell>
          <cell r="C10127" t="str">
            <v>TC INTXCOB VISA COMPRA CUOTA VIG CMIE   1ND</v>
          </cell>
        </row>
        <row r="10128">
          <cell r="B10128" t="str">
            <v>14080200001701</v>
          </cell>
          <cell r="C10128" t="str">
            <v>LPC CTA X COB INT DIF LS COFIDE PDL CMIE1ND</v>
          </cell>
        </row>
        <row r="10129">
          <cell r="B10129" t="str">
            <v>14080200001702</v>
          </cell>
          <cell r="C10129" t="str">
            <v>LPC LS COFIDE CTA XCOBRAR INT DIF SEG SD1ND</v>
          </cell>
        </row>
        <row r="10130">
          <cell r="B10130" t="str">
            <v>14080200002601</v>
          </cell>
          <cell r="C10130" t="str">
            <v>CL P.EXP PRE EM.RP MES INT.CXC          1ND</v>
          </cell>
        </row>
        <row r="10131">
          <cell r="B10131" t="str">
            <v>14080200002603</v>
          </cell>
          <cell r="C10131" t="str">
            <v>CL INT X COB. EX POST EMB RP MES        1ND</v>
          </cell>
        </row>
        <row r="10132">
          <cell r="B10132" t="str">
            <v>14080200002605</v>
          </cell>
          <cell r="C10132" t="str">
            <v>CL INT X COBRAR IMPOR RP MES            1ND</v>
          </cell>
        </row>
        <row r="10133">
          <cell r="B10133" t="str">
            <v>14080200002609</v>
          </cell>
          <cell r="C10133" t="str">
            <v>MYP IMPORT RP INTXCOB MES VIG           1ND</v>
          </cell>
        </row>
        <row r="10134">
          <cell r="B10134" t="str">
            <v>14080200002610</v>
          </cell>
          <cell r="C10134" t="str">
            <v>MYP EXPORT.POST EMBAR INTXCOB VIG CPEM  1ND</v>
          </cell>
        </row>
        <row r="10135">
          <cell r="B10135" t="str">
            <v>14080200002611</v>
          </cell>
          <cell r="C10135" t="str">
            <v>MYP EXPORT.PRE EMBARQUE RP INTXC        1ND</v>
          </cell>
        </row>
        <row r="10136">
          <cell r="B10136" t="str">
            <v>14080200005104</v>
          </cell>
          <cell r="C10136" t="str">
            <v>PR LETRAS T. DESCONTADAÂ  INTE VIGÂ Â  C1ND</v>
          </cell>
        </row>
        <row r="10137">
          <cell r="B10137" t="str">
            <v>14080200005105</v>
          </cell>
          <cell r="C10137" t="str">
            <v>LPC CTA X COB INT PRECUOTAS LS BIEN CMIE1ND</v>
          </cell>
        </row>
        <row r="10138">
          <cell r="B10138" t="str">
            <v>14080200005106</v>
          </cell>
          <cell r="C10138" t="str">
            <v>MYP CODIFE FONDO CRECER VIG CMIE\NORM   1ND</v>
          </cell>
        </row>
        <row r="10139">
          <cell r="B10139" t="str">
            <v>14080200005107</v>
          </cell>
          <cell r="C10139" t="str">
            <v>MYP CODIFE REACTIVA PERU VIG CMIE\NORM  1ND</v>
          </cell>
        </row>
        <row r="10140">
          <cell r="B10140" t="str">
            <v>14080200005112</v>
          </cell>
          <cell r="C10140" t="str">
            <v>LPC REACTIVA PERU VIG CMIE\NORM         1ND</v>
          </cell>
        </row>
        <row r="10141">
          <cell r="B10141" t="str">
            <v>14080200005113</v>
          </cell>
          <cell r="C10141" t="str">
            <v>LPC COFIDE FONDOS PERU VIG CMIE\NORM    1ND</v>
          </cell>
        </row>
        <row r="10142">
          <cell r="B10142" t="str">
            <v>14080200005114</v>
          </cell>
          <cell r="C10142" t="str">
            <v>LPC COFIDE FONDO CRECER VIG CMIE\NORM   1ND</v>
          </cell>
        </row>
        <row r="10143">
          <cell r="B10143" t="str">
            <v>14080200005115</v>
          </cell>
          <cell r="C10143" t="str">
            <v>LPC REACTIVA PERU VIG CMIE\NORM         1ND</v>
          </cell>
        </row>
        <row r="10144">
          <cell r="B10144" t="str">
            <v>14080200005117</v>
          </cell>
          <cell r="C10144" t="str">
            <v>LPC 30K REACTIVA CORTO PLAZO REPROG VIG 1 D</v>
          </cell>
        </row>
        <row r="10145">
          <cell r="B10145" t="str">
            <v>14080200005118</v>
          </cell>
          <cell r="C10145" t="str">
            <v>MYP REACTIVA REPROG VIG CMIE            1 D</v>
          </cell>
        </row>
        <row r="10146">
          <cell r="B10146" t="str">
            <v>14080200005119</v>
          </cell>
          <cell r="C10146" t="str">
            <v>LPC REPROG REACTIVA DIFE CMIE INT VIG   1 D</v>
          </cell>
        </row>
        <row r="10147">
          <cell r="B10147" t="str">
            <v>14080200005120</v>
          </cell>
          <cell r="C10147" t="str">
            <v>LPC REPROG REACTIVA DS.011-2022 CMIE NOR1 D</v>
          </cell>
        </row>
        <row r="10148">
          <cell r="B10148" t="str">
            <v>14080200005121</v>
          </cell>
          <cell r="C10148" t="str">
            <v>MYP REPROG REACTIVA DS.011-2022 CMIE NOR1 D</v>
          </cell>
        </row>
        <row r="10149">
          <cell r="B10149" t="str">
            <v>14080200005127</v>
          </cell>
          <cell r="C10149" t="str">
            <v>MYP INT.X.COB CAP_TRAB_CIMA CMIE VIG NOR1 D</v>
          </cell>
        </row>
        <row r="10150">
          <cell r="B10150" t="str">
            <v>14080200005128</v>
          </cell>
          <cell r="C10150" t="str">
            <v>MYP REPROGRAMADO CIMA CMIE VIG NORM     1 D</v>
          </cell>
        </row>
        <row r="10151">
          <cell r="B10151" t="str">
            <v>14080200005129</v>
          </cell>
          <cell r="C10151" t="str">
            <v>MYP REPROG REACTIVA 2023 CMIE NORM VIG I1 D</v>
          </cell>
        </row>
        <row r="10152">
          <cell r="B10152" t="str">
            <v>14080200005130</v>
          </cell>
          <cell r="C10152" t="str">
            <v>LPC REPROG REACTIVA 2023 VIG CMIE NORM I1 D</v>
          </cell>
        </row>
        <row r="10153">
          <cell r="B10153" t="str">
            <v>14080200005131</v>
          </cell>
          <cell r="C10153" t="str">
            <v>MYP CAP. TRAB - PAGARE DIGITAL_INT CMIE 1 D</v>
          </cell>
        </row>
        <row r="10154">
          <cell r="B10154" t="str">
            <v>14080200005132</v>
          </cell>
          <cell r="C10154" t="str">
            <v>MYP IMPULSO MYPERU VIG CMIE NORM INT    1 D</v>
          </cell>
        </row>
        <row r="10155">
          <cell r="B10155" t="str">
            <v>14080200005133</v>
          </cell>
          <cell r="C10155" t="str">
            <v>LPC INT IMPULSO MYPERU CORTO PLAZO CMIE 1 D</v>
          </cell>
        </row>
        <row r="10156">
          <cell r="B10156" t="str">
            <v>14080200005134</v>
          </cell>
          <cell r="C10156" t="str">
            <v>LPC INT IMPULSO MYPERU MEDIANO PLAZO CMI1 D</v>
          </cell>
        </row>
        <row r="10157">
          <cell r="B10157" t="str">
            <v>14080200005135</v>
          </cell>
          <cell r="C10157" t="str">
            <v>MYP CAPITAL DE TRAB CIMA REU DIF INT VIG1 D</v>
          </cell>
        </row>
        <row r="10158">
          <cell r="B10158" t="str">
            <v>14080200005136</v>
          </cell>
          <cell r="C10158" t="str">
            <v>FCD FACT INTER EXPO VIG NORM INT CMIE   1ND</v>
          </cell>
        </row>
        <row r="10159">
          <cell r="B10159" t="str">
            <v>14080200005137</v>
          </cell>
          <cell r="C10159" t="str">
            <v>MYP LINEA REVOLV CIMA INT VIG NORM CMIE 1 D</v>
          </cell>
        </row>
        <row r="10160">
          <cell r="B10160" t="str">
            <v>14080200005138</v>
          </cell>
          <cell r="C10160" t="str">
            <v>MYP CAP TRAB PER GRACIA PARCIAL INT VIG 1 D</v>
          </cell>
        </row>
        <row r="10161">
          <cell r="B10161" t="str">
            <v>14080200005139</v>
          </cell>
          <cell r="C10161" t="str">
            <v>MYP REPROG PERIODO GRACIA PARCIAL VIG CM1 D</v>
          </cell>
        </row>
        <row r="10162">
          <cell r="B10162" t="str">
            <v>14080200005140</v>
          </cell>
          <cell r="C10162" t="str">
            <v>CCD-BPE CAPITAL DE TRABAJO_CMIE VIG NORM1 D</v>
          </cell>
        </row>
        <row r="10163">
          <cell r="B10163" t="str">
            <v>14080200005141</v>
          </cell>
          <cell r="C10163" t="str">
            <v>CCD-BPE LINEA REVOLVENTE_CMIE VIG NORM  1 D</v>
          </cell>
        </row>
        <row r="10164">
          <cell r="B10164" t="str">
            <v>14080200005142</v>
          </cell>
          <cell r="C10164" t="str">
            <v>CCD-BPE CAP DE TRAB REPROG_CMIE VIG NORM1 D</v>
          </cell>
        </row>
        <row r="10165">
          <cell r="B10165" t="str">
            <v>14080300000101</v>
          </cell>
          <cell r="C10165" t="str">
            <v>INT X COBRAR CTAS CTES PN               1ND</v>
          </cell>
        </row>
        <row r="10166">
          <cell r="B10166" t="str">
            <v>14080300000102</v>
          </cell>
          <cell r="C10166" t="str">
            <v>BL INT X COBRAR CTAS CTES PN - BL       1ND</v>
          </cell>
        </row>
        <row r="10167">
          <cell r="B10167" t="str">
            <v>14080300000103</v>
          </cell>
          <cell r="C10167" t="str">
            <v>INT X COBRAR CTAS CTES PJ S/F LUCRO     1ND</v>
          </cell>
        </row>
        <row r="10168">
          <cell r="B10168" t="str">
            <v>14080300000104</v>
          </cell>
          <cell r="C10168" t="str">
            <v>BL INT X COBRAR CTAS CTES PJ S/F LUCRO  1ND</v>
          </cell>
        </row>
        <row r="10169">
          <cell r="B10169" t="str">
            <v>14080300000201</v>
          </cell>
          <cell r="C10169" t="str">
            <v>INT X COB TC CONSUMO                    1ND</v>
          </cell>
        </row>
        <row r="10170">
          <cell r="B10170" t="str">
            <v>14080300000203</v>
          </cell>
          <cell r="C10170" t="str">
            <v>COM TARJETA DE CREDITO                  1ND</v>
          </cell>
        </row>
        <row r="10171">
          <cell r="B10171" t="str">
            <v>14080300000204</v>
          </cell>
          <cell r="C10171" t="str">
            <v>INT X COB TC CONSUMO WONG VISA          1ND</v>
          </cell>
        </row>
        <row r="10172">
          <cell r="B10172" t="str">
            <v>14080300000205</v>
          </cell>
          <cell r="C10172" t="str">
            <v>INT X COB TC CONSUMO AMEX               1ND</v>
          </cell>
        </row>
        <row r="10173">
          <cell r="B10173" t="str">
            <v>14080300000207</v>
          </cell>
          <cell r="C10173" t="str">
            <v>COM X COB TC CONSUMO WONG VISA          1ND</v>
          </cell>
        </row>
        <row r="10174">
          <cell r="B10174" t="str">
            <v>14080300000208</v>
          </cell>
          <cell r="C10174" t="str">
            <v>COM X COB TC CONSUMO AMEX               1ND</v>
          </cell>
        </row>
        <row r="10175">
          <cell r="B10175" t="str">
            <v>14080300000210</v>
          </cell>
          <cell r="C10175" t="str">
            <v>BL INT X COB TC CONSUMO MC              1ND</v>
          </cell>
        </row>
        <row r="10176">
          <cell r="B10176" t="str">
            <v>14080300000211</v>
          </cell>
          <cell r="C10176" t="str">
            <v>BL COM X COB TC CONSUMO MC              1ND</v>
          </cell>
        </row>
        <row r="10177">
          <cell r="B10177" t="str">
            <v>14080300000215</v>
          </cell>
          <cell r="C10177" t="str">
            <v>INT X COB TC AVAL                       1ND</v>
          </cell>
        </row>
        <row r="10178">
          <cell r="B10178" t="str">
            <v>14080300000217</v>
          </cell>
          <cell r="C10178" t="str">
            <v>COM X COB TC AVAL                       1ND</v>
          </cell>
        </row>
        <row r="10179">
          <cell r="B10179" t="str">
            <v>14080300000224</v>
          </cell>
          <cell r="C10179" t="str">
            <v>INT X COBRAR TC MEGAPLAZA               1ND</v>
          </cell>
        </row>
        <row r="10180">
          <cell r="B10180" t="str">
            <v>14080300000225</v>
          </cell>
          <cell r="C10180" t="str">
            <v>COM X COBRAR TC MEGAPLAZA               1ND</v>
          </cell>
        </row>
        <row r="10181">
          <cell r="B10181" t="str">
            <v>14080300000226</v>
          </cell>
          <cell r="C10181" t="str">
            <v>INT X COB TC VEA                        1ND</v>
          </cell>
        </row>
        <row r="10182">
          <cell r="B10182" t="str">
            <v>14080300000227</v>
          </cell>
          <cell r="C10182" t="str">
            <v>INT X COB TC VEA VISA                   1ND</v>
          </cell>
        </row>
        <row r="10183">
          <cell r="B10183" t="str">
            <v>14080300000228</v>
          </cell>
          <cell r="C10183" t="str">
            <v>COM X COB TC VEA                        1ND</v>
          </cell>
        </row>
        <row r="10184">
          <cell r="B10184" t="str">
            <v>14080300000229</v>
          </cell>
          <cell r="C10184" t="str">
            <v>COM X COB TC VEA VISA                   1ND</v>
          </cell>
        </row>
        <row r="10185">
          <cell r="B10185" t="str">
            <v>14080300000301</v>
          </cell>
          <cell r="C10185" t="str">
            <v>HPC INT.X COB.VIG TC FINAN.PROV.REFIN   1ND</v>
          </cell>
        </row>
        <row r="10186">
          <cell r="B10186" t="str">
            <v>14080300000302</v>
          </cell>
          <cell r="C10186" t="str">
            <v>HPC INT.X COB.VIG CRED EFECT FINAN.PROV.1ND</v>
          </cell>
        </row>
        <row r="10187">
          <cell r="B10187" t="str">
            <v>14080300000303</v>
          </cell>
          <cell r="C10187" t="str">
            <v>HPC INT.X COB.VIG CRED VEHIC FINAN.PROV.1ND</v>
          </cell>
        </row>
        <row r="10188">
          <cell r="B10188" t="str">
            <v>14080300000304</v>
          </cell>
          <cell r="C10188" t="str">
            <v>HPC INT.X COB.VIG LIC CONVENIO PROV.REFI1ND</v>
          </cell>
        </row>
        <row r="10189">
          <cell r="B10189" t="str">
            <v>14080300000305</v>
          </cell>
          <cell r="C10189" t="str">
            <v>HPC INT.X COB.VIG CRED PREF CONV PROV.RE1ND</v>
          </cell>
        </row>
        <row r="10190">
          <cell r="B10190" t="str">
            <v>14080300000601</v>
          </cell>
          <cell r="C10190" t="str">
            <v>INT X COB CONSUMO                       1ND</v>
          </cell>
        </row>
        <row r="10191">
          <cell r="B10191" t="str">
            <v>14080300000602</v>
          </cell>
          <cell r="C10191" t="str">
            <v>IC INT X COB EFECTIVO VIG               1ND</v>
          </cell>
        </row>
        <row r="10192">
          <cell r="B10192" t="str">
            <v>14080300000603</v>
          </cell>
          <cell r="C10192" t="str">
            <v>IC INT X COB VIG VEHICULAR              1ND</v>
          </cell>
        </row>
        <row r="10193">
          <cell r="B10193" t="str">
            <v>14080300000605</v>
          </cell>
          <cell r="C10193" t="str">
            <v>IC INT X COB VIG CONVENIO               1ND</v>
          </cell>
        </row>
        <row r="10194">
          <cell r="B10194" t="str">
            <v>14080300000613</v>
          </cell>
          <cell r="C10194" t="str">
            <v>LIC INTXCOB CREDXCONVENIO VIG           1ND</v>
          </cell>
        </row>
        <row r="10195">
          <cell r="B10195" t="str">
            <v>14080300000616</v>
          </cell>
          <cell r="C10195" t="str">
            <v>IC INT VIG CRED PERS C/GARANT HIPOT     1ND</v>
          </cell>
        </row>
        <row r="10196">
          <cell r="B10196" t="str">
            <v>14080300000619</v>
          </cell>
          <cell r="C10196" t="str">
            <v>HPC INT.X COB.VIG EFEC C/GARANT.        1ND</v>
          </cell>
        </row>
        <row r="10197">
          <cell r="B10197" t="str">
            <v>14080300000620</v>
          </cell>
          <cell r="C10197" t="str">
            <v>HPC INT.X COB.VIG EFEC REGULAR.         1ND</v>
          </cell>
        </row>
        <row r="10198">
          <cell r="B10198" t="str">
            <v>14080300000621</v>
          </cell>
          <cell r="C10198" t="str">
            <v>HPC INT.X COB.VIG EFEC C/GARANT.H       1ND</v>
          </cell>
        </row>
        <row r="10199">
          <cell r="B10199" t="str">
            <v>14080300000622</v>
          </cell>
          <cell r="C10199" t="str">
            <v>HPC INT.X COB.VIG.PRESTAMO PERSON       1ND</v>
          </cell>
        </row>
        <row r="10200">
          <cell r="B10200" t="str">
            <v>14080300000624</v>
          </cell>
          <cell r="C10200" t="str">
            <v>LIC INTXCOB CREDXCONV PREF VIG          1ND</v>
          </cell>
        </row>
        <row r="10201">
          <cell r="B10201" t="str">
            <v>14080300000625</v>
          </cell>
          <cell r="C10201" t="str">
            <v>LIC INT X COB CONV NO REVOL VIGENTE     1ND</v>
          </cell>
        </row>
        <row r="10202">
          <cell r="B10202" t="str">
            <v>14080300000626</v>
          </cell>
          <cell r="C10202" t="str">
            <v>LIC INTXCOB PREF NRV OT BAJ C NO ELEG VI1ND</v>
          </cell>
        </row>
        <row r="10203">
          <cell r="B10203" t="str">
            <v>14080300000627</v>
          </cell>
          <cell r="C10203" t="str">
            <v>TC INT X COB VISA COMPRA REV VIG CCRV   1ND</v>
          </cell>
        </row>
        <row r="10204">
          <cell r="B10204" t="str">
            <v>14080300000628</v>
          </cell>
          <cell r="C10204" t="str">
            <v>TC INT X COB VISA D/E REV VIG CCRV      1ND</v>
          </cell>
        </row>
        <row r="10205">
          <cell r="B10205" t="str">
            <v>14080300000629</v>
          </cell>
          <cell r="C10205" t="str">
            <v>TC INTXCOB VISA COMPRA CUOTA VIG CCRV   1ND</v>
          </cell>
        </row>
        <row r="10206">
          <cell r="B10206" t="str">
            <v>14080300000630</v>
          </cell>
          <cell r="C10206" t="str">
            <v>TC INT X COB VISA D/E CUOTAS VIG CCRV   1ND</v>
          </cell>
        </row>
        <row r="10207">
          <cell r="B10207" t="str">
            <v>14080300000631</v>
          </cell>
          <cell r="C10207" t="str">
            <v>TC INT X COB VISA EXTRACASH VIG CCNR    1ND</v>
          </cell>
        </row>
        <row r="10208">
          <cell r="B10208" t="str">
            <v>14080300000632</v>
          </cell>
          <cell r="C10208" t="str">
            <v>TC INT X COB VISA CDEUDA REV VIG CCRV   1ND</v>
          </cell>
        </row>
        <row r="10209">
          <cell r="B10209" t="str">
            <v>14080300000633</v>
          </cell>
          <cell r="C10209" t="str">
            <v>TC INT X COB VISA CDEUDA PAR VIG CCNR   1ND</v>
          </cell>
        </row>
        <row r="10210">
          <cell r="B10210" t="str">
            <v>14080300000634</v>
          </cell>
          <cell r="C10210" t="str">
            <v>TC INT X COB AMEX CDEUDA PAR VIG CCNR   1ND</v>
          </cell>
        </row>
        <row r="10211">
          <cell r="B10211" t="str">
            <v>14080300000635</v>
          </cell>
          <cell r="C10211" t="str">
            <v>TC INT X COB AMEX CDEUDA REV VIG CCRV   1ND</v>
          </cell>
        </row>
        <row r="10212">
          <cell r="B10212" t="str">
            <v>14080300000636</v>
          </cell>
          <cell r="C10212" t="str">
            <v>TC INT X COB AMEX COMPRA REV VIG CCRV   1ND</v>
          </cell>
        </row>
        <row r="10213">
          <cell r="B10213" t="str">
            <v>14080300000637</v>
          </cell>
          <cell r="C10213" t="str">
            <v>TC INT X COB AMEX D/E CUOTAS VIG CCRV   1ND</v>
          </cell>
        </row>
        <row r="10214">
          <cell r="B10214" t="str">
            <v>14080300000638</v>
          </cell>
          <cell r="C10214" t="str">
            <v>TC INT X COB AMEX D/E REV VIG CCRV      1ND</v>
          </cell>
        </row>
        <row r="10215">
          <cell r="B10215" t="str">
            <v>14080300000639</v>
          </cell>
          <cell r="C10215" t="str">
            <v>TC INT X COB AMEX EXTRACASH VIG CCNR    1ND</v>
          </cell>
        </row>
        <row r="10216">
          <cell r="B10216" t="str">
            <v>14080300000640</v>
          </cell>
          <cell r="C10216" t="str">
            <v>TC INT X COB AMEX REPROG PAR VIG CCNR   1ND</v>
          </cell>
        </row>
        <row r="10217">
          <cell r="B10217" t="str">
            <v>14080300000641</v>
          </cell>
          <cell r="C10217" t="str">
            <v>TC INT X COB AMEX REPROG REV VIG CCRV   1ND</v>
          </cell>
        </row>
        <row r="10218">
          <cell r="B10218" t="str">
            <v>14080300000642</v>
          </cell>
          <cell r="C10218" t="str">
            <v>TC INTXCOB AMEX COMPRA CUOTA VIG CCRV   1ND</v>
          </cell>
        </row>
        <row r="10219">
          <cell r="B10219" t="str">
            <v>14080300000643</v>
          </cell>
          <cell r="C10219" t="str">
            <v>TC INT X COB MC CDEUDA PAR VIG CCNR     1ND</v>
          </cell>
        </row>
        <row r="10220">
          <cell r="B10220" t="str">
            <v>14080300000644</v>
          </cell>
          <cell r="C10220" t="str">
            <v>TC INT X COB MC CDEUDA REV VIG CCRV     1ND</v>
          </cell>
        </row>
        <row r="10221">
          <cell r="B10221" t="str">
            <v>14080300000645</v>
          </cell>
          <cell r="C10221" t="str">
            <v>TC INT X COB MC COMPRA REV VIG CCRV     1ND</v>
          </cell>
        </row>
        <row r="10222">
          <cell r="B10222" t="str">
            <v>14080300000646</v>
          </cell>
          <cell r="C10222" t="str">
            <v>TC INT X COB MC D/E CUOTAS VIG CCRV     1ND</v>
          </cell>
        </row>
        <row r="10223">
          <cell r="B10223" t="str">
            <v>14080300000647</v>
          </cell>
          <cell r="C10223" t="str">
            <v>TC INT X COB MC D/E REV VIG CCRV        1ND</v>
          </cell>
        </row>
        <row r="10224">
          <cell r="B10224" t="str">
            <v>14080300000648</v>
          </cell>
          <cell r="C10224" t="str">
            <v>TC INT X COB MC EXTRACASH VIG CCNR      1ND</v>
          </cell>
        </row>
        <row r="10225">
          <cell r="B10225" t="str">
            <v>14080300000649</v>
          </cell>
          <cell r="C10225" t="str">
            <v>TC INT X COB MC REPROG PAR VIG CCNR     1ND</v>
          </cell>
        </row>
        <row r="10226">
          <cell r="B10226" t="str">
            <v>14080300000650</v>
          </cell>
          <cell r="C10226" t="str">
            <v>TC INT X COB MC REPROG REV VIG CCRV     1ND</v>
          </cell>
        </row>
        <row r="10227">
          <cell r="B10227" t="str">
            <v>14080300000651</v>
          </cell>
          <cell r="C10227" t="str">
            <v>TC INTXCOB MC COMPRA CUOTA VIG CCRV     1ND</v>
          </cell>
        </row>
        <row r="10228">
          <cell r="B10228" t="str">
            <v>14080300000652</v>
          </cell>
          <cell r="C10228" t="str">
            <v>TC INT X COB VISA REPROG PAR VIG CCNR   1ND</v>
          </cell>
        </row>
        <row r="10229">
          <cell r="B10229" t="str">
            <v>14080300000653</v>
          </cell>
          <cell r="C10229" t="str">
            <v>TC INT X COB VISA REPROG REV VIG CCRV   1ND</v>
          </cell>
        </row>
        <row r="10230">
          <cell r="B10230" t="str">
            <v>14080300000654</v>
          </cell>
          <cell r="C10230" t="str">
            <v>HPC CCNR REFINANC.INTxCOB REV VIG       1ND</v>
          </cell>
        </row>
        <row r="10231">
          <cell r="B10231" t="str">
            <v>14080300000750</v>
          </cell>
          <cell r="C10231" t="str">
            <v>INTXCOB REPROGRAMACION TC CON           1ND</v>
          </cell>
        </row>
        <row r="10232">
          <cell r="B10232" t="str">
            <v>14080300000751</v>
          </cell>
          <cell r="C10232" t="str">
            <v>INTXCOB REPROGRAMACION TC CON           1ND</v>
          </cell>
        </row>
        <row r="10233">
          <cell r="B10233" t="str">
            <v>14080300000752</v>
          </cell>
          <cell r="C10233" t="str">
            <v>INTxCOB REPROGRAMACION TC VIG. CCRV     1ND</v>
          </cell>
        </row>
        <row r="10234">
          <cell r="B10234" t="str">
            <v>14080300000753</v>
          </cell>
          <cell r="C10234" t="str">
            <v>COMxCOB REPROGRAMACION TC VIG. CCRV     1ND</v>
          </cell>
        </row>
        <row r="10235">
          <cell r="B10235" t="str">
            <v>14080300000754</v>
          </cell>
          <cell r="C10235" t="str">
            <v>INTxCOB REPROGRAMACION TC VIG. CCNR     1ND</v>
          </cell>
        </row>
        <row r="10236">
          <cell r="B10236" t="str">
            <v>14080300000755</v>
          </cell>
          <cell r="C10236" t="str">
            <v>COMxCOB REPROGRAMACION TC VIG. CCNR     1ND</v>
          </cell>
        </row>
        <row r="10237">
          <cell r="B10237" t="str">
            <v>14080300002002</v>
          </cell>
          <cell r="C10237" t="str">
            <v>INT X COB EFECTIVO-EMPLEADOS            1ND</v>
          </cell>
        </row>
        <row r="10238">
          <cell r="B10238" t="str">
            <v>14080300002003</v>
          </cell>
          <cell r="C10238" t="str">
            <v>UIC INT X COB VIG CRED EMPLED VE        1ND</v>
          </cell>
        </row>
        <row r="10239">
          <cell r="B10239" t="str">
            <v>14080300002004</v>
          </cell>
          <cell r="C10239" t="str">
            <v>HPC INT.X COB.VIG EFEC C/GARANT.HIP.E   1ND</v>
          </cell>
        </row>
        <row r="10240">
          <cell r="B10240" t="str">
            <v>14080300002100</v>
          </cell>
          <cell r="C10240" t="str">
            <v>HPC INT X COB VIG EFECTIV               1ND</v>
          </cell>
        </row>
        <row r="10241">
          <cell r="B10241" t="str">
            <v>14080300002101</v>
          </cell>
          <cell r="C10241" t="str">
            <v>HPC INT X COB VIG VEHICULA              1ND</v>
          </cell>
        </row>
        <row r="10242">
          <cell r="B10242" t="str">
            <v>14080300002102</v>
          </cell>
          <cell r="C10242" t="str">
            <v>HPC INT X COB VIG.EMPLEADO VEHICULAR    1ND</v>
          </cell>
        </row>
        <row r="10243">
          <cell r="B10243" t="str">
            <v>14080300002103</v>
          </cell>
          <cell r="C10243" t="str">
            <v>HPC INT X COB VIG EMPLEADO EFECTIVO     1ND</v>
          </cell>
        </row>
        <row r="10244">
          <cell r="B10244" t="str">
            <v>14080300002104</v>
          </cell>
          <cell r="C10244" t="str">
            <v>HPC INT X COB  VIG  EFECTIVO            1ND</v>
          </cell>
        </row>
        <row r="10245">
          <cell r="B10245" t="str">
            <v>14080300002105</v>
          </cell>
          <cell r="C10245" t="str">
            <v>HPC INT X COB VIG VEH PROV REF. NRV     1ND</v>
          </cell>
        </row>
        <row r="10246">
          <cell r="B10246" t="str">
            <v>14080300002901</v>
          </cell>
          <cell r="C10246" t="str">
            <v>INT.XOTR CRED CONS - COMPRA DE DEUDA    1ND</v>
          </cell>
        </row>
        <row r="10247">
          <cell r="B10247" t="str">
            <v>14080300002902</v>
          </cell>
          <cell r="C10247" t="str">
            <v>BTC INT X COB VISA COMPRA REV VIG CCRV  1ND</v>
          </cell>
        </row>
        <row r="10248">
          <cell r="B10248" t="str">
            <v>14080300002903</v>
          </cell>
          <cell r="C10248" t="str">
            <v>BTC INTXCOB VISA COMPRA CUOTA VIG CCRV  1ND</v>
          </cell>
        </row>
        <row r="10249">
          <cell r="B10249" t="str">
            <v>14080300002904</v>
          </cell>
          <cell r="C10249" t="str">
            <v>BTC INT X COB VISA EXTRACASH VIG CCNR   1ND</v>
          </cell>
        </row>
        <row r="10250">
          <cell r="B10250" t="str">
            <v>14080300002905</v>
          </cell>
          <cell r="C10250" t="str">
            <v>HPC INT X COB CONV PRIVADO NRV VIG NORM 1ND</v>
          </cell>
        </row>
        <row r="10251">
          <cell r="B10251" t="str">
            <v>14080300002906</v>
          </cell>
          <cell r="C10251" t="str">
            <v>HPC MICROPRESTAMOS INT X COB VIG NORM   1 D</v>
          </cell>
        </row>
        <row r="10252">
          <cell r="B10252" t="str">
            <v>14080300002907</v>
          </cell>
          <cell r="C10252" t="str">
            <v>HPC INT X COB CONV PRIVADO NRV VIG NORM 1 D</v>
          </cell>
        </row>
        <row r="10253">
          <cell r="B10253" t="str">
            <v>14080400000301</v>
          </cell>
          <cell r="C10253" t="str">
            <v>HPC INT.X COB.VIG NUEVO MVV COFIDE      1ND</v>
          </cell>
        </row>
        <row r="10254">
          <cell r="B10254" t="str">
            <v>14080400000302</v>
          </cell>
          <cell r="C10254" t="str">
            <v>HPC INT.X COB.VIG HIPOT.TASA MIXTA RP   1ND</v>
          </cell>
        </row>
        <row r="10255">
          <cell r="B10255" t="str">
            <v>14080400000601</v>
          </cell>
          <cell r="C10255" t="str">
            <v>IC INT X COB? VIG CRED HIPOTECARIO      1ND</v>
          </cell>
        </row>
        <row r="10256">
          <cell r="B10256" t="str">
            <v>14080400000603</v>
          </cell>
          <cell r="C10256" t="str">
            <v>IC INT X COB VIG HIPOT BS ADJUDICA      1ND</v>
          </cell>
        </row>
        <row r="10257">
          <cell r="B10257" t="str">
            <v>14080400000609</v>
          </cell>
          <cell r="C10257" t="str">
            <v>IC INT X COBRAR VIG C.HIPOT BONOS       1ND</v>
          </cell>
        </row>
        <row r="10258">
          <cell r="B10258" t="str">
            <v>14080400000611</v>
          </cell>
          <cell r="C10258" t="str">
            <v>HPC INT.X COB.VIG HIPOT.RP              1ND</v>
          </cell>
        </row>
        <row r="10259">
          <cell r="B10259" t="str">
            <v>14080400000612</v>
          </cell>
          <cell r="C10259" t="str">
            <v>HPC INT.X COB.VIG HIP. RP. BONOS        1ND</v>
          </cell>
        </row>
        <row r="10260">
          <cell r="B10260" t="str">
            <v>14080400000613</v>
          </cell>
          <cell r="C10260" t="str">
            <v>HPC INT.X COB.VIG HIPOT.TRAD. FIN       1ND</v>
          </cell>
        </row>
        <row r="10261">
          <cell r="B10261" t="str">
            <v>14080400000614</v>
          </cell>
          <cell r="C10261" t="str">
            <v>HPC INT.X COB.VIG HIPOT.FINAN.PRO       1ND</v>
          </cell>
        </row>
        <row r="10262">
          <cell r="B10262" t="str">
            <v>14080400000615</v>
          </cell>
          <cell r="C10262" t="str">
            <v>HPC INT INDX VIG MIVIVIENDA             1ND</v>
          </cell>
        </row>
        <row r="10263">
          <cell r="B10263" t="str">
            <v>14080400002001</v>
          </cell>
          <cell r="C10263" t="str">
            <v>IC INTX COB CRED EMPLEAD HIPOTEC        1ND</v>
          </cell>
        </row>
        <row r="10264">
          <cell r="B10264" t="str">
            <v>14080400002002</v>
          </cell>
          <cell r="C10264" t="str">
            <v>CHI INT MI VIV EMPLEAD ME VIG           1ND</v>
          </cell>
        </row>
        <row r="10265">
          <cell r="B10265" t="str">
            <v>14080400002003</v>
          </cell>
          <cell r="C10265" t="str">
            <v>HPC INT.X COB.VIG RP EMPLEAD            1ND</v>
          </cell>
        </row>
        <row r="10266">
          <cell r="B10266" t="str">
            <v>14080400002310</v>
          </cell>
          <cell r="C10266" t="str">
            <v>HPC INT.X COB.VIG MI VIV COFIDE         1ND</v>
          </cell>
        </row>
        <row r="10267">
          <cell r="B10267" t="str">
            <v>14080400002311</v>
          </cell>
          <cell r="C10267" t="str">
            <v>HPC INT.X COB.VIG MI VIV COF EMPL       1ND</v>
          </cell>
        </row>
        <row r="10268">
          <cell r="B10268" t="str">
            <v>14080400002312</v>
          </cell>
          <cell r="C10268" t="str">
            <v>HPC INT.X COB.VIG TEC PROP COF          1ND</v>
          </cell>
        </row>
        <row r="10269">
          <cell r="B10269" t="str">
            <v>14080400002313</v>
          </cell>
          <cell r="C10269" t="str">
            <v>HPC INT.X COB.VIG MI HOGAR              1ND</v>
          </cell>
        </row>
        <row r="10270">
          <cell r="B10270" t="str">
            <v>14080400002314</v>
          </cell>
          <cell r="C10270" t="str">
            <v>HPC INT.X COB.VIG  MI HOGAR  EMPL       1ND</v>
          </cell>
        </row>
        <row r="10271">
          <cell r="B10271" t="str">
            <v>14080400002315</v>
          </cell>
          <cell r="C10271" t="str">
            <v>HPC INT.X COB.VIG  MI VIV REC PROP .E   1ND</v>
          </cell>
        </row>
        <row r="10272">
          <cell r="B10272" t="str">
            <v>14080400002401</v>
          </cell>
          <cell r="C10272" t="str">
            <v>HPC INT.X COB.VIG MI VIV REC PR         1ND</v>
          </cell>
        </row>
        <row r="10273">
          <cell r="B10273" t="str">
            <v>14080400002901</v>
          </cell>
          <cell r="C10273" t="str">
            <v>CHI INTERES CRED HIPOTEC VIG            1ND</v>
          </cell>
        </row>
        <row r="10274">
          <cell r="B10274" t="str">
            <v>14080400002902</v>
          </cell>
          <cell r="C10274" t="str">
            <v>CHI INT INDEX HIPOT REC PROP VIG .NCO   1ND</v>
          </cell>
        </row>
        <row r="10275">
          <cell r="B10275" t="str">
            <v>14080400002907</v>
          </cell>
          <cell r="C10275" t="str">
            <v>HPC INT.X COB.VIG HIP RP ADJUDIC        1ND</v>
          </cell>
        </row>
        <row r="10276">
          <cell r="B10276" t="str">
            <v>14080500000101</v>
          </cell>
          <cell r="C10276" t="str">
            <v>LPC INTXCOB PAGARE TV CBMD              1ND</v>
          </cell>
        </row>
        <row r="10277">
          <cell r="B10277" t="str">
            <v>14080500000102</v>
          </cell>
          <cell r="C10277" t="str">
            <v>LPC INT X COBRAR PAG TV  COFIDE CBMD    1ND</v>
          </cell>
        </row>
        <row r="10278">
          <cell r="B10278" t="str">
            <v>14080500000103</v>
          </cell>
          <cell r="C10278" t="str">
            <v>LPC INTXCOB PAG TV RP MED PLAZO         1ND</v>
          </cell>
        </row>
        <row r="10279">
          <cell r="B10279" t="str">
            <v>14080500000104</v>
          </cell>
          <cell r="C10279" t="str">
            <v>LPC INTXCOB PAG TV INMOBILIARIO         1ND</v>
          </cell>
        </row>
        <row r="10280">
          <cell r="B10280" t="str">
            <v>14080500000105</v>
          </cell>
          <cell r="C10280" t="str">
            <v>LPC INTXCOB PAG TV EUROS                1ND</v>
          </cell>
        </row>
        <row r="10281">
          <cell r="B10281" t="str">
            <v>14080500000201</v>
          </cell>
          <cell r="C10281" t="str">
            <v>CL INTXCOB TV CBMD                      1ND</v>
          </cell>
        </row>
        <row r="10282">
          <cell r="B10282" t="str">
            <v>14080500000301</v>
          </cell>
          <cell r="C10282" t="str">
            <v>IM INT X COBRAR  CTA CTE CBMD           1ND</v>
          </cell>
        </row>
        <row r="10283">
          <cell r="B10283" t="str">
            <v>14080500000302</v>
          </cell>
          <cell r="C10283" t="str">
            <v>FCD  FORFAITING EXPO INT.X COB.VIG NORM 1ND</v>
          </cell>
        </row>
        <row r="10284">
          <cell r="B10284" t="str">
            <v>14080500000401</v>
          </cell>
          <cell r="C10284" t="str">
            <v>TC INT X COB AMEX CDEUDA PAR VIG CBMD   1ND</v>
          </cell>
        </row>
        <row r="10285">
          <cell r="B10285" t="str">
            <v>14080500000402</v>
          </cell>
          <cell r="C10285" t="str">
            <v>TC INT X COB AMEX CDEUDA REV VIG CBMD   1ND</v>
          </cell>
        </row>
        <row r="10286">
          <cell r="B10286" t="str">
            <v>14080500000403</v>
          </cell>
          <cell r="C10286" t="str">
            <v>TC INT X COB AMEX COMPRA REV VIG CBMD   1ND</v>
          </cell>
        </row>
        <row r="10287">
          <cell r="B10287" t="str">
            <v>14080500000404</v>
          </cell>
          <cell r="C10287" t="str">
            <v>TC INT X COB AMEX D/E CUOTAS VIG CBMD   1ND</v>
          </cell>
        </row>
        <row r="10288">
          <cell r="B10288" t="str">
            <v>14080500000405</v>
          </cell>
          <cell r="C10288" t="str">
            <v>TC INT X COB AMEX D/E REV VIG CBMD      1ND</v>
          </cell>
        </row>
        <row r="10289">
          <cell r="B10289" t="str">
            <v>14080500000406</v>
          </cell>
          <cell r="C10289" t="str">
            <v>TC INT X COB AMEX EXTRACASH VIG CBMD    1ND</v>
          </cell>
        </row>
        <row r="10290">
          <cell r="B10290" t="str">
            <v>14080500000407</v>
          </cell>
          <cell r="C10290" t="str">
            <v>TC INT X COB AMEX REPROG PAR VIG CBMD   1ND</v>
          </cell>
        </row>
        <row r="10291">
          <cell r="B10291" t="str">
            <v>14080500000408</v>
          </cell>
          <cell r="C10291" t="str">
            <v>TC INT X COB AMEX REPROG REV VIG CBMD   1ND</v>
          </cell>
        </row>
        <row r="10292">
          <cell r="B10292" t="str">
            <v>14080500000409</v>
          </cell>
          <cell r="C10292" t="str">
            <v>TC INTXCOB AMEX COMPRA CUOTA VIG CBMD   1ND</v>
          </cell>
        </row>
        <row r="10293">
          <cell r="B10293" t="str">
            <v>14080500000410</v>
          </cell>
          <cell r="C10293" t="str">
            <v>TC INT X COB MC CDEUDA PAR VIG CBMD     1ND</v>
          </cell>
        </row>
        <row r="10294">
          <cell r="B10294" t="str">
            <v>14080500000411</v>
          </cell>
          <cell r="C10294" t="str">
            <v>TC INT X COB MC CDEUDA REV VIG CBMD     1ND</v>
          </cell>
        </row>
        <row r="10295">
          <cell r="B10295" t="str">
            <v>14080500000412</v>
          </cell>
          <cell r="C10295" t="str">
            <v>TC INT X COB MC COMPRA REV VIG CBMD     1ND</v>
          </cell>
        </row>
        <row r="10296">
          <cell r="B10296" t="str">
            <v>14080500000413</v>
          </cell>
          <cell r="C10296" t="str">
            <v>TC INT X COB MC D/E CUOTAS VIG CBMD     1ND</v>
          </cell>
        </row>
        <row r="10297">
          <cell r="B10297" t="str">
            <v>14080500000414</v>
          </cell>
          <cell r="C10297" t="str">
            <v>TC INT X COB MC D/E REV VIG CBMD        1ND</v>
          </cell>
        </row>
        <row r="10298">
          <cell r="B10298" t="str">
            <v>14080500000415</v>
          </cell>
          <cell r="C10298" t="str">
            <v>TC INT X COB MC EXTRACASH VIG CBMD      1ND</v>
          </cell>
        </row>
        <row r="10299">
          <cell r="B10299" t="str">
            <v>14080500000416</v>
          </cell>
          <cell r="C10299" t="str">
            <v>TC INT X COB MC REPROG PAR VIG CBMD     1ND</v>
          </cell>
        </row>
        <row r="10300">
          <cell r="B10300" t="str">
            <v>14080500000417</v>
          </cell>
          <cell r="C10300" t="str">
            <v>TC INT X COB MC REPROG REV VIG CBMD     1ND</v>
          </cell>
        </row>
        <row r="10301">
          <cell r="B10301" t="str">
            <v>14080500000418</v>
          </cell>
          <cell r="C10301" t="str">
            <v>TC INTXCOB MC COMPRA CUOTA VIG CBMD     1ND</v>
          </cell>
        </row>
        <row r="10302">
          <cell r="B10302" t="str">
            <v>14080500000419</v>
          </cell>
          <cell r="C10302" t="str">
            <v>TC INT X COB VISA CDEUDA PAR VIG CBMD   1ND</v>
          </cell>
        </row>
        <row r="10303">
          <cell r="B10303" t="str">
            <v>14080500000420</v>
          </cell>
          <cell r="C10303" t="str">
            <v>TC INT X COB VISA CDEUDA REV VIG CBMD   1ND</v>
          </cell>
        </row>
        <row r="10304">
          <cell r="B10304" t="str">
            <v>14080500000421</v>
          </cell>
          <cell r="C10304" t="str">
            <v>TC INT X COB VISA COMPRA REV VIG CBMD   1ND</v>
          </cell>
        </row>
        <row r="10305">
          <cell r="B10305" t="str">
            <v>14080500000422</v>
          </cell>
          <cell r="C10305" t="str">
            <v>TC INT X COB VISA D/E CUOTAS VIG CBMD   1ND</v>
          </cell>
        </row>
        <row r="10306">
          <cell r="B10306" t="str">
            <v>14080500000423</v>
          </cell>
          <cell r="C10306" t="str">
            <v>TC INT X COB VISA D/E REV VIG CBMD      1ND</v>
          </cell>
        </row>
        <row r="10307">
          <cell r="B10307" t="str">
            <v>14080500000424</v>
          </cell>
          <cell r="C10307" t="str">
            <v>TC INT X COB VISA EXTRACASH VIG CBMD    1ND</v>
          </cell>
        </row>
        <row r="10308">
          <cell r="B10308" t="str">
            <v>14080500000425</v>
          </cell>
          <cell r="C10308" t="str">
            <v>TC INT X COB VISA REPROG PAR VIG CBMD   1ND</v>
          </cell>
        </row>
        <row r="10309">
          <cell r="B10309" t="str">
            <v>14080500000426</v>
          </cell>
          <cell r="C10309" t="str">
            <v>TC INT X COB VISA REPROG REV VIG CBMD   1ND</v>
          </cell>
        </row>
        <row r="10310">
          <cell r="B10310" t="str">
            <v>14080500000427</v>
          </cell>
          <cell r="C10310" t="str">
            <v>TC INTXCOB VISA COMPRA CUOTA VIG CBMD   1ND</v>
          </cell>
        </row>
        <row r="10311">
          <cell r="B10311" t="str">
            <v>14080500000432</v>
          </cell>
          <cell r="C10311" t="str">
            <v>LPC REACTIVA PERU VIG CBMD\NORM         1ND</v>
          </cell>
        </row>
        <row r="10312">
          <cell r="B10312" t="str">
            <v>14080500000433</v>
          </cell>
          <cell r="C10312" t="str">
            <v>LPC COFIDE FONDOS PERU VIG CBMD\NORM    1ND</v>
          </cell>
        </row>
        <row r="10313">
          <cell r="B10313" t="str">
            <v>14080500000434</v>
          </cell>
          <cell r="C10313" t="str">
            <v>LPC COFIDE FONDO CRECER VIG CBMD\NORM   1ND</v>
          </cell>
        </row>
        <row r="10314">
          <cell r="B10314" t="str">
            <v>14080500000435</v>
          </cell>
          <cell r="C10314" t="str">
            <v>LPC REACTIVA PERU VIG CBMD\NORM         1ND</v>
          </cell>
        </row>
        <row r="10315">
          <cell r="B10315" t="str">
            <v>14080600000101</v>
          </cell>
          <cell r="C10315" t="str">
            <v>LPC INTXCOB PAGARE TV CSOB              1ND</v>
          </cell>
        </row>
        <row r="10316">
          <cell r="B10316" t="str">
            <v>14080600000102</v>
          </cell>
          <cell r="C10316" t="str">
            <v>LPC INT X COBRAR PAG TV  COFIDE CSOB    1ND</v>
          </cell>
        </row>
        <row r="10317">
          <cell r="B10317" t="str">
            <v>14080600000103</v>
          </cell>
          <cell r="C10317" t="str">
            <v>LPC INTXCOB PAG TV RP MED PLAZO         1ND</v>
          </cell>
        </row>
        <row r="10318">
          <cell r="B10318" t="str">
            <v>14080600000104</v>
          </cell>
          <cell r="C10318" t="str">
            <v>LPC INTXCOB PAG TV INMOBILIARIO         1ND</v>
          </cell>
        </row>
        <row r="10319">
          <cell r="B10319" t="str">
            <v>14080600000105</v>
          </cell>
          <cell r="C10319" t="str">
            <v>LPC INTXCOB PAG TV EUROS                1ND</v>
          </cell>
        </row>
        <row r="10320">
          <cell r="B10320" t="str">
            <v>14080600000201</v>
          </cell>
          <cell r="C10320" t="str">
            <v>CL INTXCOB TV CSOB                      1ND</v>
          </cell>
        </row>
        <row r="10321">
          <cell r="B10321" t="str">
            <v>14080600000301</v>
          </cell>
          <cell r="C10321" t="str">
            <v>IM INT X COBRAR  CTA CTE CSOB           1ND</v>
          </cell>
        </row>
        <row r="10322">
          <cell r="B10322" t="str">
            <v>14080600000401</v>
          </cell>
          <cell r="C10322" t="str">
            <v>TC INT X COB AMEX CDEUDA PAR VIG CSOB   1ND</v>
          </cell>
        </row>
        <row r="10323">
          <cell r="B10323" t="str">
            <v>14080600000402</v>
          </cell>
          <cell r="C10323" t="str">
            <v>TC INT X COB AMEX CDEUDA REV VIG CSOB   1ND</v>
          </cell>
        </row>
        <row r="10324">
          <cell r="B10324" t="str">
            <v>14080600000403</v>
          </cell>
          <cell r="C10324" t="str">
            <v>TC INT X COB AMEX COMPRA REV VIG CSOB   1ND</v>
          </cell>
        </row>
        <row r="10325">
          <cell r="B10325" t="str">
            <v>14080600000404</v>
          </cell>
          <cell r="C10325" t="str">
            <v>TC INT X COB AMEX D/E CUOTAS VIG CSOB   1ND</v>
          </cell>
        </row>
        <row r="10326">
          <cell r="B10326" t="str">
            <v>14080600000405</v>
          </cell>
          <cell r="C10326" t="str">
            <v>TC INT X COB AMEX D/E REV VIG CSOB      1ND</v>
          </cell>
        </row>
        <row r="10327">
          <cell r="B10327" t="str">
            <v>14080600000406</v>
          </cell>
          <cell r="C10327" t="str">
            <v>TC INT X COB AMEX EXTRACASH VIG CSOB    1ND</v>
          </cell>
        </row>
        <row r="10328">
          <cell r="B10328" t="str">
            <v>14080600000407</v>
          </cell>
          <cell r="C10328" t="str">
            <v>TC INT X COB AMEX REPROG PAR VIG CSOB   1ND</v>
          </cell>
        </row>
        <row r="10329">
          <cell r="B10329" t="str">
            <v>14080600000408</v>
          </cell>
          <cell r="C10329" t="str">
            <v>TC INT X COB AMEX REPROG REV VIG CSOB   1ND</v>
          </cell>
        </row>
        <row r="10330">
          <cell r="B10330" t="str">
            <v>14080600000409</v>
          </cell>
          <cell r="C10330" t="str">
            <v>TC INTXCOB AMEX COMPRA CUOTA VIG CSOB   1ND</v>
          </cell>
        </row>
        <row r="10331">
          <cell r="B10331" t="str">
            <v>14080600000410</v>
          </cell>
          <cell r="C10331" t="str">
            <v>TC INT X COB MC CDEUDA PAR VIG CSOB     1ND</v>
          </cell>
        </row>
        <row r="10332">
          <cell r="B10332" t="str">
            <v>14080600000411</v>
          </cell>
          <cell r="C10332" t="str">
            <v>TC INT X COB MC CDEUDA REV VIG CSOB     1ND</v>
          </cell>
        </row>
        <row r="10333">
          <cell r="B10333" t="str">
            <v>14080600000412</v>
          </cell>
          <cell r="C10333" t="str">
            <v>TC INT X COB MC COMPRA REV VIG CSOB     1ND</v>
          </cell>
        </row>
        <row r="10334">
          <cell r="B10334" t="str">
            <v>14080600000413</v>
          </cell>
          <cell r="C10334" t="str">
            <v>TC INT X COB MC D/E CUOTAS VIG CSOB     1ND</v>
          </cell>
        </row>
        <row r="10335">
          <cell r="B10335" t="str">
            <v>14080600000414</v>
          </cell>
          <cell r="C10335" t="str">
            <v>TC INT X COB MC D/E REV VIG CSOB        1ND</v>
          </cell>
        </row>
        <row r="10336">
          <cell r="B10336" t="str">
            <v>14080600000415</v>
          </cell>
          <cell r="C10336" t="str">
            <v>TC INT X COB MC EXTRACASH VIG CSOB      1ND</v>
          </cell>
        </row>
        <row r="10337">
          <cell r="B10337" t="str">
            <v>14080600000416</v>
          </cell>
          <cell r="C10337" t="str">
            <v>TC INT X COB MC REPROG PAR VIG CSOB     1ND</v>
          </cell>
        </row>
        <row r="10338">
          <cell r="B10338" t="str">
            <v>14080600000417</v>
          </cell>
          <cell r="C10338" t="str">
            <v>TC INT X COB MC REPROG REV VIG CSOB     1ND</v>
          </cell>
        </row>
        <row r="10339">
          <cell r="B10339" t="str">
            <v>14080600000418</v>
          </cell>
          <cell r="C10339" t="str">
            <v>TC INTXCOB MC COMPRA CUOTA VIG CSOB     1ND</v>
          </cell>
        </row>
        <row r="10340">
          <cell r="B10340" t="str">
            <v>14080600000419</v>
          </cell>
          <cell r="C10340" t="str">
            <v>TC INT X COB VISA CDEUDA PAR VIG CSOB   1ND</v>
          </cell>
        </row>
        <row r="10341">
          <cell r="B10341" t="str">
            <v>14080600000420</v>
          </cell>
          <cell r="C10341" t="str">
            <v>TC INT X COB VISA CDEUDA REV VIG CSOB   1ND</v>
          </cell>
        </row>
        <row r="10342">
          <cell r="B10342" t="str">
            <v>14080600000421</v>
          </cell>
          <cell r="C10342" t="str">
            <v>TC INT X COB VISA COMPRA REV VIG CSOB   1ND</v>
          </cell>
        </row>
        <row r="10343">
          <cell r="B10343" t="str">
            <v>14080600000422</v>
          </cell>
          <cell r="C10343" t="str">
            <v>TC INT X COB VISA D/E CUOTAS VIG CSOB   1ND</v>
          </cell>
        </row>
        <row r="10344">
          <cell r="B10344" t="str">
            <v>14080600000423</v>
          </cell>
          <cell r="C10344" t="str">
            <v>TC INT X COB VISA D/E REV VIG CSOB      1ND</v>
          </cell>
        </row>
        <row r="10345">
          <cell r="B10345" t="str">
            <v>14080600000424</v>
          </cell>
          <cell r="C10345" t="str">
            <v>TC INT X COB VISA EXTRACASH VIG CSOB    1ND</v>
          </cell>
        </row>
        <row r="10346">
          <cell r="B10346" t="str">
            <v>14080600000425</v>
          </cell>
          <cell r="C10346" t="str">
            <v>TC INT X COB VISA REPROG PAR VIG CSOB   1ND</v>
          </cell>
        </row>
        <row r="10347">
          <cell r="B10347" t="str">
            <v>14080600000426</v>
          </cell>
          <cell r="C10347" t="str">
            <v>TC INT X COB VISA REPROG REV VIG CSOB   1ND</v>
          </cell>
        </row>
        <row r="10348">
          <cell r="B10348" t="str">
            <v>14080600000427</v>
          </cell>
          <cell r="C10348" t="str">
            <v>TC INTXCOB VISA COMPRA CUOTA VIG CSOB   1ND</v>
          </cell>
        </row>
        <row r="10349">
          <cell r="B10349" t="str">
            <v>14080600000428</v>
          </cell>
          <cell r="C10349" t="str">
            <v>INT X COB  TC-COMERCIAL CSOB            1ND</v>
          </cell>
        </row>
        <row r="10350">
          <cell r="B10350" t="str">
            <v>14080600000433</v>
          </cell>
          <cell r="C10350" t="str">
            <v>LPC REACTIVA PERU VIG CSOB\NORM         1ND</v>
          </cell>
        </row>
        <row r="10351">
          <cell r="B10351" t="str">
            <v>14080600000434</v>
          </cell>
          <cell r="C10351" t="str">
            <v>LPC COFIDE FONDOS PERU VIG CSOB\NORM    1ND</v>
          </cell>
        </row>
        <row r="10352">
          <cell r="B10352" t="str">
            <v>14080600000435</v>
          </cell>
          <cell r="C10352" t="str">
            <v>LPC COFIDE FONDO CRECER VIG CSOB\NORM   1ND</v>
          </cell>
        </row>
        <row r="10353">
          <cell r="B10353" t="str">
            <v>14080600000436</v>
          </cell>
          <cell r="C10353" t="str">
            <v>LPC REACTIVA PERU VIG CSOB\NORM         1ND</v>
          </cell>
        </row>
        <row r="10354">
          <cell r="B10354" t="str">
            <v>14080700000101</v>
          </cell>
          <cell r="C10354" t="str">
            <v>LPC INTXCOB PAGARE TV CESP              1ND</v>
          </cell>
        </row>
        <row r="10355">
          <cell r="B10355" t="str">
            <v>14080700000102</v>
          </cell>
          <cell r="C10355" t="str">
            <v>LPC INT X COBRAR PAG TV COFIDE CESP     1ND</v>
          </cell>
        </row>
        <row r="10356">
          <cell r="B10356" t="str">
            <v>14080700000103</v>
          </cell>
          <cell r="C10356" t="str">
            <v>LPC INTXCOB PAG TV RP MED PLAZO         1ND</v>
          </cell>
        </row>
        <row r="10357">
          <cell r="B10357" t="str">
            <v>14080700000104</v>
          </cell>
          <cell r="C10357" t="str">
            <v>LPC INT SUSP PAG TV RP MED PLAZO D/P    1ND</v>
          </cell>
        </row>
        <row r="10358">
          <cell r="B10358" t="str">
            <v>14080700000105</v>
          </cell>
          <cell r="C10358" t="str">
            <v>LPC INTXCOB PAG TV INMOBILIARIO         1ND</v>
          </cell>
        </row>
        <row r="10359">
          <cell r="B10359" t="str">
            <v>14080700000106</v>
          </cell>
          <cell r="C10359" t="str">
            <v>LPC INTXCOB PAG TV INMOBILIARIO D/P     1ND</v>
          </cell>
        </row>
        <row r="10360">
          <cell r="B10360" t="str">
            <v>14080700000107</v>
          </cell>
          <cell r="C10360" t="str">
            <v>LPC INTXCOB FINANC PRE EMBARQUE         1ND</v>
          </cell>
        </row>
        <row r="10361">
          <cell r="B10361" t="str">
            <v>14080700000108</v>
          </cell>
          <cell r="C10361" t="str">
            <v>LPC INTXCOB PAG TV EUROS                1ND</v>
          </cell>
        </row>
        <row r="10362">
          <cell r="B10362" t="str">
            <v>14080700000109</v>
          </cell>
          <cell r="C10362" t="str">
            <v>LPC CTA X COB INT DIFER LS BIEN CESP    1ND</v>
          </cell>
        </row>
        <row r="10363">
          <cell r="B10363" t="str">
            <v>14080700000110</v>
          </cell>
          <cell r="C10363" t="str">
            <v>LPC CTA XCOBRAR INT DIF SEG CESP        1ND</v>
          </cell>
        </row>
        <row r="10364">
          <cell r="B10364" t="str">
            <v>14080700000111</v>
          </cell>
          <cell r="C10364" t="str">
            <v>LPC INTXCOB FINANC PRE EMBARQUE-SEPYMEX 1ND</v>
          </cell>
        </row>
        <row r="10365">
          <cell r="B10365" t="str">
            <v>14080700000112</v>
          </cell>
          <cell r="C10365" t="str">
            <v>LPC AVA CUENT  INT X COB CESP           1ND</v>
          </cell>
        </row>
        <row r="10366">
          <cell r="B10366" t="str">
            <v>14080700000201</v>
          </cell>
          <cell r="C10366" t="str">
            <v>PR INTXCOB LETRAS  DSCTO  CESP          1ND</v>
          </cell>
        </row>
        <row r="10367">
          <cell r="B10367" t="str">
            <v>14080700000202</v>
          </cell>
          <cell r="C10367" t="str">
            <v>PR DSCTO ELECTR SM PERU I.VIG CCOR      1ND</v>
          </cell>
        </row>
        <row r="10368">
          <cell r="B10368" t="str">
            <v>14080700000203</v>
          </cell>
          <cell r="C10368" t="str">
            <v>PR CTA.X COB (UTILIDAD) COMP.VTO.15D CES1ND</v>
          </cell>
        </row>
        <row r="10369">
          <cell r="B10369" t="str">
            <v>14080700000204</v>
          </cell>
          <cell r="C10369" t="str">
            <v>PR CTA.X COBRAR (UTILIDAD) DIFERIDO CESP1ND</v>
          </cell>
        </row>
        <row r="10370">
          <cell r="B10370" t="str">
            <v>14080700000205</v>
          </cell>
          <cell r="C10370" t="str">
            <v>PR CTAXCOB (UTIL)FACT.FACTORING COMP. CE1ND</v>
          </cell>
        </row>
        <row r="10371">
          <cell r="B10371" t="str">
            <v>14080700000206</v>
          </cell>
          <cell r="C10371" t="str">
            <v>PR CTA.X COB (UTIL)FACT.FACTORING DIF CE1ND</v>
          </cell>
        </row>
        <row r="10372">
          <cell r="B10372" t="str">
            <v>14080700000207</v>
          </cell>
          <cell r="C10372" t="str">
            <v>FCD  FACT ELECTR LET/FACT I.COMPENS CESP1ND</v>
          </cell>
        </row>
        <row r="10373">
          <cell r="B10373" t="str">
            <v>14080700000208</v>
          </cell>
          <cell r="C10373" t="str">
            <v>PR FACT ELECTR LET/FACT I.DIF CESP      1ND</v>
          </cell>
        </row>
        <row r="10374">
          <cell r="B10374" t="str">
            <v>14080700000209</v>
          </cell>
          <cell r="C10374" t="str">
            <v>PR FACT INTERN INT GANAD VIG CESP       1ND</v>
          </cell>
        </row>
        <row r="10375">
          <cell r="B10375" t="str">
            <v>14080700000210</v>
          </cell>
          <cell r="C10375" t="str">
            <v>PR PERU FACTORING INT COMPENS CESP      1ND</v>
          </cell>
        </row>
        <row r="10376">
          <cell r="B10376" t="str">
            <v>14080700000211</v>
          </cell>
          <cell r="C10376" t="str">
            <v>PR PERU FACTORING INT.DIF CESP          1ND</v>
          </cell>
        </row>
        <row r="10377">
          <cell r="B10377" t="str">
            <v>14080700000212</v>
          </cell>
          <cell r="C10377" t="str">
            <v>PR FORFAITING EXPORTACIÃ“N X COBRAR VIG 1ND</v>
          </cell>
        </row>
        <row r="10378">
          <cell r="B10378" t="str">
            <v>14080700000213</v>
          </cell>
          <cell r="C10378" t="str">
            <v>FCD DESC. VIRTUAL I. COMP.VIG. CESP NORM1ND</v>
          </cell>
        </row>
        <row r="10379">
          <cell r="B10379" t="str">
            <v>14080700000214</v>
          </cell>
          <cell r="C10379" t="str">
            <v>FACT INTER IMPORT   COMP.VIG. CESP NORMA1ND</v>
          </cell>
        </row>
        <row r="10380">
          <cell r="B10380" t="str">
            <v>14080700000301</v>
          </cell>
          <cell r="C10380" t="str">
            <v>LPC INT X COBRAR EX PRE EM RP CESP      1ND</v>
          </cell>
        </row>
        <row r="10381">
          <cell r="B10381" t="str">
            <v>14080700000302</v>
          </cell>
          <cell r="C10381" t="str">
            <v>LPC INT X COB EX POST EMB RP CESP       1ND</v>
          </cell>
        </row>
        <row r="10382">
          <cell r="B10382" t="str">
            <v>14080700000303</v>
          </cell>
          <cell r="C10382" t="str">
            <v>LPC INTXCOB WORK CAP.EX PRE EMB. CESP   1ND</v>
          </cell>
        </row>
        <row r="10383">
          <cell r="B10383" t="str">
            <v>14080700000304</v>
          </cell>
          <cell r="C10383" t="str">
            <v>LPC INTXCOB PRE EMBARQUE VIG.NORM CESP  1ND</v>
          </cell>
        </row>
        <row r="10384">
          <cell r="B10384" t="str">
            <v>14080700000305</v>
          </cell>
          <cell r="C10384" t="str">
            <v>LPC INTXCOB POST EMBARQUE VIG.NORM CESP 1ND</v>
          </cell>
        </row>
        <row r="10385">
          <cell r="B10385" t="str">
            <v>14080700000306</v>
          </cell>
          <cell r="C10385" t="str">
            <v>LPC INTXCOB IMPORT. CARTA CREDITO  VIG.N1ND</v>
          </cell>
        </row>
        <row r="10386">
          <cell r="B10386" t="str">
            <v>14080700000307</v>
          </cell>
          <cell r="C10386" t="str">
            <v>LPC INTXCOB IMPORT.  VIG.NORM CESP      1ND</v>
          </cell>
        </row>
        <row r="10387">
          <cell r="B10387" t="str">
            <v>14080700000308</v>
          </cell>
          <cell r="C10387" t="str">
            <v>LPC P.TSA.DSCTO.INT.X COB.VIG CESP      1ND</v>
          </cell>
        </row>
        <row r="10388">
          <cell r="B10388" t="str">
            <v>14080700000401</v>
          </cell>
          <cell r="C10388" t="str">
            <v>INT X COB TC-COMERCIAL CESP             1ND</v>
          </cell>
        </row>
        <row r="10389">
          <cell r="B10389" t="str">
            <v>14080700000402</v>
          </cell>
          <cell r="C10389" t="str">
            <v>COM X COB TC IBKVISA COMERC CESP        1ND</v>
          </cell>
        </row>
        <row r="10390">
          <cell r="B10390" t="str">
            <v>14080700000403</v>
          </cell>
          <cell r="C10390" t="str">
            <v>INT X COB TC-COMERC MC CESP             1ND</v>
          </cell>
        </row>
        <row r="10391">
          <cell r="B10391" t="str">
            <v>14080700000404</v>
          </cell>
          <cell r="C10391" t="str">
            <v>COM X COB TC COMERC MC CESP             1ND</v>
          </cell>
        </row>
        <row r="10392">
          <cell r="B10392" t="str">
            <v>14080700000501</v>
          </cell>
          <cell r="C10392" t="str">
            <v>CL INTXCOB PAG DSCTO CESP               1ND</v>
          </cell>
        </row>
        <row r="10393">
          <cell r="B10393" t="str">
            <v>14080700000502</v>
          </cell>
          <cell r="C10393" t="str">
            <v>CL INTXCOB TV CESP                      1ND</v>
          </cell>
        </row>
        <row r="10394">
          <cell r="B10394" t="str">
            <v>14080700000503</v>
          </cell>
          <cell r="C10394" t="str">
            <v>CL INT X COBRAR PREST COFIDE CESP       1ND</v>
          </cell>
        </row>
        <row r="10395">
          <cell r="B10395" t="str">
            <v>14080700000504</v>
          </cell>
          <cell r="C10395" t="str">
            <v>CL INT COB CXL  ACEPT.BKT INT CESP      1ND</v>
          </cell>
        </row>
        <row r="10396">
          <cell r="B10396" t="str">
            <v>14080700000505</v>
          </cell>
          <cell r="C10396" t="str">
            <v>CL INT COB CXL AVAL ACEPT.BKT INT CESP  1ND</v>
          </cell>
        </row>
        <row r="10397">
          <cell r="B10397" t="str">
            <v>14080700000506</v>
          </cell>
          <cell r="C10397" t="str">
            <v>CL INT COB CXL CC AVAL BKT INT CPEM     1ND</v>
          </cell>
        </row>
        <row r="10398">
          <cell r="B10398" t="str">
            <v>14080700000507</v>
          </cell>
          <cell r="C10398" t="str">
            <v>CL INTXCOB CXL CC CAR CRED VISTA CESP   1ND</v>
          </cell>
        </row>
        <row r="10399">
          <cell r="B10399" t="str">
            <v>14080700000508</v>
          </cell>
          <cell r="C10399" t="str">
            <v>CL INTXCOB CXL  STAND BY CESP           1ND</v>
          </cell>
        </row>
        <row r="10400">
          <cell r="B10400" t="str">
            <v>14080700000509</v>
          </cell>
          <cell r="C10400" t="str">
            <v>CL INTXCOB CXL  COB AVAL CESP           1ND</v>
          </cell>
        </row>
        <row r="10401">
          <cell r="B10401" t="str">
            <v>14080700000510</v>
          </cell>
          <cell r="C10401" t="str">
            <v>CL EX FACTORING FORFAITING INT.VIG CESP 1ND</v>
          </cell>
        </row>
        <row r="10402">
          <cell r="B10402" t="str">
            <v>14080700000511</v>
          </cell>
          <cell r="C10402" t="str">
            <v>CL INT.X COB.CRED.POR LIQ. CARTA FIANZA 1ND</v>
          </cell>
        </row>
        <row r="10403">
          <cell r="B10403" t="str">
            <v>14080700000512</v>
          </cell>
          <cell r="C10403" t="str">
            <v>CL INT X COB PAG IMPOR CESP             1ND</v>
          </cell>
        </row>
        <row r="10404">
          <cell r="B10404" t="str">
            <v>14080700000601</v>
          </cell>
          <cell r="C10404" t="str">
            <v>CL INTXCOB PAG.TV NEG.INMOB VIG CESP    1ND</v>
          </cell>
        </row>
        <row r="10405">
          <cell r="B10405" t="str">
            <v>14080700000610</v>
          </cell>
          <cell r="C10405" t="str">
            <v>CL EX FORFAITING INT.VIG CESP           1ND</v>
          </cell>
        </row>
        <row r="10406">
          <cell r="B10406" t="str">
            <v>14080700000611</v>
          </cell>
          <cell r="C10406" t="str">
            <v>CL  CONFIRMING INTER INT.VIG CESP       1ND</v>
          </cell>
        </row>
        <row r="10407">
          <cell r="B10407" t="str">
            <v>14080700000612</v>
          </cell>
          <cell r="C10407" t="str">
            <v>CL CAR CRED VIST Int VIG CESP           1ND</v>
          </cell>
        </row>
        <row r="10408">
          <cell r="B10408" t="str">
            <v>14080700000701</v>
          </cell>
          <cell r="C10408" t="str">
            <v>COM X COB TC-COMERC AMEX CESP           1ND</v>
          </cell>
        </row>
        <row r="10409">
          <cell r="B10409" t="str">
            <v>14080700000702</v>
          </cell>
          <cell r="C10409" t="str">
            <v>COM X COB TC-COMERC VEA CESP            1ND</v>
          </cell>
        </row>
        <row r="10410">
          <cell r="B10410" t="str">
            <v>14080700000703</v>
          </cell>
          <cell r="C10410" t="str">
            <v>INT X COB  TC-COMERC VEA CESP           1ND</v>
          </cell>
        </row>
        <row r="10411">
          <cell r="B10411" t="str">
            <v>14080700000704</v>
          </cell>
          <cell r="C10411" t="str">
            <v>INT X COB  TC-COMERCIAL AMEX CESP       1ND</v>
          </cell>
        </row>
        <row r="10412">
          <cell r="B10412" t="str">
            <v>14080700000801</v>
          </cell>
          <cell r="C10412" t="str">
            <v>IM INT X COBRAR  CTA CTE CESP           1ND</v>
          </cell>
        </row>
        <row r="10413">
          <cell r="B10413" t="str">
            <v>14080700000901</v>
          </cell>
          <cell r="C10413" t="str">
            <v>TC INT X COB AMEX CDEUDA PAR VIG CESP   1ND</v>
          </cell>
        </row>
        <row r="10414">
          <cell r="B10414" t="str">
            <v>14080700000902</v>
          </cell>
          <cell r="C10414" t="str">
            <v>TC INT X COB AMEX CDEUDA REV VIG CESP   1ND</v>
          </cell>
        </row>
        <row r="10415">
          <cell r="B10415" t="str">
            <v>14080700000903</v>
          </cell>
          <cell r="C10415" t="str">
            <v>TC INT X COB AMEX COMPRA REV VIG CESP   1ND</v>
          </cell>
        </row>
        <row r="10416">
          <cell r="B10416" t="str">
            <v>14080700000904</v>
          </cell>
          <cell r="C10416" t="str">
            <v>TC INT X COB AMEX D/E CUOTAS VIG CESP   1ND</v>
          </cell>
        </row>
        <row r="10417">
          <cell r="B10417" t="str">
            <v>14080700000905</v>
          </cell>
          <cell r="C10417" t="str">
            <v>TC INT X COB AMEX D/E REV VIG CESP      1ND</v>
          </cell>
        </row>
        <row r="10418">
          <cell r="B10418" t="str">
            <v>14080700000906</v>
          </cell>
          <cell r="C10418" t="str">
            <v>TC INT X COB AMEX EXTRACASH VIG CESP    1ND</v>
          </cell>
        </row>
        <row r="10419">
          <cell r="B10419" t="str">
            <v>14080700000907</v>
          </cell>
          <cell r="C10419" t="str">
            <v>TC INT X COB AMEX REPROG PAR VIG CESP   1ND</v>
          </cell>
        </row>
        <row r="10420">
          <cell r="B10420" t="str">
            <v>14080700000908</v>
          </cell>
          <cell r="C10420" t="str">
            <v>TC INT X COB AMEX REPROG REV VIG CESP   1ND</v>
          </cell>
        </row>
        <row r="10421">
          <cell r="B10421" t="str">
            <v>14080700000909</v>
          </cell>
          <cell r="C10421" t="str">
            <v>TC INTXCOB AMEX COMPRA CUOTA VIG CESP   1ND</v>
          </cell>
        </row>
        <row r="10422">
          <cell r="B10422" t="str">
            <v>14080700000910</v>
          </cell>
          <cell r="C10422" t="str">
            <v>TC INT X COB MC CDEUDA PAR VIG CESP     1ND</v>
          </cell>
        </row>
        <row r="10423">
          <cell r="B10423" t="str">
            <v>14080700000911</v>
          </cell>
          <cell r="C10423" t="str">
            <v>TC INT X COB MC CDEUDA REV VIG CESP     1ND</v>
          </cell>
        </row>
        <row r="10424">
          <cell r="B10424" t="str">
            <v>14080700000912</v>
          </cell>
          <cell r="C10424" t="str">
            <v>TC INT X COB MC COMPRA REV VIG CESP     1ND</v>
          </cell>
        </row>
        <row r="10425">
          <cell r="B10425" t="str">
            <v>14080700000913</v>
          </cell>
          <cell r="C10425" t="str">
            <v>TC INT X COB MC D/E CUOTAS VIG CESP     1ND</v>
          </cell>
        </row>
        <row r="10426">
          <cell r="B10426" t="str">
            <v>14080700000914</v>
          </cell>
          <cell r="C10426" t="str">
            <v>TC INT X COB MC D/E REV VIG CESP        1ND</v>
          </cell>
        </row>
        <row r="10427">
          <cell r="B10427" t="str">
            <v>14080700000915</v>
          </cell>
          <cell r="C10427" t="str">
            <v>TC INT X COB MC EXTRACASH VIG CESP      1ND</v>
          </cell>
        </row>
        <row r="10428">
          <cell r="B10428" t="str">
            <v>14080700000916</v>
          </cell>
          <cell r="C10428" t="str">
            <v>TC INT X COB MC REPROG PAR VIG CESP     1ND</v>
          </cell>
        </row>
        <row r="10429">
          <cell r="B10429" t="str">
            <v>14080700000917</v>
          </cell>
          <cell r="C10429" t="str">
            <v>TC INT X COB MC REPROG REV VIG CESP     1ND</v>
          </cell>
        </row>
        <row r="10430">
          <cell r="B10430" t="str">
            <v>14080700000918</v>
          </cell>
          <cell r="C10430" t="str">
            <v>TC INTXCOB MC COMPRA CUOTA VIG CESP     1ND</v>
          </cell>
        </row>
        <row r="10431">
          <cell r="B10431" t="str">
            <v>14080700000919</v>
          </cell>
          <cell r="C10431" t="str">
            <v>TC INT X COB VISA CDEUDA PAR VIG CESP   1ND</v>
          </cell>
        </row>
        <row r="10432">
          <cell r="B10432" t="str">
            <v>14080700000920</v>
          </cell>
          <cell r="C10432" t="str">
            <v>TC INT X COB VISA CDEUDA REV VIG CESP   1ND</v>
          </cell>
        </row>
        <row r="10433">
          <cell r="B10433" t="str">
            <v>14080700000921</v>
          </cell>
          <cell r="C10433" t="str">
            <v>TC INT X COB VISA COMPRA REV VIG CESP   1ND</v>
          </cell>
        </row>
        <row r="10434">
          <cell r="B10434" t="str">
            <v>14080700000922</v>
          </cell>
          <cell r="C10434" t="str">
            <v>TC INT X COB VISA D/E CUOTAS VIG CESP   1ND</v>
          </cell>
        </row>
        <row r="10435">
          <cell r="B10435" t="str">
            <v>14080700000923</v>
          </cell>
          <cell r="C10435" t="str">
            <v>TC INT X COB VISA D/E REV VIG CESP      1ND</v>
          </cell>
        </row>
        <row r="10436">
          <cell r="B10436" t="str">
            <v>14080700000924</v>
          </cell>
          <cell r="C10436" t="str">
            <v>TC INT X COB VISA EXTRACASH VIG CESP    1ND</v>
          </cell>
        </row>
        <row r="10437">
          <cell r="B10437" t="str">
            <v>14080700000925</v>
          </cell>
          <cell r="C10437" t="str">
            <v>TC INT X COB VISA REPROG PAR VIG CESP   1ND</v>
          </cell>
        </row>
        <row r="10438">
          <cell r="B10438" t="str">
            <v>14080700000926</v>
          </cell>
          <cell r="C10438" t="str">
            <v>TC INT X COB VISA REPROG REV VIG CESP   1ND</v>
          </cell>
        </row>
        <row r="10439">
          <cell r="B10439" t="str">
            <v>14080700000927</v>
          </cell>
          <cell r="C10439" t="str">
            <v>TC INTXCOB VISA COMPRA CUOTA VIG CESP   1ND</v>
          </cell>
        </row>
        <row r="10440">
          <cell r="B10440" t="str">
            <v>14080700001001</v>
          </cell>
          <cell r="C10440" t="str">
            <v>LPC CTA X COB INT DIF LS COFIDE PDL CESP1ND</v>
          </cell>
        </row>
        <row r="10441">
          <cell r="B10441" t="str">
            <v>14080700001002</v>
          </cell>
          <cell r="C10441" t="str">
            <v>LPC LS COFIDE CTA XCOBRAR INT DIF SEG SD1ND</v>
          </cell>
        </row>
        <row r="10442">
          <cell r="B10442" t="str">
            <v>14080700001101</v>
          </cell>
          <cell r="C10442" t="str">
            <v>FCD FACT INTER EXPO INT x cobrar VIG NOR1ND</v>
          </cell>
        </row>
        <row r="10443">
          <cell r="B10443" t="str">
            <v>14080700001102</v>
          </cell>
          <cell r="C10443" t="str">
            <v>FCD FORFAITING EXPO X COBRAR VIG NORM  C1ND</v>
          </cell>
        </row>
        <row r="10444">
          <cell r="B10444" t="str">
            <v>14080700001103</v>
          </cell>
          <cell r="C10444" t="str">
            <v>FCD CONFIRMING INTERNACIONAL INT x cobra1ND</v>
          </cell>
        </row>
        <row r="10445">
          <cell r="B10445" t="str">
            <v>14080700005104</v>
          </cell>
          <cell r="C10445" t="str">
            <v>PR LETRAS T. DESCONTADAÂ  INTE VIGÂ Â  C1ND</v>
          </cell>
        </row>
        <row r="10446">
          <cell r="B10446" t="str">
            <v>14080700005109</v>
          </cell>
          <cell r="C10446" t="str">
            <v>LPC REACTIVA PERU VIG CESP\NORM         1ND</v>
          </cell>
        </row>
        <row r="10447">
          <cell r="B10447" t="str">
            <v>14080700005110</v>
          </cell>
          <cell r="C10447" t="str">
            <v>LPC COFIDE FONDOS PERU VIG CESP\NORM    1ND</v>
          </cell>
        </row>
        <row r="10448">
          <cell r="B10448" t="str">
            <v>14080700005111</v>
          </cell>
          <cell r="C10448" t="str">
            <v>LPC COFIDE FONDO CRECER VIG CESP\NORM   1ND</v>
          </cell>
        </row>
        <row r="10449">
          <cell r="B10449" t="str">
            <v>14080700005112</v>
          </cell>
          <cell r="C10449" t="str">
            <v>LPC REACTIVA PERU VIG CESP\NORM         1ND</v>
          </cell>
        </row>
        <row r="10450">
          <cell r="B10450" t="str">
            <v>14080700005113</v>
          </cell>
          <cell r="C10450" t="str">
            <v>MYP INTXCOB.VIG C.TRAB CPEM             1 D</v>
          </cell>
        </row>
        <row r="10451">
          <cell r="B10451" t="str">
            <v>14080700008001</v>
          </cell>
          <cell r="C10451" t="str">
            <v>PAN CREDITOS A ENTIDADES SECTOR PUBLICO 1ND</v>
          </cell>
        </row>
        <row r="10452">
          <cell r="B10452" t="str">
            <v>14080800000101</v>
          </cell>
          <cell r="C10452" t="str">
            <v>LPC INTXCOB PAGARE TV CIVA              1ND</v>
          </cell>
        </row>
        <row r="10453">
          <cell r="B10453" t="str">
            <v>14080800000102</v>
          </cell>
          <cell r="C10453" t="str">
            <v>LPC INT X COBRAR PAG TV COFIDE CIVA     1ND</v>
          </cell>
        </row>
        <row r="10454">
          <cell r="B10454" t="str">
            <v>14080800000103</v>
          </cell>
          <cell r="C10454" t="str">
            <v>LPC INTXCOB PAG TV RP MED PLAZO         1ND</v>
          </cell>
        </row>
        <row r="10455">
          <cell r="B10455" t="str">
            <v>14080800000104</v>
          </cell>
          <cell r="C10455" t="str">
            <v>LPC INTXCOB PAG TV INMOBILIARIO         1ND</v>
          </cell>
        </row>
        <row r="10456">
          <cell r="B10456" t="str">
            <v>14080800000105</v>
          </cell>
          <cell r="C10456" t="str">
            <v>LPC INTXCOB PAG TV EUROS                1ND</v>
          </cell>
        </row>
        <row r="10457">
          <cell r="B10457" t="str">
            <v>14080800000106</v>
          </cell>
          <cell r="C10457" t="str">
            <v>LPC CTA X COB INT DIFER LS BIEN CIVA    1ND</v>
          </cell>
        </row>
        <row r="10458">
          <cell r="B10458" t="str">
            <v>14080800000107</v>
          </cell>
          <cell r="C10458" t="str">
            <v>LPC CTA XCOBRAR INT DIF SEG CIVA        1ND</v>
          </cell>
        </row>
        <row r="10459">
          <cell r="B10459" t="str">
            <v>14080800000108</v>
          </cell>
          <cell r="C10459" t="str">
            <v>LPC AVA CUENT  INT X COB CIVA           1ND</v>
          </cell>
        </row>
        <row r="10460">
          <cell r="B10460" t="str">
            <v>14080800000201</v>
          </cell>
          <cell r="C10460" t="str">
            <v>COM X COB TC AMEX VIG. CIVA             1ND</v>
          </cell>
        </row>
        <row r="10461">
          <cell r="B10461" t="str">
            <v>14080800000202</v>
          </cell>
          <cell r="C10461" t="str">
            <v>COM X COB TC MC VIG. CIVA               1ND</v>
          </cell>
        </row>
        <row r="10462">
          <cell r="B10462" t="str">
            <v>14080800000203</v>
          </cell>
          <cell r="C10462" t="str">
            <v>COM X COB TC VEA VIG. CIVA              1ND</v>
          </cell>
        </row>
        <row r="10463">
          <cell r="B10463" t="str">
            <v>14080800000204</v>
          </cell>
          <cell r="C10463" t="str">
            <v>COM X COB TC VISA VIG. CIVA             1ND</v>
          </cell>
        </row>
        <row r="10464">
          <cell r="B10464" t="str">
            <v>14080800000205</v>
          </cell>
          <cell r="C10464" t="str">
            <v>INT X COB TC AMEX VIG. CIVA             1ND</v>
          </cell>
        </row>
        <row r="10465">
          <cell r="B10465" t="str">
            <v>14080800000206</v>
          </cell>
          <cell r="C10465" t="str">
            <v>INT X COB TC MC VIG. CIVA               1ND</v>
          </cell>
        </row>
        <row r="10466">
          <cell r="B10466" t="str">
            <v>14080800000207</v>
          </cell>
          <cell r="C10466" t="str">
            <v>INT X COB TC VEA VIG. CIVA              1ND</v>
          </cell>
        </row>
        <row r="10467">
          <cell r="B10467" t="str">
            <v>14080800000208</v>
          </cell>
          <cell r="C10467" t="str">
            <v>INT X COB TC VISA VIG. CIVA             1ND</v>
          </cell>
        </row>
        <row r="10468">
          <cell r="B10468" t="str">
            <v>14080800000301</v>
          </cell>
          <cell r="C10468" t="str">
            <v>IM INT X COBRAR  CTA CTE CIVA           1ND</v>
          </cell>
        </row>
        <row r="10469">
          <cell r="B10469" t="str">
            <v>14080800000401</v>
          </cell>
          <cell r="C10469" t="str">
            <v>CL INT COB CXL AVAL ACEPT.BKT INT CIVA  1ND</v>
          </cell>
        </row>
        <row r="10470">
          <cell r="B10470" t="str">
            <v>14080800000501</v>
          </cell>
          <cell r="C10470" t="str">
            <v>TC INT X COB AMEX CDEUDA PAR VIG CIVA   1ND</v>
          </cell>
        </row>
        <row r="10471">
          <cell r="B10471" t="str">
            <v>14080800000502</v>
          </cell>
          <cell r="C10471" t="str">
            <v>TC INT X COB AMEX CDEUDA REV VIG CIVA   1ND</v>
          </cell>
        </row>
        <row r="10472">
          <cell r="B10472" t="str">
            <v>14080800000503</v>
          </cell>
          <cell r="C10472" t="str">
            <v>TC INT X COB AMEX COMPRA REV VIG CIVA   1ND</v>
          </cell>
        </row>
        <row r="10473">
          <cell r="B10473" t="str">
            <v>14080800000504</v>
          </cell>
          <cell r="C10473" t="str">
            <v>TC INT X COB AMEX D/E CUOTAS VIG CIVA   1ND</v>
          </cell>
        </row>
        <row r="10474">
          <cell r="B10474" t="str">
            <v>14080800000505</v>
          </cell>
          <cell r="C10474" t="str">
            <v>TC INT X COB AMEX D/E REV VIG CIVA      1ND</v>
          </cell>
        </row>
        <row r="10475">
          <cell r="B10475" t="str">
            <v>14080800000506</v>
          </cell>
          <cell r="C10475" t="str">
            <v>TC INT X COB AMEX EXTRACASH VIG CIVA    1ND</v>
          </cell>
        </row>
        <row r="10476">
          <cell r="B10476" t="str">
            <v>14080800000507</v>
          </cell>
          <cell r="C10476" t="str">
            <v>TC INT X COB AMEX REPROG PAR VIG CIVA   1ND</v>
          </cell>
        </row>
        <row r="10477">
          <cell r="B10477" t="str">
            <v>14080800000508</v>
          </cell>
          <cell r="C10477" t="str">
            <v>TC INT X COB AMEX REPROG REV VIG CIVA   1ND</v>
          </cell>
        </row>
        <row r="10478">
          <cell r="B10478" t="str">
            <v>14080800000509</v>
          </cell>
          <cell r="C10478" t="str">
            <v>TC INTXCOB AMEX COMPRA CUOTA VIG CIVA   1ND</v>
          </cell>
        </row>
        <row r="10479">
          <cell r="B10479" t="str">
            <v>14080800000510</v>
          </cell>
          <cell r="C10479" t="str">
            <v>TC INT X COB MC CDEUDA PAR VIG CIVA     1ND</v>
          </cell>
        </row>
        <row r="10480">
          <cell r="B10480" t="str">
            <v>14080800000511</v>
          </cell>
          <cell r="C10480" t="str">
            <v>TC INT X COB MC CDEUDA REV VIG CIVA     1ND</v>
          </cell>
        </row>
        <row r="10481">
          <cell r="B10481" t="str">
            <v>14080800000512</v>
          </cell>
          <cell r="C10481" t="str">
            <v>TC INT X COB MC COMPRA REV VIG CIVA     1ND</v>
          </cell>
        </row>
        <row r="10482">
          <cell r="B10482" t="str">
            <v>14080800000513</v>
          </cell>
          <cell r="C10482" t="str">
            <v>TC INT X COB MC D/E CUOTAS VIG CIVA     1ND</v>
          </cell>
        </row>
        <row r="10483">
          <cell r="B10483" t="str">
            <v>14080800000514</v>
          </cell>
          <cell r="C10483" t="str">
            <v>TC INT X COB MC D/E REV VIG CIVA        1ND</v>
          </cell>
        </row>
        <row r="10484">
          <cell r="B10484" t="str">
            <v>14080800000515</v>
          </cell>
          <cell r="C10484" t="str">
            <v>TC INT X COB MC EXTRACASH VIG CIVA      1ND</v>
          </cell>
        </row>
        <row r="10485">
          <cell r="B10485" t="str">
            <v>14080800000516</v>
          </cell>
          <cell r="C10485" t="str">
            <v>TC INT X COB MC REPROG PAR VIG CIVA     1ND</v>
          </cell>
        </row>
        <row r="10486">
          <cell r="B10486" t="str">
            <v>14080800000517</v>
          </cell>
          <cell r="C10486" t="str">
            <v>TC INT X COB MC REPROG REV VIG CIVA     1ND</v>
          </cell>
        </row>
        <row r="10487">
          <cell r="B10487" t="str">
            <v>14080800000518</v>
          </cell>
          <cell r="C10487" t="str">
            <v>TC INTXCOB MC COMPRA CUOTA VIG CIVA     1ND</v>
          </cell>
        </row>
        <row r="10488">
          <cell r="B10488" t="str">
            <v>14080800000519</v>
          </cell>
          <cell r="C10488" t="str">
            <v>TC INT X COB VISA CDEUDA PAR VIG CIVA   1ND</v>
          </cell>
        </row>
        <row r="10489">
          <cell r="B10489" t="str">
            <v>14080800000520</v>
          </cell>
          <cell r="C10489" t="str">
            <v>TC INT X COB VISA CDEUDA REV VIG CIVA   1ND</v>
          </cell>
        </row>
        <row r="10490">
          <cell r="B10490" t="str">
            <v>14080800000521</v>
          </cell>
          <cell r="C10490" t="str">
            <v>TC INT X COB VISA COMPRA REV VIG CIVA   1ND</v>
          </cell>
        </row>
        <row r="10491">
          <cell r="B10491" t="str">
            <v>14080800000522</v>
          </cell>
          <cell r="C10491" t="str">
            <v>TC INT X COB VISA D/E CUOTAS VIG CIVA   1ND</v>
          </cell>
        </row>
        <row r="10492">
          <cell r="B10492" t="str">
            <v>14080800000523</v>
          </cell>
          <cell r="C10492" t="str">
            <v>TC INT X COB VISA D/E REV VIG CIVA      1ND</v>
          </cell>
        </row>
        <row r="10493">
          <cell r="B10493" t="str">
            <v>14080800000524</v>
          </cell>
          <cell r="C10493" t="str">
            <v>TC INT X COB VISA EXTRACASH VIG CIVA    1ND</v>
          </cell>
        </row>
        <row r="10494">
          <cell r="B10494" t="str">
            <v>14080800000525</v>
          </cell>
          <cell r="C10494" t="str">
            <v>TC INT X COB VISA REPROG PAR VIG CIVA   1ND</v>
          </cell>
        </row>
        <row r="10495">
          <cell r="B10495" t="str">
            <v>14080800000526</v>
          </cell>
          <cell r="C10495" t="str">
            <v>TC INT X COB VISA REPROG REV VIG CIVA   1ND</v>
          </cell>
        </row>
        <row r="10496">
          <cell r="B10496" t="str">
            <v>14080800000527</v>
          </cell>
          <cell r="C10496" t="str">
            <v>TC INTXCOB VISA COMPRA CUOTA VIG CIVA   1ND</v>
          </cell>
        </row>
        <row r="10497">
          <cell r="B10497" t="str">
            <v>14080800000601</v>
          </cell>
          <cell r="C10497" t="str">
            <v>LPC CTA X COB INT DIF LS COFIDE PDL CIVA1ND</v>
          </cell>
        </row>
        <row r="10498">
          <cell r="B10498" t="str">
            <v>14080800000602</v>
          </cell>
          <cell r="C10498" t="str">
            <v>LPC LS COFIDE CTA XCOBRAR INT DIF SEG SD1ND</v>
          </cell>
        </row>
        <row r="10499">
          <cell r="B10499" t="str">
            <v>14080800000603</v>
          </cell>
          <cell r="C10499" t="str">
            <v>LPC CTA X COB INT PRECUOTAS LS BIEN CIVA1ND</v>
          </cell>
        </row>
        <row r="10500">
          <cell r="B10500" t="str">
            <v>14080800000608</v>
          </cell>
          <cell r="C10500" t="str">
            <v>LPC REACTIVA PERU VIG CIVA\NORM         1ND</v>
          </cell>
        </row>
        <row r="10501">
          <cell r="B10501" t="str">
            <v>14080800000609</v>
          </cell>
          <cell r="C10501" t="str">
            <v>LPC COFIDE FONDOS PERU VIG CIVA\NORM    1ND</v>
          </cell>
        </row>
        <row r="10502">
          <cell r="B10502" t="str">
            <v>14080800000610</v>
          </cell>
          <cell r="C10502" t="str">
            <v>LPC COFIDE FONDO CRECER VIG CIVA\NORM   1ND</v>
          </cell>
        </row>
        <row r="10503">
          <cell r="B10503" t="str">
            <v>14080800000611</v>
          </cell>
          <cell r="C10503" t="str">
            <v>LPC REACTIVA PERU VIG CIVA\NORM         1ND</v>
          </cell>
        </row>
        <row r="10504">
          <cell r="B10504" t="str">
            <v>14080900000101</v>
          </cell>
          <cell r="C10504" t="str">
            <v>LPC INT.VIG.EMP.SIST.FIN.CESF           1ND</v>
          </cell>
        </row>
        <row r="10505">
          <cell r="B10505" t="str">
            <v>14080900000102</v>
          </cell>
          <cell r="C10505" t="str">
            <v>LPC INTxCOB PAG EMP.SIST.FIN.NO SUB.PAIS1ND</v>
          </cell>
        </row>
        <row r="10506">
          <cell r="B10506" t="str">
            <v>14080900000103</v>
          </cell>
          <cell r="C10506" t="str">
            <v>LPC INTXCOB FACT INTER BRITISH ARAB COM 1ND</v>
          </cell>
        </row>
        <row r="10507">
          <cell r="B10507" t="str">
            <v>14080900000104</v>
          </cell>
          <cell r="C10507" t="str">
            <v>LPC MITSUI AUTO FINANCE PERU IXC.VIG    1ND</v>
          </cell>
        </row>
        <row r="10508">
          <cell r="B10508" t="str">
            <v>14080900000105</v>
          </cell>
          <cell r="C10508" t="str">
            <v>LPC CAJA MUNIC.DE CRED.POPULAR DE LIMA I1ND</v>
          </cell>
        </row>
        <row r="10509">
          <cell r="B10509" t="str">
            <v>14080900000106</v>
          </cell>
          <cell r="C10509" t="str">
            <v>LPC BANCO FINANCIERO INT.X COB.VIG      1ND</v>
          </cell>
        </row>
        <row r="10510">
          <cell r="B10510" t="str">
            <v>14080900000201</v>
          </cell>
          <cell r="C10510" t="str">
            <v>IM INT X COBRAR  CTA CTE CESF           1ND</v>
          </cell>
        </row>
        <row r="10511">
          <cell r="B10511" t="str">
            <v>14080900000302</v>
          </cell>
          <cell r="C10511" t="str">
            <v>TC MC COLOC. REV.DISP.EFEC. VEN. CESF   1ND</v>
          </cell>
        </row>
        <row r="10512">
          <cell r="B10512" t="str">
            <v>14080900000304</v>
          </cell>
          <cell r="C10512" t="str">
            <v>TC MC COLOC. REV. COMPRAS VEN. CESF     1ND</v>
          </cell>
        </row>
        <row r="10513">
          <cell r="B10513" t="str">
            <v>14080900000401</v>
          </cell>
          <cell r="C10513" t="str">
            <v>PR FACT INTERN INT GANAD VIG CESF       1ND</v>
          </cell>
        </row>
        <row r="10514">
          <cell r="B10514" t="str">
            <v>14080900000402</v>
          </cell>
          <cell r="C10514" t="str">
            <v>FCD FACT INTER EXPO INT x cobrar VIG NOR1ND</v>
          </cell>
        </row>
        <row r="10515">
          <cell r="B10515" t="str">
            <v>14080900000403</v>
          </cell>
          <cell r="C10515" t="str">
            <v>FCD FORFAITING EXPO x COBRAR VIG NORM  C1ND</v>
          </cell>
        </row>
        <row r="10516">
          <cell r="B10516" t="str">
            <v>14080900000501</v>
          </cell>
          <cell r="C10516" t="str">
            <v>GARANTIA LEASING BIENES INMUEBLES       1ND</v>
          </cell>
        </row>
        <row r="10517">
          <cell r="B10517" t="str">
            <v>14080900005105</v>
          </cell>
          <cell r="C10517" t="str">
            <v>LPC CTA X COB INT PRECUOTAS LS BIEN CESF1ND</v>
          </cell>
        </row>
        <row r="10518">
          <cell r="B10518" t="str">
            <v>14080901000101</v>
          </cell>
          <cell r="C10518" t="str">
            <v>FCD CONFIRMING INTERNACIONAL INT x cobra1ND</v>
          </cell>
        </row>
        <row r="10519">
          <cell r="B10519" t="str">
            <v>14080901040101</v>
          </cell>
          <cell r="C10519" t="str">
            <v>TC COM X COB MC INTERBANK VIG. CESF     1ND</v>
          </cell>
        </row>
        <row r="10520">
          <cell r="B10520" t="str">
            <v>14080901040102</v>
          </cell>
          <cell r="C10520" t="str">
            <v>TC COM X COB TC VISA INTERBANK VIG. CESF1ND</v>
          </cell>
        </row>
        <row r="10521">
          <cell r="B10521" t="str">
            <v>14080901040103</v>
          </cell>
          <cell r="C10521" t="str">
            <v>TC INT X COB  TC MC VIG. INTERBANK CESF 1ND</v>
          </cell>
        </row>
        <row r="10522">
          <cell r="B10522" t="str">
            <v>14080901040104</v>
          </cell>
          <cell r="C10522" t="str">
            <v>TC INT X COB  TC VISA VIG. INTERBANK CES1ND</v>
          </cell>
        </row>
        <row r="10523">
          <cell r="B10523" t="str">
            <v>14080901040105</v>
          </cell>
          <cell r="C10523" t="str">
            <v>TC INTXCOB VISA D/E REV IBK VIG CESF    1ND</v>
          </cell>
        </row>
        <row r="10524">
          <cell r="B10524" t="str">
            <v>14080901040106</v>
          </cell>
          <cell r="C10524" t="str">
            <v>TC INTXCOB VISA COMPRA REV IBK VIG CESF 1ND</v>
          </cell>
        </row>
        <row r="10525">
          <cell r="B10525" t="str">
            <v>14080901160101</v>
          </cell>
          <cell r="C10525" t="str">
            <v>IM INT X COBRAR  CTA CTE CITIBANK N.A. C1ND</v>
          </cell>
        </row>
        <row r="10526">
          <cell r="B10526" t="str">
            <v>14080901210110</v>
          </cell>
          <cell r="C10526" t="str">
            <v>CL EX FACTO FORFAIT. I X COBRAR VIG CESF1ND</v>
          </cell>
        </row>
        <row r="10527">
          <cell r="B10527" t="str">
            <v>14080901280101</v>
          </cell>
          <cell r="C10527" t="str">
            <v>LPC CORPORACION FINANCIERA DE DESARROLO 1ND</v>
          </cell>
        </row>
        <row r="10528">
          <cell r="B10528" t="str">
            <v>14080901290101</v>
          </cell>
          <cell r="C10528" t="str">
            <v>LPC MI BANCO VIG                        1ND</v>
          </cell>
        </row>
        <row r="10529">
          <cell r="B10529" t="str">
            <v>14080901310101</v>
          </cell>
          <cell r="C10529" t="str">
            <v>LPC BANO AGROPECUARIO VIG               1ND</v>
          </cell>
        </row>
        <row r="10530">
          <cell r="B10530" t="str">
            <v>14080901330101</v>
          </cell>
          <cell r="C10530" t="str">
            <v>LPC BANCO FALABELLA VIG                 1ND</v>
          </cell>
        </row>
        <row r="10531">
          <cell r="B10531" t="str">
            <v>14080901350101</v>
          </cell>
          <cell r="C10531" t="str">
            <v>LPC BANCO RIPLEY VIG                    1ND</v>
          </cell>
        </row>
        <row r="10532">
          <cell r="B10532" t="str">
            <v>14080902070101</v>
          </cell>
          <cell r="C10532" t="str">
            <v>LPC FINANCIERA TFC (VOLVO FINANCE DEL PE1ND</v>
          </cell>
        </row>
        <row r="10533">
          <cell r="B10533" t="str">
            <v>14080902090101</v>
          </cell>
          <cell r="C10533" t="str">
            <v>LPC FINANCIERA EDYFICAR S.A. VIG        1ND</v>
          </cell>
        </row>
        <row r="10534">
          <cell r="B10534" t="str">
            <v>14080902110101</v>
          </cell>
          <cell r="C10534" t="str">
            <v>LPC FINANCIERA CREAR VIG                1ND</v>
          </cell>
        </row>
        <row r="10535">
          <cell r="B10535" t="str">
            <v>14080902120101</v>
          </cell>
          <cell r="C10535" t="str">
            <v>LPC FINANCIERA CONFIANZA S.A. VIG       1ND</v>
          </cell>
        </row>
        <row r="10536">
          <cell r="B10536" t="str">
            <v>14080902130101</v>
          </cell>
          <cell r="C10536" t="str">
            <v>TC COM X COB MC FINANCIERA UNIVERSAL VIG1ND</v>
          </cell>
        </row>
        <row r="10537">
          <cell r="B10537" t="str">
            <v>14080902130102</v>
          </cell>
          <cell r="C10537" t="str">
            <v>TC INT X COB MC FINANCIERA UNIVERSAL VIG1ND</v>
          </cell>
        </row>
        <row r="10538">
          <cell r="B10538" t="str">
            <v>14080902140101</v>
          </cell>
          <cell r="C10538" t="str">
            <v>LPC FINAN.UNO INT.VIG                   1ND</v>
          </cell>
        </row>
        <row r="10539">
          <cell r="B10539" t="str">
            <v>14080902140102</v>
          </cell>
          <cell r="C10539" t="str">
            <v>TC COM X COB MC FINANCIERA UNO VIG. CESF1ND</v>
          </cell>
        </row>
        <row r="10540">
          <cell r="B10540" t="str">
            <v>14080902140103</v>
          </cell>
          <cell r="C10540" t="str">
            <v>TC INT X COB MC FINANCIERA UNO VIG. CESF1ND</v>
          </cell>
        </row>
        <row r="10541">
          <cell r="B10541" t="str">
            <v>14080902140104</v>
          </cell>
          <cell r="C10541" t="str">
            <v>TC INT X COB VISA MITSUI AUTO FINANCE VI1ND</v>
          </cell>
        </row>
        <row r="10542">
          <cell r="B10542" t="str">
            <v>14080902150101</v>
          </cell>
          <cell r="C10542" t="str">
            <v>LPC FINANCIERA EFECTIVA CESF VIG        1ND</v>
          </cell>
        </row>
        <row r="10543">
          <cell r="B10543" t="str">
            <v>14080902160101</v>
          </cell>
          <cell r="C10543" t="str">
            <v>LPC AMERIKA FINANCIERA SA. VIG          1ND</v>
          </cell>
        </row>
        <row r="10544">
          <cell r="B10544" t="str">
            <v>14080902170101</v>
          </cell>
          <cell r="C10544" t="str">
            <v>MITSUI AUTO FINANCE PERU S.A            1ND</v>
          </cell>
        </row>
        <row r="10545">
          <cell r="B10545" t="str">
            <v>14080902190101</v>
          </cell>
          <cell r="C10545" t="str">
            <v>LPC INT X COBRAR FINANCIERA CREDINKA VIG1ND</v>
          </cell>
        </row>
        <row r="10546">
          <cell r="B10546" t="str">
            <v>14080903010101</v>
          </cell>
          <cell r="C10546" t="str">
            <v>LPC CAJA MUNICIPAL DE AHORRO Y CRED. SUL1ND</v>
          </cell>
        </row>
        <row r="10547">
          <cell r="B10547" t="str">
            <v>14080903020101</v>
          </cell>
          <cell r="C10547" t="str">
            <v>LPC CAJA MUNIC.DE CRED.POPULAR DE LIMA I1ND</v>
          </cell>
        </row>
        <row r="10548">
          <cell r="B10548" t="str">
            <v>14080903040101</v>
          </cell>
          <cell r="C10548" t="str">
            <v>LPC CJA MUNI.AHO.Y CRED.AREQUIPA VIG    1ND</v>
          </cell>
        </row>
        <row r="10549">
          <cell r="B10549" t="str">
            <v>14080903050101</v>
          </cell>
          <cell r="C10549" t="str">
            <v>LPC CAJA MUNICIPAL DE AHORRO Y CRED. HUA1ND</v>
          </cell>
        </row>
        <row r="10550">
          <cell r="B10550" t="str">
            <v>14080903060101</v>
          </cell>
          <cell r="C10550" t="str">
            <v>LPC CAJA MUNICIPAL DE AH.Y CRED.CUSCO IX1ND</v>
          </cell>
        </row>
        <row r="10551">
          <cell r="B10551" t="str">
            <v>14080903070101</v>
          </cell>
          <cell r="C10551" t="str">
            <v>LPC CAJA MUNICIPAL DE AHORRO Y CRED. MAY1ND</v>
          </cell>
        </row>
        <row r="10552">
          <cell r="B10552" t="str">
            <v>14080903080101</v>
          </cell>
          <cell r="C10552" t="str">
            <v>LPC CAJA MUNDE AH.Y CRED.ICA IXC.VIG    1ND</v>
          </cell>
        </row>
        <row r="10553">
          <cell r="B10553" t="str">
            <v>14080903100101</v>
          </cell>
          <cell r="C10553" t="str">
            <v>LPC CAJA MUNIC. DE AHORRO Y CRED DEL SAN1ND</v>
          </cell>
        </row>
        <row r="10554">
          <cell r="B10554" t="str">
            <v>14080903110101</v>
          </cell>
          <cell r="C10554" t="str">
            <v>LPC CAJA MUNICIPAL DE AHORRO Y CRED. TRU1ND</v>
          </cell>
        </row>
        <row r="10555">
          <cell r="B10555" t="str">
            <v>14080903120101</v>
          </cell>
          <cell r="C10555" t="str">
            <v>LPC CAJA MUNICIPAL DE AHORRO Y CRED. TAC1ND</v>
          </cell>
        </row>
        <row r="10556">
          <cell r="B10556" t="str">
            <v>14080904030101</v>
          </cell>
          <cell r="C10556" t="str">
            <v>LPC CR DE AH Y CREDITO CREDINKA         1ND</v>
          </cell>
        </row>
        <row r="10557">
          <cell r="B10557" t="str">
            <v>14080904070101</v>
          </cell>
          <cell r="C10557" t="str">
            <v>LPC CAJA RURAL DE AHORRO Y CREDITO CHAVI1ND</v>
          </cell>
        </row>
        <row r="10558">
          <cell r="B10558" t="str">
            <v>14080904070601</v>
          </cell>
          <cell r="C10558" t="str">
            <v>LPC CAJA RURAL DE AH.Y CREDITO CREDINKA 1ND</v>
          </cell>
        </row>
        <row r="10559">
          <cell r="B10559" t="str">
            <v>14080904100101</v>
          </cell>
          <cell r="C10559" t="str">
            <v>LPC CAJA RURAL DE AHORRO Y CREDITO PROFI1ND</v>
          </cell>
        </row>
        <row r="10560">
          <cell r="B10560" t="str">
            <v>14080905100101</v>
          </cell>
          <cell r="C10560" t="str">
            <v>LPC EDPYME SOLIDARIDAD VIG              1ND</v>
          </cell>
        </row>
        <row r="10561">
          <cell r="B10561" t="str">
            <v>14080905120101</v>
          </cell>
          <cell r="C10561" t="str">
            <v>TC COM X COB VISA EDPYME ACCESO CREDITIC1ND</v>
          </cell>
        </row>
        <row r="10562">
          <cell r="B10562" t="str">
            <v>14080905120102</v>
          </cell>
          <cell r="C10562" t="str">
            <v>TC INT X COB VISA EDPYME ACCESO CREDITIC1ND</v>
          </cell>
        </row>
        <row r="10563">
          <cell r="B10563" t="str">
            <v>14080905140101</v>
          </cell>
          <cell r="C10563" t="str">
            <v>LPC EDPYME ALTERNATIVA VIG              1ND</v>
          </cell>
        </row>
        <row r="10564">
          <cell r="B10564" t="str">
            <v>14080905210101</v>
          </cell>
          <cell r="C10564" t="str">
            <v>LPC EDPYME SANTANDER INT                1ND</v>
          </cell>
        </row>
        <row r="10565">
          <cell r="B10565" t="str">
            <v>14080907110101</v>
          </cell>
          <cell r="C10565" t="str">
            <v>LPC MITSUI AUTO FINANCE PERU INT.G.VIG  1ND</v>
          </cell>
        </row>
        <row r="10566">
          <cell r="B10566" t="str">
            <v>14080913010101</v>
          </cell>
          <cell r="C10566" t="str">
            <v>LPC CTA X COB INT DIF LS LA FIDUC PDL CE1ND</v>
          </cell>
        </row>
        <row r="10567">
          <cell r="B10567" t="str">
            <v>14080913010102</v>
          </cell>
          <cell r="C10567" t="str">
            <v>LPC LS LA FIDUC CTA XCOBRAR INT DIF SEG 1ND</v>
          </cell>
        </row>
        <row r="10568">
          <cell r="B10568" t="str">
            <v>14080917010101</v>
          </cell>
          <cell r="C10568" t="str">
            <v>LPC INTXCOB FACT INTER BRITISH ARAB COM 1ND</v>
          </cell>
        </row>
        <row r="10569">
          <cell r="B10569" t="str">
            <v>14080917010102</v>
          </cell>
          <cell r="C10569" t="str">
            <v>FCD FORFAITING EXPO X COBRAR VIG NORM CE1ND</v>
          </cell>
        </row>
        <row r="10570">
          <cell r="B10570" t="str">
            <v>14080917010103</v>
          </cell>
          <cell r="C10570" t="str">
            <v>LPC INTXCOB PAGARE FORFAITING CESF      1ND</v>
          </cell>
        </row>
        <row r="10571">
          <cell r="B10571" t="str">
            <v>14080917010801</v>
          </cell>
          <cell r="C10571" t="str">
            <v>PAN INTERBANK PERU                      1ND</v>
          </cell>
        </row>
        <row r="10572">
          <cell r="B10572" t="str">
            <v>14080917020101</v>
          </cell>
          <cell r="C10572" t="str">
            <v>FCD FACT INTERN INT GANAD VIG CESF (Well1ND</v>
          </cell>
        </row>
        <row r="10573">
          <cell r="B10573" t="str">
            <v>14080917020203</v>
          </cell>
          <cell r="C10573" t="str">
            <v>PR  CONFIRMING INTER INT.VIG CESF       1ND</v>
          </cell>
        </row>
        <row r="10574">
          <cell r="B10574" t="str">
            <v>14080917020204</v>
          </cell>
          <cell r="C10574" t="str">
            <v>FCD FACT INTER EXPO INT x cobrar VIG NOR1ND</v>
          </cell>
        </row>
        <row r="10575">
          <cell r="B10575" t="str">
            <v>14080999021501</v>
          </cell>
          <cell r="C10575" t="str">
            <v>PR Forfaiting ExportaciÃ³n x cobrar Vig 1ND</v>
          </cell>
        </row>
        <row r="10576">
          <cell r="B10576" t="str">
            <v>14080999021502</v>
          </cell>
          <cell r="C10576" t="str">
            <v>LPC EDPYME SANTANDER INT                1ND</v>
          </cell>
        </row>
        <row r="10577">
          <cell r="B10577" t="str">
            <v>14080999021503</v>
          </cell>
          <cell r="C10577" t="str">
            <v>LPC SURGIR SANTANDER FINANCIAMIENTO INT 1ND</v>
          </cell>
        </row>
        <row r="10578">
          <cell r="B10578" t="str">
            <v>14081000000101</v>
          </cell>
          <cell r="C10578" t="str">
            <v>LPC CTA X COB INT DIFER LS BIEN CCOR    1ND</v>
          </cell>
        </row>
        <row r="10579">
          <cell r="B10579" t="str">
            <v>14081000000102</v>
          </cell>
          <cell r="C10579" t="str">
            <v>LPC CTA XCOBRAR INT DIF SEG CCOR        1ND</v>
          </cell>
        </row>
        <row r="10580">
          <cell r="B10580" t="str">
            <v>14081000000103</v>
          </cell>
          <cell r="C10580" t="str">
            <v>LPC MAPFRE PERU CIA DE SEGUROS Y REASEGU1ND</v>
          </cell>
        </row>
        <row r="10581">
          <cell r="B10581" t="str">
            <v>14081000000104</v>
          </cell>
          <cell r="C10581" t="str">
            <v>LPC AVA CUENT  INT X COB CCOR           1ND</v>
          </cell>
        </row>
        <row r="10582">
          <cell r="B10582" t="str">
            <v>14081000000201</v>
          </cell>
          <cell r="C10582" t="str">
            <v>LPC LEESEBACK CTAXCOB INT DIF CCOR      1ND</v>
          </cell>
        </row>
        <row r="10583">
          <cell r="B10583" t="str">
            <v>14081000000202</v>
          </cell>
          <cell r="C10583" t="str">
            <v>LPC CTAXCOB INT SEG LSBACK CCOR         1ND</v>
          </cell>
        </row>
        <row r="10584">
          <cell r="B10584" t="str">
            <v>14081000000203</v>
          </cell>
          <cell r="C10584" t="str">
            <v>FACT INTER IMPORT   COMP.VIG. CCOR NORMA1ND</v>
          </cell>
        </row>
        <row r="10585">
          <cell r="B10585" t="str">
            <v>14081000000301</v>
          </cell>
          <cell r="C10585" t="str">
            <v>COM X COB TC-COMERC AMEX CCOR           1ND</v>
          </cell>
        </row>
        <row r="10586">
          <cell r="B10586" t="str">
            <v>14081000000302</v>
          </cell>
          <cell r="C10586" t="str">
            <v>COM X COB TC-COMERC VEA CCOR            1ND</v>
          </cell>
        </row>
        <row r="10587">
          <cell r="B10587" t="str">
            <v>14081000000303</v>
          </cell>
          <cell r="C10587" t="str">
            <v>INT X COB  TC-COMERC VEA CCOR           1ND</v>
          </cell>
        </row>
        <row r="10588">
          <cell r="B10588" t="str">
            <v>14081000000304</v>
          </cell>
          <cell r="C10588" t="str">
            <v>INT X COB  TC-COMERCIAL AMEX CCOR       1ND</v>
          </cell>
        </row>
        <row r="10589">
          <cell r="B10589" t="str">
            <v>14081000000401</v>
          </cell>
          <cell r="C10589" t="str">
            <v>IINT X COB  TC-COMERCIAL CCOR           1ND</v>
          </cell>
        </row>
        <row r="10590">
          <cell r="B10590" t="str">
            <v>14081000000402</v>
          </cell>
          <cell r="C10590" t="str">
            <v>COM X COB TC IBKVISA COMERC CCOR        1ND</v>
          </cell>
        </row>
        <row r="10591">
          <cell r="B10591" t="str">
            <v>14081000000403</v>
          </cell>
          <cell r="C10591" t="str">
            <v>INT X COB  TC-COMERC MC CCOR            1ND</v>
          </cell>
        </row>
        <row r="10592">
          <cell r="B10592" t="str">
            <v>14081000000404</v>
          </cell>
          <cell r="C10592" t="str">
            <v>COM X COB TC COMERC MC CCOR             1ND</v>
          </cell>
        </row>
        <row r="10593">
          <cell r="B10593" t="str">
            <v>14081000000501</v>
          </cell>
          <cell r="C10593" t="str">
            <v>LPC INTXCOB PAGARE TV CCOR              1ND</v>
          </cell>
        </row>
        <row r="10594">
          <cell r="B10594" t="str">
            <v>14081000000502</v>
          </cell>
          <cell r="C10594" t="str">
            <v>LPC INT X COBRAR PAG TV  COFIDE CCOR    1ND</v>
          </cell>
        </row>
        <row r="10595">
          <cell r="B10595" t="str">
            <v>14081000000503</v>
          </cell>
          <cell r="C10595" t="str">
            <v>LPC INTXCOB PAG TV RP MED PLAZO         1ND</v>
          </cell>
        </row>
        <row r="10596">
          <cell r="B10596" t="str">
            <v>14081000000504</v>
          </cell>
          <cell r="C10596" t="str">
            <v>LPC INTXCOB PAG TV INMOBILIARIO         1ND</v>
          </cell>
        </row>
        <row r="10597">
          <cell r="B10597" t="str">
            <v>14081000000505</v>
          </cell>
          <cell r="C10597" t="str">
            <v>LPC INTXCOB FINANC PRE EMBARQUE         1ND</v>
          </cell>
        </row>
        <row r="10598">
          <cell r="B10598" t="str">
            <v>14081000000506</v>
          </cell>
          <cell r="C10598" t="str">
            <v>LPC INTXCOB PAG TV EUROS                1ND</v>
          </cell>
        </row>
        <row r="10599">
          <cell r="B10599" t="str">
            <v>14081000000507</v>
          </cell>
          <cell r="C10599" t="str">
            <v>LPC INT X COBRAR PAG. FINANC PROY COFIDE1ND</v>
          </cell>
        </row>
        <row r="10600">
          <cell r="B10600" t="str">
            <v>14081000000508</v>
          </cell>
          <cell r="C10600" t="str">
            <v>LPC INTXCOB PAGARE FORFAITING CCOR      1ND</v>
          </cell>
        </row>
        <row r="10601">
          <cell r="B10601" t="str">
            <v>14081000000509</v>
          </cell>
          <cell r="C10601" t="str">
            <v>LPC INTXCOB PAG REPROGRAMADO            1ND</v>
          </cell>
        </row>
        <row r="10602">
          <cell r="B10602" t="str">
            <v>14081000000601</v>
          </cell>
          <cell r="C10602" t="str">
            <v>FCD  INTXCOB LETRASÂ  DSCTOÂ  CCOR      1ND</v>
          </cell>
        </row>
        <row r="10603">
          <cell r="B10603" t="str">
            <v>14081000000602</v>
          </cell>
          <cell r="C10603" t="str">
            <v>FCD  DSCTO ELECTR SM PERU I.VIG CCOR    1ND</v>
          </cell>
        </row>
        <row r="10604">
          <cell r="B10604" t="str">
            <v>14081000000603</v>
          </cell>
          <cell r="C10604" t="str">
            <v>PR CTA.X COB (UTILIDAD) COMP.VTO.15D CCO1ND</v>
          </cell>
        </row>
        <row r="10605">
          <cell r="B10605" t="str">
            <v>14081000000604</v>
          </cell>
          <cell r="C10605" t="str">
            <v>PR CTA.X COBRAR (UTILIDAD) DIFERIDO CCOR1ND</v>
          </cell>
        </row>
        <row r="10606">
          <cell r="B10606" t="str">
            <v>14081000000605</v>
          </cell>
          <cell r="C10606" t="str">
            <v>PR CTAXCOB (UTIL)FACT.FACTORING COMP. CC1ND</v>
          </cell>
        </row>
        <row r="10607">
          <cell r="B10607" t="str">
            <v>14081000000606</v>
          </cell>
          <cell r="C10607" t="str">
            <v>PR CTA.X COB (UTIL)FACT.FACTORING DIF CC1ND</v>
          </cell>
        </row>
        <row r="10608">
          <cell r="B10608" t="str">
            <v>14081000000607</v>
          </cell>
          <cell r="C10608" t="str">
            <v>FCD  FACT ELECTR LET/FACT I.COMPENS CCOR1ND</v>
          </cell>
        </row>
        <row r="10609">
          <cell r="B10609" t="str">
            <v>14081000000608</v>
          </cell>
          <cell r="C10609" t="str">
            <v>FCD FACT ELECTR LET/FACT I.DIF CCOR     1ND</v>
          </cell>
        </row>
        <row r="10610">
          <cell r="B10610" t="str">
            <v>14081000000609</v>
          </cell>
          <cell r="C10610" t="str">
            <v>PR FACT INTERN INT GANAD VIG CCOR       1ND</v>
          </cell>
        </row>
        <row r="10611">
          <cell r="B10611" t="str">
            <v>14081000000610</v>
          </cell>
          <cell r="C10611" t="str">
            <v>PR PERU FACTORING INT COMPENS CCOR      1ND</v>
          </cell>
        </row>
        <row r="10612">
          <cell r="B10612" t="str">
            <v>14081000000611</v>
          </cell>
          <cell r="C10612" t="str">
            <v>PR PERU FACTORING INT.DIF CCOR          1ND</v>
          </cell>
        </row>
        <row r="10613">
          <cell r="B10613" t="str">
            <v>14081000000612</v>
          </cell>
          <cell r="C10613" t="str">
            <v>PR FORFAITING EXPORTACIÃ“N X COBRAR VIG 1ND</v>
          </cell>
        </row>
        <row r="10614">
          <cell r="B10614" t="str">
            <v>14081000000613</v>
          </cell>
          <cell r="C10614" t="str">
            <v>FCD FACT INTER EXPO INT x cobrar VIG NOR1ND</v>
          </cell>
        </row>
        <row r="10615">
          <cell r="B10615" t="str">
            <v>14081000000614</v>
          </cell>
          <cell r="C10615" t="str">
            <v>FCD FORFAITING EXPO X COBRAR VIG NORM  C1ND</v>
          </cell>
        </row>
        <row r="10616">
          <cell r="B10616" t="str">
            <v>14081000000615</v>
          </cell>
          <cell r="C10616" t="str">
            <v>FCD CONFIRMING INTERNACIONAL INT x cobra1ND</v>
          </cell>
        </row>
        <row r="10617">
          <cell r="B10617" t="str">
            <v>14081000000616</v>
          </cell>
          <cell r="C10617" t="str">
            <v>FCD DESC. VIRTUAL I. COMP.VIG. CCOR NORM1ND</v>
          </cell>
        </row>
        <row r="10618">
          <cell r="B10618" t="str">
            <v>14081000000701</v>
          </cell>
          <cell r="C10618" t="str">
            <v>CL INT X COBRAR EX PRE EM RP CCOR       1ND</v>
          </cell>
        </row>
        <row r="10619">
          <cell r="B10619" t="str">
            <v>14081000000702</v>
          </cell>
          <cell r="C10619" t="str">
            <v>CL INT X COB EX POST EMB RP CCOR        1ND</v>
          </cell>
        </row>
        <row r="10620">
          <cell r="B10620" t="str">
            <v>14081000000703</v>
          </cell>
          <cell r="C10620" t="str">
            <v>CL INT X COB IMPOR CCOR                 1ND</v>
          </cell>
        </row>
        <row r="10621">
          <cell r="B10621" t="str">
            <v>14081000000704</v>
          </cell>
          <cell r="C10621" t="str">
            <v>CL INTXCOB WORK CAP.EX PRE EMB. CCOR    1ND</v>
          </cell>
        </row>
        <row r="10622">
          <cell r="B10622" t="str">
            <v>14081000000705</v>
          </cell>
          <cell r="C10622" t="str">
            <v>LPC INTXCOB FINANC PRE EMBARQUE-SEPYMEX 1ND</v>
          </cell>
        </row>
        <row r="10623">
          <cell r="B10623" t="str">
            <v>14081000000706</v>
          </cell>
          <cell r="C10623" t="str">
            <v>LPC INTXCOB PRE EMBARQUE VIG.NORM CCOR  1ND</v>
          </cell>
        </row>
        <row r="10624">
          <cell r="B10624" t="str">
            <v>14081000000707</v>
          </cell>
          <cell r="C10624" t="str">
            <v>LPC INTXCOB POST EMBARQUE VIG.NORM CCOR 1ND</v>
          </cell>
        </row>
        <row r="10625">
          <cell r="B10625" t="str">
            <v>14081000000708</v>
          </cell>
          <cell r="C10625" t="str">
            <v>LPC INTXCOB IMPORT. CARTA CREDITO  VIG.N1ND</v>
          </cell>
        </row>
        <row r="10626">
          <cell r="B10626" t="str">
            <v>14081000000709</v>
          </cell>
          <cell r="C10626" t="str">
            <v>LPC INTXCOB IMPORT.  VIG.NORM CCOR      1ND</v>
          </cell>
        </row>
        <row r="10627">
          <cell r="B10627" t="str">
            <v>14081000000710</v>
          </cell>
          <cell r="C10627" t="str">
            <v>LPC P.TSA.DSCTO.INT.X COB.VIG CCOR      1ND</v>
          </cell>
        </row>
        <row r="10628">
          <cell r="B10628" t="str">
            <v>14081000000801</v>
          </cell>
          <cell r="C10628" t="str">
            <v>CL INTXCOB PAG DSCTO CCOR               1ND</v>
          </cell>
        </row>
        <row r="10629">
          <cell r="B10629" t="str">
            <v>14081000000802</v>
          </cell>
          <cell r="C10629" t="str">
            <v>CL INTXCOB TV CCOR                      1ND</v>
          </cell>
        </row>
        <row r="10630">
          <cell r="B10630" t="str">
            <v>14081000000803</v>
          </cell>
          <cell r="C10630" t="str">
            <v>CL INTXCOB PAG.TV NEG.INMOB VIG CCOR    1ND</v>
          </cell>
        </row>
        <row r="10631">
          <cell r="B10631" t="str">
            <v>14081000000804</v>
          </cell>
          <cell r="C10631" t="str">
            <v>CL INT.DEUD.VTA CARTERA VIG CCOR        1ND</v>
          </cell>
        </row>
        <row r="10632">
          <cell r="B10632" t="str">
            <v>14081000000805</v>
          </cell>
          <cell r="C10632" t="str">
            <v>CL INT X COB PREST COFIDE CCOR          1ND</v>
          </cell>
        </row>
        <row r="10633">
          <cell r="B10633" t="str">
            <v>14081000000806</v>
          </cell>
          <cell r="C10633" t="str">
            <v>CL INT COB CXL  ACEPT.BKT INT CCOR      1ND</v>
          </cell>
        </row>
        <row r="10634">
          <cell r="B10634" t="str">
            <v>14081000000807</v>
          </cell>
          <cell r="C10634" t="str">
            <v>CL INT COB CXL AVAL ACEPT.BKT INT CCOR  1ND</v>
          </cell>
        </row>
        <row r="10635">
          <cell r="B10635" t="str">
            <v>14081000000808</v>
          </cell>
          <cell r="C10635" t="str">
            <v>CL INT COB CXL CC AVAL BKT INT CPEM     1ND</v>
          </cell>
        </row>
        <row r="10636">
          <cell r="B10636" t="str">
            <v>14081000000809</v>
          </cell>
          <cell r="C10636" t="str">
            <v>CL INTXCOB CXL CC CAR CRED VISTA CCOR   1ND</v>
          </cell>
        </row>
        <row r="10637">
          <cell r="B10637" t="str">
            <v>14081000000810</v>
          </cell>
          <cell r="C10637" t="str">
            <v>CL INTXCOB CXL STAND BY CCOR            1ND</v>
          </cell>
        </row>
        <row r="10638">
          <cell r="B10638" t="str">
            <v>14081000000811</v>
          </cell>
          <cell r="C10638" t="str">
            <v>CL EX FORFAITING INT.VIG CCOR           1ND</v>
          </cell>
        </row>
        <row r="10639">
          <cell r="B10639" t="str">
            <v>14081000000812</v>
          </cell>
          <cell r="C10639" t="str">
            <v>CL INTXCOB CXL  COB AVAL CORP           1ND</v>
          </cell>
        </row>
        <row r="10640">
          <cell r="B10640" t="str">
            <v>14081000000813</v>
          </cell>
          <cell r="C10640" t="str">
            <v>CL EX FACTORING FORFAITING INT.VIG CCOR 1ND</v>
          </cell>
        </row>
        <row r="10641">
          <cell r="B10641" t="str">
            <v>14081000000814</v>
          </cell>
          <cell r="C10641" t="str">
            <v>CL  CONFIRMING INTER INT.VIG CCOR       1ND</v>
          </cell>
        </row>
        <row r="10642">
          <cell r="B10642" t="str">
            <v>14081000000815</v>
          </cell>
          <cell r="C10642" t="str">
            <v>CL INT.X COB.CRED.POR LIQ. CARTA FIANZA 1ND</v>
          </cell>
        </row>
        <row r="10643">
          <cell r="B10643" t="str">
            <v>14081000000901</v>
          </cell>
          <cell r="C10643" t="str">
            <v>IM INT X COBRAR  CTA CTE CCOR           1ND</v>
          </cell>
        </row>
        <row r="10644">
          <cell r="B10644" t="str">
            <v>14081000001101</v>
          </cell>
          <cell r="C10644" t="str">
            <v>TC INT X COB AMEX CDEUDA PAR VIG CCOR   1ND</v>
          </cell>
        </row>
        <row r="10645">
          <cell r="B10645" t="str">
            <v>14081000001102</v>
          </cell>
          <cell r="C10645" t="str">
            <v>TC INT X COB AMEX CDEUDA REV VIG CCOR   1ND</v>
          </cell>
        </row>
        <row r="10646">
          <cell r="B10646" t="str">
            <v>14081000001103</v>
          </cell>
          <cell r="C10646" t="str">
            <v>TC INT X COB AMEX COMPRA REV VIG CCOR   1ND</v>
          </cell>
        </row>
        <row r="10647">
          <cell r="B10647" t="str">
            <v>14081000001104</v>
          </cell>
          <cell r="C10647" t="str">
            <v>TC INT X COB AMEX D/E CUOTAS VIG CCOR   1ND</v>
          </cell>
        </row>
        <row r="10648">
          <cell r="B10648" t="str">
            <v>14081000001105</v>
          </cell>
          <cell r="C10648" t="str">
            <v>TC INT X COB AMEX D/E REV VIG CCOR      1ND</v>
          </cell>
        </row>
        <row r="10649">
          <cell r="B10649" t="str">
            <v>14081000001106</v>
          </cell>
          <cell r="C10649" t="str">
            <v>TC INT X COB AMEX EXTRACASH VIG CCOR    1ND</v>
          </cell>
        </row>
        <row r="10650">
          <cell r="B10650" t="str">
            <v>14081000001107</v>
          </cell>
          <cell r="C10650" t="str">
            <v>TC INT X COB AMEX REPROG PAR VIG CCOR   1ND</v>
          </cell>
        </row>
        <row r="10651">
          <cell r="B10651" t="str">
            <v>14081000001108</v>
          </cell>
          <cell r="C10651" t="str">
            <v>TC INT X COB AMEX REPROG REV VIG CCOR   1ND</v>
          </cell>
        </row>
        <row r="10652">
          <cell r="B10652" t="str">
            <v>14081000001109</v>
          </cell>
          <cell r="C10652" t="str">
            <v>TC INTXCOB AMEX COMPRA CUOTA VIG CCOR   1ND</v>
          </cell>
        </row>
        <row r="10653">
          <cell r="B10653" t="str">
            <v>14081000001110</v>
          </cell>
          <cell r="C10653" t="str">
            <v>TC INT X COB MC CDEUDA PAR VIG CCOR     1ND</v>
          </cell>
        </row>
        <row r="10654">
          <cell r="B10654" t="str">
            <v>14081000001111</v>
          </cell>
          <cell r="C10654" t="str">
            <v>TC INT X COB MC CDEUDA REV VIG CCOR     1ND</v>
          </cell>
        </row>
        <row r="10655">
          <cell r="B10655" t="str">
            <v>14081000001112</v>
          </cell>
          <cell r="C10655" t="str">
            <v>TC INT X COB MC COMPRA REV VIG CCOR     1ND</v>
          </cell>
        </row>
        <row r="10656">
          <cell r="B10656" t="str">
            <v>14081000001113</v>
          </cell>
          <cell r="C10656" t="str">
            <v>TC INT X COB MC D/E CUOTAS VIG CCOR     1ND</v>
          </cell>
        </row>
        <row r="10657">
          <cell r="B10657" t="str">
            <v>14081000001114</v>
          </cell>
          <cell r="C10657" t="str">
            <v>TC INT X COB MC D/E REV VIG CCOR        1ND</v>
          </cell>
        </row>
        <row r="10658">
          <cell r="B10658" t="str">
            <v>14081000001115</v>
          </cell>
          <cell r="C10658" t="str">
            <v>TC INT X COB MC EXTRACASH VIG CCOR      1ND</v>
          </cell>
        </row>
        <row r="10659">
          <cell r="B10659" t="str">
            <v>14081000001116</v>
          </cell>
          <cell r="C10659" t="str">
            <v>TC INT X COB MC REPROG PAR VIG CCOR     1ND</v>
          </cell>
        </row>
        <row r="10660">
          <cell r="B10660" t="str">
            <v>14081000001117</v>
          </cell>
          <cell r="C10660" t="str">
            <v>TC INT X COB MC REPROG REV VIG CCOR     1ND</v>
          </cell>
        </row>
        <row r="10661">
          <cell r="B10661" t="str">
            <v>14081000001118</v>
          </cell>
          <cell r="C10661" t="str">
            <v>TC INTXCOB MC COMPRA CUOTA VIG CCOR     1ND</v>
          </cell>
        </row>
        <row r="10662">
          <cell r="B10662" t="str">
            <v>14081000001119</v>
          </cell>
          <cell r="C10662" t="str">
            <v>TC INT X COB VISA CDEUDA PAR VIG CCOR   1ND</v>
          </cell>
        </row>
        <row r="10663">
          <cell r="B10663" t="str">
            <v>14081000001120</v>
          </cell>
          <cell r="C10663" t="str">
            <v>TC INT X COB VISA CDEUDA REV VIG CCOR   1ND</v>
          </cell>
        </row>
        <row r="10664">
          <cell r="B10664" t="str">
            <v>14081000001121</v>
          </cell>
          <cell r="C10664" t="str">
            <v>TC INT X COB VISA COMPRA REV VIG CCOR   1ND</v>
          </cell>
        </row>
        <row r="10665">
          <cell r="B10665" t="str">
            <v>14081000001122</v>
          </cell>
          <cell r="C10665" t="str">
            <v>TC INT X COB VISA D/E CUOTAS VIG CCOR   1ND</v>
          </cell>
        </row>
        <row r="10666">
          <cell r="B10666" t="str">
            <v>14081000001123</v>
          </cell>
          <cell r="C10666" t="str">
            <v>TC INT X COB VISA D/E REV VIG CCOR      1ND</v>
          </cell>
        </row>
        <row r="10667">
          <cell r="B10667" t="str">
            <v>14081000001124</v>
          </cell>
          <cell r="C10667" t="str">
            <v>TC INT X COB VISA EXTRACASH VIG CCOR    1ND</v>
          </cell>
        </row>
        <row r="10668">
          <cell r="B10668" t="str">
            <v>14081000001125</v>
          </cell>
          <cell r="C10668" t="str">
            <v>TC INT X COB VISA REPROG PAR VIG CCOR   1ND</v>
          </cell>
        </row>
        <row r="10669">
          <cell r="B10669" t="str">
            <v>14081000001126</v>
          </cell>
          <cell r="C10669" t="str">
            <v>TC INT X COB VISA REPROG REV VIG CCOR   1ND</v>
          </cell>
        </row>
        <row r="10670">
          <cell r="B10670" t="str">
            <v>14081000001127</v>
          </cell>
          <cell r="C10670" t="str">
            <v>TC INTXCOB VISA COMPRA CUOTA VIG CCOR   1ND</v>
          </cell>
        </row>
        <row r="10671">
          <cell r="B10671" t="str">
            <v>14081000001201</v>
          </cell>
          <cell r="C10671" t="str">
            <v>LPC CTA X COB INT DIF LS COFIDE PDL CCOR1ND</v>
          </cell>
        </row>
        <row r="10672">
          <cell r="B10672" t="str">
            <v>14081000001202</v>
          </cell>
          <cell r="C10672" t="str">
            <v>LPC LS COFIDE CTA XCOBRAR INT DIF SEG SD1ND</v>
          </cell>
        </row>
        <row r="10673">
          <cell r="B10673" t="str">
            <v>14081000001301</v>
          </cell>
          <cell r="C10673" t="str">
            <v>LPC INTXCOB PAG FINAN PROY CCOR         1ND</v>
          </cell>
        </row>
        <row r="10674">
          <cell r="B10674" t="str">
            <v>14081000001350</v>
          </cell>
          <cell r="C10674" t="str">
            <v>LPC CTA X COB INT DIFER LEASING DERIVADO1ND</v>
          </cell>
        </row>
        <row r="10675">
          <cell r="B10675" t="str">
            <v>14081000001351</v>
          </cell>
          <cell r="C10675" t="str">
            <v>LPC CTA XCOBRAR INT DIF SEG LEASING DERI1ND</v>
          </cell>
        </row>
        <row r="10676">
          <cell r="B10676" t="str">
            <v>14081000001401</v>
          </cell>
          <cell r="C10676" t="str">
            <v>LPC INTXCOB PAGARE DERIVADOS VIG CCOR   1ND</v>
          </cell>
        </row>
        <row r="10677">
          <cell r="B10677" t="str">
            <v>14081000005104</v>
          </cell>
          <cell r="C10677" t="str">
            <v>PR LETRAS T. DESCONTADAÂ  INTE VIGÂ Â  C1ND</v>
          </cell>
        </row>
        <row r="10678">
          <cell r="B10678" t="str">
            <v>14081000005105</v>
          </cell>
          <cell r="C10678" t="str">
            <v>LPC CTA X COB INT PRECUOTAS LS BIEN CCOR1ND</v>
          </cell>
        </row>
        <row r="10679">
          <cell r="B10679" t="str">
            <v>14081000005110</v>
          </cell>
          <cell r="C10679" t="str">
            <v>LPC REACTIVA PERU VIG CCOR\NORM         1ND</v>
          </cell>
        </row>
        <row r="10680">
          <cell r="B10680" t="str">
            <v>14081000005111</v>
          </cell>
          <cell r="C10680" t="str">
            <v>LPC COFIDE FONDOS PERU VIG CCOR\NORM    1ND</v>
          </cell>
        </row>
        <row r="10681">
          <cell r="B10681" t="str">
            <v>14081000005112</v>
          </cell>
          <cell r="C10681" t="str">
            <v>LPC COFIDE FONDO CRECER VIG CCOR\NORM   1ND</v>
          </cell>
        </row>
        <row r="10682">
          <cell r="B10682" t="str">
            <v>14081000005113</v>
          </cell>
          <cell r="C10682" t="str">
            <v>LPC REACTIVA PERU VIG CCOR\NORM         1ND</v>
          </cell>
        </row>
        <row r="10683">
          <cell r="B10683" t="str">
            <v>14081000005114</v>
          </cell>
          <cell r="C10683" t="str">
            <v>LPC COFIDE FONDOS CRECER CCOR VIG\NORM  1ND</v>
          </cell>
        </row>
        <row r="10684">
          <cell r="B10684" t="str">
            <v>14081000005115</v>
          </cell>
          <cell r="C10684" t="str">
            <v>LPC COFIDE FONDOS CRECER CCOR VIG\NORM  1ND</v>
          </cell>
        </row>
        <row r="10685">
          <cell r="B10685" t="str">
            <v>14081000005116</v>
          </cell>
          <cell r="C10685" t="str">
            <v>LPC REPROG EM COVID-19 PRE-EMBARQUE CCOR1ND</v>
          </cell>
        </row>
        <row r="10686">
          <cell r="B10686" t="str">
            <v>14081000005117</v>
          </cell>
          <cell r="C10686" t="str">
            <v>LPC REPROG EM COVID-19 POST-EMBARQUE CCO1ND</v>
          </cell>
        </row>
        <row r="10687">
          <cell r="B10687" t="str">
            <v>14081000005118</v>
          </cell>
          <cell r="C10687" t="str">
            <v>LPC REPROG EM COVID-19 FINAN.COMEX CCOR\1ND</v>
          </cell>
        </row>
        <row r="10688">
          <cell r="B10688" t="str">
            <v>14081000005120</v>
          </cell>
          <cell r="C10688" t="str">
            <v>LPC PAG MEDIANO PLAZO COVID-19 CCOR     1ND</v>
          </cell>
        </row>
        <row r="10689">
          <cell r="B10689" t="str">
            <v>14081000005121</v>
          </cell>
          <cell r="C10689" t="str">
            <v>LPC REF_FINAN_ESPECIALES_INT CCOR COVID-1ND</v>
          </cell>
        </row>
        <row r="10690">
          <cell r="B10690" t="str">
            <v>14081000005123</v>
          </cell>
          <cell r="C10690" t="str">
            <v>LPC 30K REACTIVA CORTO PLAZO REPROG VIG 1 D</v>
          </cell>
        </row>
        <row r="10691">
          <cell r="B10691" t="str">
            <v>14081000005124</v>
          </cell>
          <cell r="C10691" t="str">
            <v>LPC REPROG REACTIVA DIFE CCOR INT VIG   1 D</v>
          </cell>
        </row>
        <row r="10692">
          <cell r="B10692" t="str">
            <v>14081000005125</v>
          </cell>
          <cell r="C10692" t="str">
            <v>LPC REPROG REACTIVA DS.011-2022 CCOR NOR1 D</v>
          </cell>
        </row>
        <row r="10693">
          <cell r="B10693" t="str">
            <v>14081000005127</v>
          </cell>
          <cell r="C10693" t="str">
            <v>LPC RP MED PZ PREST VERDE-SOCIAL CCOR VI1 D</v>
          </cell>
        </row>
        <row r="10694">
          <cell r="B10694" t="str">
            <v>14081000005128</v>
          </cell>
          <cell r="C10694" t="str">
            <v>LPC RP MED PZ PREST SOSTENIBLE CCOR VIG 1 D</v>
          </cell>
        </row>
        <row r="10695">
          <cell r="B10695" t="str">
            <v>14081000005129</v>
          </cell>
          <cell r="C10695" t="str">
            <v>LPC PAG FINAN PROY VERDE-SOCIAL CCOR NOR1 D</v>
          </cell>
        </row>
        <row r="10696">
          <cell r="B10696" t="str">
            <v>14081000005130</v>
          </cell>
          <cell r="C10696" t="str">
            <v>LPC PAG FINAN PROY VERDE-SOCIAL CCOR NOR1 D</v>
          </cell>
        </row>
        <row r="10697">
          <cell r="B10697" t="str">
            <v>14081000005131</v>
          </cell>
          <cell r="C10697" t="str">
            <v>LPC PAG BIENES INMB RENT VERD-SOCIAL CCO1 D</v>
          </cell>
        </row>
        <row r="10698">
          <cell r="B10698" t="str">
            <v>14081000005132</v>
          </cell>
          <cell r="C10698" t="str">
            <v>LPC PAG BIEN INMB RENT VINC-SOSTENIB CCO1 D</v>
          </cell>
        </row>
        <row r="10699">
          <cell r="B10699" t="str">
            <v>14081000005133</v>
          </cell>
          <cell r="C10699" t="str">
            <v>LPC REPROG REACTIVA 2023 VIG CCOR NORM I1 D</v>
          </cell>
        </row>
        <row r="10700">
          <cell r="B10700" t="str">
            <v>14081000005136</v>
          </cell>
          <cell r="C10700" t="str">
            <v>LPC INT LEASING FINANCIACION PROYECTO CC1 D</v>
          </cell>
        </row>
        <row r="10701">
          <cell r="B10701" t="str">
            <v>14081000005137</v>
          </cell>
          <cell r="C10701" t="str">
            <v>LPC INT LEASING FINANCIACION PROYECTO CC1 D</v>
          </cell>
        </row>
        <row r="10702">
          <cell r="B10702" t="str">
            <v>14081000005138</v>
          </cell>
          <cell r="C10702" t="str">
            <v>LPC INT IMPULSO MYPERU CORTO PLAZO CCOR 1 D</v>
          </cell>
        </row>
        <row r="10703">
          <cell r="B10703" t="str">
            <v>14081000005139</v>
          </cell>
          <cell r="C10703" t="str">
            <v>LPC INT IMPULSO MYPERU MEDIANO PLAZO CCO1 D</v>
          </cell>
        </row>
        <row r="10704">
          <cell r="B10704" t="str">
            <v>14081000005140</v>
          </cell>
          <cell r="C10704" t="str">
            <v>MYP CAP.TRAB.REUT.VIG.CCOR NORM         1 D</v>
          </cell>
        </row>
        <row r="10705">
          <cell r="B10705" t="str">
            <v>14081000005141</v>
          </cell>
          <cell r="C10705" t="str">
            <v>MYP CODIFE FONDO CRECER    NORM         1 D</v>
          </cell>
        </row>
        <row r="10706">
          <cell r="B10706" t="str">
            <v>14081000005142</v>
          </cell>
          <cell r="C10706" t="str">
            <v>MYP COFIDE REACTIVA PERU   NORM         1 D</v>
          </cell>
        </row>
        <row r="10707">
          <cell r="B10707" t="str">
            <v>14081000005143</v>
          </cell>
          <cell r="C10707" t="str">
            <v>MYP REACTIVA REPRO PERU    NORM         1 D</v>
          </cell>
        </row>
        <row r="10708">
          <cell r="B10708" t="str">
            <v>14081000005144</v>
          </cell>
          <cell r="C10708" t="str">
            <v>MYP 30K REACTIVA PERU REPROG 2023    NOR1 D</v>
          </cell>
        </row>
        <row r="10709">
          <cell r="B10709" t="str">
            <v>14081000005145</v>
          </cell>
          <cell r="C10709" t="str">
            <v>MYP CAPITAL DE TRABAJO CIMA  NORM       1 D</v>
          </cell>
        </row>
        <row r="10710">
          <cell r="B10710" t="str">
            <v>14081000005146</v>
          </cell>
          <cell r="C10710" t="str">
            <v>MYP CAP.VIG CAP. TRAB. NORM CCOR NORM   1 D</v>
          </cell>
        </row>
        <row r="10711">
          <cell r="B10711" t="str">
            <v>14081000005147</v>
          </cell>
          <cell r="C10711" t="str">
            <v>MYP LINEA REVOL REUT.VIG CCOR NORM      1 D</v>
          </cell>
        </row>
        <row r="10712">
          <cell r="B10712" t="str">
            <v>14081000005148</v>
          </cell>
          <cell r="C10712" t="str">
            <v>LPC PAG PAPERLESS DERIVADOS REV/NR INT C1ND</v>
          </cell>
        </row>
        <row r="10713">
          <cell r="B10713" t="str">
            <v>14081000005149</v>
          </cell>
          <cell r="C10713" t="str">
            <v>CCD-BPE CAPITAL DE TRABAJO_CCOR VIG NORM1 D</v>
          </cell>
        </row>
        <row r="10714">
          <cell r="B10714" t="str">
            <v>14081000005150</v>
          </cell>
          <cell r="C10714" t="str">
            <v>CCD-BPE LINEA REVOLVENTE_CCOR VIG NORM  1 D</v>
          </cell>
        </row>
        <row r="10715">
          <cell r="B10715" t="str">
            <v>14081000008001</v>
          </cell>
          <cell r="C10715" t="str">
            <v>PAN CREDITOS CORPORATIVOS               1ND</v>
          </cell>
        </row>
        <row r="10716">
          <cell r="B10716" t="str">
            <v>14081000008002</v>
          </cell>
          <cell r="C10716" t="str">
            <v>PAN INT POR COBRAR CREDITOS PRE EMBARQUE1ND</v>
          </cell>
        </row>
        <row r="10717">
          <cell r="B10717" t="str">
            <v>14081000008003</v>
          </cell>
          <cell r="C10717" t="str">
            <v>PAN INT POR COBRAR CREDITOS POST EMBARQU1ND</v>
          </cell>
        </row>
        <row r="10718">
          <cell r="B10718" t="str">
            <v>14081100000101</v>
          </cell>
          <cell r="C10718" t="str">
            <v>LPC CTA X COB INT DIFER LS BIEN CGEM    1ND</v>
          </cell>
        </row>
        <row r="10719">
          <cell r="B10719" t="str">
            <v>14081100000102</v>
          </cell>
          <cell r="C10719" t="str">
            <v>LPC CTA XCOBRAR INT DIF SEG CGEM        1ND</v>
          </cell>
        </row>
        <row r="10720">
          <cell r="B10720" t="str">
            <v>14081100000103</v>
          </cell>
          <cell r="C10720" t="str">
            <v>LPC AVA CUENT  INT X COB CGEM           1ND</v>
          </cell>
        </row>
        <row r="10721">
          <cell r="B10721" t="str">
            <v>14081100000104</v>
          </cell>
          <cell r="C10721" t="str">
            <v>LPC CTA X COB. INT DIF VIG LS BACK COFID1ND</v>
          </cell>
        </row>
        <row r="10722">
          <cell r="B10722" t="str">
            <v>14081100000105</v>
          </cell>
          <cell r="C10722" t="str">
            <v>LPC CTA X COB. SEG INT DIF VIG LS BACK C1ND</v>
          </cell>
        </row>
        <row r="10723">
          <cell r="B10723" t="str">
            <v>14081100000106</v>
          </cell>
          <cell r="C10723" t="str">
            <v>LPC INTXCOB PAG REPROGRAMADO            1ND</v>
          </cell>
        </row>
        <row r="10724">
          <cell r="B10724" t="str">
            <v>14081100000107</v>
          </cell>
          <cell r="C10724" t="str">
            <v>MYP INTXCOB.VIG C.TRAB CIMA NOR/ DP CGEM1ND</v>
          </cell>
        </row>
        <row r="10725">
          <cell r="B10725" t="str">
            <v>14081100000201</v>
          </cell>
          <cell r="C10725" t="str">
            <v>LPC LEESEBACK CTAXCOB INT DIF CGEM      1ND</v>
          </cell>
        </row>
        <row r="10726">
          <cell r="B10726" t="str">
            <v>14081100000202</v>
          </cell>
          <cell r="C10726" t="str">
            <v>LPC CTAXCOB INT SEG LSBACK CGEM         1ND</v>
          </cell>
        </row>
        <row r="10727">
          <cell r="B10727" t="str">
            <v>14081100000203</v>
          </cell>
          <cell r="C10727" t="str">
            <v>FACT INTER IMPORT   COMP.VIG. CGEM NORMA1ND</v>
          </cell>
        </row>
        <row r="10728">
          <cell r="B10728" t="str">
            <v>14081100000301</v>
          </cell>
          <cell r="C10728" t="str">
            <v>COM X COB TC-COMERC AMEX CGEM           1ND</v>
          </cell>
        </row>
        <row r="10729">
          <cell r="B10729" t="str">
            <v>14081100000302</v>
          </cell>
          <cell r="C10729" t="str">
            <v>COM X COB TC-COMERC VEA CGEM            1ND</v>
          </cell>
        </row>
        <row r="10730">
          <cell r="B10730" t="str">
            <v>14081100000303</v>
          </cell>
          <cell r="C10730" t="str">
            <v>INT X COB  TC-COMERC VEA CGEM           1ND</v>
          </cell>
        </row>
        <row r="10731">
          <cell r="B10731" t="str">
            <v>14081100000304</v>
          </cell>
          <cell r="C10731" t="str">
            <v>INT X COB  TC-COMERCIAL AMEX CGEM       1ND</v>
          </cell>
        </row>
        <row r="10732">
          <cell r="B10732" t="str">
            <v>14081100000401</v>
          </cell>
          <cell r="C10732" t="str">
            <v>INT X COB TC-COMERCIAL CGEM             1ND</v>
          </cell>
        </row>
        <row r="10733">
          <cell r="B10733" t="str">
            <v>14081100000402</v>
          </cell>
          <cell r="C10733" t="str">
            <v>COM X COB TC IBKVISA COMERC CGEM        1ND</v>
          </cell>
        </row>
        <row r="10734">
          <cell r="B10734" t="str">
            <v>14081100000403</v>
          </cell>
          <cell r="C10734" t="str">
            <v>INT X COB TC-COMERC MC CGEM             1ND</v>
          </cell>
        </row>
        <row r="10735">
          <cell r="B10735" t="str">
            <v>14081100000404</v>
          </cell>
          <cell r="C10735" t="str">
            <v>COM X COB TC COMERC MC CGEM             1ND</v>
          </cell>
        </row>
        <row r="10736">
          <cell r="B10736" t="str">
            <v>14081100000501</v>
          </cell>
          <cell r="C10736" t="str">
            <v>LPC INTXCOB PAGARE TV CGEM              1ND</v>
          </cell>
        </row>
        <row r="10737">
          <cell r="B10737" t="str">
            <v>14081100000502</v>
          </cell>
          <cell r="C10737" t="str">
            <v>LPC INT X COBRAR PAG TV COFIDE CGEM     1ND</v>
          </cell>
        </row>
        <row r="10738">
          <cell r="B10738" t="str">
            <v>14081100000503</v>
          </cell>
          <cell r="C10738" t="str">
            <v>LPC INTXCOB PAG TV RP MED PLAZO         1ND</v>
          </cell>
        </row>
        <row r="10739">
          <cell r="B10739" t="str">
            <v>14081100000504</v>
          </cell>
          <cell r="C10739" t="str">
            <v>LPC INTXCOB PAG TV INMOBILIARIO         1ND</v>
          </cell>
        </row>
        <row r="10740">
          <cell r="B10740" t="str">
            <v>14081100000505</v>
          </cell>
          <cell r="C10740" t="str">
            <v>LPC INTXCOB FINANC PRE EMBARQUE         1ND</v>
          </cell>
        </row>
        <row r="10741">
          <cell r="B10741" t="str">
            <v>14081100000506</v>
          </cell>
          <cell r="C10741" t="str">
            <v>LPC INTXCOB PAG TV EUROS                1ND</v>
          </cell>
        </row>
        <row r="10742">
          <cell r="B10742" t="str">
            <v>14081100000507</v>
          </cell>
          <cell r="C10742" t="str">
            <v>LPC INTXCOB PAGARE DERIVADOS VIG CGEM   1ND</v>
          </cell>
        </row>
        <row r="10743">
          <cell r="B10743" t="str">
            <v>14081100000508</v>
          </cell>
          <cell r="C10743" t="str">
            <v>LPC INT X COBRAR PAG. FINANC PROY COFIDE1ND</v>
          </cell>
        </row>
        <row r="10744">
          <cell r="B10744" t="str">
            <v>14081100000509</v>
          </cell>
          <cell r="C10744" t="str">
            <v>LPC INTXCOB PAGARE FORFAITING CGEM      1ND</v>
          </cell>
        </row>
        <row r="10745">
          <cell r="B10745" t="str">
            <v>14081100000510</v>
          </cell>
          <cell r="C10745" t="str">
            <v>LPC IDL CTA X COB.MYP INT DIF.LS CGEM   1ND</v>
          </cell>
        </row>
        <row r="10746">
          <cell r="B10746" t="str">
            <v>14081100000511</v>
          </cell>
          <cell r="C10746" t="str">
            <v>LPC IDS CTA X COB.MYP INT DIF.LS CGEM   1ND</v>
          </cell>
        </row>
        <row r="10747">
          <cell r="B10747" t="str">
            <v>14081100000601</v>
          </cell>
          <cell r="C10747" t="str">
            <v>FCD  INTXCOB LETRASÂ  DSCTOÂ  CGEM      1ND</v>
          </cell>
        </row>
        <row r="10748">
          <cell r="B10748" t="str">
            <v>14081100000602</v>
          </cell>
          <cell r="C10748" t="str">
            <v>FCD  DSCTO ELECTR SM PERU I.VIG CGEM    1ND</v>
          </cell>
        </row>
        <row r="10749">
          <cell r="B10749" t="str">
            <v>14081100000603</v>
          </cell>
          <cell r="C10749" t="str">
            <v>PR CTA.X COB (UTILIDAD) COMP.VTO.15D CGE1ND</v>
          </cell>
        </row>
        <row r="10750">
          <cell r="B10750" t="str">
            <v>14081100000604</v>
          </cell>
          <cell r="C10750" t="str">
            <v>FCD  CTA.X COBRAR (UTILIDAD) DIFERIDO CG1ND</v>
          </cell>
        </row>
        <row r="10751">
          <cell r="B10751" t="str">
            <v>14081100000605</v>
          </cell>
          <cell r="C10751" t="str">
            <v>PR CTAXCOB (UTIL)FACT.FACTORING COMP. CG1ND</v>
          </cell>
        </row>
        <row r="10752">
          <cell r="B10752" t="str">
            <v>14081100000606</v>
          </cell>
          <cell r="C10752" t="str">
            <v>PR CTA.X COB (UTIL)FACT.FACTORING DIF CG1ND</v>
          </cell>
        </row>
        <row r="10753">
          <cell r="B10753" t="str">
            <v>14081100000607</v>
          </cell>
          <cell r="C10753" t="str">
            <v>FCD  FACT ELECTR LET/FACT I.COMPENS CGEM1ND</v>
          </cell>
        </row>
        <row r="10754">
          <cell r="B10754" t="str">
            <v>14081100000608</v>
          </cell>
          <cell r="C10754" t="str">
            <v>FCD FACT ELECTR LET/FACT I.DIF CGEM     1ND</v>
          </cell>
        </row>
        <row r="10755">
          <cell r="B10755" t="str">
            <v>14081100000609</v>
          </cell>
          <cell r="C10755" t="str">
            <v>PR FACT INTERN INT GANAD VIG CGEM       1ND</v>
          </cell>
        </row>
        <row r="10756">
          <cell r="B10756" t="str">
            <v>14081100000610</v>
          </cell>
          <cell r="C10756" t="str">
            <v>PR PERU FACTORING INT COMPENS CGEM      1ND</v>
          </cell>
        </row>
        <row r="10757">
          <cell r="B10757" t="str">
            <v>14081100000611</v>
          </cell>
          <cell r="C10757" t="str">
            <v>PR PERU FACTORING INT.DIF CGEM          1ND</v>
          </cell>
        </row>
        <row r="10758">
          <cell r="B10758" t="str">
            <v>14081100000612</v>
          </cell>
          <cell r="C10758" t="str">
            <v>PR FORFAITING EXPORTACIÃ“N X COBRAR VIG 1ND</v>
          </cell>
        </row>
        <row r="10759">
          <cell r="B10759" t="str">
            <v>14081100000613</v>
          </cell>
          <cell r="C10759" t="str">
            <v>FCD FACT INTER EXPO INT x cobrar VIG NOR1ND</v>
          </cell>
        </row>
        <row r="10760">
          <cell r="B10760" t="str">
            <v>14081100000614</v>
          </cell>
          <cell r="C10760" t="str">
            <v>FCD FORFAITING EXPO X COBRAR VIG NORM  C1ND</v>
          </cell>
        </row>
        <row r="10761">
          <cell r="B10761" t="str">
            <v>14081100000615</v>
          </cell>
          <cell r="C10761" t="str">
            <v>FCD CONFIRMING INTERNACIONAL INT x cobra1ND</v>
          </cell>
        </row>
        <row r="10762">
          <cell r="B10762" t="str">
            <v>14081100000616</v>
          </cell>
          <cell r="C10762" t="str">
            <v>FCD DESC. VIRTUAL I. COMP.VIG. CGEM NORM1ND</v>
          </cell>
        </row>
        <row r="10763">
          <cell r="B10763" t="str">
            <v>14081100000701</v>
          </cell>
          <cell r="C10763" t="str">
            <v>CL INT X COBRAR EX PRE EM RP CGEM       1ND</v>
          </cell>
        </row>
        <row r="10764">
          <cell r="B10764" t="str">
            <v>14081100000702</v>
          </cell>
          <cell r="C10764" t="str">
            <v>CL INT X COB EX POST EMB RP CESF        1ND</v>
          </cell>
        </row>
        <row r="10765">
          <cell r="B10765" t="str">
            <v>14081100000703</v>
          </cell>
          <cell r="C10765" t="str">
            <v>CL INT X COB IMPOR CGEM                 1ND</v>
          </cell>
        </row>
        <row r="10766">
          <cell r="B10766" t="str">
            <v>14081100000704</v>
          </cell>
          <cell r="C10766" t="str">
            <v>LPC INTXCOB WORK CAP.EX PRE EMB. CGEM   1ND</v>
          </cell>
        </row>
        <row r="10767">
          <cell r="B10767" t="str">
            <v>14081100000705</v>
          </cell>
          <cell r="C10767" t="str">
            <v>LPC INTXCOB FINANC PRE EMBARQUE-SEPYMEX 1ND</v>
          </cell>
        </row>
        <row r="10768">
          <cell r="B10768" t="str">
            <v>14081100000706</v>
          </cell>
          <cell r="C10768" t="str">
            <v>LPC INTXCOB PRE EMBARQUE VIG.NORM CGEM  1ND</v>
          </cell>
        </row>
        <row r="10769">
          <cell r="B10769" t="str">
            <v>14081100000707</v>
          </cell>
          <cell r="C10769" t="str">
            <v>LPC INTXCOB POST EMBARQUE VIG.NORM CGEM 1ND</v>
          </cell>
        </row>
        <row r="10770">
          <cell r="B10770" t="str">
            <v>14081100000708</v>
          </cell>
          <cell r="C10770" t="str">
            <v>LPC INTXCOB IMPORT. CARTA CREDITO  VIG.N1ND</v>
          </cell>
        </row>
        <row r="10771">
          <cell r="B10771" t="str">
            <v>14081100000709</v>
          </cell>
          <cell r="C10771" t="str">
            <v>LPC INTXCOB IMPORT.  VIG.NORM CGEM      1ND</v>
          </cell>
        </row>
        <row r="10772">
          <cell r="B10772" t="str">
            <v>14081100000710</v>
          </cell>
          <cell r="C10772" t="str">
            <v>LPC P.TSA.DSCTO.INT.X COB.VIG CGEM      1ND</v>
          </cell>
        </row>
        <row r="10773">
          <cell r="B10773" t="str">
            <v>14081100000801</v>
          </cell>
          <cell r="C10773" t="str">
            <v>CL INTXCOB PAG DSCTO CGEM               1ND</v>
          </cell>
        </row>
        <row r="10774">
          <cell r="B10774" t="str">
            <v>14081100000802</v>
          </cell>
          <cell r="C10774" t="str">
            <v>CL INTXCOB TV CGEM                      1ND</v>
          </cell>
        </row>
        <row r="10775">
          <cell r="B10775" t="str">
            <v>14081100000803</v>
          </cell>
          <cell r="C10775" t="str">
            <v>CL INTXCOB PAG.TV NEG.INMOB VIG CGEM    1ND</v>
          </cell>
        </row>
        <row r="10776">
          <cell r="B10776" t="str">
            <v>14081100000804</v>
          </cell>
          <cell r="C10776" t="str">
            <v>CL INT.DEUD.VTA CARTERA VIG CGEM        1ND</v>
          </cell>
        </row>
        <row r="10777">
          <cell r="B10777" t="str">
            <v>14081100000805</v>
          </cell>
          <cell r="C10777" t="str">
            <v>CL INT X COBRAR PREST COFIDE CGEM       1ND</v>
          </cell>
        </row>
        <row r="10778">
          <cell r="B10778" t="str">
            <v>14081100000806</v>
          </cell>
          <cell r="C10778" t="str">
            <v>CL INT COB CXL  ACEPT.BKT INT CGEM      1ND</v>
          </cell>
        </row>
        <row r="10779">
          <cell r="B10779" t="str">
            <v>14081100000807</v>
          </cell>
          <cell r="C10779" t="str">
            <v>CL INT COB CXL AVAL ACEPT.BKT INT CGEM  1ND</v>
          </cell>
        </row>
        <row r="10780">
          <cell r="B10780" t="str">
            <v>14081100000808</v>
          </cell>
          <cell r="C10780" t="str">
            <v>CL INT COB CXL CC AVAL BKT INT CGEM     1ND</v>
          </cell>
        </row>
        <row r="10781">
          <cell r="B10781" t="str">
            <v>14081100000809</v>
          </cell>
          <cell r="C10781" t="str">
            <v>CL INTXCOB CXL CC CAR CRED VISTA CGEM   1ND</v>
          </cell>
        </row>
        <row r="10782">
          <cell r="B10782" t="str">
            <v>14081100000810</v>
          </cell>
          <cell r="C10782" t="str">
            <v>CL INTXCOB CXL  STAND BY CGEM           1ND</v>
          </cell>
        </row>
        <row r="10783">
          <cell r="B10783" t="str">
            <v>14081100000811</v>
          </cell>
          <cell r="C10783" t="str">
            <v>CL EX FORFAITING INT.VIG CGEM           1ND</v>
          </cell>
        </row>
        <row r="10784">
          <cell r="B10784" t="str">
            <v>14081100000812</v>
          </cell>
          <cell r="C10784" t="str">
            <v>CL INTXCOB CXL  COB AVAL CGEM           1ND</v>
          </cell>
        </row>
        <row r="10785">
          <cell r="B10785" t="str">
            <v>14081100000813</v>
          </cell>
          <cell r="C10785" t="str">
            <v>CL EX FACTORING FORFAITING INT.VIG CGEM 1ND</v>
          </cell>
        </row>
        <row r="10786">
          <cell r="B10786" t="str">
            <v>14081100000814</v>
          </cell>
          <cell r="C10786" t="str">
            <v>CL  CONFIRMING INTER INT.VIG CGEM       1ND</v>
          </cell>
        </row>
        <row r="10787">
          <cell r="B10787" t="str">
            <v>14081100000815</v>
          </cell>
          <cell r="C10787" t="str">
            <v>CL INT.X COB.CRED.POR LIQ. CARTA FIANZA 1ND</v>
          </cell>
        </row>
        <row r="10788">
          <cell r="B10788" t="str">
            <v>14081100000901</v>
          </cell>
          <cell r="C10788" t="str">
            <v>IM INT X COBRAR  CTA CTE CGEM           1ND</v>
          </cell>
        </row>
        <row r="10789">
          <cell r="B10789" t="str">
            <v>14081100001001</v>
          </cell>
          <cell r="C10789" t="str">
            <v>TC INT X COB AMEX CDEUDA PAR VIG CGEM   1ND</v>
          </cell>
        </row>
        <row r="10790">
          <cell r="B10790" t="str">
            <v>14081100001002</v>
          </cell>
          <cell r="C10790" t="str">
            <v>TC INT X COB AMEX CDEUDA REV VIG CGEM   1ND</v>
          </cell>
        </row>
        <row r="10791">
          <cell r="B10791" t="str">
            <v>14081100001003</v>
          </cell>
          <cell r="C10791" t="str">
            <v>TC INT X COB AMEX COMPRA REV VIG CGEM   1ND</v>
          </cell>
        </row>
        <row r="10792">
          <cell r="B10792" t="str">
            <v>14081100001004</v>
          </cell>
          <cell r="C10792" t="str">
            <v>TC INT X COB AMEX D/E CUOTAS VIG CGEM   1ND</v>
          </cell>
        </row>
        <row r="10793">
          <cell r="B10793" t="str">
            <v>14081100001005</v>
          </cell>
          <cell r="C10793" t="str">
            <v>TC INT X COB AMEX D/E REV VIG CGEM      1ND</v>
          </cell>
        </row>
        <row r="10794">
          <cell r="B10794" t="str">
            <v>14081100001006</v>
          </cell>
          <cell r="C10794" t="str">
            <v>TC INT X COB AMEX EXTRACASH VIG CGEM    1ND</v>
          </cell>
        </row>
        <row r="10795">
          <cell r="B10795" t="str">
            <v>14081100001007</v>
          </cell>
          <cell r="C10795" t="str">
            <v>TC INT X COB AMEX REPROG PAR VIG CGEM   1ND</v>
          </cell>
        </row>
        <row r="10796">
          <cell r="B10796" t="str">
            <v>14081100001008</v>
          </cell>
          <cell r="C10796" t="str">
            <v>TC INT X COB AMEX REPROG REV VIG CGEM   1ND</v>
          </cell>
        </row>
        <row r="10797">
          <cell r="B10797" t="str">
            <v>14081100001009</v>
          </cell>
          <cell r="C10797" t="str">
            <v>TC INTXCOB AMEX COMPRA CUOTA VIG CGEM   1ND</v>
          </cell>
        </row>
        <row r="10798">
          <cell r="B10798" t="str">
            <v>14081100001010</v>
          </cell>
          <cell r="C10798" t="str">
            <v>TC INT X COB MC CDEUDA PAR VIG CGEM     1ND</v>
          </cell>
        </row>
        <row r="10799">
          <cell r="B10799" t="str">
            <v>14081100001011</v>
          </cell>
          <cell r="C10799" t="str">
            <v>TC INT X COB MC CDEUDA REV VIG CGEM     1ND</v>
          </cell>
        </row>
        <row r="10800">
          <cell r="B10800" t="str">
            <v>14081100001012</v>
          </cell>
          <cell r="C10800" t="str">
            <v>TC INT X COB MC COMPRA REV VIG CGEM     1ND</v>
          </cell>
        </row>
        <row r="10801">
          <cell r="B10801" t="str">
            <v>14081100001013</v>
          </cell>
          <cell r="C10801" t="str">
            <v>TC INT X COB MC D/E CUOTAS VIG CGEM     1ND</v>
          </cell>
        </row>
        <row r="10802">
          <cell r="B10802" t="str">
            <v>14081100001014</v>
          </cell>
          <cell r="C10802" t="str">
            <v>TC INT X COB MC D/E REV VIG CGEM        1ND</v>
          </cell>
        </row>
        <row r="10803">
          <cell r="B10803" t="str">
            <v>14081100001015</v>
          </cell>
          <cell r="C10803" t="str">
            <v>TC INT X COB MC EXTRACASH VIG CGEM      1ND</v>
          </cell>
        </row>
        <row r="10804">
          <cell r="B10804" t="str">
            <v>14081100001016</v>
          </cell>
          <cell r="C10804" t="str">
            <v>TC INT X COB MC REPROG PAR VIG CGEM     1ND</v>
          </cell>
        </row>
        <row r="10805">
          <cell r="B10805" t="str">
            <v>14081100001017</v>
          </cell>
          <cell r="C10805" t="str">
            <v>TC INT X COB MC REPROG REV VIG CGEM     1ND</v>
          </cell>
        </row>
        <row r="10806">
          <cell r="B10806" t="str">
            <v>14081100001018</v>
          </cell>
          <cell r="C10806" t="str">
            <v>TC INTXCOB MC COMPRA CUOTA VIG CGEM     1ND</v>
          </cell>
        </row>
        <row r="10807">
          <cell r="B10807" t="str">
            <v>14081100001019</v>
          </cell>
          <cell r="C10807" t="str">
            <v>TC INT X COB VISA CDEUDA PAR VIG CGEM   1ND</v>
          </cell>
        </row>
        <row r="10808">
          <cell r="B10808" t="str">
            <v>14081100001020</v>
          </cell>
          <cell r="C10808" t="str">
            <v>TC INT X COB VISA CDEUDA REV VIG CGEM   1ND</v>
          </cell>
        </row>
        <row r="10809">
          <cell r="B10809" t="str">
            <v>14081100001021</v>
          </cell>
          <cell r="C10809" t="str">
            <v>TC INT X COB VISA COMPRA REV VIG CGEM   1ND</v>
          </cell>
        </row>
        <row r="10810">
          <cell r="B10810" t="str">
            <v>14081100001022</v>
          </cell>
          <cell r="C10810" t="str">
            <v>TC INT X COB VISA D/E CUOTAS VIG CGEM   1ND</v>
          </cell>
        </row>
        <row r="10811">
          <cell r="B10811" t="str">
            <v>14081100001023</v>
          </cell>
          <cell r="C10811" t="str">
            <v>TC INT X COB VISA D/E REV VIG CGEM      1ND</v>
          </cell>
        </row>
        <row r="10812">
          <cell r="B10812" t="str">
            <v>14081100001024</v>
          </cell>
          <cell r="C10812" t="str">
            <v>TC INT X COB VISA EXTRACASH VIG CGEM    1ND</v>
          </cell>
        </row>
        <row r="10813">
          <cell r="B10813" t="str">
            <v>14081100001025</v>
          </cell>
          <cell r="C10813" t="str">
            <v>TC INT X COB VISA REPROG PAR VIG CGEM   1ND</v>
          </cell>
        </row>
        <row r="10814">
          <cell r="B10814" t="str">
            <v>14081100001026</v>
          </cell>
          <cell r="C10814" t="str">
            <v>TC INT X COB VISA REPROG REV VIG CGEM   1ND</v>
          </cell>
        </row>
        <row r="10815">
          <cell r="B10815" t="str">
            <v>14081100001027</v>
          </cell>
          <cell r="C10815" t="str">
            <v>TC INTXCOB VISA COMPRA CUOTA VIG CGEM   1ND</v>
          </cell>
        </row>
        <row r="10816">
          <cell r="B10816" t="str">
            <v>14081100001101</v>
          </cell>
          <cell r="C10816" t="str">
            <v>LPC CTA X COB INT DIF LS COFIDE PDL CGEM1ND</v>
          </cell>
        </row>
        <row r="10817">
          <cell r="B10817" t="str">
            <v>14081100001102</v>
          </cell>
          <cell r="C10817" t="str">
            <v>LPC LS COFIDE CTA XCOBRAR INT DIF SEG SD1ND</v>
          </cell>
        </row>
        <row r="10818">
          <cell r="B10818" t="str">
            <v>14081100001201</v>
          </cell>
          <cell r="C10818" t="str">
            <v>LPC INTXCOB PAG FINAN PROY CGEM         1ND</v>
          </cell>
        </row>
        <row r="10819">
          <cell r="B10819" t="str">
            <v>14081100001350</v>
          </cell>
          <cell r="C10819" t="str">
            <v>LPC CTA X COB INT DIFER LEASING DERIVADO1ND</v>
          </cell>
        </row>
        <row r="10820">
          <cell r="B10820" t="str">
            <v>14081100001351</v>
          </cell>
          <cell r="C10820" t="str">
            <v>LPC CTA XCOBRAR INT DIF SEG LEASING DERI1ND</v>
          </cell>
        </row>
        <row r="10821">
          <cell r="B10821" t="str">
            <v>14081100001401</v>
          </cell>
          <cell r="C10821" t="str">
            <v>MYP INTXCOB.VIG C.TRAB NORM CGEM        1ND</v>
          </cell>
        </row>
        <row r="10822">
          <cell r="B10822" t="str">
            <v>14081100001402</v>
          </cell>
          <cell r="C10822" t="str">
            <v>MYP INTXCOB.VIG COMPRA AF NORM CGEM     1ND</v>
          </cell>
        </row>
        <row r="10823">
          <cell r="B10823" t="str">
            <v>14081100001403</v>
          </cell>
          <cell r="C10823" t="str">
            <v>MYP INT.X COB.VIG FIN. CRED. PARAL.NORM 1ND</v>
          </cell>
        </row>
        <row r="10824">
          <cell r="B10824" t="str">
            <v>14081100001404</v>
          </cell>
          <cell r="C10824" t="str">
            <v>MYP INT.X COB.VIG LIN. REVOLV NORM CGEM 1ND</v>
          </cell>
        </row>
        <row r="10825">
          <cell r="B10825" t="str">
            <v>14081100001405</v>
          </cell>
          <cell r="C10825" t="str">
            <v>MYP INTXCOB.VIG PAG BPE-BE NORM COM.CGEM1ND</v>
          </cell>
        </row>
        <row r="10826">
          <cell r="B10826" t="str">
            <v>14081100001406</v>
          </cell>
          <cell r="C10826" t="str">
            <v>MYP I.X COB.VIG LIN REV.BPE-BE COM NORM 1ND</v>
          </cell>
        </row>
        <row r="10827">
          <cell r="B10827" t="str">
            <v>14081100005104</v>
          </cell>
          <cell r="C10827" t="str">
            <v>PR LETRAS T. DESCONTADAÂ  INTE VIGÂ Â  C1ND</v>
          </cell>
        </row>
        <row r="10828">
          <cell r="B10828" t="str">
            <v>14081100005105</v>
          </cell>
          <cell r="C10828" t="str">
            <v>LPC CTA X COB INT PRECUOTAS LS BIEN CGEM1ND</v>
          </cell>
        </row>
        <row r="10829">
          <cell r="B10829" t="str">
            <v>14081100005110</v>
          </cell>
          <cell r="C10829" t="str">
            <v>LPC REACTIVA PERU VIG CGEM\NORM         1ND</v>
          </cell>
        </row>
        <row r="10830">
          <cell r="B10830" t="str">
            <v>14081100005111</v>
          </cell>
          <cell r="C10830" t="str">
            <v>LPC COFIDE FONDOS PERU VIG CGEM\NORM    1ND</v>
          </cell>
        </row>
        <row r="10831">
          <cell r="B10831" t="str">
            <v>14081100005112</v>
          </cell>
          <cell r="C10831" t="str">
            <v>LPC COFIDE FONDO CRECER VIG CGEM\NORM   1ND</v>
          </cell>
        </row>
        <row r="10832">
          <cell r="B10832" t="str">
            <v>14081100005113</v>
          </cell>
          <cell r="C10832" t="str">
            <v>LPC REACTIVA PERU VIG CGEM\NORM         1ND</v>
          </cell>
        </row>
        <row r="10833">
          <cell r="B10833" t="str">
            <v>14081100005114</v>
          </cell>
          <cell r="C10833" t="str">
            <v>LPC COFIDE FONDOS CRECER CGEM VIG\NORM  1ND</v>
          </cell>
        </row>
        <row r="10834">
          <cell r="B10834" t="str">
            <v>14081100005115</v>
          </cell>
          <cell r="C10834" t="str">
            <v>LPC COFIDE FONDOS CRECER CGEM VIG\NORM  1ND</v>
          </cell>
        </row>
        <row r="10835">
          <cell r="B10835" t="str">
            <v>14081100005116</v>
          </cell>
          <cell r="C10835" t="str">
            <v>LPC REPROG EM COVID-19 PRE-EMBARQUE CGEM1ND</v>
          </cell>
        </row>
        <row r="10836">
          <cell r="B10836" t="str">
            <v>14081100005117</v>
          </cell>
          <cell r="C10836" t="str">
            <v>LPC REPROG EM COVID-19 POST-EMBARQUE CGE1ND</v>
          </cell>
        </row>
        <row r="10837">
          <cell r="B10837" t="str">
            <v>14081100005118</v>
          </cell>
          <cell r="C10837" t="str">
            <v>LPC REPROG EM COVID-19 FINAN.COMEX CGEM\1ND</v>
          </cell>
        </row>
        <row r="10838">
          <cell r="B10838" t="str">
            <v>14081100005120</v>
          </cell>
          <cell r="C10838" t="str">
            <v>LPC PAG MEDIANO PLAZO COVID-19 CGEM     1ND</v>
          </cell>
        </row>
        <row r="10839">
          <cell r="B10839" t="str">
            <v>14081100005121</v>
          </cell>
          <cell r="C10839" t="str">
            <v>LPC REF_FINAN_ESPECIALES_INT CGEM COVID-1ND</v>
          </cell>
        </row>
        <row r="10840">
          <cell r="B10840" t="str">
            <v>14081100005123</v>
          </cell>
          <cell r="C10840" t="str">
            <v>LPC 30K REACTIVA CORTO PLAZO REPROG VIG 1 D</v>
          </cell>
        </row>
        <row r="10841">
          <cell r="B10841" t="str">
            <v>14081100005124</v>
          </cell>
          <cell r="C10841" t="str">
            <v>LPC REPROG REACTIVA DIFE CGEM INT VIG   1 D</v>
          </cell>
        </row>
        <row r="10842">
          <cell r="B10842" t="str">
            <v>14081100005125</v>
          </cell>
          <cell r="C10842" t="str">
            <v>LPC REPROG REACTIVA DS.011-2022 CGEM NOR1 D</v>
          </cell>
        </row>
        <row r="10843">
          <cell r="B10843" t="str">
            <v>14081100005126</v>
          </cell>
          <cell r="C10843" t="str">
            <v>MYP REPROG REACTIVA DS.011-2022 CGEM NOR1 D</v>
          </cell>
        </row>
        <row r="10844">
          <cell r="B10844" t="str">
            <v>14081100005128</v>
          </cell>
          <cell r="C10844" t="str">
            <v>LPC RP MED PZ PREST VERDE-SOCIAL CGEM VI1 D</v>
          </cell>
        </row>
        <row r="10845">
          <cell r="B10845" t="str">
            <v>14081100005129</v>
          </cell>
          <cell r="C10845" t="str">
            <v>LPC RP MED PZ PREST SOSTENIBLE CGEM VIG 1 D</v>
          </cell>
        </row>
        <row r="10846">
          <cell r="B10846" t="str">
            <v>14081100005130</v>
          </cell>
          <cell r="C10846" t="str">
            <v>LPC PAG FINAN PROY VERDE-SOCIAL CGEM NOR1 D</v>
          </cell>
        </row>
        <row r="10847">
          <cell r="B10847" t="str">
            <v>14081100005131</v>
          </cell>
          <cell r="C10847" t="str">
            <v>LPC PAG FINAN PROY VERDE-SOCIAL CGEM NOR1 D</v>
          </cell>
        </row>
        <row r="10848">
          <cell r="B10848" t="str">
            <v>14081100005132</v>
          </cell>
          <cell r="C10848" t="str">
            <v>LPC PAG BIENES INMB RENT VERD-SOCIAL CGE1 D</v>
          </cell>
        </row>
        <row r="10849">
          <cell r="B10849" t="str">
            <v>14081100005133</v>
          </cell>
          <cell r="C10849" t="str">
            <v>LPC PAG BIEN INMB RENT VINC-SOSTENIB CGE1 D</v>
          </cell>
        </row>
        <row r="10850">
          <cell r="B10850" t="str">
            <v>14081100005134</v>
          </cell>
          <cell r="C10850" t="str">
            <v>LPC REPROG REACTIVA 2023 VIG CGEM NORM I1 D</v>
          </cell>
        </row>
        <row r="10851">
          <cell r="B10851" t="str">
            <v>14081100005135</v>
          </cell>
          <cell r="C10851" t="str">
            <v>MYP CAP. TRAB - PAGARE DIGITAL_INT CGEM 1ND</v>
          </cell>
        </row>
        <row r="10852">
          <cell r="B10852" t="str">
            <v>14081100005137</v>
          </cell>
          <cell r="C10852" t="str">
            <v>LPC INT LEASING FINANCIACION PROYECTO CG1 D</v>
          </cell>
        </row>
        <row r="10853">
          <cell r="B10853" t="str">
            <v>14081100005138</v>
          </cell>
          <cell r="C10853" t="str">
            <v>LPC INT LEASING FINANCIACION PROYECTO CG1 D</v>
          </cell>
        </row>
        <row r="10854">
          <cell r="B10854" t="str">
            <v>14081100005139</v>
          </cell>
          <cell r="C10854" t="str">
            <v>LPC INT IMPULSO MYPERU CORTO PLAZO CGEM 1 D</v>
          </cell>
        </row>
        <row r="10855">
          <cell r="B10855" t="str">
            <v>14081100005140</v>
          </cell>
          <cell r="C10855" t="str">
            <v>LPC INT IMPULSO MYPERU MEDIANO PLAZO CGE1 D</v>
          </cell>
        </row>
        <row r="10856">
          <cell r="B10856" t="str">
            <v>14081100005141</v>
          </cell>
          <cell r="C10856" t="str">
            <v>MYP LINEA REVOLV CIMA INT VIG NORM CGEM 1 D</v>
          </cell>
        </row>
        <row r="10857">
          <cell r="B10857" t="str">
            <v>14081100005142</v>
          </cell>
          <cell r="C10857" t="str">
            <v>MYP REACTIVA REPROG DS.011-2022  VIG CGE1 D</v>
          </cell>
        </row>
        <row r="10858">
          <cell r="B10858" t="str">
            <v>14081100005143</v>
          </cell>
          <cell r="C10858" t="str">
            <v>MYP IMPULSO MYPERU VIG CGEM NORM INT    1 D</v>
          </cell>
        </row>
        <row r="10859">
          <cell r="B10859" t="str">
            <v>14081100005144</v>
          </cell>
          <cell r="C10859" t="str">
            <v>MYP CODIFE FONDO CRECER    NORM         1 D</v>
          </cell>
        </row>
        <row r="10860">
          <cell r="B10860" t="str">
            <v>14081100005145</v>
          </cell>
          <cell r="C10860" t="str">
            <v>MYP COFIDE REACTIVA PERU   NORM         1 D</v>
          </cell>
        </row>
        <row r="10861">
          <cell r="B10861" t="str">
            <v>14081100005146</v>
          </cell>
          <cell r="C10861" t="str">
            <v>MYP 30K REACTIVA PERU REPROG 2023    NOR1 D</v>
          </cell>
        </row>
        <row r="10862">
          <cell r="B10862" t="str">
            <v>14081100005147</v>
          </cell>
          <cell r="C10862" t="str">
            <v>MYP CAPITAL DE TRABAJO CIMA  NORM       1 D</v>
          </cell>
        </row>
        <row r="10863">
          <cell r="B10863" t="str">
            <v>14081100005148</v>
          </cell>
          <cell r="C10863" t="str">
            <v>MYP LINEA REVOL REUT.VIG CGEM NORM      1 D</v>
          </cell>
        </row>
        <row r="10864">
          <cell r="B10864" t="str">
            <v>14081100005149</v>
          </cell>
          <cell r="C10864" t="str">
            <v>MYP CAP.TRAB.REUT.VIG.CGEM NORM         1 D</v>
          </cell>
        </row>
        <row r="10865">
          <cell r="B10865" t="str">
            <v>14081100005150</v>
          </cell>
          <cell r="C10865" t="str">
            <v>LPC PAG PAPERLESS DERIVADOS REV/NR INT C1ND</v>
          </cell>
        </row>
        <row r="10866">
          <cell r="B10866" t="str">
            <v>14081100005151</v>
          </cell>
          <cell r="C10866" t="str">
            <v>CCD-BPE CAPITAL DE TRABAJO_CGEM VIG NORM1 D</v>
          </cell>
        </row>
        <row r="10867">
          <cell r="B10867" t="str">
            <v>14081100005152</v>
          </cell>
          <cell r="C10867" t="str">
            <v>CCD-BPE LINEA REVOLVENTE_CGEM VIG NORM  1 D</v>
          </cell>
        </row>
        <row r="10868">
          <cell r="B10868" t="str">
            <v>14081100005153</v>
          </cell>
          <cell r="C10868" t="str">
            <v>CCD-BPE CAP DE TRAB REPROG_CGEM VIG NORM1 D</v>
          </cell>
        </row>
        <row r="10869">
          <cell r="B10869" t="str">
            <v>14081100005154</v>
          </cell>
          <cell r="C10869" t="str">
            <v>LPC INTXCOB PAG TV INMOBILIARIO DIFE CGE1 D</v>
          </cell>
        </row>
        <row r="10870">
          <cell r="B10870" t="str">
            <v>14081100008001</v>
          </cell>
          <cell r="C10870" t="str">
            <v>PAN CREDITOS GRANDES EMPRESAS           1ND</v>
          </cell>
        </row>
        <row r="10871">
          <cell r="B10871" t="str">
            <v>14081100008002</v>
          </cell>
          <cell r="C10871" t="str">
            <v>PAN INT POR COBRAR CREDITOS PRE EMBARQUE1ND</v>
          </cell>
        </row>
        <row r="10872">
          <cell r="B10872" t="str">
            <v>14081100008003</v>
          </cell>
          <cell r="C10872" t="str">
            <v>PAN INT POR COBRAR CREDITOS POST EMBARQU1ND</v>
          </cell>
        </row>
        <row r="10873">
          <cell r="B10873" t="str">
            <v>14081200000101</v>
          </cell>
          <cell r="C10873" t="str">
            <v>LIC DP INT X COB CONV NRV VIGENTE       1ND</v>
          </cell>
        </row>
        <row r="10874">
          <cell r="B10874" t="str">
            <v>14081200000102</v>
          </cell>
          <cell r="C10874" t="str">
            <v>LPC AVA CUENT  INT X COB CMED           1ND</v>
          </cell>
        </row>
        <row r="10875">
          <cell r="B10875" t="str">
            <v>14081200000103</v>
          </cell>
          <cell r="C10875" t="str">
            <v>MYP INTXCOB.VIG C.TRAB CIMA NOR/DP CMED 1ND</v>
          </cell>
        </row>
        <row r="10876">
          <cell r="B10876" t="str">
            <v>14081200000201</v>
          </cell>
          <cell r="C10876" t="str">
            <v>MYP INTXCOB.VIG C.TRAB CMED             1ND</v>
          </cell>
        </row>
        <row r="10877">
          <cell r="B10877" t="str">
            <v>14081200000202</v>
          </cell>
          <cell r="C10877" t="str">
            <v>MYP INTXCOB.VIG COMPRA AF CMED          1ND</v>
          </cell>
        </row>
        <row r="10878">
          <cell r="B10878" t="str">
            <v>14081200000203</v>
          </cell>
          <cell r="C10878" t="str">
            <v>MYP INT.X COB.VIG CRED PARAL.CMED       1ND</v>
          </cell>
        </row>
        <row r="10879">
          <cell r="B10879" t="str">
            <v>14081200000204</v>
          </cell>
          <cell r="C10879" t="str">
            <v>MYP INT.X COB.VIG COMP DEU CMED         1ND</v>
          </cell>
        </row>
        <row r="10880">
          <cell r="B10880" t="str">
            <v>14081200000205</v>
          </cell>
          <cell r="C10880" t="str">
            <v>MYP EXPORT.POST EMBARQ RP INTXCOB MES VI1ND</v>
          </cell>
        </row>
        <row r="10881">
          <cell r="B10881" t="str">
            <v>14081200000206</v>
          </cell>
          <cell r="C10881" t="str">
            <v>MYP EXPORT.PRE EMBARQ RP INTXC CMED     1ND</v>
          </cell>
        </row>
        <row r="10882">
          <cell r="B10882" t="str">
            <v>14081200000207</v>
          </cell>
          <cell r="C10882" t="str">
            <v>MYP INT.X COB.VIG TRANSP PUBL CMED      1ND</v>
          </cell>
        </row>
        <row r="10883">
          <cell r="B10883" t="str">
            <v>14081200000208</v>
          </cell>
          <cell r="C10883" t="str">
            <v>MYP INT.X COB.VIG FIN.IMPORT CAP TRAB ME1ND</v>
          </cell>
        </row>
        <row r="10884">
          <cell r="B10884" t="str">
            <v>14081200000209</v>
          </cell>
          <cell r="C10884" t="str">
            <v>MYP INT.X COB.VIG FIN.IMPORT ACTI FIJO  1ND</v>
          </cell>
        </row>
        <row r="10885">
          <cell r="B10885" t="str">
            <v>14081200000210</v>
          </cell>
          <cell r="C10885" t="str">
            <v>MYP INT.X COB.VIG LIN. REVOLV CMED      1ND</v>
          </cell>
        </row>
        <row r="10886">
          <cell r="B10886" t="str">
            <v>14081200000211</v>
          </cell>
          <cell r="C10886" t="str">
            <v>MYP INT.X COB.VIG FIN. CRED. PARAL. CMED1ND</v>
          </cell>
        </row>
        <row r="10887">
          <cell r="B10887" t="str">
            <v>14081200000212</v>
          </cell>
          <cell r="C10887" t="str">
            <v>MYP INTXCOB COMP DEU AF CMED VIG        1ND</v>
          </cell>
        </row>
        <row r="10888">
          <cell r="B10888" t="str">
            <v>14081200000213</v>
          </cell>
          <cell r="C10888" t="str">
            <v>MYP INTXCOB COMP DEU AF CMED VIG        1ND</v>
          </cell>
        </row>
        <row r="10889">
          <cell r="B10889" t="str">
            <v>14081200000214</v>
          </cell>
          <cell r="C10889" t="str">
            <v>MYP INTXCOB E.R.FIN CAP TRABA           1ND</v>
          </cell>
        </row>
        <row r="10890">
          <cell r="B10890" t="str">
            <v>14081200000215</v>
          </cell>
          <cell r="C10890" t="str">
            <v>MYP INTXCOB.VIG PAG BPE-BE COM.NORM CMED1ND</v>
          </cell>
        </row>
        <row r="10891">
          <cell r="B10891" t="str">
            <v>14081200000216</v>
          </cell>
          <cell r="C10891" t="str">
            <v>MYP I.X COB.VIG LIN REV.BPE-BE COM NORM 1ND</v>
          </cell>
        </row>
        <row r="10892">
          <cell r="B10892" t="str">
            <v>14081200000217</v>
          </cell>
          <cell r="C10892" t="str">
            <v>MYP INTXCOBVIG CTRABPROVREFCMED         1ND</v>
          </cell>
        </row>
        <row r="10893">
          <cell r="B10893" t="str">
            <v>14081200000218</v>
          </cell>
          <cell r="C10893" t="str">
            <v>MYP INTX COBVIG LREVOL PROVREFCMED      1ND</v>
          </cell>
        </row>
        <row r="10894">
          <cell r="B10894" t="str">
            <v>14081200000219</v>
          </cell>
          <cell r="C10894" t="str">
            <v>MYP INTXCOB.VIG C.TRAB.REUT.CMED        1ND</v>
          </cell>
        </row>
        <row r="10895">
          <cell r="B10895" t="str">
            <v>14081200000220</v>
          </cell>
          <cell r="C10895" t="str">
            <v>MYP INT.X COB.VIG L.REVOL REUT.CMED     1ND</v>
          </cell>
        </row>
        <row r="10896">
          <cell r="B10896" t="str">
            <v>14081200000301</v>
          </cell>
          <cell r="C10896" t="str">
            <v>HPC ME INT X COB  VIG VEHICULAR         1ND</v>
          </cell>
        </row>
        <row r="10897">
          <cell r="B10897" t="str">
            <v>14081200000303</v>
          </cell>
          <cell r="C10897" t="str">
            <v>HPC ME INT.X COB.VIG EFEC C/GARANT. HIP.1ND</v>
          </cell>
        </row>
        <row r="10898">
          <cell r="B10898" t="str">
            <v>14081200000401</v>
          </cell>
          <cell r="C10898" t="str">
            <v>LPC INTXCOB PAGARE TV CMED              1ND</v>
          </cell>
        </row>
        <row r="10899">
          <cell r="B10899" t="str">
            <v>14081200000402</v>
          </cell>
          <cell r="C10899" t="str">
            <v>LPC INT X COBRAR PAG TV COFIDE CMED     1ND</v>
          </cell>
        </row>
        <row r="10900">
          <cell r="B10900" t="str">
            <v>14081200000403</v>
          </cell>
          <cell r="C10900" t="str">
            <v>LPC INTXCOB PAG TV RP MED PLAZO         1ND</v>
          </cell>
        </row>
        <row r="10901">
          <cell r="B10901" t="str">
            <v>14081200000404</v>
          </cell>
          <cell r="C10901" t="str">
            <v>LPC INTXCOB PAG TV INMOBILIARIO         1ND</v>
          </cell>
        </row>
        <row r="10902">
          <cell r="B10902" t="str">
            <v>14081200000405</v>
          </cell>
          <cell r="C10902" t="str">
            <v>LPC INTXCOB FINANC PRE EMBARQUE         1ND</v>
          </cell>
        </row>
        <row r="10903">
          <cell r="B10903" t="str">
            <v>14081200000406</v>
          </cell>
          <cell r="C10903" t="str">
            <v>LPC INTXCOB PAG TV EUROS                1ND</v>
          </cell>
        </row>
        <row r="10904">
          <cell r="B10904" t="str">
            <v>14081200000407</v>
          </cell>
          <cell r="C10904" t="str">
            <v>LPC CTA X COBRAR MYP INT DIFER LS CMED  1ND</v>
          </cell>
        </row>
        <row r="10905">
          <cell r="B10905" t="str">
            <v>14081200000408</v>
          </cell>
          <cell r="C10905" t="str">
            <v>LPC CTA X COBRAR MYP INT DIFER CMED     1ND</v>
          </cell>
        </row>
        <row r="10906">
          <cell r="B10906" t="str">
            <v>14081200000409</v>
          </cell>
          <cell r="C10906" t="str">
            <v>LPC INTXCOB PAGARE DERIVADOS VIG CMED   1ND</v>
          </cell>
        </row>
        <row r="10907">
          <cell r="B10907" t="str">
            <v>14081200000410</v>
          </cell>
          <cell r="C10907" t="str">
            <v>LPC INT X COBRAR PAG. FINANC PROY COFIDE1ND</v>
          </cell>
        </row>
        <row r="10908">
          <cell r="B10908" t="str">
            <v>14081200000411</v>
          </cell>
          <cell r="C10908" t="str">
            <v>LPC INTXCOB PAGARE FORFAITING CMED      1ND</v>
          </cell>
        </row>
        <row r="10909">
          <cell r="B10909" t="str">
            <v>14081200000412</v>
          </cell>
          <cell r="C10909" t="str">
            <v>LPC INTXCOB PAG REPROGRAMADO            1ND</v>
          </cell>
        </row>
        <row r="10910">
          <cell r="B10910" t="str">
            <v>14081200000451</v>
          </cell>
          <cell r="C10910" t="str">
            <v>INT X COB TC-COMERCIAL CMED             1ND</v>
          </cell>
        </row>
        <row r="10911">
          <cell r="B10911" t="str">
            <v>14081200000452</v>
          </cell>
          <cell r="C10911" t="str">
            <v>COM X COB TC IBKVISA COMERC CMED        1ND</v>
          </cell>
        </row>
        <row r="10912">
          <cell r="B10912" t="str">
            <v>14081200000453</v>
          </cell>
          <cell r="C10912" t="str">
            <v>INT X COB TC-COMERC MC CMED             1ND</v>
          </cell>
        </row>
        <row r="10913">
          <cell r="B10913" t="str">
            <v>14081200000454</v>
          </cell>
          <cell r="C10913" t="str">
            <v>COM X COB TC COMERC MC CMED             1ND</v>
          </cell>
        </row>
        <row r="10914">
          <cell r="B10914" t="str">
            <v>14081200000501</v>
          </cell>
          <cell r="C10914" t="str">
            <v>HPC ME INT X COB  VIG  EFECTIVO         1ND</v>
          </cell>
        </row>
        <row r="10915">
          <cell r="B10915" t="str">
            <v>14081200000502</v>
          </cell>
          <cell r="C10915" t="str">
            <v>LPC CTA XCOBRAR INT DIF SEG CMED        1ND</v>
          </cell>
        </row>
        <row r="10916">
          <cell r="B10916" t="str">
            <v>14081200000503</v>
          </cell>
          <cell r="C10916" t="str">
            <v>LPC CTA X COB INT DIFER LS BIEN CMED    1ND</v>
          </cell>
        </row>
        <row r="10917">
          <cell r="B10917" t="str">
            <v>14081200000504</v>
          </cell>
          <cell r="C10917" t="str">
            <v>FACT INTER IMPORT   COMP.VIG. CMED NORMA1ND</v>
          </cell>
        </row>
        <row r="10918">
          <cell r="B10918" t="str">
            <v>14081200000601</v>
          </cell>
          <cell r="C10918" t="str">
            <v>LPC LEESEBACK CTAXCOB INT DIF CMED      1ND</v>
          </cell>
        </row>
        <row r="10919">
          <cell r="B10919" t="str">
            <v>14081200000602</v>
          </cell>
          <cell r="C10919" t="str">
            <v>LPC CTAXCOB INT SEG LSBACK CMED         1ND</v>
          </cell>
        </row>
        <row r="10920">
          <cell r="B10920" t="str">
            <v>14081200000603</v>
          </cell>
          <cell r="C10920" t="str">
            <v>FCD DESC. VIRTUAL I. COMP.VIG. CMED NORM1ND</v>
          </cell>
        </row>
        <row r="10921">
          <cell r="B10921" t="str">
            <v>14081200000701</v>
          </cell>
          <cell r="C10921" t="str">
            <v>LPC CTA X COB INT DIFERIDO LS BIEN CMED 1ND</v>
          </cell>
        </row>
        <row r="10922">
          <cell r="B10922" t="str">
            <v>14081200000702</v>
          </cell>
          <cell r="C10922" t="str">
            <v>LPC CTA XCOBRAR INT DIF SEG CMED        1ND</v>
          </cell>
        </row>
        <row r="10923">
          <cell r="B10923" t="str">
            <v>14081200000710</v>
          </cell>
          <cell r="C10923" t="str">
            <v>LPC CTA X COB INT DIFER LEASING DERIVADO1ND</v>
          </cell>
        </row>
        <row r="10924">
          <cell r="B10924" t="str">
            <v>14081200000711</v>
          </cell>
          <cell r="C10924" t="str">
            <v>LPC CTA XCOBRAR INT DIF SEG LEASING DERI1ND</v>
          </cell>
        </row>
        <row r="10925">
          <cell r="B10925" t="str">
            <v>14081200000801</v>
          </cell>
          <cell r="C10925" t="str">
            <v>FCD  INTXCOB LETRASÂ  DSCTOÂ  CMED      1ND</v>
          </cell>
        </row>
        <row r="10926">
          <cell r="B10926" t="str">
            <v>14081200000802</v>
          </cell>
          <cell r="C10926" t="str">
            <v>FCD  DSCTO ELECTR SM PERU I.VIG CMED    1ND</v>
          </cell>
        </row>
        <row r="10927">
          <cell r="B10927" t="str">
            <v>14081200000803</v>
          </cell>
          <cell r="C10927" t="str">
            <v>PR CTA.X COB (UTILIDAD) COMP.VTO.15D CME1ND</v>
          </cell>
        </row>
        <row r="10928">
          <cell r="B10928" t="str">
            <v>14081200000804</v>
          </cell>
          <cell r="C10928" t="str">
            <v>PR CTA.X COBRAR (UTILIDAD) DIFERIDO CMED1ND</v>
          </cell>
        </row>
        <row r="10929">
          <cell r="B10929" t="str">
            <v>14081200000805</v>
          </cell>
          <cell r="C10929" t="str">
            <v>PR CTAXCOB (UTIL)FACT.FACTORING COMP. CM1ND</v>
          </cell>
        </row>
        <row r="10930">
          <cell r="B10930" t="str">
            <v>14081200000806</v>
          </cell>
          <cell r="C10930" t="str">
            <v>PR CTA.X COB (UTIL)FACT.FACTORING DIF CM1ND</v>
          </cell>
        </row>
        <row r="10931">
          <cell r="B10931" t="str">
            <v>14081200000807</v>
          </cell>
          <cell r="C10931" t="str">
            <v>FCD  FACT ELECTR LET/FACT I.COMPENS CMED1ND</v>
          </cell>
        </row>
        <row r="10932">
          <cell r="B10932" t="str">
            <v>14081200000808</v>
          </cell>
          <cell r="C10932" t="str">
            <v>PR FACT ELECTR LET/FACT I.DIF CMED      1ND</v>
          </cell>
        </row>
        <row r="10933">
          <cell r="B10933" t="str">
            <v>14081200000809</v>
          </cell>
          <cell r="C10933" t="str">
            <v>PR FACT INTERN INT GANAD VIG CMED       1ND</v>
          </cell>
        </row>
        <row r="10934">
          <cell r="B10934" t="str">
            <v>14081200000810</v>
          </cell>
          <cell r="C10934" t="str">
            <v>PR PERU FACTORING INT COMPENS CMED      1ND</v>
          </cell>
        </row>
        <row r="10935">
          <cell r="B10935" t="str">
            <v>14081200000811</v>
          </cell>
          <cell r="C10935" t="str">
            <v>PR PERU FACTORING INT.DIF CMED          1ND</v>
          </cell>
        </row>
        <row r="10936">
          <cell r="B10936" t="str">
            <v>14081200000812</v>
          </cell>
          <cell r="C10936" t="str">
            <v>PR FORFAITING EXPORTACIÃ“N X COBRAR VIG 1ND</v>
          </cell>
        </row>
        <row r="10937">
          <cell r="B10937" t="str">
            <v>14081200000813</v>
          </cell>
          <cell r="C10937" t="str">
            <v>FCD FACT INTER EXPO INT x cobrar VIG NOR1ND</v>
          </cell>
        </row>
        <row r="10938">
          <cell r="B10938" t="str">
            <v>14081200000814</v>
          </cell>
          <cell r="C10938" t="str">
            <v>FCD FORFAITING EXPO X COBRAR VIG NORM  C1ND</v>
          </cell>
        </row>
        <row r="10939">
          <cell r="B10939" t="str">
            <v>14081200000815</v>
          </cell>
          <cell r="C10939" t="str">
            <v>FCD CONFIRMING INTERNACIONAL INT x cobra1ND</v>
          </cell>
        </row>
        <row r="10940">
          <cell r="B10940" t="str">
            <v>14081200000901</v>
          </cell>
          <cell r="C10940" t="str">
            <v>CL INT X COBRAR EX PRE EM RP CMED       1ND</v>
          </cell>
        </row>
        <row r="10941">
          <cell r="B10941" t="str">
            <v>14081200000902</v>
          </cell>
          <cell r="C10941" t="str">
            <v>CL INT X COB EX POST EMB RP CMED        1ND</v>
          </cell>
        </row>
        <row r="10942">
          <cell r="B10942" t="str">
            <v>14081200000903</v>
          </cell>
          <cell r="C10942" t="str">
            <v>CL INT X COB IMPOR CMED                 1ND</v>
          </cell>
        </row>
        <row r="10943">
          <cell r="B10943" t="str">
            <v>14081200000904</v>
          </cell>
          <cell r="C10943" t="str">
            <v>LPC INTXCOB WORK CAP.EX PRE EMB. CMED   1ND</v>
          </cell>
        </row>
        <row r="10944">
          <cell r="B10944" t="str">
            <v>14081200000905</v>
          </cell>
          <cell r="C10944" t="str">
            <v>LPC INTXCOB FINANC PRE EMBARQUE-SEPYMEX 1ND</v>
          </cell>
        </row>
        <row r="10945">
          <cell r="B10945" t="str">
            <v>14081200000906</v>
          </cell>
          <cell r="C10945" t="str">
            <v>LPC INTXCOB PRE EMBARQUE VIG.NORM CMED  1ND</v>
          </cell>
        </row>
        <row r="10946">
          <cell r="B10946" t="str">
            <v>14081200000907</v>
          </cell>
          <cell r="C10946" t="str">
            <v>LPC INTXCOB POST EMBARQUE VIG.NORM CMED 1ND</v>
          </cell>
        </row>
        <row r="10947">
          <cell r="B10947" t="str">
            <v>14081200000908</v>
          </cell>
          <cell r="C10947" t="str">
            <v>LPC INTXCOB IMPORT. CARTA CREDITO  VIG.N1ND</v>
          </cell>
        </row>
        <row r="10948">
          <cell r="B10948" t="str">
            <v>14081200000909</v>
          </cell>
          <cell r="C10948" t="str">
            <v>LPC INTXCOB IMPORT.  VIG.NORM CMED      1ND</v>
          </cell>
        </row>
        <row r="10949">
          <cell r="B10949" t="str">
            <v>14081200000910</v>
          </cell>
          <cell r="C10949" t="str">
            <v>LPC P.TSA.DSCTO.INT.X COB.VIG CMED      1ND</v>
          </cell>
        </row>
        <row r="10950">
          <cell r="B10950" t="str">
            <v>14081200001001</v>
          </cell>
          <cell r="C10950" t="str">
            <v>CL INTXCOB PAG DSCTO CMED               1ND</v>
          </cell>
        </row>
        <row r="10951">
          <cell r="B10951" t="str">
            <v>14081200001002</v>
          </cell>
          <cell r="C10951" t="str">
            <v>CL INTXCOB TV CMED                      1ND</v>
          </cell>
        </row>
        <row r="10952">
          <cell r="B10952" t="str">
            <v>14081200001003</v>
          </cell>
          <cell r="C10952" t="str">
            <v>CL INTXCOB PAG.TV NEG.INMOB VIG CMED    1ND</v>
          </cell>
        </row>
        <row r="10953">
          <cell r="B10953" t="str">
            <v>14081200001004</v>
          </cell>
          <cell r="C10953" t="str">
            <v>CL INT.DEUD.VTA CARTERA VIG CMED        1ND</v>
          </cell>
        </row>
        <row r="10954">
          <cell r="B10954" t="str">
            <v>14081200001005</v>
          </cell>
          <cell r="C10954" t="str">
            <v>CL INT X COBRAR PREST COFIDE CMED       1ND</v>
          </cell>
        </row>
        <row r="10955">
          <cell r="B10955" t="str">
            <v>14081200001006</v>
          </cell>
          <cell r="C10955" t="str">
            <v>CL INT COB CXL  ACEPT.BKT INT CMED      1ND</v>
          </cell>
        </row>
        <row r="10956">
          <cell r="B10956" t="str">
            <v>14081200001007</v>
          </cell>
          <cell r="C10956" t="str">
            <v>CL INT COB CXL AVAL ACEPT.BKT INT CMED  1ND</v>
          </cell>
        </row>
        <row r="10957">
          <cell r="B10957" t="str">
            <v>14081200001008</v>
          </cell>
          <cell r="C10957" t="str">
            <v>CL INT COB CXL CC AVAL BKT INT CMED     1ND</v>
          </cell>
        </row>
        <row r="10958">
          <cell r="B10958" t="str">
            <v>14081200001009</v>
          </cell>
          <cell r="C10958" t="str">
            <v>CL INTXCOB CXL CC CAR CRED VISTA CMED   1ND</v>
          </cell>
        </row>
        <row r="10959">
          <cell r="B10959" t="str">
            <v>14081200001010</v>
          </cell>
          <cell r="C10959" t="str">
            <v>CL INTXCOB CXL  STAND BY CMED           1ND</v>
          </cell>
        </row>
        <row r="10960">
          <cell r="B10960" t="str">
            <v>14081200001011</v>
          </cell>
          <cell r="C10960" t="str">
            <v>CL EX FORFAITING INT.VIG CMED           1ND</v>
          </cell>
        </row>
        <row r="10961">
          <cell r="B10961" t="str">
            <v>14081200001012</v>
          </cell>
          <cell r="C10961" t="str">
            <v>CL INTXCOB CXL  COB AVAL CMED           1ND</v>
          </cell>
        </row>
        <row r="10962">
          <cell r="B10962" t="str">
            <v>14081200001013</v>
          </cell>
          <cell r="C10962" t="str">
            <v>CL EX FACTORING FORFAITING INT.VIG CMED 1ND</v>
          </cell>
        </row>
        <row r="10963">
          <cell r="B10963" t="str">
            <v>14081200001014</v>
          </cell>
          <cell r="C10963" t="str">
            <v>CL  CONFIRMING INTER INT.VIG CMED       1ND</v>
          </cell>
        </row>
        <row r="10964">
          <cell r="B10964" t="str">
            <v>14081200001015</v>
          </cell>
          <cell r="C10964" t="str">
            <v>CL INT.X COB.CRED.POR LIQ. CARTA FIANZA 1ND</v>
          </cell>
        </row>
        <row r="10965">
          <cell r="B10965" t="str">
            <v>14081200001101</v>
          </cell>
          <cell r="C10965" t="str">
            <v>COM X COB TC-COMERC AMEX CMED           1ND</v>
          </cell>
        </row>
        <row r="10966">
          <cell r="B10966" t="str">
            <v>14081200001102</v>
          </cell>
          <cell r="C10966" t="str">
            <v>COM X COB TC-COMERC VEA CMED            1ND</v>
          </cell>
        </row>
        <row r="10967">
          <cell r="B10967" t="str">
            <v>14081200001103</v>
          </cell>
          <cell r="C10967" t="str">
            <v>INT X COB  TC-COMERC VEA CMED           1ND</v>
          </cell>
        </row>
        <row r="10968">
          <cell r="B10968" t="str">
            <v>14081200001104</v>
          </cell>
          <cell r="C10968" t="str">
            <v>INT X COB  TC-COMERC AMEX CMED          1ND</v>
          </cell>
        </row>
        <row r="10969">
          <cell r="B10969" t="str">
            <v>14081200001105</v>
          </cell>
          <cell r="C10969" t="str">
            <v>INTxCOB REPROGRAMACION TC VIG. CMED     1ND</v>
          </cell>
        </row>
        <row r="10970">
          <cell r="B10970" t="str">
            <v>14081200001106</v>
          </cell>
          <cell r="C10970" t="str">
            <v>COMxCOB REPROGRAMACION TC VIG. CMED     1ND</v>
          </cell>
        </row>
        <row r="10971">
          <cell r="B10971" t="str">
            <v>14081200001201</v>
          </cell>
          <cell r="C10971" t="str">
            <v>IM INT X COBRAR  CTA CTE CMED           1ND</v>
          </cell>
        </row>
        <row r="10972">
          <cell r="B10972" t="str">
            <v>14081200001202</v>
          </cell>
          <cell r="C10972" t="str">
            <v>IM INT X COBRAR  CTA CTE PN CMED        1ND</v>
          </cell>
        </row>
        <row r="10973">
          <cell r="B10973" t="str">
            <v>14081200001203</v>
          </cell>
          <cell r="C10973" t="str">
            <v>IM INT X CON PN CMED                    1ND</v>
          </cell>
        </row>
        <row r="10974">
          <cell r="B10974" t="str">
            <v>14081200001301</v>
          </cell>
          <cell r="C10974" t="str">
            <v>TC INT X COB AMEX CDEUDA PAR VIG CMED   1ND</v>
          </cell>
        </row>
        <row r="10975">
          <cell r="B10975" t="str">
            <v>14081200001302</v>
          </cell>
          <cell r="C10975" t="str">
            <v>TC INT X COB AMEX CDEUDA REV VIG CMED   1ND</v>
          </cell>
        </row>
        <row r="10976">
          <cell r="B10976" t="str">
            <v>14081200001303</v>
          </cell>
          <cell r="C10976" t="str">
            <v>TC INT X COB AMEX COMPRA REV VIG CMED   1ND</v>
          </cell>
        </row>
        <row r="10977">
          <cell r="B10977" t="str">
            <v>14081200001304</v>
          </cell>
          <cell r="C10977" t="str">
            <v>TC INT X COB AMEX D/E CUOTAS VIG CMED   1ND</v>
          </cell>
        </row>
        <row r="10978">
          <cell r="B10978" t="str">
            <v>14081200001305</v>
          </cell>
          <cell r="C10978" t="str">
            <v>TC INT X COB AMEX D/E REV VIG CMED      1ND</v>
          </cell>
        </row>
        <row r="10979">
          <cell r="B10979" t="str">
            <v>14081200001306</v>
          </cell>
          <cell r="C10979" t="str">
            <v>TC INT X COB AMEX EXTRACASH VIG CMED    1ND</v>
          </cell>
        </row>
        <row r="10980">
          <cell r="B10980" t="str">
            <v>14081200001307</v>
          </cell>
          <cell r="C10980" t="str">
            <v>TC INT X COB AMEX REPROG PAR VIG CMED   1ND</v>
          </cell>
        </row>
        <row r="10981">
          <cell r="B10981" t="str">
            <v>14081200001308</v>
          </cell>
          <cell r="C10981" t="str">
            <v>TC INT X COB AMEX REPROG REV VIG CMED   1ND</v>
          </cell>
        </row>
        <row r="10982">
          <cell r="B10982" t="str">
            <v>14081200001309</v>
          </cell>
          <cell r="C10982" t="str">
            <v>TC INTXCOB AMEX COMPRA CUOTA VIG CMED   1ND</v>
          </cell>
        </row>
        <row r="10983">
          <cell r="B10983" t="str">
            <v>14081200001310</v>
          </cell>
          <cell r="C10983" t="str">
            <v>TC INT X COB MC CDEUDA PAR VIG CMED     1ND</v>
          </cell>
        </row>
        <row r="10984">
          <cell r="B10984" t="str">
            <v>14081200001311</v>
          </cell>
          <cell r="C10984" t="str">
            <v>TC INT X COB MC CDEUDA REV VIG CMED     1ND</v>
          </cell>
        </row>
        <row r="10985">
          <cell r="B10985" t="str">
            <v>14081200001312</v>
          </cell>
          <cell r="C10985" t="str">
            <v>TC INT X COB MC COMPRA REV VIG CMED     1ND</v>
          </cell>
        </row>
        <row r="10986">
          <cell r="B10986" t="str">
            <v>14081200001313</v>
          </cell>
          <cell r="C10986" t="str">
            <v>TC INT X COB MC D/E CUOTAS VIG CMED     1ND</v>
          </cell>
        </row>
        <row r="10987">
          <cell r="B10987" t="str">
            <v>14081200001314</v>
          </cell>
          <cell r="C10987" t="str">
            <v>TC INT X COB MC D/E REV VIG CMED        1ND</v>
          </cell>
        </row>
        <row r="10988">
          <cell r="B10988" t="str">
            <v>14081200001315</v>
          </cell>
          <cell r="C10988" t="str">
            <v>TC INT X COB MC EXTRACASH VIG CMED      1ND</v>
          </cell>
        </row>
        <row r="10989">
          <cell r="B10989" t="str">
            <v>14081200001316</v>
          </cell>
          <cell r="C10989" t="str">
            <v>TC INT X COB MC REPROG PAR VIG CMED     1ND</v>
          </cell>
        </row>
        <row r="10990">
          <cell r="B10990" t="str">
            <v>14081200001317</v>
          </cell>
          <cell r="C10990" t="str">
            <v>TC INT X COB MC REPROG REV VIG CMED     1ND</v>
          </cell>
        </row>
        <row r="10991">
          <cell r="B10991" t="str">
            <v>14081200001318</v>
          </cell>
          <cell r="C10991" t="str">
            <v>TC INTXCOB MC COMPRA CUOTA VIG CMED     1ND</v>
          </cell>
        </row>
        <row r="10992">
          <cell r="B10992" t="str">
            <v>14081200001319</v>
          </cell>
          <cell r="C10992" t="str">
            <v>TC INT X COB VISA CDEUDA PAR VIG CMED   1ND</v>
          </cell>
        </row>
        <row r="10993">
          <cell r="B10993" t="str">
            <v>14081200001320</v>
          </cell>
          <cell r="C10993" t="str">
            <v>TC INT X COB VISA CDEUDA REV VIG CMED   1ND</v>
          </cell>
        </row>
        <row r="10994">
          <cell r="B10994" t="str">
            <v>14081200001321</v>
          </cell>
          <cell r="C10994" t="str">
            <v>TC INT X COB VISA COMPRA REV VIG CMED   1ND</v>
          </cell>
        </row>
        <row r="10995">
          <cell r="B10995" t="str">
            <v>14081200001322</v>
          </cell>
          <cell r="C10995" t="str">
            <v>TC INT X COB VISA D/E CUOTAS VIG CMED   1ND</v>
          </cell>
        </row>
        <row r="10996">
          <cell r="B10996" t="str">
            <v>14081200001323</v>
          </cell>
          <cell r="C10996" t="str">
            <v>TC INT X COB VISA D/E REV VIG CMED      1ND</v>
          </cell>
        </row>
        <row r="10997">
          <cell r="B10997" t="str">
            <v>14081200001324</v>
          </cell>
          <cell r="C10997" t="str">
            <v>TC INT X COB VISA EXTRACASH VIG CMED    1ND</v>
          </cell>
        </row>
        <row r="10998">
          <cell r="B10998" t="str">
            <v>14081200001325</v>
          </cell>
          <cell r="C10998" t="str">
            <v>TC INT X COB VISA REPROG PAR VIG CMED   1ND</v>
          </cell>
        </row>
        <row r="10999">
          <cell r="B10999" t="str">
            <v>14081200001326</v>
          </cell>
          <cell r="C10999" t="str">
            <v>TC INT X COB VISA REPROG REV VIG CMED   1ND</v>
          </cell>
        </row>
        <row r="11000">
          <cell r="B11000" t="str">
            <v>14081200001327</v>
          </cell>
          <cell r="C11000" t="str">
            <v>TC INTXCOB VISA COMPRA CUOTA VIG CMED   1ND</v>
          </cell>
        </row>
        <row r="11001">
          <cell r="B11001" t="str">
            <v>14081200001401</v>
          </cell>
          <cell r="C11001" t="str">
            <v>LPC CTA X COB INT DIF LS COFIDE PDL CMED1ND</v>
          </cell>
        </row>
        <row r="11002">
          <cell r="B11002" t="str">
            <v>14081200001402</v>
          </cell>
          <cell r="C11002" t="str">
            <v>LPC LS COFIDE CTA XCOBRAR INT DIF SEG SD1ND</v>
          </cell>
        </row>
        <row r="11003">
          <cell r="B11003" t="str">
            <v>14081200001501</v>
          </cell>
          <cell r="C11003" t="str">
            <v>LPC INTXCOB PAG FINAN PROY CMED         1ND</v>
          </cell>
        </row>
        <row r="11004">
          <cell r="B11004" t="str">
            <v>14081200005104</v>
          </cell>
          <cell r="C11004" t="str">
            <v>PR LETRAS T. DESCONTADAÂ  INTE VIGÂ Â  C1ND</v>
          </cell>
        </row>
        <row r="11005">
          <cell r="B11005" t="str">
            <v>14081200005105</v>
          </cell>
          <cell r="C11005" t="str">
            <v>LPC CTA X COB INT PRECUOTAS LS BIEN CMED1ND</v>
          </cell>
        </row>
        <row r="11006">
          <cell r="B11006" t="str">
            <v>14081200005106</v>
          </cell>
          <cell r="C11006" t="str">
            <v>LPC INTXCOB PAG TV INMOBILIARIO         1ND</v>
          </cell>
        </row>
        <row r="11007">
          <cell r="B11007" t="str">
            <v>14081200005107</v>
          </cell>
          <cell r="C11007" t="str">
            <v>LPC INTXCOB PAG TV RP MED PLAZO         1ND</v>
          </cell>
        </row>
        <row r="11008">
          <cell r="B11008" t="str">
            <v>14081200005108</v>
          </cell>
          <cell r="C11008" t="str">
            <v>MYP CODIFE FONDO CRECER VIG CMED\NORM   1ND</v>
          </cell>
        </row>
        <row r="11009">
          <cell r="B11009" t="str">
            <v>14081200005109</v>
          </cell>
          <cell r="C11009" t="str">
            <v>MYP CODIFE REACTIVA PERU VIG CMED\NORM  1ND</v>
          </cell>
        </row>
        <row r="11010">
          <cell r="B11010" t="str">
            <v>14081200005114</v>
          </cell>
          <cell r="C11010" t="str">
            <v>LPC REACTIVA PERU VIG CMED\NORM         1ND</v>
          </cell>
        </row>
        <row r="11011">
          <cell r="B11011" t="str">
            <v>14081200005115</v>
          </cell>
          <cell r="C11011" t="str">
            <v>LPC COFIDE FONDOS PERU VIG CMED\NORM    1ND</v>
          </cell>
        </row>
        <row r="11012">
          <cell r="B11012" t="str">
            <v>14081200005116</v>
          </cell>
          <cell r="C11012" t="str">
            <v>LPC COFIDE FONDO CRECER VIG CMED\NORM   1ND</v>
          </cell>
        </row>
        <row r="11013">
          <cell r="B11013" t="str">
            <v>14081200005117</v>
          </cell>
          <cell r="C11013" t="str">
            <v>LPC REACTIVA PERU VIG CMED\NORM         1ND</v>
          </cell>
        </row>
        <row r="11014">
          <cell r="B11014" t="str">
            <v>14081200005118</v>
          </cell>
          <cell r="C11014" t="str">
            <v>LPC COFIDE FONDOS CRECER CMED VIG\NORM  1ND</v>
          </cell>
        </row>
        <row r="11015">
          <cell r="B11015" t="str">
            <v>14081200005119</v>
          </cell>
          <cell r="C11015" t="str">
            <v>LPC COFIDE FONDOS CRECER CMED VIG\NORM  1ND</v>
          </cell>
        </row>
        <row r="11016">
          <cell r="B11016" t="str">
            <v>14081200005120</v>
          </cell>
          <cell r="C11016" t="str">
            <v>LPC REPROG EM COVID-19 PRE-EMBARQUE CMED1ND</v>
          </cell>
        </row>
        <row r="11017">
          <cell r="B11017" t="str">
            <v>14081200005121</v>
          </cell>
          <cell r="C11017" t="str">
            <v>LPC REPROG EM COVID-19 POST-EMBARQUE CME1ND</v>
          </cell>
        </row>
        <row r="11018">
          <cell r="B11018" t="str">
            <v>14081200005122</v>
          </cell>
          <cell r="C11018" t="str">
            <v>LPC REPROG EM COVID-19 FINAN.COMEX CMED\1ND</v>
          </cell>
        </row>
        <row r="11019">
          <cell r="B11019" t="str">
            <v>14081200005124</v>
          </cell>
          <cell r="C11019" t="str">
            <v>LPC PAG MEDIANO PLAZO COVID-19 CMED     1ND</v>
          </cell>
        </row>
        <row r="11020">
          <cell r="B11020" t="str">
            <v>14081200005125</v>
          </cell>
          <cell r="C11020" t="str">
            <v>LPC REF_FINAN_ESPECIALES_INT CMED COVID-1ND</v>
          </cell>
        </row>
        <row r="11021">
          <cell r="B11021" t="str">
            <v>14081200005127</v>
          </cell>
          <cell r="C11021" t="str">
            <v>LPC 30K REACTIVA CORTO PLAZO REPROG VIG 1 D</v>
          </cell>
        </row>
        <row r="11022">
          <cell r="B11022" t="str">
            <v>14081200005128</v>
          </cell>
          <cell r="C11022" t="str">
            <v>MYP REACTIVA REPROG VIG CMED            1 D</v>
          </cell>
        </row>
        <row r="11023">
          <cell r="B11023" t="str">
            <v>14081200005129</v>
          </cell>
          <cell r="C11023" t="str">
            <v>LPC REPROG REACTIVA DIFE CMED INT VIG   1 D</v>
          </cell>
        </row>
        <row r="11024">
          <cell r="B11024" t="str">
            <v>14081200005130</v>
          </cell>
          <cell r="C11024" t="str">
            <v>LPC REPROG REACTIVA DS.011-2022 CMED NOR1 D</v>
          </cell>
        </row>
        <row r="11025">
          <cell r="B11025" t="str">
            <v>14081200005131</v>
          </cell>
          <cell r="C11025" t="str">
            <v>MYP REPROG REACTIVA DS.011-2022 CMED NOR1 D</v>
          </cell>
        </row>
        <row r="11026">
          <cell r="B11026" t="str">
            <v>14081200005138</v>
          </cell>
          <cell r="C11026" t="str">
            <v>MYP INT.X.COB CAP_TRAB_CIMA CMED VIG NOR1 D</v>
          </cell>
        </row>
        <row r="11027">
          <cell r="B11027" t="str">
            <v>14081200005139</v>
          </cell>
          <cell r="C11027" t="str">
            <v>MYP REPROGRAMADO CIMA CMED VIG NORM     1 D</v>
          </cell>
        </row>
        <row r="11028">
          <cell r="B11028" t="str">
            <v>14081200005140</v>
          </cell>
          <cell r="C11028" t="str">
            <v>LPC RP MED PZ PREST VERDE-SOCIAL CMED VI1 D</v>
          </cell>
        </row>
        <row r="11029">
          <cell r="B11029" t="str">
            <v>14081200005141</v>
          </cell>
          <cell r="C11029" t="str">
            <v>LPC RP MED PZ PREST SOSTENIBLE CMED VIG 1 D</v>
          </cell>
        </row>
        <row r="11030">
          <cell r="B11030" t="str">
            <v>14081200005142</v>
          </cell>
          <cell r="C11030" t="str">
            <v>LPC PAG FINAN PROY VERDE-SOCIAL CMED NOR1 D</v>
          </cell>
        </row>
        <row r="11031">
          <cell r="B11031" t="str">
            <v>14081200005143</v>
          </cell>
          <cell r="C11031" t="str">
            <v>LPC PAG FINAN PROY VERDE-SOCIAL CMED NOR1 D</v>
          </cell>
        </row>
        <row r="11032">
          <cell r="B11032" t="str">
            <v>14081200005144</v>
          </cell>
          <cell r="C11032" t="str">
            <v>LPC PAG BIENES INMB RENT VERD-SOCIAL CME1 D</v>
          </cell>
        </row>
        <row r="11033">
          <cell r="B11033" t="str">
            <v>14081200005145</v>
          </cell>
          <cell r="C11033" t="str">
            <v>LPC PAG BIEN INMB RENT VINC-SOSTENIB CME1 D</v>
          </cell>
        </row>
        <row r="11034">
          <cell r="B11034" t="str">
            <v>14081200005146</v>
          </cell>
          <cell r="C11034" t="str">
            <v>MYP REPROG REACTIVA 2023 CMED NORM VIG I1 D</v>
          </cell>
        </row>
        <row r="11035">
          <cell r="B11035" t="str">
            <v>14081200005147</v>
          </cell>
          <cell r="C11035" t="str">
            <v>LPC REPROG REACTIVA 2023 VIG CMED NORM I1 D</v>
          </cell>
        </row>
        <row r="11036">
          <cell r="B11036" t="str">
            <v>14081200005148</v>
          </cell>
          <cell r="C11036" t="str">
            <v>MYP CAP. TRAB - PAGARE DIGITAL_INT CMED 1ND</v>
          </cell>
        </row>
        <row r="11037">
          <cell r="B11037" t="str">
            <v>14081200005150</v>
          </cell>
          <cell r="C11037" t="str">
            <v>MYP IMPULSO MYPERU VIG CMED NORM INT    1 D</v>
          </cell>
        </row>
        <row r="11038">
          <cell r="B11038" t="str">
            <v>14081200005151</v>
          </cell>
          <cell r="C11038" t="str">
            <v>LPC INT LEASING FINANCIACION PROYECTO CM1 D</v>
          </cell>
        </row>
        <row r="11039">
          <cell r="B11039" t="str">
            <v>14081200005152</v>
          </cell>
          <cell r="C11039" t="str">
            <v>LPC INT LEASING FINANCIACION PROYECTO CM1 D</v>
          </cell>
        </row>
        <row r="11040">
          <cell r="B11040" t="str">
            <v>14081200005153</v>
          </cell>
          <cell r="C11040" t="str">
            <v>LPC INT IMPULSO MYPERU CORTO PLAZO CMED 1 D</v>
          </cell>
        </row>
        <row r="11041">
          <cell r="B11041" t="str">
            <v>14081200005154</v>
          </cell>
          <cell r="C11041" t="str">
            <v>LPC INT IMPULSO MYPERU MEDIANO PLAZO CME1 D</v>
          </cell>
        </row>
        <row r="11042">
          <cell r="B11042" t="str">
            <v>14081200005155</v>
          </cell>
          <cell r="C11042" t="str">
            <v>HPC ME INT X COB  VIG  EFECTIVO GRUPO IB1 D</v>
          </cell>
        </row>
        <row r="11043">
          <cell r="B11043" t="str">
            <v>14081200005156</v>
          </cell>
          <cell r="C11043" t="str">
            <v>MYP CAPITAL DE TRAB CIMA REU DIF INT VIG1 D</v>
          </cell>
        </row>
        <row r="11044">
          <cell r="B11044" t="str">
            <v>14081200005157</v>
          </cell>
          <cell r="C11044" t="str">
            <v>MYP CAPITAL DE TRABAJO CUENTA DIGITAL   1 D</v>
          </cell>
        </row>
        <row r="11045">
          <cell r="B11045" t="str">
            <v>14081200005158</v>
          </cell>
          <cell r="C11045" t="str">
            <v>MYP LINEA REVOLV CIMA INT VIG NORM CMED 1 D</v>
          </cell>
        </row>
        <row r="11046">
          <cell r="B11046" t="str">
            <v>14081200005159</v>
          </cell>
          <cell r="C11046" t="str">
            <v>MYP CAP TRAB PER GRACIA PARCIAL INT VIG 1 D</v>
          </cell>
        </row>
        <row r="11047">
          <cell r="B11047" t="str">
            <v>14081200005160</v>
          </cell>
          <cell r="C11047" t="str">
            <v>MYP REPROG PERIODO GRACIA PARCIAL VIG CM1 D</v>
          </cell>
        </row>
        <row r="11048">
          <cell r="B11048" t="str">
            <v>14081200005161</v>
          </cell>
          <cell r="C11048" t="str">
            <v>LPC PAG PAPERLESS DERIVADOS REV/NR INT C1ND</v>
          </cell>
        </row>
        <row r="11049">
          <cell r="B11049" t="str">
            <v>14081200005162</v>
          </cell>
          <cell r="C11049" t="str">
            <v>CCD-BPE CAPITAL DE TRABAJO_CMED VIG NORM1 D</v>
          </cell>
        </row>
        <row r="11050">
          <cell r="B11050" t="str">
            <v>14081200005163</v>
          </cell>
          <cell r="C11050" t="str">
            <v>CCD-BPE LINEA REVOLVENTE_CMED VIG NORM  1 D</v>
          </cell>
        </row>
        <row r="11051">
          <cell r="B11051" t="str">
            <v>14081200005164</v>
          </cell>
          <cell r="C11051" t="str">
            <v>CCD-BPE CAP DE TRAB REPROG_CMED VIG NORM1 D</v>
          </cell>
        </row>
        <row r="11052">
          <cell r="B11052" t="str">
            <v>14081200008001</v>
          </cell>
          <cell r="C11052" t="str">
            <v>PAN CREDITOS MEDIANAS EMPRESAS          1ND</v>
          </cell>
        </row>
        <row r="11053">
          <cell r="B11053" t="str">
            <v>14081200008002</v>
          </cell>
          <cell r="C11053" t="str">
            <v>PAN INT POR COBRAR CREDITOS PRE EMBARQUE1ND</v>
          </cell>
        </row>
        <row r="11054">
          <cell r="B11054" t="str">
            <v>14081200008003</v>
          </cell>
          <cell r="C11054" t="str">
            <v>PAN INT POR COBRAR CREDITOS POST EMBARQU1ND</v>
          </cell>
        </row>
        <row r="11055">
          <cell r="B11055" t="str">
            <v>14081300000101</v>
          </cell>
          <cell r="C11055" t="str">
            <v>MYP INTXCOB.VIG C.TRAB CPEM             1ND</v>
          </cell>
        </row>
        <row r="11056">
          <cell r="B11056" t="str">
            <v>14081300000102</v>
          </cell>
          <cell r="C11056" t="str">
            <v>MYP INTXCOB.VIG COMPRA AF  CPEM         1ND</v>
          </cell>
        </row>
        <row r="11057">
          <cell r="B11057" t="str">
            <v>14081300000103</v>
          </cell>
          <cell r="C11057" t="str">
            <v>MYP INT.X COB.VIG CRED PARAL.CPEM       1ND</v>
          </cell>
        </row>
        <row r="11058">
          <cell r="B11058" t="str">
            <v>14081300000104</v>
          </cell>
          <cell r="C11058" t="str">
            <v>MYP INT.X COB.VIG COMP DEU CPEM         1ND</v>
          </cell>
        </row>
        <row r="11059">
          <cell r="B11059" t="str">
            <v>14081300000105</v>
          </cell>
          <cell r="C11059" t="str">
            <v>MYP INT.X COB.VIG LIN. REVOLV CPEM      1ND</v>
          </cell>
        </row>
        <row r="11060">
          <cell r="B11060" t="str">
            <v>14081300000107</v>
          </cell>
          <cell r="C11060" t="str">
            <v>MYP INT.X COB.VIG FIN. CRED. PARAL. CPEM1ND</v>
          </cell>
        </row>
        <row r="11061">
          <cell r="B11061" t="str">
            <v>14081300000109</v>
          </cell>
          <cell r="C11061" t="str">
            <v>MYP EXPORT.POST EMBAR INTXCOB VIG CPEM  1ND</v>
          </cell>
        </row>
        <row r="11062">
          <cell r="B11062" t="str">
            <v>14081300000110</v>
          </cell>
          <cell r="C11062" t="str">
            <v>MYP EXPORT.PRE EMBARQ RP INTXC CPEM     1ND</v>
          </cell>
        </row>
        <row r="11063">
          <cell r="B11063" t="str">
            <v>14081300000111</v>
          </cell>
          <cell r="C11063" t="str">
            <v>MYP INT.X COB.VIG TRANSP PUBL CPEM      1ND</v>
          </cell>
        </row>
        <row r="11064">
          <cell r="B11064" t="str">
            <v>14081300000112</v>
          </cell>
          <cell r="C11064" t="str">
            <v>MYP INT.X COB.VIG FIN.IMPORT CAP TRAB  C1ND</v>
          </cell>
        </row>
        <row r="11065">
          <cell r="B11065" t="str">
            <v>14081300000113</v>
          </cell>
          <cell r="C11065" t="str">
            <v>MYP INT.X COB.VIG FIN.IMPORT ACTI FIJO  1ND</v>
          </cell>
        </row>
        <row r="11066">
          <cell r="B11066" t="str">
            <v>14081300000114</v>
          </cell>
          <cell r="C11066" t="str">
            <v>MYP INTXCOB COMP DEU AF CPEM VIG        1ND</v>
          </cell>
        </row>
        <row r="11067">
          <cell r="B11067" t="str">
            <v>14081300000115</v>
          </cell>
          <cell r="C11067" t="str">
            <v>MYP INTXCOB COMP DEU AF CPEM VIG        1ND</v>
          </cell>
        </row>
        <row r="11068">
          <cell r="B11068" t="str">
            <v>14081300000116</v>
          </cell>
          <cell r="C11068" t="str">
            <v>MYP INTXCOB E.R.FIN CAP TRABA           1ND</v>
          </cell>
        </row>
        <row r="11069">
          <cell r="B11069" t="str">
            <v>14081300000117</v>
          </cell>
          <cell r="C11069" t="str">
            <v>MYP INTXCOB.VIG PAG BPE-BE COM.NORM CPEM1ND</v>
          </cell>
        </row>
        <row r="11070">
          <cell r="B11070" t="str">
            <v>14081300000118</v>
          </cell>
          <cell r="C11070" t="str">
            <v>MYP I.X COB.VIG LIN REV.BPE-BE COM NORM 1ND</v>
          </cell>
        </row>
        <row r="11071">
          <cell r="B11071" t="str">
            <v>14081300000119</v>
          </cell>
          <cell r="C11071" t="str">
            <v>MYP INTXCOBVIG CTRABPROVREFCPEM         1ND</v>
          </cell>
        </row>
        <row r="11072">
          <cell r="B11072" t="str">
            <v>14081300000120</v>
          </cell>
          <cell r="C11072" t="str">
            <v>MYP INTX COBVIG LREVOL PROVREFCPEM      1ND</v>
          </cell>
        </row>
        <row r="11073">
          <cell r="B11073" t="str">
            <v>14081300000121</v>
          </cell>
          <cell r="C11073" t="str">
            <v>MYP INTXCOB.VIG C.TRAB.REUT.CPEM        1ND</v>
          </cell>
        </row>
        <row r="11074">
          <cell r="B11074" t="str">
            <v>14081300000122</v>
          </cell>
          <cell r="C11074" t="str">
            <v>MYP INT.X COB.VIG L.REVOL REUT.CPEM     1ND</v>
          </cell>
        </row>
        <row r="11075">
          <cell r="B11075" t="str">
            <v>14081300000123</v>
          </cell>
          <cell r="C11075" t="str">
            <v>MYP INTXCOB.VIG C.TRAB CIMA NOR/DUPE CPE1ND</v>
          </cell>
        </row>
        <row r="11076">
          <cell r="B11076" t="str">
            <v>14081300000201</v>
          </cell>
          <cell r="C11076" t="str">
            <v>COM X COB TC COMERC VEA CMIE            1ND</v>
          </cell>
        </row>
        <row r="11077">
          <cell r="B11077" t="str">
            <v>14081300000202</v>
          </cell>
          <cell r="C11077" t="str">
            <v>COM X COB TC COMERC AMEX CMIE           1ND</v>
          </cell>
        </row>
        <row r="11078">
          <cell r="B11078" t="str">
            <v>14081300000203</v>
          </cell>
          <cell r="C11078" t="str">
            <v>INT X COB  TC-COMERC VEA CMIE           1ND</v>
          </cell>
        </row>
        <row r="11079">
          <cell r="B11079" t="str">
            <v>14081300000204</v>
          </cell>
          <cell r="C11079" t="str">
            <v>INT X COB  TC-COMERC  AMEX CMIE         1ND</v>
          </cell>
        </row>
        <row r="11080">
          <cell r="B11080" t="str">
            <v>14081300000205</v>
          </cell>
          <cell r="C11080" t="str">
            <v>COM X COB TC COMERC VEA CPEM            1ND</v>
          </cell>
        </row>
        <row r="11081">
          <cell r="B11081" t="str">
            <v>14081300000206</v>
          </cell>
          <cell r="C11081" t="str">
            <v>COM X COB TC COMERC AMEX CPEM           1ND</v>
          </cell>
        </row>
        <row r="11082">
          <cell r="B11082" t="str">
            <v>14081300000207</v>
          </cell>
          <cell r="C11082" t="str">
            <v>INT X COB  TC-COMERC VEA CPEM           1ND</v>
          </cell>
        </row>
        <row r="11083">
          <cell r="B11083" t="str">
            <v>14081300000208</v>
          </cell>
          <cell r="C11083" t="str">
            <v>INT X COB  TC-COMERC  AMEX CPEM         1ND</v>
          </cell>
        </row>
        <row r="11084">
          <cell r="B11084" t="str">
            <v>14081300000301</v>
          </cell>
          <cell r="C11084" t="str">
            <v>FACT INTER IMPORT   COMP.VIG. CPEM NORMA1ND</v>
          </cell>
        </row>
        <row r="11085">
          <cell r="B11085" t="str">
            <v>14081300000401</v>
          </cell>
          <cell r="C11085" t="str">
            <v>LPC INTXCOB PAGARE TV CPEM              1ND</v>
          </cell>
        </row>
        <row r="11086">
          <cell r="B11086" t="str">
            <v>14081300000402</v>
          </cell>
          <cell r="C11086" t="str">
            <v>LPC INT X COBRAR PAG TV COFIDE CPEM     1ND</v>
          </cell>
        </row>
        <row r="11087">
          <cell r="B11087" t="str">
            <v>14081300000403</v>
          </cell>
          <cell r="C11087" t="str">
            <v>LPC CTA X COBRAR MYP INT DIFER LS CPEM  1ND</v>
          </cell>
        </row>
        <row r="11088">
          <cell r="B11088" t="str">
            <v>14081300000404</v>
          </cell>
          <cell r="C11088" t="str">
            <v>LPC CTA X COBRAR MYP INT DIFER CPEM     1ND</v>
          </cell>
        </row>
        <row r="11089">
          <cell r="B11089" t="str">
            <v>14081300000405</v>
          </cell>
          <cell r="C11089" t="str">
            <v>LPC INTXCOB PAG TV RP MED PLAZO         1ND</v>
          </cell>
        </row>
        <row r="11090">
          <cell r="B11090" t="str">
            <v>14081300000406</v>
          </cell>
          <cell r="C11090" t="str">
            <v>LPC INTXCOB PAG TV INMOBILIARIO         1ND</v>
          </cell>
        </row>
        <row r="11091">
          <cell r="B11091" t="str">
            <v>14081300000407</v>
          </cell>
          <cell r="C11091" t="str">
            <v>LPC INTXCOB FINANC PRE EMBARQUE         1ND</v>
          </cell>
        </row>
        <row r="11092">
          <cell r="B11092" t="str">
            <v>14081300000408</v>
          </cell>
          <cell r="C11092" t="str">
            <v>LPC INTXCOB PAG TV EUROS                1ND</v>
          </cell>
        </row>
        <row r="11093">
          <cell r="B11093" t="str">
            <v>14081300000409</v>
          </cell>
          <cell r="C11093" t="str">
            <v>LPC CTAXCOB INT SEG LSBACK CPEM         1ND</v>
          </cell>
        </row>
        <row r="11094">
          <cell r="B11094" t="str">
            <v>14081300000410</v>
          </cell>
          <cell r="C11094" t="str">
            <v>LPC AVA CUENT  INT X COB CPEM           1ND</v>
          </cell>
        </row>
        <row r="11095">
          <cell r="B11095" t="str">
            <v>14081300000411</v>
          </cell>
          <cell r="C11095" t="str">
            <v>LPC INTXCOB PAGARE DERIVADOS VIG CPEM   1ND</v>
          </cell>
        </row>
        <row r="11096">
          <cell r="B11096" t="str">
            <v>14081300000412</v>
          </cell>
          <cell r="C11096" t="str">
            <v>LPC INTXCOB PAGARE DERIVADOS VIG NORM CP1ND</v>
          </cell>
        </row>
        <row r="11097">
          <cell r="B11097" t="str">
            <v>14081300000413</v>
          </cell>
          <cell r="C11097" t="str">
            <v>LPC INTXCOB PAG REPROGRAMADO            1ND</v>
          </cell>
        </row>
        <row r="11098">
          <cell r="B11098" t="str">
            <v>14081300000451</v>
          </cell>
          <cell r="C11098" t="str">
            <v>INT X COB TC-COMERCIAL CPEM             1ND</v>
          </cell>
        </row>
        <row r="11099">
          <cell r="B11099" t="str">
            <v>14081300000452</v>
          </cell>
          <cell r="C11099" t="str">
            <v>COM X COB TC IBKVISA COMERC CPEM        1ND</v>
          </cell>
        </row>
        <row r="11100">
          <cell r="B11100" t="str">
            <v>14081300000453</v>
          </cell>
          <cell r="C11100" t="str">
            <v>INT X COB TC-COMERC MC CPEM             1ND</v>
          </cell>
        </row>
        <row r="11101">
          <cell r="B11101" t="str">
            <v>14081300000454</v>
          </cell>
          <cell r="C11101" t="str">
            <v>COM X COB TC COMERC MC CPEM             1ND</v>
          </cell>
        </row>
        <row r="11102">
          <cell r="B11102" t="str">
            <v>14081300000501</v>
          </cell>
          <cell r="C11102" t="str">
            <v>LPC CTA X COB INT DIFER LS BIEN CPEM    1ND</v>
          </cell>
        </row>
        <row r="11103">
          <cell r="B11103" t="str">
            <v>14081300000502</v>
          </cell>
          <cell r="C11103" t="str">
            <v>LPC CTA XCOBRAR INT DIF SEG CPEM        1ND</v>
          </cell>
        </row>
        <row r="11104">
          <cell r="B11104" t="str">
            <v>14081300000601</v>
          </cell>
          <cell r="C11104" t="str">
            <v>LPC LEESEBACK CTAXCOB INT DIF CPEM      1ND</v>
          </cell>
        </row>
        <row r="11105">
          <cell r="B11105" t="str">
            <v>14081300000602</v>
          </cell>
          <cell r="C11105" t="str">
            <v>LPC CTAXCOB INT SEG LSBACK CPEM         1ND</v>
          </cell>
        </row>
        <row r="11106">
          <cell r="B11106" t="str">
            <v>14081300000603</v>
          </cell>
          <cell r="C11106" t="str">
            <v>FCD DESC. VIRTUAL I. COMP.VIG. CPEM NORM1ND</v>
          </cell>
        </row>
        <row r="11107">
          <cell r="B11107" t="str">
            <v>14081300000701</v>
          </cell>
          <cell r="C11107" t="str">
            <v>LPC CTA X COB INT DIFERIDO LS BIEN CPEM 1ND</v>
          </cell>
        </row>
        <row r="11108">
          <cell r="B11108" t="str">
            <v>14081300000702</v>
          </cell>
          <cell r="C11108" t="str">
            <v>LPC CTA XCOBRAR INT DIF SEG CPEM        1ND</v>
          </cell>
        </row>
        <row r="11109">
          <cell r="B11109" t="str">
            <v>14081300000801</v>
          </cell>
          <cell r="C11109" t="str">
            <v>FCD  INTXCOB LETRASÂ  DSCTOÂ  CPEM      1ND</v>
          </cell>
        </row>
        <row r="11110">
          <cell r="B11110" t="str">
            <v>14081300000802</v>
          </cell>
          <cell r="C11110" t="str">
            <v>FCD  DSCTO ELECTR SM PERU I.VIG CMED    1ND</v>
          </cell>
        </row>
        <row r="11111">
          <cell r="B11111" t="str">
            <v>14081300000803</v>
          </cell>
          <cell r="C11111" t="str">
            <v>PR CTA.X COB (UTILIDAD) COMP.VTO.15D CPE1ND</v>
          </cell>
        </row>
        <row r="11112">
          <cell r="B11112" t="str">
            <v>14081300000804</v>
          </cell>
          <cell r="C11112" t="str">
            <v>PR CTA.X COBRAR (UTILIDAD) DIFERIDO CPEM1ND</v>
          </cell>
        </row>
        <row r="11113">
          <cell r="B11113" t="str">
            <v>14081300000805</v>
          </cell>
          <cell r="C11113" t="str">
            <v>PR CTAXCOB (UTIL)FACT.FACTORING COMP CPE1ND</v>
          </cell>
        </row>
        <row r="11114">
          <cell r="B11114" t="str">
            <v>14081300000806</v>
          </cell>
          <cell r="C11114" t="str">
            <v>PR CTA.X COB (UTIL)FACT.FACTORING DIF CP1ND</v>
          </cell>
        </row>
        <row r="11115">
          <cell r="B11115" t="str">
            <v>14081300000807</v>
          </cell>
          <cell r="C11115" t="str">
            <v>PR FACT ELECTR LET/FACT I.COMPENS CPEM  1ND</v>
          </cell>
        </row>
        <row r="11116">
          <cell r="B11116" t="str">
            <v>14081300000808</v>
          </cell>
          <cell r="C11116" t="str">
            <v>PR FACT ELECTR LET/FACT I.DIF CPEM      1ND</v>
          </cell>
        </row>
        <row r="11117">
          <cell r="B11117" t="str">
            <v>14081300000809</v>
          </cell>
          <cell r="C11117" t="str">
            <v>FCD FACT INTERN INT GANAD VIG CPEM      1ND</v>
          </cell>
        </row>
        <row r="11118">
          <cell r="B11118" t="str">
            <v>14081300000810</v>
          </cell>
          <cell r="C11118" t="str">
            <v>PR PERU FACTORING INT COMPENS CPEM      1ND</v>
          </cell>
        </row>
        <row r="11119">
          <cell r="B11119" t="str">
            <v>14081300000811</v>
          </cell>
          <cell r="C11119" t="str">
            <v>PR PERU FACTORING INT.DIF CPEM          1ND</v>
          </cell>
        </row>
        <row r="11120">
          <cell r="B11120" t="str">
            <v>14081300000812</v>
          </cell>
          <cell r="C11120" t="str">
            <v>PR FORFAITING EXPORTACIÃ“N X COBRAR VIG 1ND</v>
          </cell>
        </row>
        <row r="11121">
          <cell r="B11121" t="str">
            <v>14081300000813</v>
          </cell>
          <cell r="C11121" t="str">
            <v>FCD FACT INTER EXPO INT x cobrar VIG NOR1ND</v>
          </cell>
        </row>
        <row r="11122">
          <cell r="B11122" t="str">
            <v>14081300000814</v>
          </cell>
          <cell r="C11122" t="str">
            <v>FCD FORFAITING EXPO X COBRAR VIG NORM  C1ND</v>
          </cell>
        </row>
        <row r="11123">
          <cell r="B11123" t="str">
            <v>14081300000815</v>
          </cell>
          <cell r="C11123" t="str">
            <v>FCD CONFIRMING INTERNACIONAL INT x cobra1ND</v>
          </cell>
        </row>
        <row r="11124">
          <cell r="B11124" t="str">
            <v>14081300000901</v>
          </cell>
          <cell r="C11124" t="str">
            <v>CL INT X COBRAR EX PRE EM RP CPEM       1ND</v>
          </cell>
        </row>
        <row r="11125">
          <cell r="B11125" t="str">
            <v>14081300000902</v>
          </cell>
          <cell r="C11125" t="str">
            <v>CL INT X COB EX POST EMB RP CPEM        1ND</v>
          </cell>
        </row>
        <row r="11126">
          <cell r="B11126" t="str">
            <v>14081300000903</v>
          </cell>
          <cell r="C11126" t="str">
            <v>CL INT X COB IMPOR CPEM                 1ND</v>
          </cell>
        </row>
        <row r="11127">
          <cell r="B11127" t="str">
            <v>14081300000904</v>
          </cell>
          <cell r="C11127" t="str">
            <v>LPC INTXCOB WORK CAP.EX PRE EMB. CMED   1ND</v>
          </cell>
        </row>
        <row r="11128">
          <cell r="B11128" t="str">
            <v>14081300000905</v>
          </cell>
          <cell r="C11128" t="str">
            <v>LPC INTXCOB FINANC PRE EMBARQUE-SEPYMEX 1ND</v>
          </cell>
        </row>
        <row r="11129">
          <cell r="B11129" t="str">
            <v>14081300000906</v>
          </cell>
          <cell r="C11129" t="str">
            <v>LPC INTXCOB PRE EMBARQUE VIG.NORM CPEM  1ND</v>
          </cell>
        </row>
        <row r="11130">
          <cell r="B11130" t="str">
            <v>14081300000907</v>
          </cell>
          <cell r="C11130" t="str">
            <v>LPC INTXCOB POST EMBARQUE VIG.NORM CPEM 1ND</v>
          </cell>
        </row>
        <row r="11131">
          <cell r="B11131" t="str">
            <v>14081300000908</v>
          </cell>
          <cell r="C11131" t="str">
            <v>LPC INTXCOB IMPORT. CARTA CREDITO  VIG.N1ND</v>
          </cell>
        </row>
        <row r="11132">
          <cell r="B11132" t="str">
            <v>14081300000909</v>
          </cell>
          <cell r="C11132" t="str">
            <v>LPC INTXCOB IMPORT.  VIG.NORM CPEM      1ND</v>
          </cell>
        </row>
        <row r="11133">
          <cell r="B11133" t="str">
            <v>14081300000910</v>
          </cell>
          <cell r="C11133" t="str">
            <v>LPC P.TSA.DSCTO.INT.X COB.VIG CPEM      1ND</v>
          </cell>
        </row>
        <row r="11134">
          <cell r="B11134" t="str">
            <v>14081300001001</v>
          </cell>
          <cell r="C11134" t="str">
            <v>CL INTXCOB PAG DSCTO CPEM               1ND</v>
          </cell>
        </row>
        <row r="11135">
          <cell r="B11135" t="str">
            <v>14081300001002</v>
          </cell>
          <cell r="C11135" t="str">
            <v>CL INTXCOB TV CPEM                      1ND</v>
          </cell>
        </row>
        <row r="11136">
          <cell r="B11136" t="str">
            <v>14081300001003</v>
          </cell>
          <cell r="C11136" t="str">
            <v>CL INTXCOB PAG.TV NEG.INMOB VIG CPEM    1ND</v>
          </cell>
        </row>
        <row r="11137">
          <cell r="B11137" t="str">
            <v>14081300001004</v>
          </cell>
          <cell r="C11137" t="str">
            <v>CL INT.DEUD.VTA CARTERA VIG CPEM        1ND</v>
          </cell>
        </row>
        <row r="11138">
          <cell r="B11138" t="str">
            <v>14081300001005</v>
          </cell>
          <cell r="C11138" t="str">
            <v>CL INT X COBRAR PREST COFIDE CPEM       1ND</v>
          </cell>
        </row>
        <row r="11139">
          <cell r="B11139" t="str">
            <v>14081300001006</v>
          </cell>
          <cell r="C11139" t="str">
            <v>CL INT COB CXL  ACEPT.BKT INT CPEM      1ND</v>
          </cell>
        </row>
        <row r="11140">
          <cell r="B11140" t="str">
            <v>14081300001007</v>
          </cell>
          <cell r="C11140" t="str">
            <v>CL INT COB CXL AVAL ACEPT.BKT INT CPEM  1ND</v>
          </cell>
        </row>
        <row r="11141">
          <cell r="B11141" t="str">
            <v>14081300001008</v>
          </cell>
          <cell r="C11141" t="str">
            <v>CL INT COB CXL CC AVAL BKT INT CPEM     1ND</v>
          </cell>
        </row>
        <row r="11142">
          <cell r="B11142" t="str">
            <v>14081300001009</v>
          </cell>
          <cell r="C11142" t="str">
            <v>CL INTXCOB CXL CC CAR CRED VISTA CPEM   1ND</v>
          </cell>
        </row>
        <row r="11143">
          <cell r="B11143" t="str">
            <v>14081300001010</v>
          </cell>
          <cell r="C11143" t="str">
            <v>CL INTXCOB CXL  STAND BY CPEM           1ND</v>
          </cell>
        </row>
        <row r="11144">
          <cell r="B11144" t="str">
            <v>14081300001011</v>
          </cell>
          <cell r="C11144" t="str">
            <v>CL EX FORFAITING INT.VIG CPEM           1ND</v>
          </cell>
        </row>
        <row r="11145">
          <cell r="B11145" t="str">
            <v>14081300001012</v>
          </cell>
          <cell r="C11145" t="str">
            <v>CL INTXCOB CXL  COB AVAL CPEM           1ND</v>
          </cell>
        </row>
        <row r="11146">
          <cell r="B11146" t="str">
            <v>14081300001013</v>
          </cell>
          <cell r="C11146" t="str">
            <v>CL EX FACTORING FORFAITING INT.VIG CPEM 1ND</v>
          </cell>
        </row>
        <row r="11147">
          <cell r="B11147" t="str">
            <v>14081300001014</v>
          </cell>
          <cell r="C11147" t="str">
            <v>CL  CONFIRMING INTER INT.VIG CPEM       1ND</v>
          </cell>
        </row>
        <row r="11148">
          <cell r="B11148" t="str">
            <v>14081300001015</v>
          </cell>
          <cell r="C11148" t="str">
            <v>CL INT.X COB.CRED.POR LIQ. CARTA FIANZA 1ND</v>
          </cell>
        </row>
        <row r="11149">
          <cell r="B11149" t="str">
            <v>14081300001101</v>
          </cell>
          <cell r="C11149" t="str">
            <v>IM INT X COBRAR  CTA CTE CPEM           1ND</v>
          </cell>
        </row>
        <row r="11150">
          <cell r="B11150" t="str">
            <v>14081300001102</v>
          </cell>
          <cell r="C11150" t="str">
            <v>INTxCOB REPROGRAMACION TC VIG. CPEM     1ND</v>
          </cell>
        </row>
        <row r="11151">
          <cell r="B11151" t="str">
            <v>14081300001103</v>
          </cell>
          <cell r="C11151" t="str">
            <v>COMxCOB REPROGRAMACION TC VIG. CPEM     1ND</v>
          </cell>
        </row>
        <row r="11152">
          <cell r="B11152" t="str">
            <v>14081300001201</v>
          </cell>
          <cell r="C11152" t="str">
            <v>TC INT X COB AMEX CDEUDA PAR VIG CPEM   1ND</v>
          </cell>
        </row>
        <row r="11153">
          <cell r="B11153" t="str">
            <v>14081300001202</v>
          </cell>
          <cell r="C11153" t="str">
            <v>TC INT X COB AMEX CDEUDA REV VIG CPEM   1ND</v>
          </cell>
        </row>
        <row r="11154">
          <cell r="B11154" t="str">
            <v>14081300001203</v>
          </cell>
          <cell r="C11154" t="str">
            <v>TC INT X COB AMEX COMPRA REV VIG CPEM   1ND</v>
          </cell>
        </row>
        <row r="11155">
          <cell r="B11155" t="str">
            <v>14081300001204</v>
          </cell>
          <cell r="C11155" t="str">
            <v>TC INT X COB AMEX D/E CUOTAS VIG CPEM   1ND</v>
          </cell>
        </row>
        <row r="11156">
          <cell r="B11156" t="str">
            <v>14081300001205</v>
          </cell>
          <cell r="C11156" t="str">
            <v>TC INT X COB AMEX D/E REV VIG CPEM      1ND</v>
          </cell>
        </row>
        <row r="11157">
          <cell r="B11157" t="str">
            <v>14081300001206</v>
          </cell>
          <cell r="C11157" t="str">
            <v>TC INT X COB AMEX EXTRACASH VIG CPEM    1ND</v>
          </cell>
        </row>
        <row r="11158">
          <cell r="B11158" t="str">
            <v>14081300001207</v>
          </cell>
          <cell r="C11158" t="str">
            <v>TC INT X COB AMEX REPROG PAR VIG CPEM   1ND</v>
          </cell>
        </row>
        <row r="11159">
          <cell r="B11159" t="str">
            <v>14081300001208</v>
          </cell>
          <cell r="C11159" t="str">
            <v>TC INT X COB AMEX REPROG REV VIG CPEM   1ND</v>
          </cell>
        </row>
        <row r="11160">
          <cell r="B11160" t="str">
            <v>14081300001209</v>
          </cell>
          <cell r="C11160" t="str">
            <v>TC INTXCOB AMEX COMPRA CUOTA VIG CPEM   1ND</v>
          </cell>
        </row>
        <row r="11161">
          <cell r="B11161" t="str">
            <v>14081300001210</v>
          </cell>
          <cell r="C11161" t="str">
            <v>TC INT X COB MC CDEUDA PAR VIG CPEM     1ND</v>
          </cell>
        </row>
        <row r="11162">
          <cell r="B11162" t="str">
            <v>14081300001211</v>
          </cell>
          <cell r="C11162" t="str">
            <v>TC INT X COB MC CDEUDA REV VIG CPEM     1ND</v>
          </cell>
        </row>
        <row r="11163">
          <cell r="B11163" t="str">
            <v>14081300001212</v>
          </cell>
          <cell r="C11163" t="str">
            <v>TC INT X COB MC COMPRA REV VIG CPEM     1ND</v>
          </cell>
        </row>
        <row r="11164">
          <cell r="B11164" t="str">
            <v>14081300001213</v>
          </cell>
          <cell r="C11164" t="str">
            <v>TC INT X COB MC D/E CUOTAS VIG CPEM     1ND</v>
          </cell>
        </row>
        <row r="11165">
          <cell r="B11165" t="str">
            <v>14081300001214</v>
          </cell>
          <cell r="C11165" t="str">
            <v>TC INT X COB MC D/E REV VIG CPEM        1ND</v>
          </cell>
        </row>
        <row r="11166">
          <cell r="B11166" t="str">
            <v>14081300001215</v>
          </cell>
          <cell r="C11166" t="str">
            <v>TC INT X COB MC EXTRACASH VIG CPEM      1ND</v>
          </cell>
        </row>
        <row r="11167">
          <cell r="B11167" t="str">
            <v>14081300001216</v>
          </cell>
          <cell r="C11167" t="str">
            <v>TC INT X COB MC REPROG PAR VIG CPEM     1ND</v>
          </cell>
        </row>
        <row r="11168">
          <cell r="B11168" t="str">
            <v>14081300001217</v>
          </cell>
          <cell r="C11168" t="str">
            <v>TC INT X COB MC REPROG REV VIG CPEM     1ND</v>
          </cell>
        </row>
        <row r="11169">
          <cell r="B11169" t="str">
            <v>14081300001218</v>
          </cell>
          <cell r="C11169" t="str">
            <v>TC INTXCOB MC COMPRA CUOTA VIG CPEM     1ND</v>
          </cell>
        </row>
        <row r="11170">
          <cell r="B11170" t="str">
            <v>14081300001219</v>
          </cell>
          <cell r="C11170" t="str">
            <v>TC INT X COB VISA CDEUDA PAR VIG CPEM   1ND</v>
          </cell>
        </row>
        <row r="11171">
          <cell r="B11171" t="str">
            <v>14081300001220</v>
          </cell>
          <cell r="C11171" t="str">
            <v>TC INT X COB VISA CDEUDA REV VIG CPEM   1ND</v>
          </cell>
        </row>
        <row r="11172">
          <cell r="B11172" t="str">
            <v>14081300001221</v>
          </cell>
          <cell r="C11172" t="str">
            <v>TC INT X COB VISA COMPRA REV VIG CPEM   1ND</v>
          </cell>
        </row>
        <row r="11173">
          <cell r="B11173" t="str">
            <v>14081300001222</v>
          </cell>
          <cell r="C11173" t="str">
            <v>TC INT X COB VISA D/E CUOTAS VIG CPEM   1ND</v>
          </cell>
        </row>
        <row r="11174">
          <cell r="B11174" t="str">
            <v>14081300001223</v>
          </cell>
          <cell r="C11174" t="str">
            <v>TC INT X COB VISA D/E REV VIG CPEM      1ND</v>
          </cell>
        </row>
        <row r="11175">
          <cell r="B11175" t="str">
            <v>14081300001224</v>
          </cell>
          <cell r="C11175" t="str">
            <v>TC INT X COB VISA EXTRACASH VIG CPEM    1ND</v>
          </cell>
        </row>
        <row r="11176">
          <cell r="B11176" t="str">
            <v>14081300001225</v>
          </cell>
          <cell r="C11176" t="str">
            <v>TC INT X COB VISA REPROG PAR VIG CPEM   1ND</v>
          </cell>
        </row>
        <row r="11177">
          <cell r="B11177" t="str">
            <v>14081300001226</v>
          </cell>
          <cell r="C11177" t="str">
            <v>TC INT X COB VISA REPROG REV VIG CPEM   1ND</v>
          </cell>
        </row>
        <row r="11178">
          <cell r="B11178" t="str">
            <v>14081300001227</v>
          </cell>
          <cell r="C11178" t="str">
            <v>TC INTXCOB VISA COMPRA CUOTA VIG CPEM   1ND</v>
          </cell>
        </row>
        <row r="11179">
          <cell r="B11179" t="str">
            <v>14081300001301</v>
          </cell>
          <cell r="C11179" t="str">
            <v>LPC CTA X COB INT DIF LS COFIDE PDL CPEM1ND</v>
          </cell>
        </row>
        <row r="11180">
          <cell r="B11180" t="str">
            <v>14081300001302</v>
          </cell>
          <cell r="C11180" t="str">
            <v>LPC LS COFIDE CTA XCOBRAR INT DIF SEG SD1ND</v>
          </cell>
        </row>
        <row r="11181">
          <cell r="B11181" t="str">
            <v>14081300001303</v>
          </cell>
          <cell r="C11181" t="str">
            <v>LPC CTA X COB INT DIFER LEASING DERIVADO1ND</v>
          </cell>
        </row>
        <row r="11182">
          <cell r="B11182" t="str">
            <v>14081300001304</v>
          </cell>
          <cell r="C11182" t="str">
            <v>LPC CTA XCOBRAR INT DIF SEG LEASING DERI1ND</v>
          </cell>
        </row>
        <row r="11183">
          <cell r="B11183" t="str">
            <v>14081300005104</v>
          </cell>
          <cell r="C11183" t="str">
            <v>PR LETRAS T. DESCONTADAÂ  INTE VIGÂ Â  C1ND</v>
          </cell>
        </row>
        <row r="11184">
          <cell r="B11184" t="str">
            <v>14081300005105</v>
          </cell>
          <cell r="C11184" t="str">
            <v>LPC CTA X COB INT PRECUOTAS LS BIEN CPEM1ND</v>
          </cell>
        </row>
        <row r="11185">
          <cell r="B11185" t="str">
            <v>14081300005106</v>
          </cell>
          <cell r="C11185" t="str">
            <v>MYP CODIFE FONDO CRECER VIG CPEM\NORM   1ND</v>
          </cell>
        </row>
        <row r="11186">
          <cell r="B11186" t="str">
            <v>14081300005107</v>
          </cell>
          <cell r="C11186" t="str">
            <v>MYP CODIFE REACTIVA PERU VIG CPEM\NORM  1ND</v>
          </cell>
        </row>
        <row r="11187">
          <cell r="B11187" t="str">
            <v>14081300005112</v>
          </cell>
          <cell r="C11187" t="str">
            <v>LPC REACTIVA PERU VIG CPEM\NORM         1ND</v>
          </cell>
        </row>
        <row r="11188">
          <cell r="B11188" t="str">
            <v>14081300005113</v>
          </cell>
          <cell r="C11188" t="str">
            <v>LPC COFIDE FONDOS PERU VIG CPEM\NORM    1ND</v>
          </cell>
        </row>
        <row r="11189">
          <cell r="B11189" t="str">
            <v>14081300005114</v>
          </cell>
          <cell r="C11189" t="str">
            <v>LPC COFIDE FONDO CRECER VIG CPEM\NORM   1ND</v>
          </cell>
        </row>
        <row r="11190">
          <cell r="B11190" t="str">
            <v>14081300005115</v>
          </cell>
          <cell r="C11190" t="str">
            <v>LPC REACTIVA PERU VIG CPEM\NORM         1ND</v>
          </cell>
        </row>
        <row r="11191">
          <cell r="B11191" t="str">
            <v>14081300005116</v>
          </cell>
          <cell r="C11191" t="str">
            <v>LPC PAG.INMOB. REPROG-SUSPENSO VIG CPEM 1ND</v>
          </cell>
        </row>
        <row r="11192">
          <cell r="B11192" t="str">
            <v>14081300005117</v>
          </cell>
          <cell r="C11192" t="str">
            <v>LPC PAG.INMOB. REPROG-SUSPENSO VIG CPEM 1ND</v>
          </cell>
        </row>
        <row r="11193">
          <cell r="B11193" t="str">
            <v>14081300005119</v>
          </cell>
          <cell r="C11193" t="str">
            <v>LPC 30K REACTIVA CORTO PLAZO REPROG VIG 1 D</v>
          </cell>
        </row>
        <row r="11194">
          <cell r="B11194" t="str">
            <v>14081300005120</v>
          </cell>
          <cell r="C11194" t="str">
            <v>MYP REACTIVA REPROG VIG CPEM            1 D</v>
          </cell>
        </row>
        <row r="11195">
          <cell r="B11195" t="str">
            <v>14081300005121</v>
          </cell>
          <cell r="C11195" t="str">
            <v>LPC REPROG REACTIVA DIFE CPEM INT VIG   1 D</v>
          </cell>
        </row>
        <row r="11196">
          <cell r="B11196" t="str">
            <v>14081300005122</v>
          </cell>
          <cell r="C11196" t="str">
            <v>LPC PRE EMBARQUE FONDOS CRECER CPEM VIG\1ND</v>
          </cell>
        </row>
        <row r="11197">
          <cell r="B11197" t="str">
            <v>14081300005123</v>
          </cell>
          <cell r="C11197" t="str">
            <v>LPC REPROG REACTIVA DS.011-2022 CPEM NOR1 D</v>
          </cell>
        </row>
        <row r="11198">
          <cell r="B11198" t="str">
            <v>14081300005124</v>
          </cell>
          <cell r="C11198" t="str">
            <v>MYP REPROG REACTIVA DS.011-2022 CPEM NOR1 D</v>
          </cell>
        </row>
        <row r="11199">
          <cell r="B11199" t="str">
            <v>14081300005130</v>
          </cell>
          <cell r="C11199" t="str">
            <v>MYP INT.X.COB CAP_TRAB_CIMA CPEM VIG NOR1 D</v>
          </cell>
        </row>
        <row r="11200">
          <cell r="B11200" t="str">
            <v>14081300005131</v>
          </cell>
          <cell r="C11200" t="str">
            <v>MYP REPROGRAMADO CIMA CPEM VIG NORM     1 D</v>
          </cell>
        </row>
        <row r="11201">
          <cell r="B11201" t="str">
            <v>14081300005132</v>
          </cell>
          <cell r="C11201" t="str">
            <v>MYP REPROG REACTIVA 2023 CPEM NORM VIG I1 D</v>
          </cell>
        </row>
        <row r="11202">
          <cell r="B11202" t="str">
            <v>14081300005133</v>
          </cell>
          <cell r="C11202" t="str">
            <v>LPC REPROG REACTIVA 2023 VIG CPEM NORM I1 D</v>
          </cell>
        </row>
        <row r="11203">
          <cell r="B11203" t="str">
            <v>14081300005134</v>
          </cell>
          <cell r="C11203" t="str">
            <v>MYP CAP. TRAB - PAGARE DIGITAL_INT CPEM 1 D</v>
          </cell>
        </row>
        <row r="11204">
          <cell r="B11204" t="str">
            <v>14081300005135</v>
          </cell>
          <cell r="C11204" t="str">
            <v>MYP IMPULSO MYPERU VIG CPEM NORM INT    1 D</v>
          </cell>
        </row>
        <row r="11205">
          <cell r="B11205" t="str">
            <v>14081300005136</v>
          </cell>
          <cell r="C11205" t="str">
            <v>LPC INT IMPULSO MYPERU CORTO PLAZO CPEM 1 D</v>
          </cell>
        </row>
        <row r="11206">
          <cell r="B11206" t="str">
            <v>14081300005137</v>
          </cell>
          <cell r="C11206" t="str">
            <v>LPC INT IMPULSO MYPERU MEDIANO PLAZO CPE1 D</v>
          </cell>
        </row>
        <row r="11207">
          <cell r="B11207" t="str">
            <v>14081300005138</v>
          </cell>
          <cell r="C11207" t="str">
            <v>MYP CAPITAL DE TRAB CIMA REU DIF INT VIG1 D</v>
          </cell>
        </row>
        <row r="11208">
          <cell r="B11208" t="str">
            <v>14081300005139</v>
          </cell>
          <cell r="C11208" t="str">
            <v>MYP LINEA REVOLV CIMA INT VIG NORM CPEM 1 D</v>
          </cell>
        </row>
        <row r="11209">
          <cell r="B11209" t="str">
            <v>14081300005140</v>
          </cell>
          <cell r="C11209" t="str">
            <v>MYP CAP TRAB PER GRACIA PARCIAL INT VIG 1 D</v>
          </cell>
        </row>
        <row r="11210">
          <cell r="B11210" t="str">
            <v>14081300005141</v>
          </cell>
          <cell r="C11210" t="str">
            <v>MYP REPROG PERIODO GRACIA PARCIAL VIG CP1 D</v>
          </cell>
        </row>
        <row r="11211">
          <cell r="B11211" t="str">
            <v>14081300005142</v>
          </cell>
          <cell r="C11211" t="str">
            <v>LPC PAG PAPERLESS DERIVADOS REV/NR INT C1ND</v>
          </cell>
        </row>
        <row r="11212">
          <cell r="B11212" t="str">
            <v>14081300005143</v>
          </cell>
          <cell r="C11212" t="str">
            <v>CCD-BPE CAPITAL DE TRABAJO_CPEM VIG NORM1 D</v>
          </cell>
        </row>
        <row r="11213">
          <cell r="B11213" t="str">
            <v>14081300005144</v>
          </cell>
          <cell r="C11213" t="str">
            <v>CCD-BPE LINEA REVOLVENTE_CPEM VIG NORM  1 D</v>
          </cell>
        </row>
        <row r="11214">
          <cell r="B11214" t="str">
            <v>14081300005145</v>
          </cell>
          <cell r="C11214" t="str">
            <v>CCD-BPE CAP DE TRAB REPROG_CPEM VIG NORM1 D</v>
          </cell>
        </row>
        <row r="11215">
          <cell r="B11215" t="str">
            <v>14090101000101</v>
          </cell>
          <cell r="C11215" t="str">
            <v>(PROV CRED COMERCIALES ESPECIFICA)      1ND</v>
          </cell>
        </row>
        <row r="11216">
          <cell r="B11216" t="str">
            <v>14090101000102</v>
          </cell>
          <cell r="C11216" t="str">
            <v>PROV CTAS REFINANCIADAS                 1ND</v>
          </cell>
        </row>
        <row r="11217">
          <cell r="B11217" t="str">
            <v>14090101000103</v>
          </cell>
          <cell r="C11217" t="str">
            <v>CRED POR LIQUIDAR                       1ND</v>
          </cell>
        </row>
        <row r="11218">
          <cell r="B11218" t="str">
            <v>14090101000104</v>
          </cell>
          <cell r="C11218" t="str">
            <v>PROV CRED VENCIDO                       1ND</v>
          </cell>
        </row>
        <row r="11219">
          <cell r="B11219" t="str">
            <v>14090101000105</v>
          </cell>
          <cell r="C11219" t="str">
            <v>DESCUENTOS JUDICIALES                   1ND</v>
          </cell>
        </row>
        <row r="11220">
          <cell r="B11220" t="str">
            <v>14090101000106</v>
          </cell>
          <cell r="C11220" t="str">
            <v>PROV CRED DESCTO VIGENTE                1ND</v>
          </cell>
        </row>
        <row r="11221">
          <cell r="B11221" t="str">
            <v>14090101000107</v>
          </cell>
          <cell r="C11221" t="str">
            <v>PROV CRED VIGENTES                      1ND</v>
          </cell>
        </row>
        <row r="11222">
          <cell r="B11222" t="str">
            <v>14090101000108</v>
          </cell>
          <cell r="C11222" t="str">
            <v>PROV CRED ARRENDAMIENTO FINANC          1ND</v>
          </cell>
        </row>
        <row r="11223">
          <cell r="B11223" t="str">
            <v>14090101000109</v>
          </cell>
          <cell r="C11223" t="str">
            <v>PROV CRED FACTORING                     1ND</v>
          </cell>
        </row>
        <row r="11224">
          <cell r="B11224" t="str">
            <v>14090101000117</v>
          </cell>
          <cell r="C11224" t="str">
            <v>PROV.ESPECIFICA REFINANCIADOS RFA       1ND</v>
          </cell>
        </row>
        <row r="11225">
          <cell r="B11225" t="str">
            <v>14090102000101</v>
          </cell>
          <cell r="C11225" t="str">
            <v>(PROV CRED COMER GEN OBLIGATORIA)       1ND</v>
          </cell>
        </row>
        <row r="11226">
          <cell r="B11226" t="str">
            <v>14090102000201</v>
          </cell>
          <cell r="C11226" t="str">
            <v>PROV. GENERICA OBLIGATORIA PROCICLICA   1ND</v>
          </cell>
        </row>
        <row r="11227">
          <cell r="B11227" t="str">
            <v>14090201000001</v>
          </cell>
          <cell r="C11227" t="str">
            <v>Micro. Emp Especifica                   1ND</v>
          </cell>
        </row>
        <row r="11228">
          <cell r="B11228" t="str">
            <v>14090201000101</v>
          </cell>
          <cell r="C11228" t="str">
            <v>PROV CUENTAS CORRIENTES MES             1ND</v>
          </cell>
        </row>
        <row r="11229">
          <cell r="B11229" t="str">
            <v>14090201000103</v>
          </cell>
          <cell r="C11229" t="str">
            <v>PROV CR?DITOS VENCIDO                   1ND</v>
          </cell>
        </row>
        <row r="11230">
          <cell r="B11230" t="str">
            <v>14090201000104</v>
          </cell>
          <cell r="C11230" t="str">
            <v>PROV COBRANZA JUDICIAL                  1ND</v>
          </cell>
        </row>
        <row r="11231">
          <cell r="B11231" t="str">
            <v>14090201000106</v>
          </cell>
          <cell r="C11231" t="str">
            <v>PROV PRESTAMOS VIGENTES                 1ND</v>
          </cell>
        </row>
        <row r="11232">
          <cell r="B11232" t="str">
            <v>14090201000107</v>
          </cell>
          <cell r="C11232" t="str">
            <v>PROV ARRENDAMIENTO FINANCIERO MES       1ND</v>
          </cell>
        </row>
        <row r="11233">
          <cell r="B11233" t="str">
            <v>14090201000111</v>
          </cell>
          <cell r="C11233" t="str">
            <v>PROV. ESPECÂ¡FICA REFINANCIADOS RFA     1ND</v>
          </cell>
        </row>
        <row r="11234">
          <cell r="B11234" t="str">
            <v>14090201000112</v>
          </cell>
          <cell r="C11234" t="str">
            <v>PRO Microempresas - ESP RIE CRED        1ND</v>
          </cell>
        </row>
        <row r="11235">
          <cell r="B11235" t="str">
            <v>14090201000113</v>
          </cell>
          <cell r="C11235" t="str">
            <v>PRO Microempresas - ESP  PROCICLICO     1ND</v>
          </cell>
        </row>
        <row r="11236">
          <cell r="B11236" t="str">
            <v>14090201000201</v>
          </cell>
          <cell r="C11236" t="str">
            <v>PRO ESP RIE CRED  -  PAGARES            1ND</v>
          </cell>
        </row>
        <row r="11237">
          <cell r="B11237" t="str">
            <v>14090201000301</v>
          </cell>
          <cell r="C11237" t="str">
            <v>PRO ESP RIE CRED  -  AVAN. EN CTA.      1ND</v>
          </cell>
        </row>
        <row r="11238">
          <cell r="B11238" t="str">
            <v>14090201000701</v>
          </cell>
          <cell r="C11238" t="str">
            <v>IFRS - AJUSTE DE PROVISIONES BPE        1ND</v>
          </cell>
        </row>
        <row r="11239">
          <cell r="B11239" t="str">
            <v>14090201001101</v>
          </cell>
          <cell r="C11239" t="str">
            <v>PRO ESP RIE CRED  -  SOBREGIROS         1ND</v>
          </cell>
        </row>
        <row r="11240">
          <cell r="B11240" t="str">
            <v>14090201001201</v>
          </cell>
          <cell r="C11240" t="str">
            <v>PRO ESP RIE CRED  -  LEASING            1ND</v>
          </cell>
        </row>
        <row r="11241">
          <cell r="B11241" t="str">
            <v>14090201001301</v>
          </cell>
          <cell r="C11241" t="str">
            <v>PRO ESP RIE CRED  -  FIN. COMEX         1ND</v>
          </cell>
        </row>
        <row r="11242">
          <cell r="B11242" t="str">
            <v>14090201001401</v>
          </cell>
          <cell r="C11242" t="str">
            <v>PRO ESP RIE CRED  -  LEASEBACK          1ND</v>
          </cell>
        </row>
        <row r="11243">
          <cell r="B11243" t="str">
            <v>14090201001501</v>
          </cell>
          <cell r="C11243" t="str">
            <v>PROVISION ESP.OBLIG.RGO CRED OT CRED CON1ND</v>
          </cell>
        </row>
        <row r="11244">
          <cell r="B11244" t="str">
            <v>14090201001601</v>
          </cell>
          <cell r="C11244" t="str">
            <v>PRO ESP RIE CRED  -OTR. CRÃ‰. DIR.      1ND</v>
          </cell>
        </row>
        <row r="11245">
          <cell r="B11245" t="str">
            <v>14090201001701</v>
          </cell>
          <cell r="C11245" t="str">
            <v>PRO ESP RIE CRED  -  DESCUENTOS         1ND</v>
          </cell>
        </row>
        <row r="11246">
          <cell r="B11246" t="str">
            <v>14090201001901</v>
          </cell>
          <cell r="C11246" t="str">
            <v>PRO ESP PROC  -  FIN. COMEX             1ND</v>
          </cell>
        </row>
        <row r="11247">
          <cell r="B11247" t="str">
            <v>14090201002001</v>
          </cell>
          <cell r="C11247" t="str">
            <v>PRO ESP RIE CRED  -  TCR                1ND</v>
          </cell>
        </row>
        <row r="11248">
          <cell r="B11248" t="str">
            <v>14090202000101</v>
          </cell>
          <cell r="C11248" t="str">
            <v>GENERICA MICROEMPRESAS                  1ND</v>
          </cell>
        </row>
        <row r="11249">
          <cell r="B11249" t="str">
            <v>14090202000201</v>
          </cell>
          <cell r="C11249" t="str">
            <v>PROV. GENERICA OBLIGATORIA PROCICLICA   1ND</v>
          </cell>
        </row>
        <row r="11250">
          <cell r="B11250" t="str">
            <v>14090202010001</v>
          </cell>
          <cell r="C11250" t="str">
            <v>Micro. Emp Generica                     1ND</v>
          </cell>
        </row>
        <row r="11251">
          <cell r="B11251" t="str">
            <v>14090202010201</v>
          </cell>
          <cell r="C11251" t="str">
            <v>PRO GEN RIE CRED -  LEASING             1ND</v>
          </cell>
        </row>
        <row r="11252">
          <cell r="B11252" t="str">
            <v>14090202010202</v>
          </cell>
          <cell r="C11252" t="str">
            <v>PRO Microempresas - GEN OBL- Comp Fijo R1ND</v>
          </cell>
        </row>
        <row r="11253">
          <cell r="B11253" t="str">
            <v>14090202010301</v>
          </cell>
          <cell r="C11253" t="str">
            <v>PRO GEN RIE CRED -  AVAN. EN CTA.       1ND</v>
          </cell>
        </row>
        <row r="11254">
          <cell r="B11254" t="str">
            <v>14090202011101</v>
          </cell>
          <cell r="C11254" t="str">
            <v>PRO GEN RIE CRED -  DESCUENTOS          1ND</v>
          </cell>
        </row>
        <row r="11255">
          <cell r="B11255" t="str">
            <v>14090202011201</v>
          </cell>
          <cell r="C11255" t="str">
            <v>PRO GEN RIE CRED -  FACTORING           1ND</v>
          </cell>
        </row>
        <row r="11256">
          <cell r="B11256" t="str">
            <v>14090202011301</v>
          </cell>
          <cell r="C11256" t="str">
            <v>PRO GEN RIE CRED -  FIN. COMEX          1ND</v>
          </cell>
        </row>
        <row r="11257">
          <cell r="B11257" t="str">
            <v>14090202011401</v>
          </cell>
          <cell r="C11257" t="str">
            <v>PRO GEN RIE CRED -  LEASEBACK           1ND</v>
          </cell>
        </row>
        <row r="11258">
          <cell r="B11258" t="str">
            <v>14090202011601</v>
          </cell>
          <cell r="C11258" t="str">
            <v>PRO GEN RIE CRED -OTR. CRÃ‰. DIR.       1ND</v>
          </cell>
        </row>
        <row r="11259">
          <cell r="B11259" t="str">
            <v>14090202011701</v>
          </cell>
          <cell r="C11259" t="str">
            <v>PRO GEN RIE CRED -  PAGARÃ‰S            1ND</v>
          </cell>
        </row>
        <row r="11260">
          <cell r="B11260" t="str">
            <v>14090202011901</v>
          </cell>
          <cell r="C11260" t="str">
            <v>PRO GEN RIE CRED -  SOBREGIROS          1ND</v>
          </cell>
        </row>
        <row r="11261">
          <cell r="B11261" t="str">
            <v>14090202012001</v>
          </cell>
          <cell r="C11261" t="str">
            <v>PRO GEN RIE CRED -  TCR                 1ND</v>
          </cell>
        </row>
        <row r="11262">
          <cell r="B11262" t="str">
            <v>14090202020001</v>
          </cell>
          <cell r="C11262" t="str">
            <v>Micro. Emp Generica                     1ND</v>
          </cell>
        </row>
        <row r="11263">
          <cell r="B11263" t="str">
            <v>14090202020201</v>
          </cell>
          <cell r="C11263" t="str">
            <v>PRO GEN PROC  -  LEASING                1ND</v>
          </cell>
        </row>
        <row r="11264">
          <cell r="B11264" t="str">
            <v>14090202020202</v>
          </cell>
          <cell r="C11264" t="str">
            <v>PRO Microempresas - GEN OBL- Comp Procic1ND</v>
          </cell>
        </row>
        <row r="11265">
          <cell r="B11265" t="str">
            <v>14090202020301</v>
          </cell>
          <cell r="C11265" t="str">
            <v>PRO GEN PROC  -  AVAN. EN CTA.          1ND</v>
          </cell>
        </row>
        <row r="11266">
          <cell r="B11266" t="str">
            <v>14090202020601</v>
          </cell>
          <cell r="C11266" t="str">
            <v>PRO GEN PROCÂ  -Â  CART FIANZA          1ND</v>
          </cell>
        </row>
        <row r="11267">
          <cell r="B11267" t="str">
            <v>14090202021101</v>
          </cell>
          <cell r="C11267" t="str">
            <v>PRO GEN PROC  -  DESCUENTOS             1ND</v>
          </cell>
        </row>
        <row r="11268">
          <cell r="B11268" t="str">
            <v>14090202021201</v>
          </cell>
          <cell r="C11268" t="str">
            <v>PRO GEN PROC  -  FACTORING              1ND</v>
          </cell>
        </row>
        <row r="11269">
          <cell r="B11269" t="str">
            <v>14090202021301</v>
          </cell>
          <cell r="C11269" t="str">
            <v>PRO GEN PROC  -  FIN. COMEX             1ND</v>
          </cell>
        </row>
        <row r="11270">
          <cell r="B11270" t="str">
            <v>14090202021401</v>
          </cell>
          <cell r="C11270" t="str">
            <v>PRO GEN PROC  -  LEASEBACK              1ND</v>
          </cell>
        </row>
        <row r="11271">
          <cell r="B11271" t="str">
            <v>14090202021601</v>
          </cell>
          <cell r="C11271" t="str">
            <v>PRO GEN PROC  -OTR. CRÃ‰. DIR.          1ND</v>
          </cell>
        </row>
        <row r="11272">
          <cell r="B11272" t="str">
            <v>14090202021701</v>
          </cell>
          <cell r="C11272" t="str">
            <v>PRO GEN PROC  -  PAGARÃ‰S               1ND</v>
          </cell>
        </row>
        <row r="11273">
          <cell r="B11273" t="str">
            <v>14090202021901</v>
          </cell>
          <cell r="C11273" t="str">
            <v>PRO GEN PROC  -  SOBREGIROS             1ND</v>
          </cell>
        </row>
        <row r="11274">
          <cell r="B11274" t="str">
            <v>14090202022001</v>
          </cell>
          <cell r="C11274" t="str">
            <v>PRO GEN PROC  -  TCR                    1ND</v>
          </cell>
        </row>
        <row r="11275">
          <cell r="B11275" t="str">
            <v>14090203000001</v>
          </cell>
          <cell r="C11275" t="str">
            <v>Micro. Emp Generica                     1ND</v>
          </cell>
        </row>
        <row r="11276">
          <cell r="B11276" t="str">
            <v>14090203000101</v>
          </cell>
          <cell r="C11276" t="str">
            <v>PRO GEN VOLUNTARIOS MICROEMPRESAS       1ND</v>
          </cell>
        </row>
        <row r="11277">
          <cell r="B11277" t="str">
            <v>14090203000102</v>
          </cell>
          <cell r="C11277" t="str">
            <v>PRO Microempresas - GEN VOLUNTARIA      1ND</v>
          </cell>
        </row>
        <row r="11278">
          <cell r="B11278" t="str">
            <v>14090203000103</v>
          </cell>
          <cell r="C11278" t="str">
            <v>PRO Microempresas - GEN VOLUNTARIA INDIR1ND</v>
          </cell>
        </row>
        <row r="11279">
          <cell r="B11279" t="str">
            <v>14090203000201</v>
          </cell>
          <cell r="C11279" t="str">
            <v>PROV VOLUNT.RGO CRED.LSG                1ND</v>
          </cell>
        </row>
        <row r="11280">
          <cell r="B11280" t="str">
            <v>14090203001701</v>
          </cell>
          <cell r="C11280" t="str">
            <v>PRO MICROEMPRESAS- GEN VOL_ N_PROC      1ND</v>
          </cell>
        </row>
        <row r="11281">
          <cell r="B11281" t="str">
            <v>14090203001901</v>
          </cell>
          <cell r="C11281" t="str">
            <v>PRO GEN VOLUNTARIA -Â  Sobregiros       1ND</v>
          </cell>
        </row>
        <row r="11282">
          <cell r="B11282" t="str">
            <v>14090203001902</v>
          </cell>
          <cell r="C11282" t="str">
            <v>PRO MICRO EMPRESAS - PROC VOLUNTARIA BPE1 D</v>
          </cell>
        </row>
        <row r="11283">
          <cell r="B11283" t="str">
            <v>14090203001903</v>
          </cell>
          <cell r="C11283" t="str">
            <v>PRO MICRO EMPRESAS - PROC VOLUNTARIA BCO1 D</v>
          </cell>
        </row>
        <row r="11284">
          <cell r="B11284" t="str">
            <v>14090203001904</v>
          </cell>
          <cell r="C11284" t="str">
            <v>PRO MICRO EMPRESAS - VOLUNTARIA COVID BP1 D</v>
          </cell>
        </row>
        <row r="11285">
          <cell r="B11285" t="str">
            <v>14090203001905</v>
          </cell>
          <cell r="C11285" t="str">
            <v>PRO MICRO EMPRESAS - VOLUNTARIA COVID BC1 D</v>
          </cell>
        </row>
        <row r="11286">
          <cell r="B11286" t="str">
            <v>14090205000101</v>
          </cell>
          <cell r="C11286" t="str">
            <v>PRO RIESGO_CAMB_CRED  MICROEMPRESAS     1ND</v>
          </cell>
        </row>
        <row r="11287">
          <cell r="B11287" t="str">
            <v>14090205000201</v>
          </cell>
          <cell r="C11287" t="str">
            <v>PRO GEN RIE CAMB -  LEASING             1ND</v>
          </cell>
        </row>
        <row r="11288">
          <cell r="B11288" t="str">
            <v>14090205000301</v>
          </cell>
          <cell r="C11288" t="str">
            <v>PRO GEN RIE CAMB -  AVAN. EN CTA.       1ND</v>
          </cell>
        </row>
        <row r="11289">
          <cell r="B11289" t="str">
            <v>14090205001101</v>
          </cell>
          <cell r="C11289" t="str">
            <v>PRO GEN RIE CAMB -  DESCUENTOS          1ND</v>
          </cell>
        </row>
        <row r="11290">
          <cell r="B11290" t="str">
            <v>14090205001201</v>
          </cell>
          <cell r="C11290" t="str">
            <v>PRO GEN RIE CAMB -  FACTORING           1ND</v>
          </cell>
        </row>
        <row r="11291">
          <cell r="B11291" t="str">
            <v>14090205001301</v>
          </cell>
          <cell r="C11291" t="str">
            <v>PRO GEN RIE CAMB -  FIN. COMEX          1ND</v>
          </cell>
        </row>
        <row r="11292">
          <cell r="B11292" t="str">
            <v>14090205001401</v>
          </cell>
          <cell r="C11292" t="str">
            <v>PRO GEN RIE CAMB -  LEASEBACK           1ND</v>
          </cell>
        </row>
        <row r="11293">
          <cell r="B11293" t="str">
            <v>14090205001601</v>
          </cell>
          <cell r="C11293" t="str">
            <v>PRO GEN RIE CAMB -OTR. CRÃ‰. DIR.       1ND</v>
          </cell>
        </row>
        <row r="11294">
          <cell r="B11294" t="str">
            <v>14090205001701</v>
          </cell>
          <cell r="C11294" t="str">
            <v>PRO GEN RIE CAMB -  PAGARÃ‰S            1ND</v>
          </cell>
        </row>
        <row r="11295">
          <cell r="B11295" t="str">
            <v>14090205001901</v>
          </cell>
          <cell r="C11295" t="str">
            <v>PRO GEN RIE CAMB -  SOBREGIROS          1ND</v>
          </cell>
        </row>
        <row r="11296">
          <cell r="B11296" t="str">
            <v>14090205002001</v>
          </cell>
          <cell r="C11296" t="str">
            <v>PRO GEN RIE CAMB -  TCR                 1ND</v>
          </cell>
        </row>
        <row r="11297">
          <cell r="B11297" t="str">
            <v>14090206000101</v>
          </cell>
          <cell r="C11297" t="str">
            <v>PRO GEN  MICROEMPRESAS                  1ND</v>
          </cell>
        </row>
        <row r="11298">
          <cell r="B11298" t="str">
            <v>14090206000201</v>
          </cell>
          <cell r="C11298" t="str">
            <v>PRO GEN SOBR DEU -  LEASING             1ND</v>
          </cell>
        </row>
        <row r="11299">
          <cell r="B11299" t="str">
            <v>14090206000301</v>
          </cell>
          <cell r="C11299" t="str">
            <v>PRO GEN SOBR DEU -  AVAN. EN CTA.       1ND</v>
          </cell>
        </row>
        <row r="11300">
          <cell r="B11300" t="str">
            <v>14090206001101</v>
          </cell>
          <cell r="C11300" t="str">
            <v>PRO GEN SOBR DEU -  DESCUENTOS          1ND</v>
          </cell>
        </row>
        <row r="11301">
          <cell r="B11301" t="str">
            <v>14090206001201</v>
          </cell>
          <cell r="C11301" t="str">
            <v>PRO GEN SOBR DEU -  FACTORING           1ND</v>
          </cell>
        </row>
        <row r="11302">
          <cell r="B11302" t="str">
            <v>14090206001301</v>
          </cell>
          <cell r="C11302" t="str">
            <v>PRO GEN SOBR DEU -  FIN. COMEX          1ND</v>
          </cell>
        </row>
        <row r="11303">
          <cell r="B11303" t="str">
            <v>14090206001401</v>
          </cell>
          <cell r="C11303" t="str">
            <v>PRO GEN SOBR DEU -  LEASEBACK           1ND</v>
          </cell>
        </row>
        <row r="11304">
          <cell r="B11304" t="str">
            <v>14090206001601</v>
          </cell>
          <cell r="C11304" t="str">
            <v>PRO GEN SOBR DEU -OTR. CRÃ‰. DIR.       1ND</v>
          </cell>
        </row>
        <row r="11305">
          <cell r="B11305" t="str">
            <v>14090206001701</v>
          </cell>
          <cell r="C11305" t="str">
            <v>PRO GEN SOBR DEU -  PAGARÃ‰S            1ND</v>
          </cell>
        </row>
        <row r="11306">
          <cell r="B11306" t="str">
            <v>14090206001901</v>
          </cell>
          <cell r="C11306" t="str">
            <v>PRO GEN SOBR DEU -  SOBREGIROS          1ND</v>
          </cell>
        </row>
        <row r="11307">
          <cell r="B11307" t="str">
            <v>14090206002001</v>
          </cell>
          <cell r="C11307" t="str">
            <v>PRO GEN SOBR DEU -  TCR                 1ND</v>
          </cell>
        </row>
        <row r="11308">
          <cell r="B11308" t="str">
            <v>14090207010100</v>
          </cell>
          <cell r="C11308" t="str">
            <v>PROV ESP REPROG COVID-19 - MICROEMPRESA 1ND</v>
          </cell>
        </row>
        <row r="11309">
          <cell r="B11309" t="str">
            <v>14090207020100</v>
          </cell>
          <cell r="C11309" t="str">
            <v>PROV ESP REPROG COVID-19 - MICROEMPRESA 1ND</v>
          </cell>
        </row>
        <row r="11310">
          <cell r="B11310" t="str">
            <v>14090301000001</v>
          </cell>
          <cell r="C11310" t="str">
            <v>Consumo Especifica                      1ND</v>
          </cell>
        </row>
        <row r="11311">
          <cell r="B11311" t="str">
            <v>14090301000101</v>
          </cell>
          <cell r="C11311" t="str">
            <v>PRO ESP RIE CRED  -  ADEL. DE SUELDO    1ND</v>
          </cell>
        </row>
        <row r="11312">
          <cell r="B11312" t="str">
            <v>14090301000102</v>
          </cell>
          <cell r="C11312" t="str">
            <v>PROV CRED REFINANCIADOS                 1ND</v>
          </cell>
        </row>
        <row r="11313">
          <cell r="B11313" t="str">
            <v>14090301000103</v>
          </cell>
          <cell r="C11313" t="str">
            <v>PROV CRED VENCIDO                       1ND</v>
          </cell>
        </row>
        <row r="11314">
          <cell r="B11314" t="str">
            <v>14090301000104</v>
          </cell>
          <cell r="C11314" t="str">
            <v>PROV CTAS CTES                          1ND</v>
          </cell>
        </row>
        <row r="11315">
          <cell r="B11315" t="str">
            <v>14090301000105</v>
          </cell>
          <cell r="C11315" t="str">
            <v>PROV TARJETA DE CREDITO                 1ND</v>
          </cell>
        </row>
        <row r="11316">
          <cell r="B11316" t="str">
            <v>14090301000106</v>
          </cell>
          <cell r="C11316" t="str">
            <v>PROV CRED EFECTIVO                      1ND</v>
          </cell>
        </row>
        <row r="11317">
          <cell r="B11317" t="str">
            <v>14090301000108</v>
          </cell>
          <cell r="C11317" t="str">
            <v>PROV CRED CONVENIOS IC                  1ND</v>
          </cell>
        </row>
        <row r="11318">
          <cell r="B11318" t="str">
            <v>14090301000109</v>
          </cell>
          <cell r="C11318" t="str">
            <v>PROV CRED JUDICIAL                      1ND</v>
          </cell>
        </row>
        <row r="11319">
          <cell r="B11319" t="str">
            <v>14090301000114</v>
          </cell>
          <cell r="C11319" t="str">
            <v>PROV. ESPECIFICA ADELANTO DE SUELDO     1ND</v>
          </cell>
        </row>
        <row r="11320">
          <cell r="B11320" t="str">
            <v>14090301000115</v>
          </cell>
          <cell r="C11320" t="str">
            <v>PROV ESPECIFICA CONVENIOS PREFERENTES   1ND</v>
          </cell>
        </row>
        <row r="11321">
          <cell r="B11321" t="str">
            <v>14090301000116</v>
          </cell>
          <cell r="C11321" t="str">
            <v>PROVISION ESP OBLIG RIE CRED - CRD. VEHI1ND</v>
          </cell>
        </row>
        <row r="11322">
          <cell r="B11322" t="str">
            <v>14090301000117</v>
          </cell>
          <cell r="C11322" t="str">
            <v>PROVISION ESP OBLIG RIE CRED - OTROS  DI1ND</v>
          </cell>
        </row>
        <row r="11323">
          <cell r="B11323" t="str">
            <v>14090301000118</v>
          </cell>
          <cell r="C11323" t="str">
            <v>PRO Consumo - ESP RIE CRED              1ND</v>
          </cell>
        </row>
        <row r="11324">
          <cell r="B11324" t="str">
            <v>14090301000301</v>
          </cell>
          <cell r="C11324" t="str">
            <v>PROVISION ESP OBLIG RIE CRED - AVANCE EN1ND</v>
          </cell>
        </row>
        <row r="11325">
          <cell r="B11325" t="str">
            <v>14090301000701</v>
          </cell>
          <cell r="C11325" t="str">
            <v>PROVISION ESP OBLIG RIE CRED - CONVENIOS1ND</v>
          </cell>
        </row>
        <row r="11326">
          <cell r="B11326" t="str">
            <v>14090301000702</v>
          </cell>
          <cell r="C11326" t="str">
            <v>IFRS - AJUSTE DE PROVISIONES CONSUMO - T1ND</v>
          </cell>
        </row>
        <row r="11327">
          <cell r="B11327" t="str">
            <v>14090301000703</v>
          </cell>
          <cell r="C11327" t="str">
            <v>IFRS - AJUSTE DE PROVISIONES CONSUMO - C1ND</v>
          </cell>
        </row>
        <row r="11328">
          <cell r="B11328" t="str">
            <v>14090301000704</v>
          </cell>
          <cell r="C11328" t="str">
            <v>IFRS - AJUSTE DE PROVISIONES CONSUMO - C1ND</v>
          </cell>
        </row>
        <row r="11329">
          <cell r="B11329" t="str">
            <v>14090301000705</v>
          </cell>
          <cell r="C11329" t="str">
            <v>IFRS - AJUSTE DE PROVISIONES CONSUMO - C1ND</v>
          </cell>
        </row>
        <row r="11330">
          <cell r="B11330" t="str">
            <v>14090301000706</v>
          </cell>
          <cell r="C11330" t="str">
            <v>IFRS - AJUSTE DE PROVISIONES CONSUMO - O1ND</v>
          </cell>
        </row>
        <row r="11331">
          <cell r="B11331" t="str">
            <v>14090301000901</v>
          </cell>
          <cell r="C11331" t="str">
            <v>PROVISION ESP OBLIG RIE CRED - CRED. VEH1ND</v>
          </cell>
        </row>
        <row r="11332">
          <cell r="B11332" t="str">
            <v>14090301001701</v>
          </cell>
          <cell r="C11332" t="str">
            <v>PRO ESP RGO CRED Â¿ PREST PERS          1ND</v>
          </cell>
        </row>
        <row r="11333">
          <cell r="B11333" t="str">
            <v>14090301001801</v>
          </cell>
          <cell r="C11333" t="str">
            <v>PROVISION ESP OBLIG RIE CRED - PRESTAMOS1ND</v>
          </cell>
        </row>
        <row r="11334">
          <cell r="B11334" t="str">
            <v>14090301001901</v>
          </cell>
          <cell r="C11334" t="str">
            <v>PROVISION ESP OBLIG RIE CRED - SOBREGIRO1ND</v>
          </cell>
        </row>
        <row r="11335">
          <cell r="B11335" t="str">
            <v>14090301002001</v>
          </cell>
          <cell r="C11335" t="str">
            <v>PROVISION ESP OBLIG RIE CRED - TARJETA D1ND</v>
          </cell>
        </row>
        <row r="11336">
          <cell r="B11336" t="str">
            <v>14090301002201</v>
          </cell>
          <cell r="C11336" t="str">
            <v>PRO ESP RIE CRED - PREST. PERSO. GTIA. H1ND</v>
          </cell>
        </row>
        <row r="11337">
          <cell r="B11337" t="str">
            <v>14090301002301</v>
          </cell>
          <cell r="C11337" t="str">
            <v>PRO ESP RIE CRED - CONVENIOS PREFERENTE 1ND</v>
          </cell>
        </row>
        <row r="11338">
          <cell r="B11338" t="str">
            <v>14090302000101</v>
          </cell>
          <cell r="C11338" t="str">
            <v>(PROVISION PARA CRED DE CONS GEN OBLIGAT1ND</v>
          </cell>
        </row>
        <row r="11339">
          <cell r="B11339" t="str">
            <v>14090302000201</v>
          </cell>
          <cell r="C11339" t="str">
            <v>PROV. GENERICA OBLIGATORIA PROCICLICA   1ND</v>
          </cell>
        </row>
        <row r="11340">
          <cell r="B11340" t="str">
            <v>14090302010001</v>
          </cell>
          <cell r="C11340" t="str">
            <v>Consumo Generica                        1ND</v>
          </cell>
        </row>
        <row r="11341">
          <cell r="B11341" t="str">
            <v>14090302010101</v>
          </cell>
          <cell r="C11341" t="str">
            <v>PRO GEN RIE CRED -  ADEL. SUELDO        1ND</v>
          </cell>
        </row>
        <row r="11342">
          <cell r="B11342" t="str">
            <v>14090302010102</v>
          </cell>
          <cell r="C11342" t="str">
            <v>PROV GENER RGO CRED HIPOTEC             1ND</v>
          </cell>
        </row>
        <row r="11343">
          <cell r="B11343" t="str">
            <v>14090302010103</v>
          </cell>
          <cell r="C11343" t="str">
            <v>PRO Consumo - GEN OBL - COMP FIJO RIE CR1ND</v>
          </cell>
        </row>
        <row r="11344">
          <cell r="B11344" t="str">
            <v>14090302010301</v>
          </cell>
          <cell r="C11344" t="str">
            <v>PRO GEN RIE CRED -  AVAN. EN CTA.       1ND</v>
          </cell>
        </row>
        <row r="11345">
          <cell r="B11345" t="str">
            <v>14090302010701</v>
          </cell>
          <cell r="C11345" t="str">
            <v>PRO GEN RIE CRED -  CONVENIO            1ND</v>
          </cell>
        </row>
        <row r="11346">
          <cell r="B11346" t="str">
            <v>14090302010901</v>
          </cell>
          <cell r="C11346" t="str">
            <v>PRO GEN RIE CRED -  CRÃ‰D. VEHICULAR    1ND</v>
          </cell>
        </row>
        <row r="11347">
          <cell r="B11347" t="str">
            <v>14090302011601</v>
          </cell>
          <cell r="C11347" t="str">
            <v>PRO GEN RIE CRED -OTR. CRÃ‰. DIR.       1ND</v>
          </cell>
        </row>
        <row r="11348">
          <cell r="B11348" t="str">
            <v>14090302011801</v>
          </cell>
          <cell r="C11348" t="str">
            <v>PRO GEN RIE CRED -  PRES. PERSO.        1ND</v>
          </cell>
        </row>
        <row r="11349">
          <cell r="B11349" t="str">
            <v>14090302011901</v>
          </cell>
          <cell r="C11349" t="str">
            <v>PRO GEN RIE CRED -  SOBREGIROS          1ND</v>
          </cell>
        </row>
        <row r="11350">
          <cell r="B11350" t="str">
            <v>14090302012001</v>
          </cell>
          <cell r="C11350" t="str">
            <v>PRO GEN RIE CRED -  TCR                 1ND</v>
          </cell>
        </row>
        <row r="11351">
          <cell r="B11351" t="str">
            <v>14090302012201</v>
          </cell>
          <cell r="C11351" t="str">
            <v>PRO GEN RIE CRED - PREST. PERSO. GTIA. H1ND</v>
          </cell>
        </row>
        <row r="11352">
          <cell r="B11352" t="str">
            <v>14090302012301</v>
          </cell>
          <cell r="C11352" t="str">
            <v>PRO GEN RIE CRED - CONVENIOS PREFERENTE 1ND</v>
          </cell>
        </row>
        <row r="11353">
          <cell r="B11353" t="str">
            <v>14090302020001</v>
          </cell>
          <cell r="C11353" t="str">
            <v>Consumo Generica                        1ND</v>
          </cell>
        </row>
        <row r="11354">
          <cell r="B11354" t="str">
            <v>14090302020101</v>
          </cell>
          <cell r="C11354" t="str">
            <v>PRO GEN PROC  -  ADEL. SUELDO           1ND</v>
          </cell>
        </row>
        <row r="11355">
          <cell r="B11355" t="str">
            <v>14090302020102</v>
          </cell>
          <cell r="C11355" t="str">
            <v>PRO Consumo - GEN OBL - COMP PROCICLICO 1ND</v>
          </cell>
        </row>
        <row r="11356">
          <cell r="B11356" t="str">
            <v>14090302020201</v>
          </cell>
          <cell r="C11356" t="str">
            <v>PROV GENER PROC HIPOTEC                 1ND</v>
          </cell>
        </row>
        <row r="11357">
          <cell r="B11357" t="str">
            <v>14090302020301</v>
          </cell>
          <cell r="C11357" t="str">
            <v>PRO GEN PROC  -  AVAN. EN CTA.          1ND</v>
          </cell>
        </row>
        <row r="11358">
          <cell r="B11358" t="str">
            <v>14090302020701</v>
          </cell>
          <cell r="C11358" t="str">
            <v>PRO GEN PROC  -  CONVENIO               1ND</v>
          </cell>
        </row>
        <row r="11359">
          <cell r="B11359" t="str">
            <v>14090302020901</v>
          </cell>
          <cell r="C11359" t="str">
            <v>PRO GEN PROC  -  CRÃ‰D. VEHICULAR       1ND</v>
          </cell>
        </row>
        <row r="11360">
          <cell r="B11360" t="str">
            <v>14090302021601</v>
          </cell>
          <cell r="C11360" t="str">
            <v>PRO GEN PROC  -OTR. CRÃ‰. DIR.          1ND</v>
          </cell>
        </row>
        <row r="11361">
          <cell r="B11361" t="str">
            <v>14090302021801</v>
          </cell>
          <cell r="C11361" t="str">
            <v>PRO GEN PROC  -  PRES. PERSO.           1ND</v>
          </cell>
        </row>
        <row r="11362">
          <cell r="B11362" t="str">
            <v>14090302021901</v>
          </cell>
          <cell r="C11362" t="str">
            <v>PRO GEN PROC  -  SOBREGIROS             1ND</v>
          </cell>
        </row>
        <row r="11363">
          <cell r="B11363" t="str">
            <v>14090302022001</v>
          </cell>
          <cell r="C11363" t="str">
            <v>PRO GEN PROC  -  TCR                    1ND</v>
          </cell>
        </row>
        <row r="11364">
          <cell r="B11364" t="str">
            <v>14090302022201</v>
          </cell>
          <cell r="C11364" t="str">
            <v>PRO GEN PROC - PREST. PERSO. GTIA. HIPOT1ND</v>
          </cell>
        </row>
        <row r="11365">
          <cell r="B11365" t="str">
            <v>14090302022301</v>
          </cell>
          <cell r="C11365" t="str">
            <v>PRO GEN PROC. - CONVENIOS PREFERENTE    1ND</v>
          </cell>
        </row>
        <row r="11366">
          <cell r="B11366" t="str">
            <v>14090303000001</v>
          </cell>
          <cell r="C11366" t="str">
            <v>Consumo Generica                        1ND</v>
          </cell>
        </row>
        <row r="11367">
          <cell r="B11367" t="str">
            <v>14090303000101</v>
          </cell>
          <cell r="C11367" t="str">
            <v>PROVISION GENERICA VOLUNTARIA CONSUMO   1ND</v>
          </cell>
        </row>
        <row r="11368">
          <cell r="B11368" t="str">
            <v>14090303000102</v>
          </cell>
          <cell r="C11368" t="str">
            <v>PRO Consumo - GEN VOLUNTARIA            1ND</v>
          </cell>
        </row>
        <row r="11369">
          <cell r="B11369" t="str">
            <v>14090303000103</v>
          </cell>
          <cell r="C11369" t="str">
            <v>PRO CONSUMO - GEN VOL_ N_PROC           1ND</v>
          </cell>
        </row>
        <row r="11370">
          <cell r="B11370" t="str">
            <v>14090303000701</v>
          </cell>
          <cell r="C11370" t="str">
            <v>PRO GEN VOLUNTARIA -Â  Convenios de efec1ND</v>
          </cell>
        </row>
        <row r="11371">
          <cell r="B11371" t="str">
            <v>14090303000901</v>
          </cell>
          <cell r="C11371" t="str">
            <v>PRO GEN VOLUNTARIA -Â  CrÃ©d. Vehicular 1ND</v>
          </cell>
        </row>
        <row r="11372">
          <cell r="B11372" t="str">
            <v>14090303001701</v>
          </cell>
          <cell r="C11372" t="str">
            <v>PRO GEN VOLUNTARIA CONSUMO              1ND</v>
          </cell>
        </row>
        <row r="11373">
          <cell r="B11373" t="str">
            <v>14090303001801</v>
          </cell>
          <cell r="C11373" t="str">
            <v>PRO GEN VOLUNTARIA -Â  PrÃ©stamos Person1ND</v>
          </cell>
        </row>
        <row r="11374">
          <cell r="B11374" t="str">
            <v>14090303001901</v>
          </cell>
          <cell r="C11374" t="str">
            <v>PRO GEN VOLUNTARIA -Â  Sobregiros       1ND</v>
          </cell>
        </row>
        <row r="11375">
          <cell r="B11375" t="str">
            <v>14090303002001</v>
          </cell>
          <cell r="C11375" t="str">
            <v>PRO GEN VOLUNTARIA -Â  Tarjeta de CrÃ©di1ND</v>
          </cell>
        </row>
        <row r="11376">
          <cell r="B11376" t="str">
            <v>14090303002301</v>
          </cell>
          <cell r="C11376" t="str">
            <v>PROV VOLUNT.RGO CRED.CONV.PREF          1ND</v>
          </cell>
        </row>
        <row r="11377">
          <cell r="B11377" t="str">
            <v>14090303002302</v>
          </cell>
          <cell r="C11377" t="str">
            <v>PRO CONSUMO - PROC VOLUNTARIA BPERSONAS 1 D</v>
          </cell>
        </row>
        <row r="11378">
          <cell r="B11378" t="str">
            <v>14090303002303</v>
          </cell>
          <cell r="C11378" t="str">
            <v>PRO CONSUMO - VOLUNTARIA COVID BPERSONAS1 D</v>
          </cell>
        </row>
        <row r="11379">
          <cell r="B11379" t="str">
            <v>14090305000101</v>
          </cell>
          <cell r="C11379" t="str">
            <v>PRO GEN RIE CAMB -  ADEL. SUELDO        1ND</v>
          </cell>
        </row>
        <row r="11380">
          <cell r="B11380" t="str">
            <v>14090305000102</v>
          </cell>
          <cell r="C11380" t="str">
            <v>PRO RIESGO_CAMB_CRED  CONSUMO           1ND</v>
          </cell>
        </row>
        <row r="11381">
          <cell r="B11381" t="str">
            <v>14090305000301</v>
          </cell>
          <cell r="C11381" t="str">
            <v>PRO GEN RIE CAMB -  AVAN. EN CTA.       1ND</v>
          </cell>
        </row>
        <row r="11382">
          <cell r="B11382" t="str">
            <v>14090305000701</v>
          </cell>
          <cell r="C11382" t="str">
            <v>PRO GEN RIE CAMB -  CONVENIO            1ND</v>
          </cell>
        </row>
        <row r="11383">
          <cell r="B11383" t="str">
            <v>14090305000901</v>
          </cell>
          <cell r="C11383" t="str">
            <v>PRO GEN RIE CAMB -  CRÃ‰D. VEHICULAR    1ND</v>
          </cell>
        </row>
        <row r="11384">
          <cell r="B11384" t="str">
            <v>14090305001601</v>
          </cell>
          <cell r="C11384" t="str">
            <v>PRO GEN RIE CAMB -OTR. CRÃ‰. DIR.       1ND</v>
          </cell>
        </row>
        <row r="11385">
          <cell r="B11385" t="str">
            <v>14090305001801</v>
          </cell>
          <cell r="C11385" t="str">
            <v>PRO GEN RIE CAMB -  PRES. PERSO.        1ND</v>
          </cell>
        </row>
        <row r="11386">
          <cell r="B11386" t="str">
            <v>14090305001901</v>
          </cell>
          <cell r="C11386" t="str">
            <v>PRO GEN RIE CAMB -  SOBREGIROS          1ND</v>
          </cell>
        </row>
        <row r="11387">
          <cell r="B11387" t="str">
            <v>14090305002001</v>
          </cell>
          <cell r="C11387" t="str">
            <v>PRO GEN RIE CAMB -  TCR                 1ND</v>
          </cell>
        </row>
        <row r="11388">
          <cell r="B11388" t="str">
            <v>14090305002201</v>
          </cell>
          <cell r="C11388" t="str">
            <v>PRO GEN RIE CAMB - PREST. PERSO. GTIA. H1ND</v>
          </cell>
        </row>
        <row r="11389">
          <cell r="B11389" t="str">
            <v>14090305002301</v>
          </cell>
          <cell r="C11389" t="str">
            <v>PRO GEN RIE CAMB - CONVENIOS PREFERENTE 1ND</v>
          </cell>
        </row>
        <row r="11390">
          <cell r="B11390" t="str">
            <v>14090306000101</v>
          </cell>
          <cell r="C11390" t="str">
            <v>PRO GEN SOBR DEU -  ADEL. SUELDO        1ND</v>
          </cell>
        </row>
        <row r="11391">
          <cell r="B11391" t="str">
            <v>14090306000102</v>
          </cell>
          <cell r="C11391" t="str">
            <v>PRO GEN  CREDITOS DE CONSUMO            1ND</v>
          </cell>
        </row>
        <row r="11392">
          <cell r="B11392" t="str">
            <v>14090306000301</v>
          </cell>
          <cell r="C11392" t="str">
            <v>PRO GEN SOBR DEU -  AVAN. EN CTA.       1ND</v>
          </cell>
        </row>
        <row r="11393">
          <cell r="B11393" t="str">
            <v>14090306000701</v>
          </cell>
          <cell r="C11393" t="str">
            <v>PRO GEN SOBR DEU -  CONVENIO            1ND</v>
          </cell>
        </row>
        <row r="11394">
          <cell r="B11394" t="str">
            <v>14090306000901</v>
          </cell>
          <cell r="C11394" t="str">
            <v>PRO GEN SOBR DEU -  CRÃ‰D. VEHICULAR    1ND</v>
          </cell>
        </row>
        <row r="11395">
          <cell r="B11395" t="str">
            <v>14090306001601</v>
          </cell>
          <cell r="C11395" t="str">
            <v>PRO GEN SOBR DEU -OTR. CRÃ‰. DIR.       1ND</v>
          </cell>
        </row>
        <row r="11396">
          <cell r="B11396" t="str">
            <v>14090306001801</v>
          </cell>
          <cell r="C11396" t="str">
            <v>PRO GEN SOBR DEU -  PRES. PERSO.        1ND</v>
          </cell>
        </row>
        <row r="11397">
          <cell r="B11397" t="str">
            <v>14090306001901</v>
          </cell>
          <cell r="C11397" t="str">
            <v>PRO GEN SOBR DEU -  SOBREGIROS          1ND</v>
          </cell>
        </row>
        <row r="11398">
          <cell r="B11398" t="str">
            <v>14090306002001</v>
          </cell>
          <cell r="C11398" t="str">
            <v>PRO GEN SOBR DEU -  TCR                 1ND</v>
          </cell>
        </row>
        <row r="11399">
          <cell r="B11399" t="str">
            <v>14090306002201</v>
          </cell>
          <cell r="C11399" t="str">
            <v>PRO GEN SOBR DEU - PRÃ‰STAMOS PERSONALES1ND</v>
          </cell>
        </row>
        <row r="11400">
          <cell r="B11400" t="str">
            <v>14090306002301</v>
          </cell>
          <cell r="C11400" t="str">
            <v>PRO GEN SOBR DEU - CONVENIOS PREFERENTE 1ND</v>
          </cell>
        </row>
        <row r="11401">
          <cell r="B11401" t="str">
            <v>14090307010100</v>
          </cell>
          <cell r="C11401" t="str">
            <v>PROV ESP REPROG COVID-19 - CONSUMO CAPIT1ND</v>
          </cell>
        </row>
        <row r="11402">
          <cell r="B11402" t="str">
            <v>14090307020100</v>
          </cell>
          <cell r="C11402" t="str">
            <v>PROV ESP REPROG COVID-19 - CONSUMO INTER1ND</v>
          </cell>
        </row>
        <row r="11403">
          <cell r="B11403" t="str">
            <v>14090401000001</v>
          </cell>
          <cell r="C11403" t="str">
            <v>Vivienda Especifica                     1ND</v>
          </cell>
        </row>
        <row r="11404">
          <cell r="B11404" t="str">
            <v>14090401000101</v>
          </cell>
          <cell r="C11404" t="str">
            <v>(PROVISION PARA CREDITOS HIP ESPECIFICA)1ND</v>
          </cell>
        </row>
        <row r="11405">
          <cell r="B11405" t="str">
            <v>14090401000102</v>
          </cell>
          <cell r="C11405" t="str">
            <v>(PROV CRED HIPOTEC MI VIVIENDA VIG)     1ND</v>
          </cell>
        </row>
        <row r="11406">
          <cell r="B11406" t="str">
            <v>14090401000103</v>
          </cell>
          <cell r="C11406" t="str">
            <v>PROV CRED HIPOTEC VENCIDO               1ND</v>
          </cell>
        </row>
        <row r="11407">
          <cell r="B11407" t="str">
            <v>14090401000104</v>
          </cell>
          <cell r="C11407" t="str">
            <v>PROV CRED HIPOTEC JUDICIAL              1ND</v>
          </cell>
        </row>
        <row r="11408">
          <cell r="B11408" t="str">
            <v>14090401000105</v>
          </cell>
          <cell r="C11408" t="str">
            <v>PROV CRED HIPOTEC MI VIVIENDA VENCID    1ND</v>
          </cell>
        </row>
        <row r="11409">
          <cell r="B11409" t="str">
            <v>14090401000106</v>
          </cell>
          <cell r="C11409" t="str">
            <v>PROV CRED HIPOTEC MI VIVIENDA COB-JUD   1ND</v>
          </cell>
        </row>
        <row r="11410">
          <cell r="B11410" t="str">
            <v>14090401000107</v>
          </cell>
          <cell r="C11410" t="str">
            <v>PRO Hipotecarios para Vivienda - ESP RIE1ND</v>
          </cell>
        </row>
        <row r="11411">
          <cell r="B11411" t="str">
            <v>14090401000701</v>
          </cell>
          <cell r="C11411" t="str">
            <v>IFRS - AJUSTE DE PROVISIONES HIPOTECARIO1ND</v>
          </cell>
        </row>
        <row r="11412">
          <cell r="B11412" t="str">
            <v>14090401000801</v>
          </cell>
          <cell r="C11412" t="str">
            <v>PRO ESP RIE CRED  -  CRED HIPOTECARIO   1ND</v>
          </cell>
        </row>
        <row r="11413">
          <cell r="B11413" t="str">
            <v>14090401001001</v>
          </cell>
          <cell r="C11413" t="str">
            <v>PRO ESP RIE CRED -  CRÃ‰D. MIVIV.       1ND</v>
          </cell>
        </row>
        <row r="11414">
          <cell r="B11414" t="str">
            <v>14090402000101</v>
          </cell>
          <cell r="C11414" t="str">
            <v>(PROV CREDHIPOT GENERICA OBLIGATORI     1ND</v>
          </cell>
        </row>
        <row r="11415">
          <cell r="B11415" t="str">
            <v>14090402000110</v>
          </cell>
          <cell r="C11415" t="str">
            <v>PROV CRED HIPOTEC MI VIVIENDA GENERICA  1ND</v>
          </cell>
        </row>
        <row r="11416">
          <cell r="B11416" t="str">
            <v>14090402000201</v>
          </cell>
          <cell r="C11416" t="str">
            <v>PROV.GENERICA OBLIGATORIA PROCICLICA    1ND</v>
          </cell>
        </row>
        <row r="11417">
          <cell r="B11417" t="str">
            <v>14090402010001</v>
          </cell>
          <cell r="C11417" t="str">
            <v>Vivienda Generica                       1ND</v>
          </cell>
        </row>
        <row r="11418">
          <cell r="B11418" t="str">
            <v>14090402010101</v>
          </cell>
          <cell r="C11418" t="str">
            <v>PRO Hipote Vivienda - GEN OBL - RIE CRED1ND</v>
          </cell>
        </row>
        <row r="11419">
          <cell r="B11419" t="str">
            <v>14090402010801</v>
          </cell>
          <cell r="C11419" t="str">
            <v>PRO GEN RIE CRED -  CRÃ‰D. HIPO.        1ND</v>
          </cell>
        </row>
        <row r="11420">
          <cell r="B11420" t="str">
            <v>14090402011001</v>
          </cell>
          <cell r="C11420" t="str">
            <v>PRO GEN RIE CRED -  CRÃ‰D. MIVIV.       1ND</v>
          </cell>
        </row>
        <row r="11421">
          <cell r="B11421" t="str">
            <v>14090402020001</v>
          </cell>
          <cell r="C11421" t="str">
            <v>Vivienda Generica                       1ND</v>
          </cell>
        </row>
        <row r="11422">
          <cell r="B11422" t="str">
            <v>14090402020101</v>
          </cell>
          <cell r="C11422" t="str">
            <v>PROVISION GEN OBLIG RIES CRED           1ND</v>
          </cell>
        </row>
        <row r="11423">
          <cell r="B11423" t="str">
            <v>14090402020102</v>
          </cell>
          <cell r="C11423" t="str">
            <v>PRO Hipotecarios para Vivienda - GEN OBL1ND</v>
          </cell>
        </row>
        <row r="11424">
          <cell r="B11424" t="str">
            <v>14090402020801</v>
          </cell>
          <cell r="C11424" t="str">
            <v>PRO GEN PROC -  CRÃ‰D. HIPO             1ND</v>
          </cell>
        </row>
        <row r="11425">
          <cell r="B11425" t="str">
            <v>14090402021001</v>
          </cell>
          <cell r="C11425" t="str">
            <v>PRO GEN PROC -  CRÃ‰D. MIVIV            1ND</v>
          </cell>
        </row>
        <row r="11426">
          <cell r="B11426" t="str">
            <v>14090403000001</v>
          </cell>
          <cell r="C11426" t="str">
            <v>Vivienda Generica                       1ND</v>
          </cell>
        </row>
        <row r="11427">
          <cell r="B11427" t="str">
            <v>14090403000101</v>
          </cell>
          <cell r="C11427" t="str">
            <v>PRO Hipotecarios para Vivienda - GEN VOL1ND</v>
          </cell>
        </row>
        <row r="11428">
          <cell r="B11428" t="str">
            <v>14090403000801</v>
          </cell>
          <cell r="C11428" t="str">
            <v>PRO Hipotecarios para Vivienda - GEN VOL1ND</v>
          </cell>
        </row>
        <row r="11429">
          <cell r="B11429" t="str">
            <v>14090403001001</v>
          </cell>
          <cell r="C11429" t="str">
            <v>PROV VOLUNT.RGO CRED.HIPOTEC            1ND</v>
          </cell>
        </row>
        <row r="11430">
          <cell r="B11430" t="str">
            <v>14090403001002</v>
          </cell>
          <cell r="C11430" t="str">
            <v>PRO HIPOT MIVIVIENDA - PROC VOLUNTARIA B1 D</v>
          </cell>
        </row>
        <row r="11431">
          <cell r="B11431" t="str">
            <v>14090403001003</v>
          </cell>
          <cell r="C11431" t="str">
            <v>PRO HIPOT MIVIVIENDA - VOLUNT COVID BPER1 D</v>
          </cell>
        </row>
        <row r="11432">
          <cell r="B11432" t="str">
            <v>14090405000101</v>
          </cell>
          <cell r="C11432" t="str">
            <v>PRO RIESGO_CAMB_CRED HIPOTECARIOS PARA V1ND</v>
          </cell>
        </row>
        <row r="11433">
          <cell r="B11433" t="str">
            <v>14090405000801</v>
          </cell>
          <cell r="C11433" t="str">
            <v>PRO GEN RIE CAMB -  CRÃ‰D. HIPO.        1ND</v>
          </cell>
        </row>
        <row r="11434">
          <cell r="B11434" t="str">
            <v>14090405001001</v>
          </cell>
          <cell r="C11434" t="str">
            <v>PRO GEN RIE CAMB -  CRÃ‰D. MIVIV.       1ND</v>
          </cell>
        </row>
        <row r="11435">
          <cell r="B11435" t="str">
            <v>14090501000001</v>
          </cell>
          <cell r="C11435" t="str">
            <v>Bancos Multilaterales de Desarrollo Espe1ND</v>
          </cell>
        </row>
        <row r="11436">
          <cell r="B11436" t="str">
            <v>14090501000101</v>
          </cell>
          <cell r="C11436" t="str">
            <v>PRO ESP BCOS MULTILATERALES DE DESARROLL1ND</v>
          </cell>
        </row>
        <row r="11437">
          <cell r="B11437" t="str">
            <v>14090502010001</v>
          </cell>
          <cell r="C11437" t="str">
            <v>Mult. de Desarrollo Generica            1ND</v>
          </cell>
        </row>
        <row r="11438">
          <cell r="B11438" t="str">
            <v>14090502011201</v>
          </cell>
          <cell r="C11438" t="str">
            <v>PROV GEN RGO CRED FACTORING             1ND</v>
          </cell>
        </row>
        <row r="11439">
          <cell r="B11439" t="str">
            <v>14090502011701</v>
          </cell>
          <cell r="C11439" t="str">
            <v>PRO GEN RGO CRED Â¿ PREST PERS          1ND</v>
          </cell>
        </row>
        <row r="11440">
          <cell r="B11440" t="str">
            <v>14090502020001</v>
          </cell>
          <cell r="C11440" t="str">
            <v>Mult. de Desarrollo Generica            1ND</v>
          </cell>
        </row>
        <row r="11441">
          <cell r="B11441" t="str">
            <v>14090502020101</v>
          </cell>
          <cell r="C11441" t="str">
            <v>PRO Bancos Multilaterales  Desarrollo - 1ND</v>
          </cell>
        </row>
        <row r="11442">
          <cell r="B11442" t="str">
            <v>14090502020301</v>
          </cell>
          <cell r="C11442" t="str">
            <v>PRO GEN PROC  -  AVAN. EN CTA.          1ND</v>
          </cell>
        </row>
        <row r="11443">
          <cell r="B11443" t="str">
            <v>14090502021201</v>
          </cell>
          <cell r="C11443" t="str">
            <v>PRO GEN PROC - FACTORING                1ND</v>
          </cell>
        </row>
        <row r="11444">
          <cell r="B11444" t="str">
            <v>14090502021701</v>
          </cell>
          <cell r="C11444" t="str">
            <v>PRO GEN PROC - PAGARES                  1ND</v>
          </cell>
        </row>
        <row r="11445">
          <cell r="B11445" t="str">
            <v>14090502021901</v>
          </cell>
          <cell r="C11445" t="str">
            <v>PRO GEN PROC  -  SOBREGIROS             1ND</v>
          </cell>
        </row>
        <row r="11446">
          <cell r="B11446" t="str">
            <v>14090503000101</v>
          </cell>
          <cell r="C11446" t="str">
            <v>PRO GEN VOLUNTARIOS BCOS MULTILATERALES 1ND</v>
          </cell>
        </row>
        <row r="11447">
          <cell r="B11447" t="str">
            <v>14090503000102</v>
          </cell>
          <cell r="C11447" t="str">
            <v>PRO Bcos Multilat. Desarrollo - GEN VOLU1ND</v>
          </cell>
        </row>
        <row r="11448">
          <cell r="B11448" t="str">
            <v>14090503000103</v>
          </cell>
          <cell r="C11448" t="str">
            <v>PRO BANCOS MULTILATERALES-GEN VOL_ N_PRO1ND</v>
          </cell>
        </row>
        <row r="11449">
          <cell r="B11449" t="str">
            <v>14090505000101</v>
          </cell>
          <cell r="C11449" t="str">
            <v>PRO RIESGO_CAMB_CRED BCOS MULTILATERALES1ND</v>
          </cell>
        </row>
        <row r="11450">
          <cell r="B11450" t="str">
            <v>14090505000301</v>
          </cell>
          <cell r="C11450" t="str">
            <v>PRO GEN RIE CAMB -  AVAN. EN CTA.       1ND</v>
          </cell>
        </row>
        <row r="11451">
          <cell r="B11451" t="str">
            <v>14090505001901</v>
          </cell>
          <cell r="C11451" t="str">
            <v>PRO GEN RIE CAMB -  SOBREGIROS          1ND</v>
          </cell>
        </row>
        <row r="11452">
          <cell r="B11452" t="str">
            <v>14090601000001</v>
          </cell>
          <cell r="C11452" t="str">
            <v>Soberanos Especifica                    1ND</v>
          </cell>
        </row>
        <row r="11453">
          <cell r="B11453" t="str">
            <v>14090601000101</v>
          </cell>
          <cell r="C11453" t="str">
            <v>PRO ESP SOBERANOS                       1ND</v>
          </cell>
        </row>
        <row r="11454">
          <cell r="B11454" t="str">
            <v>14090602010001</v>
          </cell>
          <cell r="C11454" t="str">
            <v>Soberanos Generica                      1ND</v>
          </cell>
        </row>
        <row r="11455">
          <cell r="B11455" t="str">
            <v>14090602010101</v>
          </cell>
          <cell r="C11455" t="str">
            <v>PRO GEN SOBERANOS                       1ND</v>
          </cell>
        </row>
        <row r="11456">
          <cell r="B11456" t="str">
            <v>14090602010301</v>
          </cell>
          <cell r="C11456" t="str">
            <v>PRO GEN RIE CRED -  AVAN. EN CTA.       1ND</v>
          </cell>
        </row>
        <row r="11457">
          <cell r="B11457" t="str">
            <v>14090602011901</v>
          </cell>
          <cell r="C11457" t="str">
            <v>PRO GEN RIE CRED -  SOBREGIROS          1ND</v>
          </cell>
        </row>
        <row r="11458">
          <cell r="B11458" t="str">
            <v>14090602012001</v>
          </cell>
          <cell r="C11458" t="str">
            <v>PRO GEN RGO CRED - TCR                  1ND</v>
          </cell>
        </row>
        <row r="11459">
          <cell r="B11459" t="str">
            <v>14090602020001</v>
          </cell>
          <cell r="C11459" t="str">
            <v>Soberanos Generica                      1ND</v>
          </cell>
        </row>
        <row r="11460">
          <cell r="B11460" t="str">
            <v>14090602020101</v>
          </cell>
          <cell r="C11460" t="str">
            <v>PRO GEN SOBERANOS                       1ND</v>
          </cell>
        </row>
        <row r="11461">
          <cell r="B11461" t="str">
            <v>14090602020301</v>
          </cell>
          <cell r="C11461" t="str">
            <v>PRO GEN PROC  -  AVAN. EN CTA.          1ND</v>
          </cell>
        </row>
        <row r="11462">
          <cell r="B11462" t="str">
            <v>14090602021901</v>
          </cell>
          <cell r="C11462" t="str">
            <v>PRO GEN PROC  -  SOBREGIROS             1ND</v>
          </cell>
        </row>
        <row r="11463">
          <cell r="B11463" t="str">
            <v>14090602022001</v>
          </cell>
          <cell r="C11463" t="str">
            <v>PROVISION GEN PROC - TCR                1ND</v>
          </cell>
        </row>
        <row r="11464">
          <cell r="B11464" t="str">
            <v>14090603000101</v>
          </cell>
          <cell r="C11464" t="str">
            <v>PRO GEN VOLUNTARIOS VOLUNTARIOS SOBERANO1ND</v>
          </cell>
        </row>
        <row r="11465">
          <cell r="B11465" t="str">
            <v>14090605000101</v>
          </cell>
          <cell r="C11465" t="str">
            <v>PRO RIESGO_CAMB_CRED  SOBERANOS         1ND</v>
          </cell>
        </row>
        <row r="11466">
          <cell r="B11466" t="str">
            <v>14090605000301</v>
          </cell>
          <cell r="C11466" t="str">
            <v>PRO GEN RIE CAMB -  AVAN. EN CTA.       1ND</v>
          </cell>
        </row>
        <row r="11467">
          <cell r="B11467" t="str">
            <v>14090605001901</v>
          </cell>
          <cell r="C11467" t="str">
            <v>PRO GEN RIE CAMB -  SOBREGIROS          1ND</v>
          </cell>
        </row>
        <row r="11468">
          <cell r="B11468" t="str">
            <v>14090701000001</v>
          </cell>
          <cell r="C11468" t="str">
            <v>Sector Publico Especifica               1ND</v>
          </cell>
        </row>
        <row r="11469">
          <cell r="B11469" t="str">
            <v>14090701000101</v>
          </cell>
          <cell r="C11469" t="str">
            <v>PRO ESP ENTIDADES DEL SECTOR PÃšBLICO   1ND</v>
          </cell>
        </row>
        <row r="11470">
          <cell r="B11470" t="str">
            <v>14090701000301</v>
          </cell>
          <cell r="C11470" t="str">
            <v>PROV ESPEC RGO CRED AVANC CTA           1ND</v>
          </cell>
        </row>
        <row r="11471">
          <cell r="B11471" t="str">
            <v>14090701001701</v>
          </cell>
          <cell r="C11471" t="str">
            <v>PRO ESP RIE CRED  -  PAGARES            1ND</v>
          </cell>
        </row>
        <row r="11472">
          <cell r="B11472" t="str">
            <v>14090701001901</v>
          </cell>
          <cell r="C11472" t="str">
            <v>PRO ESP RIE CRED  -  SOBREGIROS         1ND</v>
          </cell>
        </row>
        <row r="11473">
          <cell r="B11473" t="str">
            <v>14090702010001</v>
          </cell>
          <cell r="C11473" t="str">
            <v>Sector Publico Generica                 1ND</v>
          </cell>
        </row>
        <row r="11474">
          <cell r="B11474" t="str">
            <v>14090702010101</v>
          </cell>
          <cell r="C11474" t="str">
            <v>PRO Entidades del Sector PÃºblico - GEN 1ND</v>
          </cell>
        </row>
        <row r="11475">
          <cell r="B11475" t="str">
            <v>14090702010201</v>
          </cell>
          <cell r="C11475" t="str">
            <v>PRO GEN RIE CRED  -  LEASING            1ND</v>
          </cell>
        </row>
        <row r="11476">
          <cell r="B11476" t="str">
            <v>14090702010301</v>
          </cell>
          <cell r="C11476" t="str">
            <v>PRO GEN RIE CRED -AVAN. EN CTA.         1ND</v>
          </cell>
        </row>
        <row r="11477">
          <cell r="B11477" t="str">
            <v>14090702010801</v>
          </cell>
          <cell r="C11477" t="str">
            <v>PAN CREDITOS A ENTIDADES SECTOR PUBLICO 1ND</v>
          </cell>
        </row>
        <row r="11478">
          <cell r="B11478" t="str">
            <v>14090702011201</v>
          </cell>
          <cell r="C11478" t="str">
            <v>PROV GEN RIES C FACTORIG                1ND</v>
          </cell>
        </row>
        <row r="11479">
          <cell r="B11479" t="str">
            <v>14090702011301</v>
          </cell>
          <cell r="C11479" t="str">
            <v>PRO GEN RGO CRED FIN COMEX              1ND</v>
          </cell>
        </row>
        <row r="11480">
          <cell r="B11480" t="str">
            <v>14090702011701</v>
          </cell>
          <cell r="C11480" t="str">
            <v>PRO GEN RIE CRED  -  PAGARES            1ND</v>
          </cell>
        </row>
        <row r="11481">
          <cell r="B11481" t="str">
            <v>14090702011901</v>
          </cell>
          <cell r="C11481" t="str">
            <v>PRO GEN RIE CRED -  SOBREGIROS          1ND</v>
          </cell>
        </row>
        <row r="11482">
          <cell r="B11482" t="str">
            <v>14090702012401</v>
          </cell>
          <cell r="C11482" t="str">
            <v>PRO GEN RIE CRED  -  PAGARES PANAMA     1ND</v>
          </cell>
        </row>
        <row r="11483">
          <cell r="B11483" t="str">
            <v>14090702020001</v>
          </cell>
          <cell r="C11483" t="str">
            <v>Sector Publico Generica                 1ND</v>
          </cell>
        </row>
        <row r="11484">
          <cell r="B11484" t="str">
            <v>14090702020101</v>
          </cell>
          <cell r="C11484" t="str">
            <v>PRO Entidades del Sector PÃºblico - GEN 1ND</v>
          </cell>
        </row>
        <row r="11485">
          <cell r="B11485" t="str">
            <v>14090702020201</v>
          </cell>
          <cell r="C11485" t="str">
            <v>PRO GEN PROC  -  LEASING                1ND</v>
          </cell>
        </row>
        <row r="11486">
          <cell r="B11486" t="str">
            <v>14090702020301</v>
          </cell>
          <cell r="C11486" t="str">
            <v>PRO GEN PROC  -  AVAN. EN CTA.          1ND</v>
          </cell>
        </row>
        <row r="11487">
          <cell r="B11487" t="str">
            <v>14090702021201</v>
          </cell>
          <cell r="C11487" t="str">
            <v>PROV GEN PROC FACTORING                 1ND</v>
          </cell>
        </row>
        <row r="11488">
          <cell r="B11488" t="str">
            <v>14090702021301</v>
          </cell>
          <cell r="C11488" t="str">
            <v>PRO GEN PROC - FIN. COMEX               1ND</v>
          </cell>
        </row>
        <row r="11489">
          <cell r="B11489" t="str">
            <v>14090702021701</v>
          </cell>
          <cell r="C11489" t="str">
            <v>PRO GEN PROC  -  PAGARÃ‰S               1ND</v>
          </cell>
        </row>
        <row r="11490">
          <cell r="B11490" t="str">
            <v>14090702021901</v>
          </cell>
          <cell r="C11490" t="str">
            <v>PRO GEN PROC  -  SOBREGIROS             1ND</v>
          </cell>
        </row>
        <row r="11491">
          <cell r="B11491" t="str">
            <v>14090703000101</v>
          </cell>
          <cell r="C11491" t="str">
            <v>PRO GEN VOLUNTARIOS ENTIDADES DEL SECTOR1ND</v>
          </cell>
        </row>
        <row r="11492">
          <cell r="B11492" t="str">
            <v>14090703000102</v>
          </cell>
          <cell r="C11492" t="str">
            <v>PRO Ent. Sector PÃºblico - GEN VOLUNTARI1ND</v>
          </cell>
        </row>
        <row r="11493">
          <cell r="B11493" t="str">
            <v>14090703000103</v>
          </cell>
          <cell r="C11493" t="str">
            <v>PRO Ent. Sector PÃºblico - GEN VOLUNTARI1ND</v>
          </cell>
        </row>
        <row r="11494">
          <cell r="B11494" t="str">
            <v>14090703000104</v>
          </cell>
          <cell r="C11494" t="str">
            <v>PRO SECTOR PÃšBLICO- GEN VOL_ N_PROC    1ND</v>
          </cell>
        </row>
        <row r="11495">
          <cell r="B11495" t="str">
            <v>14090705000101</v>
          </cell>
          <cell r="C11495" t="str">
            <v>PRO RIESGO_CAMB_CRED ENTIDADES DEL SECTO1ND</v>
          </cell>
        </row>
        <row r="11496">
          <cell r="B11496" t="str">
            <v>14090705000301</v>
          </cell>
          <cell r="C11496" t="str">
            <v>PRO GEN RIE CAMB -AVAN. EN CTA.         1ND</v>
          </cell>
        </row>
        <row r="11497">
          <cell r="B11497" t="str">
            <v>14090705001901</v>
          </cell>
          <cell r="C11497" t="str">
            <v>PRO GEN RIE CAMB -  SOBREGIROS          1ND</v>
          </cell>
        </row>
        <row r="11498">
          <cell r="B11498" t="str">
            <v>14090801000001</v>
          </cell>
          <cell r="C11498" t="str">
            <v>Intermediarios de Valores Especifica    1ND</v>
          </cell>
        </row>
        <row r="11499">
          <cell r="B11499" t="str">
            <v>14090801000101</v>
          </cell>
          <cell r="C11499" t="str">
            <v>PRO ESP  INTERMEDIARIOS DE VALORES      1ND</v>
          </cell>
        </row>
        <row r="11500">
          <cell r="B11500" t="str">
            <v>14090801000301</v>
          </cell>
          <cell r="C11500" t="str">
            <v>PROV ESPEC RGO CRED AVANC CTA           1ND</v>
          </cell>
        </row>
        <row r="11501">
          <cell r="B11501" t="str">
            <v>14090802010001</v>
          </cell>
          <cell r="C11501" t="str">
            <v>Int. Valores Generica                   1ND</v>
          </cell>
        </row>
        <row r="11502">
          <cell r="B11502" t="str">
            <v>14090802010101</v>
          </cell>
          <cell r="C11502" t="str">
            <v>PRO Intermediarios  Valores - GEN OBL - 1ND</v>
          </cell>
        </row>
        <row r="11503">
          <cell r="B11503" t="str">
            <v>14090802010201</v>
          </cell>
          <cell r="C11503" t="str">
            <v>PRO GEN RIE CRED  -  LEASING            1ND</v>
          </cell>
        </row>
        <row r="11504">
          <cell r="B11504" t="str">
            <v>14090802010301</v>
          </cell>
          <cell r="C11504" t="str">
            <v>PRO GEN RIE CRED -AVAN. EN CTA.         1ND</v>
          </cell>
        </row>
        <row r="11505">
          <cell r="B11505" t="str">
            <v>14090802011601</v>
          </cell>
          <cell r="C11505" t="str">
            <v>PROV GEN OBLIG RIE CRED - OTR CRED DIR  1ND</v>
          </cell>
        </row>
        <row r="11506">
          <cell r="B11506" t="str">
            <v>14090802011701</v>
          </cell>
          <cell r="C11506" t="str">
            <v>PRO GEN PROC  -  PAGARES                1ND</v>
          </cell>
        </row>
        <row r="11507">
          <cell r="B11507" t="str">
            <v>14090802011901</v>
          </cell>
          <cell r="C11507" t="str">
            <v>PRO GEN RIE CRED -  SOBREGIROS          1ND</v>
          </cell>
        </row>
        <row r="11508">
          <cell r="B11508" t="str">
            <v>14090802012001</v>
          </cell>
          <cell r="C11508" t="str">
            <v>PRO GEN RIE CRED  -  TARJETAS           1ND</v>
          </cell>
        </row>
        <row r="11509">
          <cell r="B11509" t="str">
            <v>14090802020001</v>
          </cell>
          <cell r="C11509" t="str">
            <v>Int. Valores Generica                   1ND</v>
          </cell>
        </row>
        <row r="11510">
          <cell r="B11510" t="str">
            <v>14090802020101</v>
          </cell>
          <cell r="C11510" t="str">
            <v>PRO Intermediarios  Valores - GEN OBL - 1ND</v>
          </cell>
        </row>
        <row r="11511">
          <cell r="B11511" t="str">
            <v>14090802020201</v>
          </cell>
          <cell r="C11511" t="str">
            <v>PRO GEN PROC  -  LEASING                1ND</v>
          </cell>
        </row>
        <row r="11512">
          <cell r="B11512" t="str">
            <v>14090802020301</v>
          </cell>
          <cell r="C11512" t="str">
            <v>PRO GEN PROC  -  AVAN. EN CTA.          1ND</v>
          </cell>
        </row>
        <row r="11513">
          <cell r="B11513" t="str">
            <v>14090802021601</v>
          </cell>
          <cell r="C11513" t="str">
            <v>PRO GEN PROCÂ  -Â  OTROS                1ND</v>
          </cell>
        </row>
        <row r="11514">
          <cell r="B11514" t="str">
            <v>14090802021701</v>
          </cell>
          <cell r="C11514" t="str">
            <v>PRO GEN PROCÂ  -Â  PAGARES              1ND</v>
          </cell>
        </row>
        <row r="11515">
          <cell r="B11515" t="str">
            <v>14090802021901</v>
          </cell>
          <cell r="C11515" t="str">
            <v>PRO GEN PROC  -  SOBREGIROS             1ND</v>
          </cell>
        </row>
        <row r="11516">
          <cell r="B11516" t="str">
            <v>14090802022001</v>
          </cell>
          <cell r="C11516" t="str">
            <v>PRO GEN PROC  -  TCR                    1ND</v>
          </cell>
        </row>
        <row r="11517">
          <cell r="B11517" t="str">
            <v>14090803000101</v>
          </cell>
          <cell r="C11517" t="str">
            <v>PRO GEN VOLUNTARIOS INTERMEDIARIOS DE VA1ND</v>
          </cell>
        </row>
        <row r="11518">
          <cell r="B11518" t="str">
            <v>14090803000102</v>
          </cell>
          <cell r="C11518" t="str">
            <v>PRO IntermediariosÂ  Valores - GEN VOLUN1ND</v>
          </cell>
        </row>
        <row r="11519">
          <cell r="B11519" t="str">
            <v>14090803000103</v>
          </cell>
          <cell r="C11519" t="str">
            <v>PRO IntermediariosÂ  Valores -GEN VOLUNT1ND</v>
          </cell>
        </row>
        <row r="11520">
          <cell r="B11520" t="str">
            <v>14090803000104</v>
          </cell>
          <cell r="C11520" t="str">
            <v>PRO INTERMEDIARIOS DE VALORES- GEN VOL_ 1ND</v>
          </cell>
        </row>
        <row r="11521">
          <cell r="B11521" t="str">
            <v>14090805000101</v>
          </cell>
          <cell r="C11521" t="str">
            <v>PRO RIESGO_CAMB_CRED  INTERMEDIARIOS DE 1ND</v>
          </cell>
        </row>
        <row r="11522">
          <cell r="B11522" t="str">
            <v>14090805000301</v>
          </cell>
          <cell r="C11522" t="str">
            <v>PRO GEN RIE CAMB -AVAN. EN CTA.         1ND</v>
          </cell>
        </row>
        <row r="11523">
          <cell r="B11523" t="str">
            <v>14090805001901</v>
          </cell>
          <cell r="C11523" t="str">
            <v>PRO GEN RIE CAMB -  SOBREGIROS          1ND</v>
          </cell>
        </row>
        <row r="11524">
          <cell r="B11524" t="str">
            <v>14090901000001</v>
          </cell>
          <cell r="C11524" t="str">
            <v>Sist. Financiero Especifica             1ND</v>
          </cell>
        </row>
        <row r="11525">
          <cell r="B11525" t="str">
            <v>14090901000101</v>
          </cell>
          <cell r="C11525" t="str">
            <v>PROV ESPEC RGO CRED LEASING             1ND</v>
          </cell>
        </row>
        <row r="11526">
          <cell r="B11526" t="str">
            <v>14090901000102</v>
          </cell>
          <cell r="C11526" t="str">
            <v>PRO ESP EMPRESAS DEL SISTEMA FINANCIERO 1ND</v>
          </cell>
        </row>
        <row r="11527">
          <cell r="B11527" t="str">
            <v>14090901000401</v>
          </cell>
          <cell r="C11527" t="str">
            <v>PROV ESPEC RGO CRED C.CRED EXPORT       1ND</v>
          </cell>
        </row>
        <row r="11528">
          <cell r="B11528" t="str">
            <v>14090901001201</v>
          </cell>
          <cell r="C11528" t="str">
            <v>PROV ESPEC RGO CRED FACTORING           1ND</v>
          </cell>
        </row>
        <row r="11529">
          <cell r="B11529" t="str">
            <v>14090901001301</v>
          </cell>
          <cell r="C11529" t="str">
            <v>PROV  ESPEC RGO CRED FINANC COMEX       1ND</v>
          </cell>
        </row>
        <row r="11530">
          <cell r="B11530" t="str">
            <v>14090902010001</v>
          </cell>
          <cell r="C11530" t="str">
            <v>Sist. Financiero Generica               1ND</v>
          </cell>
        </row>
        <row r="11531">
          <cell r="B11531" t="str">
            <v>14090902010102</v>
          </cell>
          <cell r="C11531" t="str">
            <v>PROV GENER RGO CRED LEASING             1ND</v>
          </cell>
        </row>
        <row r="11532">
          <cell r="B11532" t="str">
            <v>14090902010103</v>
          </cell>
          <cell r="C11532" t="str">
            <v>PRO Empresas del Sistema Financiero - GE1ND</v>
          </cell>
        </row>
        <row r="11533">
          <cell r="B11533" t="str">
            <v>14090902010200</v>
          </cell>
          <cell r="C11533" t="str">
            <v>PROV GENER RGO CRED LEASING             1ND</v>
          </cell>
        </row>
        <row r="11534">
          <cell r="B11534" t="str">
            <v>14090902010301</v>
          </cell>
          <cell r="C11534" t="str">
            <v>PRO GEN RIE CRED -AVAN. EN CTA.         1ND</v>
          </cell>
        </row>
        <row r="11535">
          <cell r="B11535" t="str">
            <v>14090902010801</v>
          </cell>
          <cell r="C11535" t="str">
            <v>PAN CREDITOS                            1ND</v>
          </cell>
        </row>
        <row r="11536">
          <cell r="B11536" t="str">
            <v>14090902010802</v>
          </cell>
          <cell r="C11536" t="str">
            <v>PAN CREDITOS EMP.SIST.FINANCIERO        1ND</v>
          </cell>
        </row>
        <row r="11537">
          <cell r="B11537" t="str">
            <v>14090902011201</v>
          </cell>
          <cell r="C11537" t="str">
            <v>PRO GEN RIE CRED  -  FACTORING          1ND</v>
          </cell>
        </row>
        <row r="11538">
          <cell r="B11538" t="str">
            <v>14090902011301</v>
          </cell>
          <cell r="C11538" t="str">
            <v>PROV GEN RIES C FINANC COMEX            1ND</v>
          </cell>
        </row>
        <row r="11539">
          <cell r="B11539" t="str">
            <v>14090902011401</v>
          </cell>
          <cell r="C11539" t="str">
            <v>PRO GEN RIE CRED  -  LEASBACK           1ND</v>
          </cell>
        </row>
        <row r="11540">
          <cell r="B11540" t="str">
            <v>14090902011701</v>
          </cell>
          <cell r="C11540" t="str">
            <v>PRO GEN RIE CRED  -  PAGARES            1ND</v>
          </cell>
        </row>
        <row r="11541">
          <cell r="B11541" t="str">
            <v>14090902011901</v>
          </cell>
          <cell r="C11541" t="str">
            <v>PRO GEN RIE CRED -  SOBREGIROS          1ND</v>
          </cell>
        </row>
        <row r="11542">
          <cell r="B11542" t="str">
            <v>14090902012001</v>
          </cell>
          <cell r="C11542" t="str">
            <v>PRO GEN RIE CRED  -  TARJETAS           1ND</v>
          </cell>
        </row>
        <row r="11543">
          <cell r="B11543" t="str">
            <v>14090902020001</v>
          </cell>
          <cell r="C11543" t="str">
            <v>Sist. Financiero Generica               1ND</v>
          </cell>
        </row>
        <row r="11544">
          <cell r="B11544" t="str">
            <v>14090902020101</v>
          </cell>
          <cell r="C11544" t="str">
            <v>PRO Empresas del Sistema Financiero - GE1ND</v>
          </cell>
        </row>
        <row r="11545">
          <cell r="B11545" t="str">
            <v>14090902020201</v>
          </cell>
          <cell r="C11545" t="str">
            <v>PROV GENER PROC LEASING                 1ND</v>
          </cell>
        </row>
        <row r="11546">
          <cell r="B11546" t="str">
            <v>14090902020301</v>
          </cell>
          <cell r="C11546" t="str">
            <v>PRO GEN PROC  -  AVAN. EN CTA.          1ND</v>
          </cell>
        </row>
        <row r="11547">
          <cell r="B11547" t="str">
            <v>14090902021201</v>
          </cell>
          <cell r="C11547" t="str">
            <v>PRO GEN PROC  -  FACTORING              1ND</v>
          </cell>
        </row>
        <row r="11548">
          <cell r="B11548" t="str">
            <v>14090902021301</v>
          </cell>
          <cell r="C11548" t="str">
            <v>PROV GEN PROC FINANC COMEX              1ND</v>
          </cell>
        </row>
        <row r="11549">
          <cell r="B11549" t="str">
            <v>14090902021401</v>
          </cell>
          <cell r="C11549" t="str">
            <v>PRO GEN PROC  -  LEASEBACK              1ND</v>
          </cell>
        </row>
        <row r="11550">
          <cell r="B11550" t="str">
            <v>14090902021701</v>
          </cell>
          <cell r="C11550" t="str">
            <v>PRO GEN PROC  -  PAGARÃ‰S               1ND</v>
          </cell>
        </row>
        <row r="11551">
          <cell r="B11551" t="str">
            <v>14090902021901</v>
          </cell>
          <cell r="C11551" t="str">
            <v>PRO GEN PROC  -  SOBREGIROS             1ND</v>
          </cell>
        </row>
        <row r="11552">
          <cell r="B11552" t="str">
            <v>14090902022001</v>
          </cell>
          <cell r="C11552" t="str">
            <v>PRO GEN PROC  -  TCR                    1ND</v>
          </cell>
        </row>
        <row r="11553">
          <cell r="B11553" t="str">
            <v>14090903000101</v>
          </cell>
          <cell r="C11553" t="str">
            <v>PRO GEN VOLUNTARIOS EMPRESAS DEL SISTEMA1ND</v>
          </cell>
        </row>
        <row r="11554">
          <cell r="B11554" t="str">
            <v>14090903000102</v>
          </cell>
          <cell r="C11554" t="str">
            <v>PRO Emp. Sist. Financ. - GEN VOLUNTARIA 1ND</v>
          </cell>
        </row>
        <row r="11555">
          <cell r="B11555" t="str">
            <v>14090903000103</v>
          </cell>
          <cell r="C11555" t="str">
            <v>PRO Emp. Sist. Financ. - GEN VOLUNTARIA 1ND</v>
          </cell>
        </row>
        <row r="11556">
          <cell r="B11556" t="str">
            <v>14090903000104</v>
          </cell>
          <cell r="C11556" t="str">
            <v>PRO EMP.SISTEMA FINANCIERO GEN VOL_ N_PR1ND</v>
          </cell>
        </row>
        <row r="11557">
          <cell r="B11557" t="str">
            <v>14090905000101</v>
          </cell>
          <cell r="C11557" t="str">
            <v>PRO RIESGO_CAMB_CRED EMPRESAS DEL SISTEM1ND</v>
          </cell>
        </row>
        <row r="11558">
          <cell r="B11558" t="str">
            <v>14090905000301</v>
          </cell>
          <cell r="C11558" t="str">
            <v>PRO GEN RIE CAMB -AVAN. EN CTA.         1ND</v>
          </cell>
        </row>
        <row r="11559">
          <cell r="B11559" t="str">
            <v>14090905001901</v>
          </cell>
          <cell r="C11559" t="str">
            <v>PRO GEN RIE CAMB -  SOBREGIROS          1ND</v>
          </cell>
        </row>
        <row r="11560">
          <cell r="B11560" t="str">
            <v>14091001000001</v>
          </cell>
          <cell r="C11560" t="str">
            <v>Corporativos Especifica                 1ND</v>
          </cell>
        </row>
        <row r="11561">
          <cell r="B11561" t="str">
            <v>14091001000101</v>
          </cell>
          <cell r="C11561" t="str">
            <v>PRO Corporativos - RIE CRED ESP         1ND</v>
          </cell>
        </row>
        <row r="11562">
          <cell r="B11562" t="str">
            <v>14091001000201</v>
          </cell>
          <cell r="C11562" t="str">
            <v>PRO ESP RIE CRED  -  LEASING            1ND</v>
          </cell>
        </row>
        <row r="11563">
          <cell r="B11563" t="str">
            <v>14091001000301</v>
          </cell>
          <cell r="C11563" t="str">
            <v>PRO ESP RIE CRED  -  AVAN. EN CTA.      1ND</v>
          </cell>
        </row>
        <row r="11564">
          <cell r="B11564" t="str">
            <v>14091001000701</v>
          </cell>
          <cell r="C11564" t="str">
            <v>IFRS - AJUSTE DE PROVISIONES BANCA COMER1ND</v>
          </cell>
        </row>
        <row r="11565">
          <cell r="B11565" t="str">
            <v>14091001001101</v>
          </cell>
          <cell r="C11565" t="str">
            <v>PRO ESP RIE CRED  -  DESCUENTOS         1ND</v>
          </cell>
        </row>
        <row r="11566">
          <cell r="B11566" t="str">
            <v>14091001001201</v>
          </cell>
          <cell r="C11566" t="str">
            <v>PRO ESP RIE CRED  -  FACTORING          1ND</v>
          </cell>
        </row>
        <row r="11567">
          <cell r="B11567" t="str">
            <v>14091001001301</v>
          </cell>
          <cell r="C11567" t="str">
            <v>PRO ESP RIE CRED  -  FIN. COMEX         1ND</v>
          </cell>
        </row>
        <row r="11568">
          <cell r="B11568" t="str">
            <v>14091001001401</v>
          </cell>
          <cell r="C11568" t="str">
            <v>PRO ESP RIE CRED  -  LEASEBACK          1ND</v>
          </cell>
        </row>
        <row r="11569">
          <cell r="B11569" t="str">
            <v>14091001001601</v>
          </cell>
          <cell r="C11569" t="str">
            <v>PRO ESP RIE CRED  -OTR. CRÃ‰. DIR.      1ND</v>
          </cell>
        </row>
        <row r="11570">
          <cell r="B11570" t="str">
            <v>14091001001701</v>
          </cell>
          <cell r="C11570" t="str">
            <v>PRO ESP RIE CRED  -  PAGARÃ‰S           1ND</v>
          </cell>
        </row>
        <row r="11571">
          <cell r="B11571" t="str">
            <v>14091001001901</v>
          </cell>
          <cell r="C11571" t="str">
            <v>PRO ESP RIE CRED  -  SOBREGIROS         1ND</v>
          </cell>
        </row>
        <row r="11572">
          <cell r="B11572" t="str">
            <v>14091001002001</v>
          </cell>
          <cell r="C11572" t="str">
            <v>PRO ESP RIE CRED  -  TCR                1ND</v>
          </cell>
        </row>
        <row r="11573">
          <cell r="B11573" t="str">
            <v>14091002010001</v>
          </cell>
          <cell r="C11573" t="str">
            <v>Corporativos Generica                   1ND</v>
          </cell>
        </row>
        <row r="11574">
          <cell r="B11574" t="str">
            <v>14091002010101</v>
          </cell>
          <cell r="C11574" t="str">
            <v>PRO Corporativos - GEN OBL - RIE CRED CO1ND</v>
          </cell>
        </row>
        <row r="11575">
          <cell r="B11575" t="str">
            <v>14091002010201</v>
          </cell>
          <cell r="C11575" t="str">
            <v>PRO GEN RIE CRED -  LEASING             1ND</v>
          </cell>
        </row>
        <row r="11576">
          <cell r="B11576" t="str">
            <v>14091002010301</v>
          </cell>
          <cell r="C11576" t="str">
            <v>PRO GEN RIE CRED -  AVAN. EN CTA.       1ND</v>
          </cell>
        </row>
        <row r="11577">
          <cell r="B11577" t="str">
            <v>14091002010801</v>
          </cell>
          <cell r="C11577" t="str">
            <v>PAN CREDITOS CORPORATIVOS               1ND</v>
          </cell>
        </row>
        <row r="11578">
          <cell r="B11578" t="str">
            <v>14091002011101</v>
          </cell>
          <cell r="C11578" t="str">
            <v>PRO GEN RIE CRED -  DESCUENTOS          1ND</v>
          </cell>
        </row>
        <row r="11579">
          <cell r="B11579" t="str">
            <v>14091002011201</v>
          </cell>
          <cell r="C11579" t="str">
            <v>PRO GEN RIE CRED -  FACTORING           1ND</v>
          </cell>
        </row>
        <row r="11580">
          <cell r="B11580" t="str">
            <v>14091002011301</v>
          </cell>
          <cell r="C11580" t="str">
            <v>PRO GEN RIE CRED -  FIN. COMEX          1ND</v>
          </cell>
        </row>
        <row r="11581">
          <cell r="B11581" t="str">
            <v>14091002011401</v>
          </cell>
          <cell r="C11581" t="str">
            <v>PRO GEN RIE CRED -  LEASEBACK           1ND</v>
          </cell>
        </row>
        <row r="11582">
          <cell r="B11582" t="str">
            <v>14091002011601</v>
          </cell>
          <cell r="C11582" t="str">
            <v>PRO GEN RIE CRED -OTR. CRÃ‰. DIR.       1ND</v>
          </cell>
        </row>
        <row r="11583">
          <cell r="B11583" t="str">
            <v>14091002011701</v>
          </cell>
          <cell r="C11583" t="str">
            <v>PRO GEN RIE CRED -  PAGARÃ‰S            1ND</v>
          </cell>
        </row>
        <row r="11584">
          <cell r="B11584" t="str">
            <v>14091002011901</v>
          </cell>
          <cell r="C11584" t="str">
            <v>PRO GEN RIE CRED -  SOBREGIROS          1ND</v>
          </cell>
        </row>
        <row r="11585">
          <cell r="B11585" t="str">
            <v>14091002012001</v>
          </cell>
          <cell r="C11585" t="str">
            <v>PRO GEN RIE CRED -  TCR                 1ND</v>
          </cell>
        </row>
        <row r="11586">
          <cell r="B11586" t="str">
            <v>14091002012401</v>
          </cell>
          <cell r="C11586" t="str">
            <v>PRO GEN RIE CRED  -  PRES. IMP- PANAMA  1ND</v>
          </cell>
        </row>
        <row r="11587">
          <cell r="B11587" t="str">
            <v>14091002020001</v>
          </cell>
          <cell r="C11587" t="str">
            <v>Corporativos Generica                   1ND</v>
          </cell>
        </row>
        <row r="11588">
          <cell r="B11588" t="str">
            <v>14091002020101</v>
          </cell>
          <cell r="C11588" t="str">
            <v>PRO Corporativos - GEN OBL - COMP PROCIC1ND</v>
          </cell>
        </row>
        <row r="11589">
          <cell r="B11589" t="str">
            <v>14091002020201</v>
          </cell>
          <cell r="C11589" t="str">
            <v>PRO GEN PROC  -  LEASING                1ND</v>
          </cell>
        </row>
        <row r="11590">
          <cell r="B11590" t="str">
            <v>14091002020301</v>
          </cell>
          <cell r="C11590" t="str">
            <v>PRO GEN PROC  -  AVAN. EN CTA.          1ND</v>
          </cell>
        </row>
        <row r="11591">
          <cell r="B11591" t="str">
            <v>14091002020801</v>
          </cell>
          <cell r="C11591" t="str">
            <v>PAN PROCICLICAS - CRED CORPORATIVOS CCOR1ND</v>
          </cell>
        </row>
        <row r="11592">
          <cell r="B11592" t="str">
            <v>14091002021101</v>
          </cell>
          <cell r="C11592" t="str">
            <v>PRO GEN PROC  -  DESCUENTOS             1ND</v>
          </cell>
        </row>
        <row r="11593">
          <cell r="B11593" t="str">
            <v>14091002021201</v>
          </cell>
          <cell r="C11593" t="str">
            <v>PRO GEN PROC  -  FACTORING              1ND</v>
          </cell>
        </row>
        <row r="11594">
          <cell r="B11594" t="str">
            <v>14091002021301</v>
          </cell>
          <cell r="C11594" t="str">
            <v>PRO GEN PROC  -  FIN. COMEX             1ND</v>
          </cell>
        </row>
        <row r="11595">
          <cell r="B11595" t="str">
            <v>14091002021401</v>
          </cell>
          <cell r="C11595" t="str">
            <v>PRO GEN PROC  -  LEASEBACK              1ND</v>
          </cell>
        </row>
        <row r="11596">
          <cell r="B11596" t="str">
            <v>14091002021601</v>
          </cell>
          <cell r="C11596" t="str">
            <v>PRO GEN PROC  -OTR. CRÃ‰. DIR.          1ND</v>
          </cell>
        </row>
        <row r="11597">
          <cell r="B11597" t="str">
            <v>14091002021701</v>
          </cell>
          <cell r="C11597" t="str">
            <v>PRO GEN PROC  -  PAGARÃ‰S               1ND</v>
          </cell>
        </row>
        <row r="11598">
          <cell r="B11598" t="str">
            <v>14091002021901</v>
          </cell>
          <cell r="C11598" t="str">
            <v>PRO GEN PROC  -  SOBREGIROS             1ND</v>
          </cell>
        </row>
        <row r="11599">
          <cell r="B11599" t="str">
            <v>14091002022001</v>
          </cell>
          <cell r="C11599" t="str">
            <v>PRO GEN PROC  -  TCR                    1ND</v>
          </cell>
        </row>
        <row r="11600">
          <cell r="B11600" t="str">
            <v>14091003000001</v>
          </cell>
          <cell r="C11600" t="str">
            <v>Corporativos Generica                   1ND</v>
          </cell>
        </row>
        <row r="11601">
          <cell r="B11601" t="str">
            <v>14091003000101</v>
          </cell>
          <cell r="C11601" t="str">
            <v>PRO Corporativos - GEN VOLUNTARIA       1ND</v>
          </cell>
        </row>
        <row r="11602">
          <cell r="B11602" t="str">
            <v>14091003000102</v>
          </cell>
          <cell r="C11602" t="str">
            <v>PRO Coorporativo-  GEN VOLUNTARIA INDIRE1ND</v>
          </cell>
        </row>
        <row r="11603">
          <cell r="B11603" t="str">
            <v>14091003000103</v>
          </cell>
          <cell r="C11603" t="str">
            <v>PRO CORPORATIVOS - GEN VOL_ N_PROC      1ND</v>
          </cell>
        </row>
        <row r="11604">
          <cell r="B11604" t="str">
            <v>14091003001701</v>
          </cell>
          <cell r="C11604" t="str">
            <v>PRO GENERICA VOLUNTARIA COMERCIAL       1ND</v>
          </cell>
        </row>
        <row r="11605">
          <cell r="B11605" t="str">
            <v>14091003001702</v>
          </cell>
          <cell r="C11605" t="str">
            <v>PRO CORPORATIVOS - PROC VOLUNTARIA BCOME1 D</v>
          </cell>
        </row>
        <row r="11606">
          <cell r="B11606" t="str">
            <v>14091003001703</v>
          </cell>
          <cell r="C11606" t="str">
            <v>PRO CORP - VOLUNTARIA CLUB DE LA CONSTRU1 D</v>
          </cell>
        </row>
        <row r="11607">
          <cell r="B11607" t="str">
            <v>14091003001704</v>
          </cell>
          <cell r="C11607" t="str">
            <v>PRO CORPORATIVOS - VOLUNTARIA COVID BCOM1 D</v>
          </cell>
        </row>
        <row r="11608">
          <cell r="B11608" t="str">
            <v>14091005000101</v>
          </cell>
          <cell r="C11608" t="str">
            <v>PRO RIESGO_CAMB_CRED  CORPORATIVOS      1ND</v>
          </cell>
        </row>
        <row r="11609">
          <cell r="B11609" t="str">
            <v>14091005000201</v>
          </cell>
          <cell r="C11609" t="str">
            <v>PRO GEN RIE CAMB -  LEASING             1ND</v>
          </cell>
        </row>
        <row r="11610">
          <cell r="B11610" t="str">
            <v>14091005000301</v>
          </cell>
          <cell r="C11610" t="str">
            <v>PRO GEN RIE CAMB -  AVAN. EN CTA.       1ND</v>
          </cell>
        </row>
        <row r="11611">
          <cell r="B11611" t="str">
            <v>14091005001101</v>
          </cell>
          <cell r="C11611" t="str">
            <v>PRO GEN RIE CAMB -  DESCUENTOS          1ND</v>
          </cell>
        </row>
        <row r="11612">
          <cell r="B11612" t="str">
            <v>14091005001201</v>
          </cell>
          <cell r="C11612" t="str">
            <v>PRO GEN RIE CAMB -  FACTORING           1ND</v>
          </cell>
        </row>
        <row r="11613">
          <cell r="B11613" t="str">
            <v>14091005001301</v>
          </cell>
          <cell r="C11613" t="str">
            <v>PRO GEN RIE CAMB -  FIN. COMEX          1ND</v>
          </cell>
        </row>
        <row r="11614">
          <cell r="B11614" t="str">
            <v>14091005001401</v>
          </cell>
          <cell r="C11614" t="str">
            <v>PRO GEN RIE CAMB -  LEASEBACK           1ND</v>
          </cell>
        </row>
        <row r="11615">
          <cell r="B11615" t="str">
            <v>14091005001601</v>
          </cell>
          <cell r="C11615" t="str">
            <v>PRO GEN RIE CAMB -OTR. CRÃ‰. DIR.       1ND</v>
          </cell>
        </row>
        <row r="11616">
          <cell r="B11616" t="str">
            <v>14091005001701</v>
          </cell>
          <cell r="C11616" t="str">
            <v>PRO GEN RIE CAMB -  PAGARÃ‰S            1ND</v>
          </cell>
        </row>
        <row r="11617">
          <cell r="B11617" t="str">
            <v>14091005001901</v>
          </cell>
          <cell r="C11617" t="str">
            <v>PRO GEN RIE CAMB -  SOBREGIROS          1ND</v>
          </cell>
        </row>
        <row r="11618">
          <cell r="B11618" t="str">
            <v>14091005002001</v>
          </cell>
          <cell r="C11618" t="str">
            <v>PRO GEN RIE CAMB -  TCR                 1ND</v>
          </cell>
        </row>
        <row r="11619">
          <cell r="B11619" t="str">
            <v>14091101000001</v>
          </cell>
          <cell r="C11619" t="str">
            <v>G. Empresas Especifica                  1ND</v>
          </cell>
        </row>
        <row r="11620">
          <cell r="B11620" t="str">
            <v>14091101000101</v>
          </cell>
          <cell r="C11620" t="str">
            <v>PROVISION ESP OBLIG RIES CRED - ARRENDAM1ND</v>
          </cell>
        </row>
        <row r="11621">
          <cell r="B11621" t="str">
            <v>14091101000102</v>
          </cell>
          <cell r="C11621" t="str">
            <v>PROVISION ESP OBLIG RIES CRED - AVANCE E1ND</v>
          </cell>
        </row>
        <row r="11622">
          <cell r="B11622" t="str">
            <v>14091101000103</v>
          </cell>
          <cell r="C11622" t="str">
            <v>PROVISION ESP OBLIG RIES CRED - DESCUENT1ND</v>
          </cell>
        </row>
        <row r="11623">
          <cell r="B11623" t="str">
            <v>14091101000104</v>
          </cell>
          <cell r="C11623" t="str">
            <v>PROVISION ESP OBLIG RIES CRED - FACTORIN1ND</v>
          </cell>
        </row>
        <row r="11624">
          <cell r="B11624" t="str">
            <v>14091101000105</v>
          </cell>
          <cell r="C11624" t="str">
            <v>PROVISION ESP OBLIG RIES CRED - FINANCIA1ND</v>
          </cell>
        </row>
        <row r="11625">
          <cell r="B11625" t="str">
            <v>14091101000106</v>
          </cell>
          <cell r="C11625" t="str">
            <v>PROVISION ESP OBLIG RIES CRED - LEASEBAC1ND</v>
          </cell>
        </row>
        <row r="11626">
          <cell r="B11626" t="str">
            <v>14091101000107</v>
          </cell>
          <cell r="C11626" t="str">
            <v>PROVISION ESP OBLIG RIES CRED - OTROS  D1ND</v>
          </cell>
        </row>
        <row r="11627">
          <cell r="B11627" t="str">
            <v>14091101000108</v>
          </cell>
          <cell r="C11627" t="str">
            <v>PROVISION ESP OBLIG RIES CRED - PAGARES 1ND</v>
          </cell>
        </row>
        <row r="11628">
          <cell r="B11628" t="str">
            <v>14091101000109</v>
          </cell>
          <cell r="C11628" t="str">
            <v>PROVISION ESP OBLIG RIES CRED - SOBREGIR1ND</v>
          </cell>
        </row>
        <row r="11629">
          <cell r="B11629" t="str">
            <v>14091101000110</v>
          </cell>
          <cell r="C11629" t="str">
            <v>PROVISION ESP OBLIG RIES CRED - TARJETAD1ND</v>
          </cell>
        </row>
        <row r="11630">
          <cell r="B11630" t="str">
            <v>14091101000111</v>
          </cell>
          <cell r="C11630" t="str">
            <v>PRO Grandes Empresas - RIE CRED  ESP    1ND</v>
          </cell>
        </row>
        <row r="11631">
          <cell r="B11631" t="str">
            <v>14091101000201</v>
          </cell>
          <cell r="C11631" t="str">
            <v>PRO ESP RIE CRED  -  LEASING            1ND</v>
          </cell>
        </row>
        <row r="11632">
          <cell r="B11632" t="str">
            <v>14091101000301</v>
          </cell>
          <cell r="C11632" t="str">
            <v>PRO ESP RIE CRED  -AVAN. EN CTA.        1ND</v>
          </cell>
        </row>
        <row r="11633">
          <cell r="B11633" t="str">
            <v>14091101000601</v>
          </cell>
          <cell r="C11633" t="str">
            <v>PROV ESPEC RGO CRED CARTA FIANZA        1ND</v>
          </cell>
        </row>
        <row r="11634">
          <cell r="B11634" t="str">
            <v>14091101001101</v>
          </cell>
          <cell r="C11634" t="str">
            <v>PRO ESP RIE CRED  -  DESCUENTOS         1ND</v>
          </cell>
        </row>
        <row r="11635">
          <cell r="B11635" t="str">
            <v>14091101001201</v>
          </cell>
          <cell r="C11635" t="str">
            <v>PRO ESP RIE CRED  -  FACTORING          1ND</v>
          </cell>
        </row>
        <row r="11636">
          <cell r="B11636" t="str">
            <v>14091101001301</v>
          </cell>
          <cell r="C11636" t="str">
            <v>PRO ESP RIE CRED  -  FIN. COMEX         1ND</v>
          </cell>
        </row>
        <row r="11637">
          <cell r="B11637" t="str">
            <v>14091101001401</v>
          </cell>
          <cell r="C11637" t="str">
            <v>PRO ESP RIE CRED  -  LEASEBACK          1ND</v>
          </cell>
        </row>
        <row r="11638">
          <cell r="B11638" t="str">
            <v>14091101001601</v>
          </cell>
          <cell r="C11638" t="str">
            <v>PRO ESP RIE CRED  -OTR. CRÃ‰. DIR.      1ND</v>
          </cell>
        </row>
        <row r="11639">
          <cell r="B11639" t="str">
            <v>14091101001701</v>
          </cell>
          <cell r="C11639" t="str">
            <v>PRO ESP RIE CRED  -  PAGARÃ‰S           1ND</v>
          </cell>
        </row>
        <row r="11640">
          <cell r="B11640" t="str">
            <v>14091101001901</v>
          </cell>
          <cell r="C11640" t="str">
            <v>PRO ESP RIE CRED  -  SOBREGIROS         1ND</v>
          </cell>
        </row>
        <row r="11641">
          <cell r="B11641" t="str">
            <v>14091101002001</v>
          </cell>
          <cell r="C11641" t="str">
            <v>PRO ESP RIE CRED  -  TCR                1ND</v>
          </cell>
        </row>
        <row r="11642">
          <cell r="B11642" t="str">
            <v>14091102010001</v>
          </cell>
          <cell r="C11642" t="str">
            <v>G. Empresas Generica                    1ND</v>
          </cell>
        </row>
        <row r="11643">
          <cell r="B11643" t="str">
            <v>14091102010101</v>
          </cell>
          <cell r="C11643" t="str">
            <v>PRO Grandes Empresas - GEN - RIE CRED CO1ND</v>
          </cell>
        </row>
        <row r="11644">
          <cell r="B11644" t="str">
            <v>14091102010201</v>
          </cell>
          <cell r="C11644" t="str">
            <v>PROVISION GEN OBLIG RIES CRED - ARRENDAM1ND</v>
          </cell>
        </row>
        <row r="11645">
          <cell r="B11645" t="str">
            <v>14091102010301</v>
          </cell>
          <cell r="C11645" t="str">
            <v>PRO GEN RIE CRED -  AVAN. EN CTA.       1ND</v>
          </cell>
        </row>
        <row r="11646">
          <cell r="B11646" t="str">
            <v>14091102010701</v>
          </cell>
          <cell r="C11646" t="str">
            <v>PRO GEN RIE CRED  -  CONVENIOS          1ND</v>
          </cell>
        </row>
        <row r="11647">
          <cell r="B11647" t="str">
            <v>14091102010801</v>
          </cell>
          <cell r="C11647" t="str">
            <v>PAN CREDITOS GRANDES EMPRESAS           1ND</v>
          </cell>
        </row>
        <row r="11648">
          <cell r="B11648" t="str">
            <v>14091102011101</v>
          </cell>
          <cell r="C11648" t="str">
            <v>PRO GEN RIE CRED -  DESCUENTOS          1ND</v>
          </cell>
        </row>
        <row r="11649">
          <cell r="B11649" t="str">
            <v>14091102011201</v>
          </cell>
          <cell r="C11649" t="str">
            <v>PRO GEN RIE CRED -  FACTORING           1ND</v>
          </cell>
        </row>
        <row r="11650">
          <cell r="B11650" t="str">
            <v>14091102011301</v>
          </cell>
          <cell r="C11650" t="str">
            <v>PRO GEN RIE CRED -  FIN. COMEX          1ND</v>
          </cell>
        </row>
        <row r="11651">
          <cell r="B11651" t="str">
            <v>14091102011401</v>
          </cell>
          <cell r="C11651" t="str">
            <v>PRO GEN RIE CRED -  LEASEBACK           1ND</v>
          </cell>
        </row>
        <row r="11652">
          <cell r="B11652" t="str">
            <v>14091102011601</v>
          </cell>
          <cell r="C11652" t="str">
            <v>PRO GEN RIE CRED -OTR. CRÃ‰. DIR.       1ND</v>
          </cell>
        </row>
        <row r="11653">
          <cell r="B11653" t="str">
            <v>14091102011701</v>
          </cell>
          <cell r="C11653" t="str">
            <v>PRO GEN RIE CRED -  PAGARÃ‰S            1ND</v>
          </cell>
        </row>
        <row r="11654">
          <cell r="B11654" t="str">
            <v>14091102011901</v>
          </cell>
          <cell r="C11654" t="str">
            <v>PRO GEN RIE CRED -  SOBREGIROS          1ND</v>
          </cell>
        </row>
        <row r="11655">
          <cell r="B11655" t="str">
            <v>14091102012001</v>
          </cell>
          <cell r="C11655" t="str">
            <v>PRO GEN RIE CRED -  TCR                 1ND</v>
          </cell>
        </row>
        <row r="11656">
          <cell r="B11656" t="str">
            <v>14091102012401</v>
          </cell>
          <cell r="C11656" t="str">
            <v>PRO GEN RIE CRED  -  PRES. IMP- PANAMA  1ND</v>
          </cell>
        </row>
        <row r="11657">
          <cell r="B11657" t="str">
            <v>14091102012601</v>
          </cell>
          <cell r="C11657" t="str">
            <v>PRO GEN RIE CRED  -  PRES. EXP- PANAMA  1ND</v>
          </cell>
        </row>
        <row r="11658">
          <cell r="B11658" t="str">
            <v>14091102020001</v>
          </cell>
          <cell r="C11658" t="str">
            <v>G. Empresas Generica                    1ND</v>
          </cell>
        </row>
        <row r="11659">
          <cell r="B11659" t="str">
            <v>14091102020101</v>
          </cell>
          <cell r="C11659" t="str">
            <v>PRO Grandes Empresas - GEN - COMP PROCIC1ND</v>
          </cell>
        </row>
        <row r="11660">
          <cell r="B11660" t="str">
            <v>14091102020201</v>
          </cell>
          <cell r="C11660" t="str">
            <v>PRO GEN PROC  -  LEASING                1ND</v>
          </cell>
        </row>
        <row r="11661">
          <cell r="B11661" t="str">
            <v>14091102020301</v>
          </cell>
          <cell r="C11661" t="str">
            <v>PRO GEN PROC  -  AVAN. EN CTA.          1ND</v>
          </cell>
        </row>
        <row r="11662">
          <cell r="B11662" t="str">
            <v>14091102020501</v>
          </cell>
          <cell r="C11662" t="str">
            <v>PRO GEN PROCÂ  -Â  C. Impo              1ND</v>
          </cell>
        </row>
        <row r="11663">
          <cell r="B11663" t="str">
            <v>14091102020601</v>
          </cell>
          <cell r="C11663" t="str">
            <v>PRO GEN PROCÂ  -Â  CART FIANZA          1ND</v>
          </cell>
        </row>
        <row r="11664">
          <cell r="B11664" t="str">
            <v>14091102020801</v>
          </cell>
          <cell r="C11664" t="str">
            <v>PAN PROCICLICAS - CRED GRANDES EMPRESAS 1ND</v>
          </cell>
        </row>
        <row r="11665">
          <cell r="B11665" t="str">
            <v>14091102021101</v>
          </cell>
          <cell r="C11665" t="str">
            <v>PRO GEN PROC  -  DESCUENTOS             1ND</v>
          </cell>
        </row>
        <row r="11666">
          <cell r="B11666" t="str">
            <v>14091102021201</v>
          </cell>
          <cell r="C11666" t="str">
            <v>PRO GEN PROC  -  FACTORING              1ND</v>
          </cell>
        </row>
        <row r="11667">
          <cell r="B11667" t="str">
            <v>14091102021301</v>
          </cell>
          <cell r="C11667" t="str">
            <v>PRO GEN PROC  -  FIN. COMEX             1ND</v>
          </cell>
        </row>
        <row r="11668">
          <cell r="B11668" t="str">
            <v>14091102021601</v>
          </cell>
          <cell r="C11668" t="str">
            <v>PRO GEN PROC  -OTR. CRÃ‰. DIR.          1ND</v>
          </cell>
        </row>
        <row r="11669">
          <cell r="B11669" t="str">
            <v>14091102021701</v>
          </cell>
          <cell r="C11669" t="str">
            <v>PRO GEN PROC  -  PAGARÃ‰S               1ND</v>
          </cell>
        </row>
        <row r="11670">
          <cell r="B11670" t="str">
            <v>14091102021901</v>
          </cell>
          <cell r="C11670" t="str">
            <v>PRO GEN PROC  -  SOBREGIROS             1ND</v>
          </cell>
        </row>
        <row r="11671">
          <cell r="B11671" t="str">
            <v>14091102022001</v>
          </cell>
          <cell r="C11671" t="str">
            <v>PRO GEN PROC  -  TCR                    1ND</v>
          </cell>
        </row>
        <row r="11672">
          <cell r="B11672" t="str">
            <v>14091103000001</v>
          </cell>
          <cell r="C11672" t="str">
            <v>Grandes Empresas Generica               1ND</v>
          </cell>
        </row>
        <row r="11673">
          <cell r="B11673" t="str">
            <v>14091103000101</v>
          </cell>
          <cell r="C11673" t="str">
            <v>PRO Grandes Empresas - GEN VOLUNTARIA   1ND</v>
          </cell>
        </row>
        <row r="11674">
          <cell r="B11674" t="str">
            <v>14091103000102</v>
          </cell>
          <cell r="C11674" t="str">
            <v>PRO Grandes Empresas -  GEN VOLUNTARIA I1ND</v>
          </cell>
        </row>
        <row r="11675">
          <cell r="B11675" t="str">
            <v>14091103001701</v>
          </cell>
          <cell r="C11675" t="str">
            <v>PRO Grandes Empresas - GEN VOL_ N_PROC  1ND</v>
          </cell>
        </row>
        <row r="11676">
          <cell r="B11676" t="str">
            <v>14091103001702</v>
          </cell>
          <cell r="C11676" t="str">
            <v>PRO GRANDES EMPRESAS - PROC VOLUNTARIA B1 D</v>
          </cell>
        </row>
        <row r="11677">
          <cell r="B11677" t="str">
            <v>14091103001703</v>
          </cell>
          <cell r="C11677" t="str">
            <v>PRO GRANDES EMP - VOLUNT CLUB DE LA CONS1 D</v>
          </cell>
        </row>
        <row r="11678">
          <cell r="B11678" t="str">
            <v>14091103001704</v>
          </cell>
          <cell r="C11678" t="str">
            <v>PRO GRANDES EMPRESAS - VOLUNTARIA COVID 1 D</v>
          </cell>
        </row>
        <row r="11679">
          <cell r="B11679" t="str">
            <v>14091105000101</v>
          </cell>
          <cell r="C11679" t="str">
            <v>PRO RIESGO_CAMB_CRED  GRANDES EMPRESAS  1ND</v>
          </cell>
        </row>
        <row r="11680">
          <cell r="B11680" t="str">
            <v>14091105000201</v>
          </cell>
          <cell r="C11680" t="str">
            <v>PRO GEN RIE CAMB -  LEASING             1ND</v>
          </cell>
        </row>
        <row r="11681">
          <cell r="B11681" t="str">
            <v>14091105000301</v>
          </cell>
          <cell r="C11681" t="str">
            <v>PRO GEN RIE CAMB -  AVAN. EN CTA.       1ND</v>
          </cell>
        </row>
        <row r="11682">
          <cell r="B11682" t="str">
            <v>14091105001101</v>
          </cell>
          <cell r="C11682" t="str">
            <v>PRO GEN RIE CAMB -  DESCUENTOS          1ND</v>
          </cell>
        </row>
        <row r="11683">
          <cell r="B11683" t="str">
            <v>14091105001201</v>
          </cell>
          <cell r="C11683" t="str">
            <v>PRO GEN RIE CAMB -  FACTORING           1ND</v>
          </cell>
        </row>
        <row r="11684">
          <cell r="B11684" t="str">
            <v>14091105001301</v>
          </cell>
          <cell r="C11684" t="str">
            <v>PRO GEN RIE CAMB -  FIN. COMEX          1ND</v>
          </cell>
        </row>
        <row r="11685">
          <cell r="B11685" t="str">
            <v>14091105001401</v>
          </cell>
          <cell r="C11685" t="str">
            <v>PRO GEN RIE CAMB -  LEASEBACK           1ND</v>
          </cell>
        </row>
        <row r="11686">
          <cell r="B11686" t="str">
            <v>14091105001601</v>
          </cell>
          <cell r="C11686" t="str">
            <v>PRO GEN RIE CAMB -OTR. CRÃ‰. DIR.       1ND</v>
          </cell>
        </row>
        <row r="11687">
          <cell r="B11687" t="str">
            <v>14091105001701</v>
          </cell>
          <cell r="C11687" t="str">
            <v>PRO GEN RIE CAMB -  PAGARÃ‰S            1ND</v>
          </cell>
        </row>
        <row r="11688">
          <cell r="B11688" t="str">
            <v>14091105001901</v>
          </cell>
          <cell r="C11688" t="str">
            <v>PRO GEN RIE CAMB -  SOBREGIROS          1ND</v>
          </cell>
        </row>
        <row r="11689">
          <cell r="B11689" t="str">
            <v>14091105002001</v>
          </cell>
          <cell r="C11689" t="str">
            <v>PRO GEN RIE CAMB -  TCR                 1ND</v>
          </cell>
        </row>
        <row r="11690">
          <cell r="B11690" t="str">
            <v>14091201000001</v>
          </cell>
          <cell r="C11690" t="str">
            <v>Med. Emp. Especifica                    1ND</v>
          </cell>
        </row>
        <row r="11691">
          <cell r="B11691" t="str">
            <v>14091201000101</v>
          </cell>
          <cell r="C11691" t="str">
            <v>PRO Medianas Empresas - RIE CRED ESP    1ND</v>
          </cell>
        </row>
        <row r="11692">
          <cell r="B11692" t="str">
            <v>14091201000201</v>
          </cell>
          <cell r="C11692" t="str">
            <v>PRO ESP RIE CRED  -  LEASING            1ND</v>
          </cell>
        </row>
        <row r="11693">
          <cell r="B11693" t="str">
            <v>14091201000202</v>
          </cell>
          <cell r="C11693" t="str">
            <v>PROV ESPEC RGO CRED LEASING COFIDE      1ND</v>
          </cell>
        </row>
        <row r="11694">
          <cell r="B11694" t="str">
            <v>14091201000301</v>
          </cell>
          <cell r="C11694" t="str">
            <v>PRO ESP RIE CRED  -AVAN. EN CTA.        1ND</v>
          </cell>
        </row>
        <row r="11695">
          <cell r="B11695" t="str">
            <v>14091201000601</v>
          </cell>
          <cell r="C11695" t="str">
            <v>PROV ESPEC RGO CRED CARTA FIANZA        1ND</v>
          </cell>
        </row>
        <row r="11696">
          <cell r="B11696" t="str">
            <v>14091201000701</v>
          </cell>
          <cell r="C11696" t="str">
            <v>PROV ESP OBLIG RIE CRED - CONVENIOS     1ND</v>
          </cell>
        </row>
        <row r="11697">
          <cell r="B11697" t="str">
            <v>14091201000901</v>
          </cell>
          <cell r="C11697" t="str">
            <v>PRO ESP RIE CRED  -  VEHICULAR          1ND</v>
          </cell>
        </row>
        <row r="11698">
          <cell r="B11698" t="str">
            <v>14091201001101</v>
          </cell>
          <cell r="C11698" t="str">
            <v>PRO ESP RIE CRED  -  DESCUENTOS         1ND</v>
          </cell>
        </row>
        <row r="11699">
          <cell r="B11699" t="str">
            <v>14091201001201</v>
          </cell>
          <cell r="C11699" t="str">
            <v>PRO ESP RIE CRED  -  FACTORING          1ND</v>
          </cell>
        </row>
        <row r="11700">
          <cell r="B11700" t="str">
            <v>14091201001301</v>
          </cell>
          <cell r="C11700" t="str">
            <v>PRO ESP RIE CRED  -  FIN. COMEX         1ND</v>
          </cell>
        </row>
        <row r="11701">
          <cell r="B11701" t="str">
            <v>14091201001401</v>
          </cell>
          <cell r="C11701" t="str">
            <v>PRO ESP RIE CRED  -  LEASEBACK          1ND</v>
          </cell>
        </row>
        <row r="11702">
          <cell r="B11702" t="str">
            <v>14091201001601</v>
          </cell>
          <cell r="C11702" t="str">
            <v>PRO ESP RIE CRED  -OTR. CRÃ‰. DIR       1ND</v>
          </cell>
        </row>
        <row r="11703">
          <cell r="B11703" t="str">
            <v>14091201001701</v>
          </cell>
          <cell r="C11703" t="str">
            <v>PRO ESP RIE CRED  -  PAGARÃ‰S           1ND</v>
          </cell>
        </row>
        <row r="11704">
          <cell r="B11704" t="str">
            <v>14091201001801</v>
          </cell>
          <cell r="C11704" t="str">
            <v>PRO ESP RIE CRED  -  PRESTAMO PER       1ND</v>
          </cell>
        </row>
        <row r="11705">
          <cell r="B11705" t="str">
            <v>14091201001901</v>
          </cell>
          <cell r="C11705" t="str">
            <v>PRO ESP RIE CRED  -  SOBREGIROS         1ND</v>
          </cell>
        </row>
        <row r="11706">
          <cell r="B11706" t="str">
            <v>14091201002001</v>
          </cell>
          <cell r="C11706" t="str">
            <v>PRO ESP RIE CRED  -  TCR                1ND</v>
          </cell>
        </row>
        <row r="11707">
          <cell r="B11707" t="str">
            <v>14091201002201</v>
          </cell>
          <cell r="C11707" t="str">
            <v>PROV ESPEC RGO CRD PTMO PERS GTIA HIP   1ND</v>
          </cell>
        </row>
        <row r="11708">
          <cell r="B11708" t="str">
            <v>14091201002301</v>
          </cell>
          <cell r="C11708" t="str">
            <v>PRO ESP RIE CRED  -  CONV. PREFERENTE   1ND</v>
          </cell>
        </row>
        <row r="11709">
          <cell r="B11709" t="str">
            <v>14091202010001</v>
          </cell>
          <cell r="C11709" t="str">
            <v>Med. Emp. Generica                      1ND</v>
          </cell>
        </row>
        <row r="11710">
          <cell r="B11710" t="str">
            <v>14091202010101</v>
          </cell>
          <cell r="C11710" t="str">
            <v>PRO Medianas Empresas - GEN OBL - RIE CR1ND</v>
          </cell>
        </row>
        <row r="11711">
          <cell r="B11711" t="str">
            <v>14091202010200</v>
          </cell>
          <cell r="C11711" t="str">
            <v>PROV GEN RIES CRED MED EMPRESA          1ND</v>
          </cell>
        </row>
        <row r="11712">
          <cell r="B11712" t="str">
            <v>14091202010201</v>
          </cell>
          <cell r="C11712" t="str">
            <v>PRO GEN RIE CRED -  LEASING             1ND</v>
          </cell>
        </row>
        <row r="11713">
          <cell r="B11713" t="str">
            <v>14091202010202</v>
          </cell>
          <cell r="C11713" t="str">
            <v>PROV GENER RGO CRED LEASING COFIDE      1ND</v>
          </cell>
        </row>
        <row r="11714">
          <cell r="B11714" t="str">
            <v>14091202010203</v>
          </cell>
          <cell r="C11714" t="str">
            <v>PROV GEN RIES CRED MED EMPRESA          1ND</v>
          </cell>
        </row>
        <row r="11715">
          <cell r="B11715" t="str">
            <v>14091202010301</v>
          </cell>
          <cell r="C11715" t="str">
            <v>PRO GEN RIE CRED -AVAN. EN CTA.         1ND</v>
          </cell>
        </row>
        <row r="11716">
          <cell r="B11716" t="str">
            <v>14091202010701</v>
          </cell>
          <cell r="C11716" t="str">
            <v>PRO GEN RIE CRED  -  CONVENIOS          1ND</v>
          </cell>
        </row>
        <row r="11717">
          <cell r="B11717" t="str">
            <v>14091202010801</v>
          </cell>
          <cell r="C11717" t="str">
            <v>PAN CREDITOS MEDIANAS EMPRESAS          1ND</v>
          </cell>
        </row>
        <row r="11718">
          <cell r="B11718" t="str">
            <v>14091202010901</v>
          </cell>
          <cell r="C11718" t="str">
            <v>PRO GEN RIE CRED  -  VEHICULAR          1ND</v>
          </cell>
        </row>
        <row r="11719">
          <cell r="B11719" t="str">
            <v>14091202011101</v>
          </cell>
          <cell r="C11719" t="str">
            <v>PRO GEN RIE CRED -  DESCUENTOS          1ND</v>
          </cell>
        </row>
        <row r="11720">
          <cell r="B11720" t="str">
            <v>14091202011201</v>
          </cell>
          <cell r="C11720" t="str">
            <v>PRO GEN RIE CRED -  FACTORING           1ND</v>
          </cell>
        </row>
        <row r="11721">
          <cell r="B11721" t="str">
            <v>14091202011301</v>
          </cell>
          <cell r="C11721" t="str">
            <v>PRO GEN RIE CRED -  FIN. COMEX          1ND</v>
          </cell>
        </row>
        <row r="11722">
          <cell r="B11722" t="str">
            <v>14091202011401</v>
          </cell>
          <cell r="C11722" t="str">
            <v>PRO GEN RIE CRED -  LEASEBACK           1ND</v>
          </cell>
        </row>
        <row r="11723">
          <cell r="B11723" t="str">
            <v>14091202011601</v>
          </cell>
          <cell r="C11723" t="str">
            <v>PRO GEN RIE CRED -OTR. CRÃ‰. DIR.       1ND</v>
          </cell>
        </row>
        <row r="11724">
          <cell r="B11724" t="str">
            <v>14091202011701</v>
          </cell>
          <cell r="C11724" t="str">
            <v>PRO GEN RIE CRED -  PAGARÃ‰S            1ND</v>
          </cell>
        </row>
        <row r="11725">
          <cell r="B11725" t="str">
            <v>14091202011801</v>
          </cell>
          <cell r="C11725" t="str">
            <v>PRO GEN RIE CRED  -  PRESTAMO PER.      1ND</v>
          </cell>
        </row>
        <row r="11726">
          <cell r="B11726" t="str">
            <v>14091202011901</v>
          </cell>
          <cell r="C11726" t="str">
            <v>PRO GEN RIE CRED -  SOBREGIROS          1ND</v>
          </cell>
        </row>
        <row r="11727">
          <cell r="B11727" t="str">
            <v>14091202012001</v>
          </cell>
          <cell r="C11727" t="str">
            <v>PRO GEN RIE CRED -  TCR                 1ND</v>
          </cell>
        </row>
        <row r="11728">
          <cell r="B11728" t="str">
            <v>14091202012201</v>
          </cell>
          <cell r="C11728" t="str">
            <v>PRO GEN RIE CRED - PREST. PERSO. GTIA. H1ND</v>
          </cell>
        </row>
        <row r="11729">
          <cell r="B11729" t="str">
            <v>14091202012301</v>
          </cell>
          <cell r="C11729" t="str">
            <v>PRO GEN RIE CRED  -  CONV. PREFERENTE   1ND</v>
          </cell>
        </row>
        <row r="11730">
          <cell r="B11730" t="str">
            <v>14091202020001</v>
          </cell>
          <cell r="C11730" t="str">
            <v>Med. Emp. Generica                      1ND</v>
          </cell>
        </row>
        <row r="11731">
          <cell r="B11731" t="str">
            <v>14091202020101</v>
          </cell>
          <cell r="C11731" t="str">
            <v>PRO Medianas Empresas - GEN OBL - COMP P1ND</v>
          </cell>
        </row>
        <row r="11732">
          <cell r="B11732" t="str">
            <v>14091202020201</v>
          </cell>
          <cell r="C11732" t="str">
            <v>PRO GEN PROC  -  LEASING                1ND</v>
          </cell>
        </row>
        <row r="11733">
          <cell r="B11733" t="str">
            <v>14091202020202</v>
          </cell>
          <cell r="C11733" t="str">
            <v>PROV GENER PROC LEASING COFIDE          1ND</v>
          </cell>
        </row>
        <row r="11734">
          <cell r="B11734" t="str">
            <v>14091202020301</v>
          </cell>
          <cell r="C11734" t="str">
            <v>PRO GEN PROC  -  AVAN. EN CTA.          1ND</v>
          </cell>
        </row>
        <row r="11735">
          <cell r="B11735" t="str">
            <v>14091202020601</v>
          </cell>
          <cell r="C11735" t="str">
            <v>PRO GEN PROCÂ  -Â  CART FIANZA          1ND</v>
          </cell>
        </row>
        <row r="11736">
          <cell r="B11736" t="str">
            <v>14091202020701</v>
          </cell>
          <cell r="C11736" t="str">
            <v>PRO GEN PROCÂ  -Â  CONVENIO             1ND</v>
          </cell>
        </row>
        <row r="11737">
          <cell r="B11737" t="str">
            <v>14091202020801</v>
          </cell>
          <cell r="C11737" t="str">
            <v>PAN PROCICLICAS - CRED MEDIANAS EMPRESAS1ND</v>
          </cell>
        </row>
        <row r="11738">
          <cell r="B11738" t="str">
            <v>14091202020901</v>
          </cell>
          <cell r="C11738" t="str">
            <v>PRO GEN PROCÂ  -Â  CRÃ‰D. VEHICULAR     1ND</v>
          </cell>
        </row>
        <row r="11739">
          <cell r="B11739" t="str">
            <v>14091202021101</v>
          </cell>
          <cell r="C11739" t="str">
            <v>PRO GEN PROC  -  DESCUENTOS             1ND</v>
          </cell>
        </row>
        <row r="11740">
          <cell r="B11740" t="str">
            <v>14091202021201</v>
          </cell>
          <cell r="C11740" t="str">
            <v>PRO GEN PROC  -  FACTORING              1ND</v>
          </cell>
        </row>
        <row r="11741">
          <cell r="B11741" t="str">
            <v>14091202021301</v>
          </cell>
          <cell r="C11741" t="str">
            <v>PRO GEN PROC  -  FIN. COMEX             1ND</v>
          </cell>
        </row>
        <row r="11742">
          <cell r="B11742" t="str">
            <v>14091202021401</v>
          </cell>
          <cell r="C11742" t="str">
            <v>PRO GEN PROC  -  LEASEBACK              1ND</v>
          </cell>
        </row>
        <row r="11743">
          <cell r="B11743" t="str">
            <v>14091202021601</v>
          </cell>
          <cell r="C11743" t="str">
            <v>PRO GEN PROC  -OTR. CRÃ‰. DIR.          1ND</v>
          </cell>
        </row>
        <row r="11744">
          <cell r="B11744" t="str">
            <v>14091202021701</v>
          </cell>
          <cell r="C11744" t="str">
            <v>PRO GEN PROC  -  PAGARÃ‰S               1ND</v>
          </cell>
        </row>
        <row r="11745">
          <cell r="B11745" t="str">
            <v>14091202021801</v>
          </cell>
          <cell r="C11745" t="str">
            <v>PRO GEN PROCÂ  -Â  PRES. PERSO.         1ND</v>
          </cell>
        </row>
        <row r="11746">
          <cell r="B11746" t="str">
            <v>14091202021901</v>
          </cell>
          <cell r="C11746" t="str">
            <v>PRO GEN PROC  -  SOBREGIROS             1ND</v>
          </cell>
        </row>
        <row r="11747">
          <cell r="B11747" t="str">
            <v>14091202022001</v>
          </cell>
          <cell r="C11747" t="str">
            <v>PRO GEN PROC  -  TCR                    1ND</v>
          </cell>
        </row>
        <row r="11748">
          <cell r="B11748" t="str">
            <v>14091202022201</v>
          </cell>
          <cell r="C11748" t="str">
            <v>PRO GEN PROC - PREST. PERSO. GTIA. HIPOT1ND</v>
          </cell>
        </row>
        <row r="11749">
          <cell r="B11749" t="str">
            <v>14091202022301</v>
          </cell>
          <cell r="C11749" t="str">
            <v>PRO GEN PROC. - CONVENIOS PREFERENTE    1ND</v>
          </cell>
        </row>
        <row r="11750">
          <cell r="B11750" t="str">
            <v>14091203000001</v>
          </cell>
          <cell r="C11750" t="str">
            <v>Med. Emp. Generica                      1ND</v>
          </cell>
        </row>
        <row r="11751">
          <cell r="B11751" t="str">
            <v>14091203000101</v>
          </cell>
          <cell r="C11751" t="str">
            <v>PRO Medianas Empresas - GEN VOLUNTARIA  1ND</v>
          </cell>
        </row>
        <row r="11752">
          <cell r="B11752" t="str">
            <v>14091203000102</v>
          </cell>
          <cell r="C11752" t="str">
            <v>PRO Medianas Empresas -  GEN VOLUNTARIA 1ND</v>
          </cell>
        </row>
        <row r="11753">
          <cell r="B11753" t="str">
            <v>14091203000201</v>
          </cell>
          <cell r="C11753" t="str">
            <v>PROV. GEN. VOLUNTARIA - LEASING         1ND</v>
          </cell>
        </row>
        <row r="11754">
          <cell r="B11754" t="str">
            <v>14091203001701</v>
          </cell>
          <cell r="C11754" t="str">
            <v>PRO Medianas Empresas - GEN VOL_ N_PROC 1ND</v>
          </cell>
        </row>
        <row r="11755">
          <cell r="B11755" t="str">
            <v>14091203001702</v>
          </cell>
          <cell r="C11755" t="str">
            <v>PRO MEDIANAS EMPRESAS - PROC VOLUNTARIA 1 D</v>
          </cell>
        </row>
        <row r="11756">
          <cell r="B11756" t="str">
            <v>14091203001703</v>
          </cell>
          <cell r="C11756" t="str">
            <v>PRO MEDIANAS EMPRESAS - PROC VOLUNTARIA 1 D</v>
          </cell>
        </row>
        <row r="11757">
          <cell r="B11757" t="str">
            <v>14091203001704</v>
          </cell>
          <cell r="C11757" t="str">
            <v>PRO MED EMP - VOLUNTARIA CLUB DE LA CONS1 D</v>
          </cell>
        </row>
        <row r="11758">
          <cell r="B11758" t="str">
            <v>14091203001705</v>
          </cell>
          <cell r="C11758" t="str">
            <v>PRO MEDIANAS EMPRESAS - VOLUNTARIA COVID1 D</v>
          </cell>
        </row>
        <row r="11759">
          <cell r="B11759" t="str">
            <v>14091203001706</v>
          </cell>
          <cell r="C11759" t="str">
            <v>PRO MED EMP - VOLUNT COVID BCOMERCIAL   1 D</v>
          </cell>
        </row>
        <row r="11760">
          <cell r="B11760" t="str">
            <v>14091205000101</v>
          </cell>
          <cell r="C11760" t="str">
            <v>PRO RIESGO_CAMB_CRED  MEDIANAS EMPRESAS 1ND</v>
          </cell>
        </row>
        <row r="11761">
          <cell r="B11761" t="str">
            <v>14091205000201</v>
          </cell>
          <cell r="C11761" t="str">
            <v>PRO GEN RIE CAMB -  LEASING             1ND</v>
          </cell>
        </row>
        <row r="11762">
          <cell r="B11762" t="str">
            <v>14091205000301</v>
          </cell>
          <cell r="C11762" t="str">
            <v>PRO GEN RIE CAMB -AVAN. EN CTA.         1ND</v>
          </cell>
        </row>
        <row r="11763">
          <cell r="B11763" t="str">
            <v>14091205001101</v>
          </cell>
          <cell r="C11763" t="str">
            <v>PRO GEN RIE CAMB -  DESCUENTOS          1ND</v>
          </cell>
        </row>
        <row r="11764">
          <cell r="B11764" t="str">
            <v>14091205001201</v>
          </cell>
          <cell r="C11764" t="str">
            <v>PRO GEN RIE CAMB -  FACTORING           1ND</v>
          </cell>
        </row>
        <row r="11765">
          <cell r="B11765" t="str">
            <v>14091205001301</v>
          </cell>
          <cell r="C11765" t="str">
            <v>PRO GEN RIE CAMB -  FIN. COMEX          1ND</v>
          </cell>
        </row>
        <row r="11766">
          <cell r="B11766" t="str">
            <v>14091205001401</v>
          </cell>
          <cell r="C11766" t="str">
            <v>PRO GEN RIE CAMB -  LEASEBACK           1ND</v>
          </cell>
        </row>
        <row r="11767">
          <cell r="B11767" t="str">
            <v>14091205001601</v>
          </cell>
          <cell r="C11767" t="str">
            <v>PRO GEN RIE CAMB -OTR. CRÃ‰. DIR.       1ND</v>
          </cell>
        </row>
        <row r="11768">
          <cell r="B11768" t="str">
            <v>14091205001701</v>
          </cell>
          <cell r="C11768" t="str">
            <v>PRO GEN RIE CAMB -  PAGARÃ‰S            1ND</v>
          </cell>
        </row>
        <row r="11769">
          <cell r="B11769" t="str">
            <v>14091205001901</v>
          </cell>
          <cell r="C11769" t="str">
            <v>PRO GEN RIE CAMB -  SOBREGIROS          1ND</v>
          </cell>
        </row>
        <row r="11770">
          <cell r="B11770" t="str">
            <v>14091205002001</v>
          </cell>
          <cell r="C11770" t="str">
            <v>PRO GEN RIE CAMB -  TCR                 1ND</v>
          </cell>
        </row>
        <row r="11771">
          <cell r="B11771" t="str">
            <v>14091207010100</v>
          </cell>
          <cell r="C11771" t="str">
            <v>PRO PROVIS ESPECIF REPROG COVID CAPITAL 1 D</v>
          </cell>
        </row>
        <row r="11772">
          <cell r="B11772" t="str">
            <v>14091207020100</v>
          </cell>
          <cell r="C11772" t="str">
            <v>PRO PROVIS ESPECIF REPROG COVID INTERES 1 D</v>
          </cell>
        </row>
        <row r="11773">
          <cell r="B11773" t="str">
            <v>14091301000001</v>
          </cell>
          <cell r="C11773" t="str">
            <v>Peq. Emp. Especifica                    1ND</v>
          </cell>
        </row>
        <row r="11774">
          <cell r="B11774" t="str">
            <v>14091301000101</v>
          </cell>
          <cell r="C11774" t="str">
            <v>PRO PequeÃ±as Empresas - RIE CRED ESP   1ND</v>
          </cell>
        </row>
        <row r="11775">
          <cell r="B11775" t="str">
            <v>14091301000201</v>
          </cell>
          <cell r="C11775" t="str">
            <v>PRO ESP RIE CRED  -  LEASING            1ND</v>
          </cell>
        </row>
        <row r="11776">
          <cell r="B11776" t="str">
            <v>14091301000301</v>
          </cell>
          <cell r="C11776" t="str">
            <v>PRO ESP RIE CRED  -AVAN. EN CTA.        1ND</v>
          </cell>
        </row>
        <row r="11777">
          <cell r="B11777" t="str">
            <v>14091301001101</v>
          </cell>
          <cell r="C11777" t="str">
            <v>PRO ESP RIE CRED  -  DESCUENTOS         1ND</v>
          </cell>
        </row>
        <row r="11778">
          <cell r="B11778" t="str">
            <v>14091301001201</v>
          </cell>
          <cell r="C11778" t="str">
            <v>PRO ESP RIE CRED  -  FACTORING          1ND</v>
          </cell>
        </row>
        <row r="11779">
          <cell r="B11779" t="str">
            <v>14091301001301</v>
          </cell>
          <cell r="C11779" t="str">
            <v>PRO ESP RIE CRED  -  FIN. COMEX         1ND</v>
          </cell>
        </row>
        <row r="11780">
          <cell r="B11780" t="str">
            <v>14091301001401</v>
          </cell>
          <cell r="C11780" t="str">
            <v>PRO ESP RIE CRED  -  LEASEBACK          1ND</v>
          </cell>
        </row>
        <row r="11781">
          <cell r="B11781" t="str">
            <v>14091301001601</v>
          </cell>
          <cell r="C11781" t="str">
            <v>PRO ESP RIE CRED  -OTR. CRÃ‰. DIR       1ND</v>
          </cell>
        </row>
        <row r="11782">
          <cell r="B11782" t="str">
            <v>14091301001701</v>
          </cell>
          <cell r="C11782" t="str">
            <v>PRO ESP RIE CRED  -  PAGARÃ‰S           1ND</v>
          </cell>
        </row>
        <row r="11783">
          <cell r="B11783" t="str">
            <v>14091301001801</v>
          </cell>
          <cell r="C11783" t="str">
            <v>PROV ESPEC RGO CRED - PREST PERS.       1ND</v>
          </cell>
        </row>
        <row r="11784">
          <cell r="B11784" t="str">
            <v>14091301001901</v>
          </cell>
          <cell r="C11784" t="str">
            <v>PRO ESP RIE CRED  -  SOBREGIROS         1ND</v>
          </cell>
        </row>
        <row r="11785">
          <cell r="B11785" t="str">
            <v>14091301002001</v>
          </cell>
          <cell r="C11785" t="str">
            <v>PRO ESP RIE CRED  -  TCR                1ND</v>
          </cell>
        </row>
        <row r="11786">
          <cell r="B11786" t="str">
            <v>14091302010001</v>
          </cell>
          <cell r="C11786" t="str">
            <v>Peq. Emp. Generica                      1ND</v>
          </cell>
        </row>
        <row r="11787">
          <cell r="B11787" t="str">
            <v>14091302010101</v>
          </cell>
          <cell r="C11787" t="str">
            <v>PRO PequeÃ±as Empresas - GEN OBL - RIE C1ND</v>
          </cell>
        </row>
        <row r="11788">
          <cell r="B11788" t="str">
            <v>14091302010201</v>
          </cell>
          <cell r="C11788" t="str">
            <v>PRO GEN RIE CRED -  LEASING             1ND</v>
          </cell>
        </row>
        <row r="11789">
          <cell r="B11789" t="str">
            <v>14091302010301</v>
          </cell>
          <cell r="C11789" t="str">
            <v>PRO GEN RIE CRED -AVAN. EN CTA.         1ND</v>
          </cell>
        </row>
        <row r="11790">
          <cell r="B11790" t="str">
            <v>14091302010601</v>
          </cell>
          <cell r="C11790" t="str">
            <v>PROV GEN RIES CRED - PEQ EMPRESA|       1ND</v>
          </cell>
        </row>
        <row r="11791">
          <cell r="B11791" t="str">
            <v>14091302011101</v>
          </cell>
          <cell r="C11791" t="str">
            <v>PRO GEN RIE CRED -  DESCUENTOS          1ND</v>
          </cell>
        </row>
        <row r="11792">
          <cell r="B11792" t="str">
            <v>14091302011201</v>
          </cell>
          <cell r="C11792" t="str">
            <v>PRO GEN RIE CRED -  FACTORING           1ND</v>
          </cell>
        </row>
        <row r="11793">
          <cell r="B11793" t="str">
            <v>14091302011301</v>
          </cell>
          <cell r="C11793" t="str">
            <v>PRO GEN RIE CRED -  FIN. COMEX          1ND</v>
          </cell>
        </row>
        <row r="11794">
          <cell r="B11794" t="str">
            <v>14091302011401</v>
          </cell>
          <cell r="C11794" t="str">
            <v>PRO GEN RIE CRED -  LEASEBACK           1ND</v>
          </cell>
        </row>
        <row r="11795">
          <cell r="B11795" t="str">
            <v>14091302011601</v>
          </cell>
          <cell r="C11795" t="str">
            <v>PRO GEN RIE CRED -OTR. CRÃ‰. DIR.       1ND</v>
          </cell>
        </row>
        <row r="11796">
          <cell r="B11796" t="str">
            <v>14091302011701</v>
          </cell>
          <cell r="C11796" t="str">
            <v>PRO GEN RIE CRED -  PAGARÃ‰S            1ND</v>
          </cell>
        </row>
        <row r="11797">
          <cell r="B11797" t="str">
            <v>14091302011901</v>
          </cell>
          <cell r="C11797" t="str">
            <v>PRO GEN RIE CRED -  SOBREGIROS          1ND</v>
          </cell>
        </row>
        <row r="11798">
          <cell r="B11798" t="str">
            <v>14091302012001</v>
          </cell>
          <cell r="C11798" t="str">
            <v>PRO GEN RIE CRED -  TCR                 1ND</v>
          </cell>
        </row>
        <row r="11799">
          <cell r="B11799" t="str">
            <v>14091302020001</v>
          </cell>
          <cell r="C11799" t="str">
            <v>Peq. Emp. Generica                      1ND</v>
          </cell>
        </row>
        <row r="11800">
          <cell r="B11800" t="str">
            <v>14091302020101</v>
          </cell>
          <cell r="C11800" t="str">
            <v>PROVISION GEN OBLIG PROCICLICA - ARRENDA1ND</v>
          </cell>
        </row>
        <row r="11801">
          <cell r="B11801" t="str">
            <v>14091302020102</v>
          </cell>
          <cell r="C11801" t="str">
            <v>PROVISION GEN OBLIG PROCICLICA - AVANCE 1ND</v>
          </cell>
        </row>
        <row r="11802">
          <cell r="B11802" t="str">
            <v>14091302020103</v>
          </cell>
          <cell r="C11802" t="str">
            <v>PROVISION GEN OBLIG PROCICLICA - DESCUEN1ND</v>
          </cell>
        </row>
        <row r="11803">
          <cell r="B11803" t="str">
            <v>14091302020104</v>
          </cell>
          <cell r="C11803" t="str">
            <v>PROVISION GEN OBLIG PROCICLICA - FACTORI1ND</v>
          </cell>
        </row>
        <row r="11804">
          <cell r="B11804" t="str">
            <v>14091302020105</v>
          </cell>
          <cell r="C11804" t="str">
            <v>PROVISION GEN OBLIG PROCICLICA - FINANCI1ND</v>
          </cell>
        </row>
        <row r="11805">
          <cell r="B11805" t="str">
            <v>14091302020106</v>
          </cell>
          <cell r="C11805" t="str">
            <v>PROVISION GEN OBLIG PROCICLICA - LEASEBA1ND</v>
          </cell>
        </row>
        <row r="11806">
          <cell r="B11806" t="str">
            <v>14091302020107</v>
          </cell>
          <cell r="C11806" t="str">
            <v>PROVISION GEN OBLIG PROCICLICA - OTROS  1ND</v>
          </cell>
        </row>
        <row r="11807">
          <cell r="B11807" t="str">
            <v>14091302020108</v>
          </cell>
          <cell r="C11807" t="str">
            <v>PROVISION GEN OBLIG PROCICLICA - PAGARES1ND</v>
          </cell>
        </row>
        <row r="11808">
          <cell r="B11808" t="str">
            <v>14091302020109</v>
          </cell>
          <cell r="C11808" t="str">
            <v>PROVISION GEN OBLIG PROCICLICA - SOBREGI1ND</v>
          </cell>
        </row>
        <row r="11809">
          <cell r="B11809" t="str">
            <v>14091302020110</v>
          </cell>
          <cell r="C11809" t="str">
            <v>PROVISION GEN OBLIG PROCICLICA - TARJETA1ND</v>
          </cell>
        </row>
        <row r="11810">
          <cell r="B11810" t="str">
            <v>14091302020111</v>
          </cell>
          <cell r="C11810" t="str">
            <v>PRO PequeÃ±as Empresas - GEN OBL - COMP 1ND</v>
          </cell>
        </row>
        <row r="11811">
          <cell r="B11811" t="str">
            <v>14091302020201</v>
          </cell>
          <cell r="C11811" t="str">
            <v>PROVISION GEN OBLIG PROCICLICA - ARRENDA1ND</v>
          </cell>
        </row>
        <row r="11812">
          <cell r="B11812" t="str">
            <v>14091302020301</v>
          </cell>
          <cell r="C11812" t="str">
            <v>PROVISION GEN OBLIG PROCICLICA - AVANCE 1ND</v>
          </cell>
        </row>
        <row r="11813">
          <cell r="B11813" t="str">
            <v>14091302021101</v>
          </cell>
          <cell r="C11813" t="str">
            <v>PROVISION GEN OBLIG PROCICLICA - DESCUEN1ND</v>
          </cell>
        </row>
        <row r="11814">
          <cell r="B11814" t="str">
            <v>14091302021201</v>
          </cell>
          <cell r="C11814" t="str">
            <v>PROVISION GEN OBLIG PROCICLICA - FACTORI1ND</v>
          </cell>
        </row>
        <row r="11815">
          <cell r="B11815" t="str">
            <v>14091302021301</v>
          </cell>
          <cell r="C11815" t="str">
            <v>PROVISION GEN OBLIG PROCICLICA - FINANCI1ND</v>
          </cell>
        </row>
        <row r="11816">
          <cell r="B11816" t="str">
            <v>14091302021601</v>
          </cell>
          <cell r="C11816" t="str">
            <v>PROVISION GEN OBLIG PROCICLICA - Otros C1ND</v>
          </cell>
        </row>
        <row r="11817">
          <cell r="B11817" t="str">
            <v>14091302021701</v>
          </cell>
          <cell r="C11817" t="str">
            <v>PROVISION GEN OBLIG PROCICLICA - PAGARÂ±1ND</v>
          </cell>
        </row>
        <row r="11818">
          <cell r="B11818" t="str">
            <v>14091302021901</v>
          </cell>
          <cell r="C11818" t="str">
            <v>PRO GEN PROC  -  SOBREGIROS             1ND</v>
          </cell>
        </row>
        <row r="11819">
          <cell r="B11819" t="str">
            <v>14091302022001</v>
          </cell>
          <cell r="C11819" t="str">
            <v>PROVISION GEN OBLIG PROCICLICA - TARJETA1ND</v>
          </cell>
        </row>
        <row r="11820">
          <cell r="B11820" t="str">
            <v>14091303000001</v>
          </cell>
          <cell r="C11820" t="str">
            <v>Peq. Emp. Generica                      1ND</v>
          </cell>
        </row>
        <row r="11821">
          <cell r="B11821" t="str">
            <v>14091303000101</v>
          </cell>
          <cell r="C11821" t="str">
            <v>PRO PequeÃ±as Empresas - GEN VOLUNTARIA 1ND</v>
          </cell>
        </row>
        <row r="11822">
          <cell r="B11822" t="str">
            <v>14091303000102</v>
          </cell>
          <cell r="C11822" t="str">
            <v>PRO PequeÃ±as Empresas -  GEN VOLUNTARIA1ND</v>
          </cell>
        </row>
        <row r="11823">
          <cell r="B11823" t="str">
            <v>14091303000201</v>
          </cell>
          <cell r="C11823" t="str">
            <v>PROVISION GENERICA VOLUNTARIA PEQ EMPRES1ND</v>
          </cell>
        </row>
        <row r="11824">
          <cell r="B11824" t="str">
            <v>14091303001701</v>
          </cell>
          <cell r="C11824" t="str">
            <v>PRO PequeÃ±as Empresas - GEN VOL_ N_PROC1ND</v>
          </cell>
        </row>
        <row r="11825">
          <cell r="B11825" t="str">
            <v>14091303001702</v>
          </cell>
          <cell r="C11825" t="str">
            <v>PRO PEQUEÃ‘AS EMPRESAS - PROC VOLUNTARIA1 D</v>
          </cell>
        </row>
        <row r="11826">
          <cell r="B11826" t="str">
            <v>14091303001703</v>
          </cell>
          <cell r="C11826" t="str">
            <v>PRO PEQUEÃ‘AS EMPRESAS - PROC VOLUNTARIA1 D</v>
          </cell>
        </row>
        <row r="11827">
          <cell r="B11827" t="str">
            <v>14091303001704</v>
          </cell>
          <cell r="C11827" t="str">
            <v>PRO PEQUEÃ‘AS EMPRESAS - VOLUNTARIA COVI1 D</v>
          </cell>
        </row>
        <row r="11828">
          <cell r="B11828" t="str">
            <v>14091303001705</v>
          </cell>
          <cell r="C11828" t="str">
            <v>PRO PEQ EMP - VOLUNTARIA COVID BCOMERCIA1 D</v>
          </cell>
        </row>
        <row r="11829">
          <cell r="B11829" t="str">
            <v>14091305000101</v>
          </cell>
          <cell r="C11829" t="str">
            <v>PRO RIESGO_CAMB_CRED  PEQUEÃ‘AS EMPRESAS1ND</v>
          </cell>
        </row>
        <row r="11830">
          <cell r="B11830" t="str">
            <v>14091305000201</v>
          </cell>
          <cell r="C11830" t="str">
            <v>PRO GEN RIE CAMB -  LEASING             1ND</v>
          </cell>
        </row>
        <row r="11831">
          <cell r="B11831" t="str">
            <v>14091305000301</v>
          </cell>
          <cell r="C11831" t="str">
            <v>PRO GEN RIE CAMB -AVAN. EN CTA.         1ND</v>
          </cell>
        </row>
        <row r="11832">
          <cell r="B11832" t="str">
            <v>14091305001101</v>
          </cell>
          <cell r="C11832" t="str">
            <v>PRO GEN RIE CAMB -  DESCUENTOS          1ND</v>
          </cell>
        </row>
        <row r="11833">
          <cell r="B11833" t="str">
            <v>14091305001201</v>
          </cell>
          <cell r="C11833" t="str">
            <v>PRO GEN RIE CAMB -  FACTORING           1ND</v>
          </cell>
        </row>
        <row r="11834">
          <cell r="B11834" t="str">
            <v>14091305001301</v>
          </cell>
          <cell r="C11834" t="str">
            <v>PRO GEN RIE CAMB -  FIN. COMEX          1ND</v>
          </cell>
        </row>
        <row r="11835">
          <cell r="B11835" t="str">
            <v>14091305001401</v>
          </cell>
          <cell r="C11835" t="str">
            <v>PRO GEN RIE CAMB -  LEASEBACK           1ND</v>
          </cell>
        </row>
        <row r="11836">
          <cell r="B11836" t="str">
            <v>14091305001601</v>
          </cell>
          <cell r="C11836" t="str">
            <v>PRO GEN RIE CAMB -OTR. CRÃ‰. DIR.       1ND</v>
          </cell>
        </row>
        <row r="11837">
          <cell r="B11837" t="str">
            <v>14091305001701</v>
          </cell>
          <cell r="C11837" t="str">
            <v>PRO GEN RIE CAMB -  PAGARÃ‰S            1ND</v>
          </cell>
        </row>
        <row r="11838">
          <cell r="B11838" t="str">
            <v>14091305001901</v>
          </cell>
          <cell r="C11838" t="str">
            <v>PRO GEN RIE CAMB -  SOBREGIROS          1ND</v>
          </cell>
        </row>
        <row r="11839">
          <cell r="B11839" t="str">
            <v>14091305002001</v>
          </cell>
          <cell r="C11839" t="str">
            <v>PRO GEN RIE CAMB -  TCR                 1ND</v>
          </cell>
        </row>
        <row r="11840">
          <cell r="B11840" t="str">
            <v>14091306000101</v>
          </cell>
          <cell r="C11840" t="str">
            <v>PRO GEN  PEQUEÃ‘AS EMPRESAS             1ND</v>
          </cell>
        </row>
        <row r="11841">
          <cell r="B11841" t="str">
            <v>14091306000201</v>
          </cell>
          <cell r="C11841" t="str">
            <v>PRO GEN SOBR DEU -  LEASING             1ND</v>
          </cell>
        </row>
        <row r="11842">
          <cell r="B11842" t="str">
            <v>14091306000301</v>
          </cell>
          <cell r="C11842" t="str">
            <v>PRO GEN SOBR DEU -AVAN. EN CTA.         1ND</v>
          </cell>
        </row>
        <row r="11843">
          <cell r="B11843" t="str">
            <v>14091306001101</v>
          </cell>
          <cell r="C11843" t="str">
            <v>PRO GEN SOBR DEU -  DESCUENTOS          1ND</v>
          </cell>
        </row>
        <row r="11844">
          <cell r="B11844" t="str">
            <v>14091306001201</v>
          </cell>
          <cell r="C11844" t="str">
            <v>PRO GEN SOBR DEU -  FACTORING           1ND</v>
          </cell>
        </row>
        <row r="11845">
          <cell r="B11845" t="str">
            <v>14091306001301</v>
          </cell>
          <cell r="C11845" t="str">
            <v>PRO GEN SOBR DEU -  FIN. COMEX          1ND</v>
          </cell>
        </row>
        <row r="11846">
          <cell r="B11846" t="str">
            <v>14091306001401</v>
          </cell>
          <cell r="C11846" t="str">
            <v>PRO GEN SOBR DEU -  LEASEBACK           1ND</v>
          </cell>
        </row>
        <row r="11847">
          <cell r="B11847" t="str">
            <v>14091306001601</v>
          </cell>
          <cell r="C11847" t="str">
            <v>PRO GEN SOBR DEU -OTR. CRÃ‰. DIR.       1ND</v>
          </cell>
        </row>
        <row r="11848">
          <cell r="B11848" t="str">
            <v>14091306001701</v>
          </cell>
          <cell r="C11848" t="str">
            <v>PRO GEN SOBR DEU -  PAGARÃ‰S            1ND</v>
          </cell>
        </row>
        <row r="11849">
          <cell r="B11849" t="str">
            <v>14091306001901</v>
          </cell>
          <cell r="C11849" t="str">
            <v>PRO GEN SOBR DEU -  SOBREGIROS          1ND</v>
          </cell>
        </row>
        <row r="11850">
          <cell r="B11850" t="str">
            <v>14091306002001</v>
          </cell>
          <cell r="C11850" t="str">
            <v>PRO GEN SOBR DEU -  TCR                 1ND</v>
          </cell>
        </row>
        <row r="11851">
          <cell r="B11851" t="str">
            <v>14091307010100</v>
          </cell>
          <cell r="C11851" t="str">
            <v>PROV ESP REPROG COVID-19 - PEQ. EMPRESA 1ND</v>
          </cell>
        </row>
        <row r="11852">
          <cell r="B11852" t="str">
            <v>14091307020100</v>
          </cell>
          <cell r="C11852" t="str">
            <v>PROV ESP REPROG COVID-19 - PEQ. EMPRESA 1ND</v>
          </cell>
        </row>
        <row r="11853">
          <cell r="B11853" t="str">
            <v>15010100000111</v>
          </cell>
          <cell r="C11853" t="str">
            <v>GQPRUEBA                                1ND</v>
          </cell>
        </row>
        <row r="11854">
          <cell r="B11854" t="str">
            <v>15020101000103</v>
          </cell>
          <cell r="C11854" t="str">
            <v>VALRZ SWAPS MONEDAS ESPECULATIVO        1ND</v>
          </cell>
        </row>
        <row r="11855">
          <cell r="B11855" t="str">
            <v>15020101000104</v>
          </cell>
          <cell r="C11855" t="str">
            <v>INTERESES SWAPS MONEDAS ESPECULATIVO    1ND</v>
          </cell>
        </row>
        <row r="11856">
          <cell r="B11856" t="str">
            <v>15020101000105</v>
          </cell>
          <cell r="C11856" t="str">
            <v>VALRZ SWAPS MONEDAS ESPECULATIVO VTA    1ND</v>
          </cell>
        </row>
        <row r="11857">
          <cell r="B11857" t="str">
            <v>15020101000106</v>
          </cell>
          <cell r="C11857" t="str">
            <v>INT SWAPS MONEDAS ESPECULATIVO VTA      1ND</v>
          </cell>
        </row>
        <row r="11858">
          <cell r="B11858" t="str">
            <v>15020101000201</v>
          </cell>
          <cell r="C11858" t="str">
            <v>VENTAS A FUTURO-SWAPS(NEGOCIACION)      1ND</v>
          </cell>
        </row>
        <row r="11859">
          <cell r="B11859" t="str">
            <v>15020101000202</v>
          </cell>
          <cell r="C11859" t="str">
            <v>VENTAS A FUTURO-SWAPS INT(NEGOCIACION   1ND</v>
          </cell>
        </row>
        <row r="11860">
          <cell r="B11860" t="str">
            <v>15020101000203</v>
          </cell>
          <cell r="C11860" t="str">
            <v>COMPRAS A FUTURO - SWAP                 1ND</v>
          </cell>
        </row>
        <row r="11861">
          <cell r="B11861" t="str">
            <v>15020101000205</v>
          </cell>
          <cell r="C11861" t="str">
            <v>INTERESES SWAPS CURVA SOBERANA          1ND</v>
          </cell>
        </row>
        <row r="11862">
          <cell r="B11862" t="str">
            <v>15020101000206</v>
          </cell>
          <cell r="C11862" t="str">
            <v>VAL SWAP CURVA SOBERANA                 1ND</v>
          </cell>
        </row>
        <row r="11863">
          <cell r="B11863" t="str">
            <v>15020101000301</v>
          </cell>
          <cell r="C11863" t="str">
            <v>VALRZÂ  SWAPS CAMBIARIO NEG CXC         1ND</v>
          </cell>
        </row>
        <row r="11864">
          <cell r="B11864" t="str">
            <v>15020101000302</v>
          </cell>
          <cell r="C11864" t="str">
            <v>VALRZÂ  SWAPS MON NEG CXC               1ND</v>
          </cell>
        </row>
        <row r="11865">
          <cell r="B11865" t="str">
            <v>15020101000303</v>
          </cell>
          <cell r="C11865" t="str">
            <v>VALRZ SWAPS MONEDASÂ  COMPRA            1ND</v>
          </cell>
        </row>
        <row r="11866">
          <cell r="B11866" t="str">
            <v>15020101000401</v>
          </cell>
          <cell r="C11866" t="str">
            <v>INT X COBRAR SWAPS CAMBIARIO            1ND</v>
          </cell>
        </row>
        <row r="11867">
          <cell r="B11867" t="str">
            <v>15020101000402</v>
          </cell>
          <cell r="C11867" t="str">
            <v>INT X COBRAR SWAPS MONEDAS NEG          1ND</v>
          </cell>
        </row>
        <row r="11868">
          <cell r="B11868" t="str">
            <v>15020101000403</v>
          </cell>
          <cell r="C11868" t="str">
            <v>INT X COBRARÂ  SWAPS MONEDASÂ  COMPRA   1ND</v>
          </cell>
        </row>
        <row r="11869">
          <cell r="B11869" t="str">
            <v>15020101000404</v>
          </cell>
          <cell r="C11869" t="str">
            <v>MDC  Val Swaps de Monedas Vta NEGO FINAN1ND</v>
          </cell>
        </row>
        <row r="11870">
          <cell r="B11870" t="str">
            <v>15020101000405</v>
          </cell>
          <cell r="C11870" t="str">
            <v>MDC  Val Swaps de Monedas COMP NEGO FINA1ND</v>
          </cell>
        </row>
        <row r="11871">
          <cell r="B11871" t="str">
            <v>15020101000406</v>
          </cell>
          <cell r="C11871" t="str">
            <v>MDC  Int Swaps de Monedas Vta NEGO FINAN1ND</v>
          </cell>
        </row>
        <row r="11872">
          <cell r="B11872" t="str">
            <v>15020101000407</v>
          </cell>
          <cell r="C11872" t="str">
            <v>MDC  Int Swaps de Monedas COMP NEGO FINA1ND</v>
          </cell>
        </row>
        <row r="11873">
          <cell r="B11873" t="str">
            <v>15020101000409</v>
          </cell>
          <cell r="C11873" t="str">
            <v>MRX INT X COBRAR SWAPS CAMBIARIO VTA    1ND</v>
          </cell>
        </row>
        <row r="11874">
          <cell r="B11874" t="str">
            <v>15020101000410</v>
          </cell>
          <cell r="C11874" t="str">
            <v>MRX VAL SWAPS CAMBIARIO VTA             1ND</v>
          </cell>
        </row>
        <row r="11875">
          <cell r="B11875" t="str">
            <v>15020102000101</v>
          </cell>
          <cell r="C11875" t="str">
            <v>COMPRAS A FUT - FWD DELIVERY ESPEC ME   1ND</v>
          </cell>
        </row>
        <row r="11876">
          <cell r="B11876" t="str">
            <v>15020102000102</v>
          </cell>
          <cell r="C11876" t="str">
            <v>COMPRAS A FUTURO - FWD.NON DELIVERY E   1ND</v>
          </cell>
        </row>
        <row r="11877">
          <cell r="B11877" t="str">
            <v>15020102000105</v>
          </cell>
          <cell r="C11877" t="str">
            <v>FWD NDF CXC COMPRA OPCIONES             1ND</v>
          </cell>
        </row>
        <row r="11878">
          <cell r="B11878" t="str">
            <v>15020102000106</v>
          </cell>
          <cell r="C11878" t="str">
            <v>CUENTA POR COBRAR COBERTURA FORWARD VENT1ND</v>
          </cell>
        </row>
        <row r="11879">
          <cell r="B11879" t="str">
            <v>15020102000107</v>
          </cell>
          <cell r="C11879" t="str">
            <v>FWD NDF CXC COBERTURA ENTREGA COMPRA OPC1ND</v>
          </cell>
        </row>
        <row r="11880">
          <cell r="B11880" t="str">
            <v>15020102000108</v>
          </cell>
          <cell r="C11880" t="str">
            <v>FWD NDF CXC COBERTURA ENTREGA VENTA OPCI1ND</v>
          </cell>
        </row>
        <row r="11881">
          <cell r="B11881" t="str">
            <v>15020102000109</v>
          </cell>
          <cell r="C11881" t="str">
            <v>FWD NDF CXC compra swaps                1ND</v>
          </cell>
        </row>
        <row r="11882">
          <cell r="B11882" t="str">
            <v>15020102000110</v>
          </cell>
          <cell r="C11882" t="str">
            <v>Cuenta por cobrar cobertura Forward vent1ND</v>
          </cell>
        </row>
        <row r="11883">
          <cell r="B11883" t="str">
            <v>15020102000111</v>
          </cell>
          <cell r="C11883" t="str">
            <v>FWD NDF CXC cobertura entrega compra swa1ND</v>
          </cell>
        </row>
        <row r="11884">
          <cell r="B11884" t="str">
            <v>15020102000112</v>
          </cell>
          <cell r="C11884" t="str">
            <v>FWD NDF CXC cobertura entrega venta swap1ND</v>
          </cell>
        </row>
        <row r="11885">
          <cell r="B11885" t="str">
            <v>15020102000113</v>
          </cell>
          <cell r="C11885" t="str">
            <v>MDC VALORIZ FWD ACOT- COMPRA CTA POR COB1ND</v>
          </cell>
        </row>
        <row r="11886">
          <cell r="B11886" t="str">
            <v>15020102000114</v>
          </cell>
          <cell r="C11886" t="str">
            <v>MDC VALORIZ FWD LIMITADO- VENTA CTA POR 1ND</v>
          </cell>
        </row>
        <row r="11887">
          <cell r="B11887" t="str">
            <v>15020102000115</v>
          </cell>
          <cell r="C11887" t="str">
            <v>VAL FWD Vta OPC NDF CxC                 1ND</v>
          </cell>
        </row>
        <row r="11888">
          <cell r="B11888" t="str">
            <v>15020102000116</v>
          </cell>
          <cell r="C11888" t="str">
            <v>VAL FWD Vta OPC Full CxC                1ND</v>
          </cell>
        </row>
        <row r="11889">
          <cell r="B11889" t="str">
            <v>15020102000117</v>
          </cell>
          <cell r="C11889" t="str">
            <v>VAL FWD Comp OPC NDF CxC                1ND</v>
          </cell>
        </row>
        <row r="11890">
          <cell r="B11890" t="str">
            <v>15020102000118</v>
          </cell>
          <cell r="C11890" t="str">
            <v>VAL FWD Comp OPC FULL CxC               1ND</v>
          </cell>
        </row>
        <row r="11891">
          <cell r="B11891" t="str">
            <v>15020102000201</v>
          </cell>
          <cell r="C11891" t="str">
            <v>VENTAS A FUTURO - FWD.DELIVERY ESPECU   1ND</v>
          </cell>
        </row>
        <row r="11892">
          <cell r="B11892" t="str">
            <v>15020102000202</v>
          </cell>
          <cell r="C11892" t="str">
            <v>VENTAS A FUTURO - FWD.NON DELIVERY ES   1ND</v>
          </cell>
        </row>
        <row r="11893">
          <cell r="B11893" t="str">
            <v>15020102000203</v>
          </cell>
          <cell r="C11893" t="str">
            <v>MDC  Val Forward de Monedas COMP NEGO FI1ND</v>
          </cell>
        </row>
        <row r="11894">
          <cell r="B11894" t="str">
            <v>15020102000204</v>
          </cell>
          <cell r="C11894" t="str">
            <v>MDC  Val Forward de Monedas Vta NEGO FIN1ND</v>
          </cell>
        </row>
        <row r="11895">
          <cell r="B11895" t="str">
            <v>15020102000205</v>
          </cell>
          <cell r="C11895" t="str">
            <v>VENTAS A FUTURO - FWD.DIVISAS TESORERÃA1 D</v>
          </cell>
        </row>
        <row r="11896">
          <cell r="B11896" t="str">
            <v>15020102000206</v>
          </cell>
          <cell r="C11896" t="str">
            <v>COMPRAS A FUT - FWD.DIVISAS TESORERÃA  1 D</v>
          </cell>
        </row>
        <row r="11897">
          <cell r="B11897" t="str">
            <v>15020102000207</v>
          </cell>
          <cell r="C11897" t="str">
            <v>MRX  VAL FORWARD DE MONEDAS COMPRA NEGO 1ND</v>
          </cell>
        </row>
        <row r="11898">
          <cell r="B11898" t="str">
            <v>15020105000101</v>
          </cell>
          <cell r="C11898" t="str">
            <v>DERIV VALORIZ OPC COMP CALL AMER CTAXCOB1ND</v>
          </cell>
        </row>
        <row r="11899">
          <cell r="B11899" t="str">
            <v>15020105000102</v>
          </cell>
          <cell r="C11899" t="str">
            <v>DERIV VALORIZ OPC DEUD VTA CALL AMER CTA1ND</v>
          </cell>
        </row>
        <row r="11900">
          <cell r="B11900" t="str">
            <v>15020105000103</v>
          </cell>
          <cell r="C11900" t="str">
            <v>DERIV VALORIZ OPC COMPRAS PUTS AMER CTAX1ND</v>
          </cell>
        </row>
        <row r="11901">
          <cell r="B11901" t="str">
            <v>15020105000104</v>
          </cell>
          <cell r="C11901" t="str">
            <v>DERIV VALORIZ OPC VENTAS PUTS AMER CTAXC1ND</v>
          </cell>
        </row>
        <row r="11902">
          <cell r="B11902" t="str">
            <v>15020105000201</v>
          </cell>
          <cell r="C11902" t="str">
            <v>DERIV VALORIZ OPC COMP CALL EUROP CTAXCO1ND</v>
          </cell>
        </row>
        <row r="11903">
          <cell r="B11903" t="str">
            <v>15020105000202</v>
          </cell>
          <cell r="C11903" t="str">
            <v>DERIV VALORIZ OPC DEUD VTA CALL EUROP CT1ND</v>
          </cell>
        </row>
        <row r="11904">
          <cell r="B11904" t="str">
            <v>15020105000203</v>
          </cell>
          <cell r="C11904" t="str">
            <v>DERIV VALORIZ OPC COMPRAS PUTS EUROP CTA1ND</v>
          </cell>
        </row>
        <row r="11905">
          <cell r="B11905" t="str">
            <v>15020105000204</v>
          </cell>
          <cell r="C11905" t="str">
            <v>DERIV VALORIZ OPC VENTAS PUTS EUROP CTAX1ND</v>
          </cell>
        </row>
        <row r="11906">
          <cell r="B11906" t="str">
            <v>15020105000205</v>
          </cell>
          <cell r="C11906" t="str">
            <v>MDC VALORIZ OPC COMP CALL EUR CXC - DEP 1ND</v>
          </cell>
        </row>
        <row r="11907">
          <cell r="B11907" t="str">
            <v>15020105000206</v>
          </cell>
          <cell r="C11907" t="str">
            <v>MDC VALORIZ OPC DEUD VTA CALL EUR CXC - 1ND</v>
          </cell>
        </row>
        <row r="11908">
          <cell r="B11908" t="str">
            <v>15020105000207</v>
          </cell>
          <cell r="C11908" t="str">
            <v>MDC VALORIZ OPC COMP PUTS EUROP CXC - DE1ND</v>
          </cell>
        </row>
        <row r="11909">
          <cell r="B11909" t="str">
            <v>15020105000208</v>
          </cell>
          <cell r="C11909" t="str">
            <v>MDC VALORIZ OPC VENTAS PUTS EUROP CXC - 1ND</v>
          </cell>
        </row>
        <row r="11910">
          <cell r="B11910" t="str">
            <v>15020105000209</v>
          </cell>
          <cell r="C11910" t="str">
            <v>MDC VALORIZ OPC COMP CALL EUR CXC - FWD 1ND</v>
          </cell>
        </row>
        <row r="11911">
          <cell r="B11911" t="str">
            <v>15020105000210</v>
          </cell>
          <cell r="C11911" t="str">
            <v>MDC VALORIZ OPC DEUD VTA CALL EUR CXC - 1ND</v>
          </cell>
        </row>
        <row r="11912">
          <cell r="B11912" t="str">
            <v>15020105000211</v>
          </cell>
          <cell r="C11912" t="str">
            <v>MDC VALORIZ OPC COMP PUTS EUROP CXC - FW1ND</v>
          </cell>
        </row>
        <row r="11913">
          <cell r="B11913" t="str">
            <v>15020105000212</v>
          </cell>
          <cell r="C11913" t="str">
            <v>MDC VALORIZ OPC VENTAS PUTS EUROP CXC - 1ND</v>
          </cell>
        </row>
        <row r="11914">
          <cell r="B11914" t="str">
            <v>15020105000213</v>
          </cell>
          <cell r="C11914" t="str">
            <v>MDC VAL OPC  COMP CALL EUR CXC DEP DIV  1ND</v>
          </cell>
        </row>
        <row r="11915">
          <cell r="B11915" t="str">
            <v>15020105000214</v>
          </cell>
          <cell r="C11915" t="str">
            <v>MDC VAL OPC  VENT CALL EUR CXC DEP DIV  1ND</v>
          </cell>
        </row>
        <row r="11916">
          <cell r="B11916" t="str">
            <v>15020105000215</v>
          </cell>
          <cell r="C11916" t="str">
            <v>MDC VAL OPC COMP PUT EUR CXC DEP DIV    1ND</v>
          </cell>
        </row>
        <row r="11917">
          <cell r="B11917" t="str">
            <v>15020105000216</v>
          </cell>
          <cell r="C11917" t="str">
            <v>MDC VAL OPC VENT PUT EUR CXC DEP        1ND</v>
          </cell>
        </row>
        <row r="11918">
          <cell r="B11918" t="str">
            <v>15020105000217</v>
          </cell>
          <cell r="C11918" t="str">
            <v>MDC VAL OPC  COMP CALL CXC OPC DIV      1ND</v>
          </cell>
        </row>
        <row r="11919">
          <cell r="B11919" t="str">
            <v>15020105000218</v>
          </cell>
          <cell r="C11919" t="str">
            <v>MDC VAL OPC  VENT CALL CXC OPC DIV      1ND</v>
          </cell>
        </row>
        <row r="11920">
          <cell r="B11920" t="str">
            <v>15020105000219</v>
          </cell>
          <cell r="C11920" t="str">
            <v>MDC VAL OPC COMP PUT CXC OPC DIV        1ND</v>
          </cell>
        </row>
        <row r="11921">
          <cell r="B11921" t="str">
            <v>15020105000220</v>
          </cell>
          <cell r="C11921" t="str">
            <v>MDC VAL OPC VENT PUT CXC OPC DIV        1ND</v>
          </cell>
        </row>
        <row r="11922">
          <cell r="B11922" t="str">
            <v>15020201000301</v>
          </cell>
          <cell r="C11922" t="str">
            <v>SWAPS DE TASA DE INTERES-NEGOCIACION    1ND</v>
          </cell>
        </row>
        <row r="11923">
          <cell r="B11923" t="str">
            <v>15020201000302</v>
          </cell>
          <cell r="C11923" t="str">
            <v>INT X COBRAR SWAPS TASA INTERES NEG     1ND</v>
          </cell>
        </row>
        <row r="11924">
          <cell r="B11924" t="str">
            <v>15020201000303</v>
          </cell>
          <cell r="C11924" t="str">
            <v>CXC INTÂ  OVERNIGHT INTEREST SWAP       1ND</v>
          </cell>
        </row>
        <row r="11925">
          <cell r="B11925" t="str">
            <v>15020201000304</v>
          </cell>
          <cell r="C11925" t="str">
            <v>CXC VALÂ  OVERNIGHT INTEREST SWAP       1ND</v>
          </cell>
        </row>
        <row r="11926">
          <cell r="B11926" t="str">
            <v>15020201000305</v>
          </cell>
          <cell r="C11926" t="str">
            <v>MDC  Int Swaps de Monedas Vta NEGO FINAN1ND</v>
          </cell>
        </row>
        <row r="11927">
          <cell r="B11927" t="str">
            <v>15020201000306</v>
          </cell>
          <cell r="C11927" t="str">
            <v>MDC  Int Swaps de Monedas COMP NEGO FINA1ND</v>
          </cell>
        </row>
        <row r="11928">
          <cell r="B11928" t="str">
            <v>15020202000105</v>
          </cell>
          <cell r="C11928" t="str">
            <v>VALORIZ FWD TASA PAGO FIJO CTAXCOB      1ND</v>
          </cell>
        </row>
        <row r="11929">
          <cell r="B11929" t="str">
            <v>15020202000106</v>
          </cell>
          <cell r="C11929" t="str">
            <v>VALORIZ FWD TASA PAGO FLOTANTE CTAXCOB  1ND</v>
          </cell>
        </row>
        <row r="11930">
          <cell r="B11930" t="str">
            <v>15020702020102</v>
          </cell>
          <cell r="C11930" t="str">
            <v>BONOS SOBERANOS                         1ND</v>
          </cell>
        </row>
        <row r="11931">
          <cell r="B11931" t="str">
            <v>15030201010201</v>
          </cell>
          <cell r="C11931" t="str">
            <v>VENTAS A FUTURO-SWAP(CFC)               1ND</v>
          </cell>
        </row>
        <row r="11932">
          <cell r="B11932" t="str">
            <v>15030201010202</v>
          </cell>
          <cell r="C11932" t="str">
            <v>VENTAS A FUTURO-SWAP INT(CFC)           1ND</v>
          </cell>
        </row>
        <row r="11933">
          <cell r="B11933" t="str">
            <v>15030201010203</v>
          </cell>
          <cell r="C11933" t="str">
            <v>VALRZ COMPRA SWAPS MONEDAS COB CXC      1ND</v>
          </cell>
        </row>
        <row r="11934">
          <cell r="B11934" t="str">
            <v>15030201010204</v>
          </cell>
          <cell r="C11934" t="str">
            <v>VAL CCS COB BOFA                        1ND</v>
          </cell>
        </row>
        <row r="11935">
          <cell r="B11935" t="str">
            <v>15030201010205</v>
          </cell>
          <cell r="C11935" t="str">
            <v>Val CCS Cob GOLDMAN                     1ND</v>
          </cell>
        </row>
        <row r="11936">
          <cell r="B11936" t="str">
            <v>15030201010206</v>
          </cell>
          <cell r="C11936" t="str">
            <v>VAL CCS COB CITIBANK                    1ND</v>
          </cell>
        </row>
        <row r="11937">
          <cell r="B11937" t="str">
            <v>15030201010207</v>
          </cell>
          <cell r="C11937" t="str">
            <v>VAL CCS COB JP MORGAN                   1ND</v>
          </cell>
        </row>
        <row r="11938">
          <cell r="B11938" t="str">
            <v>15030201010208</v>
          </cell>
          <cell r="C11938" t="str">
            <v>VAL CCS COB BNP PARIBAS                 1ND</v>
          </cell>
        </row>
        <row r="11939">
          <cell r="B11939" t="str">
            <v>15030201010209</v>
          </cell>
          <cell r="C11939" t="str">
            <v>VAL CCS COB BBVA-ESPAÃ‘A                1ND</v>
          </cell>
        </row>
        <row r="11940">
          <cell r="B11940" t="str">
            <v>15030201010301</v>
          </cell>
          <cell r="C11940" t="str">
            <v>INT X COBRAR COMPRAS SWAPS MONEDAS COB  1ND</v>
          </cell>
        </row>
        <row r="11941">
          <cell r="B11941" t="str">
            <v>15030201010303</v>
          </cell>
          <cell r="C11941" t="str">
            <v>VALOR CCS COBERTURA                     1 D</v>
          </cell>
        </row>
        <row r="11942">
          <cell r="B11942" t="str">
            <v>15030201010304</v>
          </cell>
          <cell r="C11942" t="str">
            <v>VALORIZACION CCS COBERTURA MESA COMPRA  1ND</v>
          </cell>
        </row>
        <row r="11943">
          <cell r="B11943" t="str">
            <v>15030201010305</v>
          </cell>
          <cell r="C11943" t="str">
            <v>INT POR COBRAR CCS COBERTURA MESA COMPRA1ND</v>
          </cell>
        </row>
        <row r="11944">
          <cell r="B11944" t="str">
            <v>15030201010306</v>
          </cell>
          <cell r="C11944" t="str">
            <v>VALORIZACION CCS COBERTURA MESA VENTA   1ND</v>
          </cell>
        </row>
        <row r="11945">
          <cell r="B11945" t="str">
            <v>15030201010307</v>
          </cell>
          <cell r="C11945" t="str">
            <v>INT POR COBRAR CCS COBERTURA MESA VENTA 1ND</v>
          </cell>
        </row>
        <row r="11946">
          <cell r="B11946" t="str">
            <v>15030201010314</v>
          </cell>
          <cell r="C11946" t="str">
            <v>VAL CCS ADEUDADO 2027 BANK OF CHINA     1 D</v>
          </cell>
        </row>
        <row r="11947">
          <cell r="B11947" t="str">
            <v>15030202010101</v>
          </cell>
          <cell r="C11947" t="str">
            <v>INT X COBRAR SWAPS TASA INTERES COB     1ND</v>
          </cell>
        </row>
        <row r="11948">
          <cell r="B11948" t="str">
            <v>15030202010102</v>
          </cell>
          <cell r="C11948" t="str">
            <v>INT SWAPS DE TASAS DE INT ASOC. A DPRS  1ND</v>
          </cell>
        </row>
        <row r="11949">
          <cell r="B11949" t="str">
            <v>15030202010103</v>
          </cell>
          <cell r="C11949" t="str">
            <v>INT SWAPS DE TASAS DE INT ASOC.A DPRS   1ND</v>
          </cell>
        </row>
        <row r="11950">
          <cell r="B11950" t="str">
            <v>15030202010104</v>
          </cell>
          <cell r="C11950" t="str">
            <v>VENTAS A FUTURO-SWAP INT (IRS)          1ND</v>
          </cell>
        </row>
        <row r="11951">
          <cell r="B11951" t="str">
            <v>15030202010105</v>
          </cell>
          <cell r="C11951" t="str">
            <v>TASAS INT SWAP COBERTURA                1ND</v>
          </cell>
        </row>
        <row r="11952">
          <cell r="B11952" t="str">
            <v>15040100000201</v>
          </cell>
          <cell r="C11952" t="str">
            <v>CTAS.POR COB.- VENTA DE BIENES ADJUDIC  1ND</v>
          </cell>
        </row>
        <row r="11953">
          <cell r="B11953" t="str">
            <v>15040100000301</v>
          </cell>
          <cell r="C11953" t="str">
            <v>VENTA DE BIENES                         1ND</v>
          </cell>
        </row>
        <row r="11954">
          <cell r="B11954" t="str">
            <v>15040300000101</v>
          </cell>
          <cell r="C11954" t="str">
            <v>CTAS.POR COB.- ALQUILER DE BIENES       1YD</v>
          </cell>
        </row>
        <row r="11955">
          <cell r="B11955" t="str">
            <v>15040300000102</v>
          </cell>
          <cell r="C11955" t="str">
            <v>CTAS.POR COB. ALQUILER DE BIENES        1YD</v>
          </cell>
        </row>
        <row r="11956">
          <cell r="B11956" t="str">
            <v>15040501000101</v>
          </cell>
          <cell r="C11956" t="str">
            <v>DINERO ELECTRONICO - FIDEICOMISO        1ND</v>
          </cell>
        </row>
        <row r="11957">
          <cell r="B11957" t="str">
            <v>15040900000201</v>
          </cell>
          <cell r="C11957" t="str">
            <v>CXC FDO SIGMA - CAPITAL                 1ND</v>
          </cell>
        </row>
        <row r="11958">
          <cell r="B11958" t="str">
            <v>15040900000202</v>
          </cell>
          <cell r="C11958" t="str">
            <v>CXC FDO SIGMA - RENDIMIENTO             1ND</v>
          </cell>
        </row>
        <row r="11959">
          <cell r="B11959" t="str">
            <v>15040900000203</v>
          </cell>
          <cell r="C11959" t="str">
            <v>CUENTA POR COBRAR SPTX                  1ND</v>
          </cell>
        </row>
        <row r="11960">
          <cell r="B11960" t="str">
            <v>15040900000301</v>
          </cell>
          <cell r="C11960" t="str">
            <v>TRANSFERENCIA CARTERA                   1ND</v>
          </cell>
        </row>
        <row r="11961">
          <cell r="B11961" t="str">
            <v>15040900000302</v>
          </cell>
          <cell r="C11961" t="str">
            <v>MDC CXC SOBERANOS SHORT                 1ND</v>
          </cell>
        </row>
        <row r="11962">
          <cell r="B11962" t="str">
            <v>15050900000101</v>
          </cell>
          <cell r="C11962" t="str">
            <v>HPC CXC SEG.DESG.VEN-N/D CRED.VEH       1ND</v>
          </cell>
        </row>
        <row r="11963">
          <cell r="B11963" t="str">
            <v>15050900000102</v>
          </cell>
          <cell r="C11963" t="str">
            <v>HPC CXC SEG.DESG.VEN-N/D CRED.PERS      1ND</v>
          </cell>
        </row>
        <row r="11964">
          <cell r="B11964" t="str">
            <v>15050900000103</v>
          </cell>
          <cell r="C11964" t="str">
            <v>HPC CXC SEG.DESG.VEN-N/D CRED.EFECT     1ND</v>
          </cell>
        </row>
        <row r="11965">
          <cell r="B11965" t="str">
            <v>15050900000104</v>
          </cell>
          <cell r="C11965" t="str">
            <v>HPC CXC SEG.DESG.VEN-N/D CRED.REF       1ND</v>
          </cell>
        </row>
        <row r="11966">
          <cell r="B11966" t="str">
            <v>15050900000105</v>
          </cell>
          <cell r="C11966" t="str">
            <v>HPC CXC SEG.DESG.VEN-N/D CRED.HIP       1ND</v>
          </cell>
        </row>
        <row r="11967">
          <cell r="B11967" t="str">
            <v>15050900000106</v>
          </cell>
          <cell r="C11967" t="str">
            <v>HPC CXC SEG.DESG.JUD CRED.VEH           1ND</v>
          </cell>
        </row>
        <row r="11968">
          <cell r="B11968" t="str">
            <v>15050900000107</v>
          </cell>
          <cell r="C11968" t="str">
            <v>HPC CXC SEG.DESG.JUD CRED.PERS          1ND</v>
          </cell>
        </row>
        <row r="11969">
          <cell r="B11969" t="str">
            <v>15050900000108</v>
          </cell>
          <cell r="C11969" t="str">
            <v>HPC CXC SEG.DESG.JUD CRED.EFECT         1ND</v>
          </cell>
        </row>
        <row r="11970">
          <cell r="B11970" t="str">
            <v>15050900000109</v>
          </cell>
          <cell r="C11970" t="str">
            <v>HPC CXC SEG.DESG.JUD CRED.REF           1ND</v>
          </cell>
        </row>
        <row r="11971">
          <cell r="B11971" t="str">
            <v>15050900000110</v>
          </cell>
          <cell r="C11971" t="str">
            <v>HPC CXC SEG.DESG.JUD CRED.HIP           1ND</v>
          </cell>
        </row>
        <row r="11972">
          <cell r="B11972" t="str">
            <v>15050900000201</v>
          </cell>
          <cell r="C11972" t="str">
            <v>MYP SEG.DESGRAVAM VIG FINANC            1ND</v>
          </cell>
        </row>
        <row r="11973">
          <cell r="B11973" t="str">
            <v>15050900000202</v>
          </cell>
          <cell r="C11973" t="str">
            <v>MYP SEG.BIEN VIG FINANC                 1ND</v>
          </cell>
        </row>
        <row r="11974">
          <cell r="B11974" t="str">
            <v>15050900000203</v>
          </cell>
          <cell r="C11974" t="str">
            <v>HPC SEG DESG IND VIG-CRED.VEH           1ND</v>
          </cell>
        </row>
        <row r="11975">
          <cell r="B11975" t="str">
            <v>15050900000204</v>
          </cell>
          <cell r="C11975" t="str">
            <v>HPC SEG.PRENDA VIG (BP)                 1ND</v>
          </cell>
        </row>
        <row r="11976">
          <cell r="B11976" t="str">
            <v>15050900000205</v>
          </cell>
          <cell r="C11976" t="str">
            <v>HPC SEG DESG INDX MIVIVIE VIG           1ND</v>
          </cell>
        </row>
        <row r="11977">
          <cell r="B11977" t="str">
            <v>15050900000206</v>
          </cell>
          <cell r="C11977" t="str">
            <v>HPC SEG BIEN INDX MIVIVIE VIG           1ND</v>
          </cell>
        </row>
        <row r="11978">
          <cell r="B11978" t="str">
            <v>15050900000207</v>
          </cell>
          <cell r="C11978" t="str">
            <v>HPC SEG DESG IND VIG-CRED.REF           1ND</v>
          </cell>
        </row>
        <row r="11979">
          <cell r="B11979" t="str">
            <v>15050900000208</v>
          </cell>
          <cell r="C11979" t="str">
            <v>HPC SEG DESG IND VIG-CRED.PERS          1ND</v>
          </cell>
        </row>
        <row r="11980">
          <cell r="B11980" t="str">
            <v>15050900000301</v>
          </cell>
          <cell r="C11980" t="str">
            <v>IC SEGURO PRENDA VIGENTE                1ND</v>
          </cell>
        </row>
        <row r="11981">
          <cell r="B11981" t="str">
            <v>15050900000302</v>
          </cell>
          <cell r="C11981" t="str">
            <v>OTRAS CTAS PAG CTA DE 3EROS - S2        1ND</v>
          </cell>
        </row>
        <row r="11982">
          <cell r="B11982" t="str">
            <v>15050900000304</v>
          </cell>
          <cell r="C11982" t="str">
            <v>IC SEGURO DESGRAVAM VIGENTE             1ND</v>
          </cell>
        </row>
        <row r="11983">
          <cell r="B11983" t="str">
            <v>15050900000306</v>
          </cell>
          <cell r="C11983" t="str">
            <v>CHI SEG INMB PH MIVIVIEN EMPL           1ND</v>
          </cell>
        </row>
        <row r="11984">
          <cell r="B11984" t="str">
            <v>15050900000307</v>
          </cell>
          <cell r="C11984" t="str">
            <v>CHI SEG INMUEB MI VIVIENDA VIG          1ND</v>
          </cell>
        </row>
        <row r="11985">
          <cell r="B11985" t="str">
            <v>15050900000308</v>
          </cell>
          <cell r="C11985" t="str">
            <v>CHI SEG DESG VIG MIVIVIE EMPL           1ND</v>
          </cell>
        </row>
        <row r="11986">
          <cell r="B11986" t="str">
            <v>15050900000309</v>
          </cell>
          <cell r="C11986" t="str">
            <v>CHI SEG DESG MI VIVIENDA VIG            1ND</v>
          </cell>
        </row>
        <row r="11987">
          <cell r="B11987" t="str">
            <v>15050900000311</v>
          </cell>
          <cell r="C11987" t="str">
            <v>CHI SEG DSG VN HIP REC PROP VIG VAC.NCO 1ND</v>
          </cell>
        </row>
        <row r="11988">
          <cell r="B11988" t="str">
            <v>15050900000312</v>
          </cell>
          <cell r="C11988" t="str">
            <v>CHI SEG INMB VN HIP RC PRP VENC VAC.NCO 1ND</v>
          </cell>
        </row>
        <row r="11989">
          <cell r="B11989" t="str">
            <v>15050900000313</v>
          </cell>
          <cell r="C11989" t="str">
            <v>LIC SEGXCOB CREDXCONVENIO VIG           1ND</v>
          </cell>
        </row>
        <row r="11990">
          <cell r="B11990" t="str">
            <v>15050900000314</v>
          </cell>
          <cell r="C11990" t="str">
            <v>CHI SEG INMOB HIPOT RP RREE CONV VIG    1ND</v>
          </cell>
        </row>
        <row r="11991">
          <cell r="B11991" t="str">
            <v>15050900000315</v>
          </cell>
          <cell r="C11991" t="str">
            <v>CHI SEG DESG TECHO PROPIO VIG           1ND</v>
          </cell>
        </row>
        <row r="11992">
          <cell r="B11992" t="str">
            <v>15050900000316</v>
          </cell>
          <cell r="C11992" t="str">
            <v>CHI SEG INMUB TECHO PROPIO VIG          1ND</v>
          </cell>
        </row>
        <row r="11993">
          <cell r="B11993" t="str">
            <v>15050900000317</v>
          </cell>
          <cell r="C11993" t="str">
            <v>CHI SEG DSG INDX C. HIPOTEC VIG .NCO    1ND</v>
          </cell>
        </row>
        <row r="11994">
          <cell r="B11994" t="str">
            <v>15050900000318</v>
          </cell>
          <cell r="C11994" t="str">
            <v>CHI SEG INMB INDX C. HIP VIG VAC .N     1ND</v>
          </cell>
        </row>
        <row r="11995">
          <cell r="B11995" t="str">
            <v>15050900000320</v>
          </cell>
          <cell r="C11995" t="str">
            <v>CHI SEG DES MIVIVIE REC PROP VIG        1ND</v>
          </cell>
        </row>
        <row r="11996">
          <cell r="B11996" t="str">
            <v>15050900000321</v>
          </cell>
          <cell r="C11996" t="str">
            <v>CHI SEG INMUE MIVIVIE REC PROP VIG      1ND</v>
          </cell>
        </row>
        <row r="11997">
          <cell r="B11997" t="str">
            <v>15050900000322</v>
          </cell>
          <cell r="C11997" t="str">
            <v>HPC SEG.DESG.VIG HIPOT RP               1ND</v>
          </cell>
        </row>
        <row r="11998">
          <cell r="B11998" t="str">
            <v>15050900000323</v>
          </cell>
          <cell r="C11998" t="str">
            <v>HPC SEG.INMB.VIG HIPOT RP               1ND</v>
          </cell>
        </row>
        <row r="11999">
          <cell r="B11999" t="str">
            <v>15050900000324</v>
          </cell>
          <cell r="C11999" t="str">
            <v>HPC SEG.DESG.VIG MI VIV COFIDE          1ND</v>
          </cell>
        </row>
        <row r="12000">
          <cell r="B12000" t="str">
            <v>15050900000325</v>
          </cell>
          <cell r="C12000" t="str">
            <v>HPC SEG.INMB.VIG MI VIV COFIDE          1ND</v>
          </cell>
        </row>
        <row r="12001">
          <cell r="B12001" t="str">
            <v>15050900000326</v>
          </cell>
          <cell r="C12001" t="str">
            <v>HPC SEG.DESG.VIG MI VIV COF EMPL        1ND</v>
          </cell>
        </row>
        <row r="12002">
          <cell r="B12002" t="str">
            <v>15050900000327</v>
          </cell>
          <cell r="C12002" t="str">
            <v>HPC SEG.INMB.VIG MI VIV COF EMPL        1ND</v>
          </cell>
        </row>
        <row r="12003">
          <cell r="B12003" t="str">
            <v>15050900000328</v>
          </cell>
          <cell r="C12003" t="str">
            <v>HPC SEG.DESG.VIG RP EMPLEAD             1ND</v>
          </cell>
        </row>
        <row r="12004">
          <cell r="B12004" t="str">
            <v>15050900000329</v>
          </cell>
          <cell r="C12004" t="str">
            <v>HPC SEG.INMB.VIG RP EMPLEAD             1ND</v>
          </cell>
        </row>
        <row r="12005">
          <cell r="B12005" t="str">
            <v>15050900000330</v>
          </cell>
          <cell r="C12005" t="str">
            <v>HPC SEG.DESG.VIG TEC PROP COF           1ND</v>
          </cell>
        </row>
        <row r="12006">
          <cell r="B12006" t="str">
            <v>15050900000331</v>
          </cell>
          <cell r="C12006" t="str">
            <v>HPC SEG.INMB.VIG TEC PROP COF1100150    1ND</v>
          </cell>
        </row>
        <row r="12007">
          <cell r="B12007" t="str">
            <v>15050900000332</v>
          </cell>
          <cell r="C12007" t="str">
            <v>HPC SEG.DESG.VIG MI VIV REC PROP        1ND</v>
          </cell>
        </row>
        <row r="12008">
          <cell r="B12008" t="str">
            <v>15050900000333</v>
          </cell>
          <cell r="C12008" t="str">
            <v>HPC SEG.INMB.VIG MI VIV REC PRO         1ND</v>
          </cell>
        </row>
        <row r="12009">
          <cell r="B12009" t="str">
            <v>15050900000334</v>
          </cell>
          <cell r="C12009" t="str">
            <v>HPC SEG.DESG.VIG HIP. RP. BONOS         1ND</v>
          </cell>
        </row>
        <row r="12010">
          <cell r="B12010" t="str">
            <v>15050900000335</v>
          </cell>
          <cell r="C12010" t="str">
            <v>HPC SEG.INMB.VIG HIP. RP. BONOS         1ND</v>
          </cell>
        </row>
        <row r="12011">
          <cell r="B12011" t="str">
            <v>15050900000336</v>
          </cell>
          <cell r="C12011" t="str">
            <v>HPC SEG.DESG.VIG HIP RP ADJUDIC         1ND</v>
          </cell>
        </row>
        <row r="12012">
          <cell r="B12012" t="str">
            <v>15050900000337</v>
          </cell>
          <cell r="C12012" t="str">
            <v>HPC SEG.INMB.VIG HIP RP ADJUDIC         1ND</v>
          </cell>
        </row>
        <row r="12013">
          <cell r="B12013" t="str">
            <v>15050900000338</v>
          </cell>
          <cell r="C12013" t="str">
            <v>HPC SEG.DESG.VIG EFEC C/GARANT. H       1ND</v>
          </cell>
        </row>
        <row r="12014">
          <cell r="B12014" t="str">
            <v>15050900000339</v>
          </cell>
          <cell r="C12014" t="str">
            <v>HPC SEG.INMB.VIG EFEC C/GARANT. H       1ND</v>
          </cell>
        </row>
        <row r="12015">
          <cell r="B12015" t="str">
            <v>15050900000340</v>
          </cell>
          <cell r="C12015" t="str">
            <v>HPC SEG.DESG.VIG EFEC C/GARANT.HIP.EM   1ND</v>
          </cell>
        </row>
        <row r="12016">
          <cell r="B12016" t="str">
            <v>15050900000341</v>
          </cell>
          <cell r="C12016" t="str">
            <v>HPC SEG.INMB.VIG EFEC C/GARANT.HIP.EM   1ND</v>
          </cell>
        </row>
        <row r="12017">
          <cell r="B12017" t="str">
            <v>15050900000342</v>
          </cell>
          <cell r="C12017" t="str">
            <v>HPC SEG.DESG.VIG EFEC REGULAR.          1ND</v>
          </cell>
        </row>
        <row r="12018">
          <cell r="B12018" t="str">
            <v>15050900000343</v>
          </cell>
          <cell r="C12018" t="str">
            <v>HPC SEG.INMB.VIG EFEC REGULAR.          1ND</v>
          </cell>
        </row>
        <row r="12019">
          <cell r="B12019" t="str">
            <v>15050900000344</v>
          </cell>
          <cell r="C12019" t="str">
            <v>CHI SEG DESG MI HOGAR VIG               1ND</v>
          </cell>
        </row>
        <row r="12020">
          <cell r="B12020" t="str">
            <v>15050900000345</v>
          </cell>
          <cell r="C12020" t="str">
            <v>CHI SEG INMB MI HOGAR VIG               1ND</v>
          </cell>
        </row>
        <row r="12021">
          <cell r="B12021" t="str">
            <v>15050900000346</v>
          </cell>
          <cell r="C12021" t="str">
            <v>CHI SEG INMUEB BT MIVIVIEN VIG          1ND</v>
          </cell>
        </row>
        <row r="12022">
          <cell r="B12022" t="str">
            <v>15050900000347</v>
          </cell>
          <cell r="C12022" t="str">
            <v>CHI SEG DESG BT MIVIVIEN VIG            1ND</v>
          </cell>
        </row>
        <row r="12023">
          <cell r="B12023" t="str">
            <v>15050900000350</v>
          </cell>
          <cell r="C12023" t="str">
            <v>HPC SEG.DESG.VIG MI HOGAR               1ND</v>
          </cell>
        </row>
        <row r="12024">
          <cell r="B12024" t="str">
            <v>15050900000351</v>
          </cell>
          <cell r="C12024" t="str">
            <v>HPC SEG.INMB.VIG MI HOGAR               1ND</v>
          </cell>
        </row>
        <row r="12025">
          <cell r="B12025" t="str">
            <v>15050900000352</v>
          </cell>
          <cell r="C12025" t="str">
            <v>HPC SEG.DESG.VIG HIPOT.FINAN.PROV       1ND</v>
          </cell>
        </row>
        <row r="12026">
          <cell r="B12026" t="str">
            <v>15050900000353</v>
          </cell>
          <cell r="C12026" t="str">
            <v>HPC SEG.INMB.VIG HIPOT.FINAN.PROV       1ND</v>
          </cell>
        </row>
        <row r="12027">
          <cell r="B12027" t="str">
            <v>15050900000411</v>
          </cell>
          <cell r="C12027" t="str">
            <v>HPC SEG.DESG.VIG  MI VIV REC PROP. EM   1ND</v>
          </cell>
        </row>
        <row r="12028">
          <cell r="B12028" t="str">
            <v>15050900000412</v>
          </cell>
          <cell r="C12028" t="str">
            <v>HPC SEG.INMB.VIG  MI VIV REC PROP.EMP   1ND</v>
          </cell>
        </row>
        <row r="12029">
          <cell r="B12029" t="str">
            <v>15050900000901</v>
          </cell>
          <cell r="C12029" t="str">
            <v>150509000009010000                      1ND</v>
          </cell>
        </row>
        <row r="12030">
          <cell r="B12030" t="str">
            <v>15050900000902</v>
          </cell>
          <cell r="C12030" t="str">
            <v>REMESAS POR COBRAR COSTA MAR            1ND</v>
          </cell>
        </row>
        <row r="12031">
          <cell r="B12031" t="str">
            <v>15050900000903</v>
          </cell>
          <cell r="C12031" t="str">
            <v>REMESAS POR COBRAR AFEX                 1ND</v>
          </cell>
        </row>
        <row r="12032">
          <cell r="B12032" t="str">
            <v>15050900000904</v>
          </cell>
          <cell r="C12032" t="str">
            <v>REMESAS POR COBRAR BANCOMERCIO          1ND</v>
          </cell>
        </row>
        <row r="12033">
          <cell r="B12033" t="str">
            <v>15050900000905</v>
          </cell>
          <cell r="C12033" t="str">
            <v>REMESAS POR COBRAR DOLEX                1ND</v>
          </cell>
        </row>
        <row r="12034">
          <cell r="B12034" t="str">
            <v>15050900000906</v>
          </cell>
          <cell r="C12034" t="str">
            <v>REMESAS POR COBRAR BTS                  1ND</v>
          </cell>
        </row>
        <row r="12035">
          <cell r="B12035" t="str">
            <v>15050900000907</v>
          </cell>
          <cell r="C12035" t="str">
            <v>REMESAS POR COBRAR TRAVELEX             1ND</v>
          </cell>
        </row>
        <row r="12036">
          <cell r="B12036" t="str">
            <v>15050900000908</v>
          </cell>
          <cell r="C12036" t="str">
            <v>REMESAS POR COBRAR UNITELLER            1ND</v>
          </cell>
        </row>
        <row r="12037">
          <cell r="B12037" t="str">
            <v>15050900000910</v>
          </cell>
          <cell r="C12037" t="str">
            <v>REMESAS POR COBRAR GARMEY               1ND</v>
          </cell>
        </row>
        <row r="12038">
          <cell r="B12038" t="str">
            <v>15050900000917</v>
          </cell>
          <cell r="C12038" t="str">
            <v>COM X COB REMESAS EXT BTS               1ND</v>
          </cell>
        </row>
        <row r="12039">
          <cell r="B12039" t="str">
            <v>15050900000923</v>
          </cell>
          <cell r="C12039" t="str">
            <v>REMESAS POR COBRAR B.H.D                1ND</v>
          </cell>
        </row>
        <row r="12040">
          <cell r="B12040" t="str">
            <v>15050900000924</v>
          </cell>
          <cell r="C12040" t="str">
            <v>REMESAS POR COBRAR                      1ND</v>
          </cell>
        </row>
        <row r="12041">
          <cell r="B12041" t="str">
            <v>15050900000926</v>
          </cell>
          <cell r="C12041" t="str">
            <v>REMESAS POR COBRAR RIAENVIA             1ND</v>
          </cell>
        </row>
        <row r="12042">
          <cell r="B12042" t="str">
            <v>15050900000934</v>
          </cell>
          <cell r="C12042" t="str">
            <v>COM REMESAS POR COBRAR RIAENVIA         1ND</v>
          </cell>
        </row>
        <row r="12043">
          <cell r="B12043" t="str">
            <v>15050900000948</v>
          </cell>
          <cell r="C12043" t="str">
            <v>REMESAS POR COBRAR GIROSOL              1ND</v>
          </cell>
        </row>
        <row r="12044">
          <cell r="B12044" t="str">
            <v>15050900000963</v>
          </cell>
          <cell r="C12044" t="str">
            <v>REMESAS POR COBRAR MONEY GRAM           1ND</v>
          </cell>
        </row>
        <row r="12045">
          <cell r="B12045" t="str">
            <v>15050900000964</v>
          </cell>
          <cell r="C12045" t="str">
            <v>LPC LS IGV ARRENDAMIENTO VIG            1ND</v>
          </cell>
        </row>
        <row r="12046">
          <cell r="B12046" t="str">
            <v>15050900000965</v>
          </cell>
          <cell r="C12046" t="str">
            <v>LPC LS IGV ARRENDAMIENTO VEN            1ND</v>
          </cell>
        </row>
        <row r="12047">
          <cell r="B12047" t="str">
            <v>15050900000966</v>
          </cell>
          <cell r="C12047" t="str">
            <v>MYP CODIFE FONDO CRECER                 1ND</v>
          </cell>
        </row>
        <row r="12048">
          <cell r="B12048" t="str">
            <v>15050900000967</v>
          </cell>
          <cell r="C12048" t="str">
            <v>MYP CODIFE REACTIVA PERU                1ND</v>
          </cell>
        </row>
        <row r="12049">
          <cell r="B12049" t="str">
            <v>15050900000968</v>
          </cell>
          <cell r="C12049" t="str">
            <v>MYP REFINANC. COVID-19 SG VIG           1ND</v>
          </cell>
        </row>
        <row r="12050">
          <cell r="B12050" t="str">
            <v>15050900000969</v>
          </cell>
          <cell r="C12050" t="str">
            <v>REMESAS POR COBRAR BANCO ESTADO DE CHILE1 D</v>
          </cell>
        </row>
        <row r="12051">
          <cell r="B12051" t="str">
            <v>15050900000970</v>
          </cell>
          <cell r="C12051" t="str">
            <v>PRUEBA MACC KAREN                       1ND</v>
          </cell>
        </row>
        <row r="12052">
          <cell r="B12052" t="str">
            <v>15050900000971</v>
          </cell>
          <cell r="C12052" t="str">
            <v>PRUEBA MACC KAREN 2                     1ND</v>
          </cell>
        </row>
        <row r="12053">
          <cell r="B12053" t="str">
            <v>15050900000972</v>
          </cell>
          <cell r="C12053" t="str">
            <v>HPC MICROPRESTAMOS SEG DESG VEN         1 D</v>
          </cell>
        </row>
        <row r="12054">
          <cell r="B12054" t="str">
            <v>15050900000973</v>
          </cell>
          <cell r="C12054" t="str">
            <v>HPC MICROPRESTAMOS SEG DESG VIG         1 D</v>
          </cell>
        </row>
        <row r="12055">
          <cell r="B12055" t="str">
            <v>15050900000974</v>
          </cell>
          <cell r="C12055" t="str">
            <v>HPC SEG DESG IND VIG-CRED.PERS GRUPO IBK1 D</v>
          </cell>
        </row>
        <row r="12056">
          <cell r="B12056" t="str">
            <v>15050900000975</v>
          </cell>
          <cell r="C12056" t="str">
            <v>HPC CXC SEG.DESG.VEN-N/D CONV GRUPO IBK 1 D</v>
          </cell>
        </row>
        <row r="12057">
          <cell r="B12057" t="str">
            <v>15060200000203</v>
          </cell>
          <cell r="C12057" t="str">
            <v>TC COM X COB VISA VIGENTE               1ND</v>
          </cell>
        </row>
        <row r="12058">
          <cell r="B12058" t="str">
            <v>15060200000204</v>
          </cell>
          <cell r="C12058" t="str">
            <v>TC COM X COB AMEX VIGENTE               1ND</v>
          </cell>
        </row>
        <row r="12059">
          <cell r="B12059" t="str">
            <v>15060200000205</v>
          </cell>
          <cell r="C12059" t="str">
            <v>TC COM X COB MC VIGENTE                 1ND</v>
          </cell>
        </row>
        <row r="12060">
          <cell r="B12060" t="str">
            <v>15060200000206</v>
          </cell>
          <cell r="C12060" t="str">
            <v>TC COM X COB AMEX VIGENTE SAT           1ND</v>
          </cell>
        </row>
        <row r="12061">
          <cell r="B12061" t="str">
            <v>15060200000207</v>
          </cell>
          <cell r="C12061" t="str">
            <v>TC COM X COB VISA VIGENTE SAT           1ND</v>
          </cell>
        </row>
        <row r="12062">
          <cell r="B12062" t="str">
            <v>15060200000208</v>
          </cell>
          <cell r="C12062" t="str">
            <v>TC COM X COB MC VIGENTE SAT             1ND</v>
          </cell>
        </row>
        <row r="12063">
          <cell r="B12063" t="str">
            <v>15060200000209</v>
          </cell>
          <cell r="C12063" t="str">
            <v>TC COM X COB VEA VIGENTE SAT            1ND</v>
          </cell>
        </row>
        <row r="12064">
          <cell r="B12064" t="str">
            <v>15060200000210</v>
          </cell>
          <cell r="C12064" t="str">
            <v>TC COM X COB EDPYME ACCESO CREDITICIO VI1ND</v>
          </cell>
        </row>
        <row r="12065">
          <cell r="B12065" t="str">
            <v>15060200000211</v>
          </cell>
          <cell r="C12065" t="str">
            <v>TC COM X COB FINANCIERA UNO VIG SAT     1ND</v>
          </cell>
        </row>
        <row r="12066">
          <cell r="B12066" t="str">
            <v>15060200000212</v>
          </cell>
          <cell r="C12066" t="str">
            <v>TC COM X COB FINANCIERA UNIVERSAL VIG SA1ND</v>
          </cell>
        </row>
        <row r="12067">
          <cell r="B12067" t="str">
            <v>15060200000213</v>
          </cell>
          <cell r="C12067" t="str">
            <v>TC COM X COB INTERBANK VIG SAT          1ND</v>
          </cell>
        </row>
        <row r="12068">
          <cell r="B12068" t="str">
            <v>15060200000214</v>
          </cell>
          <cell r="C12068" t="str">
            <v>TC COM X COB REPROGRAMACION VIG SAT     1ND</v>
          </cell>
        </row>
        <row r="12069">
          <cell r="B12069" t="str">
            <v>15060200000215</v>
          </cell>
          <cell r="C12069" t="str">
            <v>TC COM X COB VISA MITSUI AUTO FINANCE VI1ND</v>
          </cell>
        </row>
        <row r="12070">
          <cell r="B12070" t="str">
            <v>15060200000216</v>
          </cell>
          <cell r="C12070" t="str">
            <v>BTC COM X COB VISA USO VARIAS           1ND</v>
          </cell>
        </row>
        <row r="12071">
          <cell r="B12071" t="str">
            <v>15060200000217</v>
          </cell>
          <cell r="C12071" t="str">
            <v>BTC COM X COB VISA VIGENTE              1ND</v>
          </cell>
        </row>
        <row r="12072">
          <cell r="B12072" t="str">
            <v>15060600000101</v>
          </cell>
          <cell r="C12072" t="str">
            <v>COM POR COBRAR SERVICIOS DE COBR        1YD</v>
          </cell>
        </row>
        <row r="12073">
          <cell r="B12073" t="str">
            <v>15060801000102</v>
          </cell>
          <cell r="C12073" t="str">
            <v>COMISIONES POR COBRAR FIDEICOMISOS      1YD</v>
          </cell>
        </row>
        <row r="12074">
          <cell r="B12074" t="str">
            <v>15060802000101</v>
          </cell>
          <cell r="C12074" t="str">
            <v>COM.POR COBRAR-COM CONFIANZA            1ND</v>
          </cell>
        </row>
        <row r="12075">
          <cell r="B12075" t="str">
            <v>15060802000102</v>
          </cell>
          <cell r="C12075" t="str">
            <v>COM.POR COBRAR-COM CONFIANZA            1YD</v>
          </cell>
        </row>
        <row r="12076">
          <cell r="B12076" t="str">
            <v>15061900000102</v>
          </cell>
          <cell r="C12076" t="str">
            <v>IC COM GTOS ADM VIG CONVENIO            1ND</v>
          </cell>
        </row>
        <row r="12077">
          <cell r="B12077" t="str">
            <v>15061900000103</v>
          </cell>
          <cell r="C12077" t="str">
            <v>IC COM- ADM VIGENTE                     1ND</v>
          </cell>
        </row>
        <row r="12078">
          <cell r="B12078" t="str">
            <v>15061900000105</v>
          </cell>
          <cell r="C12078" t="str">
            <v>CHI COM MI VIV EMPLEAD ME VIG           1ND</v>
          </cell>
        </row>
        <row r="12079">
          <cell r="B12079" t="str">
            <v>15061900000106</v>
          </cell>
          <cell r="C12079" t="str">
            <v>CHI COM GTO ADM CRED HIPOTECARIOS VIG   1ND</v>
          </cell>
        </row>
        <row r="12080">
          <cell r="B12080" t="str">
            <v>15061900000107</v>
          </cell>
          <cell r="C12080" t="str">
            <v>CHI COM GT. AD INDX C. HIPOT VIG .NCO   1ND</v>
          </cell>
        </row>
        <row r="12081">
          <cell r="B12081" t="str">
            <v>15061900000109</v>
          </cell>
          <cell r="C12081" t="str">
            <v>SCF COMISIONES POR COBRAR CARTA FIANZA  1ND</v>
          </cell>
        </row>
        <row r="12082">
          <cell r="B12082" t="str">
            <v>15061900000201</v>
          </cell>
          <cell r="C12082" t="str">
            <v>TC COM X COB AMEX VIGENTE               1ND</v>
          </cell>
        </row>
        <row r="12083">
          <cell r="B12083" t="str">
            <v>15061900000202</v>
          </cell>
          <cell r="C12083" t="str">
            <v>TC COM X COB MC VIGENTE                 1ND</v>
          </cell>
        </row>
        <row r="12084">
          <cell r="B12084" t="str">
            <v>15070100000202</v>
          </cell>
          <cell r="C12084" t="str">
            <v>RECLAMO-CONSUMO NO RECONOCIDO           1ND</v>
          </cell>
        </row>
        <row r="12085">
          <cell r="B12085" t="str">
            <v>15070100000203</v>
          </cell>
          <cell r="C12085" t="str">
            <v>RECLAMO SUNAT 2010                      1ND</v>
          </cell>
        </row>
        <row r="12086">
          <cell r="B12086" t="str">
            <v>15070100000204</v>
          </cell>
          <cell r="C12086" t="str">
            <v>CTA POR COBRAR POR DEVOLUCIONES RIMAC   1ND</v>
          </cell>
        </row>
        <row r="12087">
          <cell r="B12087" t="str">
            <v>15070100000205</v>
          </cell>
          <cell r="C12087" t="str">
            <v>CTA POR COBRAR POR DEVOLUCIONES CHUBB   1ND</v>
          </cell>
        </row>
        <row r="12088">
          <cell r="B12088" t="str">
            <v>15070100000206</v>
          </cell>
          <cell r="C12088" t="str">
            <v>CTA POR COBRAR POR DEVOLUCIONES AUNA    1ND</v>
          </cell>
        </row>
        <row r="12089">
          <cell r="B12089" t="str">
            <v>15070100000207</v>
          </cell>
          <cell r="C12089" t="str">
            <v>CTA POR COBRAR POR DEVOLUCIONES RED SALU1ND</v>
          </cell>
        </row>
        <row r="12090">
          <cell r="B12090" t="str">
            <v>15070100000208</v>
          </cell>
          <cell r="C12090" t="str">
            <v>CTA POR COBRAR POR DEVOLUCIONES INTERSEG1ND</v>
          </cell>
        </row>
        <row r="12091">
          <cell r="B12091" t="str">
            <v>15070100000209</v>
          </cell>
          <cell r="C12091" t="str">
            <v>CTA POR COBRAR POR DEVOLUCIONES A365    1ND</v>
          </cell>
        </row>
        <row r="12092">
          <cell r="B12092" t="str">
            <v>15070100000210</v>
          </cell>
          <cell r="C12092" t="str">
            <v>CTA POR COBRAR POR DEVOLUCIONES SIGMA DE1ND</v>
          </cell>
        </row>
        <row r="12093">
          <cell r="B12093" t="str">
            <v>15070100000211</v>
          </cell>
          <cell r="C12093" t="str">
            <v>RECLAMO SUNAT VARIOS                    1ND</v>
          </cell>
        </row>
        <row r="12094">
          <cell r="B12094" t="str">
            <v>15070200000101</v>
          </cell>
          <cell r="C12094" t="str">
            <v>ADELANTO SUELDOS-EMP Y MAN              1ND</v>
          </cell>
        </row>
        <row r="12095">
          <cell r="B12095" t="str">
            <v>15070200000102</v>
          </cell>
          <cell r="C12095" t="str">
            <v>ADELANTO SUELDOS- GERENCIA              1ND</v>
          </cell>
        </row>
        <row r="12096">
          <cell r="B12096" t="str">
            <v>15070200000301</v>
          </cell>
          <cell r="C12096" t="str">
            <v>ADELANTO GRATIFICACION EMP Y MAN        1ND</v>
          </cell>
        </row>
        <row r="12097">
          <cell r="B12097" t="str">
            <v>15070200000302</v>
          </cell>
          <cell r="C12097" t="str">
            <v>ADELANTO GRATIFICACION - GERENCIA       1ND</v>
          </cell>
        </row>
        <row r="12098">
          <cell r="B12098" t="str">
            <v>15070200000303</v>
          </cell>
          <cell r="C12098" t="str">
            <v>ADELANTO GRATIFICACION EXTRAORD.        1ND</v>
          </cell>
        </row>
        <row r="12099">
          <cell r="B12099" t="str">
            <v>15070200000309</v>
          </cell>
          <cell r="C12099" t="str">
            <v>ADELANTO OTRAS GRATIFICACIONES          1ND</v>
          </cell>
        </row>
        <row r="12100">
          <cell r="B12100" t="str">
            <v>15070200000801</v>
          </cell>
          <cell r="C12100" t="str">
            <v>PAN EMPLEADOS                           1ND</v>
          </cell>
        </row>
        <row r="12101">
          <cell r="B12101" t="str">
            <v>15070200000901</v>
          </cell>
          <cell r="C12101" t="str">
            <v>ADELANTO UTILIDAD EMPLEADOS             1ND</v>
          </cell>
        </row>
        <row r="12102">
          <cell r="B12102" t="str">
            <v>15070200000903</v>
          </cell>
          <cell r="C12102" t="str">
            <v>ADELANTO ESCOLARIDAD-EMPLEADOS          1ND</v>
          </cell>
        </row>
        <row r="12103">
          <cell r="B12103" t="str">
            <v>15070200000905</v>
          </cell>
          <cell r="C12103" t="str">
            <v>ADELANTO PRESTAMOS ESPECIAL-EMPL        1ND</v>
          </cell>
        </row>
        <row r="12104">
          <cell r="B12104" t="str">
            <v>15070200000908</v>
          </cell>
          <cell r="C12104" t="str">
            <v>ADELANTO PRACTICANTES                   1ND</v>
          </cell>
        </row>
        <row r="12105">
          <cell r="B12105" t="str">
            <v>15070200000909</v>
          </cell>
          <cell r="C12105" t="str">
            <v>ADELANTO VACACIONAL                     1ND</v>
          </cell>
        </row>
        <row r="12106">
          <cell r="B12106" t="str">
            <v>15070300000301</v>
          </cell>
          <cell r="C12106" t="str">
            <v>SINIESTROS POR RECUPERAR                1ND</v>
          </cell>
        </row>
        <row r="12107">
          <cell r="B12107" t="str">
            <v>15070405000101</v>
          </cell>
          <cell r="C12107" t="str">
            <v>LPC LEASING RESUELTO VENC PTE RE        1ND</v>
          </cell>
        </row>
        <row r="12108">
          <cell r="B12108" t="str">
            <v>15070406000101</v>
          </cell>
          <cell r="C12108" t="str">
            <v>LPC LEASING RESUELTO COB JUD PTE RECUP  1ND</v>
          </cell>
        </row>
        <row r="12109">
          <cell r="B12109" t="str">
            <v>15070900000102</v>
          </cell>
          <cell r="C12109" t="str">
            <v>INCIDENCIAS INCOMING-TARJETA DE CREDITO 1ND</v>
          </cell>
        </row>
        <row r="12110">
          <cell r="B12110" t="str">
            <v>15070900000103</v>
          </cell>
          <cell r="C12110" t="str">
            <v>150709000001030000                      1ND</v>
          </cell>
        </row>
        <row r="12111">
          <cell r="B12111" t="str">
            <v>15070900000108</v>
          </cell>
          <cell r="C12111" t="str">
            <v>TC CUENTAS POR COBRAR TARJETA           1ND</v>
          </cell>
        </row>
        <row r="12112">
          <cell r="B12112" t="str">
            <v>15070900000109</v>
          </cell>
          <cell r="C12112" t="str">
            <v>CUENTAS POR COBRAR A PACIFICO TD        1ND</v>
          </cell>
        </row>
        <row r="12113">
          <cell r="B12113" t="str">
            <v>15070900000110</v>
          </cell>
          <cell r="C12113" t="str">
            <v>CUENTAS POR COBRAR A PACIFICO           1ND</v>
          </cell>
        </row>
        <row r="12114">
          <cell r="B12114" t="str">
            <v>15070900000111</v>
          </cell>
          <cell r="C12114" t="str">
            <v>CTAS POR COBRAR - CONTROVERSIAS         1ND</v>
          </cell>
        </row>
        <row r="12115">
          <cell r="B12115" t="str">
            <v>15070900000112</v>
          </cell>
          <cell r="C12115" t="str">
            <v>INCIDENCIAS FACTURAS                    1ND</v>
          </cell>
        </row>
        <row r="12116">
          <cell r="B12116" t="str">
            <v>15070900000113</v>
          </cell>
          <cell r="C12116" t="str">
            <v>CUENTA POR COBRAR GPTC                  1YD</v>
          </cell>
        </row>
        <row r="12117">
          <cell r="B12117" t="str">
            <v>15070900000114</v>
          </cell>
          <cell r="C12117" t="str">
            <v>$ST NO PROCESADO TARJETA DE DEBITO      1ND</v>
          </cell>
        </row>
        <row r="12118">
          <cell r="B12118" t="str">
            <v>15070900000115</v>
          </cell>
          <cell r="C12118" t="str">
            <v>CTA X COBRAR DIF X REG IB-DIRECTO       1YD</v>
          </cell>
        </row>
        <row r="12119">
          <cell r="B12119" t="str">
            <v>15070900000116</v>
          </cell>
          <cell r="C12119" t="str">
            <v>CXC PROYECTO DE INV REGIONAL            1ND</v>
          </cell>
        </row>
        <row r="12120">
          <cell r="B12120" t="str">
            <v>15070900000117</v>
          </cell>
          <cell r="C12120" t="str">
            <v>CTA POR COBRAR MONEY GRAM               1ND</v>
          </cell>
        </row>
        <row r="12121">
          <cell r="B12121" t="str">
            <v>15070900000118</v>
          </cell>
          <cell r="C12121" t="str">
            <v>CXC DIVERSAS PROCESOS FINANCIEROS       1YD</v>
          </cell>
        </row>
        <row r="12122">
          <cell r="B12122" t="str">
            <v>15070900000120</v>
          </cell>
          <cell r="C12122" t="str">
            <v>CTA POR COBRAR DINERO ELECTRONICO       1ND</v>
          </cell>
        </row>
        <row r="12123">
          <cell r="B12123" t="str">
            <v>15070900000121</v>
          </cell>
          <cell r="C12123" t="str">
            <v>150709000001210000                      1ND</v>
          </cell>
        </row>
        <row r="12124">
          <cell r="B12124" t="str">
            <v>15070900000122</v>
          </cell>
          <cell r="C12124" t="str">
            <v>TC  CUENTAS POR COBRAR OP. TARJETA DE CR1YD</v>
          </cell>
        </row>
        <row r="12125">
          <cell r="B12125" t="str">
            <v>15070900000123</v>
          </cell>
          <cell r="C12125" t="str">
            <v>TC RETENCIONES JUDICIALES               1ND</v>
          </cell>
        </row>
        <row r="12126">
          <cell r="B12126" t="str">
            <v>15070900000201</v>
          </cell>
          <cell r="C12126" t="str">
            <v>DEPOSITO EN GTIA - ALQUILERES           1ND</v>
          </cell>
        </row>
        <row r="12127">
          <cell r="B12127" t="str">
            <v>15070900000203</v>
          </cell>
          <cell r="C12127" t="str">
            <v>DEPOSITO DE GARANTIA EN CTA DE CAVALI   1ND</v>
          </cell>
        </row>
        <row r="12128">
          <cell r="B12128" t="str">
            <v>15070900000204</v>
          </cell>
          <cell r="C12128" t="str">
            <v>OP DE CAMBIO T+XÂ DERIVADOS             1YD</v>
          </cell>
        </row>
        <row r="12129">
          <cell r="B12129" t="str">
            <v>15070900000205</v>
          </cell>
          <cell r="C12129" t="str">
            <v>CTA POR COB X GARANTIA ALQ  A SPSA      1ND</v>
          </cell>
        </row>
        <row r="12130">
          <cell r="B12130" t="str">
            <v>15070900000303</v>
          </cell>
          <cell r="C12130" t="str">
            <v>IISA GESTION                            1ND</v>
          </cell>
        </row>
        <row r="12131">
          <cell r="B12131" t="str">
            <v>15070900000304</v>
          </cell>
          <cell r="C12131" t="str">
            <v>RONEPETO INVERMEST LTD                  1ND</v>
          </cell>
        </row>
        <row r="12132">
          <cell r="B12132" t="str">
            <v>15070900000307</v>
          </cell>
          <cell r="C12132" t="str">
            <v>INTERTITULOS                            1ND</v>
          </cell>
        </row>
        <row r="12133">
          <cell r="B12133" t="str">
            <v>15070900000308</v>
          </cell>
          <cell r="C12133" t="str">
            <v>INTERSEGUROS                            1ND</v>
          </cell>
        </row>
        <row r="12134">
          <cell r="B12134" t="str">
            <v>15070900000309</v>
          </cell>
          <cell r="C12134" t="str">
            <v>INTERCORP PERU LTD                      1ND</v>
          </cell>
        </row>
        <row r="12135">
          <cell r="B12135" t="str">
            <v>15070900000311</v>
          </cell>
          <cell r="C12135" t="str">
            <v>CONTACTO SERVICIOS DE CREDITOS Y COBR   1ND</v>
          </cell>
        </row>
        <row r="12136">
          <cell r="B12136" t="str">
            <v>15070900000313</v>
          </cell>
          <cell r="C12136" t="str">
            <v>INTERFONDOS                             1ND</v>
          </cell>
        </row>
        <row r="12137">
          <cell r="B12137" t="str">
            <v>15070900000315</v>
          </cell>
          <cell r="C12137" t="str">
            <v>CORPORAC INMOBILIARIA DE LA UNION 60    1ND</v>
          </cell>
        </row>
        <row r="12138">
          <cell r="B12138" t="str">
            <v>15070900000316</v>
          </cell>
          <cell r="C12138" t="str">
            <v>CENTURA SAP                             1ND</v>
          </cell>
        </row>
        <row r="12139">
          <cell r="B12139" t="str">
            <v>15070900000317</v>
          </cell>
          <cell r="C12139" t="str">
            <v>SUPERMERCADOS PERUANOS                  1ND</v>
          </cell>
        </row>
        <row r="12140">
          <cell r="B12140" t="str">
            <v>15070900000319</v>
          </cell>
          <cell r="C12140" t="str">
            <v>INTERCORP FINANCIAL SERVICES INC        1ND</v>
          </cell>
        </row>
        <row r="12141">
          <cell r="B12141" t="str">
            <v>15070900000320</v>
          </cell>
          <cell r="C12141" t="str">
            <v>URBI                                    1ND</v>
          </cell>
        </row>
        <row r="12142">
          <cell r="B12142" t="str">
            <v>15070900000321</v>
          </cell>
          <cell r="C12142" t="str">
            <v>NESSUS                                  1ND</v>
          </cell>
        </row>
        <row r="12143">
          <cell r="B12143" t="str">
            <v>15070900000322</v>
          </cell>
          <cell r="C12143" t="str">
            <v>CINEPLANET                              1ND</v>
          </cell>
        </row>
        <row r="12144">
          <cell r="B12144" t="str">
            <v>15070900000323</v>
          </cell>
          <cell r="C12144" t="str">
            <v>TEBCA                                   1ND</v>
          </cell>
        </row>
        <row r="12145">
          <cell r="B12145" t="str">
            <v>15070900000324</v>
          </cell>
          <cell r="C12145" t="str">
            <v>TIENDAS PERUANAS                        1ND</v>
          </cell>
        </row>
        <row r="12146">
          <cell r="B12146" t="str">
            <v>15070900000325</v>
          </cell>
          <cell r="C12146" t="str">
            <v>INTELIGO BANK                           1ND</v>
          </cell>
        </row>
        <row r="12147">
          <cell r="B12147" t="str">
            <v>15070900000326</v>
          </cell>
          <cell r="C12147" t="str">
            <v>150709000003260000                      1ND</v>
          </cell>
        </row>
        <row r="12148">
          <cell r="B12148" t="str">
            <v>15070900000327</v>
          </cell>
          <cell r="C12148" t="str">
            <v>SERVITEBCA                              1ND</v>
          </cell>
        </row>
        <row r="12149">
          <cell r="B12149" t="str">
            <v>15070900000406</v>
          </cell>
          <cell r="C12149" t="str">
            <v>CTAS POR COBRAR SERVICIOS TELEFONIA     1ND</v>
          </cell>
        </row>
        <row r="12150">
          <cell r="B12150" t="str">
            <v>15070900000501</v>
          </cell>
          <cell r="C12150" t="str">
            <v>COM-ADM-CONVENIO-IC                     1ND</v>
          </cell>
        </row>
        <row r="12151">
          <cell r="B12151" t="str">
            <v>15070900000502</v>
          </cell>
          <cell r="C12151" t="str">
            <v>COM- ADM-IC                             1ND</v>
          </cell>
        </row>
        <row r="12152">
          <cell r="B12152" t="str">
            <v>15070900000503</v>
          </cell>
          <cell r="C12152" t="str">
            <v>OPERACIONES DE CREDITOS                 1YD</v>
          </cell>
        </row>
        <row r="12153">
          <cell r="B12153" t="str">
            <v>15070900000517</v>
          </cell>
          <cell r="C12153" t="str">
            <v>CUENTA POR COBRAR INVERSIONES           1YD</v>
          </cell>
        </row>
        <row r="12154">
          <cell r="B12154" t="str">
            <v>15070900000518</v>
          </cell>
          <cell r="C12154" t="str">
            <v>INT PEND PAGO BONOS GLOB BRASIL         1ND</v>
          </cell>
        </row>
        <row r="12155">
          <cell r="B12155" t="str">
            <v>15070900000601</v>
          </cell>
          <cell r="C12155" t="str">
            <v>INT PEND PAGO DPV SOBERANOS             1ND</v>
          </cell>
        </row>
        <row r="12156">
          <cell r="B12156" t="str">
            <v>15070900000602</v>
          </cell>
          <cell r="C12156" t="str">
            <v>INT PEND PAGO DPV GLOBALES DISPONIBLE   1ND</v>
          </cell>
        </row>
        <row r="12157">
          <cell r="B12157" t="str">
            <v>15070900000603</v>
          </cell>
          <cell r="C12157" t="str">
            <v>INT PEND PAGO DPV B ORGANISMOS FINANC   1ND</v>
          </cell>
        </row>
        <row r="12158">
          <cell r="B12158" t="str">
            <v>15070900000604</v>
          </cell>
          <cell r="C12158" t="str">
            <v>INT PEND PAGO DPV B ORDINARIOS SOC. F   1ND</v>
          </cell>
        </row>
        <row r="12159">
          <cell r="B12159" t="str">
            <v>15070900000605</v>
          </cell>
          <cell r="C12159" t="str">
            <v>INT PEND PAGO DPVB SUBORDINADOS SOC FINA1ND</v>
          </cell>
        </row>
        <row r="12160">
          <cell r="B12160" t="str">
            <v>15070900000606</v>
          </cell>
          <cell r="C12160" t="str">
            <v>INT PEND PAGO DPV B TITULIZADOS SOC F   1ND</v>
          </cell>
        </row>
        <row r="12161">
          <cell r="B12161" t="str">
            <v>15070900000607</v>
          </cell>
          <cell r="C12161" t="str">
            <v>INT PEND PAGO DPV B ORDINARIOS SOC.NO   1ND</v>
          </cell>
        </row>
        <row r="12162">
          <cell r="B12162" t="str">
            <v>15070900000609</v>
          </cell>
          <cell r="C12162" t="str">
            <v>INT PEND PAGO DPV B HIPOTECARIOS        1ND</v>
          </cell>
        </row>
        <row r="12163">
          <cell r="B12163" t="str">
            <v>15070900000610</v>
          </cell>
          <cell r="C12163" t="str">
            <v>INT PEND PAGO DPV B ARREND FINANC       1ND</v>
          </cell>
        </row>
        <row r="12164">
          <cell r="B12164" t="str">
            <v>15070900000611</v>
          </cell>
          <cell r="C12164" t="str">
            <v>INT PEND PAGO B GLOBAL TRADING          1ND</v>
          </cell>
        </row>
        <row r="12165">
          <cell r="B12165" t="str">
            <v>15070900000612</v>
          </cell>
          <cell r="C12165" t="str">
            <v>INT PEND PAGO B SOBERANOS TRADING       1ND</v>
          </cell>
        </row>
        <row r="12166">
          <cell r="B12166" t="str">
            <v>15070900000613</v>
          </cell>
          <cell r="C12166" t="str">
            <v>INT PEND PAGO CDN EMP SIST FINANCIERO   1ND</v>
          </cell>
        </row>
        <row r="12167">
          <cell r="B12167" t="str">
            <v>15070900000801</v>
          </cell>
          <cell r="C12167" t="str">
            <v>PAN RESULTADO TRANSF AL EXTERIOR        1ND</v>
          </cell>
        </row>
        <row r="12168">
          <cell r="B12168" t="str">
            <v>15070900000802</v>
          </cell>
          <cell r="C12168" t="str">
            <v>PAN VARIOS                              1ND</v>
          </cell>
        </row>
        <row r="12169">
          <cell r="B12169" t="str">
            <v>15070900000803</v>
          </cell>
          <cell r="C12169" t="str">
            <v>PAN CASA MATRIZ                         1ND</v>
          </cell>
        </row>
        <row r="12170">
          <cell r="B12170" t="str">
            <v>15070900000804</v>
          </cell>
          <cell r="C12170" t="str">
            <v>PAN ....                                1ND</v>
          </cell>
        </row>
        <row r="12171">
          <cell r="B12171" t="str">
            <v>15070900000805</v>
          </cell>
          <cell r="C12171" t="str">
            <v>PAN EMPRESAS RELACIONADAS               1ND</v>
          </cell>
        </row>
        <row r="12172">
          <cell r="B12172" t="str">
            <v>15070900000901</v>
          </cell>
          <cell r="C12172" t="str">
            <v>150709000009010000                      1ND</v>
          </cell>
        </row>
        <row r="12173">
          <cell r="B12173" t="str">
            <v>15070900000903</v>
          </cell>
          <cell r="C12173" t="str">
            <v>LPC LS EN PROCESO INT.PRE CUOTAS        1ND</v>
          </cell>
        </row>
        <row r="12174">
          <cell r="B12174" t="str">
            <v>15070900000906</v>
          </cell>
          <cell r="C12174" t="str">
            <v>LPC IGV POR COBRAR LEASING MES          1ND</v>
          </cell>
        </row>
        <row r="12175">
          <cell r="B12175" t="str">
            <v>15070900000909</v>
          </cell>
          <cell r="C12175" t="str">
            <v>CUENTAS POR COBRAR-SUNAT                1YD</v>
          </cell>
        </row>
        <row r="12176">
          <cell r="B12176" t="str">
            <v>15070900000911</v>
          </cell>
          <cell r="C12176" t="str">
            <v>CTAS POR COBRAR PROVISIONADAS           1YD</v>
          </cell>
        </row>
        <row r="12177">
          <cell r="B12177" t="str">
            <v>15070900000912</v>
          </cell>
          <cell r="C12177" t="str">
            <v>BL OTRAS CUENTAS POR COBRAR             1ND</v>
          </cell>
        </row>
        <row r="12178">
          <cell r="B12178" t="str">
            <v>15070900000918</v>
          </cell>
          <cell r="C12178" t="str">
            <v>OPCION COMPRA-LEASING LPC               1ND</v>
          </cell>
        </row>
        <row r="12179">
          <cell r="B12179" t="str">
            <v>15070900000919</v>
          </cell>
          <cell r="C12179" t="str">
            <v>CTA POR COBRAR GLOBALNET                1ND</v>
          </cell>
        </row>
        <row r="12180">
          <cell r="B12180" t="str">
            <v>15070900000921</v>
          </cell>
          <cell r="C12180" t="str">
            <v>CTA X COBRAR BIG FAMILY TELEFONICA      1ND</v>
          </cell>
        </row>
        <row r="12181">
          <cell r="B12181" t="str">
            <v>15070900000923</v>
          </cell>
          <cell r="C12181" t="str">
            <v>RECHAZOS IB DIRECTO                     1YD</v>
          </cell>
        </row>
        <row r="12182">
          <cell r="B12182" t="str">
            <v>15070900000925</v>
          </cell>
          <cell r="C12182" t="str">
            <v>CTAS X COBRAR VARIOS                    1YD</v>
          </cell>
        </row>
        <row r="12183">
          <cell r="B12183" t="str">
            <v>15070900000926</v>
          </cell>
          <cell r="C12183" t="str">
            <v>CTA X COBRAR BIG FAMILY CLARO           1ND</v>
          </cell>
        </row>
        <row r="12184">
          <cell r="B12184" t="str">
            <v>15070900000927</v>
          </cell>
          <cell r="C12184" t="str">
            <v>OPER POR REG - TIENDAS                  1YD</v>
          </cell>
        </row>
        <row r="12185">
          <cell r="B12185" t="str">
            <v>15070900000930</v>
          </cell>
          <cell r="C12185" t="str">
            <v>POR COBRAR DPR CITIBANK                 1ND</v>
          </cell>
        </row>
        <row r="12186">
          <cell r="B12186" t="str">
            <v>15070900000931</v>
          </cell>
          <cell r="C12186" t="str">
            <v>POR COBRAR DPR JP MORGAN CHASE          1ND</v>
          </cell>
        </row>
        <row r="12187">
          <cell r="B12187" t="str">
            <v>15070900000936</v>
          </cell>
          <cell r="C12187" t="str">
            <v>150709000009360000                      1ND</v>
          </cell>
        </row>
        <row r="12188">
          <cell r="B12188" t="str">
            <v>15070900000938</v>
          </cell>
          <cell r="C12188" t="str">
            <v>CTAS X COBRAR - CASTIGOS OPERATIVOS     1ND</v>
          </cell>
        </row>
        <row r="12189">
          <cell r="B12189" t="str">
            <v>15070900000939</v>
          </cell>
          <cell r="C12189" t="str">
            <v>CTAS X COBRAR - TITULIZADORA            1ND</v>
          </cell>
        </row>
        <row r="12190">
          <cell r="B12190" t="str">
            <v>15070900000941</v>
          </cell>
          <cell r="C12190" t="str">
            <v>POR COBRAR DPR JP MORGAN CHASE          1ND</v>
          </cell>
        </row>
        <row r="12191">
          <cell r="B12191" t="str">
            <v>15070900000944</v>
          </cell>
          <cell r="C12191" t="str">
            <v>CTAS X COBRAR VARIAS-COMEX              1ND</v>
          </cell>
        </row>
        <row r="12192">
          <cell r="B12192" t="str">
            <v>15070900000946</v>
          </cell>
          <cell r="C12192" t="str">
            <v>SERVICIOS CORPORATIVOS TI               1YD</v>
          </cell>
        </row>
        <row r="12193">
          <cell r="B12193" t="str">
            <v>15070900000947</v>
          </cell>
          <cell r="C12193" t="str">
            <v>CTA POR COBRAR CONSTRUCCIONES LOCALES AL1ND</v>
          </cell>
        </row>
        <row r="12194">
          <cell r="B12194" t="str">
            <v>15070900000948</v>
          </cell>
          <cell r="C12194" t="str">
            <v>CPC BIG FAMILY 2014-2016                1ND</v>
          </cell>
        </row>
        <row r="12195">
          <cell r="B12195" t="str">
            <v>15070900000949</v>
          </cell>
          <cell r="C12195" t="str">
            <v>EJECUCION FIDEICOMISO                   1YD</v>
          </cell>
        </row>
        <row r="12196">
          <cell r="B12196" t="str">
            <v>15070900000950</v>
          </cell>
          <cell r="C12196" t="str">
            <v>CTAS X COBRAR REPO INTER CAPITAL        1ND</v>
          </cell>
        </row>
        <row r="12197">
          <cell r="B12197" t="str">
            <v>15070900000951</v>
          </cell>
          <cell r="C12197" t="str">
            <v>CTAS X COBRAR REPO INTER INTERESES      1ND</v>
          </cell>
        </row>
        <row r="12198">
          <cell r="B12198" t="str">
            <v>15071101000101</v>
          </cell>
          <cell r="C12198" t="str">
            <v>C X C REPO INTERBANCARIO ADQUIRIENTE    1ND</v>
          </cell>
        </row>
        <row r="12199">
          <cell r="B12199" t="str">
            <v>15071101000102</v>
          </cell>
          <cell r="C12199" t="str">
            <v>CDN BCRP PACTOS DE RECOMPRA             1ND</v>
          </cell>
        </row>
        <row r="12200">
          <cell r="B12200" t="str">
            <v>15071900000101</v>
          </cell>
          <cell r="C12200" t="str">
            <v>SEG DE PROTECCION -TARJETA DE CREDITO   1ND</v>
          </cell>
        </row>
        <row r="12201">
          <cell r="B12201" t="str">
            <v>15071900000102</v>
          </cell>
          <cell r="C12201" t="str">
            <v>INCIDENCIAS INCOMING-TARJETA DE CREDITO 1ND</v>
          </cell>
        </row>
        <row r="12202">
          <cell r="B12202" t="str">
            <v>15071900000103</v>
          </cell>
          <cell r="C12202" t="str">
            <v>CUENTA POR COBRAR RENOVACION TC         1ND</v>
          </cell>
        </row>
        <row r="12203">
          <cell r="B12203" t="str">
            <v>15071900000108</v>
          </cell>
          <cell r="C12203" t="str">
            <v>TC CUENTAS POR COBRAR TARJETA           1ND</v>
          </cell>
        </row>
        <row r="12204">
          <cell r="B12204" t="str">
            <v>15071900000109</v>
          </cell>
          <cell r="C12204" t="str">
            <v>CUENTA POR COBRAR A SEGURO TD           1ND</v>
          </cell>
        </row>
        <row r="12205">
          <cell r="B12205" t="str">
            <v>15071900000110</v>
          </cell>
          <cell r="C12205" t="str">
            <v>CUENTA POR COBRAR A SEGURO TC           1ND</v>
          </cell>
        </row>
        <row r="12206">
          <cell r="B12206" t="str">
            <v>15071900000111</v>
          </cell>
          <cell r="C12206" t="str">
            <v>CTAS POR COBRAR - CONTROVERSIAS         1ND</v>
          </cell>
        </row>
        <row r="12207">
          <cell r="B12207" t="str">
            <v>15071900000114</v>
          </cell>
          <cell r="C12207" t="str">
            <v>$ST NO PROCESADO TARJETA DE DEBITO      1ND</v>
          </cell>
        </row>
        <row r="12208">
          <cell r="B12208" t="str">
            <v>15071900000116</v>
          </cell>
          <cell r="C12208" t="str">
            <v>CXC PROYECTO DE INV REGIONAL            1ND</v>
          </cell>
        </row>
        <row r="12209">
          <cell r="B12209" t="str">
            <v>15071900000117</v>
          </cell>
          <cell r="C12209" t="str">
            <v>COMISIONES REMESAS-PROVISIONES          1ND</v>
          </cell>
        </row>
        <row r="12210">
          <cell r="B12210" t="str">
            <v>15071900000118</v>
          </cell>
          <cell r="C12210" t="str">
            <v>CXC MARGIN CALL                         1YD</v>
          </cell>
        </row>
        <row r="12211">
          <cell r="B12211" t="str">
            <v>15071900000119</v>
          </cell>
          <cell r="C12211" t="str">
            <v>CXC OPERACIONES FORWARD                 1YD</v>
          </cell>
        </row>
        <row r="12212">
          <cell r="B12212" t="str">
            <v>15071900000120</v>
          </cell>
          <cell r="C12212" t="str">
            <v>BIM CTA POR COBRAR DINERO ELECTRONICO   1ND</v>
          </cell>
        </row>
        <row r="12213">
          <cell r="B12213" t="str">
            <v>15071900000121</v>
          </cell>
          <cell r="C12213" t="str">
            <v>CUENTAS POR COBRAR OPERACIONES LEASING  1YD</v>
          </cell>
        </row>
        <row r="12214">
          <cell r="B12214" t="str">
            <v>15071900000122</v>
          </cell>
          <cell r="C12214" t="str">
            <v>TCÂ  CUENTAS POR COBRAR OP. TARJETA DE C1YD</v>
          </cell>
        </row>
        <row r="12215">
          <cell r="B12215" t="str">
            <v>15071900000123</v>
          </cell>
          <cell r="C12215" t="str">
            <v>CUENTA POR COBRAR CARGO NO PROCESADO    1ND</v>
          </cell>
        </row>
        <row r="12216">
          <cell r="B12216" t="str">
            <v>15071900000124</v>
          </cell>
          <cell r="C12216" t="str">
            <v>FONDEO BILLETERA ELECTRONICA            1ND</v>
          </cell>
        </row>
        <row r="12217">
          <cell r="B12217" t="str">
            <v>15071900000125</v>
          </cell>
          <cell r="C12217" t="str">
            <v>DEPOSITOS MAE - PROSEGUR                1ND</v>
          </cell>
        </row>
        <row r="12218">
          <cell r="B12218" t="str">
            <v>15071900000126</v>
          </cell>
          <cell r="C12218" t="str">
            <v>TRANSITORIA BIM - BIMER                 1ND</v>
          </cell>
        </row>
        <row r="12219">
          <cell r="B12219" t="str">
            <v>15071900000127</v>
          </cell>
          <cell r="C12219" t="str">
            <v>CUENTAS POR COBRAR TASACIONES           1YD</v>
          </cell>
        </row>
        <row r="12220">
          <cell r="B12220" t="str">
            <v>15071900000128</v>
          </cell>
          <cell r="C12220" t="str">
            <v>CUENTA POR COBRAR JCB                   1ND</v>
          </cell>
        </row>
        <row r="12221">
          <cell r="B12221" t="str">
            <v>15071900000201</v>
          </cell>
          <cell r="C12221" t="str">
            <v>DEPOSITO EN GTIA - ALQUILERES           1ND</v>
          </cell>
        </row>
        <row r="12222">
          <cell r="B12222" t="str">
            <v>15071900000203</v>
          </cell>
          <cell r="C12222" t="str">
            <v>DEPOSITO DE GARANTIA EN CTA DE CAVALI   1ND</v>
          </cell>
        </row>
        <row r="12223">
          <cell r="B12223" t="str">
            <v>15071900000204</v>
          </cell>
          <cell r="C12223" t="str">
            <v>OP DE CAMBIO T+XÂ DERIVADOS             1YD</v>
          </cell>
        </row>
        <row r="12224">
          <cell r="B12224" t="str">
            <v>15071900000205</v>
          </cell>
          <cell r="C12224" t="str">
            <v>CTA POR COB X GARANTIA ALQÂ  A SPSA     1ND</v>
          </cell>
        </row>
        <row r="12225">
          <cell r="B12225" t="str">
            <v>15071900000206</v>
          </cell>
          <cell r="C12225" t="str">
            <v>C X COBRAR  PF SPTX T-3X                1ND</v>
          </cell>
        </row>
        <row r="12226">
          <cell r="B12226" t="str">
            <v>15071900000208</v>
          </cell>
          <cell r="C12226" t="str">
            <v>CUENTAS POR COBRAR BCA COMERCIAL        1YD</v>
          </cell>
        </row>
        <row r="12227">
          <cell r="B12227" t="str">
            <v>15071900000209</v>
          </cell>
          <cell r="C12227" t="str">
            <v>CxC CARGOS NO PROCESADOÂ CANALES IBK - T1ND</v>
          </cell>
        </row>
        <row r="12228">
          <cell r="B12228" t="str">
            <v>15071900000303</v>
          </cell>
          <cell r="C12228" t="str">
            <v>IISA GESTION                            1ND</v>
          </cell>
        </row>
        <row r="12229">
          <cell r="B12229" t="str">
            <v>15071900000307</v>
          </cell>
          <cell r="C12229" t="str">
            <v>INTERTITULOS                            1ND</v>
          </cell>
        </row>
        <row r="12230">
          <cell r="B12230" t="str">
            <v>15071900000308</v>
          </cell>
          <cell r="C12230" t="str">
            <v>INTERSEGUROS                            1ND</v>
          </cell>
        </row>
        <row r="12231">
          <cell r="B12231" t="str">
            <v>15071900000309</v>
          </cell>
          <cell r="C12231" t="str">
            <v>INTERCORP PERU LTD                      1ND</v>
          </cell>
        </row>
        <row r="12232">
          <cell r="B12232" t="str">
            <v>15071900000313</v>
          </cell>
          <cell r="C12232" t="str">
            <v>INTERFONDOS                             1ND</v>
          </cell>
        </row>
        <row r="12233">
          <cell r="B12233" t="str">
            <v>15071900000316</v>
          </cell>
          <cell r="C12233" t="str">
            <v>CENTURA SAP                             1ND</v>
          </cell>
        </row>
        <row r="12234">
          <cell r="B12234" t="str">
            <v>15071900000317</v>
          </cell>
          <cell r="C12234" t="str">
            <v>SUPERMERCADOS PERUANOS                  1ND</v>
          </cell>
        </row>
        <row r="12235">
          <cell r="B12235" t="str">
            <v>15071900000320</v>
          </cell>
          <cell r="C12235" t="str">
            <v>URBI                                    1ND</v>
          </cell>
        </row>
        <row r="12236">
          <cell r="B12236" t="str">
            <v>15071900000323</v>
          </cell>
          <cell r="C12236" t="str">
            <v>TEBCA                                   1ND</v>
          </cell>
        </row>
        <row r="12237">
          <cell r="B12237" t="str">
            <v>15071900000324</v>
          </cell>
          <cell r="C12237" t="str">
            <v>TIENDAS PERUANAS                        1ND</v>
          </cell>
        </row>
        <row r="12238">
          <cell r="B12238" t="str">
            <v>15071900000326</v>
          </cell>
          <cell r="C12238" t="str">
            <v>CUENTA POR COBRAR CCUP                  1ND</v>
          </cell>
        </row>
        <row r="12239">
          <cell r="B12239" t="str">
            <v>15071900000327</v>
          </cell>
          <cell r="C12239" t="str">
            <v>SERVITEBCA                              1ND</v>
          </cell>
        </row>
        <row r="12240">
          <cell r="B12240" t="str">
            <v>15071900000402</v>
          </cell>
          <cell r="C12240" t="str">
            <v>REEMBOLSO SUBSIDIO ENFERMEDAD EMPL      1ND</v>
          </cell>
        </row>
        <row r="12241">
          <cell r="B12241" t="str">
            <v>15071900000404</v>
          </cell>
          <cell r="C12241" t="str">
            <v>PERD EN VENTANILLA-EMPLEADOS JUVENIL    1ND</v>
          </cell>
        </row>
        <row r="12242">
          <cell r="B12242" t="str">
            <v>15071900000405</v>
          </cell>
          <cell r="C12242" t="str">
            <v>CUENTAS POR COBRAR DEPOSITOS            1ND</v>
          </cell>
        </row>
        <row r="12243">
          <cell r="B12243" t="str">
            <v>15071900000503</v>
          </cell>
          <cell r="C12243" t="str">
            <v>OPERACIONES DE CREDITOS                 1YD</v>
          </cell>
        </row>
        <row r="12244">
          <cell r="B12244" t="str">
            <v>15071900000510</v>
          </cell>
          <cell r="C12244" t="str">
            <v>COM X COB PAGARES-EXP-PRE EMB-CL        1ND</v>
          </cell>
        </row>
        <row r="12245">
          <cell r="B12245" t="str">
            <v>15071900000516</v>
          </cell>
          <cell r="C12245" t="str">
            <v>CTA X COB PAGO REGISTRALES CRED HIPOT   1YD</v>
          </cell>
        </row>
        <row r="12246">
          <cell r="B12246" t="str">
            <v>15071900000517</v>
          </cell>
          <cell r="C12246" t="str">
            <v>CUENTA POR COBRAR INVERSIONES           1YD</v>
          </cell>
        </row>
        <row r="12247">
          <cell r="B12247" t="str">
            <v>15071900000601</v>
          </cell>
          <cell r="C12247" t="str">
            <v>INT PEND PAGO DPV SOBERANOS             1YD</v>
          </cell>
        </row>
        <row r="12248">
          <cell r="B12248" t="str">
            <v>15071900000602</v>
          </cell>
          <cell r="C12248" t="str">
            <v>INT PEND PAGO DPV GLOBALES DISPONIBLE   1YD</v>
          </cell>
        </row>
        <row r="12249">
          <cell r="B12249" t="str">
            <v>15071900000603</v>
          </cell>
          <cell r="C12249" t="str">
            <v>INT PEND PAGO DPV B ORGANISMOS FINANC   1YD</v>
          </cell>
        </row>
        <row r="12250">
          <cell r="B12250" t="str">
            <v>15071900000604</v>
          </cell>
          <cell r="C12250" t="str">
            <v>INT PEND PAGO DPV B ORDINARIOS SOC. F   1YD</v>
          </cell>
        </row>
        <row r="12251">
          <cell r="B12251" t="str">
            <v>15071900000605</v>
          </cell>
          <cell r="C12251" t="str">
            <v>INT PEND PAGO DPVB SUBORDINADOS SOC FINA1YD</v>
          </cell>
        </row>
        <row r="12252">
          <cell r="B12252" t="str">
            <v>15071900000606</v>
          </cell>
          <cell r="C12252" t="str">
            <v>INT PEND PAGO DPV B TITULIZADOS SOC F   1YD</v>
          </cell>
        </row>
        <row r="12253">
          <cell r="B12253" t="str">
            <v>15071900000607</v>
          </cell>
          <cell r="C12253" t="str">
            <v>INT PEND PAGO DPV B ORDINARIOS SOC.NO   1YD</v>
          </cell>
        </row>
        <row r="12254">
          <cell r="B12254" t="str">
            <v>15071900000609</v>
          </cell>
          <cell r="C12254" t="str">
            <v>INT PEND PAGO DPV B HIPOTECARIOS        1YD</v>
          </cell>
        </row>
        <row r="12255">
          <cell r="B12255" t="str">
            <v>15071900000610</v>
          </cell>
          <cell r="C12255" t="str">
            <v>INT PEND PAGO DPV B ARREND FINANC       1YD</v>
          </cell>
        </row>
        <row r="12256">
          <cell r="B12256" t="str">
            <v>15071900000611</v>
          </cell>
          <cell r="C12256" t="str">
            <v>INT PEND PAGO B GLOBAL TRADING          1YD</v>
          </cell>
        </row>
        <row r="12257">
          <cell r="B12257" t="str">
            <v>15071900000612</v>
          </cell>
          <cell r="C12257" t="str">
            <v>INT PEND PAGO B SOBERANOS TRADING       1YD</v>
          </cell>
        </row>
        <row r="12258">
          <cell r="B12258" t="str">
            <v>15071900000613</v>
          </cell>
          <cell r="C12258" t="str">
            <v>INT PEND PAGO CDN EMP SIST FINANCIERO   1YD</v>
          </cell>
        </row>
        <row r="12259">
          <cell r="B12259" t="str">
            <v>15071900000802</v>
          </cell>
          <cell r="C12259" t="str">
            <v>CUENTAS POR COBRAR OTRAS                1ND</v>
          </cell>
        </row>
        <row r="12260">
          <cell r="B12260" t="str">
            <v>15071900000901</v>
          </cell>
          <cell r="C12260" t="str">
            <v>CTAS POR COBRAR-CTRL ADM.               1YD</v>
          </cell>
        </row>
        <row r="12261">
          <cell r="B12261" t="str">
            <v>15071900000903</v>
          </cell>
          <cell r="C12261" t="str">
            <v>LPC LS EN PROCESO INT.PRE CUOTAS        1ND</v>
          </cell>
        </row>
        <row r="12262">
          <cell r="B12262" t="str">
            <v>15071900000910</v>
          </cell>
          <cell r="C12262" t="str">
            <v>CTAS X COB DIVERSAS                     1YD</v>
          </cell>
        </row>
        <row r="12263">
          <cell r="B12263" t="str">
            <v>15071900000911</v>
          </cell>
          <cell r="C12263" t="str">
            <v>CTAS POR COBRAR PROVISIONADAS           1ND</v>
          </cell>
        </row>
        <row r="12264">
          <cell r="B12264" t="str">
            <v>15071900000918</v>
          </cell>
          <cell r="C12264" t="str">
            <v>OPCION COMPRA-LEASING LPC               1ND</v>
          </cell>
        </row>
        <row r="12265">
          <cell r="B12265" t="str">
            <v>15071900000919</v>
          </cell>
          <cell r="C12265" t="str">
            <v>CTA POR COBRAR GLOBALNET                1ND</v>
          </cell>
        </row>
        <row r="12266">
          <cell r="B12266" t="str">
            <v>15071900000922</v>
          </cell>
          <cell r="C12266" t="str">
            <v>CTA POR COBRAR IB DIRECTO               1ND</v>
          </cell>
        </row>
        <row r="12267">
          <cell r="B12267" t="str">
            <v>15071900000925</v>
          </cell>
          <cell r="C12267" t="str">
            <v>CTAS X COBRAR VARIOS                    1YD</v>
          </cell>
        </row>
        <row r="12268">
          <cell r="B12268" t="str">
            <v>15071900000926</v>
          </cell>
          <cell r="C12268" t="str">
            <v>CTA X COBRAR BIG FAMILY CLARO           1ND</v>
          </cell>
        </row>
        <row r="12269">
          <cell r="B12269" t="str">
            <v>15071900000927</v>
          </cell>
          <cell r="C12269" t="str">
            <v>OPER POR REG - TIENDAS                  1YD</v>
          </cell>
        </row>
        <row r="12270">
          <cell r="B12270" t="str">
            <v>15071900000936</v>
          </cell>
          <cell r="C12270" t="str">
            <v>CTA POR COBRAR GLOBALNET                1ND</v>
          </cell>
        </row>
        <row r="12271">
          <cell r="B12271" t="str">
            <v>15071900000946</v>
          </cell>
          <cell r="C12271" t="str">
            <v>SERVICIOS CORPORATIVOS TI               1ND</v>
          </cell>
        </row>
        <row r="12272">
          <cell r="B12272" t="str">
            <v>15071900000947</v>
          </cell>
          <cell r="C12272" t="str">
            <v>CTA POR COBRAR CONSTRUCCIONES LOCALES AL1ND</v>
          </cell>
        </row>
        <row r="12273">
          <cell r="B12273" t="str">
            <v>15071900000949</v>
          </cell>
          <cell r="C12273" t="str">
            <v>EJECUCION FIDEICOMISO                   1ND</v>
          </cell>
        </row>
        <row r="12274">
          <cell r="B12274" t="str">
            <v>15071900001101</v>
          </cell>
          <cell r="C12274" t="str">
            <v>CTAS POR COBRAR CONVENIOS Y TRANSFERENCI1YD</v>
          </cell>
        </row>
        <row r="12275">
          <cell r="B12275" t="str">
            <v>15071900001102</v>
          </cell>
          <cell r="C12275" t="str">
            <v>CXC INVERSIONES-OP CAMBIO               1YD</v>
          </cell>
        </row>
        <row r="12276">
          <cell r="B12276" t="str">
            <v>15071900001103</v>
          </cell>
          <cell r="C12276" t="str">
            <v>RELACIONADAS                            1ND</v>
          </cell>
        </row>
        <row r="12277">
          <cell r="B12277" t="str">
            <v>15071900001104</v>
          </cell>
          <cell r="C12277" t="str">
            <v>CTAS X COB BIENES ADJUDICADOS Y RECUPERA1ND</v>
          </cell>
        </row>
        <row r="12278">
          <cell r="B12278" t="str">
            <v>15071900001105</v>
          </cell>
          <cell r="C12278" t="str">
            <v>MDC OP PRONTA LIQUIDACION               1YD</v>
          </cell>
        </row>
        <row r="12279">
          <cell r="B12279" t="str">
            <v>15071900001106</v>
          </cell>
          <cell r="C12279" t="str">
            <v>BOG CTA POR COBRAR IB BOGOTA            1ND</v>
          </cell>
        </row>
        <row r="12280">
          <cell r="B12280" t="str">
            <v>15071900001107</v>
          </cell>
          <cell r="C12280" t="str">
            <v>$IM NO PROCESADO TARJETA DE DEBITO      1ND</v>
          </cell>
        </row>
        <row r="12281">
          <cell r="B12281" t="str">
            <v>15071900001108</v>
          </cell>
          <cell r="C12281" t="str">
            <v>CTAS POR COBRAR PROV. CONTABILIDAD      1ND</v>
          </cell>
        </row>
        <row r="12282">
          <cell r="B12282" t="str">
            <v>15071900001109</v>
          </cell>
          <cell r="C12282" t="str">
            <v>LPC CXC OPERACIONES REACTIVA - COFIDE   1YD</v>
          </cell>
        </row>
        <row r="12283">
          <cell r="B12283" t="str">
            <v>15071900001110</v>
          </cell>
          <cell r="C12283" t="str">
            <v>MYP CXC OPERACIONES REACTIVA - COFIDE   1YD</v>
          </cell>
        </row>
        <row r="12284">
          <cell r="B12284" t="str">
            <v>15071900001111</v>
          </cell>
          <cell r="C12284" t="str">
            <v>CDO MEGA NO PROCESADO TARJETA DE DEBITO 1ND</v>
          </cell>
        </row>
        <row r="12285">
          <cell r="B12285" t="str">
            <v>15071900001112</v>
          </cell>
          <cell r="C12285" t="str">
            <v>CUENTAS POR COBRAR A PROVEEDORES        1ND</v>
          </cell>
        </row>
        <row r="12286">
          <cell r="B12286" t="str">
            <v>15071900001113</v>
          </cell>
          <cell r="C12286" t="str">
            <v>BTC  IBK_ RAPPIBANK                     1ND</v>
          </cell>
        </row>
        <row r="12287">
          <cell r="B12287" t="str">
            <v>15071900001117</v>
          </cell>
          <cell r="C12287" t="str">
            <v>COBRO COMISIÃ“N PPA-CPE                 1ND</v>
          </cell>
        </row>
        <row r="12288">
          <cell r="B12288" t="str">
            <v>15071900001118</v>
          </cell>
          <cell r="C12288" t="str">
            <v>COBRO COMISIÃ“N BKE-CPE                 1ND</v>
          </cell>
        </row>
        <row r="12289">
          <cell r="B12289" t="str">
            <v>15071900001119</v>
          </cell>
          <cell r="C12289" t="str">
            <v>COMISION INC - CPE                      1ND</v>
          </cell>
        </row>
        <row r="12290">
          <cell r="B12290" t="str">
            <v>15071900001120</v>
          </cell>
          <cell r="C12290" t="str">
            <v>CTAS POR COBRAR SERVICIO-CONVENIO AFP   1ND</v>
          </cell>
        </row>
        <row r="12291">
          <cell r="B12291" t="str">
            <v>15071900001121</v>
          </cell>
          <cell r="C12291" t="str">
            <v>$ST NO PROCESADO TD - FACTURA 48        1 D</v>
          </cell>
        </row>
        <row r="12292">
          <cell r="B12292" t="str">
            <v>15071900001122</v>
          </cell>
          <cell r="C12292" t="str">
            <v>CUENTA POR COBRAR - COMEX.SERV.EMP      1YD</v>
          </cell>
        </row>
        <row r="12293">
          <cell r="B12293" t="str">
            <v>15071900001124</v>
          </cell>
          <cell r="C12293" t="str">
            <v>CDO LIQ TUNKI_INTERCAMBIO VISA          1ND</v>
          </cell>
        </row>
        <row r="12294">
          <cell r="B12294" t="str">
            <v>15071900001127</v>
          </cell>
          <cell r="C12294" t="str">
            <v>CUENTAS POR COBRAR DIVERSAS PROCESOS FIN1YD</v>
          </cell>
        </row>
        <row r="12295">
          <cell r="B12295" t="str">
            <v>15071900001128</v>
          </cell>
          <cell r="C12295" t="str">
            <v>CTA POR COBRAR COMISION IZIPAY          1YD</v>
          </cell>
        </row>
        <row r="12296">
          <cell r="B12296" t="str">
            <v>15071900001131</v>
          </cell>
          <cell r="C12296" t="str">
            <v>CTA POR COBRAR PAYPAL                   1ND</v>
          </cell>
        </row>
        <row r="12297">
          <cell r="B12297" t="str">
            <v>15071900001132</v>
          </cell>
          <cell r="C12297" t="str">
            <v>MDC CXC SOBERANOS SHORT                 1ND</v>
          </cell>
        </row>
        <row r="12298">
          <cell r="B12298" t="str">
            <v>15071900001133</v>
          </cell>
          <cell r="C12298" t="str">
            <v>CUENTAS POR COBRAR A PROVEEDORES - REFAC1 D</v>
          </cell>
        </row>
        <row r="12299">
          <cell r="B12299" t="str">
            <v>15071900001134</v>
          </cell>
          <cell r="C12299" t="str">
            <v>CUENTAS  POR COBRAR DIVERSASâ€“MARCAS DE1ND</v>
          </cell>
        </row>
        <row r="12300">
          <cell r="B12300" t="str">
            <v>15071900001136</v>
          </cell>
          <cell r="C12300" t="str">
            <v>CTA X COBRAR BCA X INTERNET O APPÂ      1YD</v>
          </cell>
        </row>
        <row r="12301">
          <cell r="B12301" t="str">
            <v>15071900001137</v>
          </cell>
          <cell r="C12301" t="str">
            <v>LPC BONO DEL BUEN PAGADOR - BC          1 D</v>
          </cell>
        </row>
        <row r="12302">
          <cell r="B12302" t="str">
            <v>15071900001138</v>
          </cell>
          <cell r="C12302" t="str">
            <v>MYP BONO DEL BUEN PAGADOR - BN          1 D</v>
          </cell>
        </row>
        <row r="12303">
          <cell r="B12303" t="str">
            <v>15071900001139</v>
          </cell>
          <cell r="C12303" t="str">
            <v>CTAS POR COBRAR A OPORTO IMOBILIARIA    1 D</v>
          </cell>
        </row>
        <row r="12304">
          <cell r="B12304" t="str">
            <v>15080711000101</v>
          </cell>
          <cell r="C12304" t="str">
            <v>C X C REPO INTERBANCARIO ADQUIRIENTE    1ND</v>
          </cell>
        </row>
        <row r="12305">
          <cell r="B12305" t="str">
            <v>15090000000910</v>
          </cell>
          <cell r="C12305" t="str">
            <v xml:space="preserve">                                        1ND</v>
          </cell>
        </row>
        <row r="12306">
          <cell r="B12306" t="str">
            <v>15090401010101</v>
          </cell>
          <cell r="C12306" t="str">
            <v>PROV CXC VTA BIENES Y SERV FIDEICOMISOS 1ND</v>
          </cell>
        </row>
        <row r="12307">
          <cell r="B12307" t="str">
            <v>15090401090101</v>
          </cell>
          <cell r="C12307" t="str">
            <v>PROV CXC VTA BIENES Y SERV Y FIDEICOMISO1ND</v>
          </cell>
        </row>
        <row r="12308">
          <cell r="B12308" t="str">
            <v>15090409000101</v>
          </cell>
          <cell r="C12308" t="str">
            <v>PROVISION CXC FDO SIGMA                 1ND</v>
          </cell>
        </row>
        <row r="12309">
          <cell r="B12309" t="str">
            <v>15090500000100</v>
          </cell>
          <cell r="C12309" t="str">
            <v>HPC CXC SEG.DESG.VEN-N/D CRED.HIP       1 D</v>
          </cell>
        </row>
        <row r="12310">
          <cell r="B12310" t="str">
            <v>15090500000101</v>
          </cell>
          <cell r="C12310" t="str">
            <v>HPC CXC SEG.DESG.VEN-N/D CRED.EFECT     1 D</v>
          </cell>
        </row>
        <row r="12311">
          <cell r="B12311" t="str">
            <v>15090500000102</v>
          </cell>
          <cell r="C12311" t="str">
            <v>HPC CXC SEG.DESG.VEN-N/D CRED.VEH       1 D</v>
          </cell>
        </row>
        <row r="12312">
          <cell r="B12312" t="str">
            <v>15090500000103</v>
          </cell>
          <cell r="C12312" t="str">
            <v>HPC CXC SEG.DESG.VEN-N/D CRED.PERS      1 D</v>
          </cell>
        </row>
        <row r="12313">
          <cell r="B12313" t="str">
            <v>15090500000104</v>
          </cell>
          <cell r="C12313" t="str">
            <v>HPC CXC SEG.DESG.VEN-N/D CRED.REF       1 D</v>
          </cell>
        </row>
        <row r="12314">
          <cell r="B12314" t="str">
            <v>15090500000105</v>
          </cell>
          <cell r="C12314" t="str">
            <v>HPC CXC SEG.DESG.VEN-N/D CONV           1ND</v>
          </cell>
        </row>
        <row r="12315">
          <cell r="B12315" t="str">
            <v>15090500000106</v>
          </cell>
          <cell r="C12315" t="str">
            <v>LIC CXC SEG.DESG.VEN                    1ND</v>
          </cell>
        </row>
        <row r="12316">
          <cell r="B12316" t="str">
            <v>15090500000107</v>
          </cell>
          <cell r="C12316" t="str">
            <v>HPC MICROPRESTAMOS PROV SEG DESG VEN    1 D</v>
          </cell>
        </row>
        <row r="12317">
          <cell r="B12317" t="str">
            <v>15090500000108</v>
          </cell>
          <cell r="C12317" t="str">
            <v>HPC MICROPRESTAMOS PROV SEG DESG VIG    1 D</v>
          </cell>
        </row>
        <row r="12318">
          <cell r="B12318" t="str">
            <v>15090704000101</v>
          </cell>
          <cell r="C12318" t="str">
            <v>PROV LSG VENC RESUELTO PTE RECUP BIEN   1ND</v>
          </cell>
        </row>
        <row r="12319">
          <cell r="B12319" t="str">
            <v>15090704000102</v>
          </cell>
          <cell r="C12319" t="str">
            <v>PROV LSG CJUD RESUELTO PTE RECUP BIEN   1ND</v>
          </cell>
        </row>
        <row r="12320">
          <cell r="B12320" t="str">
            <v>15090709000101</v>
          </cell>
          <cell r="C12320" t="str">
            <v>PROV CTAS.POR COB DIVERSAS              1ND</v>
          </cell>
        </row>
        <row r="12321">
          <cell r="B12321" t="str">
            <v>15090709000102</v>
          </cell>
          <cell r="C12321" t="str">
            <v>BL PROV CTAS X COB DIVERSAS             1ND</v>
          </cell>
        </row>
        <row r="12322">
          <cell r="B12322" t="str">
            <v>15090709000103</v>
          </cell>
          <cell r="C12322" t="str">
            <v>PROV. CTAS. POR COBRAR AL 100%          1ND</v>
          </cell>
        </row>
        <row r="12323">
          <cell r="B12323" t="str">
            <v>15090709000104</v>
          </cell>
          <cell r="C12323" t="str">
            <v>PROV. OTRAS CTAS. POR COBRAR            1ND</v>
          </cell>
        </row>
        <row r="12324">
          <cell r="B12324" t="str">
            <v>15090709000105</v>
          </cell>
          <cell r="C12324" t="str">
            <v>PROVISION CTAS X COBRAR - CASTIGOS OP   1ND</v>
          </cell>
        </row>
        <row r="12325">
          <cell r="B12325" t="str">
            <v>15090709000106</v>
          </cell>
          <cell r="C12325" t="str">
            <v>PROV CPC SUBSIDIO                       1ND</v>
          </cell>
        </row>
        <row r="12326">
          <cell r="B12326" t="str">
            <v>15090709000107</v>
          </cell>
          <cell r="C12326" t="str">
            <v>HPC PROVISION CXC SEG.DESG.CRED.VEH     1ND</v>
          </cell>
        </row>
        <row r="12327">
          <cell r="B12327" t="str">
            <v>15090709000108</v>
          </cell>
          <cell r="C12327" t="str">
            <v>HPC PROVISION CXC SEG.DESG.CRED.PERS    1ND</v>
          </cell>
        </row>
        <row r="12328">
          <cell r="B12328" t="str">
            <v>15090709000109</v>
          </cell>
          <cell r="C12328" t="str">
            <v>HPC PROVISION CXC SEG.DESG.CRED.EFECT   1ND</v>
          </cell>
        </row>
        <row r="12329">
          <cell r="B12329" t="str">
            <v>15090709000110</v>
          </cell>
          <cell r="C12329" t="str">
            <v>HPC PROVISION CXC SEG.DESG.CRED.REF     1ND</v>
          </cell>
        </row>
        <row r="12330">
          <cell r="B12330" t="str">
            <v>15090709000111</v>
          </cell>
          <cell r="C12330" t="str">
            <v>HPC PROVISION CXC SEG.DESG.CRED.HIP     1ND</v>
          </cell>
        </row>
        <row r="12331">
          <cell r="B12331" t="str">
            <v>15090709000201</v>
          </cell>
          <cell r="C12331" t="str">
            <v>PROVISION CXC FDO SIGMA                 1ND</v>
          </cell>
        </row>
        <row r="12332">
          <cell r="B12332" t="str">
            <v>15090719000101</v>
          </cell>
          <cell r="C12332" t="str">
            <v>PROV CTAS.POR COB DIVERSAS              1ND</v>
          </cell>
        </row>
        <row r="12333">
          <cell r="B12333" t="str">
            <v>15090719000103</v>
          </cell>
          <cell r="C12333" t="str">
            <v>PROV. CTAS. POR COBRAR AL 100%          1ND</v>
          </cell>
        </row>
        <row r="12334">
          <cell r="B12334" t="str">
            <v>15090719000104</v>
          </cell>
          <cell r="C12334" t="str">
            <v>PROV. OTRAS CTAS. POR COBRAR            1ND</v>
          </cell>
        </row>
        <row r="12335">
          <cell r="B12335" t="str">
            <v>15090719000106</v>
          </cell>
          <cell r="C12335" t="str">
            <v>PROV CPC SUBSIDIO                       1ND</v>
          </cell>
        </row>
        <row r="12336">
          <cell r="B12336" t="str">
            <v>15090719000107</v>
          </cell>
          <cell r="C12336" t="str">
            <v>HPC PROVISION CXC SEG.DESG.CRED.VEH     1ND</v>
          </cell>
        </row>
        <row r="12337">
          <cell r="B12337" t="str">
            <v>15090719000108</v>
          </cell>
          <cell r="C12337" t="str">
            <v>HPC PROVISION CXC SEG.DESG.CRED.PERS    1ND</v>
          </cell>
        </row>
        <row r="12338">
          <cell r="B12338" t="str">
            <v>15090719000109</v>
          </cell>
          <cell r="C12338" t="str">
            <v>HPC PROVISION CXC SEG.DESG.CRED.EFECT   1ND</v>
          </cell>
        </row>
        <row r="12339">
          <cell r="B12339" t="str">
            <v>15090719000110</v>
          </cell>
          <cell r="C12339" t="str">
            <v>HPC PROVISION CXC SEG.DESG.CRED.REF     1ND</v>
          </cell>
        </row>
        <row r="12340">
          <cell r="B12340" t="str">
            <v>15090719000111</v>
          </cell>
          <cell r="C12340" t="str">
            <v>HPC PROVISION CXC SEG.DESG.CRED.HIP     1ND</v>
          </cell>
        </row>
        <row r="12341">
          <cell r="B12341" t="str">
            <v>15090719000112</v>
          </cell>
          <cell r="C12341" t="str">
            <v>JCC PROV.CXP SEG.DESG.JUD.CRED.VEH      1ND</v>
          </cell>
        </row>
        <row r="12342">
          <cell r="B12342" t="str">
            <v>15090719000113</v>
          </cell>
          <cell r="C12342" t="str">
            <v>JCC PROV.CXP SEG.DESG.JUD.CRED.PERS     1ND</v>
          </cell>
        </row>
        <row r="12343">
          <cell r="B12343" t="str">
            <v>15090719000114</v>
          </cell>
          <cell r="C12343" t="str">
            <v>JCC PROV.CXP SEG.DESG.JUD.CRED.EFECT    1ND</v>
          </cell>
        </row>
        <row r="12344">
          <cell r="B12344" t="str">
            <v>15090719000115</v>
          </cell>
          <cell r="C12344" t="str">
            <v>JCC PROV.CXP SEG.DESG.JUD.CRED.REF      1ND</v>
          </cell>
        </row>
        <row r="12345">
          <cell r="B12345" t="str">
            <v>15090719000116</v>
          </cell>
          <cell r="C12345" t="str">
            <v>JCC PROV.CXP SEG.DESG.JUD.CRED.HIP      1ND</v>
          </cell>
        </row>
        <row r="12346">
          <cell r="B12346" t="str">
            <v>15090719000117</v>
          </cell>
          <cell r="C12346" t="str">
            <v>PROV.CTAS POR COB. CONTABILIDAD         1ND</v>
          </cell>
        </row>
        <row r="12347">
          <cell r="B12347" t="str">
            <v>16010102000101</v>
          </cell>
          <cell r="C12347" t="str">
            <v>TERRENOS                                1ND</v>
          </cell>
        </row>
        <row r="12348">
          <cell r="B12348" t="str">
            <v>16010102000102</v>
          </cell>
          <cell r="C12348" t="str">
            <v>EDIFICIOS                               1ND</v>
          </cell>
        </row>
        <row r="12349">
          <cell r="B12349" t="str">
            <v>16010102000103</v>
          </cell>
          <cell r="C12349" t="str">
            <v>MAQUINARIAS                             1ND</v>
          </cell>
        </row>
        <row r="12350">
          <cell r="B12350" t="str">
            <v>16010102000104</v>
          </cell>
          <cell r="C12350" t="str">
            <v>UNIDADES DE TRANSPORTE                  1ND</v>
          </cell>
        </row>
        <row r="12351">
          <cell r="B12351" t="str">
            <v>16010102000106</v>
          </cell>
          <cell r="C12351" t="str">
            <v>MUEBLES                                 1ND</v>
          </cell>
        </row>
        <row r="12352">
          <cell r="B12352" t="str">
            <v>16010102000107</v>
          </cell>
          <cell r="C12352" t="str">
            <v>OTROS BIENES RECUPERADOS O REALIZABLES  1ND</v>
          </cell>
        </row>
        <row r="12353">
          <cell r="B12353" t="str">
            <v>16010900000101</v>
          </cell>
          <cell r="C12353" t="str">
            <v>PROYECTO DE OBRA POR IMPUESTO           1ND</v>
          </cell>
        </row>
        <row r="12354">
          <cell r="B12354" t="str">
            <v>16010900000102</v>
          </cell>
          <cell r="C12354" t="str">
            <v>BIENES REALIZABLES _ EQUIPOS DE COMPUTO 1ND</v>
          </cell>
        </row>
        <row r="12355">
          <cell r="B12355" t="str">
            <v>16020209000101</v>
          </cell>
          <cell r="C12355" t="str">
            <v>OTROS-RECIBIDOS EN PAGO Y ADJ           1ND</v>
          </cell>
        </row>
        <row r="12356">
          <cell r="B12356" t="str">
            <v>16020301000101</v>
          </cell>
          <cell r="C12356" t="str">
            <v>TERRENOS-RECIBIDOS EN PAGO Y ADJUDICADOS1ND</v>
          </cell>
        </row>
        <row r="12357">
          <cell r="B12357" t="str">
            <v>16020302000101</v>
          </cell>
          <cell r="C12357" t="str">
            <v>EDIF. Y OTR CONSTRUC-REC EN PAGO Y ADJUD1ND</v>
          </cell>
        </row>
        <row r="12358">
          <cell r="B12358" t="str">
            <v>16020302000102</v>
          </cell>
          <cell r="C12358" t="str">
            <v>BL DIFICIOS Y OTRAS CONST REC PAGO Y    1ND</v>
          </cell>
        </row>
        <row r="12359">
          <cell r="B12359" t="str">
            <v>16020401000101</v>
          </cell>
          <cell r="C12359" t="str">
            <v>MUEBLES-RECIBIDOS EN PAGO Y ADJUDICADOS 1ND</v>
          </cell>
        </row>
        <row r="12360">
          <cell r="B12360" t="str">
            <v>16020402000101</v>
          </cell>
          <cell r="C12360" t="str">
            <v>EQUIPOS-RECIBIDOS EN PAGO Y ADJUDICADOS 1ND</v>
          </cell>
        </row>
        <row r="12361">
          <cell r="B12361" t="str">
            <v>16020501000101</v>
          </cell>
          <cell r="C12361" t="str">
            <v>MAQUINARIAS-RECIBIDOS EN PAGO Y         1ND</v>
          </cell>
        </row>
        <row r="12362">
          <cell r="B12362" t="str">
            <v>16020502000101</v>
          </cell>
          <cell r="C12362" t="str">
            <v>UNIDADES DE TRANSP-REC EN PAGO Y ADJUDIC1ND</v>
          </cell>
        </row>
        <row r="12363">
          <cell r="B12363" t="str">
            <v>16020900000101</v>
          </cell>
          <cell r="C12363" t="str">
            <v>ARTEF ELECTR RECIBIDOS EN PAGO Y ADJUDIC1ND</v>
          </cell>
        </row>
        <row r="12364">
          <cell r="B12364" t="str">
            <v>16090101000101</v>
          </cell>
          <cell r="C12364" t="str">
            <v>PROVISION PARA BIENES REALIZABLES       1ND</v>
          </cell>
        </row>
        <row r="12365">
          <cell r="B12365" t="str">
            <v>16090200000102</v>
          </cell>
          <cell r="C12365" t="str">
            <v>BL PROV BIENES REC EN PAGO Y ADJUD      1ND</v>
          </cell>
        </row>
        <row r="12366">
          <cell r="B12366" t="str">
            <v>16090201000101</v>
          </cell>
          <cell r="C12366" t="str">
            <v>PROV BIENES REC EN PAGO Y ADJUDICADOS   1ND</v>
          </cell>
        </row>
        <row r="12367">
          <cell r="B12367" t="str">
            <v>17010100000101</v>
          </cell>
          <cell r="C12367" t="str">
            <v>INTERFIP SAB                            1ND</v>
          </cell>
        </row>
        <row r="12368">
          <cell r="B12368" t="str">
            <v>17010100000102</v>
          </cell>
          <cell r="C12368" t="str">
            <v>INTERFONDOS                             1ND</v>
          </cell>
        </row>
        <row r="12369">
          <cell r="B12369" t="str">
            <v>17010100000103</v>
          </cell>
          <cell r="C12369" t="str">
            <v>CONTACTO                                1ND</v>
          </cell>
        </row>
        <row r="12370">
          <cell r="B12370" t="str">
            <v>17010100000104</v>
          </cell>
          <cell r="C12370" t="str">
            <v>INTERTITULOS                            1ND</v>
          </cell>
        </row>
        <row r="12371">
          <cell r="B12371" t="str">
            <v>17010100000105</v>
          </cell>
          <cell r="C12371" t="str">
            <v>HUANCAVELICA SAC                        1ND</v>
          </cell>
        </row>
        <row r="12372">
          <cell r="B12372" t="str">
            <v>17010100000106</v>
          </cell>
          <cell r="C12372" t="str">
            <v>CORPORACION INMOBILIARIA LA UNION 600   1ND</v>
          </cell>
        </row>
        <row r="12373">
          <cell r="B12373" t="str">
            <v>17010100000108</v>
          </cell>
          <cell r="C12373" t="str">
            <v>COMPAÃ‘ÃA DE SERVICIOS CONEXOS EXPRESSN1ND</v>
          </cell>
        </row>
        <row r="12374">
          <cell r="B12374" t="str">
            <v>17010100000109</v>
          </cell>
          <cell r="C12374" t="str">
            <v>INVERSION EN SUBSIDIARIA OPORTO INMOBILI1 D</v>
          </cell>
        </row>
        <row r="12375">
          <cell r="B12375" t="str">
            <v>17010200000101</v>
          </cell>
          <cell r="C12375" t="str">
            <v>INTELIGO SAB                            1ND</v>
          </cell>
        </row>
        <row r="12376">
          <cell r="B12376" t="str">
            <v>17010200000102</v>
          </cell>
          <cell r="C12376" t="str">
            <v>PAGOS DIGITALES PERUANOS                1ND</v>
          </cell>
        </row>
        <row r="12377">
          <cell r="B12377" t="str">
            <v>17010200000103</v>
          </cell>
          <cell r="C12377" t="str">
            <v>ACCIONES - VISANET                      1ND</v>
          </cell>
        </row>
        <row r="12378">
          <cell r="B12378" t="str">
            <v>17010200000104</v>
          </cell>
          <cell r="C12378" t="str">
            <v>ACC CAMARA DE COMPENSACION ELECTRONICA  1ND</v>
          </cell>
        </row>
        <row r="12379">
          <cell r="B12379" t="str">
            <v>17010200000105</v>
          </cell>
          <cell r="C12379" t="str">
            <v>ACCIONES ? OTRAS                        1ND</v>
          </cell>
        </row>
        <row r="12380">
          <cell r="B12380" t="str">
            <v>17010200000106</v>
          </cell>
          <cell r="C12380" t="str">
            <v>LA FIDUCIARIA S.A.                      1ND</v>
          </cell>
        </row>
        <row r="12381">
          <cell r="B12381" t="str">
            <v>17010200000107</v>
          </cell>
          <cell r="C12381" t="str">
            <v>BL PROCESOS MC PERU                     1ND</v>
          </cell>
        </row>
        <row r="12382">
          <cell r="B12382" t="str">
            <v>17010200000108</v>
          </cell>
          <cell r="C12382" t="str">
            <v>REGISTRO INV TRANSFERENCIAÂ  OR BRASIL  1ND</v>
          </cell>
        </row>
        <row r="12383">
          <cell r="B12383" t="str">
            <v>17010200000109</v>
          </cell>
          <cell r="C12383" t="str">
            <v>PAGOS DIGITALES PERUANOS                1ND</v>
          </cell>
        </row>
        <row r="12384">
          <cell r="B12384" t="str">
            <v>17020900000101</v>
          </cell>
          <cell r="C12384" t="str">
            <v>BL ACCIONES COMUNES -SWIFT              1ND</v>
          </cell>
        </row>
        <row r="12385">
          <cell r="B12385" t="str">
            <v>17020900000102</v>
          </cell>
          <cell r="C12385" t="str">
            <v>INVERSIONES BLADEX                      1ND</v>
          </cell>
        </row>
        <row r="12386">
          <cell r="B12386" t="str">
            <v>17020900000103</v>
          </cell>
          <cell r="C12386" t="str">
            <v>MASTER CARD                             1ND</v>
          </cell>
        </row>
        <row r="12387">
          <cell r="B12387" t="str">
            <v>17020900000104</v>
          </cell>
          <cell r="C12387" t="str">
            <v>VISA INTERNATIONAL                      1ND</v>
          </cell>
        </row>
        <row r="12388">
          <cell r="B12388" t="str">
            <v>17030900000101</v>
          </cell>
          <cell r="C12388" t="str">
            <v>ACCIONES - VISANET                      1ND</v>
          </cell>
        </row>
        <row r="12389">
          <cell r="B12389" t="str">
            <v>17030900000102</v>
          </cell>
          <cell r="C12389" t="str">
            <v>ACC CAMARA DE COMPENSACION ELECTRONICA  1ND</v>
          </cell>
        </row>
        <row r="12390">
          <cell r="B12390" t="str">
            <v>17030900000105</v>
          </cell>
          <cell r="C12390" t="str">
            <v>ACCIONES - CAF                          1ND</v>
          </cell>
        </row>
        <row r="12391">
          <cell r="B12391" t="str">
            <v>17030900000109</v>
          </cell>
          <cell r="C12391" t="str">
            <v>ACCIONES - OTRAS                        1ND</v>
          </cell>
        </row>
        <row r="12392">
          <cell r="B12392" t="str">
            <v>17030900000110</v>
          </cell>
          <cell r="C12392" t="str">
            <v>LA FIDUCIARIA S.A.                      1ND</v>
          </cell>
        </row>
        <row r="12393">
          <cell r="B12393" t="str">
            <v>17030900000111</v>
          </cell>
          <cell r="C12393" t="str">
            <v>BL PROCESOS MC PERU                     1ND</v>
          </cell>
        </row>
        <row r="12394">
          <cell r="B12394" t="str">
            <v>17030900000114</v>
          </cell>
          <cell r="C12394" t="str">
            <v>INV EN ASOC EN PARTICIPACION            1ND</v>
          </cell>
        </row>
        <row r="12395">
          <cell r="B12395" t="str">
            <v>17030900000115</v>
          </cell>
          <cell r="C12395" t="str">
            <v>TITULIZADORA PERUANA SOCIEDAD TITULIZ   1ND</v>
          </cell>
        </row>
        <row r="12396">
          <cell r="B12396" t="str">
            <v>17030900000116</v>
          </cell>
          <cell r="C12396" t="str">
            <v>REGISTRO INV TRANSFERENCIA  OR BRASIL   1ND</v>
          </cell>
        </row>
        <row r="12397">
          <cell r="B12397" t="str">
            <v>17030900000117</v>
          </cell>
          <cell r="C12397" t="str">
            <v>PAGOS DIGITALES PERUANOS                1ND</v>
          </cell>
        </row>
        <row r="12398">
          <cell r="B12398" t="str">
            <v>17050100000101</v>
          </cell>
          <cell r="C12398" t="str">
            <v>CAPITAL ASIGNADO A SUCURSALES DEL EXTERI1ND</v>
          </cell>
        </row>
        <row r="12399">
          <cell r="B12399" t="str">
            <v>17080101000101</v>
          </cell>
          <cell r="C12399" t="str">
            <v>RENDTOS.DEV.- SUBSIDIARIAS PAIS         1ND</v>
          </cell>
        </row>
        <row r="12400">
          <cell r="B12400" t="str">
            <v>17080109000101</v>
          </cell>
          <cell r="C12400" t="str">
            <v>RENDTOS.DEV.- OTRAS INV.PERM PAIS       1ND</v>
          </cell>
        </row>
        <row r="12401">
          <cell r="B12401" t="str">
            <v>17080300000101</v>
          </cell>
          <cell r="C12401" t="str">
            <v>REND INV ASOC PART Y OTR CONTR ASOC     1ND</v>
          </cell>
        </row>
        <row r="12402">
          <cell r="B12402" t="str">
            <v>17090209000101</v>
          </cell>
          <cell r="C12402" t="str">
            <v>PROV INVERSIONES PJ DEL EXTERIOR        1ND</v>
          </cell>
        </row>
        <row r="12403">
          <cell r="B12403" t="str">
            <v>17090300000101</v>
          </cell>
          <cell r="C12403" t="str">
            <v>PROV.FLUCT. VALORES - OTR INV PERM      1ND</v>
          </cell>
        </row>
        <row r="12404">
          <cell r="B12404" t="str">
            <v>18010100000101</v>
          </cell>
          <cell r="C12404" t="str">
            <v>TERRENOS PARA USO DEL BANCO             1ND</v>
          </cell>
        </row>
        <row r="12405">
          <cell r="B12405" t="str">
            <v>18010100000102</v>
          </cell>
          <cell r="C12405" t="str">
            <v>TERRENOS PARA USO TEMPORAL-TERCEROS     1ND</v>
          </cell>
        </row>
        <row r="12406">
          <cell r="B12406" t="str">
            <v>18010100000105</v>
          </cell>
          <cell r="C12406" t="str">
            <v>TERRENOS - REVALUACION                  1ND</v>
          </cell>
        </row>
        <row r="12407">
          <cell r="B12407" t="str">
            <v>18020100000101</v>
          </cell>
          <cell r="C12407" t="str">
            <v>EDIFICIOS PARA USO DEL BANCO            1ND</v>
          </cell>
        </row>
        <row r="12408">
          <cell r="B12408" t="str">
            <v>18020100000102</v>
          </cell>
          <cell r="C12408" t="str">
            <v>EDIFICIOS PARA USO TEMPORAL-TERCEROS    1ND</v>
          </cell>
        </row>
        <row r="12409">
          <cell r="B12409" t="str">
            <v>18020100000105</v>
          </cell>
          <cell r="C12409" t="str">
            <v>EDIFICIOS - REVALUACION                 1ND</v>
          </cell>
        </row>
        <row r="12410">
          <cell r="B12410" t="str">
            <v>18020100000118</v>
          </cell>
          <cell r="C12410" t="str">
            <v>Techos - Edif. Uso de terceros          1ND</v>
          </cell>
        </row>
        <row r="12411">
          <cell r="B12411" t="str">
            <v>18020100000119</v>
          </cell>
          <cell r="C12411" t="str">
            <v>Pisos - Edif. Uso de terceros           1ND</v>
          </cell>
        </row>
        <row r="12412">
          <cell r="B12412" t="str">
            <v>18020100000120</v>
          </cell>
          <cell r="C12412" t="str">
            <v>Puertas y Ventanas - Edif. Uso de tercer1ND</v>
          </cell>
        </row>
        <row r="12413">
          <cell r="B12413" t="str">
            <v>18020100000121</v>
          </cell>
          <cell r="C12413" t="str">
            <v>Revestimientos-Edif. Uso de terceros    1ND</v>
          </cell>
        </row>
        <row r="12414">
          <cell r="B12414" t="str">
            <v>18020100000122</v>
          </cell>
          <cell r="C12414" t="str">
            <v>BaÃ±os-Edif. Uso de terceros            1ND</v>
          </cell>
        </row>
        <row r="12415">
          <cell r="B12415" t="str">
            <v>18020100000123</v>
          </cell>
          <cell r="C12415" t="str">
            <v>Instalaciones -Edif. Uso de terceros    1ND</v>
          </cell>
        </row>
        <row r="12416">
          <cell r="B12416" t="str">
            <v>18020100000124</v>
          </cell>
          <cell r="C12416" t="str">
            <v>Obras Complementarias-Edif. Uso de terce1ND</v>
          </cell>
        </row>
        <row r="12417">
          <cell r="B12417" t="str">
            <v>18020100000125</v>
          </cell>
          <cell r="C12417" t="str">
            <v>Instalaciones Fijas-Edif. Uso de tercero1ND</v>
          </cell>
        </row>
        <row r="12418">
          <cell r="B12418" t="str">
            <v>18020100000126</v>
          </cell>
          <cell r="C12418" t="str">
            <v>Areas Comunes-Edif. Uso de terceros     1ND</v>
          </cell>
        </row>
        <row r="12419">
          <cell r="B12419" t="str">
            <v>18020100000701</v>
          </cell>
          <cell r="C12419" t="str">
            <v>IFRS-MUROS Y COLUMNAS-EDIF.PROPIO       1ND</v>
          </cell>
        </row>
        <row r="12420">
          <cell r="B12420" t="str">
            <v>18020100000702</v>
          </cell>
          <cell r="C12420" t="str">
            <v>IFRS-TECHOS-EDIF.PROPIO                 1ND</v>
          </cell>
        </row>
        <row r="12421">
          <cell r="B12421" t="str">
            <v>18020100000703</v>
          </cell>
          <cell r="C12421" t="str">
            <v>IFRS-PISOS-EDIF.PROPIO                  1ND</v>
          </cell>
        </row>
        <row r="12422">
          <cell r="B12422" t="str">
            <v>18020100000704</v>
          </cell>
          <cell r="C12422" t="str">
            <v>IFRS-PUERTAS Y VENTANAS-EDIF.PROPIO     1ND</v>
          </cell>
        </row>
        <row r="12423">
          <cell r="B12423" t="str">
            <v>18020100000705</v>
          </cell>
          <cell r="C12423" t="str">
            <v>IFRS-REVESTIMIENTOS-EDIF.PROPIO         1ND</v>
          </cell>
        </row>
        <row r="12424">
          <cell r="B12424" t="str">
            <v>18020100000706</v>
          </cell>
          <cell r="C12424" t="str">
            <v>IFRS-BAÃ‘OS-EDIF.PROPIO                 1ND</v>
          </cell>
        </row>
        <row r="12425">
          <cell r="B12425" t="str">
            <v>18020100000707</v>
          </cell>
          <cell r="C12425" t="str">
            <v>IFRS-INSTALACIONES-EDIF.PROPIO          1ND</v>
          </cell>
        </row>
        <row r="12426">
          <cell r="B12426" t="str">
            <v>18020100000708</v>
          </cell>
          <cell r="C12426" t="str">
            <v>IFRS-OBRAS COMPLEMENTARIAS-EDIF.PROPIO  1ND</v>
          </cell>
        </row>
        <row r="12427">
          <cell r="B12427" t="str">
            <v>18020100000709</v>
          </cell>
          <cell r="C12427" t="str">
            <v>IFRS-INSTALACIONES FIJAS-EDIF.PROPIO    1ND</v>
          </cell>
        </row>
        <row r="12428">
          <cell r="B12428" t="str">
            <v>18020100000710</v>
          </cell>
          <cell r="C12428" t="str">
            <v>IFRS-AREAS COMUNES-EDIF.PROPIO          1ND</v>
          </cell>
        </row>
        <row r="12429">
          <cell r="B12429" t="str">
            <v>18020100000711</v>
          </cell>
          <cell r="C12429" t="str">
            <v>IFRS-MUROS Y COLUMNAS-EDIF.TERCEROS     1ND</v>
          </cell>
        </row>
        <row r="12430">
          <cell r="B12430" t="str">
            <v>18020200000101</v>
          </cell>
          <cell r="C12430" t="str">
            <v>INSTALACIONES                           1ND</v>
          </cell>
        </row>
        <row r="12431">
          <cell r="B12431" t="str">
            <v>18020200000701</v>
          </cell>
          <cell r="C12431" t="str">
            <v>IFRS-MUROS Y COLUMNAS-INSTALACIONES     1ND</v>
          </cell>
        </row>
        <row r="12432">
          <cell r="B12432" t="str">
            <v>18020200000702</v>
          </cell>
          <cell r="C12432" t="str">
            <v>IFRS-TECHOS-INSTALACIONES               1ND</v>
          </cell>
        </row>
        <row r="12433">
          <cell r="B12433" t="str">
            <v>18020200000703</v>
          </cell>
          <cell r="C12433" t="str">
            <v>IFRS-PISOS-INSTALACIONES                1ND</v>
          </cell>
        </row>
        <row r="12434">
          <cell r="B12434" t="str">
            <v>18020200000704</v>
          </cell>
          <cell r="C12434" t="str">
            <v>IFRS-PUERTAS Y VENTANAS-INSTALACIONES   1ND</v>
          </cell>
        </row>
        <row r="12435">
          <cell r="B12435" t="str">
            <v>18020200000705</v>
          </cell>
          <cell r="C12435" t="str">
            <v>IFRS-REVESTIMIENTOS-INSTALACIONES       1ND</v>
          </cell>
        </row>
        <row r="12436">
          <cell r="B12436" t="str">
            <v>18020200000706</v>
          </cell>
          <cell r="C12436" t="str">
            <v>IFRS-BAÃ‘OS-INSTALACIONES               1ND</v>
          </cell>
        </row>
        <row r="12437">
          <cell r="B12437" t="str">
            <v>18020200000707</v>
          </cell>
          <cell r="C12437" t="str">
            <v>IFRS-INSTALACIONES-INSTALACIONES        1ND</v>
          </cell>
        </row>
        <row r="12438">
          <cell r="B12438" t="str">
            <v>18020200000708</v>
          </cell>
          <cell r="C12438" t="str">
            <v>IFRS-OBRAS COMPLEMENTARIAS-INSTALACIONES1ND</v>
          </cell>
        </row>
        <row r="12439">
          <cell r="B12439" t="str">
            <v>18020200000709</v>
          </cell>
          <cell r="C12439" t="str">
            <v>IFRS-INSTALACIONES FIJAS-INSTALACIONES  1ND</v>
          </cell>
        </row>
        <row r="12440">
          <cell r="B12440" t="str">
            <v>18020200000710</v>
          </cell>
          <cell r="C12440" t="str">
            <v>IFRS-AREAS COMUNES-INSTALACIONES        1ND</v>
          </cell>
        </row>
        <row r="12441">
          <cell r="B12441" t="str">
            <v>18030100000101</v>
          </cell>
          <cell r="C12441" t="str">
            <v>MOBILIARIO                              1ND</v>
          </cell>
        </row>
        <row r="12442">
          <cell r="B12442" t="str">
            <v>18030100000801</v>
          </cell>
          <cell r="C12442" t="str">
            <v>PAN MOBILIARIOS                         1ND</v>
          </cell>
        </row>
        <row r="12443">
          <cell r="B12443" t="str">
            <v>18030200000101</v>
          </cell>
          <cell r="C12443" t="str">
            <v>EQUIPOS DE COMPUTACION                  1ND</v>
          </cell>
        </row>
        <row r="12444">
          <cell r="B12444" t="str">
            <v>18030200000102</v>
          </cell>
          <cell r="C12444" t="str">
            <v>TARJETAS DE COMPUTO Y COMUNICACIONES    1ND</v>
          </cell>
        </row>
        <row r="12445">
          <cell r="B12445" t="str">
            <v>18030200000201</v>
          </cell>
          <cell r="C12445" t="str">
            <v>EQUIPOS DE COMPUTACION-SERVICIOS CORPORA1ND</v>
          </cell>
        </row>
        <row r="12446">
          <cell r="B12446" t="str">
            <v>18030200000202</v>
          </cell>
          <cell r="C12446" t="str">
            <v>EQUIPO PARA EL RECONOCIMIENTO Y CONTEO D1ND</v>
          </cell>
        </row>
        <row r="12447">
          <cell r="B12447" t="str">
            <v>18030200000801</v>
          </cell>
          <cell r="C12447" t="str">
            <v>PAN EQUIPO DE COMPUTO                   1ND</v>
          </cell>
        </row>
        <row r="12448">
          <cell r="B12448" t="str">
            <v>18030900000101</v>
          </cell>
          <cell r="C12448" t="str">
            <v>EQUIPOS DE COMUNICACION900000101        1ND</v>
          </cell>
        </row>
        <row r="12449">
          <cell r="B12449" t="str">
            <v>18030900000102</v>
          </cell>
          <cell r="C12449" t="str">
            <v>AIRE ACONDICIONADO                      1ND</v>
          </cell>
        </row>
        <row r="12450">
          <cell r="B12450" t="str">
            <v>18030900000103</v>
          </cell>
          <cell r="C12450" t="str">
            <v>EQUIPO ELECTROGENO                      1ND</v>
          </cell>
        </row>
        <row r="12451">
          <cell r="B12451" t="str">
            <v>18030900000104</v>
          </cell>
          <cell r="C12451" t="str">
            <v>BL EQUIPOS DIVERSOS                     1ND</v>
          </cell>
        </row>
        <row r="12452">
          <cell r="B12452" t="str">
            <v>18030900000109</v>
          </cell>
          <cell r="C12452" t="str">
            <v>OTROS EQUIPOS DIVERSOS0900000109        1ND</v>
          </cell>
        </row>
        <row r="12453">
          <cell r="B12453" t="str">
            <v>18030900000801</v>
          </cell>
          <cell r="C12453" t="str">
            <v>PAN EQUIPO DE OFICINA                   1ND</v>
          </cell>
        </row>
        <row r="12454">
          <cell r="B12454" t="str">
            <v>18040100000101</v>
          </cell>
          <cell r="C12454" t="str">
            <v>VEHICULOS                               1ND</v>
          </cell>
        </row>
        <row r="12455">
          <cell r="B12455" t="str">
            <v>18050200000101</v>
          </cell>
          <cell r="C12455" t="str">
            <v>ACTIVO FIJO LEASING OPERATIVO           1ND</v>
          </cell>
        </row>
        <row r="12456">
          <cell r="B12456" t="str">
            <v>18050200000109</v>
          </cell>
          <cell r="C12456" t="str">
            <v>ACTIVO FIJO DATA CENTER                 1ND</v>
          </cell>
        </row>
        <row r="12457">
          <cell r="B12457" t="str">
            <v>18050200000110</v>
          </cell>
          <cell r="C12457" t="str">
            <v>ACTIVO FIJO ARRENDAMIENTO PC            1ND</v>
          </cell>
        </row>
        <row r="12458">
          <cell r="B12458" t="str">
            <v>18050200000111</v>
          </cell>
          <cell r="C12458" t="str">
            <v>ACTIVO FIJO ARRENDAMIENTO EMBOZADORAS   1ND</v>
          </cell>
        </row>
        <row r="12459">
          <cell r="B12459" t="str">
            <v>18050200000112</v>
          </cell>
          <cell r="C12459" t="str">
            <v>EQUIPO DE RED INALAMBRICO               1ND</v>
          </cell>
        </row>
        <row r="12460">
          <cell r="B12460" t="str">
            <v>18060100000201</v>
          </cell>
          <cell r="C12460" t="str">
            <v>OBRAS EN EJECUCION-SERVICIOS            1YD</v>
          </cell>
        </row>
        <row r="12461">
          <cell r="B12461" t="str">
            <v>18060102020101</v>
          </cell>
          <cell r="C12461" t="str">
            <v>OBRAS EN EJECUCION-SERVICIOS            1ND</v>
          </cell>
        </row>
        <row r="12462">
          <cell r="B12462" t="str">
            <v>18060102020102</v>
          </cell>
          <cell r="C12462" t="str">
            <v>OBRAS EN EJECUCIÃ“N                     1ND</v>
          </cell>
        </row>
        <row r="12463">
          <cell r="B12463" t="str">
            <v>18060102020110</v>
          </cell>
          <cell r="C12463" t="str">
            <v>MATERIALES PARA OBRAS EN EJECUCION      1ND</v>
          </cell>
        </row>
        <row r="12464">
          <cell r="B12464" t="str">
            <v>18060102020111</v>
          </cell>
          <cell r="C12464" t="str">
            <v>MATERIALES PARA OBRAS EN EJECUCION-CLOUD1ND</v>
          </cell>
        </row>
        <row r="12465">
          <cell r="B12465" t="str">
            <v>18060200000101</v>
          </cell>
          <cell r="C12465" t="str">
            <v>BIENES POR RECIBIR                      1YD</v>
          </cell>
        </row>
        <row r="12466">
          <cell r="B12466" t="str">
            <v>18060200000102</v>
          </cell>
          <cell r="C12466" t="str">
            <v>BIENES POR RECIBIR - PROYECTOS          1ND</v>
          </cell>
        </row>
        <row r="12467">
          <cell r="B12467" t="str">
            <v>18060200000104</v>
          </cell>
          <cell r="C12467" t="str">
            <v>EQUIPOS EN PROCESO DE INSTALACION       1ND</v>
          </cell>
        </row>
        <row r="12468">
          <cell r="B12468" t="str">
            <v>18060200000105</v>
          </cell>
          <cell r="C12468" t="str">
            <v>TRANSITORIA ACTIVO FIJO                 1YD</v>
          </cell>
        </row>
        <row r="12469">
          <cell r="B12469" t="str">
            <v>18060200000106</v>
          </cell>
          <cell r="C12469" t="str">
            <v>EQUIPOS POR INSTALAR EN ALMACEN         1ND</v>
          </cell>
        </row>
        <row r="12470">
          <cell r="B12470" t="str">
            <v>18060200000107</v>
          </cell>
          <cell r="C12470" t="str">
            <v>ACTIVOS POR RECIBIR                     1ND</v>
          </cell>
        </row>
        <row r="12471">
          <cell r="B12471" t="str">
            <v>18060200000108</v>
          </cell>
          <cell r="C12471" t="str">
            <v>LEASING OPERATIVO                       1ND</v>
          </cell>
        </row>
        <row r="12472">
          <cell r="B12472" t="str">
            <v>18060200000109</v>
          </cell>
          <cell r="C12472" t="str">
            <v>LEASING (Transitoria)                   1ND</v>
          </cell>
        </row>
        <row r="12473">
          <cell r="B12473" t="str">
            <v>18060200000110</v>
          </cell>
          <cell r="C12473" t="str">
            <v>ARRENDAMIENTO PC (TRANSITORIA)          1ND</v>
          </cell>
        </row>
        <row r="12474">
          <cell r="B12474" t="str">
            <v>18060200000111</v>
          </cell>
          <cell r="C12474" t="str">
            <v>ARRENDAMIENTO EMBOZADORAS (TRANSITORIA) 1ND</v>
          </cell>
        </row>
        <row r="12475">
          <cell r="B12475" t="str">
            <v>18060200000112</v>
          </cell>
          <cell r="C12475" t="str">
            <v>INV MATERIALES POR RECIBIR PROYECTOS CLO1ND</v>
          </cell>
        </row>
        <row r="12476">
          <cell r="B12476" t="str">
            <v>18060200000113</v>
          </cell>
          <cell r="C12476" t="str">
            <v>EQUIPO DE RED INALAMBRICO               1ND</v>
          </cell>
        </row>
        <row r="12477">
          <cell r="B12477" t="str">
            <v>18070100000101</v>
          </cell>
          <cell r="C12477" t="str">
            <v>MEJORAS EN PROPIEDADES ALQUILADASÂ IBÂ Â1ND</v>
          </cell>
        </row>
        <row r="12478">
          <cell r="B12478" t="str">
            <v>18070100000102</v>
          </cell>
          <cell r="C12478" t="str">
            <v>BL MEJORAS EN PROPIEDADES ALQUILADASÂ Â 1ND</v>
          </cell>
        </row>
        <row r="12479">
          <cell r="B12479" t="str">
            <v>18070100000801</v>
          </cell>
          <cell r="C12479" t="str">
            <v>PAN INSTALACIONES EN PROPIEDADES ALQUILA1ND</v>
          </cell>
        </row>
        <row r="12480">
          <cell r="B12480" t="str">
            <v>18070200000102</v>
          </cell>
          <cell r="C12480" t="str">
            <v>BL MEJORAS EN PROPIEDADES ALQUILADAS    1ND</v>
          </cell>
        </row>
        <row r="12481">
          <cell r="B12481" t="str">
            <v>18070200000801</v>
          </cell>
          <cell r="C12481" t="str">
            <v>PAN MEJORAS/ PROPIEDAD ARRENDADA        1ND</v>
          </cell>
        </row>
        <row r="12482">
          <cell r="B12482" t="str">
            <v>18080100000101</v>
          </cell>
          <cell r="C12482" t="str">
            <v>TERRENOS-ARRENDAMIENTO FINANCIERO       1ND</v>
          </cell>
        </row>
        <row r="12483">
          <cell r="B12483" t="str">
            <v>18080100000201</v>
          </cell>
          <cell r="C12483" t="str">
            <v>EDIFICIOS-ARRENDAMIENTO FINANCIERO      1ND</v>
          </cell>
        </row>
        <row r="12484">
          <cell r="B12484" t="str">
            <v>18080101000201</v>
          </cell>
          <cell r="C12484" t="str">
            <v>EDIFICIOS-ARRENDAMIENTO FINANCIERO      1ND</v>
          </cell>
        </row>
        <row r="12485">
          <cell r="B12485" t="str">
            <v>18080200000101</v>
          </cell>
          <cell r="C12485" t="str">
            <v>180802000001010000                      1ND</v>
          </cell>
        </row>
        <row r="12486">
          <cell r="B12486" t="str">
            <v>18080300000101</v>
          </cell>
          <cell r="C12486" t="str">
            <v>EQ TRANSP EN ARRENDAMIENTO FINANCIERO   1ND</v>
          </cell>
        </row>
        <row r="12487">
          <cell r="B12487" t="str">
            <v>18080300000102</v>
          </cell>
          <cell r="C12487" t="str">
            <v>BL EQUIPOS DE TRANSPORTE00000102        1ND</v>
          </cell>
        </row>
        <row r="12488">
          <cell r="B12488" t="str">
            <v>18080300000201</v>
          </cell>
          <cell r="C12488" t="str">
            <v>MAQ EN ARRENDAMIENTO FINACIERO          1ND</v>
          </cell>
        </row>
        <row r="12489">
          <cell r="B12489" t="str">
            <v>18080300000202</v>
          </cell>
          <cell r="C12489" t="str">
            <v>BL MAQUINARIA AREND FINANC              1ND</v>
          </cell>
        </row>
        <row r="12490">
          <cell r="B12490" t="str">
            <v>18090200000101</v>
          </cell>
          <cell r="C12490" t="str">
            <v>PROV. EDIFICIOS-USO DEL BANCO           1ND</v>
          </cell>
        </row>
        <row r="12491">
          <cell r="B12491" t="str">
            <v>18090200000102</v>
          </cell>
          <cell r="C12491" t="str">
            <v>PROV. EDIFICIOS-USO TEMP POR TERCEROS   1ND</v>
          </cell>
        </row>
        <row r="12492">
          <cell r="B12492" t="str">
            <v>18090200000104</v>
          </cell>
          <cell r="C12492" t="str">
            <v>BL DEP.EDIFICIOS BL                     1ND</v>
          </cell>
        </row>
        <row r="12493">
          <cell r="B12493" t="str">
            <v>18090200000105</v>
          </cell>
          <cell r="C12493" t="str">
            <v>DEPRECIACION -ACUM REV EDIFICIOS        1ND</v>
          </cell>
        </row>
        <row r="12494">
          <cell r="B12494" t="str">
            <v>18090200000106</v>
          </cell>
          <cell r="C12494" t="str">
            <v>DEPRECIACION ACELERADA TORRE IB         1ND</v>
          </cell>
        </row>
        <row r="12495">
          <cell r="B12495" t="str">
            <v>18090200000118</v>
          </cell>
          <cell r="C12495" t="str">
            <v>Dep.Acum-Techos - Edif. Uso Terceros    1ND</v>
          </cell>
        </row>
        <row r="12496">
          <cell r="B12496" t="str">
            <v>18090200000119</v>
          </cell>
          <cell r="C12496" t="str">
            <v>Dep.Acum - Pisos - Edif. Uso Terceros   1ND</v>
          </cell>
        </row>
        <row r="12497">
          <cell r="B12497" t="str">
            <v>18090200000120</v>
          </cell>
          <cell r="C12497" t="str">
            <v>Dep.Acum - Puertas y Ventanas - Edif. Us1ND</v>
          </cell>
        </row>
        <row r="12498">
          <cell r="B12498" t="str">
            <v>18090200000121</v>
          </cell>
          <cell r="C12498" t="str">
            <v>Dep.Acum - Revestimientos - Edif. Uso Te1ND</v>
          </cell>
        </row>
        <row r="12499">
          <cell r="B12499" t="str">
            <v>18090200000122</v>
          </cell>
          <cell r="C12499" t="str">
            <v>Dep.Acum - BaÃ±os - Edif. Uso Terceros  1ND</v>
          </cell>
        </row>
        <row r="12500">
          <cell r="B12500" t="str">
            <v>18090200000123</v>
          </cell>
          <cell r="C12500" t="str">
            <v>Dep.Acum - Instalaciones - Edif. Uso Ter1ND</v>
          </cell>
        </row>
        <row r="12501">
          <cell r="B12501" t="str">
            <v>18090200000124</v>
          </cell>
          <cell r="C12501" t="str">
            <v>Dep.Acum - Obras Complementarias - Edif.1ND</v>
          </cell>
        </row>
        <row r="12502">
          <cell r="B12502" t="str">
            <v>18090200000125</v>
          </cell>
          <cell r="C12502" t="str">
            <v>Dep.Acum - Instalaciones Fijas - Edif. U1ND</v>
          </cell>
        </row>
        <row r="12503">
          <cell r="B12503" t="str">
            <v>18090200000126</v>
          </cell>
          <cell r="C12503" t="str">
            <v>Dep.Acum - Areas Comunes - Edif. Uso Ter1ND</v>
          </cell>
        </row>
        <row r="12504">
          <cell r="B12504" t="str">
            <v>18090200000127</v>
          </cell>
          <cell r="C12504" t="str">
            <v>Dep.Acum - Terrenos                     1ND</v>
          </cell>
        </row>
        <row r="12505">
          <cell r="B12505" t="str">
            <v>18090200000201</v>
          </cell>
          <cell r="C12505" t="str">
            <v>DEP.INSTALACIONES                       1ND</v>
          </cell>
        </row>
        <row r="12506">
          <cell r="B12506" t="str">
            <v>18090200000701</v>
          </cell>
          <cell r="C12506" t="str">
            <v>IFRS-MUROS Y COLUMNAS-DEP.EDIF.PROPIO   1ND</v>
          </cell>
        </row>
        <row r="12507">
          <cell r="B12507" t="str">
            <v>18090200000702</v>
          </cell>
          <cell r="C12507" t="str">
            <v>IFRS-TECHOS-DEP.EDIF.PROPIO             1ND</v>
          </cell>
        </row>
        <row r="12508">
          <cell r="B12508" t="str">
            <v>18090200000703</v>
          </cell>
          <cell r="C12508" t="str">
            <v>IFRS-PISOS-DEP.EDIF.PROPIO              1ND</v>
          </cell>
        </row>
        <row r="12509">
          <cell r="B12509" t="str">
            <v>18090200000704</v>
          </cell>
          <cell r="C12509" t="str">
            <v>IFRS-PUERTAS Y VENTANAS-DEP.EDIF.PROPIO 1ND</v>
          </cell>
        </row>
        <row r="12510">
          <cell r="B12510" t="str">
            <v>18090200000705</v>
          </cell>
          <cell r="C12510" t="str">
            <v>IFRS-REVESTIMIENTOS-DEP.EDIF.PROPIO     1ND</v>
          </cell>
        </row>
        <row r="12511">
          <cell r="B12511" t="str">
            <v>18090200000706</v>
          </cell>
          <cell r="C12511" t="str">
            <v>IFRS-BAÃ‘OS-DEP.EDIF.PROPIO             1ND</v>
          </cell>
        </row>
        <row r="12512">
          <cell r="B12512" t="str">
            <v>18090200000707</v>
          </cell>
          <cell r="C12512" t="str">
            <v>IFRS-INSTALACIONES-DEP.EDIF.PROPIO      1ND</v>
          </cell>
        </row>
        <row r="12513">
          <cell r="B12513" t="str">
            <v>18090200000708</v>
          </cell>
          <cell r="C12513" t="str">
            <v>IFRS-OBRAS COMPLEMENTARIAS-DEP.EDIF.PROP1ND</v>
          </cell>
        </row>
        <row r="12514">
          <cell r="B12514" t="str">
            <v>18090200000709</v>
          </cell>
          <cell r="C12514" t="str">
            <v>IFRS-INSTALACIONES FIJAS-DEP.EDIF.PROPIO1ND</v>
          </cell>
        </row>
        <row r="12515">
          <cell r="B12515" t="str">
            <v>18090200000710</v>
          </cell>
          <cell r="C12515" t="str">
            <v>IFRS-AREAS COMUNES-DEP.EDIF.PROPIO      1ND</v>
          </cell>
        </row>
        <row r="12516">
          <cell r="B12516" t="str">
            <v>18090200000711</v>
          </cell>
          <cell r="C12516" t="str">
            <v>IFRS-MUROS Y COLUMNAS-DEP.EDIF.TERCEROS 1ND</v>
          </cell>
        </row>
        <row r="12517">
          <cell r="B12517" t="str">
            <v>18090200000721</v>
          </cell>
          <cell r="C12517" t="str">
            <v>IFRS-MUROS Y COLUMNAS-DEP.INSTALACIONES 1ND</v>
          </cell>
        </row>
        <row r="12518">
          <cell r="B12518" t="str">
            <v>18090200000722</v>
          </cell>
          <cell r="C12518" t="str">
            <v>IFRS-TECHOS-DEP.INSTALACIONES           1ND</v>
          </cell>
        </row>
        <row r="12519">
          <cell r="B12519" t="str">
            <v>18090200000723</v>
          </cell>
          <cell r="C12519" t="str">
            <v>IFRS-PISOS-DEP.INSTALACIONES            1ND</v>
          </cell>
        </row>
        <row r="12520">
          <cell r="B12520" t="str">
            <v>18090200000724</v>
          </cell>
          <cell r="C12520" t="str">
            <v>IFRS-PUERTAS Y VENTANAS-DEP.INSTALACIONE1ND</v>
          </cell>
        </row>
        <row r="12521">
          <cell r="B12521" t="str">
            <v>18090200000725</v>
          </cell>
          <cell r="C12521" t="str">
            <v>IFRS-REVESTIMIENTOS-DEP.INSTALACIONES   1ND</v>
          </cell>
        </row>
        <row r="12522">
          <cell r="B12522" t="str">
            <v>18090200000726</v>
          </cell>
          <cell r="C12522" t="str">
            <v>IFRS-BAÃ‘OS-DEP.INSTALACIONES           1ND</v>
          </cell>
        </row>
        <row r="12523">
          <cell r="B12523" t="str">
            <v>18090200000727</v>
          </cell>
          <cell r="C12523" t="str">
            <v>IFRS-INSTALACIONES-DEP.INSTALACIONES    1ND</v>
          </cell>
        </row>
        <row r="12524">
          <cell r="B12524" t="str">
            <v>18090200000728</v>
          </cell>
          <cell r="C12524" t="str">
            <v>IFRS-OBRAS COMPLEMENTARIAS-DEP.INSTALACI1ND</v>
          </cell>
        </row>
        <row r="12525">
          <cell r="B12525" t="str">
            <v>18090200000729</v>
          </cell>
          <cell r="C12525" t="str">
            <v>IFRS-INSTALACIONES FIJAS-DEP.INSTALACION1ND</v>
          </cell>
        </row>
        <row r="12526">
          <cell r="B12526" t="str">
            <v>18090200000730</v>
          </cell>
          <cell r="C12526" t="str">
            <v>IFRS-AREAS COMUNES-DEP.INSTALACIONES    1ND</v>
          </cell>
        </row>
        <row r="12527">
          <cell r="B12527" t="str">
            <v>18090200000731</v>
          </cell>
          <cell r="C12527" t="str">
            <v>IFRS-MUROS Y COLUMNAS-REVALUACION       1ND</v>
          </cell>
        </row>
        <row r="12528">
          <cell r="B12528" t="str">
            <v>18090200000732</v>
          </cell>
          <cell r="C12528" t="str">
            <v>IFRS-TECHOS-REVALUACION                 1ND</v>
          </cell>
        </row>
        <row r="12529">
          <cell r="B12529" t="str">
            <v>18090200000733</v>
          </cell>
          <cell r="C12529" t="str">
            <v>IFRS-PISOS-REVALUACION                  1ND</v>
          </cell>
        </row>
        <row r="12530">
          <cell r="B12530" t="str">
            <v>18090200000734</v>
          </cell>
          <cell r="C12530" t="str">
            <v>IFRS-PUERTAS Y VENTANAS-REVALUACION     1ND</v>
          </cell>
        </row>
        <row r="12531">
          <cell r="B12531" t="str">
            <v>18090200000735</v>
          </cell>
          <cell r="C12531" t="str">
            <v>IFRS-REVESTIMIENTOS-REVALUACION         1ND</v>
          </cell>
        </row>
        <row r="12532">
          <cell r="B12532" t="str">
            <v>18090200000736</v>
          </cell>
          <cell r="C12532" t="str">
            <v>IFRS-BAÃ‘OS-REVALUACION                 1ND</v>
          </cell>
        </row>
        <row r="12533">
          <cell r="B12533" t="str">
            <v>18090200000737</v>
          </cell>
          <cell r="C12533" t="str">
            <v>IFRS-INSTALACIONES-REVALUACION          1ND</v>
          </cell>
        </row>
        <row r="12534">
          <cell r="B12534" t="str">
            <v>18090200000738</v>
          </cell>
          <cell r="C12534" t="str">
            <v>IFRS-OBRAS COMPLEMENTARIAS-REVALUACION  1ND</v>
          </cell>
        </row>
        <row r="12535">
          <cell r="B12535" t="str">
            <v>18090200000739</v>
          </cell>
          <cell r="C12535" t="str">
            <v>IFRS-INSTALACIONES FIJAS-REVALUACION    1ND</v>
          </cell>
        </row>
        <row r="12536">
          <cell r="B12536" t="str">
            <v>18090200000740</v>
          </cell>
          <cell r="C12536" t="str">
            <v>IFRS-AREAS COMUNES-REVALUACION          1ND</v>
          </cell>
        </row>
        <row r="12537">
          <cell r="B12537" t="str">
            <v>18090300000101</v>
          </cell>
          <cell r="C12537" t="str">
            <v>DEP.MOBILIARIO                          1ND</v>
          </cell>
        </row>
        <row r="12538">
          <cell r="B12538" t="str">
            <v>18090300000201</v>
          </cell>
          <cell r="C12538" t="str">
            <v>DEP.EQUIPOS DE COMPUTACION              1ND</v>
          </cell>
        </row>
        <row r="12539">
          <cell r="B12539" t="str">
            <v>18090300000202</v>
          </cell>
          <cell r="C12539" t="str">
            <v>DEP. TARJETA DE COMPUTO Y COMUNIC       1ND</v>
          </cell>
        </row>
        <row r="12540">
          <cell r="B12540" t="str">
            <v>18090300000301</v>
          </cell>
          <cell r="C12540" t="str">
            <v>DEP. EQUIPOS DE COMUNICACION            1ND</v>
          </cell>
        </row>
        <row r="12541">
          <cell r="B12541" t="str">
            <v>18090300000302</v>
          </cell>
          <cell r="C12541" t="str">
            <v>DEP. EQUIPOS DE AIRE ACONDICIONADO      1ND</v>
          </cell>
        </row>
        <row r="12542">
          <cell r="B12542" t="str">
            <v>18090300000303</v>
          </cell>
          <cell r="C12542" t="str">
            <v>DEP. EQUIPO ELECTRAGENO                 1ND</v>
          </cell>
        </row>
        <row r="12543">
          <cell r="B12543" t="str">
            <v>18090300000304</v>
          </cell>
          <cell r="C12543" t="str">
            <v>BL DEPRECIACION EQUIPOS DIVERSOS        1ND</v>
          </cell>
        </row>
        <row r="12544">
          <cell r="B12544" t="str">
            <v>18090300000309</v>
          </cell>
          <cell r="C12544" t="str">
            <v>DEP. OTROS EQUIPOS DIVERSOS             1ND</v>
          </cell>
        </row>
        <row r="12545">
          <cell r="B12545" t="str">
            <v>18090300000401</v>
          </cell>
          <cell r="C12545" t="str">
            <v>DEP.EQUIPOS DE COMPUTACION-SERVICIOS COR1ND</v>
          </cell>
        </row>
        <row r="12546">
          <cell r="B12546" t="str">
            <v>18090300000402</v>
          </cell>
          <cell r="C12546" t="str">
            <v>EQUIPO PARA EL RECONOCIMIENTO Y CONTEO D1ND</v>
          </cell>
        </row>
        <row r="12547">
          <cell r="B12547" t="str">
            <v>18090300000801</v>
          </cell>
          <cell r="C12547" t="str">
            <v>PAN DEPR.ACUM.MOBILIARIO Y ENSERES      1ND</v>
          </cell>
        </row>
        <row r="12548">
          <cell r="B12548" t="str">
            <v>18090300000802</v>
          </cell>
          <cell r="C12548" t="str">
            <v>PAN DEPR.ACUM. EQUIPO DE COMPUTO        1ND</v>
          </cell>
        </row>
        <row r="12549">
          <cell r="B12549" t="str">
            <v>18090300000803</v>
          </cell>
          <cell r="C12549" t="str">
            <v>PAN DEPR. ACUM. EQUIPO DE OFICINA       1ND</v>
          </cell>
        </row>
        <row r="12550">
          <cell r="B12550" t="str">
            <v>18090300000804</v>
          </cell>
          <cell r="C12550" t="str">
            <v>PAN DEPR.ACUM. EQUIPO RODANTE           1ND</v>
          </cell>
        </row>
        <row r="12551">
          <cell r="B12551" t="str">
            <v>18090400000101</v>
          </cell>
          <cell r="C12551" t="str">
            <v>DEPRECIACION-VEHICULOS                  1ND</v>
          </cell>
        </row>
        <row r="12552">
          <cell r="B12552" t="str">
            <v>18090400000201</v>
          </cell>
          <cell r="C12552" t="str">
            <v>BL DEPRECIACION-MAQUINARIAS BL          1ND</v>
          </cell>
        </row>
        <row r="12553">
          <cell r="B12553" t="str">
            <v>18090501000101</v>
          </cell>
          <cell r="C12553" t="str">
            <v>DEPRECIACION ACUMULADA LEASING OPERATIVO1ND</v>
          </cell>
        </row>
        <row r="12554">
          <cell r="B12554" t="str">
            <v>18090501000109</v>
          </cell>
          <cell r="C12554" t="str">
            <v>DEPRECIACION ACUMULADA LEASING DATA CENT1ND</v>
          </cell>
        </row>
        <row r="12555">
          <cell r="B12555" t="str">
            <v>18090501000110</v>
          </cell>
          <cell r="C12555" t="str">
            <v>DEPRECIACION ACUMULADA ARRENDAMIENTO PC 1ND</v>
          </cell>
        </row>
        <row r="12556">
          <cell r="B12556" t="str">
            <v>18090501000111</v>
          </cell>
          <cell r="C12556" t="str">
            <v>DEPREC. ACUM. ARREND. EMBOZADORAS       1ND</v>
          </cell>
        </row>
        <row r="12557">
          <cell r="B12557" t="str">
            <v>18090501000112</v>
          </cell>
          <cell r="C12557" t="str">
            <v>DEPRECIACION ACUMULADA LEASING EQUIPO DE1ND</v>
          </cell>
        </row>
        <row r="12558">
          <cell r="B12558" t="str">
            <v>18090700000201</v>
          </cell>
          <cell r="C12558" t="str">
            <v>AMORTIZ-MEJORAS EN PROP ALQUILADAS      1ND</v>
          </cell>
        </row>
        <row r="12559">
          <cell r="B12559" t="str">
            <v>18090700000202</v>
          </cell>
          <cell r="C12559" t="str">
            <v>BL AMORTZ MEJORAS EN PROPIED ALQ        1ND</v>
          </cell>
        </row>
        <row r="12560">
          <cell r="B12560" t="str">
            <v>18090700000801</v>
          </cell>
          <cell r="C12560" t="str">
            <v>PAN AMORT.ACUM MEJORAS/PROP.ARREND      1ND</v>
          </cell>
        </row>
        <row r="12561">
          <cell r="B12561" t="str">
            <v>18090801000101</v>
          </cell>
          <cell r="C12561" t="str">
            <v>DEP.EDIF CEDIDOS EN ARRENDAM. FINANCI   1ND</v>
          </cell>
        </row>
        <row r="12562">
          <cell r="B12562" t="str">
            <v>18090801000201</v>
          </cell>
          <cell r="C12562" t="str">
            <v>DEP. MOB Y EQ CEDIDO EN ARREND FINANC   1ND</v>
          </cell>
        </row>
        <row r="12563">
          <cell r="B12563" t="str">
            <v>18090801000202</v>
          </cell>
          <cell r="C12563" t="str">
            <v>BL DEP MOB Y EQUIPO                     1ND</v>
          </cell>
        </row>
        <row r="12564">
          <cell r="B12564" t="str">
            <v>18090801000301</v>
          </cell>
          <cell r="C12564" t="str">
            <v>DEP.EQ DE TRANSP CED EN ARREND FINANC   1ND</v>
          </cell>
        </row>
        <row r="12565">
          <cell r="B12565" t="str">
            <v>18090801000302</v>
          </cell>
          <cell r="C12565" t="str">
            <v>DEP.MAQ CED EN ARREND FINANCIERO        1ND</v>
          </cell>
        </row>
        <row r="12566">
          <cell r="B12566" t="str">
            <v>18090801000304</v>
          </cell>
          <cell r="C12566" t="str">
            <v>BL DEP MAQ                              1ND</v>
          </cell>
        </row>
        <row r="12567">
          <cell r="B12567" t="str">
            <v>18090801000305</v>
          </cell>
          <cell r="C12567" t="str">
            <v>BL DEP MAQ0000000018190801000305        1ND</v>
          </cell>
        </row>
        <row r="12568">
          <cell r="B12568" t="str">
            <v>19010100000102</v>
          </cell>
          <cell r="C12568" t="str">
            <v>SEGURO ESPECIAL TC AMEX                 1ND</v>
          </cell>
        </row>
        <row r="12569">
          <cell r="B12569" t="str">
            <v>19010100000201</v>
          </cell>
          <cell r="C12569" t="str">
            <v>FA - SEGURO DIFERIDO                    1ND</v>
          </cell>
        </row>
        <row r="12570">
          <cell r="B12570" t="str">
            <v>19010100000202</v>
          </cell>
          <cell r="C12570" t="str">
            <v>FA - SEGURO ARREND FINANC DIFERIDO      1ND</v>
          </cell>
        </row>
        <row r="12571">
          <cell r="B12571" t="str">
            <v>19010200000201</v>
          </cell>
          <cell r="C12571" t="str">
            <v>FA - ALQUILERES DIFERIDO                1ND</v>
          </cell>
        </row>
        <row r="12572">
          <cell r="B12572" t="str">
            <v>19010200000202</v>
          </cell>
          <cell r="C12572" t="str">
            <v>ALQUILER A SPSA                         1ND</v>
          </cell>
        </row>
        <row r="12573">
          <cell r="B12573" t="str">
            <v>19010200000203</v>
          </cell>
          <cell r="C12573" t="str">
            <v>ALQUILER A CCP                          1ND</v>
          </cell>
        </row>
        <row r="12574">
          <cell r="B12574" t="str">
            <v>19010200000801</v>
          </cell>
          <cell r="C12574" t="str">
            <v>PAN DEUDORES VARIOS                     1ND</v>
          </cell>
        </row>
        <row r="12575">
          <cell r="B12575" t="str">
            <v>19010300000201</v>
          </cell>
          <cell r="C12575" t="str">
            <v>FA - PUBLICIDAD DIFERIDO                1ND</v>
          </cell>
        </row>
        <row r="12576">
          <cell r="B12576" t="str">
            <v>19010500000101</v>
          </cell>
          <cell r="C12576" t="str">
            <v>COMISIONES DIFERIDOS DERCO - VEHICULAR  1ND</v>
          </cell>
        </row>
        <row r="12577">
          <cell r="B12577" t="str">
            <v>19010500000104</v>
          </cell>
          <cell r="C12577" t="str">
            <v>COMISIONES PAGADAS POR ADEUDADOS JP MORG1ND</v>
          </cell>
        </row>
        <row r="12578">
          <cell r="B12578" t="str">
            <v>19010500000801</v>
          </cell>
          <cell r="C12578" t="str">
            <v>PAN COMIS BONOS HIBRIDOS                1ND</v>
          </cell>
        </row>
        <row r="12579">
          <cell r="B12579" t="str">
            <v>19010500000802</v>
          </cell>
          <cell r="C12579" t="str">
            <v>PAN COMIS BONOS SENIOR                  1ND</v>
          </cell>
        </row>
        <row r="12580">
          <cell r="B12580" t="str">
            <v>19010600000101</v>
          </cell>
          <cell r="C12580" t="str">
            <v>ENTREGAS A RENDIR CUENTA                1YD</v>
          </cell>
        </row>
        <row r="12581">
          <cell r="B12581" t="str">
            <v>19010600000102</v>
          </cell>
          <cell r="C12581" t="str">
            <v>AP CTA ANTICIPO COLABORADOR             1ND</v>
          </cell>
        </row>
        <row r="12582">
          <cell r="B12582" t="str">
            <v>19010600000201</v>
          </cell>
          <cell r="C12582" t="str">
            <v>LIQ. CAJA CHICA TDA. - AP               1ND</v>
          </cell>
        </row>
        <row r="12583">
          <cell r="B12583" t="str">
            <v>19010600000202</v>
          </cell>
          <cell r="C12583" t="str">
            <v>REEMBOLSO CAJA CHICA TDAS  - AP         1ND</v>
          </cell>
        </row>
        <row r="12584">
          <cell r="B12584" t="str">
            <v>19010600000203</v>
          </cell>
          <cell r="C12584" t="str">
            <v>PAY CTA.ANTICIPO COLABORADOR            1ND</v>
          </cell>
        </row>
        <row r="12585">
          <cell r="B12585" t="str">
            <v>19011800000101</v>
          </cell>
          <cell r="C12585" t="str">
            <v>BONOS SUBORDIN 2DA EMISION - DSCTO      1ND</v>
          </cell>
        </row>
        <row r="12586">
          <cell r="B12586" t="str">
            <v>19011800000301</v>
          </cell>
          <cell r="C12586" t="str">
            <v>FRACCIONAMIENTO TRIBUTARIO              1ND</v>
          </cell>
        </row>
        <row r="12587">
          <cell r="B12587" t="str">
            <v>19011800000302</v>
          </cell>
          <cell r="C12587" t="str">
            <v>DIFERIDO INT CUOTA AF ATM               1ND</v>
          </cell>
        </row>
        <row r="12588">
          <cell r="B12588" t="str">
            <v>19011800000303</v>
          </cell>
          <cell r="C12588" t="str">
            <v>DIFERIDO IGV CUOTA AF ATM               1ND</v>
          </cell>
        </row>
        <row r="12589">
          <cell r="B12589" t="str">
            <v>19011800000304</v>
          </cell>
          <cell r="C12589" t="str">
            <v>DIFERIDO INT CUOTA AF DATA CENTER       1ND</v>
          </cell>
        </row>
        <row r="12590">
          <cell r="B12590" t="str">
            <v>19011800000305</v>
          </cell>
          <cell r="C12590" t="str">
            <v>DIFERIDO IGV CUOTA AF DATA CENTER       1ND</v>
          </cell>
        </row>
        <row r="12591">
          <cell r="B12591" t="str">
            <v>19011800000306</v>
          </cell>
          <cell r="C12591" t="str">
            <v>DIFERIDO INT CUOTA ARRENDAMIENTO PC     1ND</v>
          </cell>
        </row>
        <row r="12592">
          <cell r="B12592" t="str">
            <v>19011800000307</v>
          </cell>
          <cell r="C12592" t="str">
            <v>DIFERIDO IGV CUOTA  ARRENDAMIENTO PC    1ND</v>
          </cell>
        </row>
        <row r="12593">
          <cell r="B12593" t="str">
            <v>19011800000308</v>
          </cell>
          <cell r="C12593" t="str">
            <v>PRIMA BANCOLOMBIA                       1ND</v>
          </cell>
        </row>
        <row r="12594">
          <cell r="B12594" t="str">
            <v>19011800000309</v>
          </cell>
          <cell r="C12594" t="str">
            <v>PRIMA ITAU-CENTENARIO                   1ND</v>
          </cell>
        </row>
        <row r="12595">
          <cell r="B12595" t="str">
            <v>19011800000310</v>
          </cell>
          <cell r="C12595" t="str">
            <v>AMORTIZACION PRIMA SURA                 1ND</v>
          </cell>
        </row>
        <row r="12596">
          <cell r="B12596" t="str">
            <v>19011800000311</v>
          </cell>
          <cell r="C12596" t="str">
            <v>DIFERIDO INT CUOTA ARREND. EMBOZADORAS  1ND</v>
          </cell>
        </row>
        <row r="12597">
          <cell r="B12597" t="str">
            <v>19011800000312</v>
          </cell>
          <cell r="C12597" t="str">
            <v>DIFERIDO IGV CUOTAÂ  ARREND EMBOZADORAS 1ND</v>
          </cell>
        </row>
        <row r="12598">
          <cell r="B12598" t="str">
            <v>19011800000313</v>
          </cell>
          <cell r="C12598" t="str">
            <v>EQUIPO DE RED INALAMBRICO - INTERES     1ND</v>
          </cell>
        </row>
        <row r="12599">
          <cell r="B12599" t="str">
            <v>19011800000314</v>
          </cell>
          <cell r="C12599" t="str">
            <v>DIFERIDO IGV CUOTA AF RED INALAMBRICA   1ND</v>
          </cell>
        </row>
        <row r="12600">
          <cell r="B12600" t="str">
            <v>19011900000101</v>
          </cell>
          <cell r="C12600" t="str">
            <v>GASTOS PAG.P.ADEL.- CONTROL ADMINISTR   1ND</v>
          </cell>
        </row>
        <row r="12601">
          <cell r="B12601" t="str">
            <v>19011900000102</v>
          </cell>
          <cell r="C12601" t="str">
            <v>GASTOS PRESTAMO SINDICADO               1ND</v>
          </cell>
        </row>
        <row r="12602">
          <cell r="B12602" t="str">
            <v>19011900000103</v>
          </cell>
          <cell r="C12602" t="str">
            <v>GASTOS FWD DB                           1ND</v>
          </cell>
        </row>
        <row r="12603">
          <cell r="B12603" t="str">
            <v>19011900000104</v>
          </cell>
          <cell r="C12603" t="str">
            <v>GASTOS PAGADOS POR ADEUDADOS JP MORGAN  1ND</v>
          </cell>
        </row>
        <row r="12604">
          <cell r="B12604" t="str">
            <v>19011900000105</v>
          </cell>
          <cell r="C12604" t="str">
            <v>GASTOS PAGADOS POR ADEUDADOS WELLS FARGO1ND</v>
          </cell>
        </row>
        <row r="12605">
          <cell r="B12605" t="str">
            <v>19011900000106</v>
          </cell>
          <cell r="C12605" t="str">
            <v>BONOS SENIOR UNSECURED 2023             1ND</v>
          </cell>
        </row>
        <row r="12606">
          <cell r="B12606" t="str">
            <v>19011900000107</v>
          </cell>
          <cell r="C12606" t="str">
            <v>PRIMA BONOS SENIOR UNSECURED 2023       1ND</v>
          </cell>
        </row>
        <row r="12607">
          <cell r="B12607" t="str">
            <v>19011900000108</v>
          </cell>
          <cell r="C12607" t="str">
            <v>DIFERIDO EXCHANGE BONOS SENIOR 2023     1ND</v>
          </cell>
        </row>
        <row r="12608">
          <cell r="B12608" t="str">
            <v>19011900000109</v>
          </cell>
          <cell r="C12608" t="str">
            <v>PRIMA EXCHANGE BONOS SENIOR 2023        1ND</v>
          </cell>
        </row>
        <row r="12609">
          <cell r="B12609" t="str">
            <v>19011900000110</v>
          </cell>
          <cell r="C12609" t="str">
            <v>REG DE LOS INTERESES DE ARREND. PC TRANS1ND</v>
          </cell>
        </row>
        <row r="12610">
          <cell r="B12610" t="str">
            <v>19011900000111</v>
          </cell>
          <cell r="C12610" t="str">
            <v>PAGOS ANTICIPADOS Y CARGAS DIFERIDAS    1ND</v>
          </cell>
        </row>
        <row r="12611">
          <cell r="B12611" t="str">
            <v>19011900000112</v>
          </cell>
          <cell r="C12611" t="str">
            <v>REGISTRO DE LOS INTERESES DE LOS LEASING1ND</v>
          </cell>
        </row>
        <row r="12612">
          <cell r="B12612" t="str">
            <v>19011900000201</v>
          </cell>
          <cell r="C12612" t="str">
            <v>FA - OTROS DIFERIDOS                    1ND</v>
          </cell>
        </row>
        <row r="12613">
          <cell r="B12613" t="str">
            <v>19011900000202</v>
          </cell>
          <cell r="C12613" t="str">
            <v>FA - LEASING DIFERIDO                   1ND</v>
          </cell>
        </row>
        <row r="12614">
          <cell r="B12614" t="str">
            <v>19011900000204</v>
          </cell>
          <cell r="C12614" t="str">
            <v>LPC IMPUESTOS MUNICIPALES - DIFERIDOS   1ND</v>
          </cell>
        </row>
        <row r="12615">
          <cell r="B12615" t="str">
            <v>19011900000205</v>
          </cell>
          <cell r="C12615" t="str">
            <v>SERVICIO DIFERIDO DATA CENTER TI        1ND</v>
          </cell>
        </row>
        <row r="12616">
          <cell r="B12616" t="str">
            <v>19011900000209</v>
          </cell>
          <cell r="C12616" t="str">
            <v>REGISTRO DE LOS INTERESES DE LOS LEASING1ND</v>
          </cell>
        </row>
        <row r="12617">
          <cell r="B12617" t="str">
            <v>19011900000501</v>
          </cell>
          <cell r="C12617" t="str">
            <v>ASIGNACION EXTRAORDINARIA PARA GASTOS ES1ND</v>
          </cell>
        </row>
        <row r="12618">
          <cell r="B12618" t="str">
            <v>19011900000601</v>
          </cell>
          <cell r="C12618" t="str">
            <v>GASTOS POR ADEUDADOS CREDIT SUISSE      1ND</v>
          </cell>
        </row>
        <row r="12619">
          <cell r="B12619" t="str">
            <v>19011900000602</v>
          </cell>
          <cell r="C12619" t="str">
            <v>GASTOS POR ADEUDADOS DEUTSCHE BANK      1ND</v>
          </cell>
        </row>
        <row r="12620">
          <cell r="B12620" t="str">
            <v>19011900000603</v>
          </cell>
          <cell r="C12620" t="str">
            <v>GASTOS BONOS HIBRIDOS                   1ND</v>
          </cell>
        </row>
        <row r="12621">
          <cell r="B12621" t="str">
            <v>19011900000604</v>
          </cell>
          <cell r="C12621" t="str">
            <v>GASTO BONOS SUBORDINADOS - SENIOR       1ND</v>
          </cell>
        </row>
        <row r="12622">
          <cell r="B12622" t="str">
            <v>19011900000605</v>
          </cell>
          <cell r="C12622" t="str">
            <v>GASTOS BONOS SENIOR 2DA EMISION         1ND</v>
          </cell>
        </row>
        <row r="12623">
          <cell r="B12623" t="str">
            <v>19011900000606</v>
          </cell>
          <cell r="C12623" t="str">
            <v>GASTOS BONOS SUBORDINADOS 2DA EMISION   1ND</v>
          </cell>
        </row>
        <row r="12624">
          <cell r="B12624" t="str">
            <v>19011900000607</v>
          </cell>
          <cell r="C12624" t="str">
            <v>GASTOS BONOS SUBORDINADOS NO REDIMIBLES 1ND</v>
          </cell>
        </row>
        <row r="12625">
          <cell r="B12625" t="str">
            <v>19011900000608</v>
          </cell>
          <cell r="C12625" t="str">
            <v>GASTOS BONOS SUBORDINADOS REDIMIBLES 6.61ND</v>
          </cell>
        </row>
        <row r="12626">
          <cell r="B12626" t="str">
            <v>19011900000701</v>
          </cell>
          <cell r="C12626" t="str">
            <v>DSCTO PRONTO PAGO-CARTA DE CREDIT CL    1ND</v>
          </cell>
        </row>
        <row r="12627">
          <cell r="B12627" t="str">
            <v>19011900000801</v>
          </cell>
          <cell r="C12627" t="str">
            <v>PAN GTOS BONOS HIBRIDOS                 1ND</v>
          </cell>
        </row>
        <row r="12628">
          <cell r="B12628" t="str">
            <v>19011900000802</v>
          </cell>
          <cell r="C12628" t="str">
            <v>PAN GTOS BONOS SENIOR                   1ND</v>
          </cell>
        </row>
        <row r="12629">
          <cell r="B12629" t="str">
            <v>19011900000803</v>
          </cell>
          <cell r="C12629" t="str">
            <v>PAN SUPERINTENDENCIA DE BANCOS          1ND</v>
          </cell>
        </row>
        <row r="12630">
          <cell r="B12630" t="str">
            <v>19011900000804</v>
          </cell>
          <cell r="C12630" t="str">
            <v>PAN PROYECTOS EN PROCESO                1ND</v>
          </cell>
        </row>
        <row r="12631">
          <cell r="B12631" t="str">
            <v>19011900000805</v>
          </cell>
          <cell r="C12631" t="str">
            <v>PAN GTOS BONOS SENIOR 2DA EMISION       1ND</v>
          </cell>
        </row>
        <row r="12632">
          <cell r="B12632" t="str">
            <v>19011900001101</v>
          </cell>
          <cell r="C12632" t="str">
            <v>UNIFORMES                               1ND</v>
          </cell>
        </row>
        <row r="12633">
          <cell r="B12633" t="str">
            <v>19011900001301</v>
          </cell>
          <cell r="C12633" t="str">
            <v>LEASING GASTOS PAG.POR ADEL.            1YD</v>
          </cell>
        </row>
        <row r="12634">
          <cell r="B12634" t="str">
            <v>19011900001402</v>
          </cell>
          <cell r="C12634" t="str">
            <v>BONOS 2DO PROG 5TA EMISION SERIE A      1ND</v>
          </cell>
        </row>
        <row r="12635">
          <cell r="B12635" t="str">
            <v>19011900001403</v>
          </cell>
          <cell r="C12635" t="str">
            <v>CERT DEPÃ“SITO 1ER PROG 1ERA EMISION    1ND</v>
          </cell>
        </row>
        <row r="12636">
          <cell r="B12636" t="str">
            <v>19011900001404</v>
          </cell>
          <cell r="C12636" t="str">
            <v>PRIMA EMISION CDN                       1ND</v>
          </cell>
        </row>
        <row r="12637">
          <cell r="B12637" t="str">
            <v>19011900001405</v>
          </cell>
          <cell r="C12637" t="str">
            <v>BONO CORPORATIVO 5TA EMISION            1ND</v>
          </cell>
        </row>
        <row r="12638">
          <cell r="B12638" t="str">
            <v>19011900001406</v>
          </cell>
          <cell r="C12638" t="str">
            <v>CERTIFICADO DE DEPOSITO DE NEGOCIO      1ND</v>
          </cell>
        </row>
        <row r="12639">
          <cell r="B12639" t="str">
            <v>19011900001407</v>
          </cell>
          <cell r="C12639" t="str">
            <v>BONO CORPORATIVO SOLES 2026             1ND</v>
          </cell>
        </row>
        <row r="12640">
          <cell r="B12640" t="str">
            <v>19011900001408</v>
          </cell>
          <cell r="C12640" t="str">
            <v>BONO CORPORATIVO US.D 2026              1ND</v>
          </cell>
        </row>
        <row r="12641">
          <cell r="B12641" t="str">
            <v>19011900001409</v>
          </cell>
          <cell r="C12641" t="str">
            <v>PRIMA BONO 2026                         1ND</v>
          </cell>
        </row>
        <row r="12642">
          <cell r="B12642" t="str">
            <v>19011900001410</v>
          </cell>
          <cell r="C12642" t="str">
            <v>REG DE LOS INTERESES DE ARREND. EMBOZADO1ND</v>
          </cell>
        </row>
        <row r="12643">
          <cell r="B12643" t="str">
            <v>19011900001411</v>
          </cell>
          <cell r="C12643" t="str">
            <v>BONIFICACION VALES TEBCA                1ND</v>
          </cell>
        </row>
        <row r="12644">
          <cell r="B12644" t="str">
            <v>19011900001412</v>
          </cell>
          <cell r="C12644" t="str">
            <v>BONO SUB 2029 USD 300MM                 1ND</v>
          </cell>
        </row>
        <row r="12645">
          <cell r="B12645" t="str">
            <v>19011900001413</v>
          </cell>
          <cell r="C12645" t="str">
            <v>BONO SUBORDINADO REDIMIBLE 2020         1ND</v>
          </cell>
        </row>
        <row r="12646">
          <cell r="B12646" t="str">
            <v>19011900001414</v>
          </cell>
          <cell r="C12646" t="str">
            <v>EQUIPO DE RED INALAMBRICO - INTERES     1ND</v>
          </cell>
        </row>
        <row r="12647">
          <cell r="B12647" t="str">
            <v>19011900001415</v>
          </cell>
          <cell r="C12647" t="str">
            <v>GASTOS DE BONO SUBORDINADO 2034         1ND</v>
          </cell>
        </row>
        <row r="12648">
          <cell r="B12648" t="str">
            <v>19011900001416</v>
          </cell>
          <cell r="C12648" t="str">
            <v>PLÃSTICOS  NOMINADAS  TC / TD          1ND</v>
          </cell>
        </row>
        <row r="12649">
          <cell r="B12649" t="str">
            <v>19011900001417</v>
          </cell>
          <cell r="C12649" t="str">
            <v>GASTOS 1ERA EMISIÃ“N DEL 2DO PROGRAMA DE1ND</v>
          </cell>
        </row>
        <row r="12650">
          <cell r="B12650" t="str">
            <v>19011900001418</v>
          </cell>
          <cell r="C12650" t="str">
            <v>MDC.PRIMA EMISION CDN 2DO PROG 1ERA EMIS1ND</v>
          </cell>
        </row>
        <row r="12651">
          <cell r="B12651" t="str">
            <v>19011900001419</v>
          </cell>
          <cell r="C12651" t="str">
            <v>MDC.PRIMA EMISION CDN 2DO PROG 2DA EMISI1ND</v>
          </cell>
        </row>
        <row r="12652">
          <cell r="B12652" t="str">
            <v>19011900001420</v>
          </cell>
          <cell r="C12652" t="str">
            <v>GASTOS 2DA EMISIÃ“N DEL 2DO PROGRAMA DE 1ND</v>
          </cell>
        </row>
        <row r="12653">
          <cell r="B12653" t="str">
            <v>19011900001421</v>
          </cell>
          <cell r="C12653" t="str">
            <v>PLÃSTICOS INNOMINADAS TC / TD          1ND</v>
          </cell>
        </row>
        <row r="12654">
          <cell r="B12654" t="str">
            <v>19011900001422</v>
          </cell>
          <cell r="C12654" t="str">
            <v>GASTOS DE BONO SUBORDINADO 2035         1ND</v>
          </cell>
        </row>
        <row r="12655">
          <cell r="B12655" t="str">
            <v>19011900001423</v>
          </cell>
          <cell r="C12655" t="str">
            <v>GASTOS SERIE C DEL 2DO PROGRAMA CDN     1 D</v>
          </cell>
        </row>
        <row r="12656">
          <cell r="B12656" t="str">
            <v>19011900001424</v>
          </cell>
          <cell r="C12656" t="str">
            <v>MDC.PRIMA EMISION CDN 2DO PROG 3RA EMISI1 D</v>
          </cell>
        </row>
        <row r="12657">
          <cell r="B12657" t="str">
            <v>19011900001426</v>
          </cell>
          <cell r="C12657" t="str">
            <v>MDC.PRIMA EMISION CDN 2DO PROG 4TA EMISI1ND</v>
          </cell>
        </row>
        <row r="12658">
          <cell r="B12658" t="str">
            <v>19011900001427</v>
          </cell>
          <cell r="C12658" t="str">
            <v>GASTOS SERIE D DEL 2DO PROGRAMA CDN     1ND</v>
          </cell>
        </row>
        <row r="12659">
          <cell r="B12659" t="str">
            <v>19011900001428</v>
          </cell>
          <cell r="C12659" t="str">
            <v>GASTOS SERIE E DEL 2DO PROGRAMA CDN     1 D</v>
          </cell>
        </row>
        <row r="12660">
          <cell r="B12660" t="str">
            <v>19011900001429</v>
          </cell>
          <cell r="C12660" t="str">
            <v>MDC PRIMA EMISION CDN 2DO PROG 5TA EMISI1 D</v>
          </cell>
        </row>
        <row r="12661">
          <cell r="B12661" t="str">
            <v>19011900001430</v>
          </cell>
          <cell r="C12661" t="str">
            <v>BONO CORPORATIVO 2030                   1 D</v>
          </cell>
        </row>
        <row r="12662">
          <cell r="B12662" t="str">
            <v>19011900001431</v>
          </cell>
          <cell r="C12662" t="str">
            <v>PRIMA BONO 2031                         1 D</v>
          </cell>
        </row>
        <row r="12663">
          <cell r="B12663" t="str">
            <v>19020100000101</v>
          </cell>
          <cell r="C12663" t="str">
            <v>190201000001010000                      1ND</v>
          </cell>
        </row>
        <row r="12664">
          <cell r="B12664" t="str">
            <v>19020200000103</v>
          </cell>
          <cell r="C12664" t="str">
            <v>COM PAG POR ANTIC EMISION BONOS 5TA     1ND</v>
          </cell>
        </row>
        <row r="12665">
          <cell r="B12665" t="str">
            <v>19030100000103</v>
          </cell>
          <cell r="C12665" t="str">
            <v>PAGOS A CTA IMP RENTA DEL EJERCICIO     1ND</v>
          </cell>
        </row>
        <row r="12666">
          <cell r="B12666" t="str">
            <v>19030100000105</v>
          </cell>
          <cell r="C12666" t="str">
            <v>IR RETENIDO POR LA SAF                  1ND</v>
          </cell>
        </row>
        <row r="12667">
          <cell r="B12667" t="str">
            <v>19030200000101</v>
          </cell>
          <cell r="C12667" t="str">
            <v>IMPUESTO A LA RENTA DIFERIDO            1ND</v>
          </cell>
        </row>
        <row r="12668">
          <cell r="B12668" t="str">
            <v>19030200000102</v>
          </cell>
          <cell r="C12668" t="str">
            <v>IR RETENIDO POR LA SAF                  1ND</v>
          </cell>
        </row>
        <row r="12669">
          <cell r="B12669" t="str">
            <v>19030201000101</v>
          </cell>
          <cell r="C12669" t="str">
            <v>IMPUESTO A LA RENTA DIFERIDO            1ND</v>
          </cell>
        </row>
        <row r="12670">
          <cell r="B12670" t="str">
            <v>19040200000101</v>
          </cell>
          <cell r="C12670" t="str">
            <v>PROYECTO GRACELAND                      1ND</v>
          </cell>
        </row>
        <row r="12671">
          <cell r="B12671" t="str">
            <v>19040200000102</v>
          </cell>
          <cell r="C12671" t="str">
            <v>PROYECTO MERCHANDISING                  1ND</v>
          </cell>
        </row>
        <row r="12672">
          <cell r="B12672" t="str">
            <v>19040200000103</v>
          </cell>
          <cell r="C12672" t="str">
            <v>PROYECTO PACEMAKER                      1ND</v>
          </cell>
        </row>
        <row r="12673">
          <cell r="B12673" t="str">
            <v>19040200000106</v>
          </cell>
          <cell r="C12673" t="str">
            <v>PROYECTO ACTION SYSTEM                  1ND</v>
          </cell>
        </row>
        <row r="12674">
          <cell r="B12674" t="str">
            <v>19040200000201</v>
          </cell>
          <cell r="C12674" t="str">
            <v>REINGENIERIA-INTERBANK                  1ND</v>
          </cell>
        </row>
        <row r="12675">
          <cell r="B12675" t="str">
            <v>19040300000101</v>
          </cell>
          <cell r="C12675" t="str">
            <v>SOFTWARE ADQUIRIDO                      1ND</v>
          </cell>
        </row>
        <row r="12676">
          <cell r="B12676" t="str">
            <v>19040300000102</v>
          </cell>
          <cell r="C12676" t="str">
            <v>SOFTWARE - SISTEMAS                     1ND</v>
          </cell>
        </row>
        <row r="12677">
          <cell r="B12677" t="str">
            <v>19040300000104</v>
          </cell>
          <cell r="C12677" t="str">
            <v>NUEVOS CAJEROS AUTOMATICOS              1ND</v>
          </cell>
        </row>
        <row r="12678">
          <cell r="B12678" t="str">
            <v>19040300000105</v>
          </cell>
          <cell r="C12678" t="str">
            <v>SOFTWARE TARJETA DE CREDITO             1ND</v>
          </cell>
        </row>
        <row r="12679">
          <cell r="B12679" t="str">
            <v>19040300000106</v>
          </cell>
          <cell r="C12679" t="str">
            <v>PROYECTO ANO 2000                       1ND</v>
          </cell>
        </row>
        <row r="12680">
          <cell r="B12680" t="str">
            <v>19040300000107</v>
          </cell>
          <cell r="C12680" t="str">
            <v>PROYECTO SOFTWARE INTEGRAL              1ND</v>
          </cell>
        </row>
        <row r="12681">
          <cell r="B12681" t="str">
            <v>19040300000108</v>
          </cell>
          <cell r="C12681" t="str">
            <v>SOFTWARE POR RECIBIR - PROYECTOS        1ND</v>
          </cell>
        </row>
        <row r="12682">
          <cell r="B12682" t="str">
            <v>19040300000109</v>
          </cell>
          <cell r="C12682" t="str">
            <v>SOFTWARE ADQUIRIDO                      1ND</v>
          </cell>
        </row>
        <row r="12683">
          <cell r="B12683" t="str">
            <v>19040300000110</v>
          </cell>
          <cell r="C12683" t="str">
            <v>SOFTWARE ADQUIRIDO DATA CENTER (Transito1ND</v>
          </cell>
        </row>
        <row r="12684">
          <cell r="B12684" t="str">
            <v>19040300000111</v>
          </cell>
          <cell r="C12684" t="str">
            <v>SOFTWARE -Â  DATA CENTER                1ND</v>
          </cell>
        </row>
        <row r="12685">
          <cell r="B12685" t="str">
            <v>19040300000112</v>
          </cell>
          <cell r="C12685" t="str">
            <v>SOFTWARE EN DESARROLLO                  1ND</v>
          </cell>
        </row>
        <row r="12686">
          <cell r="B12686" t="str">
            <v>19040300000113</v>
          </cell>
          <cell r="C12686" t="str">
            <v>DESARROLLO INTERNO DE SOFTWARE          1ND</v>
          </cell>
        </row>
        <row r="12687">
          <cell r="B12687" t="str">
            <v>19040300000801</v>
          </cell>
          <cell r="C12687" t="str">
            <v>PAN SOFTWARES                           1ND</v>
          </cell>
        </row>
        <row r="12688">
          <cell r="B12688" t="str">
            <v>19040400000101</v>
          </cell>
          <cell r="C12688" t="str">
            <v>PRIMA POR INTERESES                     1ND</v>
          </cell>
        </row>
        <row r="12689">
          <cell r="B12689" t="str">
            <v>19040400000103</v>
          </cell>
          <cell r="C12689" t="str">
            <v>PRIMA CARTERA SURA                      1ND</v>
          </cell>
        </row>
        <row r="12690">
          <cell r="B12690" t="str">
            <v>19040400000104</v>
          </cell>
          <cell r="C12690" t="str">
            <v>PRIMA CARTERA BANCOLOMBIA               1ND</v>
          </cell>
        </row>
        <row r="12691">
          <cell r="B12691" t="str">
            <v>19040400000105</v>
          </cell>
          <cell r="C12691" t="str">
            <v>PRIMA CARTERA ITAU-CENTENARIO           1ND</v>
          </cell>
        </row>
        <row r="12692">
          <cell r="B12692" t="str">
            <v>19040700000101</v>
          </cell>
          <cell r="C12692" t="str">
            <v>GOODWILL                                1ND</v>
          </cell>
        </row>
        <row r="12693">
          <cell r="B12693" t="str">
            <v>19040700000102</v>
          </cell>
          <cell r="C12693" t="str">
            <v>GOODWILL AVALCARD                       1ND</v>
          </cell>
        </row>
        <row r="12694">
          <cell r="B12694" t="str">
            <v>19040800000101</v>
          </cell>
          <cell r="C12694" t="str">
            <v>FRANQUICIA TARJETA AMERICAN EXPRESS     1ND</v>
          </cell>
        </row>
        <row r="12695">
          <cell r="B12695" t="str">
            <v>19040800000102</v>
          </cell>
          <cell r="C12695" t="str">
            <v>BL INTANGIBLES BL                       1ND</v>
          </cell>
        </row>
        <row r="12696">
          <cell r="B12696" t="str">
            <v>19040800000104</v>
          </cell>
          <cell r="C12696" t="str">
            <v>BASEDE DATOS TC                         1ND</v>
          </cell>
        </row>
        <row r="12697">
          <cell r="B12697" t="str">
            <v>19040800000105</v>
          </cell>
          <cell r="C12697" t="str">
            <v>PRIMA POR INTERESES                     1ND</v>
          </cell>
        </row>
        <row r="12698">
          <cell r="B12698" t="str">
            <v>19040800000801</v>
          </cell>
          <cell r="C12698" t="str">
            <v>PAN PRE-OPERATIVOS                      1ND</v>
          </cell>
        </row>
        <row r="12699">
          <cell r="B12699" t="str">
            <v>19040902000101</v>
          </cell>
          <cell r="C12699" t="str">
            <v>AMORTIZACION-PROYECTO GRACELAND         1ND</v>
          </cell>
        </row>
        <row r="12700">
          <cell r="B12700" t="str">
            <v>19040902000102</v>
          </cell>
          <cell r="C12700" t="str">
            <v>AMORTIZACION-PROYECTO MERCHANDISING     1ND</v>
          </cell>
        </row>
        <row r="12701">
          <cell r="B12701" t="str">
            <v>19040902000103</v>
          </cell>
          <cell r="C12701" t="str">
            <v>AMORTIZACION-PROYECTO PACEMAKER         1ND</v>
          </cell>
        </row>
        <row r="12702">
          <cell r="B12702" t="str">
            <v>19040902000106</v>
          </cell>
          <cell r="C12702" t="str">
            <v>AMORTIZACION-PROYECTO ACTION SYSTEM     1ND</v>
          </cell>
        </row>
        <row r="12703">
          <cell r="B12703" t="str">
            <v>19040902000109</v>
          </cell>
          <cell r="C12703" t="str">
            <v>AMORTIZACION-REINGENIERIA               1ND</v>
          </cell>
        </row>
        <row r="12704">
          <cell r="B12704" t="str">
            <v>19040903000101</v>
          </cell>
          <cell r="C12704" t="str">
            <v>(AMORTIZ ACUM - GTOS SOFTWARE ADQUIRIDO)1ND</v>
          </cell>
        </row>
        <row r="12705">
          <cell r="B12705" t="str">
            <v>19040903000102</v>
          </cell>
          <cell r="C12705" t="str">
            <v>(AMORTIZ ACUM - GTOS SOFTWARE SISTEMAS) 1ND</v>
          </cell>
        </row>
        <row r="12706">
          <cell r="B12706" t="str">
            <v>19040903000104</v>
          </cell>
          <cell r="C12706" t="str">
            <v>AMORTIZAC.NVOS CAJEROS AUTOMATICOS      1ND</v>
          </cell>
        </row>
        <row r="12707">
          <cell r="B12707" t="str">
            <v>19040903000105</v>
          </cell>
          <cell r="C12707" t="str">
            <v>AMORTIZAC.TARJETA DE CREDITO            1ND</v>
          </cell>
        </row>
        <row r="12708">
          <cell r="B12708" t="str">
            <v>19040903000106</v>
          </cell>
          <cell r="C12708" t="str">
            <v>AMORTIZAC.PROYECTO AÃ‘O 2000            1ND</v>
          </cell>
        </row>
        <row r="12709">
          <cell r="B12709" t="str">
            <v>19040903000107</v>
          </cell>
          <cell r="C12709" t="str">
            <v>AMORTIZAC.PROYEC SOFTWARE INTEGRAL      1ND</v>
          </cell>
        </row>
        <row r="12710">
          <cell r="B12710" t="str">
            <v>19040903000111</v>
          </cell>
          <cell r="C12710" t="str">
            <v>(AMORTIZ ACUM - GTOS SOFTWARE DATA CENTE1ND</v>
          </cell>
        </row>
        <row r="12711">
          <cell r="B12711" t="str">
            <v>19040903000801</v>
          </cell>
          <cell r="C12711" t="str">
            <v>PAN DEPR.ACUM. SOFTWARE                 1ND</v>
          </cell>
        </row>
        <row r="12712">
          <cell r="B12712" t="str">
            <v>19040904000101</v>
          </cell>
          <cell r="C12712" t="str">
            <v>AMORTI PRIMA POR INTERESES              1ND</v>
          </cell>
        </row>
        <row r="12713">
          <cell r="B12713" t="str">
            <v>19040904000102</v>
          </cell>
          <cell r="C12713" t="str">
            <v>AMORTIZACIÃ“N PRIMA CARTERA SURA        1ND</v>
          </cell>
        </row>
        <row r="12714">
          <cell r="B12714" t="str">
            <v>19040904000103</v>
          </cell>
          <cell r="C12714" t="str">
            <v>AMORTIZACIÃ“N PRIMA BANCOLOMBIA         1ND</v>
          </cell>
        </row>
        <row r="12715">
          <cell r="B12715" t="str">
            <v>19040904000104</v>
          </cell>
          <cell r="C12715" t="str">
            <v>AMORTIZACIÃ“N PRIMA ITAU-CENTENARIO     1ND</v>
          </cell>
        </row>
        <row r="12716">
          <cell r="B12716" t="str">
            <v>19040907000101</v>
          </cell>
          <cell r="C12716" t="str">
            <v>AMORTIZACION ACUMULADA GOODWILL         1ND</v>
          </cell>
        </row>
        <row r="12717">
          <cell r="B12717" t="str">
            <v>19040907000102</v>
          </cell>
          <cell r="C12717" t="str">
            <v>AMORT ACUM GOODWILL AVALCARD            1ND</v>
          </cell>
        </row>
        <row r="12718">
          <cell r="B12718" t="str">
            <v>19040908000101</v>
          </cell>
          <cell r="C12718" t="str">
            <v>AMORTIZ FRANQUICIA - TC AMERICAN EXPRESS1ND</v>
          </cell>
        </row>
        <row r="12719">
          <cell r="B12719" t="str">
            <v>19040908000102</v>
          </cell>
          <cell r="C12719" t="str">
            <v>BL AMORTIZAC.INTANG.BL                  1ND</v>
          </cell>
        </row>
        <row r="12720">
          <cell r="B12720" t="str">
            <v>19040908000104</v>
          </cell>
          <cell r="C12720" t="str">
            <v>AMORTIZACION BASE DE DATOS TC           1ND</v>
          </cell>
        </row>
        <row r="12721">
          <cell r="B12721" t="str">
            <v>19040908000105</v>
          </cell>
          <cell r="C12721" t="str">
            <v>AMORTI PRIMA POR INTERESES              1ND</v>
          </cell>
        </row>
        <row r="12722">
          <cell r="B12722" t="str">
            <v>19060100000101</v>
          </cell>
          <cell r="C12722" t="str">
            <v>CREDITO FISCAL - PROVEED PRORRATA       1ND</v>
          </cell>
        </row>
        <row r="12723">
          <cell r="B12723" t="str">
            <v>19060100000102</v>
          </cell>
          <cell r="C12723" t="str">
            <v>CREDITO FISCAL - ARRENDAMIENTO FINANCIER1ND</v>
          </cell>
        </row>
        <row r="12724">
          <cell r="B12724" t="str">
            <v>19060100000103</v>
          </cell>
          <cell r="C12724" t="str">
            <v>CREDITO FISCAL - BIENES ADJUDICADOS     1ND</v>
          </cell>
        </row>
        <row r="12725">
          <cell r="B12725" t="str">
            <v>19060100000104</v>
          </cell>
          <cell r="C12725" t="str">
            <v>CREDITO FISCAL - PREMIOS                1ND</v>
          </cell>
        </row>
        <row r="12726">
          <cell r="B12726" t="str">
            <v>19060100000105</v>
          </cell>
          <cell r="C12726" t="str">
            <v>CREDITO FISCAL - PROMOCIONES            1ND</v>
          </cell>
        </row>
        <row r="12727">
          <cell r="B12727" t="str">
            <v>19060100000106</v>
          </cell>
          <cell r="C12727" t="str">
            <v>CREDITO FISCAL - NO DOMICILIADOS        1ND</v>
          </cell>
        </row>
        <row r="12728">
          <cell r="B12728" t="str">
            <v>19060100000107</v>
          </cell>
          <cell r="C12728" t="str">
            <v>CREDITO FISCAL - ESTRUCTUR DE TITULIZ   1ND</v>
          </cell>
        </row>
        <row r="12729">
          <cell r="B12729" t="str">
            <v>19060100000109</v>
          </cell>
          <cell r="C12729" t="str">
            <v>CREDITO FISCAL - OTROS                  1ND</v>
          </cell>
        </row>
        <row r="12730">
          <cell r="B12730" t="str">
            <v>19060100000110</v>
          </cell>
          <cell r="C12730" t="str">
            <v>IGV PROYECTO DE INV REGIONAL            1ND</v>
          </cell>
        </row>
        <row r="12731">
          <cell r="B12731" t="str">
            <v>19060100000111</v>
          </cell>
          <cell r="C12731" t="str">
            <v>CREDITO FISCAL - AF ATM                 1ND</v>
          </cell>
        </row>
        <row r="12732">
          <cell r="B12732" t="str">
            <v>19060100000112</v>
          </cell>
          <cell r="C12732" t="str">
            <v>LPC IGV PAGOS OPERACIONES REACTIVA - COF1ND</v>
          </cell>
        </row>
        <row r="12733">
          <cell r="B12733" t="str">
            <v>19060100000113</v>
          </cell>
          <cell r="C12733" t="str">
            <v>MYP IGV PAGOS OPERACIONES REACTIVA - COF1ND</v>
          </cell>
        </row>
        <row r="12734">
          <cell r="B12734" t="str">
            <v>19060100000114</v>
          </cell>
          <cell r="C12734" t="str">
            <v>IGV HONORARIOS COBRANZAS REACTIVA BPE   1ND</v>
          </cell>
        </row>
        <row r="12735">
          <cell r="B12735" t="str">
            <v>19060100000115</v>
          </cell>
          <cell r="C12735" t="str">
            <v>IGV HONORARIOS COBRANZAS CRECER BPE     1ND</v>
          </cell>
        </row>
        <row r="12736">
          <cell r="B12736" t="str">
            <v>19060100000119</v>
          </cell>
          <cell r="C12736" t="str">
            <v>MYP IGV FACT. COFIDE POR EL DESEMBOLSO C1 D</v>
          </cell>
        </row>
        <row r="12737">
          <cell r="B12737" t="str">
            <v>19060100000120</v>
          </cell>
          <cell r="C12737" t="str">
            <v>LPC IGV FACT. COFIDE POR EL DESEMBOLSO C1 D</v>
          </cell>
        </row>
        <row r="12738">
          <cell r="B12738" t="str">
            <v>19060200000101</v>
          </cell>
          <cell r="C12738" t="str">
            <v>ANTICIPO ADICIONAL-CRED FISCAL          1ND</v>
          </cell>
        </row>
        <row r="12739">
          <cell r="B12739" t="str">
            <v>19060200000102</v>
          </cell>
          <cell r="C12739" t="str">
            <v>ITAN                                    1ND</v>
          </cell>
        </row>
        <row r="12740">
          <cell r="B12740" t="str">
            <v>19060200000103</v>
          </cell>
          <cell r="C12740" t="str">
            <v>CREDITO FISCAL DEL IR SEBELA            1ND</v>
          </cell>
        </row>
        <row r="12741">
          <cell r="B12741" t="str">
            <v>19060200000104</v>
          </cell>
          <cell r="C12741" t="str">
            <v>PAGOS A CTA IMP RENTA DEL EJERCICIO     1ND</v>
          </cell>
        </row>
        <row r="12742">
          <cell r="B12742" t="str">
            <v>19060200000105</v>
          </cell>
          <cell r="C12742" t="str">
            <v>SALDO A FAVOR DEL IMPTO A LA RENTA      1ND</v>
          </cell>
        </row>
        <row r="12743">
          <cell r="B12743" t="str">
            <v>19060200000106</v>
          </cell>
          <cell r="C12743" t="str">
            <v>IR RETENIDO POR LA SAF                  1ND</v>
          </cell>
        </row>
        <row r="12744">
          <cell r="B12744" t="str">
            <v>19060200000107</v>
          </cell>
          <cell r="C12744" t="str">
            <v>CRED POR CIPRL PROY INV REGIONAL        1ND</v>
          </cell>
        </row>
        <row r="12745">
          <cell r="B12745" t="str">
            <v>19060200000108</v>
          </cell>
          <cell r="C12745" t="str">
            <v>CREDITO FISCAL DE IMP.RENTA - NO DOMICIL1ND</v>
          </cell>
        </row>
        <row r="12746">
          <cell r="B12746" t="str">
            <v>19060900000101</v>
          </cell>
          <cell r="C12746" t="str">
            <v>DEPOSITO POR DETRACCIONES IGV           1ND</v>
          </cell>
        </row>
        <row r="12747">
          <cell r="B12747" t="str">
            <v>19060900000102</v>
          </cell>
          <cell r="C12747" t="str">
            <v>PARTICIPACION A TRABAJADORES DIFERIDO   1ND</v>
          </cell>
        </row>
        <row r="12748">
          <cell r="B12748" t="str">
            <v>19060900000103</v>
          </cell>
          <cell r="C12748" t="str">
            <v>IMPUESTO A LA RENTA DIFERIDO (ACTIVO)   1ND</v>
          </cell>
        </row>
        <row r="12749">
          <cell r="B12749" t="str">
            <v>19060900000104</v>
          </cell>
          <cell r="C12749" t="str">
            <v>CREDITO FISCAL DE IMP.RENTA - OTROS     1ND</v>
          </cell>
        </row>
        <row r="12750">
          <cell r="B12750" t="str">
            <v>19070200000101</v>
          </cell>
          <cell r="C12750" t="str">
            <v>MONEDAS DE ORO                          1ND</v>
          </cell>
        </row>
        <row r="12751">
          <cell r="B12751" t="str">
            <v>19070900000101</v>
          </cell>
          <cell r="C12751" t="str">
            <v>BIENES DIV - CASONA ORBEGOSO DE TRUJILLO1ND</v>
          </cell>
        </row>
        <row r="12752">
          <cell r="B12752" t="str">
            <v>19070900000102</v>
          </cell>
          <cell r="C12752" t="str">
            <v>ENSERES DE ALTA TECNOLOGIA              1ND</v>
          </cell>
        </row>
        <row r="12753">
          <cell r="B12753" t="str">
            <v>19080200000101</v>
          </cell>
          <cell r="C12753" t="str">
            <v>FALTANTES DE CAJA - LIMA                1YD</v>
          </cell>
        </row>
        <row r="12754">
          <cell r="B12754" t="str">
            <v>19080200000102</v>
          </cell>
          <cell r="C12754" t="str">
            <v>FALTANTES DE CAJA - PROVINCIA           1YD</v>
          </cell>
        </row>
        <row r="12755">
          <cell r="B12755" t="str">
            <v>19080500000101</v>
          </cell>
          <cell r="C12755" t="str">
            <v>DIFERENCIAS POR REGULARIZAR             1YD</v>
          </cell>
        </row>
        <row r="12756">
          <cell r="B12756" t="str">
            <v>19080500000102</v>
          </cell>
          <cell r="C12756" t="str">
            <v>DIF X REG FALTANTES ATM                 1ND</v>
          </cell>
        </row>
        <row r="12757">
          <cell r="B12757" t="str">
            <v>19080500000103</v>
          </cell>
          <cell r="C12757" t="str">
            <v>DIF X REG FALTANTES MON                 1ND</v>
          </cell>
        </row>
        <row r="12758">
          <cell r="B12758" t="str">
            <v>19080500000104</v>
          </cell>
          <cell r="C12758" t="str">
            <v>DIF X REG FALT. PACMAN                  1ND</v>
          </cell>
        </row>
        <row r="12759">
          <cell r="B12759" t="str">
            <v>19080500000105</v>
          </cell>
          <cell r="C12759" t="str">
            <v>DIF X REG SOB PACMAN                    1ND</v>
          </cell>
        </row>
        <row r="12760">
          <cell r="B12760" t="str">
            <v>19080500000106</v>
          </cell>
          <cell r="C12760" t="str">
            <v>SALDO X REG.CIERRE DE CICLO ATM         1ND</v>
          </cell>
        </row>
        <row r="12761">
          <cell r="B12761" t="str">
            <v>19080500000107</v>
          </cell>
          <cell r="C12761" t="str">
            <v>SALDO X REG.CIERRE DE CICLO MON         1ND</v>
          </cell>
        </row>
        <row r="12762">
          <cell r="B12762" t="str">
            <v>19080500000108</v>
          </cell>
          <cell r="C12762" t="str">
            <v>SALDO X REG.CIERRE DE CICLO PACMAN      1ND</v>
          </cell>
        </row>
        <row r="12763">
          <cell r="B12763" t="str">
            <v>19080500000109</v>
          </cell>
          <cell r="C12763" t="str">
            <v>DIFERENCIAS X REGULARIZAR AUTOABASTECIMI1YD</v>
          </cell>
        </row>
        <row r="12764">
          <cell r="B12764" t="str">
            <v>19080500000110</v>
          </cell>
          <cell r="C12764" t="str">
            <v>OP X REG CANALES ALTERNATIVOS Y DIGITALE1YD</v>
          </cell>
        </row>
        <row r="12765">
          <cell r="B12765" t="str">
            <v>19080600000103</v>
          </cell>
          <cell r="C12765" t="str">
            <v>AP CTA ANTICIPOS PROVEEDOR              1ND</v>
          </cell>
        </row>
        <row r="12766">
          <cell r="B12766" t="str">
            <v>19080600000104</v>
          </cell>
          <cell r="C12766" t="str">
            <v>AP- ANTICIPO IBK AGENTE                 1YD</v>
          </cell>
        </row>
        <row r="12767">
          <cell r="B12767" t="str">
            <v>19080600000105</v>
          </cell>
          <cell r="C12767" t="str">
            <v>PAY CTA.ANTICIPO PROVEEDORES            1ND</v>
          </cell>
        </row>
        <row r="12768">
          <cell r="B12768" t="str">
            <v>19080700000101</v>
          </cell>
          <cell r="C12768" t="str">
            <v>CONTROL CHQ. EN TRAMITE - CTRL Y CANJE  1ND</v>
          </cell>
        </row>
        <row r="12769">
          <cell r="B12769" t="str">
            <v>19080700000102</v>
          </cell>
          <cell r="C12769" t="str">
            <v>CONTROL CHQ.GCIA EN TRAMITE             1ND</v>
          </cell>
        </row>
        <row r="12770">
          <cell r="B12770" t="str">
            <v>19080700000103</v>
          </cell>
          <cell r="C12770" t="str">
            <v>ATT DE RECL EN TIENDA "ATM NO ENTREGO RE1YD</v>
          </cell>
        </row>
        <row r="12771">
          <cell r="B12771" t="str">
            <v>19080700000104</v>
          </cell>
          <cell r="C12771" t="str">
            <v>ATT DE RECL EN TIENDA "ATM NO DEPOSITO" 1YD</v>
          </cell>
        </row>
        <row r="12772">
          <cell r="B12772" t="str">
            <v>19080700000105</v>
          </cell>
          <cell r="C12772" t="str">
            <v>GIROS S/NY DEVUELTOS EN TRAMITE         1ND</v>
          </cell>
        </row>
        <row r="12773">
          <cell r="B12773" t="str">
            <v>19080700000106</v>
          </cell>
          <cell r="C12773" t="str">
            <v>GIROS S/NY EN TRAMITE                   1YD</v>
          </cell>
        </row>
        <row r="12774">
          <cell r="B12774" t="str">
            <v>19080700000107</v>
          </cell>
          <cell r="C12774" t="str">
            <v>CONTROL CHQ. EN TRAMITE-CTRL Y CANJE    1ND</v>
          </cell>
        </row>
        <row r="12775">
          <cell r="B12775" t="str">
            <v>19080700000108</v>
          </cell>
          <cell r="C12775" t="str">
            <v>DEPOSITOS CON CHQ. EN TRAMITE           1ND</v>
          </cell>
        </row>
        <row r="12776">
          <cell r="B12776" t="str">
            <v>19080700000109</v>
          </cell>
          <cell r="C12776" t="str">
            <v>FALT REG. X ANOMALIAS ATM               1ND</v>
          </cell>
        </row>
        <row r="12777">
          <cell r="B12777" t="str">
            <v>19080700000110</v>
          </cell>
          <cell r="C12777" t="str">
            <v>FALT REG. X ANOMALIAS MON               1ND</v>
          </cell>
        </row>
        <row r="12778">
          <cell r="B12778" t="str">
            <v>19080700000111</v>
          </cell>
          <cell r="C12778" t="str">
            <v>ATT DE RECLAMOS X NO DISPENDIO ATM-MON  1YD</v>
          </cell>
        </row>
        <row r="12779">
          <cell r="B12779" t="str">
            <v>19080700000112</v>
          </cell>
          <cell r="C12779" t="str">
            <v>ATT DE RECLAMOS X NO DISPENDIO ATM-M    1YD</v>
          </cell>
        </row>
        <row r="12780">
          <cell r="B12780" t="str">
            <v>19080700000113</v>
          </cell>
          <cell r="C12780" t="str">
            <v>TT CUADRE FINAL ATM                     1ND</v>
          </cell>
        </row>
        <row r="12781">
          <cell r="B12781" t="str">
            <v>19080700000114</v>
          </cell>
          <cell r="C12781" t="str">
            <v>TT CUADRE FINAL MON                     1ND</v>
          </cell>
        </row>
        <row r="12782">
          <cell r="B12782" t="str">
            <v>19080700000115</v>
          </cell>
          <cell r="C12782" t="str">
            <v>TT CUADRE FINAL PAC                     1ND</v>
          </cell>
        </row>
        <row r="12783">
          <cell r="B12783" t="str">
            <v>19080700000116</v>
          </cell>
          <cell r="C12783" t="str">
            <v>CUENTA PUENTE OPCIONES                  1ND</v>
          </cell>
        </row>
        <row r="12784">
          <cell r="B12784" t="str">
            <v>19080700000117</v>
          </cell>
          <cell r="C12784" t="str">
            <v>TC OPERACIÃ“N DE CAMBIO CDO             1ND</v>
          </cell>
        </row>
        <row r="12785">
          <cell r="B12785" t="str">
            <v>19080700000118</v>
          </cell>
          <cell r="C12785" t="str">
            <v>LBC TRANSITORIA                         1ND</v>
          </cell>
        </row>
        <row r="12786">
          <cell r="B12786" t="str">
            <v>19080700000119</v>
          </cell>
          <cell r="C12786" t="str">
            <v>SYSTEMATIC - RETIRO TD                  1YD</v>
          </cell>
        </row>
        <row r="12787">
          <cell r="B12787" t="str">
            <v>19080700000120</v>
          </cell>
          <cell r="C12787" t="str">
            <v>MDC OP DE TRANSITO                      1ND</v>
          </cell>
        </row>
        <row r="12788">
          <cell r="B12788" t="str">
            <v>19080700000121</v>
          </cell>
          <cell r="C12788" t="str">
            <v>MDC CUENTA PUENTE FORWARD - OPCIONES ACO1ND</v>
          </cell>
        </row>
        <row r="12789">
          <cell r="B12789" t="str">
            <v>19080700000122</v>
          </cell>
          <cell r="C12789" t="str">
            <v>RECLAMOS X DEPOSITOS-ATM ATT EN TIENDAS 1ND</v>
          </cell>
        </row>
        <row r="12790">
          <cell r="B12790" t="str">
            <v>19080700000123</v>
          </cell>
          <cell r="C12790" t="str">
            <v>ATT RECLAMOS ATM NO DEPOSITA DINERO     1YD</v>
          </cell>
        </row>
        <row r="12791">
          <cell r="B12791" t="str">
            <v>19080700000124</v>
          </cell>
          <cell r="C12791" t="str">
            <v>ATT RECLAMOS ATM NO DISPENDIO Y VUELTOS 1YD</v>
          </cell>
        </row>
        <row r="12792">
          <cell r="B12792" t="str">
            <v>19080700000125</v>
          </cell>
          <cell r="C12792" t="str">
            <v>ATT RECLAMOS X ATM NO DEPOSITO          1YD</v>
          </cell>
        </row>
        <row r="12793">
          <cell r="B12793" t="str">
            <v>19080700000126</v>
          </cell>
          <cell r="C12793" t="str">
            <v>ATT RECLAMOS MONEDEROS                  1YD</v>
          </cell>
        </row>
        <row r="12794">
          <cell r="B12794" t="str">
            <v>19080700000127</v>
          </cell>
          <cell r="C12794" t="str">
            <v>BIM CASH OUT - ATM                      1ND</v>
          </cell>
        </row>
        <row r="12795">
          <cell r="B12795" t="str">
            <v>19080700000128</v>
          </cell>
          <cell r="C12795" t="str">
            <v>JCB OUTGOING                            1ND</v>
          </cell>
        </row>
        <row r="12796">
          <cell r="B12796" t="str">
            <v>19080700000129</v>
          </cell>
          <cell r="C12796" t="str">
            <v>OPERACIONES LEASING                     1ND</v>
          </cell>
        </row>
        <row r="12797">
          <cell r="B12797" t="str">
            <v>19080700000130</v>
          </cell>
          <cell r="C12797" t="str">
            <v>OPERACIONES PAGARE                      1ND</v>
          </cell>
        </row>
        <row r="12798">
          <cell r="B12798" t="str">
            <v>19080700000131</v>
          </cell>
          <cell r="C12798" t="str">
            <v>OPERACIONES GARANTIAS - TASACIONES      1ND</v>
          </cell>
        </row>
        <row r="12799">
          <cell r="B12799" t="str">
            <v>19080700000201</v>
          </cell>
          <cell r="C12799" t="str">
            <v>TC EN TRAMITE - DISP.EFECTIVO           1ND</v>
          </cell>
        </row>
        <row r="12800">
          <cell r="B12800" t="str">
            <v>19080700000202</v>
          </cell>
          <cell r="C12800" t="str">
            <v>OPERAC.VARIAS - TARJETA DE CREDITO      1ND</v>
          </cell>
        </row>
        <row r="12801">
          <cell r="B12801" t="str">
            <v>19080700000203</v>
          </cell>
          <cell r="C12801" t="str">
            <v>TC FACTURAS INAPLICABLES                1ND</v>
          </cell>
        </row>
        <row r="12802">
          <cell r="B12802" t="str">
            <v>19080700000205</v>
          </cell>
          <cell r="C12802" t="str">
            <v>COBROS INCOMING - SAT                   1ND</v>
          </cell>
        </row>
        <row r="12803">
          <cell r="B12803" t="str">
            <v>19080700000206</v>
          </cell>
          <cell r="C12803" t="str">
            <v>CREDITOS REFINANC TARJETA CREDITO       1ND</v>
          </cell>
        </row>
        <row r="12804">
          <cell r="B12804" t="str">
            <v>19080700000207</v>
          </cell>
          <cell r="C12804" t="str">
            <v>INT X COB REFINANC TARJETA CREDITO      1ND</v>
          </cell>
        </row>
        <row r="12805">
          <cell r="B12805" t="str">
            <v>19080700000208</v>
          </cell>
          <cell r="C12805" t="str">
            <v>COM X COB REFINANC TARJETA CREDITO      1ND</v>
          </cell>
        </row>
        <row r="12806">
          <cell r="B12806" t="str">
            <v>19080700000211</v>
          </cell>
          <cell r="C12806" t="str">
            <v>COMPRA DEUDA NO BANCO                   1ND</v>
          </cell>
        </row>
        <row r="12807">
          <cell r="B12807" t="str">
            <v>19080700000212</v>
          </cell>
          <cell r="C12807" t="str">
            <v>COMPRA DEUDA OTRO BANCO                 1ND</v>
          </cell>
        </row>
        <row r="12808">
          <cell r="B12808" t="str">
            <v>19080700000213</v>
          </cell>
          <cell r="C12808" t="str">
            <v>TARJETA DE CREDITO INTRACASH            1ND</v>
          </cell>
        </row>
        <row r="12809">
          <cell r="B12809" t="str">
            <v>19080700000216</v>
          </cell>
          <cell r="C12809" t="str">
            <v>PAGOS CAJA REGISTRADORA                 1ND</v>
          </cell>
        </row>
        <row r="12810">
          <cell r="B12810" t="str">
            <v>19080700000217</v>
          </cell>
          <cell r="C12810" t="str">
            <v>SALIDA OUTGOING TARJETA DE CREDITO      1ND</v>
          </cell>
        </row>
        <row r="12811">
          <cell r="B12811" t="str">
            <v>19080700000219</v>
          </cell>
          <cell r="C12811" t="str">
            <v>TRANSITORIA ERRORES DE INCOMING         1ND</v>
          </cell>
        </row>
        <row r="12812">
          <cell r="B12812" t="str">
            <v>19080700000220</v>
          </cell>
          <cell r="C12812" t="str">
            <v>TRANSITORIA FACTURAS INAPLICABLES       1ND</v>
          </cell>
        </row>
        <row r="12813">
          <cell r="B12813" t="str">
            <v>19080700000221</v>
          </cell>
          <cell r="C12813" t="str">
            <v>FACTURAS INAPLICABLES                   1ND</v>
          </cell>
        </row>
        <row r="12814">
          <cell r="B12814" t="str">
            <v>19080700000222</v>
          </cell>
          <cell r="C12814" t="str">
            <v>TC OPERACIONES EN TRAMITE MARCAS        1YD</v>
          </cell>
        </row>
        <row r="12815">
          <cell r="B12815" t="str">
            <v>19080700000223</v>
          </cell>
          <cell r="C12815" t="str">
            <v>TC ERRORES DE INCOMING                  1ND</v>
          </cell>
        </row>
        <row r="12816">
          <cell r="B12816" t="str">
            <v>19080700000224</v>
          </cell>
          <cell r="C12816" t="str">
            <v>OPERACIONES VARIAS TELESOF              1YD</v>
          </cell>
        </row>
        <row r="12817">
          <cell r="B12817" t="str">
            <v>19080700000225</v>
          </cell>
          <cell r="C12817" t="str">
            <v>OPERACIONES VARIAS CONTROL CONTABLE     1YD</v>
          </cell>
        </row>
        <row r="12818">
          <cell r="B12818" t="str">
            <v>19080700000301</v>
          </cell>
          <cell r="C12818" t="str">
            <v>OPERACIONES ADM.CREDITOS CL             1YD</v>
          </cell>
        </row>
        <row r="12819">
          <cell r="B12819" t="str">
            <v>19080700000302</v>
          </cell>
          <cell r="C12819" t="str">
            <v>OPERACIONES ADM.CREDITOS PR             1YD</v>
          </cell>
        </row>
        <row r="12820">
          <cell r="B12820" t="str">
            <v>19080700000303</v>
          </cell>
          <cell r="C12820" t="str">
            <v>CHI OP EN TRAM MI VVIENDA - COFIDE      1ND</v>
          </cell>
        </row>
        <row r="12821">
          <cell r="B12821" t="str">
            <v>19080700000304</v>
          </cell>
          <cell r="C12821" t="str">
            <v>TRASLADO A JUD.IC - CL                  1ND</v>
          </cell>
        </row>
        <row r="12822">
          <cell r="B12822" t="str">
            <v>19080700000305</v>
          </cell>
          <cell r="C12822" t="str">
            <v>ADEUDADOS CAPITAL CL                    1ND</v>
          </cell>
        </row>
        <row r="12823">
          <cell r="B12823" t="str">
            <v>19080700000307</v>
          </cell>
          <cell r="C12823" t="str">
            <v>BL ADEUDADOS CAPITAL-CL                 1ND</v>
          </cell>
        </row>
        <row r="12824">
          <cell r="B12824" t="str">
            <v>19080700000309</v>
          </cell>
          <cell r="C12824" t="str">
            <v>CHI TRANSF ITF TECHO PROPIO             1ND</v>
          </cell>
        </row>
        <row r="12825">
          <cell r="B12825" t="str">
            <v>19080700000310</v>
          </cell>
          <cell r="C12825" t="str">
            <v>PAGOS REGISTRALES - CREDITO HIPOTECAR   1YD</v>
          </cell>
        </row>
        <row r="12826">
          <cell r="B12826" t="str">
            <v>19080700000312</v>
          </cell>
          <cell r="C12826" t="str">
            <v>CHI TRANSIT BT MI VIVIENDA-ADEUD C      1ND</v>
          </cell>
        </row>
        <row r="12827">
          <cell r="B12827" t="str">
            <v>19080700000402</v>
          </cell>
          <cell r="C12827" t="str">
            <v>OP.LIQUIDAR - INT.SUSPENSO CTAS CTES    1ND</v>
          </cell>
        </row>
        <row r="12828">
          <cell r="B12828" t="str">
            <v>19080700000404</v>
          </cell>
          <cell r="C12828" t="str">
            <v>OPERAC NO PROCESADAS - CTAS CTES        1ND</v>
          </cell>
        </row>
        <row r="12829">
          <cell r="B12829" t="str">
            <v>19080700000405</v>
          </cell>
          <cell r="C12829" t="str">
            <v>OPERAC.NO PROCESADAS - ST               1ND</v>
          </cell>
        </row>
        <row r="12830">
          <cell r="B12830" t="str">
            <v>19080700000407</v>
          </cell>
          <cell r="C12830" t="str">
            <v>BL OPERAC. IM - BL                      1ND</v>
          </cell>
        </row>
        <row r="12831">
          <cell r="B12831" t="str">
            <v>19080700000408</v>
          </cell>
          <cell r="C12831" t="str">
            <v>BL OP.LIQUIDAR - INT.SUSP BL CTAS CTES  1ND</v>
          </cell>
        </row>
        <row r="12832">
          <cell r="B12832" t="str">
            <v>19080700000409</v>
          </cell>
          <cell r="C12832" t="str">
            <v>OPERACIONES NO PROCESADAS CTAS CTES     1ND</v>
          </cell>
        </row>
        <row r="12833">
          <cell r="B12833" t="str">
            <v>19080700000501</v>
          </cell>
          <cell r="C12833" t="str">
            <v>AP OP.LIQ.VA CONTROL GASTOS             1ND</v>
          </cell>
        </row>
        <row r="12834">
          <cell r="B12834" t="str">
            <v>19080700000502</v>
          </cell>
          <cell r="C12834" t="str">
            <v>TRANSITORIA OP. LIQ.VA CTROL.GTOS - AP  1ND</v>
          </cell>
        </row>
        <row r="12835">
          <cell r="B12835" t="str">
            <v>19080700000503</v>
          </cell>
          <cell r="C12835" t="str">
            <v>TRANSITORIA OP. LIQ. VIAJES -CTROL GTOS 1ND</v>
          </cell>
        </row>
        <row r="12836">
          <cell r="B12836" t="str">
            <v>19080700000601</v>
          </cell>
          <cell r="C12836" t="str">
            <v>LPC OP.EN TRAMITE ADEUDADOS             1ND</v>
          </cell>
        </row>
        <row r="12837">
          <cell r="B12837" t="str">
            <v>19080700000602</v>
          </cell>
          <cell r="C12837" t="str">
            <v>TT CUTOVER TIB                          1ND</v>
          </cell>
        </row>
        <row r="12838">
          <cell r="B12838" t="str">
            <v>19080700000603</v>
          </cell>
          <cell r="C12838" t="str">
            <v>TT CUTOVER PAG                          1ND</v>
          </cell>
        </row>
        <row r="12839">
          <cell r="B12839" t="str">
            <v>19080700000701</v>
          </cell>
          <cell r="C12839" t="str">
            <v>PR OP.EN TRAMITE ADEUDADOS              1ND</v>
          </cell>
        </row>
        <row r="12840">
          <cell r="B12840" t="str">
            <v>19080700000901</v>
          </cell>
          <cell r="C12840" t="str">
            <v>CONTROL ENVIO DOC.A SISTEMAS            1YD</v>
          </cell>
        </row>
        <row r="12841">
          <cell r="B12841" t="str">
            <v>19080700000903</v>
          </cell>
          <cell r="C12841" t="str">
            <v>OPERAC.VARIAS - CTRL ADM                1YD</v>
          </cell>
        </row>
        <row r="12842">
          <cell r="B12842" t="str">
            <v>19080700000905</v>
          </cell>
          <cell r="C12842" t="str">
            <v>OPERAC.VARIAS - REC.HUM.                1YD</v>
          </cell>
        </row>
        <row r="12843">
          <cell r="B12843" t="str">
            <v>19080700000906</v>
          </cell>
          <cell r="C12843" t="str">
            <v>REEMBOLSO CAJA CHICA - CTRL ADM.        1YD</v>
          </cell>
        </row>
        <row r="12844">
          <cell r="B12844" t="str">
            <v>19080700000907</v>
          </cell>
          <cell r="C12844" t="str">
            <v>OPERACIONES - PORFIN                    1ND</v>
          </cell>
        </row>
        <row r="12845">
          <cell r="B12845" t="str">
            <v>19080700000908</v>
          </cell>
          <cell r="C12845" t="str">
            <v>OPERACIONES DE CAMBIO - MESA            1YD</v>
          </cell>
        </row>
        <row r="12846">
          <cell r="B12846" t="str">
            <v>19080700000909</v>
          </cell>
          <cell r="C12846" t="str">
            <v>OP PERSONALES IC                        1YD</v>
          </cell>
        </row>
        <row r="12847">
          <cell r="B12847" t="str">
            <v>19080700000910</v>
          </cell>
          <cell r="C12847" t="str">
            <v>PENDIENTE POR COBRAR ITF                1ND</v>
          </cell>
        </row>
        <row r="12848">
          <cell r="B12848" t="str">
            <v>19080700000911</v>
          </cell>
          <cell r="C12848" t="str">
            <v>REMESAS RECIBIDAS DEL EXTERIOR          1ND</v>
          </cell>
        </row>
        <row r="12849">
          <cell r="B12849" t="str">
            <v>19080700000912</v>
          </cell>
          <cell r="C12849" t="str">
            <v>LIC-DESEMB.EN EL DIA CONVENIO           1YD</v>
          </cell>
        </row>
        <row r="12850">
          <cell r="B12850" t="str">
            <v>19080700000913</v>
          </cell>
          <cell r="C12850" t="str">
            <v>IC - DESEMB. EN EL DIA CONVENIO         1ND</v>
          </cell>
        </row>
        <row r="12851">
          <cell r="B12851" t="str">
            <v>19080700000919</v>
          </cell>
          <cell r="C12851" t="str">
            <v>OPERACIONES VARIAS                      1YD</v>
          </cell>
        </row>
        <row r="12852">
          <cell r="B12852" t="str">
            <v>19080700000920</v>
          </cell>
          <cell r="C12852" t="str">
            <v>DEVOLUCION ITF                          1YD</v>
          </cell>
        </row>
        <row r="12853">
          <cell r="B12853" t="str">
            <v>19080700000925</v>
          </cell>
          <cell r="C12853" t="str">
            <v>OP. VARIAS MYPES                        1YD</v>
          </cell>
        </row>
        <row r="12854">
          <cell r="B12854" t="str">
            <v>19080700000926</v>
          </cell>
          <cell r="C12854" t="str">
            <v>CHI OP EN TRAM MI HOGAR - COFIDE        1ND</v>
          </cell>
        </row>
        <row r="12855">
          <cell r="B12855" t="str">
            <v>19080700000927</v>
          </cell>
          <cell r="C12855" t="str">
            <v>IC INT POR COB SEG VEHIC RIMAC          1ND</v>
          </cell>
        </row>
        <row r="12856">
          <cell r="B12856" t="str">
            <v>19080700000929</v>
          </cell>
          <cell r="C12856" t="str">
            <v>MYP TRANS.DISP.EFEC VENTANILLA          1ND</v>
          </cell>
        </row>
        <row r="12857">
          <cell r="B12857" t="str">
            <v>19080700000930</v>
          </cell>
          <cell r="C12857" t="str">
            <v>MYP TRANS.DISP.EFEC ATM                 1ND</v>
          </cell>
        </row>
        <row r="12858">
          <cell r="B12858" t="str">
            <v>19080700000931</v>
          </cell>
          <cell r="C12858" t="str">
            <v>MYP TRANS.DISP.EFEC IB DIRECTO          1ND</v>
          </cell>
        </row>
        <row r="12859">
          <cell r="B12859" t="str">
            <v>19080700000932</v>
          </cell>
          <cell r="C12859" t="str">
            <v>190807000009320000                      1ND</v>
          </cell>
        </row>
        <row r="12860">
          <cell r="B12860" t="str">
            <v>19080700000933</v>
          </cell>
          <cell r="C12860" t="str">
            <v>IC OP. CRED VEHIC / EFECT               1YD</v>
          </cell>
        </row>
        <row r="12861">
          <cell r="B12861" t="str">
            <v>19080700000934</v>
          </cell>
          <cell r="C12861" t="str">
            <v>OP. FWD NON DELIVERY POR LIQUIDAR       1YD</v>
          </cell>
        </row>
        <row r="12862">
          <cell r="B12862" t="str">
            <v>19080700000936</v>
          </cell>
          <cell r="C12862" t="str">
            <v>OP APLICATIVO MDC                       1ND</v>
          </cell>
        </row>
        <row r="12863">
          <cell r="B12863" t="str">
            <v>19080700000937</v>
          </cell>
          <cell r="C12863" t="str">
            <v>OPERAC. POR REGULARIZAR - FALTANTES A   1ND</v>
          </cell>
        </row>
        <row r="12864">
          <cell r="B12864" t="str">
            <v>19080700000938</v>
          </cell>
          <cell r="C12864" t="str">
            <v>OPERAC. POR REGULARIZA FALTANTES MONE   1ND</v>
          </cell>
        </row>
        <row r="12865">
          <cell r="B12865" t="str">
            <v>19080700000939</v>
          </cell>
          <cell r="C12865" t="str">
            <v>IC COFIGAS                              1ND</v>
          </cell>
        </row>
        <row r="12866">
          <cell r="B12866" t="str">
            <v>19080700000940</v>
          </cell>
          <cell r="C12866" t="str">
            <v>LPC ABONOS COFIGAS LEASING              1ND</v>
          </cell>
        </row>
        <row r="12867">
          <cell r="B12867" t="str">
            <v>19080700000941</v>
          </cell>
          <cell r="C12867" t="str">
            <v>FALTANTES TIB                           1ND</v>
          </cell>
        </row>
        <row r="12868">
          <cell r="B12868" t="str">
            <v>19080700000942</v>
          </cell>
          <cell r="C12868" t="str">
            <v>SCF COMISION POR COBRAR CF              1ND</v>
          </cell>
        </row>
        <row r="12869">
          <cell r="B12869" t="str">
            <v>19080700000943</v>
          </cell>
          <cell r="C12869" t="str">
            <v>CAMPAÃ‘A 1/2 CUOTA GRATIS - CONVENIOS   1YD</v>
          </cell>
        </row>
        <row r="12870">
          <cell r="B12870" t="str">
            <v>19080700000944</v>
          </cell>
          <cell r="C12870" t="str">
            <v>CUP OUTGOING                            1ND</v>
          </cell>
        </row>
        <row r="12871">
          <cell r="B12871" t="str">
            <v>19080700000945</v>
          </cell>
          <cell r="C12871" t="str">
            <v>TT REGISTRO REM-EDP SOLES               1ND</v>
          </cell>
        </row>
        <row r="12872">
          <cell r="B12872" t="str">
            <v>19080700000946</v>
          </cell>
          <cell r="C12872" t="str">
            <v>EDP TRANSIT BANQUERO REMESA DEL EXTERIOR1ND</v>
          </cell>
        </row>
        <row r="12873">
          <cell r="B12873" t="str">
            <v>19080700000947</v>
          </cell>
          <cell r="C12873" t="str">
            <v>VISA OUTGOING OP CAMBIO                 1ND</v>
          </cell>
        </row>
        <row r="12874">
          <cell r="B12874" t="str">
            <v>19080700000948</v>
          </cell>
          <cell r="C12874" t="str">
            <v>MC OUTGOING OP CAMBIO                   1ND</v>
          </cell>
        </row>
        <row r="12875">
          <cell r="B12875" t="str">
            <v>19080700000949</v>
          </cell>
          <cell r="C12875" t="str">
            <v>AMEX OUTGOING OP CAMBIO                 1ND</v>
          </cell>
        </row>
        <row r="12876">
          <cell r="B12876" t="str">
            <v>19080700000950</v>
          </cell>
          <cell r="C12876" t="str">
            <v>LPC EXTORNO PAGO OTROS CONCEPTOS        1ND</v>
          </cell>
        </row>
        <row r="12877">
          <cell r="B12877" t="str">
            <v>19080700000951</v>
          </cell>
          <cell r="C12877" t="str">
            <v>MDC CHQ . PROV. TRAM. OTROS BANCOS      1YD</v>
          </cell>
        </row>
        <row r="12878">
          <cell r="B12878" t="str">
            <v>19080700000952</v>
          </cell>
          <cell r="C12878" t="str">
            <v>ATT DE RECLAMOS EN TIENDAS              1ND</v>
          </cell>
        </row>
        <row r="12879">
          <cell r="B12879" t="str">
            <v>19080700000953</v>
          </cell>
          <cell r="C12879" t="str">
            <v>MDC CHQ . LIMA TRAM. OTROS BANCOS       1YD</v>
          </cell>
        </row>
        <row r="12880">
          <cell r="B12880" t="str">
            <v>19080700000954</v>
          </cell>
          <cell r="C12880" t="str">
            <v>TC DESEMB VENT DIS EFECT  FORANEOS      1YD</v>
          </cell>
        </row>
        <row r="12881">
          <cell r="B12881" t="str">
            <v>19080700000955</v>
          </cell>
          <cell r="C12881" t="str">
            <v>OPERACIONES VENTA INVERSIONES           1YD</v>
          </cell>
        </row>
        <row r="12882">
          <cell r="B12882" t="str">
            <v>19080700000956</v>
          </cell>
          <cell r="C12882" t="str">
            <v>DETRACCIONES-COMPROBANTES DE PAGO       1ND</v>
          </cell>
        </row>
        <row r="12883">
          <cell r="B12883" t="str">
            <v>19080700000957</v>
          </cell>
          <cell r="C12883" t="str">
            <v>PENDIENTES DE CUENTAS POR COBRAR VARIOS 1YD</v>
          </cell>
        </row>
        <row r="12884">
          <cell r="B12884" t="str">
            <v>19080700000958</v>
          </cell>
          <cell r="C12884" t="str">
            <v>PRUEBA                                  1YD</v>
          </cell>
        </row>
        <row r="12885">
          <cell r="B12885" t="str">
            <v>19080700000960</v>
          </cell>
          <cell r="C12885" t="str">
            <v>TRAMITE COBRANZAS CP                    1YD</v>
          </cell>
        </row>
        <row r="12886">
          <cell r="B12886" t="str">
            <v>19080700000961</v>
          </cell>
          <cell r="C12886" t="str">
            <v>PAY OP.LIQ.VA CONTROL GASTOS            1ND</v>
          </cell>
        </row>
        <row r="12887">
          <cell r="B12887" t="str">
            <v>19080700000962</v>
          </cell>
          <cell r="C12887" t="str">
            <v>PAY TRANSITORIA OP CONTROL GASTOS       1ND</v>
          </cell>
        </row>
        <row r="12888">
          <cell r="B12888" t="str">
            <v>19080700000963</v>
          </cell>
          <cell r="C12888" t="str">
            <v>PAY TRANSITORIA LIQ VIAJES CTROL GASTOS 1ND</v>
          </cell>
        </row>
        <row r="12889">
          <cell r="B12889" t="str">
            <v>19080700000964</v>
          </cell>
          <cell r="C12889" t="str">
            <v>BTC EN TRAMITE - DISP.EFECTIVO          1ND</v>
          </cell>
        </row>
        <row r="12890">
          <cell r="B12890" t="str">
            <v>19080700000965</v>
          </cell>
          <cell r="C12890" t="str">
            <v>BTC FACTURAS INAPLICABLES               1ND</v>
          </cell>
        </row>
        <row r="12891">
          <cell r="B12891" t="str">
            <v>19080700000966</v>
          </cell>
          <cell r="C12891" t="str">
            <v>FCD OPERACIONES NO PROCESADAS CTA CTES  1ND</v>
          </cell>
        </row>
        <row r="12892">
          <cell r="B12892" t="str">
            <v>19080700000967</v>
          </cell>
          <cell r="C12892" t="str">
            <v>BSE OPER EN TRAMITE PASARELLA DE PAGOS  1ND</v>
          </cell>
        </row>
        <row r="12893">
          <cell r="B12893" t="str">
            <v>19080700000968</v>
          </cell>
          <cell r="C12893" t="str">
            <v>CDO OPER EN TRAMITE PASARELLA DE PAGOS  1ND</v>
          </cell>
        </row>
        <row r="12894">
          <cell r="B12894" t="str">
            <v>19080700000969</v>
          </cell>
          <cell r="C12894" t="str">
            <v>TRANSITORIA OP. DEV. FONDO FIJO         1ND</v>
          </cell>
        </row>
        <row r="12895">
          <cell r="B12895" t="str">
            <v>19080700000970</v>
          </cell>
          <cell r="C12895" t="str">
            <v>OPERACIONES VARIAS CONTACT CENTER       1ND</v>
          </cell>
        </row>
        <row r="12896">
          <cell r="B12896" t="str">
            <v>19080700000971</v>
          </cell>
          <cell r="C12896" t="str">
            <v>MYP OPERACIONES MANUALES CPE            1ND</v>
          </cell>
        </row>
        <row r="12897">
          <cell r="B12897" t="str">
            <v>19080700000972</v>
          </cell>
          <cell r="C12897" t="str">
            <v>SCF OPERACIONES MANUALES CPE            1ND</v>
          </cell>
        </row>
        <row r="12898">
          <cell r="B12898" t="str">
            <v>19080700000973</v>
          </cell>
          <cell r="C12898" t="str">
            <v>GAC OPERACIONES MANUALES CPE            1ND</v>
          </cell>
        </row>
        <row r="12899">
          <cell r="B12899" t="str">
            <v>19080700000974</v>
          </cell>
          <cell r="C12899" t="str">
            <v>FCD OPERACIONES MANUALES CPE            1ND</v>
          </cell>
        </row>
        <row r="12900">
          <cell r="B12900" t="str">
            <v>19080700000975</v>
          </cell>
          <cell r="C12900" t="str">
            <v>JCC BC OPERACIONES MANUALES CPE         1ND</v>
          </cell>
        </row>
        <row r="12901">
          <cell r="B12901" t="str">
            <v>19080700000976</v>
          </cell>
          <cell r="C12901" t="str">
            <v>JCC MP OPERACIONES MANUALES CPE         1ND</v>
          </cell>
        </row>
        <row r="12902">
          <cell r="B12902" t="str">
            <v>19080700000977</v>
          </cell>
          <cell r="C12902" t="str">
            <v>CDO OPER EN TRAMITE CTA CTE PASARELLA DE1 D</v>
          </cell>
        </row>
        <row r="12903">
          <cell r="B12903" t="str">
            <v>19080700000978</v>
          </cell>
          <cell r="C12903" t="str">
            <v>CDO OPER EN TRAMITE AB LINEA PASARELLA D1 D</v>
          </cell>
        </row>
        <row r="12904">
          <cell r="B12904" t="str">
            <v>19080700000981</v>
          </cell>
          <cell r="C12904" t="str">
            <v>OCT ABONO FAST FUND                     1ND</v>
          </cell>
        </row>
        <row r="12905">
          <cell r="B12905" t="str">
            <v>19080700000982</v>
          </cell>
          <cell r="C12905" t="str">
            <v>DEVOLUCION RECLAMO CLIENTES - BCA COMERC1YD</v>
          </cell>
        </row>
        <row r="12906">
          <cell r="B12906" t="str">
            <v>19080700000983</v>
          </cell>
          <cell r="C12906" t="str">
            <v>DEVOLUCION RECLAMO CLIENTES - RETAIL    1YD</v>
          </cell>
        </row>
        <row r="12907">
          <cell r="B12907" t="str">
            <v>19080700000984</v>
          </cell>
          <cell r="C12907" t="str">
            <v>JCC OPERACIONES EN TRANSITO ABONOS COFID1 D</v>
          </cell>
        </row>
        <row r="12908">
          <cell r="B12908" t="str">
            <v>19080700000985</v>
          </cell>
          <cell r="C12908" t="str">
            <v>JCC OPERACIONES EN TRANSITO ABONOS COFID1 D</v>
          </cell>
        </row>
        <row r="12909">
          <cell r="B12909" t="str">
            <v>19080700000986</v>
          </cell>
          <cell r="C12909" t="str">
            <v>ATT DE RECLAMOS IB AGENTE               1 D</v>
          </cell>
        </row>
        <row r="12910">
          <cell r="B12910" t="str">
            <v>19080700000987</v>
          </cell>
          <cell r="C12910" t="str">
            <v>OP NO PROCESADAS OFICINAS VARIAS        1YD</v>
          </cell>
        </row>
        <row r="12911">
          <cell r="B12911" t="str">
            <v>19080700000988</v>
          </cell>
          <cell r="C12911" t="str">
            <v>PYR CONV TIB Y REM                      1YD</v>
          </cell>
        </row>
        <row r="12912">
          <cell r="B12912" t="str">
            <v>19080700000989</v>
          </cell>
          <cell r="C12912" t="str">
            <v>GPYR VARIAS                             1YD</v>
          </cell>
        </row>
        <row r="12913">
          <cell r="B12913" t="str">
            <v>19080700000991</v>
          </cell>
          <cell r="C12913" t="str">
            <v>CDO OP CAMBIO CONVERSION VISA           1ND</v>
          </cell>
        </row>
        <row r="12914">
          <cell r="B12914" t="str">
            <v>19080700000992</v>
          </cell>
          <cell r="C12914" t="str">
            <v>TRANSITORIA MAES                        1YD</v>
          </cell>
        </row>
        <row r="12915">
          <cell r="B12915" t="str">
            <v>19080700000993</v>
          </cell>
          <cell r="C12915" t="str">
            <v>CDO TRANSITORIA OP LIQUIDACION MARCAS   1ND</v>
          </cell>
        </row>
        <row r="12916">
          <cell r="B12916" t="str">
            <v>19080700000997</v>
          </cell>
          <cell r="C12916" t="str">
            <v>CUENTA TRANSITORIA REMESAS BÃ“VEDAS     1ND</v>
          </cell>
        </row>
        <row r="12917">
          <cell r="B12917" t="str">
            <v>19080700000998</v>
          </cell>
          <cell r="C12917" t="str">
            <v>CUENTA TRANSITORIA DIFERENCIAS EN REMESA1YD</v>
          </cell>
        </row>
        <row r="12918">
          <cell r="B12918" t="str">
            <v>19080700000999</v>
          </cell>
          <cell r="C12918" t="str">
            <v>TDA PUENTE FAST FUNDS                    ND</v>
          </cell>
        </row>
        <row r="12919">
          <cell r="B12919" t="str">
            <v>19080700001000</v>
          </cell>
          <cell r="C12919" t="str">
            <v>TDA OPER  NO CONFIRM OCT                 ND</v>
          </cell>
        </row>
        <row r="12920">
          <cell r="B12920" t="str">
            <v>19080700001001</v>
          </cell>
          <cell r="C12920" t="str">
            <v>TDA OPER  NO CONCILIADA AFT              ND</v>
          </cell>
        </row>
        <row r="12921">
          <cell r="B12921" t="str">
            <v>19080700001002</v>
          </cell>
          <cell r="C12921" t="str">
            <v>CUENTA TRANSITORIA RBO                  1ND</v>
          </cell>
        </row>
        <row r="12922">
          <cell r="B12922" t="str">
            <v>19080700001003</v>
          </cell>
          <cell r="C12922" t="str">
            <v>ATT DE RECL EN TIENDA "ATM NO ENTREGO RE1YD</v>
          </cell>
        </row>
        <row r="12923">
          <cell r="B12923" t="str">
            <v>19080700001004</v>
          </cell>
          <cell r="C12923" t="str">
            <v>ATT DE RECL EN TIENDA "ATM NO DEPOSITO" 1YD</v>
          </cell>
        </row>
        <row r="12924">
          <cell r="B12924" t="str">
            <v>19080700001005</v>
          </cell>
          <cell r="C12924" t="str">
            <v>COMPRA DEUDA NO BANCO - POSTERIOR 5PM   1ND</v>
          </cell>
        </row>
        <row r="12925">
          <cell r="B12925" t="str">
            <v>19080700001006</v>
          </cell>
          <cell r="C12925" t="str">
            <v>CDO NO CONCILIADOS INCOMING AMEX        1ND</v>
          </cell>
        </row>
        <row r="12926">
          <cell r="B12926" t="str">
            <v>19080700001007</v>
          </cell>
          <cell r="C12926" t="str">
            <v>RECHAZOS CONTRACARGOS AMEX              1ND</v>
          </cell>
        </row>
        <row r="12927">
          <cell r="B12927" t="str">
            <v>19080700001008</v>
          </cell>
          <cell r="C12927" t="str">
            <v>CDO OPER EN TRAMITE PAGO LINK           1ND</v>
          </cell>
        </row>
        <row r="12928">
          <cell r="B12928" t="str">
            <v>19080700001009</v>
          </cell>
          <cell r="C12928" t="str">
            <v>CDO NO PROCESADOS CTA CTE IZIPAY        1ND</v>
          </cell>
        </row>
        <row r="12929">
          <cell r="B12929" t="str">
            <v>19080700001010</v>
          </cell>
          <cell r="C12929" t="str">
            <v>CUENTA TRANSITORIA ATM-PTV              1ND</v>
          </cell>
        </row>
        <row r="12930">
          <cell r="B12930" t="str">
            <v>19080700001011</v>
          </cell>
          <cell r="C12930" t="str">
            <v>CDO CONTRACARGO ADQUIRENCIA AMEX        1ND</v>
          </cell>
        </row>
        <row r="12931">
          <cell r="B12931" t="str">
            <v>19080700001012</v>
          </cell>
          <cell r="C12931" t="str">
            <v>CDA OPERACIONES POR LIQUIDAR            1ND</v>
          </cell>
        </row>
        <row r="12932">
          <cell r="B12932" t="str">
            <v>19080700001013</v>
          </cell>
          <cell r="C12932" t="str">
            <v>AP CTA TRANSITORIA FONDO FIJO-TDAS      1YD</v>
          </cell>
        </row>
        <row r="12933">
          <cell r="B12933" t="str">
            <v>19080700001014</v>
          </cell>
          <cell r="C12933" t="str">
            <v>AP DEV. TDAS PROV. FONDO FIJO           1YD</v>
          </cell>
        </row>
        <row r="12934">
          <cell r="B12934" t="str">
            <v>19080700001015</v>
          </cell>
          <cell r="C12934" t="str">
            <v>AP  DEV. TDAS LIMA - FONDO FIJO         1YD</v>
          </cell>
        </row>
        <row r="12935">
          <cell r="B12935" t="str">
            <v>19080700001016</v>
          </cell>
          <cell r="C12935" t="str">
            <v>OPERACIONES - CONVENIOS                 1ND</v>
          </cell>
        </row>
        <row r="12936">
          <cell r="B12936" t="str">
            <v>19080700001017</v>
          </cell>
          <cell r="C12936" t="str">
            <v>HPC TRANS. ADEUD.NUEVO MVV COFIDE       1ND</v>
          </cell>
        </row>
        <row r="12937">
          <cell r="B12937" t="str">
            <v>19080700001018</v>
          </cell>
          <cell r="C12937" t="str">
            <v>REGISTRO CRUCE DE MONEDAS CHI           1ND</v>
          </cell>
        </row>
        <row r="12938">
          <cell r="B12938" t="str">
            <v>19080700001019</v>
          </cell>
          <cell r="C12938" t="str">
            <v>OTRAS - OP. VARIAS TRANSF CLIENTES      1ND</v>
          </cell>
        </row>
        <row r="12939">
          <cell r="B12939" t="str">
            <v>19080700001020</v>
          </cell>
          <cell r="C12939" t="str">
            <v>OTRAS - OP. VARIAS TRANSF CLIENTES      1YD</v>
          </cell>
        </row>
        <row r="12940">
          <cell r="B12940" t="str">
            <v>19080700001021</v>
          </cell>
          <cell r="C12940" t="str">
            <v>CDO RECHAZOS OUTGOING VISA              1ND</v>
          </cell>
        </row>
        <row r="12941">
          <cell r="B12941" t="str">
            <v>19080900000102</v>
          </cell>
          <cell r="C12941" t="str">
            <v>OTRAS - OP. VARIAS DEP Y SERV           1YD</v>
          </cell>
        </row>
        <row r="12942">
          <cell r="B12942" t="str">
            <v>19080900000103</v>
          </cell>
          <cell r="C12942" t="str">
            <v>OTRAS - OP. VARIAS OP. FINANCIERAS      1ND</v>
          </cell>
        </row>
        <row r="12943">
          <cell r="B12943" t="str">
            <v>19080900000104</v>
          </cell>
          <cell r="C12943" t="str">
            <v>OTRAS - OP. VARIAS TRANSF CLIENTES      1YD</v>
          </cell>
        </row>
        <row r="12944">
          <cell r="B12944" t="str">
            <v>19080900000105</v>
          </cell>
          <cell r="C12944" t="str">
            <v>OTRAS - OP. VARIAS CREDITOS HIPOTECARIOS1YD</v>
          </cell>
        </row>
        <row r="12945">
          <cell r="B12945" t="str">
            <v>19080900000106</v>
          </cell>
          <cell r="C12945" t="str">
            <v>OTRAS - OP. VARIAS CONTROL Y CANJE      1YD</v>
          </cell>
        </row>
        <row r="12946">
          <cell r="B12946" t="str">
            <v>19080900000107</v>
          </cell>
          <cell r="C12946" t="str">
            <v>OTRAS - OP. VARIAS BOVEDA DE CAJA       1YD</v>
          </cell>
        </row>
        <row r="12947">
          <cell r="B12947" t="str">
            <v>19080900000108</v>
          </cell>
          <cell r="C12947" t="str">
            <v>OTRAS - OP. VARIAS GEST.RRHH            1ND</v>
          </cell>
        </row>
        <row r="12948">
          <cell r="B12948" t="str">
            <v>19080900000109</v>
          </cell>
          <cell r="C12948" t="str">
            <v>OTRAS - ARTIFICIO PLANILLA DE SUELDOS   1ND</v>
          </cell>
        </row>
        <row r="12949">
          <cell r="B12949" t="str">
            <v>19080900000110</v>
          </cell>
          <cell r="C12949" t="str">
            <v>OTRAS - CONTROL DE GASTOS INTEROFICINAS 1YD</v>
          </cell>
        </row>
        <row r="12950">
          <cell r="B12950" t="str">
            <v>19080900000112</v>
          </cell>
          <cell r="C12950" t="str">
            <v>OTRAS - COM.SERVICIOS BCOS.LOCAL        1ND</v>
          </cell>
        </row>
        <row r="12951">
          <cell r="B12951" t="str">
            <v>19080900000116</v>
          </cell>
          <cell r="C12951" t="str">
            <v>OTRAS - OP.CAMBIO DE VUELTO VENTANILLA  1ND</v>
          </cell>
        </row>
        <row r="12952">
          <cell r="B12952" t="str">
            <v>19080900000118</v>
          </cell>
          <cell r="C12952" t="str">
            <v>OTRAS-CTROL GTOS INTEROFIC LIMA-MM      1YD</v>
          </cell>
        </row>
        <row r="12953">
          <cell r="B12953" t="str">
            <v>19080900000119</v>
          </cell>
          <cell r="C12953" t="str">
            <v>OTRAS-CTROL GTOS INTEROFIC-PROVINCIA    1YD</v>
          </cell>
        </row>
        <row r="12954">
          <cell r="B12954" t="str">
            <v>19080900000120</v>
          </cell>
          <cell r="C12954" t="str">
            <v>RECEPCION ALMACEN                       1ND</v>
          </cell>
        </row>
        <row r="12955">
          <cell r="B12955" t="str">
            <v>19080900000136</v>
          </cell>
          <cell r="C12955" t="str">
            <v>PROYECTO CANJE                          1ND</v>
          </cell>
        </row>
        <row r="12956">
          <cell r="B12956" t="str">
            <v>19080900000141</v>
          </cell>
          <cell r="C12956" t="str">
            <v>EXTORNO REI CAPITAL-DIC 2000            1ND</v>
          </cell>
        </row>
        <row r="12957">
          <cell r="B12957" t="str">
            <v>19080900000143</v>
          </cell>
          <cell r="C12957" t="str">
            <v>COMPENSACION CANJE LOCAL                1ND</v>
          </cell>
        </row>
        <row r="12958">
          <cell r="B12958" t="str">
            <v>19080900000144</v>
          </cell>
          <cell r="C12958" t="str">
            <v>OP.EN TRAM. TECHO PROPIO COFIDE         1ND</v>
          </cell>
        </row>
        <row r="12959">
          <cell r="B12959" t="str">
            <v>19080900000147</v>
          </cell>
          <cell r="C12959" t="str">
            <v>TRANS ESPECIAL PAG TV LPC               1ND</v>
          </cell>
        </row>
        <row r="12960">
          <cell r="B12960" t="str">
            <v>19080900000151</v>
          </cell>
          <cell r="C12960" t="str">
            <v>TRANS CAJEROS EN ALQUILER               1ND</v>
          </cell>
        </row>
        <row r="12961">
          <cell r="B12961" t="str">
            <v>19080900000152</v>
          </cell>
          <cell r="C12961" t="str">
            <v>TRANS CAJERO ATM BILLETES               1YD</v>
          </cell>
        </row>
        <row r="12962">
          <cell r="B12962" t="str">
            <v>19080900000153</v>
          </cell>
          <cell r="C12962" t="str">
            <v>LEASING OP.CAMBIO VENTA-LPC             1ND</v>
          </cell>
        </row>
        <row r="12963">
          <cell r="B12963" t="str">
            <v>19080900000154</v>
          </cell>
          <cell r="C12963" t="str">
            <v>OPERACIONES - CONVENIOS                 1ND</v>
          </cell>
        </row>
        <row r="12964">
          <cell r="B12964" t="str">
            <v>19080900000155</v>
          </cell>
          <cell r="C12964" t="str">
            <v>OPERACIONES VARIAS RRHH                 1YD</v>
          </cell>
        </row>
        <row r="12965">
          <cell r="B12965" t="str">
            <v>19080900000156</v>
          </cell>
          <cell r="C12965" t="str">
            <v>HPC TRANSIT. ADEUD. MI VIV COFIDE       1ND</v>
          </cell>
        </row>
        <row r="12966">
          <cell r="B12966" t="str">
            <v>19080900000157</v>
          </cell>
          <cell r="C12966" t="str">
            <v>HPC TRANSIT. ADEUD.TECHO PROP COF       1ND</v>
          </cell>
        </row>
        <row r="12967">
          <cell r="B12967" t="str">
            <v>19080900000159</v>
          </cell>
          <cell r="C12967" t="str">
            <v>HPC TRANS. ADEUD.NUEVO MVV COFIDE       1ND</v>
          </cell>
        </row>
        <row r="12968">
          <cell r="B12968" t="str">
            <v>19080900000161</v>
          </cell>
          <cell r="C12968" t="str">
            <v>TRANSITORIA DINERO ELECTRONICO FEES     1ND</v>
          </cell>
        </row>
        <row r="12969">
          <cell r="B12969" t="str">
            <v>19080900000162</v>
          </cell>
          <cell r="C12969" t="str">
            <v>TRANSITORIA DINERO ELECTRONICO          1ND</v>
          </cell>
        </row>
        <row r="12970">
          <cell r="B12970" t="str">
            <v>19080900000163</v>
          </cell>
          <cell r="C12970" t="str">
            <v>TRANSITORIA BIM - CASH OUT              1ND</v>
          </cell>
        </row>
        <row r="12971">
          <cell r="B12971" t="str">
            <v>19080900000190</v>
          </cell>
          <cell r="C12971" t="str">
            <v>ARTIFICIO POR CONTINGENCIA              1ND</v>
          </cell>
        </row>
        <row r="12972">
          <cell r="B12972" t="str">
            <v>19080900000191</v>
          </cell>
          <cell r="C12972" t="str">
            <v>GASTOS VARIOS - TIENDAS LIMA Y PROVINCIA1YD</v>
          </cell>
        </row>
        <row r="12973">
          <cell r="B12973" t="str">
            <v>19080900000192</v>
          </cell>
          <cell r="C12973" t="str">
            <v>HPC TRANSIT. ADEUD.MI HOGAR COFID       1ND</v>
          </cell>
        </row>
        <row r="12974">
          <cell r="B12974" t="str">
            <v>19080900000193</v>
          </cell>
          <cell r="C12974" t="str">
            <v>OP INVERSIONES ACTIVA                   1ND</v>
          </cell>
        </row>
        <row r="12975">
          <cell r="B12975" t="str">
            <v>19080900000194</v>
          </cell>
          <cell r="C12975" t="str">
            <v>OP DE CAMBIO T+X                        1YD</v>
          </cell>
        </row>
        <row r="12976">
          <cell r="B12976" t="str">
            <v>19080900000195</v>
          </cell>
          <cell r="C12976" t="str">
            <v>OPERACIONES VARIAS INVERSIONES          1ND</v>
          </cell>
        </row>
        <row r="12977">
          <cell r="B12977" t="str">
            <v>19080900000196</v>
          </cell>
          <cell r="C12977" t="str">
            <v>OPERACIONES  REPOS                      1ND</v>
          </cell>
        </row>
        <row r="12978">
          <cell r="B12978" t="str">
            <v>19080900000197</v>
          </cell>
          <cell r="C12978" t="str">
            <v>COMISION BROKER                         1ND</v>
          </cell>
        </row>
        <row r="12979">
          <cell r="B12979" t="str">
            <v>19080900000198</v>
          </cell>
          <cell r="C12979" t="str">
            <v>OP TMFÂ                                 1ND</v>
          </cell>
        </row>
        <row r="12980">
          <cell r="B12980" t="str">
            <v>19080900000201</v>
          </cell>
          <cell r="C12980" t="str">
            <v>POSICION MERCADO LIBRE                  1ND</v>
          </cell>
        </row>
        <row r="12981">
          <cell r="B12981" t="str">
            <v>19080900000202</v>
          </cell>
          <cell r="C12981" t="str">
            <v>POSICION ARBITRAJE                      1ND</v>
          </cell>
        </row>
        <row r="12982">
          <cell r="B12982" t="str">
            <v>19080900000203</v>
          </cell>
          <cell r="C12982" t="str">
            <v>POSICION OFERTA Y DEMANDA CAPITAL       1ND</v>
          </cell>
        </row>
        <row r="12983">
          <cell r="B12983" t="str">
            <v>19080900000204</v>
          </cell>
          <cell r="C12983" t="str">
            <v>POSICIÃ€N SPOT SWAP                     1ND</v>
          </cell>
        </row>
        <row r="12984">
          <cell r="B12984" t="str">
            <v>19080900000205</v>
          </cell>
          <cell r="C12984" t="str">
            <v>POSICION OPERACIONES A FUTURO           1ND</v>
          </cell>
        </row>
        <row r="12985">
          <cell r="B12985" t="str">
            <v>19080900000206</v>
          </cell>
          <cell r="C12985" t="str">
            <v>POSICION SPOT                           1ND</v>
          </cell>
        </row>
        <row r="12986">
          <cell r="B12986" t="str">
            <v>19080900000208</v>
          </cell>
          <cell r="C12986" t="str">
            <v>POSICIÃ€N DE COBERTURA SWAP (CFE)       1ND</v>
          </cell>
        </row>
        <row r="12987">
          <cell r="B12987" t="str">
            <v>19080900000209</v>
          </cell>
          <cell r="C12987" t="str">
            <v>POSICIÃ€N DE COBERTURA SWAP (CFC)       1ND</v>
          </cell>
        </row>
        <row r="12988">
          <cell r="B12988" t="str">
            <v>19080900000210</v>
          </cell>
          <cell r="C12988" t="str">
            <v>POSICION COBERTURA SWAP - SCCS          1ND</v>
          </cell>
        </row>
        <row r="12989">
          <cell r="B12989" t="str">
            <v>19080900000211</v>
          </cell>
          <cell r="C12989" t="str">
            <v>POSICION SPOT FWD OTRAS MONEDAS         1ND</v>
          </cell>
        </row>
        <row r="12990">
          <cell r="B12990" t="str">
            <v>19080900000215</v>
          </cell>
          <cell r="C12990" t="str">
            <v>POSICION COBERTURA OPCIONES             1ND</v>
          </cell>
        </row>
        <row r="12991">
          <cell r="B12991" t="str">
            <v>19080900000216</v>
          </cell>
          <cell r="C12991" t="str">
            <v>POSICION SPTX                           1ND</v>
          </cell>
        </row>
        <row r="12992">
          <cell r="B12992" t="str">
            <v>19080900000217</v>
          </cell>
          <cell r="C12992" t="str">
            <v>POSICION COBERTURA IRS                  1ND</v>
          </cell>
        </row>
        <row r="12993">
          <cell r="B12993" t="str">
            <v>19080900000218</v>
          </cell>
          <cell r="C12993" t="str">
            <v>POSICION SPOT ESTRATEGICO               1ND</v>
          </cell>
        </row>
        <row r="12994">
          <cell r="B12994" t="str">
            <v>19080900000219</v>
          </cell>
          <cell r="C12994" t="str">
            <v>Posicion CCS Cobertura Goldman          1ND</v>
          </cell>
        </row>
        <row r="12995">
          <cell r="B12995" t="str">
            <v>19080900000220</v>
          </cell>
          <cell r="C12995" t="str">
            <v>POSICION OPCIONES DIVISAS               1ND</v>
          </cell>
        </row>
        <row r="12996">
          <cell r="B12996" t="str">
            <v>19080900000221</v>
          </cell>
          <cell r="C12996" t="str">
            <v>Spot Fwd Opciones                       1ND</v>
          </cell>
        </row>
        <row r="12997">
          <cell r="B12997" t="str">
            <v>19080900000222</v>
          </cell>
          <cell r="C12997" t="str">
            <v>Spot Fwd Op Divisas                     1ND</v>
          </cell>
        </row>
        <row r="12998">
          <cell r="B12998" t="str">
            <v>19080900000223</v>
          </cell>
          <cell r="C12998" t="str">
            <v>POSICION CCS COBERTURA BOFA             1ND</v>
          </cell>
        </row>
        <row r="12999">
          <cell r="B12999" t="str">
            <v>19080900000224</v>
          </cell>
          <cell r="C12999" t="str">
            <v>POSICION SWAP CAMBIARIO SWAP            1ND</v>
          </cell>
        </row>
        <row r="13000">
          <cell r="B13000" t="str">
            <v>19080900000225</v>
          </cell>
          <cell r="C13000" t="str">
            <v>POSICIÃ“N  SWAP CAMBIARIO (SBCR)        1ND</v>
          </cell>
        </row>
        <row r="13001">
          <cell r="B13001" t="str">
            <v>19080900000226</v>
          </cell>
          <cell r="C13001" t="str">
            <v>TRANS. BIENES ADJUDICADOS Y RECUPERADOS 1ND</v>
          </cell>
        </row>
        <row r="13002">
          <cell r="B13002" t="str">
            <v>19080900000227</v>
          </cell>
          <cell r="C13002" t="str">
            <v>PosiciÃ³n NegociaciÃ³n Finanzas         1ND</v>
          </cell>
        </row>
        <row r="13003">
          <cell r="B13003" t="str">
            <v>19080900000228</v>
          </cell>
          <cell r="C13003" t="str">
            <v>POSICIÃ“N DE DIVISAS ESTRATEGICAS       1ND</v>
          </cell>
        </row>
        <row r="13004">
          <cell r="B13004" t="str">
            <v>19080900000229</v>
          </cell>
          <cell r="C13004" t="str">
            <v>MDC TRASPASO COBERTURAS CDR             1ND</v>
          </cell>
        </row>
        <row r="13005">
          <cell r="B13005" t="str">
            <v>19080900000230</v>
          </cell>
          <cell r="C13005" t="str">
            <v>SPOT COBERTURA CCS ESTRATEGICO          1ND</v>
          </cell>
        </row>
        <row r="13006">
          <cell r="B13006" t="str">
            <v>19080900000231</v>
          </cell>
          <cell r="C13006" t="str">
            <v>MRX POSICION NEGOCIACION CCS ESTRATEGICO1ND</v>
          </cell>
        </row>
        <row r="13007">
          <cell r="B13007" t="str">
            <v>19080900000232</v>
          </cell>
          <cell r="C13007" t="str">
            <v>MRX POSICION FWD TESORERIA              1ND</v>
          </cell>
        </row>
        <row r="13008">
          <cell r="B13008" t="str">
            <v>19080900000233</v>
          </cell>
          <cell r="C13008" t="str">
            <v>MDC POSICION FX SPOTS ARBITRAJE         1 D</v>
          </cell>
        </row>
        <row r="13009">
          <cell r="B13009" t="str">
            <v>19080900000234</v>
          </cell>
          <cell r="C13009" t="str">
            <v>MDC POSICION FX SPOTS MERCADO LIBRE     1 D</v>
          </cell>
        </row>
        <row r="13010">
          <cell r="B13010" t="str">
            <v>19080900000235</v>
          </cell>
          <cell r="C13010" t="str">
            <v>MDC POSICION FWD SPOT HEGDE MERCADO LIBR1 D</v>
          </cell>
        </row>
        <row r="13011">
          <cell r="B13011" t="str">
            <v>19080900000236</v>
          </cell>
          <cell r="C13011" t="str">
            <v>MDC POSICION FWD SPOT HEGDE ARBITRAJE   1 D</v>
          </cell>
        </row>
        <row r="13012">
          <cell r="B13012" t="str">
            <v>19080900000237</v>
          </cell>
          <cell r="C13012" t="str">
            <v>MDC POSICION INVERSIONES CCS MERCADO LIB1 D</v>
          </cell>
        </row>
        <row r="13013">
          <cell r="B13013" t="str">
            <v>19080900000238</v>
          </cell>
          <cell r="C13013" t="str">
            <v>MDC POSICION MESA INVERSIONES (GDN BIMON1 D</v>
          </cell>
        </row>
        <row r="13014">
          <cell r="B13014" t="str">
            <v>19080900000239</v>
          </cell>
          <cell r="C13014" t="str">
            <v>MDC POSICION MESA FX OPCIONES ARBITRAJE 1ND</v>
          </cell>
        </row>
        <row r="13015">
          <cell r="B13015" t="str">
            <v>19080900000240</v>
          </cell>
          <cell r="C13015" t="str">
            <v>MDC POSICION MESA FX OPCIONES MERCADO LI1ND</v>
          </cell>
        </row>
        <row r="13016">
          <cell r="B13016" t="str">
            <v>19080900000241</v>
          </cell>
          <cell r="C13016" t="str">
            <v>MDC POSICION MESA DRV FWD ARBITRAJE     1ND</v>
          </cell>
        </row>
        <row r="13017">
          <cell r="B13017" t="str">
            <v>19080900000261</v>
          </cell>
          <cell r="C13017" t="str">
            <v>POSICION OPCIONES ESTRATEGICO MERCADO LI1ND</v>
          </cell>
        </row>
        <row r="13018">
          <cell r="B13018" t="str">
            <v>19080900000262</v>
          </cell>
          <cell r="C13018" t="str">
            <v>POSICION OPCIONES ESTRATEGICO ARBITRAJE 1ND</v>
          </cell>
        </row>
        <row r="13019">
          <cell r="B13019" t="str">
            <v>19080900000263</v>
          </cell>
          <cell r="C13019" t="str">
            <v>MDC POSICION MESA INVERSIONES FWD ARBITR1ND</v>
          </cell>
        </row>
        <row r="13020">
          <cell r="B13020" t="str">
            <v>19080900000264</v>
          </cell>
          <cell r="C13020" t="str">
            <v>MDC POSICION MESA INVERSIONES FWD MERCAD1ND</v>
          </cell>
        </row>
        <row r="13021">
          <cell r="B13021" t="str">
            <v>19080900000265</v>
          </cell>
          <cell r="C13021" t="str">
            <v>POSICION DERIVADOS MESA INVERSIONES ARBI1ND</v>
          </cell>
        </row>
        <row r="13022">
          <cell r="B13022" t="str">
            <v>19080900000301</v>
          </cell>
          <cell r="C13022" t="str">
            <v>BL MIGRACION SALDOS ST BL               1ND</v>
          </cell>
        </row>
        <row r="13023">
          <cell r="B13023" t="str">
            <v>19080900000302</v>
          </cell>
          <cell r="C13023" t="str">
            <v>BL MIGRACION SALDOS IM BL               1ND</v>
          </cell>
        </row>
        <row r="13024">
          <cell r="B13024" t="str">
            <v>19080900000304</v>
          </cell>
          <cell r="C13024" t="str">
            <v>PAY TRANSF PAGO SEG.EPS IBK OTROS       1ND</v>
          </cell>
        </row>
        <row r="13025">
          <cell r="B13025" t="str">
            <v>19080900000305</v>
          </cell>
          <cell r="C13025" t="str">
            <v>RECEPCION ALMACEN-CLOUD                 1ND</v>
          </cell>
        </row>
        <row r="13026">
          <cell r="B13026" t="str">
            <v>19080900000306</v>
          </cell>
          <cell r="C13026" t="str">
            <v>MDC POSICION Mesa Fx (CDLD,CDLD-V)       ND</v>
          </cell>
        </row>
        <row r="13027">
          <cell r="B13027" t="str">
            <v>19080900000307</v>
          </cell>
          <cell r="C13027" t="str">
            <v>MDC POSICION Mesa Inversiones (GDN,Bimon ND</v>
          </cell>
        </row>
        <row r="13028">
          <cell r="B13028" t="str">
            <v>19080900000308</v>
          </cell>
          <cell r="C13028" t="str">
            <v>$ST ABONOS POR REGULARIZACIONES         1ND</v>
          </cell>
        </row>
        <row r="13029">
          <cell r="B13029" t="str">
            <v>19080900000309</v>
          </cell>
          <cell r="C13029" t="str">
            <v>EMBARGO TELEMATICO                      1ND</v>
          </cell>
        </row>
        <row r="13030">
          <cell r="B13030" t="str">
            <v>19080900000310</v>
          </cell>
          <cell r="C13030" t="str">
            <v>TDA OP LIQUIDAR â€“ NO APLICADAS        1ND</v>
          </cell>
        </row>
        <row r="13031">
          <cell r="B13031" t="str">
            <v>19080900000401</v>
          </cell>
          <cell r="C13031" t="str">
            <v>REGISTRO NO ASENTADOS                   1ND</v>
          </cell>
        </row>
        <row r="13032">
          <cell r="B13032" t="str">
            <v>19080900000402</v>
          </cell>
          <cell r="C13032" t="str">
            <v>REGISTRO NO ASENTADOS C                 1ND</v>
          </cell>
        </row>
        <row r="13033">
          <cell r="B13033" t="str">
            <v>19080900000403</v>
          </cell>
          <cell r="C13033" t="str">
            <v>REGISTRO CRUCE DE MONEDAS CHI           1ND</v>
          </cell>
        </row>
        <row r="13034">
          <cell r="B13034" t="str">
            <v>19080900000404</v>
          </cell>
          <cell r="C13034" t="str">
            <v>MIGRACION ORACLE - LOTES SAT            1ND</v>
          </cell>
        </row>
        <row r="13035">
          <cell r="B13035" t="str">
            <v>19080900000405</v>
          </cell>
          <cell r="C13035" t="str">
            <v>AP CTA TRANSITORIA FONDO FIJO-TDAS      1YD</v>
          </cell>
        </row>
        <row r="13036">
          <cell r="B13036" t="str">
            <v>19080900000407</v>
          </cell>
          <cell r="C13036" t="str">
            <v>CAJA CHICA INTERNA  - AP                1YD</v>
          </cell>
        </row>
        <row r="13037">
          <cell r="B13037" t="str">
            <v>19080900000501</v>
          </cell>
          <cell r="C13037" t="str">
            <v>TRANSITORIA PROVISIONES BASILEA         1ND</v>
          </cell>
        </row>
        <row r="13038">
          <cell r="B13038" t="str">
            <v>19080900000502</v>
          </cell>
          <cell r="C13038" t="str">
            <v>AP  DEV. TDAS LIMA - FONDO FIJO         1YD</v>
          </cell>
        </row>
        <row r="13039">
          <cell r="B13039" t="str">
            <v>19080900000503</v>
          </cell>
          <cell r="C13039" t="str">
            <v>AP DEV. TDAS PROV. FONDO FIJO           1YD</v>
          </cell>
        </row>
        <row r="13040">
          <cell r="B13040" t="str">
            <v>19080900000504</v>
          </cell>
          <cell r="C13040" t="str">
            <v>AP TRANS. PAGO SEG. EPS_IBK_OTROS       1ND</v>
          </cell>
        </row>
        <row r="13041">
          <cell r="B13041" t="str">
            <v>19080900000601</v>
          </cell>
          <cell r="C13041" t="str">
            <v>CAMPAÃ‘A SALDO CERO                     1YD</v>
          </cell>
        </row>
        <row r="13042">
          <cell r="B13042" t="str">
            <v>19080900000602</v>
          </cell>
          <cell r="C13042" t="str">
            <v>ADELANTO PAGO COMISIONES VEHICULAR      1YD</v>
          </cell>
        </row>
        <row r="13043">
          <cell r="B13043" t="str">
            <v>19080900000603</v>
          </cell>
          <cell r="C13043" t="str">
            <v>OPERACIONES PASE A JUD BCA. COMERCIAL   1YD</v>
          </cell>
        </row>
        <row r="13044">
          <cell r="B13044" t="str">
            <v>19080900000604</v>
          </cell>
          <cell r="C13044" t="str">
            <v>OPERACIONES PASE A JUD MYPES            1YD</v>
          </cell>
        </row>
        <row r="13045">
          <cell r="B13045" t="str">
            <v>19080900000605</v>
          </cell>
          <cell r="C13045" t="str">
            <v>OPERACIONES PASE A JUD BCA. PERSONAS    1YD</v>
          </cell>
        </row>
        <row r="13046">
          <cell r="B13046" t="str">
            <v>19080900000701</v>
          </cell>
          <cell r="C13046" t="str">
            <v>APUNTE MANUAL T/C                       1YD</v>
          </cell>
        </row>
        <row r="13047">
          <cell r="B13047" t="str">
            <v>19080900000801</v>
          </cell>
          <cell r="C13047" t="str">
            <v>PDTE NIVELACION TIPO DE CAMBIO - PANAMÃ1ND</v>
          </cell>
        </row>
        <row r="13048">
          <cell r="B13048" t="str">
            <v>19080911110201</v>
          </cell>
          <cell r="C13048" t="str">
            <v>OTRAS OP - PROVISION GEN OBLIG RIES CRED1ND</v>
          </cell>
        </row>
        <row r="13049">
          <cell r="B13049" t="str">
            <v>19080911110301</v>
          </cell>
          <cell r="C13049" t="str">
            <v>OTRAS OP - PROVISION GEN OBLIG RIES CRED1ND</v>
          </cell>
        </row>
        <row r="13050">
          <cell r="B13050" t="str">
            <v>19080911110401</v>
          </cell>
          <cell r="C13050" t="str">
            <v>OTRAS OP - PROVISION GEN OBLIG RIES CRED1ND</v>
          </cell>
        </row>
        <row r="13051">
          <cell r="B13051" t="str">
            <v>19080911110501</v>
          </cell>
          <cell r="C13051" t="str">
            <v>OTRAS OP - PROVISION GEN OBLIG RIES CRED1ND</v>
          </cell>
        </row>
        <row r="13052">
          <cell r="B13052" t="str">
            <v>19080911110601</v>
          </cell>
          <cell r="C13052" t="str">
            <v>OTRAS OP - PROVISION GEN OBLIG RIES CRED1ND</v>
          </cell>
        </row>
        <row r="13053">
          <cell r="B13053" t="str">
            <v>19080911110701</v>
          </cell>
          <cell r="C13053" t="str">
            <v>OTRAS OP - PROVISION GEN OBLIG RIES CRED1ND</v>
          </cell>
        </row>
        <row r="13054">
          <cell r="B13054" t="str">
            <v>19080911110801</v>
          </cell>
          <cell r="C13054" t="str">
            <v>OTRAS OP - PROVISION GEN OBLIG RIES CRED1ND</v>
          </cell>
        </row>
        <row r="13055">
          <cell r="B13055" t="str">
            <v>19080911110901</v>
          </cell>
          <cell r="C13055" t="str">
            <v>OTRAS OP - PROVISION GEN OBLIG RIES CRED1ND</v>
          </cell>
        </row>
        <row r="13056">
          <cell r="B13056" t="str">
            <v>19080911111001</v>
          </cell>
          <cell r="C13056" t="str">
            <v>OTRAS OP - PROVISION GEN OBLIG RIES CRED1ND</v>
          </cell>
        </row>
        <row r="13057">
          <cell r="B13057" t="str">
            <v>19080911111101</v>
          </cell>
          <cell r="C13057" t="str">
            <v>OTRAS OP - PROVISION GEN OBLIG RIES CRED1ND</v>
          </cell>
        </row>
        <row r="13058">
          <cell r="B13058" t="str">
            <v>19080911111201</v>
          </cell>
          <cell r="C13058" t="str">
            <v>OTRAS OP - PROVISION GEN OBLIG RIES CRED1ND</v>
          </cell>
        </row>
        <row r="13059">
          <cell r="B13059" t="str">
            <v>19080911111301</v>
          </cell>
          <cell r="C13059" t="str">
            <v>OTRAS OP - PROVISION GEN OBLIG RIES CRED1ND</v>
          </cell>
        </row>
        <row r="13060">
          <cell r="B13060" t="str">
            <v>19080911210202</v>
          </cell>
          <cell r="C13060" t="str">
            <v>OTRAS OP - PROVISION GEN OBLIG RIES CRED1ND</v>
          </cell>
        </row>
        <row r="13061">
          <cell r="B13061" t="str">
            <v>19080911210502</v>
          </cell>
          <cell r="C13061" t="str">
            <v>OTRAS OP - PROVISION GEN OBLIG RIES CRED1ND</v>
          </cell>
        </row>
        <row r="13062">
          <cell r="B13062" t="str">
            <v>19080911210602</v>
          </cell>
          <cell r="C13062" t="str">
            <v>OTRAS OP - PROVISION GEN OBLIG RIES CRED1ND</v>
          </cell>
        </row>
        <row r="13063">
          <cell r="B13063" t="str">
            <v>19080911210702</v>
          </cell>
          <cell r="C13063" t="str">
            <v>OTRAS OP - PROVISION GEN OBLIG RIES CRED1ND</v>
          </cell>
        </row>
        <row r="13064">
          <cell r="B13064" t="str">
            <v>19080911210802</v>
          </cell>
          <cell r="C13064" t="str">
            <v>OTRAS OP - PROVISION GEN OBLIG RIES CRED1ND</v>
          </cell>
        </row>
        <row r="13065">
          <cell r="B13065" t="str">
            <v>19080911210902</v>
          </cell>
          <cell r="C13065" t="str">
            <v>OTRAS OP - PROVISION GEN OBLIG RIES CRED1ND</v>
          </cell>
        </row>
        <row r="13066">
          <cell r="B13066" t="str">
            <v>19080911211002</v>
          </cell>
          <cell r="C13066" t="str">
            <v>OTRAS OP - PROVISION GEN OBLIG RIES CRED1ND</v>
          </cell>
        </row>
        <row r="13067">
          <cell r="B13067" t="str">
            <v>19080911211102</v>
          </cell>
          <cell r="C13067" t="str">
            <v>OTRAS OP - PROVISION GEN OBLIG RIES CRED1ND</v>
          </cell>
        </row>
        <row r="13068">
          <cell r="B13068" t="str">
            <v>19080911211202</v>
          </cell>
          <cell r="C13068" t="str">
            <v>OTRAS OP - PROVISION GEN OBLIG RIES CRED1ND</v>
          </cell>
        </row>
        <row r="13069">
          <cell r="B13069" t="str">
            <v>19080911211302</v>
          </cell>
          <cell r="C13069" t="str">
            <v>OTRAS OP - PROVISION GEN OBLIG RIES CRED1ND</v>
          </cell>
        </row>
        <row r="13070">
          <cell r="B13070" t="str">
            <v>19080912110203</v>
          </cell>
          <cell r="C13070" t="str">
            <v>OTRAS OP - PROVISION ESP OBLIG RIES CRED1ND</v>
          </cell>
        </row>
        <row r="13071">
          <cell r="B13071" t="str">
            <v>19080912110302</v>
          </cell>
          <cell r="C13071" t="str">
            <v>OTRAS OP - PROVISION ESP OBLIG RIES CRED1ND</v>
          </cell>
        </row>
        <row r="13072">
          <cell r="B13072" t="str">
            <v>19080912110402</v>
          </cell>
          <cell r="C13072" t="str">
            <v>OTRAS OP - PROVISION ESP OBLIG RIES CRED1ND</v>
          </cell>
        </row>
        <row r="13073">
          <cell r="B13073" t="str">
            <v>19080912110503</v>
          </cell>
          <cell r="C13073" t="str">
            <v>OTRAS OP - PROVISION ESP OBLIG RIES CRED1ND</v>
          </cell>
        </row>
        <row r="13074">
          <cell r="B13074" t="str">
            <v>19080912110603</v>
          </cell>
          <cell r="C13074" t="str">
            <v>OTRAS OP - PROVISION ESP OBLIG RIES CRED1ND</v>
          </cell>
        </row>
        <row r="13075">
          <cell r="B13075" t="str">
            <v>19080912110703</v>
          </cell>
          <cell r="C13075" t="str">
            <v>OTRAS OP - PROVISION ESP OBLIG RIES CRED1ND</v>
          </cell>
        </row>
        <row r="13076">
          <cell r="B13076" t="str">
            <v>19080912110803</v>
          </cell>
          <cell r="C13076" t="str">
            <v>OTRAS OP - PROVISION ESP OBLIG RIES CRED1ND</v>
          </cell>
        </row>
        <row r="13077">
          <cell r="B13077" t="str">
            <v>19080912110903</v>
          </cell>
          <cell r="C13077" t="str">
            <v>OTRAS OP - PROVISION ESP OBLIG RIES CRED1ND</v>
          </cell>
        </row>
        <row r="13078">
          <cell r="B13078" t="str">
            <v>19080912111003</v>
          </cell>
          <cell r="C13078" t="str">
            <v>OTRAS OP - PROVISION ESP OBLIG RIES CRED1ND</v>
          </cell>
        </row>
        <row r="13079">
          <cell r="B13079" t="str">
            <v>19080912111103</v>
          </cell>
          <cell r="C13079" t="str">
            <v>OTRAS OP - PROVISION ESP OBLIG RIES CRED1ND</v>
          </cell>
        </row>
        <row r="13080">
          <cell r="B13080" t="str">
            <v>19080912111203</v>
          </cell>
          <cell r="C13080" t="str">
            <v>OTRAS OP - PROVISION ESP OBLIG RIES CRED1ND</v>
          </cell>
        </row>
        <row r="13081">
          <cell r="B13081" t="str">
            <v>19080912111303</v>
          </cell>
          <cell r="C13081" t="str">
            <v>OTRAS OP - PROVISION ESP OBLIG RIES CRED1ND</v>
          </cell>
        </row>
        <row r="13082">
          <cell r="B13082" t="str">
            <v>19080912210204</v>
          </cell>
          <cell r="C13082" t="str">
            <v>OTRAS OP - PROVISION ESP OBLIG RIES CRED1ND</v>
          </cell>
        </row>
        <row r="13083">
          <cell r="B13083" t="str">
            <v>19080912210504</v>
          </cell>
          <cell r="C13083" t="str">
            <v>OTRAS OP - PROVISION ESP OBLIG RIES CRED1ND</v>
          </cell>
        </row>
        <row r="13084">
          <cell r="B13084" t="str">
            <v>19080912210604</v>
          </cell>
          <cell r="C13084" t="str">
            <v>OTRAS OP - PROVISION ESP OBLIG RIES CRED1ND</v>
          </cell>
        </row>
        <row r="13085">
          <cell r="B13085" t="str">
            <v>19080912210704</v>
          </cell>
          <cell r="C13085" t="str">
            <v>OTRAS OP - PROVISION ESP OBLIG RIES CRED1ND</v>
          </cell>
        </row>
        <row r="13086">
          <cell r="B13086" t="str">
            <v>19080912210804</v>
          </cell>
          <cell r="C13086" t="str">
            <v>OTRAS OP - PROVISION ESP OBLIG RIES CRED1ND</v>
          </cell>
        </row>
        <row r="13087">
          <cell r="B13087" t="str">
            <v>19080912210904</v>
          </cell>
          <cell r="C13087" t="str">
            <v>OTRAS OP - PROVISION ESP OBLIG RIES CRED1ND</v>
          </cell>
        </row>
        <row r="13088">
          <cell r="B13088" t="str">
            <v>19080912211004</v>
          </cell>
          <cell r="C13088" t="str">
            <v>OTRAS OP - PROVISION ESP OBLIG RIES CRED1ND</v>
          </cell>
        </row>
        <row r="13089">
          <cell r="B13089" t="str">
            <v>19080912211104</v>
          </cell>
          <cell r="C13089" t="str">
            <v>OTRAS OP - PROVISION ESP OBLIG RIES CRED1ND</v>
          </cell>
        </row>
        <row r="13090">
          <cell r="B13090" t="str">
            <v>19080912211204</v>
          </cell>
          <cell r="C13090" t="str">
            <v>OTRAS OP - PROVISION ESP OBLIG RIES CRED1ND</v>
          </cell>
        </row>
        <row r="13091">
          <cell r="B13091" t="str">
            <v>19080912211304</v>
          </cell>
          <cell r="C13091" t="str">
            <v>OTRAS OP - PROVISION ESP OBLIG RIES CRED1ND</v>
          </cell>
        </row>
        <row r="13092">
          <cell r="B13092" t="str">
            <v>19080921110205</v>
          </cell>
          <cell r="C13092" t="str">
            <v>OTRAS OP - PROVISION GEN OBLIG PROCICLIC1ND</v>
          </cell>
        </row>
        <row r="13093">
          <cell r="B13093" t="str">
            <v>19080921110303</v>
          </cell>
          <cell r="C13093" t="str">
            <v>OTRAS OP - PROVISION GEN OBLIG PROCICLIC1ND</v>
          </cell>
        </row>
        <row r="13094">
          <cell r="B13094" t="str">
            <v>19080921110403</v>
          </cell>
          <cell r="C13094" t="str">
            <v>OTRAS OP - PROVISION GEN OBLIG PROCICLIC1ND</v>
          </cell>
        </row>
        <row r="13095">
          <cell r="B13095" t="str">
            <v>19080921110505</v>
          </cell>
          <cell r="C13095" t="str">
            <v>OTRAS OP - PROVISION GEN OBLIG PROCICLIC1ND</v>
          </cell>
        </row>
        <row r="13096">
          <cell r="B13096" t="str">
            <v>19080921110605</v>
          </cell>
          <cell r="C13096" t="str">
            <v>OTRAS OP - PROVISION GEN OBLIG PROCICLIC1ND</v>
          </cell>
        </row>
        <row r="13097">
          <cell r="B13097" t="str">
            <v>19080921110705</v>
          </cell>
          <cell r="C13097" t="str">
            <v>OTRAS OP - PROVISION GEN OBLIG PROCICLIC1ND</v>
          </cell>
        </row>
        <row r="13098">
          <cell r="B13098" t="str">
            <v>19080921110805</v>
          </cell>
          <cell r="C13098" t="str">
            <v>OTRAS OP - PROVISION GEN OBLIG PROCICLIC1ND</v>
          </cell>
        </row>
        <row r="13099">
          <cell r="B13099" t="str">
            <v>19080921110905</v>
          </cell>
          <cell r="C13099" t="str">
            <v>OTRAS OP - PROVISION GEN OBLIG PROCICLIC1ND</v>
          </cell>
        </row>
        <row r="13100">
          <cell r="B13100" t="str">
            <v>19080921111005</v>
          </cell>
          <cell r="C13100" t="str">
            <v>OTRAS OP - PROVISION GEN OBLIG PROCICLIC1ND</v>
          </cell>
        </row>
        <row r="13101">
          <cell r="B13101" t="str">
            <v>19080921111105</v>
          </cell>
          <cell r="C13101" t="str">
            <v>OTRAS OP - PROVISION GEN OBLIG PROCICLIC1ND</v>
          </cell>
        </row>
        <row r="13102">
          <cell r="B13102" t="str">
            <v>19080921111205</v>
          </cell>
          <cell r="C13102" t="str">
            <v>OTRAS OP - PROVISION GEN OBLIG PROCICLIC1ND</v>
          </cell>
        </row>
        <row r="13103">
          <cell r="B13103" t="str">
            <v>19080921111305</v>
          </cell>
          <cell r="C13103" t="str">
            <v>OTRAS OP - PROVISION GEN OBLIG PROCICLIC1ND</v>
          </cell>
        </row>
        <row r="13104">
          <cell r="B13104" t="str">
            <v>19080921210206</v>
          </cell>
          <cell r="C13104" t="str">
            <v>OTRAS OP - PROVISION GEN OBLIG PROCICLIC1ND</v>
          </cell>
        </row>
        <row r="13105">
          <cell r="B13105" t="str">
            <v>19080921210506</v>
          </cell>
          <cell r="C13105" t="str">
            <v>OTRAS OP - PROVISION GEN OBLIG PROCICLIC1ND</v>
          </cell>
        </row>
        <row r="13106">
          <cell r="B13106" t="str">
            <v>19080921210606</v>
          </cell>
          <cell r="C13106" t="str">
            <v>OTRAS OP - PROVISION GEN OBLIG PROCICLIC1ND</v>
          </cell>
        </row>
        <row r="13107">
          <cell r="B13107" t="str">
            <v>19080921210706</v>
          </cell>
          <cell r="C13107" t="str">
            <v>OTRAS OP - PROVISION GEN OBLIG PROCICLIC1ND</v>
          </cell>
        </row>
        <row r="13108">
          <cell r="B13108" t="str">
            <v>19080921210806</v>
          </cell>
          <cell r="C13108" t="str">
            <v>OTRAS OP - PROVISION GEN OBLIG PROCICLIC1ND</v>
          </cell>
        </row>
        <row r="13109">
          <cell r="B13109" t="str">
            <v>19080921210906</v>
          </cell>
          <cell r="C13109" t="str">
            <v>OTRAS OP - PROVISION GEN OBLIG PROCICLIC1ND</v>
          </cell>
        </row>
        <row r="13110">
          <cell r="B13110" t="str">
            <v>19080921211006</v>
          </cell>
          <cell r="C13110" t="str">
            <v>OTRAS OP - PROVISION GEN OBLIG PROCICLIC1ND</v>
          </cell>
        </row>
        <row r="13111">
          <cell r="B13111" t="str">
            <v>19080921211106</v>
          </cell>
          <cell r="C13111" t="str">
            <v>OTRAS OP - PROVISION GEN OBLIG PROCICLIC1ND</v>
          </cell>
        </row>
        <row r="13112">
          <cell r="B13112" t="str">
            <v>19080921211206</v>
          </cell>
          <cell r="C13112" t="str">
            <v>OTRAS OP - PROVISION GEN OBLIG PROCICLIC1ND</v>
          </cell>
        </row>
        <row r="13113">
          <cell r="B13113" t="str">
            <v>19080921211306</v>
          </cell>
          <cell r="C13113" t="str">
            <v>OTRAS OP - PROVISION GEN OBLIG PROCICLIC1ND</v>
          </cell>
        </row>
        <row r="13114">
          <cell r="B13114" t="str">
            <v>19080931110207</v>
          </cell>
          <cell r="C13114" t="str">
            <v>OTRAS OP -PROVISION GEN OBLIG RIES CAMB 1ND</v>
          </cell>
        </row>
        <row r="13115">
          <cell r="B13115" t="str">
            <v>19080931110304</v>
          </cell>
          <cell r="C13115" t="str">
            <v>OTRAS OP -PROVISION GEN OBLIG RIES CAMB 1ND</v>
          </cell>
        </row>
        <row r="13116">
          <cell r="B13116" t="str">
            <v>19080931110404</v>
          </cell>
          <cell r="C13116" t="str">
            <v>OTRAS OP -PROVISION GEN OBLIG RIES CAMB 1ND</v>
          </cell>
        </row>
        <row r="13117">
          <cell r="B13117" t="str">
            <v>19080931110507</v>
          </cell>
          <cell r="C13117" t="str">
            <v>OTRAS OP -PROVISION GEN OBLIG RIES CAMB 1ND</v>
          </cell>
        </row>
        <row r="13118">
          <cell r="B13118" t="str">
            <v>19080931110607</v>
          </cell>
          <cell r="C13118" t="str">
            <v>OTRAS OP -PROVISION GEN OBLIG RIES CAMB 1ND</v>
          </cell>
        </row>
        <row r="13119">
          <cell r="B13119" t="str">
            <v>19080931110707</v>
          </cell>
          <cell r="C13119" t="str">
            <v>OTRAS OP -PROVISION GEN OBLIG RIES CAMB 1ND</v>
          </cell>
        </row>
        <row r="13120">
          <cell r="B13120" t="str">
            <v>19080931110807</v>
          </cell>
          <cell r="C13120" t="str">
            <v>OTRAS OP -PROVISION GEN OBLIG RIES CAMB 1ND</v>
          </cell>
        </row>
        <row r="13121">
          <cell r="B13121" t="str">
            <v>19080931110907</v>
          </cell>
          <cell r="C13121" t="str">
            <v>OTRAS OP -PROVISION GEN OBLIG RIES CAMB 1ND</v>
          </cell>
        </row>
        <row r="13122">
          <cell r="B13122" t="str">
            <v>19080931111007</v>
          </cell>
          <cell r="C13122" t="str">
            <v>OTRAS OP -PROVISION GEN OBLIG RIES CAMB 1ND</v>
          </cell>
        </row>
        <row r="13123">
          <cell r="B13123" t="str">
            <v>19080931111107</v>
          </cell>
          <cell r="C13123" t="str">
            <v>OTRAS OP -PROVISION GEN OBLIG RIES CAMB 1ND</v>
          </cell>
        </row>
        <row r="13124">
          <cell r="B13124" t="str">
            <v>19080931111207</v>
          </cell>
          <cell r="C13124" t="str">
            <v>OTRAS OP -PROVISION GEN OBLIG RIES CAMB 1ND</v>
          </cell>
        </row>
        <row r="13125">
          <cell r="B13125" t="str">
            <v>19080931111307</v>
          </cell>
          <cell r="C13125" t="str">
            <v>OTRAS OP -PROVISION GEN OBLIG RIES CAMB 1ND</v>
          </cell>
        </row>
        <row r="13126">
          <cell r="B13126" t="str">
            <v>19080941110208</v>
          </cell>
          <cell r="C13126" t="str">
            <v>OTRAS OP - PROVISION GEN OBLIG RIES SOBR1ND</v>
          </cell>
        </row>
        <row r="13127">
          <cell r="B13127" t="str">
            <v>19080941110305</v>
          </cell>
          <cell r="C13127" t="str">
            <v>OTRAS OP - PROVISION GEN OBLIG RIES SOBR1ND</v>
          </cell>
        </row>
        <row r="13128">
          <cell r="B13128" t="str">
            <v>19080941111308</v>
          </cell>
          <cell r="C13128" t="str">
            <v>OTRAS OP - PROVISION GEN OBLIG RIES SOBR1ND</v>
          </cell>
        </row>
        <row r="13129">
          <cell r="B13129" t="str">
            <v>19080951310209</v>
          </cell>
          <cell r="C13129" t="str">
            <v>OTRAS OP - PROVISION GEN OBLIG SOBREEND 1ND</v>
          </cell>
        </row>
        <row r="13130">
          <cell r="B13130" t="str">
            <v>19080951310306</v>
          </cell>
          <cell r="C13130" t="str">
            <v>OTRAS OP - PROVISION GEN OBLIG SOBREEND 1ND</v>
          </cell>
        </row>
        <row r="13131">
          <cell r="B13131" t="str">
            <v>19080951311309</v>
          </cell>
          <cell r="C13131" t="str">
            <v>OTRAS OP - PROVISION GEN OBLIG SOBREEND 1ND</v>
          </cell>
        </row>
        <row r="13132">
          <cell r="B13132" t="str">
            <v>19080952310210</v>
          </cell>
          <cell r="C13132" t="str">
            <v>OTRAS OP - PROVISION ESP OBLIG SOBREEND 1ND</v>
          </cell>
        </row>
        <row r="13133">
          <cell r="B13133" t="str">
            <v>19080952310307</v>
          </cell>
          <cell r="C13133" t="str">
            <v>OTRAS OP - PROVISION ESP OBLIG SOBREEND 1ND</v>
          </cell>
        </row>
        <row r="13134">
          <cell r="B13134" t="str">
            <v>19080952311310</v>
          </cell>
          <cell r="C13134" t="str">
            <v>OTRAS OP - PROVISION ESP OBLIG SOBREEND 1ND</v>
          </cell>
        </row>
        <row r="13135">
          <cell r="B13135" t="str">
            <v>19080952311311</v>
          </cell>
          <cell r="C13135" t="str">
            <v>MIGRACION CLOUD                         1YD</v>
          </cell>
        </row>
        <row r="13136">
          <cell r="B13136" t="str">
            <v>21010100000101</v>
          </cell>
          <cell r="C13136" t="str">
            <v>DEPOSITOS CTA CTE PN                    2NC</v>
          </cell>
        </row>
        <row r="13137">
          <cell r="B13137" t="str">
            <v>21010100000102</v>
          </cell>
          <cell r="C13137" t="str">
            <v>BL DEPOSITOS CTA CTE PN-BL              2NC</v>
          </cell>
        </row>
        <row r="13138">
          <cell r="B13138" t="str">
            <v>21010100000103</v>
          </cell>
          <cell r="C13138" t="str">
            <v>DEPOSITOS CTA CTE PJ S/F LUCRO          2NC</v>
          </cell>
        </row>
        <row r="13139">
          <cell r="B13139" t="str">
            <v>21010100000104</v>
          </cell>
          <cell r="C13139" t="str">
            <v>BL DEPOSITOS CTA CTE PJ S/F LUCRO       2NC</v>
          </cell>
        </row>
        <row r="13140">
          <cell r="B13140" t="str">
            <v>21010100000201</v>
          </cell>
          <cell r="C13140" t="str">
            <v>DEPOSITOS CTA CTE PJ                    2NC</v>
          </cell>
        </row>
        <row r="13141">
          <cell r="B13141" t="str">
            <v>21010100000202</v>
          </cell>
          <cell r="C13141" t="str">
            <v>DEP EN CTA CTE-CERRADAS NOTARIALMENTE   2NC</v>
          </cell>
        </row>
        <row r="13142">
          <cell r="B13142" t="str">
            <v>21010100000203</v>
          </cell>
          <cell r="C13142" t="str">
            <v>BL DEPOSITOS CTA CTE PJ-BL              2NC</v>
          </cell>
        </row>
        <row r="13143">
          <cell r="B13143" t="str">
            <v>21010109000101</v>
          </cell>
          <cell r="C13143" t="str">
            <v>DEPOSITOS CTA CTE PN                    2NC</v>
          </cell>
        </row>
        <row r="13144">
          <cell r="B13144" t="str">
            <v>21010109000102</v>
          </cell>
          <cell r="C13144" t="str">
            <v>DEPOSITOS CTA CTE PJ S/F LUCRO          2NC</v>
          </cell>
        </row>
        <row r="13145">
          <cell r="B13145" t="str">
            <v>21010109000103</v>
          </cell>
          <cell r="C13145" t="str">
            <v>IM C.CTE.AG.DIN.ELEC.PN                 2NC</v>
          </cell>
        </row>
        <row r="13146">
          <cell r="B13146" t="str">
            <v>21010109000104</v>
          </cell>
          <cell r="C13146" t="str">
            <v>IM C.CTE.AG.DIN.ELEC.PJ S/F             2NC</v>
          </cell>
        </row>
        <row r="13147">
          <cell r="B13147" t="str">
            <v>21010109000105</v>
          </cell>
          <cell r="C13147" t="str">
            <v>IM C.CTE.AG.DIN.ELEC.PJ C/F             2NC</v>
          </cell>
        </row>
        <row r="13148">
          <cell r="B13148" t="str">
            <v>21010109000106</v>
          </cell>
          <cell r="C13148" t="str">
            <v>CTA CTE BPE PERSONA NATURAL             2NC</v>
          </cell>
        </row>
        <row r="13149">
          <cell r="B13149" t="str">
            <v>21010109000107</v>
          </cell>
          <cell r="C13149" t="str">
            <v>CTA CTE BPE PERSONA JURIDICA            2NC</v>
          </cell>
        </row>
        <row r="13150">
          <cell r="B13150" t="str">
            <v>21010109000201</v>
          </cell>
          <cell r="C13150" t="str">
            <v>DEPOSITOS CTA CTE PJ                    2NC</v>
          </cell>
        </row>
        <row r="13151">
          <cell r="B13151" t="str">
            <v>21010109000801</v>
          </cell>
          <cell r="C13151" t="str">
            <v>PAN DEP VISTA PER JURIDICA NO FIN       2NC</v>
          </cell>
        </row>
        <row r="13152">
          <cell r="B13152" t="str">
            <v>21010200000101</v>
          </cell>
          <cell r="C13152" t="str">
            <v>DEPOSITOS CTA CTE PN                    2NC</v>
          </cell>
        </row>
        <row r="13153">
          <cell r="B13153" t="str">
            <v>21010200000103</v>
          </cell>
          <cell r="C13153" t="str">
            <v>DEPOSITO CTA CTE PJ S/F LUCRO SIN MOV   2NC</v>
          </cell>
        </row>
        <row r="13154">
          <cell r="B13154" t="str">
            <v>21010200000104</v>
          </cell>
          <cell r="C13154" t="str">
            <v>IM C.CTE.RET.JUD.AG.DIN.ELEC.PN         2NC</v>
          </cell>
        </row>
        <row r="13155">
          <cell r="B13155" t="str">
            <v>21010200000105</v>
          </cell>
          <cell r="C13155" t="str">
            <v>IM C.CTE.RET.JUD.AG.DIN.ELEC.PJ S/F     2NC</v>
          </cell>
        </row>
        <row r="13156">
          <cell r="B13156" t="str">
            <v>21010200000106</v>
          </cell>
          <cell r="C13156" t="str">
            <v>IM C.CTE.RET.JUD.AG.DIN.ELEC.PJ C/F     2NC</v>
          </cell>
        </row>
        <row r="13157">
          <cell r="B13157" t="str">
            <v>21010200000201</v>
          </cell>
          <cell r="C13157" t="str">
            <v>DEPOSITOS CTA CTE PJ                    2NC</v>
          </cell>
        </row>
        <row r="13158">
          <cell r="B13158" t="str">
            <v>21010200000202</v>
          </cell>
          <cell r="C13158" t="str">
            <v>BL DEPOSITOS CTA CTE INACT. PJ-BL       2NC</v>
          </cell>
        </row>
        <row r="13159">
          <cell r="B13159" t="str">
            <v>21010400000101</v>
          </cell>
          <cell r="C13159" t="str">
            <v>CHEQUES DE GERENCIA-SUJETO A ENCAJE     2NC</v>
          </cell>
        </row>
        <row r="13160">
          <cell r="B13160" t="str">
            <v>21010400000102</v>
          </cell>
          <cell r="C13160" t="str">
            <v>CHEQUES GERENCIA-NO SUJETO A ENCAJE     2NC</v>
          </cell>
        </row>
        <row r="13161">
          <cell r="B13161" t="str">
            <v>21010400000103</v>
          </cell>
          <cell r="C13161" t="str">
            <v>CHEQUES DE GERENCIA-SUJETO A ENCAJE RET 2NC</v>
          </cell>
        </row>
        <row r="13162">
          <cell r="B13162" t="str">
            <v>21010701000101</v>
          </cell>
          <cell r="C13162" t="str">
            <v>GIROS POR PAGAR PAIS                    2NC</v>
          </cell>
        </row>
        <row r="13163">
          <cell r="B13163" t="str">
            <v>21010702000101</v>
          </cell>
          <cell r="C13163" t="str">
            <v>GIROS POR PAG EXTERIOR-ANOS ANTERIORE   2NC</v>
          </cell>
        </row>
        <row r="13164">
          <cell r="B13164" t="str">
            <v>21010801000104</v>
          </cell>
          <cell r="C13164" t="str">
            <v>ORDENES DE PAGO                         2NC</v>
          </cell>
        </row>
        <row r="13165">
          <cell r="B13165" t="str">
            <v>21010901000102</v>
          </cell>
          <cell r="C13165" t="str">
            <v>CD NEGOCIABLES OTRAS PJ VENCID2         2NC</v>
          </cell>
        </row>
        <row r="13166">
          <cell r="B13166" t="str">
            <v>21010903010101</v>
          </cell>
          <cell r="C13166" t="str">
            <v>CB VENCIDO - PN Y PJ PRIV.S/F LUCRO     2NC</v>
          </cell>
        </row>
        <row r="13167">
          <cell r="B13167" t="str">
            <v>21010903010102</v>
          </cell>
          <cell r="C13167" t="str">
            <v>CB VENCIDO CONTING-PN Y PJ  S/F LUCRO   2NC</v>
          </cell>
        </row>
        <row r="13168">
          <cell r="B13168" t="str">
            <v>21010903010104</v>
          </cell>
          <cell r="C13168" t="str">
            <v>CBME MESA CAPITAL - INTERES VCDO PJSL   2NC</v>
          </cell>
        </row>
        <row r="13169">
          <cell r="B13169" t="str">
            <v>21010903010113</v>
          </cell>
          <cell r="C13169" t="str">
            <v>CB CAP INT.VCDO PN                      2NC</v>
          </cell>
        </row>
        <row r="13170">
          <cell r="B13170" t="str">
            <v>21010903010114</v>
          </cell>
          <cell r="C13170" t="str">
            <v>CBME CAPITAL - INTERES VCDO PJSL        2NC</v>
          </cell>
        </row>
        <row r="13171">
          <cell r="B13171" t="str">
            <v>21010903010116</v>
          </cell>
          <cell r="C13171" t="str">
            <v>CBME CAPITAL - INTERES VCDO GTIA PJSL   2NC</v>
          </cell>
        </row>
        <row r="13172">
          <cell r="B13172" t="str">
            <v>21010903020101</v>
          </cell>
          <cell r="C13172" t="str">
            <v>CBME CAPITAL - INTERES VCDO PJFL        2NC</v>
          </cell>
        </row>
        <row r="13173">
          <cell r="B13173" t="str">
            <v>21010903020102</v>
          </cell>
          <cell r="C13173" t="str">
            <v>CB VENCIDO CONTING-OTRAS PJ             2NC</v>
          </cell>
        </row>
        <row r="13174">
          <cell r="B13174" t="str">
            <v>21010903020104</v>
          </cell>
          <cell r="C13174" t="str">
            <v>BL CERT.BANCARIO VENCIDO BL             2NC</v>
          </cell>
        </row>
        <row r="13175">
          <cell r="B13175" t="str">
            <v>21010903020105</v>
          </cell>
          <cell r="C13175" t="str">
            <v>CBME MESA CAPITAL - INTERES VCDO PJFL   2NC</v>
          </cell>
        </row>
        <row r="13176">
          <cell r="B13176" t="str">
            <v>21011301000101</v>
          </cell>
          <cell r="C13176" t="str">
            <v>PN Y PJ S/F DE LUCRO - RET.JUD.EMPLEA   2NC</v>
          </cell>
        </row>
        <row r="13177">
          <cell r="B13177" t="str">
            <v>21011301000103</v>
          </cell>
          <cell r="C13177" t="str">
            <v>BL RET JUD PN Y PJ S/FLUCRO-IM          2NC</v>
          </cell>
        </row>
        <row r="13178">
          <cell r="B13178" t="str">
            <v>21011302000102</v>
          </cell>
          <cell r="C13178" t="str">
            <v>BL RETENC JUD OTRAS PJ-IMPACS           2NC</v>
          </cell>
        </row>
        <row r="13179">
          <cell r="B13179" t="str">
            <v>21011601010101</v>
          </cell>
          <cell r="C13179" t="str">
            <v>BL BONOS DS. NO.114-98-EF               2NC</v>
          </cell>
        </row>
        <row r="13180">
          <cell r="B13180" t="str">
            <v>21011601020101</v>
          </cell>
          <cell r="C13180" t="str">
            <v>BONOS DS. NO099-99-EF                   2NC</v>
          </cell>
        </row>
        <row r="13181">
          <cell r="B13181" t="str">
            <v>21011601020102</v>
          </cell>
          <cell r="C13181" t="str">
            <v>JCC BONOS DS. NO099-99-EF               2NC</v>
          </cell>
        </row>
        <row r="13182">
          <cell r="B13182" t="str">
            <v>21011601020103</v>
          </cell>
          <cell r="C13182" t="str">
            <v>JCC BONOS DS. NO099-99-EF.CARTERA TRANSF2NC</v>
          </cell>
        </row>
        <row r="13183">
          <cell r="B13183" t="str">
            <v>21011601090102</v>
          </cell>
          <cell r="C13183" t="str">
            <v>CL CART.TRANSF.FOPE CAPITAL             2NC</v>
          </cell>
        </row>
        <row r="13184">
          <cell r="B13184" t="str">
            <v>21011601090103</v>
          </cell>
          <cell r="C13184" t="str">
            <v>CL CART.TRANSF.FOPE INTERES             2NC</v>
          </cell>
        </row>
        <row r="13185">
          <cell r="B13185" t="str">
            <v>21011601090104</v>
          </cell>
          <cell r="C13185" t="str">
            <v>CL CART.TRANSF.RFA CAPITAL              2NC</v>
          </cell>
        </row>
        <row r="13186">
          <cell r="B13186" t="str">
            <v>21011601090105</v>
          </cell>
          <cell r="C13186" t="str">
            <v>CL CART.TRANSF.RFA INTERES              2NC</v>
          </cell>
        </row>
        <row r="13187">
          <cell r="B13187" t="str">
            <v>21011601090106</v>
          </cell>
          <cell r="C13187" t="str">
            <v>CL CAPITAL CART.TRANSF. RFA             2NC</v>
          </cell>
        </row>
        <row r="13188">
          <cell r="B13188" t="str">
            <v>21011601090107</v>
          </cell>
          <cell r="C13188" t="str">
            <v>CL INTERES CART.TRANSF. RFA             2NC</v>
          </cell>
        </row>
        <row r="13189">
          <cell r="B13189" t="str">
            <v>21011601090110</v>
          </cell>
          <cell r="C13189" t="str">
            <v>CL CJ CART TRANSF FOPE-CAPITAL          2NC</v>
          </cell>
        </row>
        <row r="13190">
          <cell r="B13190" t="str">
            <v>21011601090111</v>
          </cell>
          <cell r="C13190" t="str">
            <v>CL CJ CART TRANSF FOPE-INTERESES        2NC</v>
          </cell>
        </row>
        <row r="13191">
          <cell r="B13191" t="str">
            <v>21011601090201</v>
          </cell>
          <cell r="C13191" t="str">
            <v>JCC CAPITAL CART.TRANSF. RFA            2NC</v>
          </cell>
        </row>
        <row r="13192">
          <cell r="B13192" t="str">
            <v>21011601090202</v>
          </cell>
          <cell r="C13192" t="str">
            <v>JCC INTERES CART.TRANSF. RFA            2NC</v>
          </cell>
        </row>
        <row r="13193">
          <cell r="B13193" t="str">
            <v>21011700000101</v>
          </cell>
          <cell r="C13193" t="str">
            <v>COM.DE CONFIANZA PORTAF.INTERCORP PERU L2NC</v>
          </cell>
        </row>
        <row r="13194">
          <cell r="B13194" t="str">
            <v>21011700000102</v>
          </cell>
          <cell r="C13194" t="str">
            <v>COM.DE CONFIANZA PORTAF.IFS             2NC</v>
          </cell>
        </row>
        <row r="13195">
          <cell r="B13195" t="str">
            <v>21011801000101</v>
          </cell>
          <cell r="C13195" t="str">
            <v>ST DINERO ELECTRONICO                   2NC</v>
          </cell>
        </row>
        <row r="13196">
          <cell r="B13196" t="str">
            <v>21011900000102</v>
          </cell>
          <cell r="C13196" t="str">
            <v>ADEUDADO REMESAS UNO MONEY TRANSFER     2NC</v>
          </cell>
        </row>
        <row r="13197">
          <cell r="B13197" t="str">
            <v>21011900000103</v>
          </cell>
          <cell r="C13197" t="str">
            <v>ADEUDADO REMESAS COSTA MAR              2NC</v>
          </cell>
        </row>
        <row r="13198">
          <cell r="B13198" t="str">
            <v>21011900000104</v>
          </cell>
          <cell r="C13198" t="str">
            <v>ADEUDADO REMESAS AFEX                   2NC</v>
          </cell>
        </row>
        <row r="13199">
          <cell r="B13199" t="str">
            <v>21011900000110</v>
          </cell>
          <cell r="C13199" t="str">
            <v>ADEUDADO REMESAS UNITED EXPERT          2NC</v>
          </cell>
        </row>
        <row r="13200">
          <cell r="B13200" t="str">
            <v>21011900000111</v>
          </cell>
          <cell r="C13200" t="str">
            <v>ADEUDADO REMESAS GARMEY                 2NC</v>
          </cell>
        </row>
        <row r="13201">
          <cell r="B13201" t="str">
            <v>21011900000112</v>
          </cell>
          <cell r="C13201" t="str">
            <v>ADEUDADO REMESAS GLOBAL ACCESS          2NC</v>
          </cell>
        </row>
        <row r="13202">
          <cell r="B13202" t="str">
            <v>21011900000117</v>
          </cell>
          <cell r="C13202" t="str">
            <v>ADEUDADO REMESAS SIGUE                  2NC</v>
          </cell>
        </row>
        <row r="13203">
          <cell r="B13203" t="str">
            <v>21011900000118</v>
          </cell>
          <cell r="C13203" t="str">
            <v>ADEUDADO REMESAS VIAMERICAS             2NC</v>
          </cell>
        </row>
        <row r="13204">
          <cell r="B13204" t="str">
            <v>21011900000119</v>
          </cell>
          <cell r="C13204" t="str">
            <v>ADEUDADO REMESAS RIAENVIA               2NC</v>
          </cell>
        </row>
        <row r="13205">
          <cell r="B13205" t="str">
            <v>21011900000120</v>
          </cell>
          <cell r="C13205" t="str">
            <v>ADEUDADO REMESAS VIGO                   2NC</v>
          </cell>
        </row>
        <row r="13206">
          <cell r="B13206" t="str">
            <v>21011900000121</v>
          </cell>
          <cell r="C13206" t="str">
            <v>210119000001210000                      2NC</v>
          </cell>
        </row>
        <row r="13207">
          <cell r="B13207" t="str">
            <v>21011900000122</v>
          </cell>
          <cell r="C13207" t="str">
            <v>210119000001220000                      2NC</v>
          </cell>
        </row>
        <row r="13208">
          <cell r="B13208" t="str">
            <v>21011900000124</v>
          </cell>
          <cell r="C13208" t="str">
            <v>ADEUDADO REMESAS XOOM                   2NC</v>
          </cell>
        </row>
        <row r="13209">
          <cell r="B13209" t="str">
            <v>21011900000126</v>
          </cell>
          <cell r="C13209" t="str">
            <v>ADEUDADO REMESAS TRANFAST               2NC</v>
          </cell>
        </row>
        <row r="13210">
          <cell r="B13210" t="str">
            <v>21011900000128</v>
          </cell>
          <cell r="C13210" t="str">
            <v>ADEUDADO REMESAS AFEX USA               2NC</v>
          </cell>
        </row>
        <row r="13211">
          <cell r="B13211" t="str">
            <v>21011900000129</v>
          </cell>
          <cell r="C13211" t="str">
            <v>ADEUDADO REMESAS GIROSOL                2NC</v>
          </cell>
        </row>
        <row r="13212">
          <cell r="B13212" t="str">
            <v>21011900000130</v>
          </cell>
          <cell r="C13212" t="str">
            <v>ADEUDADO REM B.O.B TRAVEL               2NC</v>
          </cell>
        </row>
        <row r="13213">
          <cell r="B13213" t="str">
            <v>21011900000131</v>
          </cell>
          <cell r="C13213" t="str">
            <v>ADEUDADO REMESAS R &amp; T                  2NC</v>
          </cell>
        </row>
        <row r="13214">
          <cell r="B13214" t="str">
            <v>21011900000137</v>
          </cell>
          <cell r="C13214" t="str">
            <v>ADEUDADO REMESAS INTERSERVICE           2NC</v>
          </cell>
        </row>
        <row r="13215">
          <cell r="B13215" t="str">
            <v>21011900000138</v>
          </cell>
          <cell r="C13215" t="str">
            <v>ADEUDADO REMESAS MFI-CORP               2NC</v>
          </cell>
        </row>
        <row r="13216">
          <cell r="B13216" t="str">
            <v>21011900000139</v>
          </cell>
          <cell r="C13216" t="str">
            <v>ADEUDADO REMESAS MONEY KING             2NC</v>
          </cell>
        </row>
        <row r="13217">
          <cell r="B13217" t="str">
            <v>21011900000140</v>
          </cell>
          <cell r="C13217" t="str">
            <v>ADEUDADO REMESAS BANCO DEL AUSTRO       2NC</v>
          </cell>
        </row>
        <row r="13218">
          <cell r="B13218" t="str">
            <v>21011900000141</v>
          </cell>
          <cell r="C13218" t="str">
            <v>ADEUDADO REMESAS INTERTRANSFERS         2NC</v>
          </cell>
        </row>
        <row r="13219">
          <cell r="B13219" t="str">
            <v>21011900000142</v>
          </cell>
          <cell r="C13219" t="str">
            <v>ADEUDADO REMESAS MATEO EXPRESS          2NC</v>
          </cell>
        </row>
        <row r="13220">
          <cell r="B13220" t="str">
            <v>21011900000143</v>
          </cell>
          <cell r="C13220" t="str">
            <v>ADEUDADO REMESAS ORLANDI VALUTA         2NC</v>
          </cell>
        </row>
        <row r="13221">
          <cell r="B13221" t="str">
            <v>21011900000144</v>
          </cell>
          <cell r="C13221" t="str">
            <v>ADEUDADO REMESAS GUIÃ‘AZU               2NC</v>
          </cell>
        </row>
        <row r="13222">
          <cell r="B13222" t="str">
            <v>21011900000145</v>
          </cell>
          <cell r="C13222" t="str">
            <v>ADEUDADO REMESAS MAGUI EXPRESS          2NC</v>
          </cell>
        </row>
        <row r="13223">
          <cell r="B13223" t="str">
            <v>21011900000146</v>
          </cell>
          <cell r="C13223" t="str">
            <v>ADEUDADO EMP AMERICANA SERVICIOS        2NC</v>
          </cell>
        </row>
        <row r="13224">
          <cell r="B13224" t="str">
            <v>21011900000147</v>
          </cell>
          <cell r="C13224" t="str">
            <v>ADEUDADO REMESAS CONSULT INTERNACIONA   2NC</v>
          </cell>
        </row>
        <row r="13225">
          <cell r="B13225" t="str">
            <v>21011900000148</v>
          </cell>
          <cell r="C13225" t="str">
            <v>ADEUDADO REMESAS UNIGIROS EXPRESS       2NC</v>
          </cell>
        </row>
        <row r="13226">
          <cell r="B13226" t="str">
            <v>21011900000149</v>
          </cell>
          <cell r="C13226" t="str">
            <v>ADEUDADO REMESAS PLACID EXPRESS         2NC</v>
          </cell>
        </row>
        <row r="13227">
          <cell r="B13227" t="str">
            <v>21011900000152</v>
          </cell>
          <cell r="C13227" t="str">
            <v>ADEUDADO REMESAS INTERMEX               2NC</v>
          </cell>
        </row>
        <row r="13228">
          <cell r="B13228" t="str">
            <v>21011900000153</v>
          </cell>
          <cell r="C13228" t="str">
            <v>ADEUDADO REMESAS MERCHANT BANK          2NC</v>
          </cell>
        </row>
        <row r="13229">
          <cell r="B13229" t="str">
            <v>21011900000154</v>
          </cell>
          <cell r="C13229" t="str">
            <v>ADEUDADO REMESAS MORE MONEY             2NC</v>
          </cell>
        </row>
        <row r="13230">
          <cell r="B13230" t="str">
            <v>21011900000155</v>
          </cell>
          <cell r="C13230" t="str">
            <v>ADEUDADO REMESAS LATIN EXPRESS          2NC</v>
          </cell>
        </row>
        <row r="13231">
          <cell r="B13231" t="str">
            <v>21011900000156</v>
          </cell>
          <cell r="C13231" t="str">
            <v>ADEUDADO REMESAS DELGADO TRAVEL         2NC</v>
          </cell>
        </row>
        <row r="13232">
          <cell r="B13232" t="str">
            <v>21011900000157</v>
          </cell>
          <cell r="C13232" t="str">
            <v>ADEUDADO REMESAS TRANS-FAST SA EUROPA   2NC</v>
          </cell>
        </row>
        <row r="13233">
          <cell r="B13233" t="str">
            <v>21011900000158</v>
          </cell>
          <cell r="C13233" t="str">
            <v>ADEUDADO REMESAS MONEY &amp; COM            2NC</v>
          </cell>
        </row>
        <row r="13234">
          <cell r="B13234" t="str">
            <v>21011900000159</v>
          </cell>
          <cell r="C13234" t="str">
            <v>ADEUDADO REMESAS ITAU JAPON             2NC</v>
          </cell>
        </row>
        <row r="13235">
          <cell r="B13235" t="str">
            <v>21011900000160</v>
          </cell>
          <cell r="C13235" t="str">
            <v>210119000001600000                      2NC</v>
          </cell>
        </row>
        <row r="13236">
          <cell r="B13236" t="str">
            <v>21011900000161</v>
          </cell>
          <cell r="C13236" t="str">
            <v>210119000001610000                      2NC</v>
          </cell>
        </row>
        <row r="13237">
          <cell r="B13237" t="str">
            <v>21011900000163</v>
          </cell>
          <cell r="C13237" t="str">
            <v>CTRACTA REMESAS LA CAIXA                2NC</v>
          </cell>
        </row>
        <row r="13238">
          <cell r="B13238" t="str">
            <v>21011900000164</v>
          </cell>
          <cell r="C13238" t="str">
            <v>ADEUDADO REMESAS OMNEX GROUP            2NC</v>
          </cell>
        </row>
        <row r="13239">
          <cell r="B13239" t="str">
            <v>21011900000165</v>
          </cell>
          <cell r="C13239" t="str">
            <v>210119000001650000                      2NC</v>
          </cell>
        </row>
        <row r="13240">
          <cell r="B13240" t="str">
            <v>21011900000166</v>
          </cell>
          <cell r="C13240" t="str">
            <v>ADEUDADO REMESAS TRANFAST ITALY         2NC</v>
          </cell>
        </row>
        <row r="13241">
          <cell r="B13241" t="str">
            <v>21011900000167</v>
          </cell>
          <cell r="C13241" t="str">
            <v>ADEUDADO REMESAS TRANS- FAST ESPAÃ‘A    2NC</v>
          </cell>
        </row>
        <row r="13242">
          <cell r="B13242" t="str">
            <v>21011900000168</v>
          </cell>
          <cell r="C13242" t="str">
            <v>210119000001680000                      2NC</v>
          </cell>
        </row>
        <row r="13243">
          <cell r="B13243" t="str">
            <v>21011900000169</v>
          </cell>
          <cell r="C13243" t="str">
            <v>ADEUDADO REMESAS SWISS TRANSFERS GMBH   2NC</v>
          </cell>
        </row>
        <row r="13244">
          <cell r="B13244" t="str">
            <v>21011900000170</v>
          </cell>
          <cell r="C13244" t="str">
            <v>ADEUDADO INTERCREDIT                    2NC</v>
          </cell>
        </row>
        <row r="13245">
          <cell r="B13245" t="str">
            <v>21011900000171</v>
          </cell>
          <cell r="C13245" t="str">
            <v>EXCESO REMESAS RIAENVIA                 2NC</v>
          </cell>
        </row>
        <row r="13246">
          <cell r="B13246" t="str">
            <v>21011900000172</v>
          </cell>
          <cell r="C13246" t="str">
            <v>EXCESO REMESAS RIAENVIA                 2NC</v>
          </cell>
        </row>
        <row r="13247">
          <cell r="B13247" t="str">
            <v>21011900000173</v>
          </cell>
          <cell r="C13247" t="str">
            <v>CTA DE REM EXPIRADAS                    2NC</v>
          </cell>
        </row>
        <row r="13248">
          <cell r="B13248" t="str">
            <v>21011900000174</v>
          </cell>
          <cell r="C13248" t="str">
            <v>ADEUDADO CONTINENTAL EXPRESS            2NC</v>
          </cell>
        </row>
        <row r="13249">
          <cell r="B13249" t="str">
            <v>21011900000175</v>
          </cell>
          <cell r="C13249" t="str">
            <v>ADEUDADO MONDIAL BONY                   2NC</v>
          </cell>
        </row>
        <row r="13250">
          <cell r="B13250" t="str">
            <v>21011900000176</v>
          </cell>
          <cell r="C13250" t="str">
            <v>ADEUDADO REAL DE ENVIOS                 2NC</v>
          </cell>
        </row>
        <row r="13251">
          <cell r="B13251" t="str">
            <v>21011900000177</v>
          </cell>
          <cell r="C13251" t="str">
            <v>ADEUDADO REMESAS ITAU BRASIL            2NC</v>
          </cell>
        </row>
        <row r="13252">
          <cell r="B13252" t="str">
            <v>21011900000178</v>
          </cell>
          <cell r="C13252" t="str">
            <v>ADEUDADO MUNDIAL ENVIOS                 2NC</v>
          </cell>
        </row>
        <row r="13253">
          <cell r="B13253" t="str">
            <v>21011900000179</v>
          </cell>
          <cell r="C13253" t="str">
            <v>210119000001790000                      2NC</v>
          </cell>
        </row>
        <row r="13254">
          <cell r="B13254" t="str">
            <v>21011900000180</v>
          </cell>
          <cell r="C13254" t="str">
            <v>CASA DE CAMBIO MAGUITUR                 2NC</v>
          </cell>
        </row>
        <row r="13255">
          <cell r="B13255" t="str">
            <v>21011900000181</v>
          </cell>
          <cell r="C13255" t="str">
            <v>9068 ( MUNDIAL ENVIOS)                  2NC</v>
          </cell>
        </row>
        <row r="13256">
          <cell r="B13256" t="str">
            <v>21011900000182</v>
          </cell>
          <cell r="C13256" t="str">
            <v>LATIN TRAVEL                            2NC</v>
          </cell>
        </row>
        <row r="13257">
          <cell r="B13257" t="str">
            <v>21011900000183</v>
          </cell>
          <cell r="C13257" t="str">
            <v>L.MAZAL                                 2NC</v>
          </cell>
        </row>
        <row r="13258">
          <cell r="B13258" t="str">
            <v>21011900000184</v>
          </cell>
          <cell r="C13258" t="str">
            <v>210119000001840000                      2NC</v>
          </cell>
        </row>
        <row r="13259">
          <cell r="B13259" t="str">
            <v>21011900000185</v>
          </cell>
          <cell r="C13259" t="str">
            <v>BANCO SANTANDER                         2NC</v>
          </cell>
        </row>
        <row r="13260">
          <cell r="B13260" t="str">
            <v>21011900000186</v>
          </cell>
          <cell r="C13260" t="str">
            <v>210119000001860000                      2NC</v>
          </cell>
        </row>
        <row r="13261">
          <cell r="B13261" t="str">
            <v>21011900000187</v>
          </cell>
          <cell r="C13261" t="str">
            <v>BANCO PROVIDENCIAL                      2NC</v>
          </cell>
        </row>
        <row r="13262">
          <cell r="B13262" t="str">
            <v>21011900000188</v>
          </cell>
          <cell r="C13262" t="str">
            <v>210119000001880000                      2NC</v>
          </cell>
        </row>
        <row r="13263">
          <cell r="B13263" t="str">
            <v>21011900000189</v>
          </cell>
          <cell r="C13263" t="str">
            <v>GFP CHILE                               2NC</v>
          </cell>
        </row>
        <row r="13264">
          <cell r="B13264" t="str">
            <v>21011900000190</v>
          </cell>
          <cell r="C13264" t="str">
            <v>ADEUDADO REMESAS ISEND                  2NC</v>
          </cell>
        </row>
        <row r="13265">
          <cell r="B13265" t="str">
            <v>21011900000192</v>
          </cell>
          <cell r="C13265" t="str">
            <v>SEND DINERO                             2NC</v>
          </cell>
        </row>
        <row r="13266">
          <cell r="B13266" t="str">
            <v>21011900000193</v>
          </cell>
          <cell r="C13266" t="str">
            <v>ADEUD REMESAS DOLEX EUR                 2NC</v>
          </cell>
        </row>
        <row r="13267">
          <cell r="B13267" t="str">
            <v>21011900000194</v>
          </cell>
          <cell r="C13267" t="str">
            <v>ADEUD REMESAS MONEY GRAM                2NC</v>
          </cell>
        </row>
        <row r="13268">
          <cell r="B13268" t="str">
            <v>21011900000195</v>
          </cell>
          <cell r="C13268" t="str">
            <v>ADEUD REMESAS CLICK TRANSFER            2NC</v>
          </cell>
        </row>
        <row r="13269">
          <cell r="B13269" t="str">
            <v>21011900000196</v>
          </cell>
          <cell r="C13269" t="str">
            <v>210119000001960000                      2NC</v>
          </cell>
        </row>
        <row r="13270">
          <cell r="B13270" t="str">
            <v>21011900000197</v>
          </cell>
          <cell r="C13270" t="str">
            <v>210119000001970000                      2NC</v>
          </cell>
        </row>
        <row r="13271">
          <cell r="B13271" t="str">
            <v>21011900000198</v>
          </cell>
          <cell r="C13271" t="str">
            <v>ADEUDADO REMESAS MONDIAL ESPAÃ‘A        2NC</v>
          </cell>
        </row>
        <row r="13272">
          <cell r="B13272" t="str">
            <v>21011900000199</v>
          </cell>
          <cell r="C13272" t="str">
            <v>ADEUDADO CIBAO MONEY TRANSMITTING CORP  2NC</v>
          </cell>
        </row>
        <row r="13273">
          <cell r="B13273" t="str">
            <v>21011900000201</v>
          </cell>
          <cell r="C13273" t="str">
            <v>ADEUDADO EUROEXPRESS                    2NC</v>
          </cell>
        </row>
        <row r="13274">
          <cell r="B13274" t="str">
            <v>21011900000202</v>
          </cell>
          <cell r="C13274" t="str">
            <v>ADEUDADO Dolex Dollar Express INC       2NC</v>
          </cell>
        </row>
        <row r="13275">
          <cell r="B13275" t="str">
            <v>21011900000203</v>
          </cell>
          <cell r="C13275" t="str">
            <v>210119000002030000                      2NC</v>
          </cell>
        </row>
        <row r="13276">
          <cell r="B13276" t="str">
            <v>21011900000204</v>
          </cell>
          <cell r="C13276" t="str">
            <v>REMESA AL EXTERIOR MONEYGRAM            2NC</v>
          </cell>
        </row>
        <row r="13277">
          <cell r="B13277" t="str">
            <v>21011900000205</v>
          </cell>
          <cell r="C13277" t="str">
            <v>ADEUDADO BCO DO BRASIL                  2NC</v>
          </cell>
        </row>
        <row r="13278">
          <cell r="B13278" t="str">
            <v>21011900000206</v>
          </cell>
          <cell r="C13278" t="str">
            <v>MONEY GRAMÂ  REM.Â  ALÂ  EXTERIOR - EDP 2NC</v>
          </cell>
        </row>
        <row r="13279">
          <cell r="B13279" t="str">
            <v>21011900000207</v>
          </cell>
          <cell r="C13279" t="str">
            <v>ADEUDADO REMESAS IDT                    2NC</v>
          </cell>
        </row>
        <row r="13280">
          <cell r="B13280" t="str">
            <v>21011900000208</v>
          </cell>
          <cell r="C13280" t="str">
            <v>ADEUDADO REMESAS JET ARGENTINA          2NC</v>
          </cell>
        </row>
        <row r="13281">
          <cell r="B13281" t="str">
            <v>21011900000209</v>
          </cell>
          <cell r="C13281" t="str">
            <v>ADEUDADO REMESAS SIGUE GLOBAL           2NC</v>
          </cell>
        </row>
        <row r="13282">
          <cell r="B13282" t="str">
            <v>21011900000210</v>
          </cell>
          <cell r="C13282" t="str">
            <v>ADEUDADO REMESAS SIGUE GLOBAL SERVICES  2NC</v>
          </cell>
        </row>
        <row r="13283">
          <cell r="B13283" t="str">
            <v>21011900000211</v>
          </cell>
          <cell r="C13283" t="str">
            <v>ADEUDADO REMESAS USA UNITELLER          2NC</v>
          </cell>
        </row>
        <row r="13284">
          <cell r="B13284" t="str">
            <v>21011900000212</v>
          </cell>
          <cell r="C13284" t="str">
            <v>ADEUDADO REMESAS Transnetwork Corporatio2NC</v>
          </cell>
        </row>
        <row r="13285">
          <cell r="B13285" t="str">
            <v>21011900000213</v>
          </cell>
          <cell r="C13285" t="str">
            <v>ADEUDADO REMESAS Connect Argentina      2NC</v>
          </cell>
        </row>
        <row r="13286">
          <cell r="B13286" t="str">
            <v>21011900000214</v>
          </cell>
          <cell r="C13286" t="str">
            <v>ADEUDADO REMESAS Dolex Soles            2NC</v>
          </cell>
        </row>
        <row r="13287">
          <cell r="B13287" t="str">
            <v>21011900000215</v>
          </cell>
          <cell r="C13287" t="str">
            <v>ADEUDADO REMESAS TITAN                  2NC</v>
          </cell>
        </row>
        <row r="13288">
          <cell r="B13288" t="str">
            <v>21011900000216</v>
          </cell>
          <cell r="C13288" t="str">
            <v>ADEUDADO REMESASDel Bank                2NC</v>
          </cell>
        </row>
        <row r="13289">
          <cell r="B13289" t="str">
            <v>21011900000217</v>
          </cell>
          <cell r="C13289" t="str">
            <v>ADEUDADO REMESAS Global EnvÃ­os         2NC</v>
          </cell>
        </row>
        <row r="13290">
          <cell r="B13290" t="str">
            <v>21011900000218</v>
          </cell>
          <cell r="C13290" t="str">
            <v>ADEUDADO REMESAS.BANCSERVICES INTERNATIO2NC</v>
          </cell>
        </row>
        <row r="13291">
          <cell r="B13291" t="str">
            <v>21011900000219</v>
          </cell>
          <cell r="C13291" t="str">
            <v>ADEUDADO REMESAS.Argenper Chile         2NC</v>
          </cell>
        </row>
        <row r="13292">
          <cell r="B13292" t="str">
            <v>21011900000220</v>
          </cell>
          <cell r="C13292" t="str">
            <v>ADEUDADO REMESAS.TRANSNETWORK CORPORATIO2NC</v>
          </cell>
        </row>
        <row r="13293">
          <cell r="B13293" t="str">
            <v>21011900000221</v>
          </cell>
          <cell r="C13293" t="str">
            <v>ADEUDADO REMESAS.MONTY GLOBAL PAYMENTS  2NC</v>
          </cell>
        </row>
        <row r="13294">
          <cell r="B13294" t="str">
            <v>21011900000222</v>
          </cell>
          <cell r="C13294" t="str">
            <v>ADEUDADO REMESAS.REMITEE                2NC</v>
          </cell>
        </row>
        <row r="13295">
          <cell r="B13295" t="str">
            <v>21011900000223</v>
          </cell>
          <cell r="C13295" t="str">
            <v>ADEUDADO REMESAS ARGENPER ARGENTINA     2NC</v>
          </cell>
        </row>
        <row r="13296">
          <cell r="B13296" t="str">
            <v>21011900000301</v>
          </cell>
          <cell r="C13296" t="str">
            <v>Ã“RDENES DE PAGO.I.CONTAB               2NC</v>
          </cell>
        </row>
        <row r="13297">
          <cell r="B13297" t="str">
            <v>21011900000302</v>
          </cell>
          <cell r="C13297" t="str">
            <v>ORDENES DE PAGO - CONVENIOS             2NC</v>
          </cell>
        </row>
        <row r="13298">
          <cell r="B13298" t="str">
            <v>21011900000303</v>
          </cell>
          <cell r="C13298" t="str">
            <v>ORDENES DE PAGO 09.12 AL 10.14          2NC</v>
          </cell>
        </row>
        <row r="13299">
          <cell r="B13299" t="str">
            <v>21011900000304</v>
          </cell>
          <cell r="C13299" t="str">
            <v>ORDENES DE PAGO.GTP.OPERAC.FINANC       2NC</v>
          </cell>
        </row>
        <row r="13300">
          <cell r="B13300" t="str">
            <v>21011900000305</v>
          </cell>
          <cell r="C13300" t="str">
            <v>OP VENCIDAS-RECLAMOS ATM                2NC</v>
          </cell>
        </row>
        <row r="13301">
          <cell r="B13301" t="str">
            <v>21011900000306</v>
          </cell>
          <cell r="C13301" t="str">
            <v>OP CANALES DIGITALES                    2NC</v>
          </cell>
        </row>
        <row r="13302">
          <cell r="B13302" t="str">
            <v>21011900000307</v>
          </cell>
          <cell r="C13302" t="str">
            <v>O/P DEPURADAS PROC.ANULAC.MASIVA 2013   2NC</v>
          </cell>
        </row>
        <row r="13303">
          <cell r="B13303" t="str">
            <v>21011900000308</v>
          </cell>
          <cell r="C13303" t="str">
            <v>O/P DEPURADAS PROC.ANULAC.MASIVA 2017   2NC</v>
          </cell>
        </row>
        <row r="13304">
          <cell r="B13304" t="str">
            <v>21011900000309</v>
          </cell>
          <cell r="C13304" t="str">
            <v>O/P DEPURADAS PROC.ANULAC.MASIVA 2018   2NC</v>
          </cell>
        </row>
        <row r="13305">
          <cell r="B13305" t="str">
            <v>21011900000310</v>
          </cell>
          <cell r="C13305" t="str">
            <v>O/P DEPURADAS PROC.ANULAC.MASIVA.OFIC.922NC</v>
          </cell>
        </row>
        <row r="13306">
          <cell r="B13306" t="str">
            <v>21011900000311</v>
          </cell>
          <cell r="C13306" t="str">
            <v>ADEUDADO REMESAS.INTERMEX               2NC</v>
          </cell>
        </row>
        <row r="13307">
          <cell r="B13307" t="str">
            <v>21011900000312</v>
          </cell>
          <cell r="C13307" t="str">
            <v>EDP ADEUDADO REMESAS.KYODAI             2NC</v>
          </cell>
        </row>
        <row r="13308">
          <cell r="B13308" t="str">
            <v>21011900000313</v>
          </cell>
          <cell r="C13308" t="str">
            <v>EDP ADEUDADO REMESAS.BANCO ESTADO       2NC</v>
          </cell>
        </row>
        <row r="13309">
          <cell r="B13309" t="str">
            <v>21011900000314</v>
          </cell>
          <cell r="C13309" t="str">
            <v>EDP ADEUDADO REMESAS.CURRENCY BIRD      2NC</v>
          </cell>
        </row>
        <row r="13310">
          <cell r="B13310" t="str">
            <v>21011900000315</v>
          </cell>
          <cell r="C13310" t="str">
            <v>ADEUDADO REMESAS.Latin Travel Money Tran2NC</v>
          </cell>
        </row>
        <row r="13311">
          <cell r="B13311" t="str">
            <v>21011900000316</v>
          </cell>
          <cell r="C13311" t="str">
            <v>EDP ADEUDADO REMESAS  GIRO SPA          2NC</v>
          </cell>
        </row>
        <row r="13312">
          <cell r="B13312" t="str">
            <v>21011900000317</v>
          </cell>
          <cell r="C13312" t="str">
            <v>ADEUDADO REMESAS.RELATE VENTURES INC    2NC</v>
          </cell>
        </row>
        <row r="13313">
          <cell r="B13313" t="str">
            <v>21011900000318</v>
          </cell>
          <cell r="C13313" t="str">
            <v>OP LIQUIDAR-PAGO ACTIVO                 2NC</v>
          </cell>
        </row>
        <row r="13314">
          <cell r="B13314" t="str">
            <v>21011900000319</v>
          </cell>
          <cell r="C13314" t="str">
            <v>OP - PAGOS MASIVOS                      2NC</v>
          </cell>
        </row>
        <row r="13315">
          <cell r="B13315" t="str">
            <v>21011900000320</v>
          </cell>
          <cell r="C13315" t="str">
            <v>ADEUDADO REMESAS BTS                    2NC</v>
          </cell>
        </row>
        <row r="13316">
          <cell r="B13316" t="str">
            <v>21011900000321</v>
          </cell>
          <cell r="C13316" t="str">
            <v>ADEUDADO REMESAS WESTERN                2 C</v>
          </cell>
        </row>
        <row r="13317">
          <cell r="B13317" t="str">
            <v>21011900000322</v>
          </cell>
          <cell r="C13317" t="str">
            <v>EXCESO REMESAS WESTERN                  2 C</v>
          </cell>
        </row>
        <row r="13318">
          <cell r="B13318" t="str">
            <v>21020101000101</v>
          </cell>
          <cell r="C13318" t="str">
            <v>AH.ORD.PN Y PJ PRIV.S/F LUCRO - ACTIVA  2NC</v>
          </cell>
        </row>
        <row r="13319">
          <cell r="B13319" t="str">
            <v>21020101000102</v>
          </cell>
          <cell r="C13319" t="str">
            <v>AH. ESP.PN Y PJ PRIV.S/F DE LUCRO       2NC</v>
          </cell>
        </row>
        <row r="13320">
          <cell r="B13320" t="str">
            <v>21020101000103</v>
          </cell>
          <cell r="C13320" t="str">
            <v>AHORROS CTA.MILLONARIA PN               2NC</v>
          </cell>
        </row>
        <row r="13321">
          <cell r="B13321" t="str">
            <v>21020101000104</v>
          </cell>
          <cell r="C13321" t="str">
            <v>BL AHORROS PN - BL                      2NC</v>
          </cell>
        </row>
        <row r="13322">
          <cell r="B13322" t="str">
            <v>21020101000105</v>
          </cell>
          <cell r="C13322" t="str">
            <v>AHORROS MESA CAPITAL PJSL               2NC</v>
          </cell>
        </row>
        <row r="13323">
          <cell r="B13323" t="str">
            <v>21020101000108</v>
          </cell>
          <cell r="C13323" t="str">
            <v>AHORROS CAPITAL ACTIVO PN               2NC</v>
          </cell>
        </row>
        <row r="13324">
          <cell r="B13324" t="str">
            <v>21020101000109</v>
          </cell>
          <cell r="C13324" t="str">
            <v>AHORROS CAPITAL ACTIVO PJSL             2NC</v>
          </cell>
        </row>
        <row r="13325">
          <cell r="B13325" t="str">
            <v>21020101000110</v>
          </cell>
          <cell r="C13325" t="str">
            <v>ST AHORRO EDUCACION PN                  2NC</v>
          </cell>
        </row>
        <row r="13326">
          <cell r="B13326" t="str">
            <v>21020101000111</v>
          </cell>
          <cell r="C13326" t="str">
            <v>AHORROS CTA.ALCANCIA VIRTUAL            2NC</v>
          </cell>
        </row>
        <row r="13327">
          <cell r="B13327" t="str">
            <v>21020101000112</v>
          </cell>
          <cell r="C13327" t="str">
            <v>BOG AHORROS CAPITAL ACTIVO PN           2NC</v>
          </cell>
        </row>
        <row r="13328">
          <cell r="B13328" t="str">
            <v>21020101000801</v>
          </cell>
          <cell r="C13328" t="str">
            <v>PAN PERSONAS NATURALES                  2NC</v>
          </cell>
        </row>
        <row r="13329">
          <cell r="B13329" t="str">
            <v>21020101000802</v>
          </cell>
          <cell r="C13329" t="str">
            <v>PAN PERSONAS JURIDICAS SIN FINES DE LUCR2NC</v>
          </cell>
        </row>
        <row r="13330">
          <cell r="B13330" t="str">
            <v>21020102000101</v>
          </cell>
          <cell r="C13330" t="str">
            <v>AHORROS ORD - OTRAS PJ                  2NC</v>
          </cell>
        </row>
        <row r="13331">
          <cell r="B13331" t="str">
            <v>21020102000102</v>
          </cell>
          <cell r="C13331" t="str">
            <v>AHORROS ESP - OTRAS PJ                  2NC</v>
          </cell>
        </row>
        <row r="13332">
          <cell r="B13332" t="str">
            <v>21020102000104</v>
          </cell>
          <cell r="C13332" t="str">
            <v>BL AHORROS PJ-BL                        2NC</v>
          </cell>
        </row>
        <row r="13333">
          <cell r="B13333" t="str">
            <v>21020102000105</v>
          </cell>
          <cell r="C13333" t="str">
            <v>AHORROS CAPITAL ACTIVO PJFL             2NC</v>
          </cell>
        </row>
        <row r="13334">
          <cell r="B13334" t="str">
            <v>21020201000101</v>
          </cell>
          <cell r="C13334" t="str">
            <v>AH. ORD. PN Y PJ PRIV.S/F LUCRO - INACTI2NC</v>
          </cell>
        </row>
        <row r="13335">
          <cell r="B13335" t="str">
            <v>21020201000102</v>
          </cell>
          <cell r="C13335" t="str">
            <v>AH. ESP. PN Y PJ PRIV.S/F LUCRO - INACTI2NC</v>
          </cell>
        </row>
        <row r="13336">
          <cell r="B13336" t="str">
            <v>21020201000104</v>
          </cell>
          <cell r="C13336" t="str">
            <v>BL AHORROS PN BL-INACTIVAS              2NC</v>
          </cell>
        </row>
        <row r="13337">
          <cell r="B13337" t="str">
            <v>21020201000105</v>
          </cell>
          <cell r="C13337" t="str">
            <v>AHORROS MESA CAPITAL PARALIZADO PJSL    2NC</v>
          </cell>
        </row>
        <row r="13338">
          <cell r="B13338" t="str">
            <v>21020201000107</v>
          </cell>
          <cell r="C13338" t="str">
            <v>AHORROS CAPITAL PARALIZADO PN           2NC</v>
          </cell>
        </row>
        <row r="13339">
          <cell r="B13339" t="str">
            <v>21020201000108</v>
          </cell>
          <cell r="C13339" t="str">
            <v>AHORROS CAPITAL PARALIZADO PJSL         2NC</v>
          </cell>
        </row>
        <row r="13340">
          <cell r="B13340" t="str">
            <v>21020201000111</v>
          </cell>
          <cell r="C13340" t="str">
            <v>AHORROS CTA MILLONARIA PN INACT         2NC</v>
          </cell>
        </row>
        <row r="13341">
          <cell r="B13341" t="str">
            <v>21020201000112</v>
          </cell>
          <cell r="C13341" t="str">
            <v>AHORROS CTA ALCANCIA VIRTUAL INACT      2NC</v>
          </cell>
        </row>
        <row r="13342">
          <cell r="B13342" t="str">
            <v>21020201000113</v>
          </cell>
          <cell r="C13342" t="str">
            <v>AHORROS CTA ALCANCIA VIRTUAL RET JUD    2NC</v>
          </cell>
        </row>
        <row r="13343">
          <cell r="B13343" t="str">
            <v>21020201000114</v>
          </cell>
          <cell r="C13343" t="str">
            <v>BOG AHORROS CAPITAL PARALIZADO PN       2NC</v>
          </cell>
        </row>
        <row r="13344">
          <cell r="B13344" t="str">
            <v>21020202000101</v>
          </cell>
          <cell r="C13344" t="str">
            <v>AHORROS ORD.OTRAS PJ - INACTIVAS        2NC</v>
          </cell>
        </row>
        <row r="13345">
          <cell r="B13345" t="str">
            <v>21020202000102</v>
          </cell>
          <cell r="C13345" t="str">
            <v>AHORROS ESP.OTRAS PJ - INACTIVAS        2NC</v>
          </cell>
        </row>
        <row r="13346">
          <cell r="B13346" t="str">
            <v>21020202000104</v>
          </cell>
          <cell r="C13346" t="str">
            <v>BL AHORROS PJ BL-INACTIVAS              2NC</v>
          </cell>
        </row>
        <row r="13347">
          <cell r="B13347" t="str">
            <v>21020202000105</v>
          </cell>
          <cell r="C13347" t="str">
            <v>AHORROS CAPITAL PARALIZADO PJFL         2NC</v>
          </cell>
        </row>
        <row r="13348">
          <cell r="B13348" t="str">
            <v>21030101000201</v>
          </cell>
          <cell r="C13348" t="str">
            <v>CDN ESPECIAL OTRAS PJ                   2NC</v>
          </cell>
        </row>
        <row r="13349">
          <cell r="B13349" t="str">
            <v>21030101000203</v>
          </cell>
          <cell r="C13349" t="str">
            <v>CDN MESA PJFL                           2NC</v>
          </cell>
        </row>
        <row r="13350">
          <cell r="B13350" t="str">
            <v>21030200000101</v>
          </cell>
          <cell r="C13350" t="str">
            <v>CB ORD.- PN Y PJ PRIV.SF LUCRO          2NC</v>
          </cell>
        </row>
        <row r="13351">
          <cell r="B13351" t="str">
            <v>21030200000102</v>
          </cell>
          <cell r="C13351" t="str">
            <v>CB ESP.-PN Y PJ PRIV.S/F LUCRO          2NC</v>
          </cell>
        </row>
        <row r="13352">
          <cell r="B13352" t="str">
            <v>21030200000103</v>
          </cell>
          <cell r="C13352" t="str">
            <v>CBME MESA CAPITAL ACTIVO PJSL           2NC</v>
          </cell>
        </row>
        <row r="13353">
          <cell r="B13353" t="str">
            <v>21030200000109</v>
          </cell>
          <cell r="C13353" t="str">
            <v>CBME CAPITAL ACTIVO PN                  2NC</v>
          </cell>
        </row>
        <row r="13354">
          <cell r="B13354" t="str">
            <v>21030200000110</v>
          </cell>
          <cell r="C13354" t="str">
            <v>CBME CAPITAL ACTIVO PJSL                2NC</v>
          </cell>
        </row>
        <row r="13355">
          <cell r="B13355" t="str">
            <v>21030200000201</v>
          </cell>
          <cell r="C13355" t="str">
            <v>CBME CAPITAL ACTIVO PJFL                2NC</v>
          </cell>
        </row>
        <row r="13356">
          <cell r="B13356" t="str">
            <v>21030200000202</v>
          </cell>
          <cell r="C13356" t="str">
            <v>CB ESP.- OTRAS PJ                       2NC</v>
          </cell>
        </row>
        <row r="13357">
          <cell r="B13357" t="str">
            <v>21030200000203</v>
          </cell>
          <cell r="C13357" t="str">
            <v>BL CB ORD.BL- OTRAS PJ                  2NC</v>
          </cell>
        </row>
        <row r="13358">
          <cell r="B13358" t="str">
            <v>21030200000204</v>
          </cell>
          <cell r="C13358" t="str">
            <v>BL CB ESP.BL - OTRAS PJ                 2NC</v>
          </cell>
        </row>
        <row r="13359">
          <cell r="B13359" t="str">
            <v>21030200000205</v>
          </cell>
          <cell r="C13359" t="str">
            <v>CBME MESA PN                            2NC</v>
          </cell>
        </row>
        <row r="13360">
          <cell r="B13360" t="str">
            <v>21030200000206</v>
          </cell>
          <cell r="C13360" t="str">
            <v>CBME MESA PJSL                          2NC</v>
          </cell>
        </row>
        <row r="13361">
          <cell r="B13361" t="str">
            <v>21030200000207</v>
          </cell>
          <cell r="C13361" t="str">
            <v>CBME MESA PJFL                          2NC</v>
          </cell>
        </row>
        <row r="13362">
          <cell r="B13362" t="str">
            <v>21030301000101</v>
          </cell>
          <cell r="C13362" t="str">
            <v>CTAS A PLAZO ORD. P.N Y PJ PRIV.S/F LUCR2NC</v>
          </cell>
        </row>
        <row r="13363">
          <cell r="B13363" t="str">
            <v>21030301000102</v>
          </cell>
          <cell r="C13363" t="str">
            <v>CTAS A PLAZO ESP. P.N Y PJ PRIV.S/F LUCR2NC</v>
          </cell>
        </row>
        <row r="13364">
          <cell r="B13364" t="str">
            <v>21030301000104</v>
          </cell>
          <cell r="C13364" t="str">
            <v>BL CTAS.PLAZO PN - BL                   2NC</v>
          </cell>
        </row>
        <row r="13365">
          <cell r="B13365" t="str">
            <v>21030301000105</v>
          </cell>
          <cell r="C13365" t="str">
            <v>DEP PLAZO MESA CAPITAL PJSL             2NC</v>
          </cell>
        </row>
        <row r="13366">
          <cell r="B13366" t="str">
            <v>21030301000107</v>
          </cell>
          <cell r="C13366" t="str">
            <v>DEP PLAZO CAPITAL PN                    2NC</v>
          </cell>
        </row>
        <row r="13367">
          <cell r="B13367" t="str">
            <v>21030301000108</v>
          </cell>
          <cell r="C13367" t="str">
            <v>DEP PLAZO CAPITAL PJSL                  2NC</v>
          </cell>
        </row>
        <row r="13368">
          <cell r="B13368" t="str">
            <v>21030301000109</v>
          </cell>
          <cell r="C13368" t="str">
            <v>DEP PZO MESA PN                         2NC</v>
          </cell>
        </row>
        <row r="13369">
          <cell r="B13369" t="str">
            <v>21030301000110</v>
          </cell>
          <cell r="C13369" t="str">
            <v>DEP PZO MESA PJSL                       2NC</v>
          </cell>
        </row>
        <row r="13370">
          <cell r="B13370" t="str">
            <v>21030301000111</v>
          </cell>
          <cell r="C13370" t="str">
            <v>DEP PZO MESA PJFL                       2NC</v>
          </cell>
        </row>
        <row r="13371">
          <cell r="B13371" t="str">
            <v>21030301000115</v>
          </cell>
          <cell r="C13371" t="str">
            <v>MDC DEPOS ESTRUCTURADO MESA PJSL        2NC</v>
          </cell>
        </row>
        <row r="13372">
          <cell r="B13372" t="str">
            <v>21030301000116</v>
          </cell>
          <cell r="C13372" t="str">
            <v>MDC DEPOS ESTRUCTURADO MESA PN          2NC</v>
          </cell>
        </row>
        <row r="13373">
          <cell r="B13373" t="str">
            <v>21030301000117</v>
          </cell>
          <cell r="C13373" t="str">
            <v>MDC DEPOS DIVISAS MESA PJSL             2NC</v>
          </cell>
        </row>
        <row r="13374">
          <cell r="B13374" t="str">
            <v>21030301000118</v>
          </cell>
          <cell r="C13374" t="str">
            <v>MDC DEPOS DIVISAS MESA PN               2NC</v>
          </cell>
        </row>
        <row r="13375">
          <cell r="B13375" t="str">
            <v>21030301000119</v>
          </cell>
          <cell r="C13375" t="str">
            <v>MDC DEP PLAZO VAC - PSFL                2NC</v>
          </cell>
        </row>
        <row r="13376">
          <cell r="B13376" t="str">
            <v>21030301000120</v>
          </cell>
          <cell r="C13376" t="str">
            <v>MDC DEP PLAZO VAC - PJFL                2NC</v>
          </cell>
        </row>
        <row r="13377">
          <cell r="B13377" t="str">
            <v>21030301000201</v>
          </cell>
          <cell r="C13377" t="str">
            <v>DEP PZO MESA PJFL-AJUSTE VAC            2NC</v>
          </cell>
        </row>
        <row r="13378">
          <cell r="B13378" t="str">
            <v>21030301000203</v>
          </cell>
          <cell r="C13378" t="str">
            <v>MDC DEPOSITO A PLAZO MESA ESTRUCTURADO  2 C</v>
          </cell>
        </row>
        <row r="13379">
          <cell r="B13379" t="str">
            <v>21030302000101</v>
          </cell>
          <cell r="C13379" t="str">
            <v>CUENTAS A PLAZO ORD.- OTRAS PJ          2NC</v>
          </cell>
        </row>
        <row r="13380">
          <cell r="B13380" t="str">
            <v>21030302000102</v>
          </cell>
          <cell r="C13380" t="str">
            <v>CUENTAS A PLAZO ESP.- OTRAS PJ          2NC</v>
          </cell>
        </row>
        <row r="13381">
          <cell r="B13381" t="str">
            <v>21030302000104</v>
          </cell>
          <cell r="C13381" t="str">
            <v>BL CTAS PLAZO PJ-BL                     2NC</v>
          </cell>
        </row>
        <row r="13382">
          <cell r="B13382" t="str">
            <v>21030302000105</v>
          </cell>
          <cell r="C13382" t="str">
            <v>DEP PLAZO CAPITAL PJFL                  2NC</v>
          </cell>
        </row>
        <row r="13383">
          <cell r="B13383" t="str">
            <v>21030302000106</v>
          </cell>
          <cell r="C13383" t="str">
            <v>MDC DEPOS ESTRUCTURADO MESA PJFL        2NC</v>
          </cell>
        </row>
        <row r="13384">
          <cell r="B13384" t="str">
            <v>21030302000107</v>
          </cell>
          <cell r="C13384" t="str">
            <v>MDC DEPOS DIVISAS MESA  PJFL            2NC</v>
          </cell>
        </row>
        <row r="13385">
          <cell r="B13385" t="str">
            <v>21030302000108</v>
          </cell>
          <cell r="C13385" t="str">
            <v>MDC DEP PLAZO VAC - PJFL                2NC</v>
          </cell>
        </row>
        <row r="13386">
          <cell r="B13386" t="str">
            <v>21030302000109</v>
          </cell>
          <cell r="C13386" t="str">
            <v>MDC DEP PLAZO PJFL                      2NC</v>
          </cell>
        </row>
        <row r="13387">
          <cell r="B13387" t="str">
            <v>21030302000110</v>
          </cell>
          <cell r="C13387" t="str">
            <v>MDC DEP PLAZO - PJFL  AJUSTE VAC        2NC</v>
          </cell>
        </row>
        <row r="13388">
          <cell r="B13388" t="str">
            <v>21030302000112</v>
          </cell>
          <cell r="C13388" t="str">
            <v>MDC DEPOSITO A PLAZO MESA ESTRUCTURADO  2 C</v>
          </cell>
        </row>
        <row r="13389">
          <cell r="B13389" t="str">
            <v>21030302000801</v>
          </cell>
          <cell r="C13389" t="str">
            <v>PANAM OTRAS PERSONAS JURIDICAS          2NC</v>
          </cell>
        </row>
        <row r="13390">
          <cell r="B13390" t="str">
            <v>21030501000101</v>
          </cell>
          <cell r="C13390" t="str">
            <v>CTS CAPITAL                             2NC</v>
          </cell>
        </row>
        <row r="13391">
          <cell r="B13391" t="str">
            <v>21030501000104</v>
          </cell>
          <cell r="C13391" t="str">
            <v>BL CTS ORDINARIOS BL                    2NC</v>
          </cell>
        </row>
        <row r="13392">
          <cell r="B13392" t="str">
            <v>21030502000101</v>
          </cell>
          <cell r="C13392" t="str">
            <v>CTS CONVENIOS - PN Y PJ PRIV.S/F LUCR   2NC</v>
          </cell>
        </row>
        <row r="13393">
          <cell r="B13393" t="str">
            <v>21030602000101</v>
          </cell>
          <cell r="C13393" t="str">
            <v>MDC DEP A PLAZO DERIV SWAPS             2NC</v>
          </cell>
        </row>
        <row r="13394">
          <cell r="B13394" t="str">
            <v>21030902000101</v>
          </cell>
          <cell r="C13394" t="str">
            <v>CTAS A PLAZO FDO GARANTIA - OTRAS PJ    2NC</v>
          </cell>
        </row>
        <row r="13395">
          <cell r="B13395" t="str">
            <v>21030902000102</v>
          </cell>
          <cell r="C13395" t="str">
            <v>OTRAS OBLIGACIONES POR CUENTAS A PLAZO P2NC</v>
          </cell>
        </row>
        <row r="13396">
          <cell r="B13396" t="str">
            <v>21040101000101</v>
          </cell>
          <cell r="C13396" t="str">
            <v>IMPTO A LA RENTA 3 ERA CATEG            2NC</v>
          </cell>
        </row>
        <row r="13397">
          <cell r="B13397" t="str">
            <v>21040102000103</v>
          </cell>
          <cell r="C13397" t="str">
            <v>IGV-ADJUDICADOS                         2NC</v>
          </cell>
        </row>
        <row r="13398">
          <cell r="B13398" t="str">
            <v>21040102000104</v>
          </cell>
          <cell r="C13398" t="str">
            <v>IGV-PREMIOS                             2NC</v>
          </cell>
        </row>
        <row r="13399">
          <cell r="B13399" t="str">
            <v>21040102000105</v>
          </cell>
          <cell r="C13399" t="str">
            <v>IGV- PROMOCIONES                        2NC</v>
          </cell>
        </row>
        <row r="13400">
          <cell r="B13400" t="str">
            <v>21040102000106</v>
          </cell>
          <cell r="C13400" t="str">
            <v>IGV- NO DOMICILIADOS                    2NC</v>
          </cell>
        </row>
        <row r="13401">
          <cell r="B13401" t="str">
            <v>21040102000109</v>
          </cell>
          <cell r="C13401" t="str">
            <v>IGV POR PAGAR - OTROS                   2NC</v>
          </cell>
        </row>
        <row r="13402">
          <cell r="B13402" t="str">
            <v>21040109000101</v>
          </cell>
          <cell r="C13402" t="str">
            <v>OTROS TRIBUTOS CTA PROPIA-IPSS          2NC</v>
          </cell>
        </row>
        <row r="13403">
          <cell r="B13403" t="str">
            <v>21040109000103</v>
          </cell>
          <cell r="C13403" t="str">
            <v>FRACCIONAMIENTO TRIBUTARIO              2NC</v>
          </cell>
        </row>
        <row r="13404">
          <cell r="B13404" t="str">
            <v>21040200000101</v>
          </cell>
          <cell r="C13404" t="str">
            <v>IMPUESTO A LA RENTA-4TA CATEGORIA       2NC</v>
          </cell>
        </row>
        <row r="13405">
          <cell r="B13405" t="str">
            <v>21040200000102</v>
          </cell>
          <cell r="C13405" t="str">
            <v>IMPTO. RENTA 5TA. CATEG                 2NC</v>
          </cell>
        </row>
        <row r="13406">
          <cell r="B13406" t="str">
            <v>21040200000104</v>
          </cell>
          <cell r="C13406" t="str">
            <v>IMPTO. RENTA- NO DOMICILIADOS           2NC</v>
          </cell>
        </row>
        <row r="13407">
          <cell r="B13407" t="str">
            <v>21040200000105</v>
          </cell>
          <cell r="C13407" t="str">
            <v>RETENC.IMP.RENTA-PAGO DIVIDENDOS        2NC</v>
          </cell>
        </row>
        <row r="13408">
          <cell r="B13408" t="str">
            <v>21040200000106</v>
          </cell>
          <cell r="C13408" t="str">
            <v>RETENC.IMP.RENTA 2DA CATEGORIA          2NC</v>
          </cell>
        </row>
        <row r="13409">
          <cell r="B13409" t="str">
            <v>21040200000107</v>
          </cell>
          <cell r="C13409" t="str">
            <v>IMPTO. RENTA - SUC PANAMA               2NC</v>
          </cell>
        </row>
        <row r="13410">
          <cell r="B13410" t="str">
            <v>21040200000201</v>
          </cell>
          <cell r="C13410" t="str">
            <v>IGV RETENCIONES POR PAGAR CTRL ADM      2NC</v>
          </cell>
        </row>
        <row r="13411">
          <cell r="B13411" t="str">
            <v>21040200000302</v>
          </cell>
          <cell r="C13411" t="str">
            <v>IES-4TA CATEGORIA                       2NC</v>
          </cell>
        </row>
        <row r="13412">
          <cell r="B13412" t="str">
            <v>21040200000303</v>
          </cell>
          <cell r="C13412" t="str">
            <v>IES- 4TA CATEGORIA-DIRECTORES           2NC</v>
          </cell>
        </row>
        <row r="13413">
          <cell r="B13413" t="str">
            <v>21040200000401</v>
          </cell>
          <cell r="C13413" t="str">
            <v>AFP                                     2NC</v>
          </cell>
        </row>
        <row r="13414">
          <cell r="B13414" t="str">
            <v>21040200000901</v>
          </cell>
          <cell r="C13414" t="str">
            <v>IPSS - REGIMEN SALUD DL 22482           2NC</v>
          </cell>
        </row>
        <row r="13415">
          <cell r="B13415" t="str">
            <v>21040200000902</v>
          </cell>
          <cell r="C13415" t="str">
            <v>IPSS - SNP DL 19990                     2NC</v>
          </cell>
        </row>
        <row r="13416">
          <cell r="B13416" t="str">
            <v>21040200000903</v>
          </cell>
          <cell r="C13416" t="str">
            <v>IPSS - SEGURO DE VIDA                   2NC</v>
          </cell>
        </row>
        <row r="13417">
          <cell r="B13417" t="str">
            <v>21040200000905</v>
          </cell>
          <cell r="C13417" t="str">
            <v>210402000009050000                      2NC</v>
          </cell>
        </row>
        <row r="13418">
          <cell r="B13418" t="str">
            <v>21040200000906</v>
          </cell>
          <cell r="C13418" t="str">
            <v>IR INTERESES BONOS ND                   2NC</v>
          </cell>
        </row>
        <row r="13419">
          <cell r="B13419" t="str">
            <v>21040300000104</v>
          </cell>
          <cell r="C13419" t="str">
            <v>PDT RECLASIF SALDO PDTE DE PAGO A SUNAT 2NC</v>
          </cell>
        </row>
        <row r="13420">
          <cell r="B13420" t="str">
            <v>21040300000105</v>
          </cell>
          <cell r="C13420" t="str">
            <v>FORMULARIO RECLASIF SALDO PDTE PAGO A SU2NC</v>
          </cell>
        </row>
        <row r="13421">
          <cell r="B13421" t="str">
            <v>21040300000106</v>
          </cell>
          <cell r="C13421" t="str">
            <v>PAGOS ELECTRONICOS SUNAT                2NC</v>
          </cell>
        </row>
        <row r="13422">
          <cell r="B13422" t="str">
            <v>21050205000101</v>
          </cell>
          <cell r="C13422" t="str">
            <v>MDC Repo Inter Banco Continental        2NC</v>
          </cell>
        </row>
        <row r="13423">
          <cell r="B13423" t="str">
            <v>21050301000108</v>
          </cell>
          <cell r="C13423" t="str">
            <v>OBLIG BONOS GLOBALES PACTO RECOMP       2NC</v>
          </cell>
        </row>
        <row r="13424">
          <cell r="B13424" t="str">
            <v>21060100000101</v>
          </cell>
          <cell r="C13424" t="str">
            <v>COMPENSACION POR TIEMPO DE SERVICIOS    2NC</v>
          </cell>
        </row>
        <row r="13425">
          <cell r="B13425" t="str">
            <v>21060100000801</v>
          </cell>
          <cell r="C13425" t="str">
            <v>PAN PRIMA DE ANTIGÃœEDAD                2NC</v>
          </cell>
        </row>
        <row r="13426">
          <cell r="B13426" t="str">
            <v>21060100000802</v>
          </cell>
          <cell r="C13426" t="str">
            <v>PAN  INDEMNIZACIONES                    2NC</v>
          </cell>
        </row>
        <row r="13427">
          <cell r="B13427" t="str">
            <v>21060200000101</v>
          </cell>
          <cell r="C13427" t="str">
            <v>JUBILACION                              2NC</v>
          </cell>
        </row>
        <row r="13428">
          <cell r="B13428" t="str">
            <v>21070201000101</v>
          </cell>
          <cell r="C13428" t="str">
            <v>BENEFICIOS SOCIALES DE TRABAJADORES     2NC</v>
          </cell>
        </row>
        <row r="13429">
          <cell r="B13429" t="str">
            <v>21070201000103</v>
          </cell>
          <cell r="C13429" t="str">
            <v>RETENCIONES JUDICIALES PN               2NC</v>
          </cell>
        </row>
        <row r="13430">
          <cell r="B13430" t="str">
            <v>21070201000104</v>
          </cell>
          <cell r="C13430" t="str">
            <v>RETENCIONES JUDICIALES PJSF             2NC</v>
          </cell>
        </row>
        <row r="13431">
          <cell r="B13431" t="str">
            <v>21070201000105</v>
          </cell>
          <cell r="C13431" t="str">
            <v>AHORROS RETENCION JUD PN                2NC</v>
          </cell>
        </row>
        <row r="13432">
          <cell r="B13432" t="str">
            <v>21070201000106</v>
          </cell>
          <cell r="C13432" t="str">
            <v>AHORROS RETENCION JUD PJSL              2NC</v>
          </cell>
        </row>
        <row r="13433">
          <cell r="B13433" t="str">
            <v>21070201000107</v>
          </cell>
          <cell r="C13433" t="str">
            <v>ST RET.JUDICIAL AHORRO EDUCACION        2NC</v>
          </cell>
        </row>
        <row r="13434">
          <cell r="B13434" t="str">
            <v>21070201000203</v>
          </cell>
          <cell r="C13434" t="str">
            <v>RET.JUD.- CTAS A PLAZO PN Y PJ PRIV.S   2NC</v>
          </cell>
        </row>
        <row r="13435">
          <cell r="B13435" t="str">
            <v>21070201000205</v>
          </cell>
          <cell r="C13435" t="str">
            <v>RETENCION JUDICIAL CTS                  2NC</v>
          </cell>
        </row>
        <row r="13436">
          <cell r="B13436" t="str">
            <v>21070201000210</v>
          </cell>
          <cell r="C13436" t="str">
            <v>DEP PLAZO RETENCION JUD PJSL            2NC</v>
          </cell>
        </row>
        <row r="13437">
          <cell r="B13437" t="str">
            <v>21070201000211</v>
          </cell>
          <cell r="C13437" t="str">
            <v>CBME RETENCION JUD PN                   2NC</v>
          </cell>
        </row>
        <row r="13438">
          <cell r="B13438" t="str">
            <v>21070201000212</v>
          </cell>
          <cell r="C13438" t="str">
            <v>IM C.CTE.INACT.AG.DIN.ELEC.PN           2NC</v>
          </cell>
        </row>
        <row r="13439">
          <cell r="B13439" t="str">
            <v>21070201000213</v>
          </cell>
          <cell r="C13439" t="str">
            <v>IM C.CTE.INACT.AG.DIN.ELEC.PJ S/F       2NC</v>
          </cell>
        </row>
        <row r="13440">
          <cell r="B13440" t="str">
            <v>21070201000214</v>
          </cell>
          <cell r="C13440" t="str">
            <v>IM C.CTE.INACT.AG.DIN.ELEC.PJ C/F       2NC</v>
          </cell>
        </row>
        <row r="13441">
          <cell r="B13441" t="str">
            <v>21070201000301</v>
          </cell>
          <cell r="C13441" t="str">
            <v>RET.JUD.CTAS.CTES.- PN Y PJ PRIV.S/F LUC2NC</v>
          </cell>
        </row>
        <row r="13442">
          <cell r="B13442" t="str">
            <v>21070201000302</v>
          </cell>
          <cell r="C13442" t="str">
            <v>BL RET.JUD.CTAS.CTES.BL- PN             2NC</v>
          </cell>
        </row>
        <row r="13443">
          <cell r="B13443" t="str">
            <v>21070201000303</v>
          </cell>
          <cell r="C13443" t="str">
            <v>RET.JUD.CTAS.CTES.- PJ S/F LUCRO        2NC</v>
          </cell>
        </row>
        <row r="13444">
          <cell r="B13444" t="str">
            <v>21070201000401</v>
          </cell>
          <cell r="C13444" t="str">
            <v>RETENC.JUD.CTAS.CTES.- OTRAS PJ         2NC</v>
          </cell>
        </row>
        <row r="13445">
          <cell r="B13445" t="str">
            <v>21070201000402</v>
          </cell>
          <cell r="C13445" t="str">
            <v>BL RETENC.JUD.CTAS.CTES.BL- OTRAS PJ    2NC</v>
          </cell>
        </row>
        <row r="13446">
          <cell r="B13446" t="str">
            <v>21070201000403</v>
          </cell>
          <cell r="C13446" t="str">
            <v>AHORROS CTA.ALCANCIA VIRTUAL            2NC</v>
          </cell>
        </row>
        <row r="13447">
          <cell r="B13447" t="str">
            <v>21070201000404</v>
          </cell>
          <cell r="C13447" t="str">
            <v>BOG AHORROS RETENCION JUD PN            2NC</v>
          </cell>
        </row>
        <row r="13448">
          <cell r="B13448" t="str">
            <v>21070202000101</v>
          </cell>
          <cell r="C13448" t="str">
            <v>RET JUD AHORROS OTRAS PJ                2NC</v>
          </cell>
        </row>
        <row r="13449">
          <cell r="B13449" t="str">
            <v>21070202000102</v>
          </cell>
          <cell r="C13449" t="str">
            <v>RETENCIONES JUDICIALES PJCF             2NC</v>
          </cell>
        </row>
        <row r="13450">
          <cell r="B13450" t="str">
            <v>21070202000201</v>
          </cell>
          <cell r="C13450" t="str">
            <v>RETENC.JUD.- CDN PN Y PJ PRIV.S/F LUCRO 2NC</v>
          </cell>
        </row>
        <row r="13451">
          <cell r="B13451" t="str">
            <v>21070202000202</v>
          </cell>
          <cell r="C13451" t="str">
            <v>RETENC.JUD.- CB PN Y PJ PRIV.S/F LUCRO  2NC</v>
          </cell>
        </row>
        <row r="13452">
          <cell r="B13452" t="str">
            <v>21070202000203</v>
          </cell>
          <cell r="C13452" t="str">
            <v>RET.JUD.- CTAS A PLAZO PN Y PJ PRIV.S/F 2NC</v>
          </cell>
        </row>
        <row r="13453">
          <cell r="B13453" t="str">
            <v>21070202000209</v>
          </cell>
          <cell r="C13453" t="str">
            <v>RETENC.JUD.- FONDO DE GARANTIA          2NC</v>
          </cell>
        </row>
        <row r="13454">
          <cell r="B13454" t="str">
            <v>21070401010101</v>
          </cell>
          <cell r="C13454" t="str">
            <v>AHORROS MILLONARIA GTIA CAPITAL PN      2NC</v>
          </cell>
        </row>
        <row r="13455">
          <cell r="B13455" t="str">
            <v>21070401010102</v>
          </cell>
          <cell r="C13455" t="str">
            <v>ST DEPOSITO CDN GTIA PN                 2NC</v>
          </cell>
        </row>
        <row r="13456">
          <cell r="B13456" t="str">
            <v>21070401010202</v>
          </cell>
          <cell r="C13456" t="str">
            <v>DEP.GTIA.CRED.- CB PN Y PJ PRIV.S/F     2NC</v>
          </cell>
        </row>
        <row r="13457">
          <cell r="B13457" t="str">
            <v>21070401010203</v>
          </cell>
          <cell r="C13457" t="str">
            <v>D.GTIA. CRED.-CTAS PLAZO PN PJ PRIV.S/F 2NC</v>
          </cell>
        </row>
        <row r="13458">
          <cell r="B13458" t="str">
            <v>21070401010301</v>
          </cell>
          <cell r="C13458" t="str">
            <v>DEPOSITO GTIA CTA CTE-PJ S/F LUCRO      2NC</v>
          </cell>
        </row>
        <row r="13459">
          <cell r="B13459" t="str">
            <v>21070401010302</v>
          </cell>
          <cell r="C13459" t="str">
            <v>BL DEPOSITO GTIA CTA CTE- PJ S/F LUCRO  2NC</v>
          </cell>
        </row>
        <row r="13460">
          <cell r="B13460" t="str">
            <v>21070401010303</v>
          </cell>
          <cell r="C13460" t="str">
            <v>DEP CTA CTE GTIA INMOB-PJ S/F LUCRO     2NC</v>
          </cell>
        </row>
        <row r="13461">
          <cell r="B13461" t="str">
            <v>21070401010304</v>
          </cell>
          <cell r="C13461" t="str">
            <v>ST AHORRO EDUCACION GTIA CAPITAL PN     2NC</v>
          </cell>
        </row>
        <row r="13462">
          <cell r="B13462" t="str">
            <v>21070401010305</v>
          </cell>
          <cell r="C13462" t="str">
            <v>AHORROS CTA ALCANCIA VIRTUAL GTIA CAPITA2NC</v>
          </cell>
        </row>
        <row r="13463">
          <cell r="B13463" t="str">
            <v>21070401020101</v>
          </cell>
          <cell r="C13463" t="str">
            <v>OTRAS PERSONAS JURIDICAS                2NC</v>
          </cell>
        </row>
        <row r="13464">
          <cell r="B13464" t="str">
            <v>21070401020102</v>
          </cell>
          <cell r="C13464" t="str">
            <v>ST DEPOSITO CDN GTIA PJ                 2NC</v>
          </cell>
        </row>
        <row r="13465">
          <cell r="B13465" t="str">
            <v>21070401020201</v>
          </cell>
          <cell r="C13465" t="str">
            <v>MDC DEPÃ“SITOS EN GARANTÃA OP CON VALOR2NC</v>
          </cell>
        </row>
        <row r="13466">
          <cell r="B13466" t="str">
            <v>21070401020203</v>
          </cell>
          <cell r="C13466" t="str">
            <v>DEP.GTIA.CRED.- CTAS A PLAZO OTRAS PJ   2NC</v>
          </cell>
        </row>
        <row r="13467">
          <cell r="B13467" t="str">
            <v>21070401020301</v>
          </cell>
          <cell r="C13467" t="str">
            <v>DEPOSITO GTIA CTA CTE-OTRAS PJ          2NC</v>
          </cell>
        </row>
        <row r="13468">
          <cell r="B13468" t="str">
            <v>21070401020302</v>
          </cell>
          <cell r="C13468" t="str">
            <v>BL DEPOSITO GTIA BL CTA CTE-OTRAS PJ    2NC</v>
          </cell>
        </row>
        <row r="13469">
          <cell r="B13469" t="str">
            <v>21070401020303</v>
          </cell>
          <cell r="C13469" t="str">
            <v>DEP CTA CTE GTIA INMOB-OTRAS PJ         2NC</v>
          </cell>
        </row>
        <row r="13470">
          <cell r="B13470" t="str">
            <v>21070402010101</v>
          </cell>
          <cell r="C13470" t="str">
            <v>AH. GTIA.CONTING.- PN Y PJ PRIV.S/F LUCR2NC</v>
          </cell>
        </row>
        <row r="13471">
          <cell r="B13471" t="str">
            <v>21070402010102</v>
          </cell>
          <cell r="C13471" t="str">
            <v>BL AH. GTIA.CONTING BL .- PN Y PJ PRIV.S2NC</v>
          </cell>
        </row>
        <row r="13472">
          <cell r="B13472" t="str">
            <v>21070402010103</v>
          </cell>
          <cell r="C13472" t="str">
            <v>AHORROS GTIA CAPITAL PN                 2NC</v>
          </cell>
        </row>
        <row r="13473">
          <cell r="B13473" t="str">
            <v>21070402010104</v>
          </cell>
          <cell r="C13473" t="str">
            <v>AHORROS GTIA CAPITAL PJSL               2NC</v>
          </cell>
        </row>
        <row r="13474">
          <cell r="B13474" t="str">
            <v>21070402010203</v>
          </cell>
          <cell r="C13474" t="str">
            <v>CTAS PLZO GTIA.CONTING.- PN  PJ PRIV.S/F2NC</v>
          </cell>
        </row>
        <row r="13475">
          <cell r="B13475" t="str">
            <v>21070402010204</v>
          </cell>
          <cell r="C13475" t="str">
            <v>BL-CB GTIA CONTING PJ S/F LUCRO         2NC</v>
          </cell>
        </row>
        <row r="13476">
          <cell r="B13476" t="str">
            <v>21070402010205</v>
          </cell>
          <cell r="C13476" t="str">
            <v>BL-CB GTIA CONTING PN                   2NC</v>
          </cell>
        </row>
        <row r="13477">
          <cell r="B13477" t="str">
            <v>21070402010210</v>
          </cell>
          <cell r="C13477" t="str">
            <v>DEP PLAZO GTIA CAPITAL PN               2NC</v>
          </cell>
        </row>
        <row r="13478">
          <cell r="B13478" t="str">
            <v>21070402010211</v>
          </cell>
          <cell r="C13478" t="str">
            <v>DEP PLAZO GTIA CAPITAL PJSL             2NC</v>
          </cell>
        </row>
        <row r="13479">
          <cell r="B13479" t="str">
            <v>21070402020101</v>
          </cell>
          <cell r="C13479" t="str">
            <v>AHORROS GTIA.CONTING.- OTRAS PJ         2NC</v>
          </cell>
        </row>
        <row r="13480">
          <cell r="B13480" t="str">
            <v>21070402020201</v>
          </cell>
          <cell r="C13480" t="str">
            <v>DEP.GTIA.CONTING.- CDN OTRAS PJ         2NC</v>
          </cell>
        </row>
        <row r="13481">
          <cell r="B13481" t="str">
            <v>21070402020202</v>
          </cell>
          <cell r="C13481" t="str">
            <v>CBME GTIA CAPITAL PJFL                  2NC</v>
          </cell>
        </row>
        <row r="13482">
          <cell r="B13482" t="str">
            <v>21070402020203</v>
          </cell>
          <cell r="C13482" t="str">
            <v>DEP.GTIA CONTING.- CTAS PLAZO OTRAS PJ  2NC</v>
          </cell>
        </row>
        <row r="13483">
          <cell r="B13483" t="str">
            <v>21070402020204</v>
          </cell>
          <cell r="C13483" t="str">
            <v>BL DEP.GTIA CONTING.BL - CTAS PLAZO OTRA2NC</v>
          </cell>
        </row>
        <row r="13484">
          <cell r="B13484" t="str">
            <v>21070402020205</v>
          </cell>
          <cell r="C13484" t="str">
            <v>BL DEP.GTIA CONTING.BL - CB OTRAS PJ    2NC</v>
          </cell>
        </row>
        <row r="13485">
          <cell r="B13485" t="str">
            <v>21070402020206</v>
          </cell>
          <cell r="C13485" t="str">
            <v>DEP PLAZO GTIA CAPITAL PJFL             2NC</v>
          </cell>
        </row>
        <row r="13486">
          <cell r="B13486" t="str">
            <v>21070501000101</v>
          </cell>
          <cell r="C13486" t="str">
            <v>ST DINERO ELECTRONICO INMOVILIZADAS     2NC</v>
          </cell>
        </row>
        <row r="13487">
          <cell r="B13487" t="str">
            <v>21070901000101</v>
          </cell>
          <cell r="C13487" t="str">
            <v>DEPOSITO CTA CTE GARANT INMOBIL PJ S/F  2NC</v>
          </cell>
        </row>
        <row r="13488">
          <cell r="B13488" t="str">
            <v>21070902000101</v>
          </cell>
          <cell r="C13488" t="str">
            <v>DEPOSITO CTA CTE GARANT INMOBIL OTRAS PJ2NC</v>
          </cell>
        </row>
        <row r="13489">
          <cell r="B13489" t="str">
            <v>21070902000102</v>
          </cell>
          <cell r="C13489" t="str">
            <v>MDC MARG CALL THE BANK OF NOVA SCOTIA   2NC</v>
          </cell>
        </row>
        <row r="13490">
          <cell r="B13490" t="str">
            <v>21070902000103</v>
          </cell>
          <cell r="C13490" t="str">
            <v>MDC MARG CALL JP MORGAN                 2NC</v>
          </cell>
        </row>
        <row r="13491">
          <cell r="B13491" t="str">
            <v>21070902000104</v>
          </cell>
          <cell r="C13491" t="str">
            <v>MDC MARG CALL DEUTSCHE BANK AG          2NC</v>
          </cell>
        </row>
        <row r="13492">
          <cell r="B13492" t="str">
            <v>21070902000105</v>
          </cell>
          <cell r="C13492" t="str">
            <v>MDC MARG CALL MORGAN STANLEY CAPITAL SER2NC</v>
          </cell>
        </row>
        <row r="13493">
          <cell r="B13493" t="str">
            <v>21070902000106</v>
          </cell>
          <cell r="C13493" t="str">
            <v>MDC MARG CALL CITIBANK                  2NC</v>
          </cell>
        </row>
        <row r="13494">
          <cell r="B13494" t="str">
            <v>21070902000107</v>
          </cell>
          <cell r="C13494" t="str">
            <v>MDC MARG CALL BANK OF AMERICA           2NC</v>
          </cell>
        </row>
        <row r="13495">
          <cell r="B13495" t="str">
            <v>21070902000108</v>
          </cell>
          <cell r="C13495" t="str">
            <v>MDC MARG CALL STANDARD CHARTERED BANK   2NC</v>
          </cell>
        </row>
        <row r="13496">
          <cell r="B13496" t="str">
            <v>21070902000109</v>
          </cell>
          <cell r="C13496" t="str">
            <v>MDC MARG CALL BNP PARIBAS               2NC</v>
          </cell>
        </row>
        <row r="13497">
          <cell r="B13497" t="str">
            <v>21070902000110</v>
          </cell>
          <cell r="C13497" t="str">
            <v>MDC MARG CALL GOLDMAN SACHS INTERNATIONA2NC</v>
          </cell>
        </row>
        <row r="13498">
          <cell r="B13498" t="str">
            <v>21070902000111</v>
          </cell>
          <cell r="C13498" t="str">
            <v>MDC MARG CALL BANCO SANTANDER ORIGINAL C2NC</v>
          </cell>
        </row>
        <row r="13499">
          <cell r="B13499" t="str">
            <v>21070902000112</v>
          </cell>
          <cell r="C13499" t="str">
            <v>MDC MARG CALL BANK OF MONTREAL          2NC</v>
          </cell>
        </row>
        <row r="13500">
          <cell r="B13500" t="str">
            <v>21070902000113</v>
          </cell>
          <cell r="C13500" t="str">
            <v>MDC MARG CALL BANCO SANTANDER NEW CSA   2NC</v>
          </cell>
        </row>
        <row r="13501">
          <cell r="B13501" t="str">
            <v>21070902000114</v>
          </cell>
          <cell r="C13501" t="str">
            <v>MDC MARG CALL STANDARD CHARTERED NEW CSA2NC</v>
          </cell>
        </row>
        <row r="13502">
          <cell r="B13502" t="str">
            <v>21070902000115</v>
          </cell>
          <cell r="C13502" t="str">
            <v>MDC MARG CALL ING BANK                  2NC</v>
          </cell>
        </row>
        <row r="13503">
          <cell r="B13503" t="str">
            <v>21070902000116</v>
          </cell>
          <cell r="C13503" t="str">
            <v>MDC MARG CALL HSBC BANK USA             2NC</v>
          </cell>
        </row>
        <row r="13504">
          <cell r="B13504" t="str">
            <v>21070902000117</v>
          </cell>
          <cell r="C13504" t="str">
            <v>MDC MARG CALL BARCLAYS BANK PLC         2NC</v>
          </cell>
        </row>
        <row r="13505">
          <cell r="B13505" t="str">
            <v>21070902000118</v>
          </cell>
          <cell r="C13505" t="str">
            <v>MDC MARG CALL DOMINION BANK TORONTO     2NC</v>
          </cell>
        </row>
        <row r="13506">
          <cell r="B13506" t="str">
            <v>21070902000119</v>
          </cell>
          <cell r="C13506" t="str">
            <v>MDC MARG CALL UBS AG ZURICH             2NC</v>
          </cell>
        </row>
        <row r="13507">
          <cell r="B13507" t="str">
            <v>21070902000120</v>
          </cell>
          <cell r="C13507" t="str">
            <v>MDC MARG CALL ROYAL BANK OF CANADA      2NC</v>
          </cell>
        </row>
        <row r="13508">
          <cell r="B13508" t="str">
            <v>21070902000121</v>
          </cell>
          <cell r="C13508" t="str">
            <v>MDC MARG CALL NATIXIS                   2NC</v>
          </cell>
        </row>
        <row r="13509">
          <cell r="B13509" t="str">
            <v>21070902000122</v>
          </cell>
          <cell r="C13509" t="str">
            <v>MDC MARG CALL WELLS FARGO BANK          2NC</v>
          </cell>
        </row>
        <row r="13510">
          <cell r="B13510" t="str">
            <v>21070902000123</v>
          </cell>
          <cell r="C13510" t="str">
            <v>MDC MC BANCO BILBAO VIZCAYA ARGENTARIA  2NC</v>
          </cell>
        </row>
        <row r="13511">
          <cell r="B13511" t="str">
            <v>21080100000101</v>
          </cell>
          <cell r="C13511" t="str">
            <v>INT. DEPOSITOS CTA CTE -PN              2NC</v>
          </cell>
        </row>
        <row r="13512">
          <cell r="B13512" t="str">
            <v>21080100000102</v>
          </cell>
          <cell r="C13512" t="str">
            <v>INT. DEPOSITOS CTA CTE -PJ              2NC</v>
          </cell>
        </row>
        <row r="13513">
          <cell r="B13513" t="str">
            <v>21080100000103</v>
          </cell>
          <cell r="C13513" t="str">
            <v>BL INT. DEPOSITOS CTA CTE PN-BL         2NC</v>
          </cell>
        </row>
        <row r="13514">
          <cell r="B13514" t="str">
            <v>21080100000104</v>
          </cell>
          <cell r="C13514" t="str">
            <v>BL INT. DEPOSITOS CTA CTE PJ-BL         2NC</v>
          </cell>
        </row>
        <row r="13515">
          <cell r="B13515" t="str">
            <v>21080100000105</v>
          </cell>
          <cell r="C13515" t="str">
            <v>INT X PAGAR PJ S/F DE LUCRO IB          2NC</v>
          </cell>
        </row>
        <row r="13516">
          <cell r="B13516" t="str">
            <v>21080100000106</v>
          </cell>
          <cell r="C13516" t="str">
            <v>GASTOS POR PAGAR OBLIGACIONES A LA VI   2NC</v>
          </cell>
        </row>
        <row r="13517">
          <cell r="B13517" t="str">
            <v>21080201000101</v>
          </cell>
          <cell r="C13517" t="str">
            <v>INT.POR PAG. - AH. ORD.PN Y PJ PRIV.S/F 2NC</v>
          </cell>
        </row>
        <row r="13518">
          <cell r="B13518" t="str">
            <v>21080201000102</v>
          </cell>
          <cell r="C13518" t="str">
            <v>INT.POR PAG. - AH. ESP.PN Y PJ PRIV.S/F 2NC</v>
          </cell>
        </row>
        <row r="13519">
          <cell r="B13519" t="str">
            <v>21080201000103</v>
          </cell>
          <cell r="C13519" t="str">
            <v>INT.POR PAGAR - AHORROS CTA MILLONARIA  2NC</v>
          </cell>
        </row>
        <row r="13520">
          <cell r="B13520" t="str">
            <v>21080201000104</v>
          </cell>
          <cell r="C13520" t="str">
            <v>BL INT.POR PAGAR-AHORROS PN BL          2NC</v>
          </cell>
        </row>
        <row r="13521">
          <cell r="B13521" t="str">
            <v>21080201000105</v>
          </cell>
          <cell r="C13521" t="str">
            <v>AHORROS MESA INTERESES PJSL             2NC</v>
          </cell>
        </row>
        <row r="13522">
          <cell r="B13522" t="str">
            <v>21080201000108</v>
          </cell>
          <cell r="C13522" t="str">
            <v>AHORROS INTERESES PN                    2NC</v>
          </cell>
        </row>
        <row r="13523">
          <cell r="B13523" t="str">
            <v>21080201000109</v>
          </cell>
          <cell r="C13523" t="str">
            <v>AHORROS INTERESES PJSL                  2NC</v>
          </cell>
        </row>
        <row r="13524">
          <cell r="B13524" t="str">
            <v>21080201000110</v>
          </cell>
          <cell r="C13524" t="str">
            <v>ST INT.POR PAGAR - AHORRO EDUCACION     2NC</v>
          </cell>
        </row>
        <row r="13525">
          <cell r="B13525" t="str">
            <v>21080201000111</v>
          </cell>
          <cell r="C13525" t="str">
            <v>INT.POR PAGAR - AHORROS CTA ALCANCIA VIR2NC</v>
          </cell>
        </row>
        <row r="13526">
          <cell r="B13526" t="str">
            <v>21080201000112</v>
          </cell>
          <cell r="C13526" t="str">
            <v>AHORROS INTERESES PARAL CTA ALCANCIA VIR2NC</v>
          </cell>
        </row>
        <row r="13527">
          <cell r="B13527" t="str">
            <v>21080201000113</v>
          </cell>
          <cell r="C13527" t="str">
            <v>BOG AHORROS INTERESES PN                2NC</v>
          </cell>
        </row>
        <row r="13528">
          <cell r="B13528" t="str">
            <v>21080202000101</v>
          </cell>
          <cell r="C13528" t="str">
            <v>INT.POR PAGAR - AHORROS ORD.OTRAS PJ    2NC</v>
          </cell>
        </row>
        <row r="13529">
          <cell r="B13529" t="str">
            <v>21080202000102</v>
          </cell>
          <cell r="C13529" t="str">
            <v>INT.POR PAGAR - AHORROS ESP.OTRAS PJ    2NC</v>
          </cell>
        </row>
        <row r="13530">
          <cell r="B13530" t="str">
            <v>21080202000104</v>
          </cell>
          <cell r="C13530" t="str">
            <v>BL INT.POR PAGAR AHORROS PJ BL          2NC</v>
          </cell>
        </row>
        <row r="13531">
          <cell r="B13531" t="str">
            <v>21080202000105</v>
          </cell>
          <cell r="C13531" t="str">
            <v>AHORROS INTERESES PJFL                  2NC</v>
          </cell>
        </row>
        <row r="13532">
          <cell r="B13532" t="str">
            <v>21080301000102</v>
          </cell>
          <cell r="C13532" t="str">
            <v>DEP PZO MESA INT PN                     2NC</v>
          </cell>
        </row>
        <row r="13533">
          <cell r="B13533" t="str">
            <v>21080301000103</v>
          </cell>
          <cell r="C13533" t="str">
            <v>DEP PZO MESA INT PJSL                   2NC</v>
          </cell>
        </row>
        <row r="13534">
          <cell r="B13534" t="str">
            <v>21080301000104</v>
          </cell>
          <cell r="C13534" t="str">
            <v>CBME INT MESA PN                        2NC</v>
          </cell>
        </row>
        <row r="13535">
          <cell r="B13535" t="str">
            <v>21080301000105</v>
          </cell>
          <cell r="C13535" t="str">
            <v>CBME INT MESA PJSL                      2NC</v>
          </cell>
        </row>
        <row r="13536">
          <cell r="B13536" t="str">
            <v>21080301000106</v>
          </cell>
          <cell r="C13536" t="str">
            <v>MDC DEP ESTRUCTURADO MESA INT PJSL      2NC</v>
          </cell>
        </row>
        <row r="13537">
          <cell r="B13537" t="str">
            <v>21080301000107</v>
          </cell>
          <cell r="C13537" t="str">
            <v>MDC DEP ESTRUCTURADO MESA INT PN        2NC</v>
          </cell>
        </row>
        <row r="13538">
          <cell r="B13538" t="str">
            <v>21080301000108</v>
          </cell>
          <cell r="C13538" t="str">
            <v>MDC DEP DIVISAS MESA INT PJSL           2NC</v>
          </cell>
        </row>
        <row r="13539">
          <cell r="B13539" t="str">
            <v>21080301000109</v>
          </cell>
          <cell r="C13539" t="str">
            <v>MDC DEP DIVIDAS MESA INT PN             2NC</v>
          </cell>
        </row>
        <row r="13540">
          <cell r="B13540" t="str">
            <v>21080301000110</v>
          </cell>
          <cell r="C13540" t="str">
            <v>MDC INT DEP PLAZO VAC - PSFL            2NC</v>
          </cell>
        </row>
        <row r="13541">
          <cell r="B13541" t="str">
            <v>21080301000201</v>
          </cell>
          <cell r="C13541" t="str">
            <v>INT.POR PAGAR CB ORD. PN Y PJ S/F LUCRO 2NC</v>
          </cell>
        </row>
        <row r="13542">
          <cell r="B13542" t="str">
            <v>21080301000202</v>
          </cell>
          <cell r="C13542" t="str">
            <v>INT.POR PAGAR CB ESP. PN Y PJ S/F LUCRO 2NC</v>
          </cell>
        </row>
        <row r="13543">
          <cell r="B13543" t="str">
            <v>21080301000203</v>
          </cell>
          <cell r="C13543" t="str">
            <v>CBME MESA INTERESES PJSL                2NC</v>
          </cell>
        </row>
        <row r="13544">
          <cell r="B13544" t="str">
            <v>21080301000209</v>
          </cell>
          <cell r="C13544" t="str">
            <v>CBME INTERESES PN                       2NC</v>
          </cell>
        </row>
        <row r="13545">
          <cell r="B13545" t="str">
            <v>21080301000210</v>
          </cell>
          <cell r="C13545" t="str">
            <v>CBME INTERESES PJSL                     2NC</v>
          </cell>
        </row>
        <row r="13546">
          <cell r="B13546" t="str">
            <v>21080301000301</v>
          </cell>
          <cell r="C13546" t="str">
            <v>INT.PAG CTAS PLAZO ORD. PN Y PJ  PRIV. S2NC</v>
          </cell>
        </row>
        <row r="13547">
          <cell r="B13547" t="str">
            <v>21080301000302</v>
          </cell>
          <cell r="C13547" t="str">
            <v>INT. PAG. CTAS PLAZO ESP. PN Y PJ PRIV. 2NC</v>
          </cell>
        </row>
        <row r="13548">
          <cell r="B13548" t="str">
            <v>21080301000304</v>
          </cell>
          <cell r="C13548" t="str">
            <v>BL INT.PAGAR CTAS PLAZO PN BL           2NC</v>
          </cell>
        </row>
        <row r="13549">
          <cell r="B13549" t="str">
            <v>21080301000305</v>
          </cell>
          <cell r="C13549" t="str">
            <v>DEP PLAZO MESA INTERESES PJSL           2NC</v>
          </cell>
        </row>
        <row r="13550">
          <cell r="B13550" t="str">
            <v>21080301000307</v>
          </cell>
          <cell r="C13550" t="str">
            <v>DEP PLAZO INTERESES PN                  2NC</v>
          </cell>
        </row>
        <row r="13551">
          <cell r="B13551" t="str">
            <v>21080301000308</v>
          </cell>
          <cell r="C13551" t="str">
            <v>DEP PLAZO INTERESES PJSL                2NC</v>
          </cell>
        </row>
        <row r="13552">
          <cell r="B13552" t="str">
            <v>21080301000501</v>
          </cell>
          <cell r="C13552" t="str">
            <v>CTS INTERESES PN                        2NC</v>
          </cell>
        </row>
        <row r="13553">
          <cell r="B13553" t="str">
            <v>21080301000502</v>
          </cell>
          <cell r="C13553" t="str">
            <v>INT.POR PAGAR - CTS CONVENIO            2NC</v>
          </cell>
        </row>
        <row r="13554">
          <cell r="B13554" t="str">
            <v>21080301000504</v>
          </cell>
          <cell r="C13554" t="str">
            <v>BL INT.POR PAGAR - CTS ORD.BL04         2NC</v>
          </cell>
        </row>
        <row r="13555">
          <cell r="B13555" t="str">
            <v>21080301000506</v>
          </cell>
          <cell r="C13555" t="str">
            <v>MDC INT X PAGAR DEPO PLAZO MESA ESTRUCTU2 C</v>
          </cell>
        </row>
        <row r="13556">
          <cell r="B13556" t="str">
            <v>21080302000101</v>
          </cell>
          <cell r="C13556" t="str">
            <v>INT.POR PAGAR CDN ESP.OTRAS PJ          2NC</v>
          </cell>
        </row>
        <row r="13557">
          <cell r="B13557" t="str">
            <v>21080302000103</v>
          </cell>
          <cell r="C13557" t="str">
            <v>DEP PZO MESA INT PJFL                   2NC</v>
          </cell>
        </row>
        <row r="13558">
          <cell r="B13558" t="str">
            <v>21080302000104</v>
          </cell>
          <cell r="C13558" t="str">
            <v>CBME INT MESA PJFL                      2NC</v>
          </cell>
        </row>
        <row r="13559">
          <cell r="B13559" t="str">
            <v>21080302000105</v>
          </cell>
          <cell r="C13559" t="str">
            <v>INT CDN MESA PJFL                       2NC</v>
          </cell>
        </row>
        <row r="13560">
          <cell r="B13560" t="str">
            <v>21080302000106</v>
          </cell>
          <cell r="C13560" t="str">
            <v>MDC DEP ESTRUCTURADO MESA INT PJFL      2NC</v>
          </cell>
        </row>
        <row r="13561">
          <cell r="B13561" t="str">
            <v>21080302000107</v>
          </cell>
          <cell r="C13561" t="str">
            <v>MDC DEP DIVISAS MESA INT PJFL           2NC</v>
          </cell>
        </row>
        <row r="13562">
          <cell r="B13562" t="str">
            <v>21080302000108</v>
          </cell>
          <cell r="C13562" t="str">
            <v>MDC DEP A PLAZO  INTERES DERIV SWAPS    2NC</v>
          </cell>
        </row>
        <row r="13563">
          <cell r="B13563" t="str">
            <v>21080302000109</v>
          </cell>
          <cell r="C13563" t="str">
            <v>MDC INT DEP PLAZO VAC - PJFL            2NC</v>
          </cell>
        </row>
        <row r="13564">
          <cell r="B13564" t="str">
            <v>21080302000201</v>
          </cell>
          <cell r="C13564" t="str">
            <v>CBME INTERESES PJFL                     2NC</v>
          </cell>
        </row>
        <row r="13565">
          <cell r="B13565" t="str">
            <v>21080302000202</v>
          </cell>
          <cell r="C13565" t="str">
            <v>INT.POR PAGAR CB ESP.- OTRAS PJ         2NC</v>
          </cell>
        </row>
        <row r="13566">
          <cell r="B13566" t="str">
            <v>21080302000203</v>
          </cell>
          <cell r="C13566" t="str">
            <v>BL INT.POR PAGAR CB ORD BL .- OTRAS PJ  2NC</v>
          </cell>
        </row>
        <row r="13567">
          <cell r="B13567" t="str">
            <v>21080302000204</v>
          </cell>
          <cell r="C13567" t="str">
            <v>BL INT.POR PAGAR CB ESP.BL - OTRAS PJ   2NC</v>
          </cell>
        </row>
        <row r="13568">
          <cell r="B13568" t="str">
            <v>21080302000301</v>
          </cell>
          <cell r="C13568" t="str">
            <v>INT. PAGAR CTAS PLAZO ORD.- OTRAS PJ    2NC</v>
          </cell>
        </row>
        <row r="13569">
          <cell r="B13569" t="str">
            <v>21080302000302</v>
          </cell>
          <cell r="C13569" t="str">
            <v>DEP PLAZO MESA INTERESES PJFL           2NC</v>
          </cell>
        </row>
        <row r="13570">
          <cell r="B13570" t="str">
            <v>21080302000304</v>
          </cell>
          <cell r="C13570" t="str">
            <v>BL INT.PAGAR CTAS PLAZO PJ BL304        2NC</v>
          </cell>
        </row>
        <row r="13571">
          <cell r="B13571" t="str">
            <v>21080302000305</v>
          </cell>
          <cell r="C13571" t="str">
            <v>DEP PLAZO INTERESES PJFL                2NC</v>
          </cell>
        </row>
        <row r="13572">
          <cell r="B13572" t="str">
            <v>21080302000801</v>
          </cell>
          <cell r="C13572" t="str">
            <v>PAN GTOS POR PAGAR POR OBLIGACIONES     2NC</v>
          </cell>
        </row>
        <row r="13573">
          <cell r="B13573" t="str">
            <v>21080302000901</v>
          </cell>
          <cell r="C13573" t="str">
            <v>INT.POR PAGAR - FONDO DE GARANTIA       2NC</v>
          </cell>
        </row>
        <row r="13574">
          <cell r="B13574" t="str">
            <v>21080302000903</v>
          </cell>
          <cell r="C13574" t="str">
            <v>MDC INT X PAGAR DEPO PLAZO MESA ESTRUCTU2 C</v>
          </cell>
        </row>
        <row r="13575">
          <cell r="B13575" t="str">
            <v>21080502050101</v>
          </cell>
          <cell r="C13575" t="str">
            <v>MDC INT de Repo Inter Banco Continental 2NC</v>
          </cell>
        </row>
        <row r="13576">
          <cell r="B13576" t="str">
            <v>21080503010107</v>
          </cell>
          <cell r="C13576" t="str">
            <v>INT BONOS GLOBALES-PACTO RECOMPRA       2NC</v>
          </cell>
        </row>
        <row r="13577">
          <cell r="B13577" t="str">
            <v>21080503010108</v>
          </cell>
          <cell r="C13577" t="str">
            <v>INT BONOS GLOBALES VCTO PACTO RECOM     2NC</v>
          </cell>
        </row>
        <row r="13578">
          <cell r="B13578" t="str">
            <v>21080701000102</v>
          </cell>
          <cell r="C13578" t="str">
            <v>INT.PAG.RET.JUD.- AH PJ S/F LUCRO       2NC</v>
          </cell>
        </row>
        <row r="13579">
          <cell r="B13579" t="str">
            <v>21080701000103</v>
          </cell>
          <cell r="C13579" t="str">
            <v>ST AHORRO EDUCACION  / GTIA INTERESES PN2NC</v>
          </cell>
        </row>
        <row r="13580">
          <cell r="B13580" t="str">
            <v>21080701000301</v>
          </cell>
          <cell r="C13580" t="str">
            <v>AHORROS MILLONARIA / GTIA INTERESES PN  2NC</v>
          </cell>
        </row>
        <row r="13581">
          <cell r="B13581" t="str">
            <v>21080701000403</v>
          </cell>
          <cell r="C13581" t="str">
            <v>INT. PAG. CTAS.PLZO GTIA.- PN Y PJ PRIV.2NC</v>
          </cell>
        </row>
        <row r="13582">
          <cell r="B13582" t="str">
            <v>21080701000502</v>
          </cell>
          <cell r="C13582" t="str">
            <v>BL INT.PAG. AH..GTIA.CONTING BL - PN Y P2NC</v>
          </cell>
        </row>
        <row r="13583">
          <cell r="B13583" t="str">
            <v>21080701000602</v>
          </cell>
          <cell r="C13583" t="str">
            <v>INT.PAG. CB GTIA CGTES - PN Y PJ PRIV   2NC</v>
          </cell>
        </row>
        <row r="13584">
          <cell r="B13584" t="str">
            <v>21080701000603</v>
          </cell>
          <cell r="C13584" t="str">
            <v>DEP PLAZO GTIA INTERESES PN             2NC</v>
          </cell>
        </row>
        <row r="13585">
          <cell r="B13585" t="str">
            <v>21080701000609</v>
          </cell>
          <cell r="C13585" t="str">
            <v>DEP PLAZO GTIA INTERESES PJSL           2NC</v>
          </cell>
        </row>
        <row r="13586">
          <cell r="B13586" t="str">
            <v>21080701000610</v>
          </cell>
          <cell r="C13586" t="str">
            <v>ST CBME MN GTIA INTERESES PN            2NC</v>
          </cell>
        </row>
        <row r="13587">
          <cell r="B13587" t="str">
            <v>21080701000611</v>
          </cell>
          <cell r="C13587" t="str">
            <v>CB GTIA INTERESES PJSL                  2NC</v>
          </cell>
        </row>
        <row r="13588">
          <cell r="B13588" t="str">
            <v>21080701000612</v>
          </cell>
          <cell r="C13588" t="str">
            <v>AHORROS CTA ALCANCIA VIRTUAL / GTIA INTE2NC</v>
          </cell>
        </row>
        <row r="13589">
          <cell r="B13589" t="str">
            <v>21080702000102</v>
          </cell>
          <cell r="C13589" t="str">
            <v>ST INTERES CDN GTIA PJ                  2NC</v>
          </cell>
        </row>
        <row r="13590">
          <cell r="B13590" t="str">
            <v>21080702000103</v>
          </cell>
          <cell r="C13590" t="str">
            <v>MDC INT MC THE BANK OF NOVA SCOTIA      2NC</v>
          </cell>
        </row>
        <row r="13591">
          <cell r="B13591" t="str">
            <v>21080702000104</v>
          </cell>
          <cell r="C13591" t="str">
            <v>MDC INT MC JP MORGAN                    2NC</v>
          </cell>
        </row>
        <row r="13592">
          <cell r="B13592" t="str">
            <v>21080702000105</v>
          </cell>
          <cell r="C13592" t="str">
            <v>MDC INT MC DEUTSCHE BANK AG             2NC</v>
          </cell>
        </row>
        <row r="13593">
          <cell r="B13593" t="str">
            <v>21080702000106</v>
          </cell>
          <cell r="C13593" t="str">
            <v>MDC INT MC MORGAN STANLEY CAPITAL SERVIC2NC</v>
          </cell>
        </row>
        <row r="13594">
          <cell r="B13594" t="str">
            <v>21080702000107</v>
          </cell>
          <cell r="C13594" t="str">
            <v>MDC INT MC CITIBANK                     2NC</v>
          </cell>
        </row>
        <row r="13595">
          <cell r="B13595" t="str">
            <v>21080702000108</v>
          </cell>
          <cell r="C13595" t="str">
            <v>MDC INT MC BANK OF AMERICA              2NC</v>
          </cell>
        </row>
        <row r="13596">
          <cell r="B13596" t="str">
            <v>21080702000109</v>
          </cell>
          <cell r="C13596" t="str">
            <v>MDC INT MC STANDARD CHARTERED BANK      2NC</v>
          </cell>
        </row>
        <row r="13597">
          <cell r="B13597" t="str">
            <v>21080702000110</v>
          </cell>
          <cell r="C13597" t="str">
            <v>MDC INT MC BNP PARIBAS                  2NC</v>
          </cell>
        </row>
        <row r="13598">
          <cell r="B13598" t="str">
            <v>21080702000111</v>
          </cell>
          <cell r="C13598" t="str">
            <v>MDC INT MC GOLDMAN SACHS INTERNATIONAL  2NC</v>
          </cell>
        </row>
        <row r="13599">
          <cell r="B13599" t="str">
            <v>21080702000112</v>
          </cell>
          <cell r="C13599" t="str">
            <v>MDC INT MC BANCO SANTANDER ORIGINAL CSA 2NC</v>
          </cell>
        </row>
        <row r="13600">
          <cell r="B13600" t="str">
            <v>21080702000113</v>
          </cell>
          <cell r="C13600" t="str">
            <v>MDC INT MC BANK OF MONTREAL             2NC</v>
          </cell>
        </row>
        <row r="13601">
          <cell r="B13601" t="str">
            <v>21080702000114</v>
          </cell>
          <cell r="C13601" t="str">
            <v>MDC INT MC BANCO SANTANDER NEW CSA      2NC</v>
          </cell>
        </row>
        <row r="13602">
          <cell r="B13602" t="str">
            <v>21080702000115</v>
          </cell>
          <cell r="C13602" t="str">
            <v>MDC INT MC STANDARD CHARTERED NEW CSA   2NC</v>
          </cell>
        </row>
        <row r="13603">
          <cell r="B13603" t="str">
            <v>21080702000116</v>
          </cell>
          <cell r="C13603" t="str">
            <v>MDC INT MC ING BANK                     2NC</v>
          </cell>
        </row>
        <row r="13604">
          <cell r="B13604" t="str">
            <v>21080702000117</v>
          </cell>
          <cell r="C13604" t="str">
            <v>MDC INT MC HSBC BANK USA                2NC</v>
          </cell>
        </row>
        <row r="13605">
          <cell r="B13605" t="str">
            <v>21080702000118</v>
          </cell>
          <cell r="C13605" t="str">
            <v>MDC INT MC BARCLAYS BANK PLC            2NC</v>
          </cell>
        </row>
        <row r="13606">
          <cell r="B13606" t="str">
            <v>21080702000119</v>
          </cell>
          <cell r="C13606" t="str">
            <v>MDC INT MC DOMINION BANK TORONTO        2NC</v>
          </cell>
        </row>
        <row r="13607">
          <cell r="B13607" t="str">
            <v>21080702000120</v>
          </cell>
          <cell r="C13607" t="str">
            <v>MDC INT MC UBS AG ZURICH                2NC</v>
          </cell>
        </row>
        <row r="13608">
          <cell r="B13608" t="str">
            <v>21080702000121</v>
          </cell>
          <cell r="C13608" t="str">
            <v>MDC INT MC ROYAL BANK OF CANADA         2NC</v>
          </cell>
        </row>
        <row r="13609">
          <cell r="B13609" t="str">
            <v>21080702000122</v>
          </cell>
          <cell r="C13609" t="str">
            <v>MDC INT MC NATIXIS                      2NC</v>
          </cell>
        </row>
        <row r="13610">
          <cell r="B13610" t="str">
            <v>21080702000123</v>
          </cell>
          <cell r="C13610" t="str">
            <v>MDC INT MC WELLS FARGO BANK             2NC</v>
          </cell>
        </row>
        <row r="13611">
          <cell r="B13611" t="str">
            <v>21080702000501</v>
          </cell>
          <cell r="C13611" t="str">
            <v>INT. PAG. AH.GTIA.CONTING - OTRAS PJ    2NC</v>
          </cell>
        </row>
        <row r="13612">
          <cell r="B13612" t="str">
            <v>21080702000502</v>
          </cell>
          <cell r="C13612" t="str">
            <v>BL INT. PAG. AH..GTIA.CONTING BL - OTRAS2NC</v>
          </cell>
        </row>
        <row r="13613">
          <cell r="B13613" t="str">
            <v>21080702000601</v>
          </cell>
          <cell r="C13613" t="str">
            <v>INT. PAG. CDN GTIA.CONTING- OTRAS PJ    2NC</v>
          </cell>
        </row>
        <row r="13614">
          <cell r="B13614" t="str">
            <v>21080702000602</v>
          </cell>
          <cell r="C13614" t="str">
            <v>INT. PAG. CB GTIA.CONTING - OTRAS PJ    2NC</v>
          </cell>
        </row>
        <row r="13615">
          <cell r="B13615" t="str">
            <v>21080702000603</v>
          </cell>
          <cell r="C13615" t="str">
            <v>DEP PLAZO GTIA INTERESES PJFL           2NC</v>
          </cell>
        </row>
        <row r="13616">
          <cell r="B13616" t="str">
            <v>21080702000604</v>
          </cell>
          <cell r="C13616" t="str">
            <v>BL INT. PAG. CTAS.PLAZO BL GTIA.CONTING 2NC</v>
          </cell>
        </row>
        <row r="13617">
          <cell r="B13617" t="str">
            <v>21080702000605</v>
          </cell>
          <cell r="C13617" t="str">
            <v>BL INT. PAG. CB BL GTIA.CONTG - OTRAS PJ2NC</v>
          </cell>
        </row>
        <row r="13618">
          <cell r="B13618" t="str">
            <v>21080702000606</v>
          </cell>
          <cell r="C13618" t="str">
            <v>MDC INT MC BANCO BILBAO VIZCAYA ARGENTAR2NC</v>
          </cell>
        </row>
        <row r="13619">
          <cell r="B13619" t="str">
            <v>22010102000101</v>
          </cell>
          <cell r="C13619" t="str">
            <v>BANCO DE LA NACION                      2NC</v>
          </cell>
        </row>
        <row r="13620">
          <cell r="B13620" t="str">
            <v>22010103000101</v>
          </cell>
          <cell r="C13620" t="str">
            <v>BANCO DE CREDITO DEL PERU               2NC</v>
          </cell>
        </row>
        <row r="13621">
          <cell r="B13621" t="str">
            <v>22010105000101</v>
          </cell>
          <cell r="C13621" t="str">
            <v>SCOTIABANK PERU S.A.A.                  2NC</v>
          </cell>
        </row>
        <row r="13622">
          <cell r="B13622" t="str">
            <v>22010106000101</v>
          </cell>
          <cell r="C13622" t="str">
            <v>BBVA                                    2NC</v>
          </cell>
        </row>
        <row r="13623">
          <cell r="B13623" t="str">
            <v>22010108000101</v>
          </cell>
          <cell r="C13623" t="str">
            <v>BANCO DE COMERCIO                       2NC</v>
          </cell>
        </row>
        <row r="13624">
          <cell r="B13624" t="str">
            <v>22010109000101</v>
          </cell>
          <cell r="C13624" t="str">
            <v>BANCO FINANCIERO                        2NC</v>
          </cell>
        </row>
        <row r="13625">
          <cell r="B13625" t="str">
            <v>22010116000101</v>
          </cell>
          <cell r="C13625" t="str">
            <v>CITIBANK N.A.  SUCURSAL EN EL PERU      2NC</v>
          </cell>
        </row>
        <row r="13626">
          <cell r="B13626" t="str">
            <v>22010121000101</v>
          </cell>
          <cell r="C13626" t="str">
            <v>BANCO INTERAMERICANO DE FINANZAS-S.A.E.M2NC</v>
          </cell>
        </row>
        <row r="13627">
          <cell r="B13627" t="str">
            <v>22010124000101</v>
          </cell>
          <cell r="C13627" t="str">
            <v>BANCO DEL TRABAJO                       2NC</v>
          </cell>
        </row>
        <row r="13628">
          <cell r="B13628" t="str">
            <v>22010129000101</v>
          </cell>
          <cell r="C13628" t="str">
            <v>MIBANCO BANCO DE LA MICROEMPRESA - MIBAN2NC</v>
          </cell>
        </row>
        <row r="13629">
          <cell r="B13629" t="str">
            <v>22010132000101</v>
          </cell>
          <cell r="C13629" t="str">
            <v>BANCO GNB PERU RECIBIDO                 2NC</v>
          </cell>
        </row>
        <row r="13630">
          <cell r="B13630" t="str">
            <v>22010133000101</v>
          </cell>
          <cell r="C13630" t="str">
            <v>BANCO FALABELLA                         2NC</v>
          </cell>
        </row>
        <row r="13631">
          <cell r="B13631" t="str">
            <v>22010134000101</v>
          </cell>
          <cell r="C13631" t="str">
            <v>BANCO SANTANDER PERU S.A.               2NC</v>
          </cell>
        </row>
        <row r="13632">
          <cell r="B13632" t="str">
            <v>22010135000101</v>
          </cell>
          <cell r="C13632" t="str">
            <v>BANCO RIPLEY S.A.                       2NC</v>
          </cell>
        </row>
        <row r="13633">
          <cell r="B13633" t="str">
            <v>22010136000101</v>
          </cell>
          <cell r="C13633" t="str">
            <v>ALFIN BANCO RECIBIDO                    2NC</v>
          </cell>
        </row>
        <row r="13634">
          <cell r="B13634" t="str">
            <v>22010137000101</v>
          </cell>
          <cell r="C13634" t="str">
            <v>BANCO DEUTSCHE BANK (PER) S.A           2NC</v>
          </cell>
        </row>
        <row r="13635">
          <cell r="B13635" t="str">
            <v>22010138000101</v>
          </cell>
          <cell r="C13635" t="str">
            <v>BANCO CENCOSUD                          2NC</v>
          </cell>
        </row>
        <row r="13636">
          <cell r="B13636" t="str">
            <v>22010139000101</v>
          </cell>
          <cell r="C13636" t="str">
            <v>ICBC PERU BANK                          2NC</v>
          </cell>
        </row>
        <row r="13637">
          <cell r="B13637" t="str">
            <v>22010140000101</v>
          </cell>
          <cell r="C13637" t="str">
            <v>MDC BANK OF CHINA PERU SA               2NC</v>
          </cell>
        </row>
        <row r="13638">
          <cell r="B13638" t="str">
            <v>22010141000100</v>
          </cell>
          <cell r="C13638" t="str">
            <v>BANCO BCI PERU                          2NC</v>
          </cell>
        </row>
        <row r="13639">
          <cell r="B13639" t="str">
            <v>22010143000001</v>
          </cell>
          <cell r="C13639" t="str">
            <v>SANTANDER CONSUMER BANK S.A             2 C</v>
          </cell>
        </row>
        <row r="13640">
          <cell r="B13640" t="str">
            <v>22010201000101</v>
          </cell>
          <cell r="C13640" t="str">
            <v>FINANCIERA CONFIANZA - CAPITAL          2NC</v>
          </cell>
        </row>
        <row r="13641">
          <cell r="B13641" t="str">
            <v>22010202000101</v>
          </cell>
          <cell r="C13641" t="str">
            <v>EMPRESA FINANCIERA EDIFICAR             2NC</v>
          </cell>
        </row>
        <row r="13642">
          <cell r="B13642" t="str">
            <v>22010207000101</v>
          </cell>
          <cell r="C13642" t="str">
            <v>FINANCIERA TFC                          2NC</v>
          </cell>
        </row>
        <row r="13643">
          <cell r="B13643" t="str">
            <v>22010209000101</v>
          </cell>
          <cell r="C13643" t="str">
            <v>FINANCIERA EDYFICAR                     2NC</v>
          </cell>
        </row>
        <row r="13644">
          <cell r="B13644" t="str">
            <v>22010210000101</v>
          </cell>
          <cell r="C13644" t="str">
            <v>CREDISCOTIA FINANCIERA                  2NC</v>
          </cell>
        </row>
        <row r="13645">
          <cell r="B13645" t="str">
            <v>22010212000100</v>
          </cell>
          <cell r="C13645" t="str">
            <v>FINANCIERA CONFIANZA - CAPITAL          2NC</v>
          </cell>
        </row>
        <row r="13646">
          <cell r="B13646" t="str">
            <v>22010219000101</v>
          </cell>
          <cell r="C13646" t="str">
            <v>FINANCIERA CREDINKA                     2NC</v>
          </cell>
        </row>
        <row r="13647">
          <cell r="B13647" t="str">
            <v>22010301000101</v>
          </cell>
          <cell r="C13647" t="str">
            <v>CAJA MUNI SULLANA                       2NC</v>
          </cell>
        </row>
        <row r="13648">
          <cell r="B13648" t="str">
            <v>22010304000101</v>
          </cell>
          <cell r="C13648" t="str">
            <v>CAJA MUNICIPAL DE AHO Y CREDITO DE AREQU2NC</v>
          </cell>
        </row>
        <row r="13649">
          <cell r="B13649" t="str">
            <v>22010400000101</v>
          </cell>
          <cell r="C13649" t="str">
            <v>CAJA RURAL DE AH Y CRED NSTRA GENTE     2NC</v>
          </cell>
        </row>
        <row r="13650">
          <cell r="B13650" t="str">
            <v>22011801000101</v>
          </cell>
          <cell r="C13650" t="str">
            <v>BANCO JP MORGAN                         2NC</v>
          </cell>
        </row>
        <row r="13651">
          <cell r="B13651" t="str">
            <v>22080102000101</v>
          </cell>
          <cell r="C13651" t="str">
            <v>BANCO DE LA NACION                      2NC</v>
          </cell>
        </row>
        <row r="13652">
          <cell r="B13652" t="str">
            <v>22080103000101</v>
          </cell>
          <cell r="C13652" t="str">
            <v>BANCO DE CREDITO DEL PERU               2NC</v>
          </cell>
        </row>
        <row r="13653">
          <cell r="B13653" t="str">
            <v>22080105000101</v>
          </cell>
          <cell r="C13653" t="str">
            <v>SCOTIABANK PERU S.A.A.                  2NC</v>
          </cell>
        </row>
        <row r="13654">
          <cell r="B13654" t="str">
            <v>22080106000101</v>
          </cell>
          <cell r="C13654" t="str">
            <v>BBVA                                    2NC</v>
          </cell>
        </row>
        <row r="13655">
          <cell r="B13655" t="str">
            <v>22080108000101</v>
          </cell>
          <cell r="C13655" t="str">
            <v>BANCO DE COMERCIO                       2NC</v>
          </cell>
        </row>
        <row r="13656">
          <cell r="B13656" t="str">
            <v>22080109000101</v>
          </cell>
          <cell r="C13656" t="str">
            <v>BANCO FINANCIERO                        2NC</v>
          </cell>
        </row>
        <row r="13657">
          <cell r="B13657" t="str">
            <v>22080116000101</v>
          </cell>
          <cell r="C13657" t="str">
            <v>CITIBANK N.A.  SUCURSAL EN EL PERU      2NC</v>
          </cell>
        </row>
        <row r="13658">
          <cell r="B13658" t="str">
            <v>22080121000101</v>
          </cell>
          <cell r="C13658" t="str">
            <v>BANCO INTERAMERICANO DE FINANZAS-S.A.E.M2NC</v>
          </cell>
        </row>
        <row r="13659">
          <cell r="B13659" t="str">
            <v>22080124000101</v>
          </cell>
          <cell r="C13659" t="str">
            <v>BANCO DEL TRABAJO                       2NC</v>
          </cell>
        </row>
        <row r="13660">
          <cell r="B13660" t="str">
            <v>22080129000101</v>
          </cell>
          <cell r="C13660" t="str">
            <v>MIBANCO BANCO DE LA MICROEMPRESA - MIBAN2NC</v>
          </cell>
        </row>
        <row r="13661">
          <cell r="B13661" t="str">
            <v>22080132000101</v>
          </cell>
          <cell r="C13661" t="str">
            <v>INT BANCO GNB PERU RECIBIDO             2NC</v>
          </cell>
        </row>
        <row r="13662">
          <cell r="B13662" t="str">
            <v>22080133000101</v>
          </cell>
          <cell r="C13662" t="str">
            <v>BANCO FALABELLA                         2NC</v>
          </cell>
        </row>
        <row r="13663">
          <cell r="B13663" t="str">
            <v>22080134000101</v>
          </cell>
          <cell r="C13663" t="str">
            <v>BANCO SANTANDER PERU                    2NC</v>
          </cell>
        </row>
        <row r="13664">
          <cell r="B13664" t="str">
            <v>22080135000101</v>
          </cell>
          <cell r="C13664" t="str">
            <v>BANCO RIPLEY S.A.                       2NC</v>
          </cell>
        </row>
        <row r="13665">
          <cell r="B13665" t="str">
            <v>22080136000101</v>
          </cell>
          <cell r="C13665" t="str">
            <v>INT ALFIN BANCO PERU RECIBIDO           2NC</v>
          </cell>
        </row>
        <row r="13666">
          <cell r="B13666" t="str">
            <v>22080137000101</v>
          </cell>
          <cell r="C13666" t="str">
            <v>BANCO DEUTSCHE BANK (PER) S.A           2NC</v>
          </cell>
        </row>
        <row r="13667">
          <cell r="B13667" t="str">
            <v>22080138000101</v>
          </cell>
          <cell r="C13667" t="str">
            <v>BANCO CENCOSUD Intereses                2NC</v>
          </cell>
        </row>
        <row r="13668">
          <cell r="B13668" t="str">
            <v>22080139000101</v>
          </cell>
          <cell r="C13668" t="str">
            <v>ICBC PERU BANK Intereses                2NC</v>
          </cell>
        </row>
        <row r="13669">
          <cell r="B13669" t="str">
            <v>22080140000101</v>
          </cell>
          <cell r="C13669" t="str">
            <v>MDC BANK OF CHINA PERU SA               2NC</v>
          </cell>
        </row>
        <row r="13670">
          <cell r="B13670" t="str">
            <v>22080141000100</v>
          </cell>
          <cell r="C13670" t="str">
            <v>BANCO BCI PERU                          2NC</v>
          </cell>
        </row>
        <row r="13671">
          <cell r="B13671" t="str">
            <v>22080143000001</v>
          </cell>
          <cell r="C13671" t="str">
            <v>SANTANDER CONSUMER BANK S.A INT         2 C</v>
          </cell>
        </row>
        <row r="13672">
          <cell r="B13672" t="str">
            <v>22080201000101</v>
          </cell>
          <cell r="C13672" t="str">
            <v>FINANCIERA CONFIANZA - INTERES          2NC</v>
          </cell>
        </row>
        <row r="13673">
          <cell r="B13673" t="str">
            <v>22080202000101</v>
          </cell>
          <cell r="C13673" t="str">
            <v>EMPRESA FINANCIERA EDYFICAR INTERES     2NC</v>
          </cell>
        </row>
        <row r="13674">
          <cell r="B13674" t="str">
            <v>22080207000101</v>
          </cell>
          <cell r="C13674" t="str">
            <v>FINANCIERA TFC                          2NC</v>
          </cell>
        </row>
        <row r="13675">
          <cell r="B13675" t="str">
            <v>22080208000101</v>
          </cell>
          <cell r="C13675" t="str">
            <v>REND. FINANCIERA COORDILLERA            2NC</v>
          </cell>
        </row>
        <row r="13676">
          <cell r="B13676" t="str">
            <v>22080209000101</v>
          </cell>
          <cell r="C13676" t="str">
            <v>FINANCIERA EDYFICAR                     2NC</v>
          </cell>
        </row>
        <row r="13677">
          <cell r="B13677" t="str">
            <v>22080210000101</v>
          </cell>
          <cell r="C13677" t="str">
            <v>CREDISCOTIA FINANCIERA                  2NC</v>
          </cell>
        </row>
        <row r="13678">
          <cell r="B13678" t="str">
            <v>22080212000100</v>
          </cell>
          <cell r="C13678" t="str">
            <v>FINANCIERA CONFIANZA - INTERES          2NC</v>
          </cell>
        </row>
        <row r="13679">
          <cell r="B13679" t="str">
            <v>22080219000101</v>
          </cell>
          <cell r="C13679" t="str">
            <v>FINANCIERA CREDINKA                     2NC</v>
          </cell>
        </row>
        <row r="13680">
          <cell r="B13680" t="str">
            <v>22080301000101</v>
          </cell>
          <cell r="C13680" t="str">
            <v>CAJA MUNI SULLANA Intereses             2NC</v>
          </cell>
        </row>
        <row r="13681">
          <cell r="B13681" t="str">
            <v>22080304000101</v>
          </cell>
          <cell r="C13681" t="str">
            <v>CAJA MUNICIPAL DE AHO Y CREDITO DE AREQU2NC</v>
          </cell>
        </row>
        <row r="13682">
          <cell r="B13682" t="str">
            <v>22080400000101</v>
          </cell>
          <cell r="C13682" t="str">
            <v>CAJA RURAL DE AH Y CRED NSTRA GENTE     2NC</v>
          </cell>
        </row>
        <row r="13683">
          <cell r="B13683" t="str">
            <v>22080807000101</v>
          </cell>
          <cell r="C13683" t="str">
            <v>FINANCIERA TFC                          2NC</v>
          </cell>
        </row>
        <row r="13684">
          <cell r="B13684" t="str">
            <v>22081801000101</v>
          </cell>
          <cell r="C13684" t="str">
            <v>BANCO JP MORGAN Intereses               2NC</v>
          </cell>
        </row>
        <row r="13685">
          <cell r="B13685" t="str">
            <v>23010100000101</v>
          </cell>
          <cell r="C13685" t="str">
            <v>DEP. VISTA DE EMP. DEL SIST. FINAN. DEL 2NC</v>
          </cell>
        </row>
        <row r="13686">
          <cell r="B13686" t="str">
            <v>23010109010201</v>
          </cell>
          <cell r="C13686" t="str">
            <v>BANCO DE LA NACI?N                      2NC</v>
          </cell>
        </row>
        <row r="13687">
          <cell r="B13687" t="str">
            <v>23010109010301</v>
          </cell>
          <cell r="C13687" t="str">
            <v>BANCO DE CREDITO DEL PERU               2NC</v>
          </cell>
        </row>
        <row r="13688">
          <cell r="B13688" t="str">
            <v>23010109010501</v>
          </cell>
          <cell r="C13688" t="str">
            <v>BANCO WIESE SUDAMERIS                   2NC</v>
          </cell>
        </row>
        <row r="13689">
          <cell r="B13689" t="str">
            <v>23010109010601</v>
          </cell>
          <cell r="C13689" t="str">
            <v>BANCO CONTINENTAL                       2NC</v>
          </cell>
        </row>
        <row r="13690">
          <cell r="B13690" t="str">
            <v>23010109010901</v>
          </cell>
          <cell r="C13690" t="str">
            <v>BANCO FINANCIERO DEL PERU               2NC</v>
          </cell>
        </row>
        <row r="13691">
          <cell r="B13691" t="str">
            <v>23010109012101</v>
          </cell>
          <cell r="C13691" t="str">
            <v>BANCO INTERAMERICANO DE FINANZAS        2NC</v>
          </cell>
        </row>
        <row r="13692">
          <cell r="B13692" t="str">
            <v>23010109012401</v>
          </cell>
          <cell r="C13692" t="str">
            <v>BANCO DEL TRABAJO                       2NC</v>
          </cell>
        </row>
        <row r="13693">
          <cell r="B13693" t="str">
            <v>23010109012801</v>
          </cell>
          <cell r="C13693" t="str">
            <v>CORPORACI?N FINANCIERA DE DESARROLLO S.A2NC</v>
          </cell>
        </row>
        <row r="13694">
          <cell r="B13694" t="str">
            <v>23010109012901</v>
          </cell>
          <cell r="C13694" t="str">
            <v>MI BANCO                                2NC</v>
          </cell>
        </row>
        <row r="13695">
          <cell r="B13695" t="str">
            <v>23010109013101</v>
          </cell>
          <cell r="C13695" t="str">
            <v>AGROBANCO                               2NC</v>
          </cell>
        </row>
        <row r="13696">
          <cell r="B13696" t="str">
            <v>23010109013201</v>
          </cell>
          <cell r="C13696" t="str">
            <v>BANCO GNB PERU                          2NC</v>
          </cell>
        </row>
        <row r="13697">
          <cell r="B13697" t="str">
            <v>23010109013301</v>
          </cell>
          <cell r="C13697" t="str">
            <v>B. FALABELLA DEL PERU                   2NC</v>
          </cell>
        </row>
        <row r="13698">
          <cell r="B13698" t="str">
            <v>23010109013401</v>
          </cell>
          <cell r="C13698" t="str">
            <v>BANCO SANTANDER PERU S.A.               2NC</v>
          </cell>
        </row>
        <row r="13699">
          <cell r="B13699" t="str">
            <v>23010109013501</v>
          </cell>
          <cell r="C13699" t="str">
            <v>BANCO RIPLEY S.A                        2NC</v>
          </cell>
        </row>
        <row r="13700">
          <cell r="B13700" t="str">
            <v>23010109013601</v>
          </cell>
          <cell r="C13700" t="str">
            <v>BANCO AZTECA                            2NC</v>
          </cell>
        </row>
        <row r="13701">
          <cell r="B13701" t="str">
            <v>23010109013901</v>
          </cell>
          <cell r="C13701" t="str">
            <v>ICBC PERU BANK                          2NC</v>
          </cell>
        </row>
        <row r="13702">
          <cell r="B13702" t="str">
            <v>23010109014001</v>
          </cell>
          <cell r="C13702" t="str">
            <v>BANK OF CHINA                           2NC</v>
          </cell>
        </row>
        <row r="13703">
          <cell r="B13703" t="str">
            <v>23010109014201</v>
          </cell>
          <cell r="C13703" t="str">
            <v>COMPARTAMOS BANCO S.A.                  2NC</v>
          </cell>
        </row>
        <row r="13704">
          <cell r="B13704" t="str">
            <v>23010109014301</v>
          </cell>
          <cell r="C13704" t="str">
            <v>SANTANDER CONSUMER BANK S.A.            2NC</v>
          </cell>
        </row>
        <row r="13705">
          <cell r="B13705" t="str">
            <v>23010109020701</v>
          </cell>
          <cell r="C13705" t="str">
            <v>FINANCIERA TFC                          2NC</v>
          </cell>
        </row>
        <row r="13706">
          <cell r="B13706" t="str">
            <v>23010109020901</v>
          </cell>
          <cell r="C13706" t="str">
            <v>FINANCIERA EDYFICAR S.A                 2NC</v>
          </cell>
        </row>
        <row r="13707">
          <cell r="B13707" t="str">
            <v>23010109021101</v>
          </cell>
          <cell r="C13707" t="str">
            <v>F. CRED AREQUIPA                        2NC</v>
          </cell>
        </row>
        <row r="13708">
          <cell r="B13708" t="str">
            <v>23010109021201</v>
          </cell>
          <cell r="C13708" t="str">
            <v>FINANCIERA CONFIANZA                    2NC</v>
          </cell>
        </row>
        <row r="13709">
          <cell r="B13709" t="str">
            <v>23010109021301</v>
          </cell>
          <cell r="C13709" t="str">
            <v>FINANCIERA UNIVERSAL                    2NC</v>
          </cell>
        </row>
        <row r="13710">
          <cell r="B13710" t="str">
            <v>23010109021401</v>
          </cell>
          <cell r="C13710" t="str">
            <v>F. UNO                                  2NC</v>
          </cell>
        </row>
        <row r="13711">
          <cell r="B13711" t="str">
            <v>23010109021501</v>
          </cell>
          <cell r="C13711" t="str">
            <v>FINANCIERA EFECTIVA                     2NC</v>
          </cell>
        </row>
        <row r="13712">
          <cell r="B13712" t="str">
            <v>23010109021701</v>
          </cell>
          <cell r="C13712" t="str">
            <v>FINANCIERA MITSUI AUTO                  2NC</v>
          </cell>
        </row>
        <row r="13713">
          <cell r="B13713" t="str">
            <v>23010109030101</v>
          </cell>
          <cell r="C13713" t="str">
            <v>CM SULLANA                              2NC</v>
          </cell>
        </row>
        <row r="13714">
          <cell r="B13714" t="str">
            <v>23010109030201</v>
          </cell>
          <cell r="C13714" t="str">
            <v>CAJA MUNICIPAL DE CR?DITO POPULAR DE LIM2NC</v>
          </cell>
        </row>
        <row r="13715">
          <cell r="B13715" t="str">
            <v>23010109030301</v>
          </cell>
          <cell r="C13715" t="str">
            <v>CAJA MUNICIPAL DE AHORRO Y CREDITO DE PI2NC</v>
          </cell>
        </row>
        <row r="13716">
          <cell r="B13716" t="str">
            <v>23010109030401</v>
          </cell>
          <cell r="C13716" t="str">
            <v>CMAC AREQUIPA                           2NC</v>
          </cell>
        </row>
        <row r="13717">
          <cell r="B13717" t="str">
            <v>23010109030501</v>
          </cell>
          <cell r="C13717" t="str">
            <v>CM HUANCAYO                             2NC</v>
          </cell>
        </row>
        <row r="13718">
          <cell r="B13718" t="str">
            <v>23010109030601</v>
          </cell>
          <cell r="C13718" t="str">
            <v>CMAC CUSCO                              2NC</v>
          </cell>
        </row>
        <row r="13719">
          <cell r="B13719" t="str">
            <v>23010109030701</v>
          </cell>
          <cell r="C13719" t="str">
            <v>CAJA MUNICIPAL DE AHORRO Y CR?DITO DE MA2NC</v>
          </cell>
        </row>
        <row r="13720">
          <cell r="B13720" t="str">
            <v>23010109030801</v>
          </cell>
          <cell r="C13720" t="str">
            <v>CAJA MUNICIPAL DE AHORRO Y CR?DITO DE IC2NC</v>
          </cell>
        </row>
        <row r="13721">
          <cell r="B13721" t="str">
            <v>23010109030901</v>
          </cell>
          <cell r="C13721" t="str">
            <v>CM PAITA                                2NC</v>
          </cell>
        </row>
        <row r="13722">
          <cell r="B13722" t="str">
            <v>23010109031001</v>
          </cell>
          <cell r="C13722" t="str">
            <v>CM SANTA                                2NC</v>
          </cell>
        </row>
        <row r="13723">
          <cell r="B13723" t="str">
            <v>23010109031101</v>
          </cell>
          <cell r="C13723" t="str">
            <v>CAJA MUNICIPAL DE AHORRO Y CREDITO DE TR2NC</v>
          </cell>
        </row>
        <row r="13724">
          <cell r="B13724" t="str">
            <v>23010109031201</v>
          </cell>
          <cell r="C13724" t="str">
            <v>CAJA MUN DE AHORRO Y CREDITO DE TACNA   2NC</v>
          </cell>
        </row>
        <row r="13725">
          <cell r="B13725" t="str">
            <v>23010109031301</v>
          </cell>
          <cell r="C13725" t="str">
            <v>CMAC PISCO                              2NC</v>
          </cell>
        </row>
        <row r="13726">
          <cell r="B13726" t="str">
            <v>23010109040501</v>
          </cell>
          <cell r="C13726" t="str">
            <v>CAJA RURAL DE AHORRO Y CREDITO LOS LIBER2NC</v>
          </cell>
        </row>
        <row r="13727">
          <cell r="B13727" t="str">
            <v>23010109040601</v>
          </cell>
          <cell r="C13727" t="str">
            <v>CAJA RURAL DE AHORRO Y CREDITO SEÃ‘OR DE2NC</v>
          </cell>
        </row>
        <row r="13728">
          <cell r="B13728" t="str">
            <v>23010109040701</v>
          </cell>
          <cell r="C13728" t="str">
            <v>CAJA RURAL DE AHORRO Y CREDITO CHAVÃ„N S2NC</v>
          </cell>
        </row>
        <row r="13729">
          <cell r="B13729" t="str">
            <v>23010109040801</v>
          </cell>
          <cell r="C13729" t="str">
            <v>CAJA RURAL DE AHORRO Y CREDITO NOR PERU 2NC</v>
          </cell>
        </row>
        <row r="13730">
          <cell r="B13730" t="str">
            <v>23010109040901</v>
          </cell>
          <cell r="C13730" t="str">
            <v>CRAC CAJAMARCA                          2NC</v>
          </cell>
        </row>
        <row r="13731">
          <cell r="B13731" t="str">
            <v>23010109041001</v>
          </cell>
          <cell r="C13731" t="str">
            <v>CAJA RURAL DE AHORRO Y CREDITO PROFINANZ2NC</v>
          </cell>
        </row>
        <row r="13732">
          <cell r="B13732" t="str">
            <v>23010109041201</v>
          </cell>
          <cell r="C13732" t="str">
            <v>CAJA RURAL DE AHORRO Y CREDITO CRUZ DE C2NC</v>
          </cell>
        </row>
        <row r="13733">
          <cell r="B13733" t="str">
            <v>23010109041501</v>
          </cell>
          <cell r="C13733" t="str">
            <v>CRAC LOS ANDES                          2NC</v>
          </cell>
        </row>
        <row r="13734">
          <cell r="B13734" t="str">
            <v>23010109041801</v>
          </cell>
          <cell r="C13734" t="str">
            <v>CRAC CENCOSUD SCOTIA PERÃš S.A.         2NC</v>
          </cell>
        </row>
        <row r="13735">
          <cell r="B13735" t="str">
            <v>23010109140101</v>
          </cell>
          <cell r="C13735" t="str">
            <v>FONDO MIVIVIENDA                        2NC</v>
          </cell>
        </row>
        <row r="13736">
          <cell r="B13736" t="str">
            <v>23020100000101</v>
          </cell>
          <cell r="C13736" t="str">
            <v>DEP. AH. DE EMP. DEL SIST. FINAN. DEL PA2NC</v>
          </cell>
        </row>
        <row r="13737">
          <cell r="B13737" t="str">
            <v>23020101080101</v>
          </cell>
          <cell r="C13737" t="str">
            <v>BANCO DE COMERCIO                       2NC</v>
          </cell>
        </row>
        <row r="13738">
          <cell r="B13738" t="str">
            <v>23020101280101</v>
          </cell>
          <cell r="C13738" t="str">
            <v>COFIDE                                  2NC</v>
          </cell>
        </row>
        <row r="13739">
          <cell r="B13739" t="str">
            <v>23020101350101</v>
          </cell>
          <cell r="C13739" t="str">
            <v>BANCO RIPLEY S.A                        2NC</v>
          </cell>
        </row>
        <row r="13740">
          <cell r="B13740" t="str">
            <v>23020101400100</v>
          </cell>
          <cell r="C13740" t="str">
            <v>BANK OF CHINA                           2NC</v>
          </cell>
        </row>
        <row r="13741">
          <cell r="B13741" t="str">
            <v>23020101420001</v>
          </cell>
          <cell r="C13741" t="str">
            <v>COMPARTAMOS BANCO S.A.                  2NC</v>
          </cell>
        </row>
        <row r="13742">
          <cell r="B13742" t="str">
            <v>23020101430001</v>
          </cell>
          <cell r="C13742" t="str">
            <v>SANTANDER CONSUMER BANK S.A.            2NC</v>
          </cell>
        </row>
        <row r="13743">
          <cell r="B13743" t="str">
            <v>23020102090101</v>
          </cell>
          <cell r="C13743" t="str">
            <v>F. EDYFICAR                             2NC</v>
          </cell>
        </row>
        <row r="13744">
          <cell r="B13744" t="str">
            <v>23020102120101</v>
          </cell>
          <cell r="C13744" t="str">
            <v>F. CONFIANZA S.A.                       2NC</v>
          </cell>
        </row>
        <row r="13745">
          <cell r="B13745" t="str">
            <v>23020102140101</v>
          </cell>
          <cell r="C13745" t="str">
            <v>FINANCIERA UNO                          2NC</v>
          </cell>
        </row>
        <row r="13746">
          <cell r="B13746" t="str">
            <v>23020103010101</v>
          </cell>
          <cell r="C13746" t="str">
            <v>CM SULLANA                              2NC</v>
          </cell>
        </row>
        <row r="13747">
          <cell r="B13747" t="str">
            <v>23020103030101</v>
          </cell>
          <cell r="C13747" t="str">
            <v>CM PIURA                                2NC</v>
          </cell>
        </row>
        <row r="13748">
          <cell r="B13748" t="str">
            <v>23020103040101</v>
          </cell>
          <cell r="C13748" t="str">
            <v>CM AREQUIPA                             2NC</v>
          </cell>
        </row>
        <row r="13749">
          <cell r="B13749" t="str">
            <v>23020103060101</v>
          </cell>
          <cell r="C13749" t="str">
            <v>CAJA MUNICIPAL DE A/C CUZCO             2NC</v>
          </cell>
        </row>
        <row r="13750">
          <cell r="B13750" t="str">
            <v>23020103070101</v>
          </cell>
          <cell r="C13750" t="str">
            <v>CAJA MUNICIPAL DE AHORRO Y CREDITO DE MA2NC</v>
          </cell>
        </row>
        <row r="13751">
          <cell r="B13751" t="str">
            <v>23020103080101</v>
          </cell>
          <cell r="C13751" t="str">
            <v>CAJA MUNICIPAL DE AHORRO Y CREDITO DE IC2NC</v>
          </cell>
        </row>
        <row r="13752">
          <cell r="B13752" t="str">
            <v>23020103090101</v>
          </cell>
          <cell r="C13752" t="str">
            <v>CAJA MUNICIPAL DE AHORRO Y CREDITO DE PA2NC</v>
          </cell>
        </row>
        <row r="13753">
          <cell r="B13753" t="str">
            <v>23020103100101</v>
          </cell>
          <cell r="C13753" t="str">
            <v>CM SANTA                                2NC</v>
          </cell>
        </row>
        <row r="13754">
          <cell r="B13754" t="str">
            <v>23020103110101</v>
          </cell>
          <cell r="C13754" t="str">
            <v>CAJA MUNICIPAL DE AHORRO Y CREDITO DE TR2NC</v>
          </cell>
        </row>
        <row r="13755">
          <cell r="B13755" t="str">
            <v>23020103120101</v>
          </cell>
          <cell r="C13755" t="str">
            <v>CM TACNA                                2NC</v>
          </cell>
        </row>
        <row r="13756">
          <cell r="B13756" t="str">
            <v>23020103130101</v>
          </cell>
          <cell r="C13756" t="str">
            <v>CMAC PISCO                              2NC</v>
          </cell>
        </row>
        <row r="13757">
          <cell r="B13757" t="str">
            <v>23020104030101</v>
          </cell>
          <cell r="C13757" t="str">
            <v>CRAC CREDINKA                           2NC</v>
          </cell>
        </row>
        <row r="13758">
          <cell r="B13758" t="str">
            <v>23020104050101</v>
          </cell>
          <cell r="C13758" t="str">
            <v>CAJA RURAL DE AHORRO Y CREDITO LOS LIBER2NC</v>
          </cell>
        </row>
        <row r="13759">
          <cell r="B13759" t="str">
            <v>23020104060101</v>
          </cell>
          <cell r="C13759" t="str">
            <v>CR SR LUREN                             2NC</v>
          </cell>
        </row>
        <row r="13760">
          <cell r="B13760" t="str">
            <v>23020104070101</v>
          </cell>
          <cell r="C13760" t="str">
            <v>CAJA RURAL DE AHORRO Y CREDITO CHAVIN S.2NC</v>
          </cell>
        </row>
        <row r="13761">
          <cell r="B13761" t="str">
            <v>23020104080101</v>
          </cell>
          <cell r="C13761" t="str">
            <v>CAJA RURAL DE AHORRO Y CREDITO N        2NC</v>
          </cell>
        </row>
        <row r="13762">
          <cell r="B13762" t="str">
            <v>23020104090101</v>
          </cell>
          <cell r="C13762" t="str">
            <v>CRAC CAJAMARCA                          2NC</v>
          </cell>
        </row>
        <row r="13763">
          <cell r="B13763" t="str">
            <v>23020104100101</v>
          </cell>
          <cell r="C13763" t="str">
            <v>CR PROFINANZAS                          2NC</v>
          </cell>
        </row>
        <row r="13764">
          <cell r="B13764" t="str">
            <v>23020104120101</v>
          </cell>
          <cell r="C13764" t="str">
            <v>C. R. A. C. CRUZ DE CHALPON             2NC</v>
          </cell>
        </row>
        <row r="13765">
          <cell r="B13765" t="str">
            <v>23020104150101</v>
          </cell>
          <cell r="C13765" t="str">
            <v>CRAC LOS ANDES                          2NC</v>
          </cell>
        </row>
        <row r="13766">
          <cell r="B13766" t="str">
            <v>23020104180001</v>
          </cell>
          <cell r="C13766" t="str">
            <v>CRAC CENCOSUD SCOTIA PERÃš S.A.         2NC</v>
          </cell>
        </row>
        <row r="13767">
          <cell r="B13767" t="str">
            <v>23020114010101</v>
          </cell>
          <cell r="C13767" t="str">
            <v>FONDO MIVIVIENDA                        2NC</v>
          </cell>
        </row>
        <row r="13768">
          <cell r="B13768" t="str">
            <v>23030100000101</v>
          </cell>
          <cell r="C13768" t="str">
            <v>DEP. A PLAZO DE EMP. DEL SIST. FINAN. D 2NC</v>
          </cell>
        </row>
        <row r="13769">
          <cell r="B13769" t="str">
            <v>23030101020101</v>
          </cell>
          <cell r="C13769" t="str">
            <v>BCO DE LA NACION                        2NC</v>
          </cell>
        </row>
        <row r="13770">
          <cell r="B13770" t="str">
            <v>23030101030101</v>
          </cell>
          <cell r="C13770" t="str">
            <v>B CREDITO                               2NC</v>
          </cell>
        </row>
        <row r="13771">
          <cell r="B13771" t="str">
            <v>23030101050101</v>
          </cell>
          <cell r="C13771" t="str">
            <v>SCOTIA BANK PERU                        2NC</v>
          </cell>
        </row>
        <row r="13772">
          <cell r="B13772" t="str">
            <v>23030101080101</v>
          </cell>
          <cell r="C13772" t="str">
            <v>BCO DE COMERCIO                         2NC</v>
          </cell>
        </row>
        <row r="13773">
          <cell r="B13773" t="str">
            <v>23030101090101</v>
          </cell>
          <cell r="C13773" t="str">
            <v>B. FINANCIERO                           2NC</v>
          </cell>
        </row>
        <row r="13774">
          <cell r="B13774" t="str">
            <v>23030101280101</v>
          </cell>
          <cell r="C13774" t="str">
            <v>COFIDE                                  2NC</v>
          </cell>
        </row>
        <row r="13775">
          <cell r="B13775" t="str">
            <v>23030101310101</v>
          </cell>
          <cell r="C13775" t="str">
            <v>AGROBANCO                               2NC</v>
          </cell>
        </row>
        <row r="13776">
          <cell r="B13776" t="str">
            <v>23030101350101</v>
          </cell>
          <cell r="C13776" t="str">
            <v>BANCO RIPLEY SA                         2NC</v>
          </cell>
        </row>
        <row r="13777">
          <cell r="B13777" t="str">
            <v>23030101390101</v>
          </cell>
          <cell r="C13777" t="str">
            <v>ICBC PERU BANK                          2NC</v>
          </cell>
        </row>
        <row r="13778">
          <cell r="B13778" t="str">
            <v>23030101420001</v>
          </cell>
          <cell r="C13778" t="str">
            <v>COMPARTAMOS BANCO S.A.                  2NC</v>
          </cell>
        </row>
        <row r="13779">
          <cell r="B13779" t="str">
            <v>23030101430001</v>
          </cell>
          <cell r="C13779" t="str">
            <v>SANTANDER CONSUMER BANK S.A.            2NC</v>
          </cell>
        </row>
        <row r="13780">
          <cell r="B13780" t="str">
            <v>23030102070101</v>
          </cell>
          <cell r="C13780" t="str">
            <v>FINANCIERA TFC                          2NC</v>
          </cell>
        </row>
        <row r="13781">
          <cell r="B13781" t="str">
            <v>23030102090101</v>
          </cell>
          <cell r="C13781" t="str">
            <v>F EDYFICAR                              2NC</v>
          </cell>
        </row>
        <row r="13782">
          <cell r="B13782" t="str">
            <v>23030102110101</v>
          </cell>
          <cell r="C13782" t="str">
            <v>F. CREAR S.A.                           2NC</v>
          </cell>
        </row>
        <row r="13783">
          <cell r="B13783" t="str">
            <v>23030102120101</v>
          </cell>
          <cell r="C13783" t="str">
            <v>F. CONFIANZA S.A.                       2NC</v>
          </cell>
        </row>
        <row r="13784">
          <cell r="B13784" t="str">
            <v>23030102130101</v>
          </cell>
          <cell r="C13784" t="str">
            <v>FINANCIERA UNIVERSAL                    2NC</v>
          </cell>
        </row>
        <row r="13785">
          <cell r="B13785" t="str">
            <v>23030102140101</v>
          </cell>
          <cell r="C13785" t="str">
            <v>FINANCIERA UNO                          2NC</v>
          </cell>
        </row>
        <row r="13786">
          <cell r="B13786" t="str">
            <v>23030102150101</v>
          </cell>
          <cell r="C13786" t="str">
            <v>FINANCIERA EFECTIVA                     2NC</v>
          </cell>
        </row>
        <row r="13787">
          <cell r="B13787" t="str">
            <v>23030102170101</v>
          </cell>
          <cell r="C13787" t="str">
            <v>FINANCIERA MITSUI AUTO                  2NC</v>
          </cell>
        </row>
        <row r="13788">
          <cell r="B13788" t="str">
            <v>23030103010101</v>
          </cell>
          <cell r="C13788" t="str">
            <v>CM SULLANA                              2NC</v>
          </cell>
        </row>
        <row r="13789">
          <cell r="B13789" t="str">
            <v>23030103020101</v>
          </cell>
          <cell r="C13789" t="str">
            <v>CMCP DE LIMA                            2NC</v>
          </cell>
        </row>
        <row r="13790">
          <cell r="B13790" t="str">
            <v>23030103030101</v>
          </cell>
          <cell r="C13790" t="str">
            <v>CAJA MUNICIPAL DE A/C PIURA             2NC</v>
          </cell>
        </row>
        <row r="13791">
          <cell r="B13791" t="str">
            <v>23030103040101</v>
          </cell>
          <cell r="C13791" t="str">
            <v>CAJA MUNICIPAL DE AHORRO Y CRED AREQU   2NC</v>
          </cell>
        </row>
        <row r="13792">
          <cell r="B13792" t="str">
            <v>23030103050101</v>
          </cell>
          <cell r="C13792" t="str">
            <v>CMAC DE HUANCAYO                        2NC</v>
          </cell>
        </row>
        <row r="13793">
          <cell r="B13793" t="str">
            <v>23030103060101</v>
          </cell>
          <cell r="C13793" t="str">
            <v>CMAC CUSCO                              2NC</v>
          </cell>
        </row>
        <row r="13794">
          <cell r="B13794" t="str">
            <v>23030103070101</v>
          </cell>
          <cell r="C13794" t="str">
            <v>CAJA MUNICIPAL DE CRED Y AHORRO MAYNAS  2NC</v>
          </cell>
        </row>
        <row r="13795">
          <cell r="B13795" t="str">
            <v>23030103080101</v>
          </cell>
          <cell r="C13795" t="str">
            <v>CAJA MUNICIPAL ICA                      2NC</v>
          </cell>
        </row>
        <row r="13796">
          <cell r="B13796" t="str">
            <v>23030103090101</v>
          </cell>
          <cell r="C13796" t="str">
            <v>CAJA MUNICIPAL PAITA                    2NC</v>
          </cell>
        </row>
        <row r="13797">
          <cell r="B13797" t="str">
            <v>23030103100101</v>
          </cell>
          <cell r="C13797" t="str">
            <v>CMAC                                    2NC</v>
          </cell>
        </row>
        <row r="13798">
          <cell r="B13798" t="str">
            <v>23030103110101</v>
          </cell>
          <cell r="C13798" t="str">
            <v>CMAC DE TRUJILLO                        2NC</v>
          </cell>
        </row>
        <row r="13799">
          <cell r="B13799" t="str">
            <v>23030103120101</v>
          </cell>
          <cell r="C13799" t="str">
            <v>CMAC DE TACNA                           2NC</v>
          </cell>
        </row>
        <row r="13800">
          <cell r="B13800" t="str">
            <v>23030103130101</v>
          </cell>
          <cell r="C13800" t="str">
            <v>CMAC PISCO                              2NC</v>
          </cell>
        </row>
        <row r="13801">
          <cell r="B13801" t="str">
            <v>23030104060101</v>
          </cell>
          <cell r="C13801" t="str">
            <v>CRAC SR LUREN                           2NC</v>
          </cell>
        </row>
        <row r="13802">
          <cell r="B13802" t="str">
            <v>23030104070101</v>
          </cell>
          <cell r="C13802" t="str">
            <v>CRAC CHAVIN                             2NC</v>
          </cell>
        </row>
        <row r="13803">
          <cell r="B13803" t="str">
            <v>23030104080101</v>
          </cell>
          <cell r="C13803" t="str">
            <v>CRAC NUESTRA GENTE                      2NC</v>
          </cell>
        </row>
        <row r="13804">
          <cell r="B13804" t="str">
            <v>23030104090101</v>
          </cell>
          <cell r="C13804" t="str">
            <v>CRAC CAJAMARCA                          2NC</v>
          </cell>
        </row>
        <row r="13805">
          <cell r="B13805" t="str">
            <v>23030104100101</v>
          </cell>
          <cell r="C13805" t="str">
            <v>CAJA RURAL DE AHORRO Y CREDITO P        2NC</v>
          </cell>
        </row>
        <row r="13806">
          <cell r="B13806" t="str">
            <v>23030104120101</v>
          </cell>
          <cell r="C13806" t="str">
            <v>CAJA RURAL DE CHALPON                   2NC</v>
          </cell>
        </row>
        <row r="13807">
          <cell r="B13807" t="str">
            <v>23030104180001</v>
          </cell>
          <cell r="C13807" t="str">
            <v>CRAC CENCOSUD SCOTIA PERÃš S.A.         2NC</v>
          </cell>
        </row>
        <row r="13808">
          <cell r="B13808" t="str">
            <v>23030108000103</v>
          </cell>
          <cell r="C13808" t="str">
            <v>CRAC LOS ANDES                          2NC</v>
          </cell>
        </row>
        <row r="13809">
          <cell r="B13809" t="str">
            <v>23030114010101</v>
          </cell>
          <cell r="C13809" t="str">
            <v>FONDO MIVIVIENDA                        2NC</v>
          </cell>
        </row>
        <row r="13810">
          <cell r="B13810" t="str">
            <v>23030300000101</v>
          </cell>
          <cell r="C13810" t="str">
            <v>DEPOSITOS  PLAZO OFIC MATRIZ SUCURSALES-2NC</v>
          </cell>
        </row>
        <row r="13811">
          <cell r="B13811" t="str">
            <v>23080303000101</v>
          </cell>
          <cell r="C13811" t="str">
            <v>GASTOSXPAG DEPOS PLAZO OFICÂ MATRIZ SUCU2NC</v>
          </cell>
        </row>
        <row r="13812">
          <cell r="B13812" t="str">
            <v>24010400000101</v>
          </cell>
          <cell r="C13812" t="str">
            <v>ADEUDOS Y OBLIGACIONES CON EL BCRP-OP RE2NC</v>
          </cell>
        </row>
        <row r="13813">
          <cell r="B13813" t="str">
            <v>24010400000102</v>
          </cell>
          <cell r="C13813" t="str">
            <v>BCRP ADEUDADO Y OBLIGACIONES - OP EXPANS2NC</v>
          </cell>
        </row>
        <row r="13814">
          <cell r="B13814" t="str">
            <v>24010400000103</v>
          </cell>
          <cell r="C13814" t="str">
            <v>BCRP ADEUDADO Y OBLIGACIONES - OP SUSTIT2NC</v>
          </cell>
        </row>
        <row r="13815">
          <cell r="B13815" t="str">
            <v>24020201000102</v>
          </cell>
          <cell r="C13815" t="str">
            <v>COFIDE PROMPEM CAF                      2NC</v>
          </cell>
        </row>
        <row r="13816">
          <cell r="B13816" t="str">
            <v>24020201000108</v>
          </cell>
          <cell r="C13816" t="str">
            <v>ADEUDADO COFIDE                         2NC</v>
          </cell>
        </row>
        <row r="13817">
          <cell r="B13817" t="str">
            <v>24020201010101</v>
          </cell>
          <cell r="C13817" t="str">
            <v>?CL ADEUDADOS COFIDE CORTO PLAZO        2NC</v>
          </cell>
        </row>
        <row r="13818">
          <cell r="B13818" t="str">
            <v>24020201010102</v>
          </cell>
          <cell r="C13818" t="str">
            <v>ADEUDADO COFIDE                         2NC</v>
          </cell>
        </row>
        <row r="13819">
          <cell r="B13819" t="str">
            <v>24020201010301</v>
          </cell>
          <cell r="C13819" t="str">
            <v>LPC ADEUDADO COFIDE CORTO PLAZO         2NC</v>
          </cell>
        </row>
        <row r="13820">
          <cell r="B13820" t="str">
            <v>24020201010401</v>
          </cell>
          <cell r="C13820" t="str">
            <v>PR ADEUDADO COFIDE CORTO PLAZO          2NC</v>
          </cell>
        </row>
        <row r="13821">
          <cell r="B13821" t="str">
            <v>24020201010501</v>
          </cell>
          <cell r="C13821" t="str">
            <v>CL COFIDE CAP.LEASING CORTO PLAZO       2NC</v>
          </cell>
        </row>
        <row r="13822">
          <cell r="B13822" t="str">
            <v>24030101030101</v>
          </cell>
          <cell r="C13822" t="str">
            <v>SOBREGIRO CTA BCP                       2NC</v>
          </cell>
        </row>
        <row r="13823">
          <cell r="B13823" t="str">
            <v>24030201010101</v>
          </cell>
          <cell r="C13823" t="str">
            <v>BANCO CENTRAL DE RESERVA DEL PERU       2NC</v>
          </cell>
        </row>
        <row r="13824">
          <cell r="B13824" t="str">
            <v>24030201010102</v>
          </cell>
          <cell r="C13824" t="str">
            <v>BANCO DE LA NACIÃ“N                     2NC</v>
          </cell>
        </row>
        <row r="13825">
          <cell r="B13825" t="str">
            <v>24030201010103</v>
          </cell>
          <cell r="C13825" t="str">
            <v>BANCODE CREDITO DEL PERU                2NC</v>
          </cell>
        </row>
        <row r="13826">
          <cell r="B13826" t="str">
            <v>24030201010104</v>
          </cell>
          <cell r="C13826" t="str">
            <v>BANCO INTERNACIONAL DEL PERU - INTERBANK2NC</v>
          </cell>
        </row>
        <row r="13827">
          <cell r="B13827" t="str">
            <v>24030201010105</v>
          </cell>
          <cell r="C13827" t="str">
            <v>SCOTIABANK PERU S. A. A.                2NC</v>
          </cell>
        </row>
        <row r="13828">
          <cell r="B13828" t="str">
            <v>24030201010106</v>
          </cell>
          <cell r="C13828" t="str">
            <v>BANCO CONTINENTAL                       2NC</v>
          </cell>
        </row>
        <row r="13829">
          <cell r="B13829" t="str">
            <v>24030201010108</v>
          </cell>
          <cell r="C13829" t="str">
            <v>BANCO DE COMERCIO                       2NC</v>
          </cell>
        </row>
        <row r="13830">
          <cell r="B13830" t="str">
            <v>24030201010109</v>
          </cell>
          <cell r="C13830" t="str">
            <v>BANCO FINANCIERO DEL PERU               2NC</v>
          </cell>
        </row>
        <row r="13831">
          <cell r="B13831" t="str">
            <v>24030201010116</v>
          </cell>
          <cell r="C13831" t="str">
            <v>CITIBANK N. A.   SUCURSAL EN EL PERU DEL2NC</v>
          </cell>
        </row>
        <row r="13832">
          <cell r="B13832" t="str">
            <v>24030201010121</v>
          </cell>
          <cell r="C13832" t="str">
            <v>BANCO INTERAMERICANO DE FINANZAS - S. A.2NC</v>
          </cell>
        </row>
        <row r="13833">
          <cell r="B13833" t="str">
            <v>24030201010128</v>
          </cell>
          <cell r="C13833" t="str">
            <v>CORPORACIÃ“N FINANCIERA DE DESARROLLO S.2NC</v>
          </cell>
        </row>
        <row r="13834">
          <cell r="B13834" t="str">
            <v>24030201010129</v>
          </cell>
          <cell r="C13834" t="str">
            <v>MIBANCO BANCO DE LA MICROEMPRESA - MIBAN2NC</v>
          </cell>
        </row>
        <row r="13835">
          <cell r="B13835" t="str">
            <v>24030201010131</v>
          </cell>
          <cell r="C13835" t="str">
            <v>BANCO AGROPECUARIO - AGROBANCO          2NC</v>
          </cell>
        </row>
        <row r="13836">
          <cell r="B13836" t="str">
            <v>24030201010132</v>
          </cell>
          <cell r="C13836" t="str">
            <v>HSBC BANK PERU S. A.                    2NC</v>
          </cell>
        </row>
        <row r="13837">
          <cell r="B13837" t="str">
            <v>24030201010133</v>
          </cell>
          <cell r="C13837" t="str">
            <v>BANCO FALABELLA DEL PERU                2NC</v>
          </cell>
        </row>
        <row r="13838">
          <cell r="B13838" t="str">
            <v>24030201010134</v>
          </cell>
          <cell r="C13838" t="str">
            <v>BANCO SANTANDER PERU S. A.              2NC</v>
          </cell>
        </row>
        <row r="13839">
          <cell r="B13839" t="str">
            <v>24030201010135</v>
          </cell>
          <cell r="C13839" t="str">
            <v>BANCO RIPLEY S. A.                      2NC</v>
          </cell>
        </row>
        <row r="13840">
          <cell r="B13840" t="str">
            <v>24030201010136</v>
          </cell>
          <cell r="C13840" t="str">
            <v>BANCO AZTECA DEL PERU S. A.             2NC</v>
          </cell>
        </row>
        <row r="13841">
          <cell r="B13841" t="str">
            <v>24030201010137</v>
          </cell>
          <cell r="C13841" t="str">
            <v>DEUTSCHE BANK (PERU) S. A.              2NC</v>
          </cell>
        </row>
        <row r="13842">
          <cell r="B13842" t="str">
            <v>24030201010140</v>
          </cell>
          <cell r="C13842" t="str">
            <v>MDC  ADEUDADOS EMP DEL SISTEMA FINANCIER2NC</v>
          </cell>
        </row>
        <row r="13843">
          <cell r="B13843" t="str">
            <v>24030201010199</v>
          </cell>
          <cell r="C13843" t="str">
            <v>BANCOS EN LIQUIDACIÃ“N                  2NC</v>
          </cell>
        </row>
        <row r="13844">
          <cell r="B13844" t="str">
            <v>24030201010203</v>
          </cell>
          <cell r="C13844" t="str">
            <v>SOLUCIÃ“N FINANCIERADE CREDITO DEL PERU 2NC</v>
          </cell>
        </row>
        <row r="13845">
          <cell r="B13845" t="str">
            <v>24030201010207</v>
          </cell>
          <cell r="C13845" t="str">
            <v>FINANCIERA TFC S. A.                    2NC</v>
          </cell>
        </row>
        <row r="13846">
          <cell r="B13846" t="str">
            <v>24030201010209</v>
          </cell>
          <cell r="C13846" t="str">
            <v>FINANCIERA EDYFICAR S. A.               2NC</v>
          </cell>
        </row>
        <row r="13847">
          <cell r="B13847" t="str">
            <v>24030201010210</v>
          </cell>
          <cell r="C13847" t="str">
            <v>CREDISCOTIA FINANCIERA S. A.            2NC</v>
          </cell>
        </row>
        <row r="13848">
          <cell r="B13848" t="str">
            <v>24030201010211</v>
          </cell>
          <cell r="C13848" t="str">
            <v>FINANCIERA CREAR S. A.                  2NC</v>
          </cell>
        </row>
        <row r="13849">
          <cell r="B13849" t="str">
            <v>24030201010212</v>
          </cell>
          <cell r="C13849" t="str">
            <v>FINANCIERA CONFIANZA S. A.              2NC</v>
          </cell>
        </row>
        <row r="13850">
          <cell r="B13850" t="str">
            <v>24030201010213</v>
          </cell>
          <cell r="C13850" t="str">
            <v>FINANCIERA UNIVERSAL S. A.              2NC</v>
          </cell>
        </row>
        <row r="13851">
          <cell r="B13851" t="str">
            <v>24030201010214</v>
          </cell>
          <cell r="C13851" t="str">
            <v>FINANCIERA UNO S. A.                    2NC</v>
          </cell>
        </row>
        <row r="13852">
          <cell r="B13852" t="str">
            <v>24030201010215</v>
          </cell>
          <cell r="C13852" t="str">
            <v>FINANCIERA EFECTIVA S. A.               2NC</v>
          </cell>
        </row>
        <row r="13853">
          <cell r="B13853" t="str">
            <v>24030201010216</v>
          </cell>
          <cell r="C13853" t="str">
            <v>AMERIKA FINANCIERA S. A.                2NC</v>
          </cell>
        </row>
        <row r="13854">
          <cell r="B13854" t="str">
            <v>24030201010299</v>
          </cell>
          <cell r="C13854" t="str">
            <v>FINANCIERAS EN LIQUIDACIÃ“N             2NC</v>
          </cell>
        </row>
        <row r="13855">
          <cell r="B13855" t="str">
            <v>24030201010301</v>
          </cell>
          <cell r="C13855" t="str">
            <v>CAJA MUNICIPAL DE AHORRO YCREDITO DE SUL2NC</v>
          </cell>
        </row>
        <row r="13856">
          <cell r="B13856" t="str">
            <v>24030201010302</v>
          </cell>
          <cell r="C13856" t="str">
            <v>CAJA MUNICIPALDE CREDITO POPULAR DE LIMA2NC</v>
          </cell>
        </row>
        <row r="13857">
          <cell r="B13857" t="str">
            <v>24030201010303</v>
          </cell>
          <cell r="C13857" t="str">
            <v>CAJA MUNICIPAL DE AHORRO YCREDITO DE PIU2NC</v>
          </cell>
        </row>
        <row r="13858">
          <cell r="B13858" t="str">
            <v>24030201010304</v>
          </cell>
          <cell r="C13858" t="str">
            <v>CAJA MUNICIPAL DE AHORRO YCREDITO DE ARE2NC</v>
          </cell>
        </row>
        <row r="13859">
          <cell r="B13859" t="str">
            <v>24030201010305</v>
          </cell>
          <cell r="C13859" t="str">
            <v>CAJA MUNICIPAL DE AHORRO YCREDITO DE HUA2NC</v>
          </cell>
        </row>
        <row r="13860">
          <cell r="B13860" t="str">
            <v>24030201010306</v>
          </cell>
          <cell r="C13860" t="str">
            <v>CAJA MUNICIPAL DE AHORRO YCREDITO CUSCO 2NC</v>
          </cell>
        </row>
        <row r="13861">
          <cell r="B13861" t="str">
            <v>24030201010307</v>
          </cell>
          <cell r="C13861" t="str">
            <v>CAJA MUNICIPAL DE AHORRO YCREDITO DE MAY2NC</v>
          </cell>
        </row>
        <row r="13862">
          <cell r="B13862" t="str">
            <v>24030201010308</v>
          </cell>
          <cell r="C13862" t="str">
            <v>CAJA MUNICIPAL DE AHORRO YCREDITO DE ICA2NC</v>
          </cell>
        </row>
        <row r="13863">
          <cell r="B13863" t="str">
            <v>24030201010309</v>
          </cell>
          <cell r="C13863" t="str">
            <v>CAJA MUNICIPAL DE AHORRO YCREDITO DE PAI2NC</v>
          </cell>
        </row>
        <row r="13864">
          <cell r="B13864" t="str">
            <v>24030201010310</v>
          </cell>
          <cell r="C13864" t="str">
            <v>CAJA MUNICIPAL DE AHORRO YCREDITO DEL SA2NC</v>
          </cell>
        </row>
        <row r="13865">
          <cell r="B13865" t="str">
            <v>24030201010311</v>
          </cell>
          <cell r="C13865" t="str">
            <v>CAJA MUNICIPAL DE AHORRO YCREDITO DE TRU2NC</v>
          </cell>
        </row>
        <row r="13866">
          <cell r="B13866" t="str">
            <v>24030201010312</v>
          </cell>
          <cell r="C13866" t="str">
            <v>CAJA MUNICIPAL DE AHORRO YCREDITO DE TAC2NC</v>
          </cell>
        </row>
        <row r="13867">
          <cell r="B13867" t="str">
            <v>24030201010313</v>
          </cell>
          <cell r="C13867" t="str">
            <v>CAJA MUNICIPAL DE AHORRO YCREDITO DE PIS2NC</v>
          </cell>
        </row>
        <row r="13868">
          <cell r="B13868" t="str">
            <v>24030201010399</v>
          </cell>
          <cell r="C13868" t="str">
            <v>CAJAS MUNICIPALES DE AHORRO YCREDITO EN 2NC</v>
          </cell>
        </row>
        <row r="13869">
          <cell r="B13869" t="str">
            <v>24030201010403</v>
          </cell>
          <cell r="C13869" t="str">
            <v>CAJA RURAL DE AHORRO YCREDITO QUILLABAMB2NC</v>
          </cell>
        </row>
        <row r="13870">
          <cell r="B13870" t="str">
            <v>24030201010405</v>
          </cell>
          <cell r="C13870" t="str">
            <v>CAJA RURAL DE AHORRO YCREDITO LOS LIBERT2NC</v>
          </cell>
        </row>
        <row r="13871">
          <cell r="B13871" t="str">
            <v>24030201010406</v>
          </cell>
          <cell r="C13871" t="str">
            <v>CAJA RURAL DE AHORRO YCREDITO SEÃ‘OR DE 2NC</v>
          </cell>
        </row>
        <row r="13872">
          <cell r="B13872" t="str">
            <v>24030201010407</v>
          </cell>
          <cell r="C13872" t="str">
            <v>CAJA RURAL DE AHORRO YCREDITO CHAVÃN S.2NC</v>
          </cell>
        </row>
        <row r="13873">
          <cell r="B13873" t="str">
            <v>24030201010408</v>
          </cell>
          <cell r="C13873" t="str">
            <v>CAJA RURAL DE AHORRO YCREDITO NUESTRA GE2NC</v>
          </cell>
        </row>
        <row r="13874">
          <cell r="B13874" t="str">
            <v>24030201010409</v>
          </cell>
          <cell r="C13874" t="str">
            <v>CAJA RURAL DE AHORRO YCREDITO CAJAMARCA 2NC</v>
          </cell>
        </row>
        <row r="13875">
          <cell r="B13875" t="str">
            <v>24030201010410</v>
          </cell>
          <cell r="C13875" t="str">
            <v>CAJA RURAL DE AHORRO YCREDITO PROFINANZA2NC</v>
          </cell>
        </row>
        <row r="13876">
          <cell r="B13876" t="str">
            <v>24030201010412</v>
          </cell>
          <cell r="C13876" t="str">
            <v>CAJA RURAL DE AHORRO YCREDITO SIPÃN S. 2NC</v>
          </cell>
        </row>
        <row r="13877">
          <cell r="B13877" t="str">
            <v>24030201010414</v>
          </cell>
          <cell r="C13877" t="str">
            <v>CAJA RURAL DE AHORRO YCREDITO PRYMERA S.2NC</v>
          </cell>
        </row>
        <row r="13878">
          <cell r="B13878" t="str">
            <v>24030201010415</v>
          </cell>
          <cell r="C13878" t="str">
            <v>CAJA RURAL DE AHORRO YCREDITO LOS ANDES 2NC</v>
          </cell>
        </row>
        <row r="13879">
          <cell r="B13879" t="str">
            <v>24030201010499</v>
          </cell>
          <cell r="C13879" t="str">
            <v>CAJAS RURALES DE AHORRO YCREDITO EN LIQU2NC</v>
          </cell>
        </row>
        <row r="13880">
          <cell r="B13880" t="str">
            <v>24030201010503</v>
          </cell>
          <cell r="C13880" t="str">
            <v>PROEMPRESA S. A.                        2NC</v>
          </cell>
        </row>
        <row r="13881">
          <cell r="B13881" t="str">
            <v>24030201010506</v>
          </cell>
          <cell r="C13881" t="str">
            <v>NUEVA VISIÃ“N S. A.                     2NC</v>
          </cell>
        </row>
        <row r="13882">
          <cell r="B13882" t="str">
            <v>24030201010508</v>
          </cell>
          <cell r="C13882" t="str">
            <v>RAIZ S. A.                              2NC</v>
          </cell>
        </row>
        <row r="13883">
          <cell r="B13883" t="str">
            <v>24030201010510</v>
          </cell>
          <cell r="C13883" t="str">
            <v>SOLIDARIDAD S. A.                       2NC</v>
          </cell>
        </row>
        <row r="13884">
          <cell r="B13884" t="str">
            <v>24030201010511</v>
          </cell>
          <cell r="C13884" t="str">
            <v>CREDIVISIÃ“N S. A.                      2NC</v>
          </cell>
        </row>
        <row r="13885">
          <cell r="B13885" t="str">
            <v>24030201010512</v>
          </cell>
          <cell r="C13885" t="str">
            <v>ACCESO CREDITICIO S. A.                 2NC</v>
          </cell>
        </row>
        <row r="13886">
          <cell r="B13886" t="str">
            <v>24030201010514</v>
          </cell>
          <cell r="C13886" t="str">
            <v>ALTERNATIVA S. A.                       2NC</v>
          </cell>
        </row>
        <row r="13887">
          <cell r="B13887" t="str">
            <v>24030201010515</v>
          </cell>
          <cell r="C13887" t="str">
            <v>PRONEGOCIOS S. A.                       2NC</v>
          </cell>
        </row>
        <row r="13888">
          <cell r="B13888" t="str">
            <v>24030201010516</v>
          </cell>
          <cell r="C13888" t="str">
            <v>MICASITA S. A.                          2NC</v>
          </cell>
        </row>
        <row r="13889">
          <cell r="B13889" t="str">
            <v>24030201010517</v>
          </cell>
          <cell r="C13889" t="str">
            <v>CREDIJET DEL PERU S. A.                 2NC</v>
          </cell>
        </row>
        <row r="13890">
          <cell r="B13890" t="str">
            <v>24030201010599</v>
          </cell>
          <cell r="C13890" t="str">
            <v>EDPYMES EN LIQUIDACIÃ“N                 2NC</v>
          </cell>
        </row>
        <row r="13891">
          <cell r="B13891" t="str">
            <v>24030201011401</v>
          </cell>
          <cell r="C13891" t="str">
            <v>FONDO MIVIVIENDA S. A.                  2NC</v>
          </cell>
        </row>
        <row r="13892">
          <cell r="B13892" t="str">
            <v>24030201011501</v>
          </cell>
          <cell r="C13892" t="str">
            <v>AMRICA FACTORING S. A.                  2NC</v>
          </cell>
        </row>
        <row r="13893">
          <cell r="B13893" t="str">
            <v>24030201011601</v>
          </cell>
          <cell r="C13893" t="str">
            <v>INCASA S. A.                            2NC</v>
          </cell>
        </row>
        <row r="13894">
          <cell r="B13894" t="str">
            <v>24030201011603</v>
          </cell>
          <cell r="C13894" t="str">
            <v>MDC ADEUDADOS EMP DEL SIST FINANCIERO DE2NC</v>
          </cell>
        </row>
        <row r="13895">
          <cell r="B13895" t="str">
            <v>24030201020101</v>
          </cell>
          <cell r="C13895" t="str">
            <v>BANCO CENTRAL DE RESERVA DEL PERU       2NC</v>
          </cell>
        </row>
        <row r="13896">
          <cell r="B13896" t="str">
            <v>24030201020102</v>
          </cell>
          <cell r="C13896" t="str">
            <v>BANCO DE LA NACIÃ“N                     2NC</v>
          </cell>
        </row>
        <row r="13897">
          <cell r="B13897" t="str">
            <v>24030201020103</v>
          </cell>
          <cell r="C13897" t="str">
            <v>BANCODE CREDITO DEL PERU                2NC</v>
          </cell>
        </row>
        <row r="13898">
          <cell r="B13898" t="str">
            <v>24030201020104</v>
          </cell>
          <cell r="C13898" t="str">
            <v>BANCO INTERNACIONAL DEL PERU - INTERBANK2NC</v>
          </cell>
        </row>
        <row r="13899">
          <cell r="B13899" t="str">
            <v>24030201020105</v>
          </cell>
          <cell r="C13899" t="str">
            <v>SCOTIABANK PERU S. A. A.                2NC</v>
          </cell>
        </row>
        <row r="13900">
          <cell r="B13900" t="str">
            <v>24030201020106</v>
          </cell>
          <cell r="C13900" t="str">
            <v>BANCO CONTINENTAL                       2NC</v>
          </cell>
        </row>
        <row r="13901">
          <cell r="B13901" t="str">
            <v>24030201020108</v>
          </cell>
          <cell r="C13901" t="str">
            <v>BANCO DE COMERCIO                       2NC</v>
          </cell>
        </row>
        <row r="13902">
          <cell r="B13902" t="str">
            <v>24030201020109</v>
          </cell>
          <cell r="C13902" t="str">
            <v>BANCO FINANCIERO DEL PERU               2NC</v>
          </cell>
        </row>
        <row r="13903">
          <cell r="B13903" t="str">
            <v>24030201020116</v>
          </cell>
          <cell r="C13903" t="str">
            <v>CITIBANK N. A.   SUCURSAL EN EL PERU DEL2NC</v>
          </cell>
        </row>
        <row r="13904">
          <cell r="B13904" t="str">
            <v>24030201020121</v>
          </cell>
          <cell r="C13904" t="str">
            <v>BANCO INTERAMERICANO DE FINANZAS - S. A.2NC</v>
          </cell>
        </row>
        <row r="13905">
          <cell r="B13905" t="str">
            <v>24030201020128</v>
          </cell>
          <cell r="C13905" t="str">
            <v>CORPORACIÃ“N FINANCIERA DE DESARROLLO S.2NC</v>
          </cell>
        </row>
        <row r="13906">
          <cell r="B13906" t="str">
            <v>24030201020129</v>
          </cell>
          <cell r="C13906" t="str">
            <v>MIBANCO BANCO DE LA MICROEMPRESA - MIBAN2NC</v>
          </cell>
        </row>
        <row r="13907">
          <cell r="B13907" t="str">
            <v>24030201020131</v>
          </cell>
          <cell r="C13907" t="str">
            <v>BANCO AGROPECUARIO - AGROBANCO          2NC</v>
          </cell>
        </row>
        <row r="13908">
          <cell r="B13908" t="str">
            <v>24030201020132</v>
          </cell>
          <cell r="C13908" t="str">
            <v>HSBC BANK PERU S. A.                    2NC</v>
          </cell>
        </row>
        <row r="13909">
          <cell r="B13909" t="str">
            <v>24030201020133</v>
          </cell>
          <cell r="C13909" t="str">
            <v>BANCO FALABELLA DEL PERU                2NC</v>
          </cell>
        </row>
        <row r="13910">
          <cell r="B13910" t="str">
            <v>24030201020134</v>
          </cell>
          <cell r="C13910" t="str">
            <v>BANCO SANTANDER PERU S. A.              2NC</v>
          </cell>
        </row>
        <row r="13911">
          <cell r="B13911" t="str">
            <v>24030201020135</v>
          </cell>
          <cell r="C13911" t="str">
            <v>BANCO RIPLEY S. A.                      2NC</v>
          </cell>
        </row>
        <row r="13912">
          <cell r="B13912" t="str">
            <v>24030201020136</v>
          </cell>
          <cell r="C13912" t="str">
            <v>BANCO AZTECA DEL PERU S. A.             2NC</v>
          </cell>
        </row>
        <row r="13913">
          <cell r="B13913" t="str">
            <v>24030201020137</v>
          </cell>
          <cell r="C13913" t="str">
            <v>DEUTSCHE BANK (PERU) S. A.              2NC</v>
          </cell>
        </row>
        <row r="13914">
          <cell r="B13914" t="str">
            <v>24030201020199</v>
          </cell>
          <cell r="C13914" t="str">
            <v>BANCOS EN LIQUIDACIÃ“N                  2NC</v>
          </cell>
        </row>
        <row r="13915">
          <cell r="B13915" t="str">
            <v>24030201020203</v>
          </cell>
          <cell r="C13915" t="str">
            <v>SOLUCIÃ“N FINANCIERADE CREDITO DEL PERU 2NC</v>
          </cell>
        </row>
        <row r="13916">
          <cell r="B13916" t="str">
            <v>24030201020207</v>
          </cell>
          <cell r="C13916" t="str">
            <v>FINANCIERA TFC S. A.                    2NC</v>
          </cell>
        </row>
        <row r="13917">
          <cell r="B13917" t="str">
            <v>24030201020209</v>
          </cell>
          <cell r="C13917" t="str">
            <v>FINANCIERA EDYFICAR S. A.               2NC</v>
          </cell>
        </row>
        <row r="13918">
          <cell r="B13918" t="str">
            <v>24030201020210</v>
          </cell>
          <cell r="C13918" t="str">
            <v>CREDISCOTIA FINANCIERA S. A.            2NC</v>
          </cell>
        </row>
        <row r="13919">
          <cell r="B13919" t="str">
            <v>24030201020211</v>
          </cell>
          <cell r="C13919" t="str">
            <v>FINANCIERA CREAR S. A.                  2NC</v>
          </cell>
        </row>
        <row r="13920">
          <cell r="B13920" t="str">
            <v>24030201020212</v>
          </cell>
          <cell r="C13920" t="str">
            <v>FINANCIERA CONFIANZA S. A.              2NC</v>
          </cell>
        </row>
        <row r="13921">
          <cell r="B13921" t="str">
            <v>24030201020213</v>
          </cell>
          <cell r="C13921" t="str">
            <v>FINANCIERA UNIVERSAL S. A.              2NC</v>
          </cell>
        </row>
        <row r="13922">
          <cell r="B13922" t="str">
            <v>24030201020214</v>
          </cell>
          <cell r="C13922" t="str">
            <v>FINANCIERA UNO S. A.                    2NC</v>
          </cell>
        </row>
        <row r="13923">
          <cell r="B13923" t="str">
            <v>24030201020215</v>
          </cell>
          <cell r="C13923" t="str">
            <v>FINANCIERA EFECTIVA S. A.               2NC</v>
          </cell>
        </row>
        <row r="13924">
          <cell r="B13924" t="str">
            <v>24030201020216</v>
          </cell>
          <cell r="C13924" t="str">
            <v>AMERIKA FINANCIERA S. A.                2NC</v>
          </cell>
        </row>
        <row r="13925">
          <cell r="B13925" t="str">
            <v>24030201020299</v>
          </cell>
          <cell r="C13925" t="str">
            <v>FINANCIERAS EN LIQUIDACIÃ“N             2NC</v>
          </cell>
        </row>
        <row r="13926">
          <cell r="B13926" t="str">
            <v>24030201020301</v>
          </cell>
          <cell r="C13926" t="str">
            <v>CAJA MUNICIPAL DE AHORRO YCREDITO DE SUL2NC</v>
          </cell>
        </row>
        <row r="13927">
          <cell r="B13927" t="str">
            <v>24030201020302</v>
          </cell>
          <cell r="C13927" t="str">
            <v>CAJA MUNICIPALDE CREDITO POPULAR DE LIMA2NC</v>
          </cell>
        </row>
        <row r="13928">
          <cell r="B13928" t="str">
            <v>24030201020303</v>
          </cell>
          <cell r="C13928" t="str">
            <v>CAJA MUNICIPAL DE AHORRO YCREDITO DE PIU2NC</v>
          </cell>
        </row>
        <row r="13929">
          <cell r="B13929" t="str">
            <v>24030201020304</v>
          </cell>
          <cell r="C13929" t="str">
            <v>CAJA MUNICIPAL DE AHORRO YCREDITO DE ARE2NC</v>
          </cell>
        </row>
        <row r="13930">
          <cell r="B13930" t="str">
            <v>24030201020305</v>
          </cell>
          <cell r="C13930" t="str">
            <v>CAJA MUNICIPAL DE AHORRO YCREDITO DE HUA2NC</v>
          </cell>
        </row>
        <row r="13931">
          <cell r="B13931" t="str">
            <v>24030201020306</v>
          </cell>
          <cell r="C13931" t="str">
            <v>CAJA MUNICIPAL DE AHORRO YCREDITO CUSCO 2NC</v>
          </cell>
        </row>
        <row r="13932">
          <cell r="B13932" t="str">
            <v>24030201020307</v>
          </cell>
          <cell r="C13932" t="str">
            <v>CAJA MUNICIPAL DE AHORRO YCREDITO DE MAY2NC</v>
          </cell>
        </row>
        <row r="13933">
          <cell r="B13933" t="str">
            <v>24030201020308</v>
          </cell>
          <cell r="C13933" t="str">
            <v>CAJA MUNICIPAL DE AHORRO YCREDITO DE ICA2NC</v>
          </cell>
        </row>
        <row r="13934">
          <cell r="B13934" t="str">
            <v>24030201020309</v>
          </cell>
          <cell r="C13934" t="str">
            <v>CAJA MUNICIPAL DE AHORRO YCREDITO DE PAI2NC</v>
          </cell>
        </row>
        <row r="13935">
          <cell r="B13935" t="str">
            <v>24030201020310</v>
          </cell>
          <cell r="C13935" t="str">
            <v>CAJA MUNICIPAL DE AHORRO YCREDITO DEL SA2NC</v>
          </cell>
        </row>
        <row r="13936">
          <cell r="B13936" t="str">
            <v>24030201020311</v>
          </cell>
          <cell r="C13936" t="str">
            <v>CAJA MUNICIPAL DE AHORRO YCREDITO DE TRU2NC</v>
          </cell>
        </row>
        <row r="13937">
          <cell r="B13937" t="str">
            <v>24030201020312</v>
          </cell>
          <cell r="C13937" t="str">
            <v>CAJA MUNICIPAL DE AHORRO YCREDITO DE TAC2NC</v>
          </cell>
        </row>
        <row r="13938">
          <cell r="B13938" t="str">
            <v>24030201020313</v>
          </cell>
          <cell r="C13938" t="str">
            <v>CAJA MUNICIPAL DE AHORRO YCREDITO DE PIS2NC</v>
          </cell>
        </row>
        <row r="13939">
          <cell r="B13939" t="str">
            <v>24030201020399</v>
          </cell>
          <cell r="C13939" t="str">
            <v>CAJAS MUNICIPALES DE AHORRO YCREDITO EN 2NC</v>
          </cell>
        </row>
        <row r="13940">
          <cell r="B13940" t="str">
            <v>24030201020403</v>
          </cell>
          <cell r="C13940" t="str">
            <v>CAJA RURAL DE AHORRO YCREDITO QUILLABAMB2NC</v>
          </cell>
        </row>
        <row r="13941">
          <cell r="B13941" t="str">
            <v>24030201020405</v>
          </cell>
          <cell r="C13941" t="str">
            <v>CAJA RURAL DE AHORRO YCREDITO LOS LIBERT2NC</v>
          </cell>
        </row>
        <row r="13942">
          <cell r="B13942" t="str">
            <v>24030201020406</v>
          </cell>
          <cell r="C13942" t="str">
            <v>CAJA RURAL DE AHORRO YCREDITO SEÃ‘OR DE 2NC</v>
          </cell>
        </row>
        <row r="13943">
          <cell r="B13943" t="str">
            <v>24030201020407</v>
          </cell>
          <cell r="C13943" t="str">
            <v>CAJA RURAL DE AHORRO YCREDITO CHAVÃN S.2NC</v>
          </cell>
        </row>
        <row r="13944">
          <cell r="B13944" t="str">
            <v>24030201020408</v>
          </cell>
          <cell r="C13944" t="str">
            <v>CAJA RURAL DE AHORRO YCREDITO NUESTRA GE2NC</v>
          </cell>
        </row>
        <row r="13945">
          <cell r="B13945" t="str">
            <v>24030201020409</v>
          </cell>
          <cell r="C13945" t="str">
            <v>CAJA RURAL DE AHORRO YCREDITO CAJAMARCA 2NC</v>
          </cell>
        </row>
        <row r="13946">
          <cell r="B13946" t="str">
            <v>24030201020410</v>
          </cell>
          <cell r="C13946" t="str">
            <v>CAJA RURAL DE AHORRO YCREDITO PROFINANZA2NC</v>
          </cell>
        </row>
        <row r="13947">
          <cell r="B13947" t="str">
            <v>24030201020412</v>
          </cell>
          <cell r="C13947" t="str">
            <v>CAJA RURAL DE AHORRO YCREDITO SIPÃN S. 2NC</v>
          </cell>
        </row>
        <row r="13948">
          <cell r="B13948" t="str">
            <v>24030201020414</v>
          </cell>
          <cell r="C13948" t="str">
            <v>CAJA RURAL DE AHORRO YCREDITO PRYMERA S.2NC</v>
          </cell>
        </row>
        <row r="13949">
          <cell r="B13949" t="str">
            <v>24030201020415</v>
          </cell>
          <cell r="C13949" t="str">
            <v>CAJA RURAL DE AHORRO YCREDITO LOS ANDES 2NC</v>
          </cell>
        </row>
        <row r="13950">
          <cell r="B13950" t="str">
            <v>24030201020499</v>
          </cell>
          <cell r="C13950" t="str">
            <v>CAJAS RURALES DE AHORRO YCREDITO EN LIQU2NC</v>
          </cell>
        </row>
        <row r="13951">
          <cell r="B13951" t="str">
            <v>24030201020503</v>
          </cell>
          <cell r="C13951" t="str">
            <v>PROEMPRESA S. A.                        2NC</v>
          </cell>
        </row>
        <row r="13952">
          <cell r="B13952" t="str">
            <v>24030201020506</v>
          </cell>
          <cell r="C13952" t="str">
            <v>NUEVA VISIÃ“N S. A.                     2NC</v>
          </cell>
        </row>
        <row r="13953">
          <cell r="B13953" t="str">
            <v>24030201020508</v>
          </cell>
          <cell r="C13953" t="str">
            <v>RAIZ S. A.                              2NC</v>
          </cell>
        </row>
        <row r="13954">
          <cell r="B13954" t="str">
            <v>24030201020510</v>
          </cell>
          <cell r="C13954" t="str">
            <v>SOLIDARIDAD S. A.                       2NC</v>
          </cell>
        </row>
        <row r="13955">
          <cell r="B13955" t="str">
            <v>24030201020511</v>
          </cell>
          <cell r="C13955" t="str">
            <v>CREDIVISIÃ“N S. A.                      2NC</v>
          </cell>
        </row>
        <row r="13956">
          <cell r="B13956" t="str">
            <v>24030201020512</v>
          </cell>
          <cell r="C13956" t="str">
            <v>ACCESO CREDITICIO S. A.                 2NC</v>
          </cell>
        </row>
        <row r="13957">
          <cell r="B13957" t="str">
            <v>24030201020514</v>
          </cell>
          <cell r="C13957" t="str">
            <v>ALTERNATIVA S. A.                       2NC</v>
          </cell>
        </row>
        <row r="13958">
          <cell r="B13958" t="str">
            <v>24030201020515</v>
          </cell>
          <cell r="C13958" t="str">
            <v>PRONEGOCIOS S. A.                       2NC</v>
          </cell>
        </row>
        <row r="13959">
          <cell r="B13959" t="str">
            <v>24030201020516</v>
          </cell>
          <cell r="C13959" t="str">
            <v>MICASITA S. A.                          2NC</v>
          </cell>
        </row>
        <row r="13960">
          <cell r="B13960" t="str">
            <v>24030201020517</v>
          </cell>
          <cell r="C13960" t="str">
            <v>CREDIJET DEL PERU S. A.                 2NC</v>
          </cell>
        </row>
        <row r="13961">
          <cell r="B13961" t="str">
            <v>24030201020599</v>
          </cell>
          <cell r="C13961" t="str">
            <v>EDPYMES EN LIQUIDACIÃ“N                 2NC</v>
          </cell>
        </row>
        <row r="13962">
          <cell r="B13962" t="str">
            <v>24030203010101</v>
          </cell>
          <cell r="C13962" t="str">
            <v>BANCO CENTRAL DE RESERVA DEL PERU       2NC</v>
          </cell>
        </row>
        <row r="13963">
          <cell r="B13963" t="str">
            <v>24030203010102</v>
          </cell>
          <cell r="C13963" t="str">
            <v>BANCO DE LA NACIÃ“N                     2NC</v>
          </cell>
        </row>
        <row r="13964">
          <cell r="B13964" t="str">
            <v>24030203010103</v>
          </cell>
          <cell r="C13964" t="str">
            <v>BANCODE CREDITO DEL PERU                2NC</v>
          </cell>
        </row>
        <row r="13965">
          <cell r="B13965" t="str">
            <v>24030203010104</v>
          </cell>
          <cell r="C13965" t="str">
            <v>BANCO INTERNACIONAL DEL PERU - INTERBANK2NC</v>
          </cell>
        </row>
        <row r="13966">
          <cell r="B13966" t="str">
            <v>24030203010105</v>
          </cell>
          <cell r="C13966" t="str">
            <v>SCOTIABANK PERU S. A. A.                2NC</v>
          </cell>
        </row>
        <row r="13967">
          <cell r="B13967" t="str">
            <v>24030203010106</v>
          </cell>
          <cell r="C13967" t="str">
            <v>BANCO CONTINENTAL                       2NC</v>
          </cell>
        </row>
        <row r="13968">
          <cell r="B13968" t="str">
            <v>24030203010108</v>
          </cell>
          <cell r="C13968" t="str">
            <v>BANCO DE COMERCIO                       2NC</v>
          </cell>
        </row>
        <row r="13969">
          <cell r="B13969" t="str">
            <v>24030203010109</v>
          </cell>
          <cell r="C13969" t="str">
            <v>BANCO FINANCIERO DEL PERU               2NC</v>
          </cell>
        </row>
        <row r="13970">
          <cell r="B13970" t="str">
            <v>24030203010116</v>
          </cell>
          <cell r="C13970" t="str">
            <v>CITIBANK N. A.   SUCURSAL EN EL PERU DEL2NC</v>
          </cell>
        </row>
        <row r="13971">
          <cell r="B13971" t="str">
            <v>24030203010121</v>
          </cell>
          <cell r="C13971" t="str">
            <v>BANCO INTERAMERICANO DE FINANZAS - S. A.2NC</v>
          </cell>
        </row>
        <row r="13972">
          <cell r="B13972" t="str">
            <v>24030203010128</v>
          </cell>
          <cell r="C13972" t="str">
            <v>CORPORACIÃ“N FINANCIERA DE DESARROLLO S.2NC</v>
          </cell>
        </row>
        <row r="13973">
          <cell r="B13973" t="str">
            <v>24030203010129</v>
          </cell>
          <cell r="C13973" t="str">
            <v>MIBANCO BANCO DE LA MICROEMPRESA - MIBAN2NC</v>
          </cell>
        </row>
        <row r="13974">
          <cell r="B13974" t="str">
            <v>24030203010131</v>
          </cell>
          <cell r="C13974" t="str">
            <v>BANCO AGROPECUARIO - AGROBANCO          2NC</v>
          </cell>
        </row>
        <row r="13975">
          <cell r="B13975" t="str">
            <v>24030203010132</v>
          </cell>
          <cell r="C13975" t="str">
            <v>HSBC BANK PERU S. A.                    2NC</v>
          </cell>
        </row>
        <row r="13976">
          <cell r="B13976" t="str">
            <v>24030203010133</v>
          </cell>
          <cell r="C13976" t="str">
            <v>BANCO FALABELLA DEL PERU                2NC</v>
          </cell>
        </row>
        <row r="13977">
          <cell r="B13977" t="str">
            <v>24030203010134</v>
          </cell>
          <cell r="C13977" t="str">
            <v>BANCO SANTANDER PERU S. A.              2NC</v>
          </cell>
        </row>
        <row r="13978">
          <cell r="B13978" t="str">
            <v>24030203010135</v>
          </cell>
          <cell r="C13978" t="str">
            <v>BANCO RIPLEY S. A.                      2NC</v>
          </cell>
        </row>
        <row r="13979">
          <cell r="B13979" t="str">
            <v>24030203010136</v>
          </cell>
          <cell r="C13979" t="str">
            <v>BANCO AZTECA DEL PERU S. A.             2NC</v>
          </cell>
        </row>
        <row r="13980">
          <cell r="B13980" t="str">
            <v>24030203010137</v>
          </cell>
          <cell r="C13980" t="str">
            <v>DEUTSCHE BANK (PERU) S. A.              2NC</v>
          </cell>
        </row>
        <row r="13981">
          <cell r="B13981" t="str">
            <v>24030203010199</v>
          </cell>
          <cell r="C13981" t="str">
            <v>BANCOS EN LIQUIDACIÃ“N                  2NC</v>
          </cell>
        </row>
        <row r="13982">
          <cell r="B13982" t="str">
            <v>24030203020101</v>
          </cell>
          <cell r="C13982" t="str">
            <v>BANCO CENTRAL DE RESERVA DEL PERU       2NC</v>
          </cell>
        </row>
        <row r="13983">
          <cell r="B13983" t="str">
            <v>24030203020102</v>
          </cell>
          <cell r="C13983" t="str">
            <v>BANCO DE LA NACIÃ“N                     2NC</v>
          </cell>
        </row>
        <row r="13984">
          <cell r="B13984" t="str">
            <v>24030203020103</v>
          </cell>
          <cell r="C13984" t="str">
            <v>BANCODE CREDITO DEL PERU                2NC</v>
          </cell>
        </row>
        <row r="13985">
          <cell r="B13985" t="str">
            <v>24030203020104</v>
          </cell>
          <cell r="C13985" t="str">
            <v>BANCO INTERNACIONAL DEL PERU - INTERBANK2NC</v>
          </cell>
        </row>
        <row r="13986">
          <cell r="B13986" t="str">
            <v>24030203020105</v>
          </cell>
          <cell r="C13986" t="str">
            <v>SCOTIABANK PERU S. A. A.                2NC</v>
          </cell>
        </row>
        <row r="13987">
          <cell r="B13987" t="str">
            <v>24030203020106</v>
          </cell>
          <cell r="C13987" t="str">
            <v>BANCO CONTINENTAL                       2NC</v>
          </cell>
        </row>
        <row r="13988">
          <cell r="B13988" t="str">
            <v>24030203020108</v>
          </cell>
          <cell r="C13988" t="str">
            <v>BANCO DE COMERCIO                       2NC</v>
          </cell>
        </row>
        <row r="13989">
          <cell r="B13989" t="str">
            <v>24030203020109</v>
          </cell>
          <cell r="C13989" t="str">
            <v>BANCO FINANCIERO DEL PERU               2NC</v>
          </cell>
        </row>
        <row r="13990">
          <cell r="B13990" t="str">
            <v>24030203020116</v>
          </cell>
          <cell r="C13990" t="str">
            <v>CITIBANK N. A.   SUCURSAL EN EL PERU DEL2NC</v>
          </cell>
        </row>
        <row r="13991">
          <cell r="B13991" t="str">
            <v>24030203020121</v>
          </cell>
          <cell r="C13991" t="str">
            <v>BANCO INTERAMERICANO DE FINANZAS - S. A.2NC</v>
          </cell>
        </row>
        <row r="13992">
          <cell r="B13992" t="str">
            <v>24030203020128</v>
          </cell>
          <cell r="C13992" t="str">
            <v>CORPORACIÃ“N FINANCIERA DE DESARROLLO S.2NC</v>
          </cell>
        </row>
        <row r="13993">
          <cell r="B13993" t="str">
            <v>24030203020129</v>
          </cell>
          <cell r="C13993" t="str">
            <v>MIBANCO BANCO DE LA MICROEMPRESA - MIBAN2NC</v>
          </cell>
        </row>
        <row r="13994">
          <cell r="B13994" t="str">
            <v>24030203020131</v>
          </cell>
          <cell r="C13994" t="str">
            <v>BANCO AGROPECUARIO - AGROBANCO          2NC</v>
          </cell>
        </row>
        <row r="13995">
          <cell r="B13995" t="str">
            <v>24030203020132</v>
          </cell>
          <cell r="C13995" t="str">
            <v>HSBC BANK PERU S. A.                    2NC</v>
          </cell>
        </row>
        <row r="13996">
          <cell r="B13996" t="str">
            <v>24030203020133</v>
          </cell>
          <cell r="C13996" t="str">
            <v>BANCO FALABELLA DEL PERU                2NC</v>
          </cell>
        </row>
        <row r="13997">
          <cell r="B13997" t="str">
            <v>24030203020134</v>
          </cell>
          <cell r="C13997" t="str">
            <v>BANCO SANTANDER PERU S. A.              2NC</v>
          </cell>
        </row>
        <row r="13998">
          <cell r="B13998" t="str">
            <v>24030203020135</v>
          </cell>
          <cell r="C13998" t="str">
            <v>BANCO RIPLEY S. A.                      2NC</v>
          </cell>
        </row>
        <row r="13999">
          <cell r="B13999" t="str">
            <v>24030203020136</v>
          </cell>
          <cell r="C13999" t="str">
            <v>BANCO AZTECA DEL PERU S. A.             2NC</v>
          </cell>
        </row>
        <row r="14000">
          <cell r="B14000" t="str">
            <v>24030203020137</v>
          </cell>
          <cell r="C14000" t="str">
            <v>DEUTSCHE BANK (PERU) S. A.              2NC</v>
          </cell>
        </row>
        <row r="14001">
          <cell r="B14001" t="str">
            <v>24030203020199</v>
          </cell>
          <cell r="C14001" t="str">
            <v>BANCOS EN LIQUIDACIÃ“N                  2NC</v>
          </cell>
        </row>
        <row r="14002">
          <cell r="B14002" t="str">
            <v>24030203021401</v>
          </cell>
          <cell r="C14002" t="str">
            <v>FONDO MIVIVIENDA S. A.                  2NC</v>
          </cell>
        </row>
        <row r="14003">
          <cell r="B14003" t="str">
            <v>24030203021501</v>
          </cell>
          <cell r="C14003" t="str">
            <v>AMRICA FACTORING S. A.                  2NC</v>
          </cell>
        </row>
        <row r="14004">
          <cell r="B14004" t="str">
            <v>24030203021601</v>
          </cell>
          <cell r="C14004" t="str">
            <v>INCASA S. A.                            2NC</v>
          </cell>
        </row>
        <row r="14005">
          <cell r="B14005" t="str">
            <v>24030900000101</v>
          </cell>
          <cell r="C14005" t="str">
            <v>DECRETO DE URGENCIA 041                 2NC</v>
          </cell>
        </row>
        <row r="14006">
          <cell r="B14006" t="str">
            <v>24040100000101</v>
          </cell>
          <cell r="C14006" t="str">
            <v>CITIBANK                                2NC</v>
          </cell>
        </row>
        <row r="14007">
          <cell r="B14007" t="str">
            <v>24040100000102</v>
          </cell>
          <cell r="C14007" t="str">
            <v>BAC FLORIDA BANK                        2NC</v>
          </cell>
        </row>
        <row r="14008">
          <cell r="B14008" t="str">
            <v>24040100000103</v>
          </cell>
          <cell r="C14008" t="str">
            <v>BANK OF AMERICA                         2NC</v>
          </cell>
        </row>
        <row r="14009">
          <cell r="B14009" t="str">
            <v>24040100000104</v>
          </cell>
          <cell r="C14009" t="str">
            <v>BCO PROV DE BUENOS AIRES                2NC</v>
          </cell>
        </row>
        <row r="14010">
          <cell r="B14010" t="str">
            <v>24040100000105</v>
          </cell>
          <cell r="C14010" t="str">
            <v>UNION PLATERS                           2NC</v>
          </cell>
        </row>
        <row r="14011">
          <cell r="B14011" t="str">
            <v>24040100000106</v>
          </cell>
          <cell r="C14011" t="str">
            <v>BANK OF NEW YORK N.Y.                   2NC</v>
          </cell>
        </row>
        <row r="14012">
          <cell r="B14012" t="str">
            <v>24040100000107</v>
          </cell>
          <cell r="C14012" t="str">
            <v>CHASE MANHATTAN BANK N.Y.               2NC</v>
          </cell>
        </row>
        <row r="14013">
          <cell r="B14013" t="str">
            <v>24040100000108</v>
          </cell>
          <cell r="C14013" t="str">
            <v>BL HAMILTON BANK MIAMI                  2NC</v>
          </cell>
        </row>
        <row r="14014">
          <cell r="B14014" t="str">
            <v>24040100000109</v>
          </cell>
          <cell r="C14014" t="str">
            <v>COMMERZBANK FRANKFURT                   2NC</v>
          </cell>
        </row>
        <row r="14015">
          <cell r="B14015" t="str">
            <v>24040100000110</v>
          </cell>
          <cell r="C14015" t="str">
            <v>DEUTSCHE BANK                           2NC</v>
          </cell>
        </row>
        <row r="14016">
          <cell r="B14016" t="str">
            <v>24040100000114</v>
          </cell>
          <cell r="C14016" t="str">
            <v>AMERICAN EXPRESS BANK                   2NC</v>
          </cell>
        </row>
        <row r="14017">
          <cell r="B14017" t="str">
            <v>24040100000115</v>
          </cell>
          <cell r="C14017" t="str">
            <v>DRESDNER BANK                           2NC</v>
          </cell>
        </row>
        <row r="14018">
          <cell r="B14018" t="str">
            <v>24040201000102</v>
          </cell>
          <cell r="C14018" t="str">
            <v>AMERICAN EXPRESS BANK                   2NC</v>
          </cell>
        </row>
        <row r="14019">
          <cell r="B14019" t="str">
            <v>24040201000103</v>
          </cell>
          <cell r="C14019" t="str">
            <v>UNION BANK OF CALIFORNIA                2NC</v>
          </cell>
        </row>
        <row r="14020">
          <cell r="B14020" t="str">
            <v>24040201000104</v>
          </cell>
          <cell r="C14020" t="str">
            <v>RABO ROBECO BANK                        2NC</v>
          </cell>
        </row>
        <row r="14021">
          <cell r="B14021" t="str">
            <v>24040201000105</v>
          </cell>
          <cell r="C14021" t="str">
            <v>AMEX- SEOUL - KOREA                     2NC</v>
          </cell>
        </row>
        <row r="14022">
          <cell r="B14022" t="str">
            <v>24040201000106</v>
          </cell>
          <cell r="C14022" t="str">
            <v>BANK OF AMERICA                         2NC</v>
          </cell>
        </row>
        <row r="14023">
          <cell r="B14023" t="str">
            <v>24040201000108</v>
          </cell>
          <cell r="C14023" t="str">
            <v>BANK OF MONTREAL CANADA                 2NC</v>
          </cell>
        </row>
        <row r="14024">
          <cell r="B14024" t="str">
            <v>24040201000109</v>
          </cell>
          <cell r="C14024" t="str">
            <v>BANCO DE CHILE                          2NC</v>
          </cell>
        </row>
        <row r="14025">
          <cell r="B14025" t="str">
            <v>24040201000115</v>
          </cell>
          <cell r="C14025" t="str">
            <v>COMMERZ BANK  AG N.Y.                   2NC</v>
          </cell>
        </row>
        <row r="14026">
          <cell r="B14026" t="str">
            <v>24040201000117</v>
          </cell>
          <cell r="C14026" t="str">
            <v>DEUTSCHE BANK NY                        2NC</v>
          </cell>
        </row>
        <row r="14027">
          <cell r="B14027" t="str">
            <v>24040201000126</v>
          </cell>
          <cell r="C14027" t="str">
            <v>SKANDINAVISKA ENSKILDA BANKEN           2NC</v>
          </cell>
        </row>
        <row r="14028">
          <cell r="B14028" t="str">
            <v>24040201000128</v>
          </cell>
          <cell r="C14028" t="str">
            <v>STANDARD CHARTERED BANK                 2NC</v>
          </cell>
        </row>
        <row r="14029">
          <cell r="B14029" t="str">
            <v>24040201000129</v>
          </cell>
          <cell r="C14029" t="str">
            <v>SUMITOMO BANK                           2NC</v>
          </cell>
        </row>
        <row r="14030">
          <cell r="B14030" t="str">
            <v>24040201000132</v>
          </cell>
          <cell r="C14030" t="str">
            <v>CITIBANK NAŸ- NUEVA YORK                2NC</v>
          </cell>
        </row>
        <row r="14031">
          <cell r="B14031" t="str">
            <v>24040201000143</v>
          </cell>
          <cell r="C14031" t="str">
            <v>BARCLAYS BANK PLC - MIAMI               2NC</v>
          </cell>
        </row>
        <row r="14032">
          <cell r="B14032" t="str">
            <v>24040201000148</v>
          </cell>
          <cell r="C14032" t="str">
            <v>COBANK                                  2NC</v>
          </cell>
        </row>
        <row r="14033">
          <cell r="B14033" t="str">
            <v>24040201000153</v>
          </cell>
          <cell r="C14033" t="str">
            <v>DEUTSCH SUDAMERICKANISCHE BANK          2NC</v>
          </cell>
        </row>
        <row r="14034">
          <cell r="B14034" t="str">
            <v>24040201000157</v>
          </cell>
          <cell r="C14034" t="str">
            <v>EXIMBANK                                2NC</v>
          </cell>
        </row>
        <row r="14035">
          <cell r="B14035" t="str">
            <v>24040201000158</v>
          </cell>
          <cell r="C14035" t="str">
            <v>WACHOVIA BANK NATIONAL ASSOCIATION MIAM 2NC</v>
          </cell>
        </row>
        <row r="14036">
          <cell r="B14036" t="str">
            <v>24040201000162</v>
          </cell>
          <cell r="C14036" t="str">
            <v>NATIONAL BANK OF MIAMI                  2NC</v>
          </cell>
        </row>
        <row r="14037">
          <cell r="B14037" t="str">
            <v>24040201000164</v>
          </cell>
          <cell r="C14037" t="str">
            <v>PINE BANKING CORPORATION- MIAMI         2NC</v>
          </cell>
        </row>
        <row r="14038">
          <cell r="B14038" t="str">
            <v>24040201000176</v>
          </cell>
          <cell r="C14038" t="str">
            <v>FORTIS BANK ROTTERDAM                   2NC</v>
          </cell>
        </row>
        <row r="14039">
          <cell r="B14039" t="str">
            <v>24040201000177</v>
          </cell>
          <cell r="C14039" t="str">
            <v>STANDARBANK LONDON                      2NC</v>
          </cell>
        </row>
        <row r="14040">
          <cell r="B14040" t="str">
            <v>24040201000178</v>
          </cell>
          <cell r="C14040" t="str">
            <v>KBC BANK NV ANTWERPEN                   2NC</v>
          </cell>
        </row>
        <row r="14041">
          <cell r="B14041" t="str">
            <v>24040201000179</v>
          </cell>
          <cell r="C14041" t="str">
            <v>UNICREDITO ITALIANO LONDON BRANCH       2NC</v>
          </cell>
        </row>
        <row r="14042">
          <cell r="B14042" t="str">
            <v>24040201000180</v>
          </cell>
          <cell r="C14042" t="str">
            <v>LONDON FORFAITING                       2NC</v>
          </cell>
        </row>
        <row r="14043">
          <cell r="B14043" t="str">
            <v>24040201000181</v>
          </cell>
          <cell r="C14043" t="str">
            <v>NATEXIS BANQUE PARIS                    2NC</v>
          </cell>
        </row>
        <row r="14044">
          <cell r="B14044" t="str">
            <v>24040201000182</v>
          </cell>
          <cell r="C14044" t="str">
            <v>BANCO DE LA PROVINCIA DE BS.AS.         2NC</v>
          </cell>
        </row>
        <row r="14045">
          <cell r="B14045" t="str">
            <v>24040201000183</v>
          </cell>
          <cell r="C14045" t="str">
            <v>BMS AG ZURICHC                          2NC</v>
          </cell>
        </row>
        <row r="14046">
          <cell r="B14046" t="str">
            <v>24040201000184</v>
          </cell>
          <cell r="C14046" t="str">
            <v>BERLINER BANK BERLIN                    2NC</v>
          </cell>
        </row>
        <row r="14047">
          <cell r="B14047" t="str">
            <v>24040201000185</v>
          </cell>
          <cell r="C14047" t="str">
            <v>CORPBANCA CHILE                         2NC</v>
          </cell>
        </row>
        <row r="14048">
          <cell r="B14048" t="str">
            <v>24040201000187</v>
          </cell>
          <cell r="C14048" t="str">
            <v>BL HAMILTON BANK                        2NC</v>
          </cell>
        </row>
        <row r="14049">
          <cell r="B14049" t="str">
            <v>24040201000188</v>
          </cell>
          <cell r="C14049" t="str">
            <v>COBANK                                  2NC</v>
          </cell>
        </row>
        <row r="14050">
          <cell r="B14050" t="str">
            <v>24040201000189</v>
          </cell>
          <cell r="C14050" t="str">
            <v>BANCO DE COMERCIO EXTERIOR-BANCOEX      2NC</v>
          </cell>
        </row>
        <row r="14051">
          <cell r="B14051" t="str">
            <v>24040201000190</v>
          </cell>
          <cell r="C14051" t="str">
            <v>ZURCHER KANTONALBANK                    2NC</v>
          </cell>
        </row>
        <row r="14052">
          <cell r="B14052" t="str">
            <v>24040201000191</v>
          </cell>
          <cell r="C14052" t="str">
            <v>UNION BANK OF CALIFORNIA-PORTLAND       2NC</v>
          </cell>
        </row>
        <row r="14053">
          <cell r="B14053" t="str">
            <v>24040201000192</v>
          </cell>
          <cell r="C14053" t="str">
            <v>CREDIT SUISSE FIRST BOSTON- SUIZA       2NC</v>
          </cell>
        </row>
        <row r="14054">
          <cell r="B14054" t="str">
            <v>24040201000193</v>
          </cell>
          <cell r="C14054" t="str">
            <v>BHF BANK FRANKFURT                      2NC</v>
          </cell>
        </row>
        <row r="14055">
          <cell r="B14055" t="str">
            <v>24040201000194</v>
          </cell>
          <cell r="C14055" t="str">
            <v>AD ADEUDADO COMMERCEBANK USA CP         2NC</v>
          </cell>
        </row>
        <row r="14056">
          <cell r="B14056" t="str">
            <v>24040201000195</v>
          </cell>
          <cell r="C14056" t="str">
            <v>THE TORONTO DOMINION BANK               2NC</v>
          </cell>
        </row>
        <row r="14057">
          <cell r="B14057" t="str">
            <v>24040201000196</v>
          </cell>
          <cell r="C14057" t="str">
            <v>JP MORGAN CHASE - NUEVA YORK            2NC</v>
          </cell>
        </row>
        <row r="14058">
          <cell r="B14058" t="str">
            <v>24040201000198</v>
          </cell>
          <cell r="C14058" t="str">
            <v>INGŸ-ŸAMSTERDAM                         2NC</v>
          </cell>
        </row>
        <row r="14059">
          <cell r="B14059" t="str">
            <v>24040201000201</v>
          </cell>
          <cell r="C14059" t="str">
            <v>HSBC BANK PLC. LONDON                   2NC</v>
          </cell>
        </row>
        <row r="14060">
          <cell r="B14060" t="str">
            <v>24040201000205</v>
          </cell>
          <cell r="C14060" t="str">
            <v>BANCA INTESA S P A                      2NC</v>
          </cell>
        </row>
        <row r="14061">
          <cell r="B14061" t="str">
            <v>24040201000206</v>
          </cell>
          <cell r="C14061" t="str">
            <v>COMMERZBANK HAMBURGO ALEMANIA           2NC</v>
          </cell>
        </row>
        <row r="14062">
          <cell r="B14062" t="str">
            <v>24040201000207</v>
          </cell>
          <cell r="C14062" t="str">
            <v>HSBC NUEVA YORK                         2NC</v>
          </cell>
        </row>
        <row r="14063">
          <cell r="B14063" t="str">
            <v>24040201010101</v>
          </cell>
          <cell r="C14063" t="str">
            <v>DEUTSCH SUDAMERICKANISCHE BANK          2NC</v>
          </cell>
        </row>
        <row r="14064">
          <cell r="B14064" t="str">
            <v>24040201010102</v>
          </cell>
          <cell r="C14064" t="str">
            <v>BANK OF AMERICA                         2NC</v>
          </cell>
        </row>
        <row r="14065">
          <cell r="B14065" t="str">
            <v>24040201010105</v>
          </cell>
          <cell r="C14065" t="str">
            <v>BANK OF MONTREAL                        2NC</v>
          </cell>
        </row>
        <row r="14066">
          <cell r="B14066" t="str">
            <v>24040201010107</v>
          </cell>
          <cell r="C14066" t="str">
            <v>DEUTSCHE BANK NY                        2NC</v>
          </cell>
        </row>
        <row r="14067">
          <cell r="B14067" t="str">
            <v>24040201010109</v>
          </cell>
          <cell r="C14067" t="str">
            <v>STANDARD CHARTERED BANK                 2NC</v>
          </cell>
        </row>
        <row r="14068">
          <cell r="B14068" t="str">
            <v>24040201010110</v>
          </cell>
          <cell r="C14068" t="str">
            <v>SUMITOMO BANK                           2NC</v>
          </cell>
        </row>
        <row r="14069">
          <cell r="B14069" t="str">
            <v>24040201010111</v>
          </cell>
          <cell r="C14069" t="str">
            <v>CITIBANK NA - NUEVA YORK                2NC</v>
          </cell>
        </row>
        <row r="14070">
          <cell r="B14070" t="str">
            <v>24040201010113</v>
          </cell>
          <cell r="C14070" t="str">
            <v>AD BANK OF NEW YORK NY                  2NC</v>
          </cell>
        </row>
        <row r="14071">
          <cell r="B14071" t="str">
            <v>24040201010117</v>
          </cell>
          <cell r="C14071" t="str">
            <v>WACHOVIA BANK NATIONAL ASSOCIATION MIAM 2NC</v>
          </cell>
        </row>
        <row r="14072">
          <cell r="B14072" t="str">
            <v>24040201010118</v>
          </cell>
          <cell r="C14072" t="str">
            <v>BANK OF AMERICA                         2NC</v>
          </cell>
        </row>
        <row r="14073">
          <cell r="B14073" t="str">
            <v>24040201010136</v>
          </cell>
          <cell r="C14073" t="str">
            <v>AD ADEUDADO COMMERCEBANK USA CP         2NC</v>
          </cell>
        </row>
        <row r="14074">
          <cell r="B14074" t="str">
            <v>24040201010138</v>
          </cell>
          <cell r="C14074" t="str">
            <v>JP MORGAN CHASE - NUEVA YORK            2NC</v>
          </cell>
        </row>
        <row r="14075">
          <cell r="B14075" t="str">
            <v>24040201010141</v>
          </cell>
          <cell r="C14075" t="str">
            <v>HSBC BANK PLC. LONDON                   2NC</v>
          </cell>
        </row>
        <row r="14076">
          <cell r="B14076" t="str">
            <v>24040201010148</v>
          </cell>
          <cell r="C14076" t="str">
            <v>CL CREDIT SUISSE ISLAS CAYMAN CP        2NC</v>
          </cell>
        </row>
        <row r="14077">
          <cell r="B14077" t="str">
            <v>24040201010149</v>
          </cell>
          <cell r="C14077" t="str">
            <v>CL COBANK DENVER CP                     2NC</v>
          </cell>
        </row>
        <row r="14078">
          <cell r="B14078" t="str">
            <v>24040201010150</v>
          </cell>
          <cell r="C14078" t="str">
            <v>WELLS FARGO BANK C.P.                   2NC</v>
          </cell>
        </row>
        <row r="14079">
          <cell r="B14079" t="str">
            <v>24040201010151</v>
          </cell>
          <cell r="C14079" t="str">
            <v>CL AD CHINA DEVELOP BANK HEBEI BRANCH CP2NC</v>
          </cell>
        </row>
        <row r="14080">
          <cell r="B14080" t="str">
            <v>24040201010152</v>
          </cell>
          <cell r="C14080" t="str">
            <v>AD NATIONAL BANK OF ABU DHABIÂ          2NC</v>
          </cell>
        </row>
        <row r="14081">
          <cell r="B14081" t="str">
            <v>24040201010153</v>
          </cell>
          <cell r="C14081" t="str">
            <v>AD BANCO ESTADO DE CHILE NEW YORK BRANCH2NC</v>
          </cell>
        </row>
        <row r="14082">
          <cell r="B14082" t="str">
            <v>24040201010154</v>
          </cell>
          <cell r="C14082" t="str">
            <v>AD CHANG HWA COMMERCIAL BANK  LTD.  LOS 2NC</v>
          </cell>
        </row>
        <row r="14083">
          <cell r="B14083" t="str">
            <v>24040201010155</v>
          </cell>
          <cell r="C14083" t="str">
            <v>AD DISCOUNT BANK (LATIN AMERICA)        2NC</v>
          </cell>
        </row>
        <row r="14084">
          <cell r="B14084" t="str">
            <v>24040201010156</v>
          </cell>
          <cell r="C14084" t="str">
            <v>AD EXPORT-IMPORT BANK OF THE REPUBLIC OF2NC</v>
          </cell>
        </row>
        <row r="14085">
          <cell r="B14085" t="str">
            <v>24040201010157</v>
          </cell>
          <cell r="C14085" t="str">
            <v>AD REPUBLIC BANK LIMITEDÂ               2NC</v>
          </cell>
        </row>
        <row r="14086">
          <cell r="B14086" t="str">
            <v>24040201010158</v>
          </cell>
          <cell r="C14086" t="str">
            <v>AD TAIWAN COOPERATIVE BANK  LOS ANGELES 2NC</v>
          </cell>
        </row>
        <row r="14087">
          <cell r="B14087" t="str">
            <v>24040201010159</v>
          </cell>
          <cell r="C14087" t="str">
            <v>AD SHANGHAI COMMERCIAL AND SAVINGS BANK 2NC</v>
          </cell>
        </row>
        <row r="14088">
          <cell r="B14088" t="str">
            <v>24040201010160</v>
          </cell>
          <cell r="C14088" t="str">
            <v>AD ISRAEL DISCOUNT BANK OF NEW YORK     2NC</v>
          </cell>
        </row>
        <row r="14089">
          <cell r="B14089" t="str">
            <v>24040201010161</v>
          </cell>
          <cell r="C14089" t="str">
            <v>WELLS FARGO BANK NA NEW YORK B          2NC</v>
          </cell>
        </row>
        <row r="14090">
          <cell r="B14090" t="str">
            <v>24040201010162</v>
          </cell>
          <cell r="C14090" t="str">
            <v>MDC ADEUDADOS INSTITUCIONES FINA DEL EXT2NC</v>
          </cell>
        </row>
        <row r="14091">
          <cell r="B14091" t="str">
            <v>24040201010163</v>
          </cell>
          <cell r="C14091" t="str">
            <v>MRX JP MORGAN CORTO PLAZO               2NC</v>
          </cell>
        </row>
        <row r="14092">
          <cell r="B14092" t="str">
            <v>24040201010164</v>
          </cell>
          <cell r="C14092" t="str">
            <v>MRX BANK OF CHINA PERU CORTO PLAZO      2NC</v>
          </cell>
        </row>
        <row r="14093">
          <cell r="B14093" t="str">
            <v>24040201010165</v>
          </cell>
          <cell r="C14093" t="str">
            <v>MRX BANCO DEL ESTADO DE CHILE  CORTO PLA2NC</v>
          </cell>
        </row>
        <row r="14094">
          <cell r="B14094" t="str">
            <v>24040201010166</v>
          </cell>
          <cell r="C14094" t="str">
            <v>MRX SCTANDARD CHARTERED NY    CORTO PLAZ2NC</v>
          </cell>
        </row>
        <row r="14095">
          <cell r="B14095" t="str">
            <v>24040201010167</v>
          </cell>
          <cell r="C14095" t="str">
            <v>MRX BANK OF MONTREAL                    2NC</v>
          </cell>
        </row>
        <row r="14096">
          <cell r="B14096" t="str">
            <v>24040201010168</v>
          </cell>
          <cell r="C14096" t="str">
            <v>MDC HSBC BRANCH INDIA                   2NC</v>
          </cell>
        </row>
        <row r="14097">
          <cell r="B14097" t="str">
            <v>24040201010169</v>
          </cell>
          <cell r="C14097" t="str">
            <v>MDC COMMERZBANK AG FRANKFURT            2NC</v>
          </cell>
        </row>
        <row r="14098">
          <cell r="B14098" t="str">
            <v>24040201010170</v>
          </cell>
          <cell r="C14098" t="str">
            <v>MDC WELL FARGO                          2NC</v>
          </cell>
        </row>
        <row r="14099">
          <cell r="B14099" t="str">
            <v>24040201010171</v>
          </cell>
          <cell r="C14099" t="str">
            <v>MDC BBVA MADRID                         2NC</v>
          </cell>
        </row>
        <row r="14100">
          <cell r="B14100" t="str">
            <v>24040201010172</v>
          </cell>
          <cell r="C14100" t="str">
            <v>MDC BANK OF AMERICA                     2NC</v>
          </cell>
        </row>
        <row r="14101">
          <cell r="B14101" t="str">
            <v>24040201010173</v>
          </cell>
          <cell r="C14101" t="str">
            <v>MDC ADEUDADOSÂ  INSTITUCIONES FINA DEL E2NC</v>
          </cell>
        </row>
        <row r="14102">
          <cell r="B14102" t="str">
            <v>24040201010801</v>
          </cell>
          <cell r="C14102" t="str">
            <v>PAN BANCOS                              2NC</v>
          </cell>
        </row>
        <row r="14103">
          <cell r="B14103" t="str">
            <v>24040900000101</v>
          </cell>
          <cell r="C14103" t="str">
            <v>ADEUDADO REMESAS UNO MONEY TRANS        2NC</v>
          </cell>
        </row>
        <row r="14104">
          <cell r="B14104" t="str">
            <v>24040900000102</v>
          </cell>
          <cell r="C14104" t="str">
            <v>ADEUDADO REMESAS COSTA MAR              2NC</v>
          </cell>
        </row>
        <row r="14105">
          <cell r="B14105" t="str">
            <v>24040900000103</v>
          </cell>
          <cell r="C14105" t="str">
            <v>ADEUDADO REMESAS AFEX                   2NC</v>
          </cell>
        </row>
        <row r="14106">
          <cell r="B14106" t="str">
            <v>24040900000110</v>
          </cell>
          <cell r="C14106" t="str">
            <v>ADEUDADO REMESAS GARMEY                 2NC</v>
          </cell>
        </row>
        <row r="14107">
          <cell r="B14107" t="str">
            <v>24040900000111</v>
          </cell>
          <cell r="C14107" t="str">
            <v>ADEUDADO REMESAS GLOBAL ACCESS          2NC</v>
          </cell>
        </row>
        <row r="14108">
          <cell r="B14108" t="str">
            <v>24040900000112</v>
          </cell>
          <cell r="C14108" t="str">
            <v>ADEUDADO SDO FAV REM UNITED EXPE        2NC</v>
          </cell>
        </row>
        <row r="14109">
          <cell r="B14109" t="str">
            <v>24050101000101</v>
          </cell>
          <cell r="C14109" t="str">
            <v>ADEUDOS BLADEX                          2NC</v>
          </cell>
        </row>
        <row r="14110">
          <cell r="B14110" t="str">
            <v>24050101000102</v>
          </cell>
          <cell r="C14110" t="str">
            <v>ADEUDOS CAF                             2NC</v>
          </cell>
        </row>
        <row r="14111">
          <cell r="B14111" t="str">
            <v>24050101000107</v>
          </cell>
          <cell r="C14111" t="str">
            <v>BANCO MUNDIAL IFC                       2NC</v>
          </cell>
        </row>
        <row r="14112">
          <cell r="B14112" t="str">
            <v>24050101000108</v>
          </cell>
          <cell r="C14112" t="str">
            <v>AD ADEUDADO BANCOLDEX BOGOTA CP         2NC</v>
          </cell>
        </row>
        <row r="14113">
          <cell r="B14113" t="str">
            <v>24050101010101</v>
          </cell>
          <cell r="C14113" t="str">
            <v>MDC ADEUDADOS ORG FINANCIEROS INTERNACIO2NC</v>
          </cell>
        </row>
        <row r="14114">
          <cell r="B14114" t="str">
            <v>24050101010102</v>
          </cell>
          <cell r="C14114" t="str">
            <v>ADEUDOS CAF                             2NC</v>
          </cell>
        </row>
        <row r="14115">
          <cell r="B14115" t="str">
            <v>24050101010103</v>
          </cell>
          <cell r="C14115" t="str">
            <v>INTER-AMERICAN INVESTMENT CORPORATION   2 C</v>
          </cell>
        </row>
        <row r="14116">
          <cell r="B14116" t="str">
            <v>24050101010104</v>
          </cell>
          <cell r="C14116" t="str">
            <v>MDC ADEUDADOS ORG FINANCIEROS INTERNACIO2NC</v>
          </cell>
        </row>
        <row r="14117">
          <cell r="B14117" t="str">
            <v>24060101000101</v>
          </cell>
          <cell r="C14117" t="str">
            <v>ADEUDADOS COFIDE MI VIVIENDA C/P        2NC</v>
          </cell>
        </row>
        <row r="14118">
          <cell r="B14118" t="str">
            <v>24060101000102</v>
          </cell>
          <cell r="C14118" t="str">
            <v>ADEUDADO COFIDE MI VIVIENDA             2NC</v>
          </cell>
        </row>
        <row r="14119">
          <cell r="B14119" t="str">
            <v>24060101000103</v>
          </cell>
          <cell r="C14119" t="str">
            <v>CHI ADEUD COFIDE BT MI VIVIENDA C/P     2NC</v>
          </cell>
        </row>
        <row r="14120">
          <cell r="B14120" t="str">
            <v>24060101000104</v>
          </cell>
          <cell r="C14120" t="str">
            <v>HPC ADEUD CAP MIHOG COFIDE CP           2NC</v>
          </cell>
        </row>
        <row r="14121">
          <cell r="B14121" t="str">
            <v>24060101000105</v>
          </cell>
          <cell r="C14121" t="str">
            <v>HPC ADEUD INT MIHOG COFIDE CP           2NC</v>
          </cell>
        </row>
        <row r="14122">
          <cell r="B14122" t="str">
            <v>24060101000106</v>
          </cell>
          <cell r="C14122" t="str">
            <v>HPC ADEUD CAP MIVIV COFIDE CP           2NC</v>
          </cell>
        </row>
        <row r="14123">
          <cell r="B14123" t="str">
            <v>24060101000107</v>
          </cell>
          <cell r="C14123" t="str">
            <v>HPC ADEUD CAP TECHO PROP COF CP         2NC</v>
          </cell>
        </row>
        <row r="14124">
          <cell r="B14124" t="str">
            <v>24060101010101</v>
          </cell>
          <cell r="C14124" t="str">
            <v>ADEUDADOS COFIDE MI VIVIENDA C/P        2NC</v>
          </cell>
        </row>
        <row r="14125">
          <cell r="B14125" t="str">
            <v>24060101010102</v>
          </cell>
          <cell r="C14125" t="str">
            <v>HPC ADEUD INT NUEVO MVV COFIDE CP       2NC</v>
          </cell>
        </row>
        <row r="14126">
          <cell r="B14126" t="str">
            <v>24060101010103</v>
          </cell>
          <cell r="C14126" t="str">
            <v>HPC ADEUD CAP MIVIV COFIDE CP           2NC</v>
          </cell>
        </row>
        <row r="14127">
          <cell r="B14127" t="str">
            <v>24060101010104</v>
          </cell>
          <cell r="C14127" t="str">
            <v>HPC ADEUD CAP TECHO PROP COF CP         2NC</v>
          </cell>
        </row>
        <row r="14128">
          <cell r="B14128" t="str">
            <v>24060101010105</v>
          </cell>
          <cell r="C14128" t="str">
            <v>HPC ADEUD CAP MIHOG COFIDE CP           2NC</v>
          </cell>
        </row>
        <row r="14129">
          <cell r="B14129" t="str">
            <v>24060101010106</v>
          </cell>
          <cell r="C14129" t="str">
            <v>HPC ADEUD INT MIHOG COFIDE CP           2NC</v>
          </cell>
        </row>
        <row r="14130">
          <cell r="B14130" t="str">
            <v>24060101010107</v>
          </cell>
          <cell r="C14130" t="str">
            <v>ADEUDADO COFIDE MI VIVIENDA             2NC</v>
          </cell>
        </row>
        <row r="14131">
          <cell r="B14131" t="str">
            <v>24060101010108</v>
          </cell>
          <cell r="C14131" t="str">
            <v>CHI ADEUD COFIDE BT MI VIVIENDA C/P     2NC</v>
          </cell>
        </row>
        <row r="14132">
          <cell r="B14132" t="str">
            <v>24060101010109</v>
          </cell>
          <cell r="C14132" t="str">
            <v>HPC ADEUD CAPIT INDX MIVIVIENDA  CP     2NC</v>
          </cell>
        </row>
        <row r="14133">
          <cell r="B14133" t="str">
            <v>24060101010110</v>
          </cell>
          <cell r="C14133" t="str">
            <v>ADEUDADO HPC REG CRONOGRAMA COFIDE CP   2NC</v>
          </cell>
        </row>
        <row r="14134">
          <cell r="B14134" t="str">
            <v>24080100000101</v>
          </cell>
          <cell r="C14134" t="str">
            <v>INT. PAG.                               2NC</v>
          </cell>
        </row>
        <row r="14135">
          <cell r="B14135" t="str">
            <v>24080100000102</v>
          </cell>
          <cell r="C14135" t="str">
            <v>GASTOS POR PAGAR DE ADEUDOS Y OBLIG. CON2NC</v>
          </cell>
        </row>
        <row r="14136">
          <cell r="B14136" t="str">
            <v>24080100000103</v>
          </cell>
          <cell r="C14136" t="str">
            <v>BCRP ADEUDADO Y OBLIG INT - OP EXPANSION2NC</v>
          </cell>
        </row>
        <row r="14137">
          <cell r="B14137" t="str">
            <v>24080100000104</v>
          </cell>
          <cell r="C14137" t="str">
            <v>BCRP ADEUDADO Y OBLIG INT - OP SUSTITUCI2NC</v>
          </cell>
        </row>
        <row r="14138">
          <cell r="B14138" t="str">
            <v>24080200000201</v>
          </cell>
          <cell r="C14138" t="str">
            <v>ADEUDADOS COFIDE MI VIVIENDA            2NC</v>
          </cell>
        </row>
        <row r="14139">
          <cell r="B14139" t="str">
            <v>24080200000203</v>
          </cell>
          <cell r="C14139" t="str">
            <v>ADEUDADO COFIDE                         2NC</v>
          </cell>
        </row>
        <row r="14140">
          <cell r="B14140" t="str">
            <v>24080200000207</v>
          </cell>
          <cell r="C14140" t="str">
            <v>HPC ADEUD INT MIVIV COFIDE CP           2NC</v>
          </cell>
        </row>
        <row r="14141">
          <cell r="B14141" t="str">
            <v>24080200000208</v>
          </cell>
          <cell r="C14141" t="str">
            <v>HPC ADEUD INT TECHO PROP COF CP         2NC</v>
          </cell>
        </row>
        <row r="14142">
          <cell r="B14142" t="str">
            <v>24080200000209</v>
          </cell>
          <cell r="C14142" t="str">
            <v>HPC ADEUD INT  INDX  MIVIVIENDA CP      2NC</v>
          </cell>
        </row>
        <row r="14143">
          <cell r="B14143" t="str">
            <v>24080200000301</v>
          </cell>
          <cell r="C14143" t="str">
            <v>LPC INTERESES ADEUDADO COFIDE CP        2NC</v>
          </cell>
        </row>
        <row r="14144">
          <cell r="B14144" t="str">
            <v>24080200000401</v>
          </cell>
          <cell r="C14144" t="str">
            <v>PR INTERESES ADEUDADO COFIDE CP         2NC</v>
          </cell>
        </row>
        <row r="14145">
          <cell r="B14145" t="str">
            <v>24080200000501</v>
          </cell>
          <cell r="C14145" t="str">
            <v>CL COFIDE INT.X PAG. LS CORTO PLAZO     2NC</v>
          </cell>
        </row>
        <row r="14146">
          <cell r="B14146" t="str">
            <v>24080200000502</v>
          </cell>
          <cell r="C14146" t="str">
            <v>HPC ADEUD INT MI HOG COFIDE CP          2NC</v>
          </cell>
        </row>
        <row r="14147">
          <cell r="B14147" t="str">
            <v>24080200000503</v>
          </cell>
          <cell r="C14147" t="str">
            <v>HPC ADEUD INT NUEVO MVV COFIDE CP       2NC</v>
          </cell>
        </row>
        <row r="14148">
          <cell r="B14148" t="str">
            <v>24080200000504</v>
          </cell>
          <cell r="C14148" t="str">
            <v>MRX INT BANCO DEL ESTADO DE CHILE  CORTO2NC</v>
          </cell>
        </row>
        <row r="14149">
          <cell r="B14149" t="str">
            <v>24080301400101</v>
          </cell>
          <cell r="C14149" t="str">
            <v>MDC  INT AD EMPRESAS DEL SISTEMA FINAN D2NC</v>
          </cell>
        </row>
        <row r="14150">
          <cell r="B14150" t="str">
            <v>24080301400102</v>
          </cell>
          <cell r="C14150" t="str">
            <v>MDCÂ  INT AD EMPRESAS DEL SISTEMA FINAN 2NC</v>
          </cell>
        </row>
        <row r="14151">
          <cell r="B14151" t="str">
            <v>24080400000101</v>
          </cell>
          <cell r="C14151" t="str">
            <v>ADEUDADOS POR PRESTAMOS ORDINARIOS      2NC</v>
          </cell>
        </row>
        <row r="14152">
          <cell r="B14152" t="str">
            <v>24080400000102</v>
          </cell>
          <cell r="C14152" t="str">
            <v>INTER.CP CREDIT SUISSE ISLAS CAYMAN     2NC</v>
          </cell>
        </row>
        <row r="14153">
          <cell r="B14153" t="str">
            <v>24080400000103</v>
          </cell>
          <cell r="C14153" t="str">
            <v>INTERESES AD DEUTSCHE BANK LP           2NC</v>
          </cell>
        </row>
        <row r="14154">
          <cell r="B14154" t="str">
            <v>24080400000104</v>
          </cell>
          <cell r="C14154" t="str">
            <v>CL AD-INT CHINA DEV. BANK HEBEI BRANCH  2NC</v>
          </cell>
        </row>
        <row r="14155">
          <cell r="B14155" t="str">
            <v>24080400000105</v>
          </cell>
          <cell r="C14155" t="str">
            <v>MDC INT AD  INSTITUCIONES FINANCIERAS DE2NC</v>
          </cell>
        </row>
        <row r="14156">
          <cell r="B14156" t="str">
            <v>24080400000106</v>
          </cell>
          <cell r="C14156" t="str">
            <v>MRX INT BANK OF MONTREAL                2NC</v>
          </cell>
        </row>
        <row r="14157">
          <cell r="B14157" t="str">
            <v>24080400000107</v>
          </cell>
          <cell r="C14157" t="str">
            <v>MDC INT HSBC BRANCH INDIA               2NC</v>
          </cell>
        </row>
        <row r="14158">
          <cell r="B14158" t="str">
            <v>24080400000108</v>
          </cell>
          <cell r="C14158" t="str">
            <v>MDC INT COMMERZBANK AG FRANKFURT        2NC</v>
          </cell>
        </row>
        <row r="14159">
          <cell r="B14159" t="str">
            <v>24080400000109</v>
          </cell>
          <cell r="C14159" t="str">
            <v>MDC INT WELL FARGO                      2NC</v>
          </cell>
        </row>
        <row r="14160">
          <cell r="B14160" t="str">
            <v>24080400000110</v>
          </cell>
          <cell r="C14160" t="str">
            <v>MDC INT BBVA MADRID                     2NC</v>
          </cell>
        </row>
        <row r="14161">
          <cell r="B14161" t="str">
            <v>24080400000111</v>
          </cell>
          <cell r="C14161" t="str">
            <v>MDC INT BANK OF AMERICA                 2NC</v>
          </cell>
        </row>
        <row r="14162">
          <cell r="B14162" t="str">
            <v>24080400000112</v>
          </cell>
          <cell r="C14162" t="str">
            <v>MDC INT ADÂ  INSTITUCIONES FINANCIERAS E2NC</v>
          </cell>
        </row>
        <row r="14163">
          <cell r="B14163" t="str">
            <v>24080400000801</v>
          </cell>
          <cell r="C14163" t="str">
            <v>PAN  FINANCIAMIENTOS                    2NC</v>
          </cell>
        </row>
        <row r="14164">
          <cell r="B14164" t="str">
            <v>24080500000100</v>
          </cell>
          <cell r="C14164" t="str">
            <v>MDC INT ADEUDADOS ORG FINANCIEROS INTERN2 C</v>
          </cell>
        </row>
        <row r="14165">
          <cell r="B14165" t="str">
            <v>24080500000101</v>
          </cell>
          <cell r="C14165" t="str">
            <v>MDC INT ADEUDADOS ORG FINANCIEROS INTER 2NC</v>
          </cell>
        </row>
        <row r="14166">
          <cell r="B14166" t="str">
            <v>25010100000111</v>
          </cell>
          <cell r="C14166" t="str">
            <v>GQPRUEBA                                2NC</v>
          </cell>
        </row>
        <row r="14167">
          <cell r="B14167" t="str">
            <v>25020101000103</v>
          </cell>
          <cell r="C14167" t="str">
            <v>VALRZ SWAPS MONEDAS ESPECULATIVO        2NC</v>
          </cell>
        </row>
        <row r="14168">
          <cell r="B14168" t="str">
            <v>25020101000104</v>
          </cell>
          <cell r="C14168" t="str">
            <v>INTERESES SWAPS MONEDAS ESPECULATIVO    2NC</v>
          </cell>
        </row>
        <row r="14169">
          <cell r="B14169" t="str">
            <v>25020101000105</v>
          </cell>
          <cell r="C14169" t="str">
            <v>VALRZ SWAPS MONEDAS ESPECULATIVO VTA    2NC</v>
          </cell>
        </row>
        <row r="14170">
          <cell r="B14170" t="str">
            <v>25020101000106</v>
          </cell>
          <cell r="C14170" t="str">
            <v>INT SWAPS MONEDAS ESPECULATIVO VTA      2NC</v>
          </cell>
        </row>
        <row r="14171">
          <cell r="B14171" t="str">
            <v>25020101000201</v>
          </cell>
          <cell r="C14171" t="str">
            <v>VENTAS A FUTURO-SWAPS(NEGOCIACION)      2NC</v>
          </cell>
        </row>
        <row r="14172">
          <cell r="B14172" t="str">
            <v>25020101000202</v>
          </cell>
          <cell r="C14172" t="str">
            <v>VENTAS A FUTURO-SWAPS INT(NEGOCIACION   2NC</v>
          </cell>
        </row>
        <row r="14173">
          <cell r="B14173" t="str">
            <v>25020101000203</v>
          </cell>
          <cell r="C14173" t="str">
            <v>COMPRAS A FUTURO - SWAP                 2NC</v>
          </cell>
        </row>
        <row r="14174">
          <cell r="B14174" t="str">
            <v>25020101000205</v>
          </cell>
          <cell r="C14174" t="str">
            <v>INT SWAP CURVA SOBERANA                 2NC</v>
          </cell>
        </row>
        <row r="14175">
          <cell r="B14175" t="str">
            <v>25020101000206</v>
          </cell>
          <cell r="C14175" t="str">
            <v>VAL SWAP CURVA SOBERANA                 2NC</v>
          </cell>
        </row>
        <row r="14176">
          <cell r="B14176" t="str">
            <v>25020101000301</v>
          </cell>
          <cell r="C14176" t="str">
            <v>VALRZÂ  SWAPS CAMBIARIO NEG CXP         2NC</v>
          </cell>
        </row>
        <row r="14177">
          <cell r="B14177" t="str">
            <v>25020101000302</v>
          </cell>
          <cell r="C14177" t="str">
            <v>VALRZÂ  SWAPS MON NEG CXP               2NC</v>
          </cell>
        </row>
        <row r="14178">
          <cell r="B14178" t="str">
            <v>25020101000303</v>
          </cell>
          <cell r="C14178" t="str">
            <v>VALRZ SWAPS MONEDASÂ  COMPRA            2NC</v>
          </cell>
        </row>
        <row r="14179">
          <cell r="B14179" t="str">
            <v>25020101000401</v>
          </cell>
          <cell r="C14179" t="str">
            <v>INT X PAGAR SWAPS CAMBIARIO             2NC</v>
          </cell>
        </row>
        <row r="14180">
          <cell r="B14180" t="str">
            <v>25020101000402</v>
          </cell>
          <cell r="C14180" t="str">
            <v>INT X PAGAR SWAPS MONEDAS               2NC</v>
          </cell>
        </row>
        <row r="14181">
          <cell r="B14181" t="str">
            <v>25020101000403</v>
          </cell>
          <cell r="C14181" t="str">
            <v>INT X PAGAR MONEDASÂ  COMPRA            2NC</v>
          </cell>
        </row>
        <row r="14182">
          <cell r="B14182" t="str">
            <v>25020101000404</v>
          </cell>
          <cell r="C14182" t="str">
            <v>MDC  Int Swaps de Monedas Vta NEGO FINAN2NC</v>
          </cell>
        </row>
        <row r="14183">
          <cell r="B14183" t="str">
            <v>25020101000405</v>
          </cell>
          <cell r="C14183" t="str">
            <v>MDC  Int Swaps de Monedas COMP NEGO FINA2NC</v>
          </cell>
        </row>
        <row r="14184">
          <cell r="B14184" t="str">
            <v>25020101000406</v>
          </cell>
          <cell r="C14184" t="str">
            <v>MDC  Val Swaps de Monedas Vta NEGO FINAN2NC</v>
          </cell>
        </row>
        <row r="14185">
          <cell r="B14185" t="str">
            <v>25020101000407</v>
          </cell>
          <cell r="C14185" t="str">
            <v>MDC  Val Swaps de Monedas COMP NEGO FINA2NC</v>
          </cell>
        </row>
        <row r="14186">
          <cell r="B14186" t="str">
            <v>25020101000409</v>
          </cell>
          <cell r="C14186" t="str">
            <v>MRX INT X PAGAR SWAPS CAMBIARIO VTA     2NC</v>
          </cell>
        </row>
        <row r="14187">
          <cell r="B14187" t="str">
            <v>25020101000410</v>
          </cell>
          <cell r="C14187" t="str">
            <v>MRX VAL SWAPS CAMBIARIO VTA             2NC</v>
          </cell>
        </row>
        <row r="14188">
          <cell r="B14188" t="str">
            <v>25020102000101</v>
          </cell>
          <cell r="C14188" t="str">
            <v>COMPRAS A FUT-FWD DELIVERY ESPEC ME     2NC</v>
          </cell>
        </row>
        <row r="14189">
          <cell r="B14189" t="str">
            <v>25020102000102</v>
          </cell>
          <cell r="C14189" t="str">
            <v>COMPRAS A FUTURO - FWD.NON DELIVERY E   2NC</v>
          </cell>
        </row>
        <row r="14190">
          <cell r="B14190" t="str">
            <v>25020102000105</v>
          </cell>
          <cell r="C14190" t="str">
            <v>FWD NDF CXP COMPRA OPCIONES             2NC</v>
          </cell>
        </row>
        <row r="14191">
          <cell r="B14191" t="str">
            <v>25020102000106</v>
          </cell>
          <cell r="C14191" t="str">
            <v>CUENTA POR PAGAR COBERTURA FORWARD VENTA2NC</v>
          </cell>
        </row>
        <row r="14192">
          <cell r="B14192" t="str">
            <v>25020102000107</v>
          </cell>
          <cell r="C14192" t="str">
            <v>FWD NDF CXP COBERTURA ENTREGA COMPRA OPC2NC</v>
          </cell>
        </row>
        <row r="14193">
          <cell r="B14193" t="str">
            <v>25020102000108</v>
          </cell>
          <cell r="C14193" t="str">
            <v>FWD NDF CXP COBERTURA ENTREGA VENTA OPCI2NC</v>
          </cell>
        </row>
        <row r="14194">
          <cell r="B14194" t="str">
            <v>25020102000109</v>
          </cell>
          <cell r="C14194" t="str">
            <v>FWD NDF CXP compra swaps                2NC</v>
          </cell>
        </row>
        <row r="14195">
          <cell r="B14195" t="str">
            <v>25020102000110</v>
          </cell>
          <cell r="C14195" t="str">
            <v>Cuenta por pagar cobertura Forward venta2NC</v>
          </cell>
        </row>
        <row r="14196">
          <cell r="B14196" t="str">
            <v>25020102000111</v>
          </cell>
          <cell r="C14196" t="str">
            <v>FWD NDF CXP cobertura entrega compra swa2NC</v>
          </cell>
        </row>
        <row r="14197">
          <cell r="B14197" t="str">
            <v>25020102000112</v>
          </cell>
          <cell r="C14197" t="str">
            <v>FWD NDF CXP cobertura entrega venta swap2NC</v>
          </cell>
        </row>
        <row r="14198">
          <cell r="B14198" t="str">
            <v>25020102000113</v>
          </cell>
          <cell r="C14198" t="str">
            <v>MDC VALORIZ FWD ACOT- COMPRA CTA POR PAG2NC</v>
          </cell>
        </row>
        <row r="14199">
          <cell r="B14199" t="str">
            <v>25020102000114</v>
          </cell>
          <cell r="C14199" t="str">
            <v>MDC VALORIZ FWD LIMITADO- VENTA CTA POR 2NC</v>
          </cell>
        </row>
        <row r="14200">
          <cell r="B14200" t="str">
            <v>25020102000115</v>
          </cell>
          <cell r="C14200" t="str">
            <v>VAL FWD Vta OPC NDF CxP                 2NC</v>
          </cell>
        </row>
        <row r="14201">
          <cell r="B14201" t="str">
            <v>25020102000116</v>
          </cell>
          <cell r="C14201" t="str">
            <v>VAL FWD Vta OPC Full CxP                2NC</v>
          </cell>
        </row>
        <row r="14202">
          <cell r="B14202" t="str">
            <v>25020102000117</v>
          </cell>
          <cell r="C14202" t="str">
            <v>VAL FWD Comp OPC NDF CxP                2NC</v>
          </cell>
        </row>
        <row r="14203">
          <cell r="B14203" t="str">
            <v>25020102000118</v>
          </cell>
          <cell r="C14203" t="str">
            <v>VAL FWD Comp OPC FULL CxP               2NC</v>
          </cell>
        </row>
        <row r="14204">
          <cell r="B14204" t="str">
            <v>25020102000201</v>
          </cell>
          <cell r="C14204" t="str">
            <v>VENTAS A FUTURO - FWD.DELIVERY ESPECU   2NC</v>
          </cell>
        </row>
        <row r="14205">
          <cell r="B14205" t="str">
            <v>25020102000202</v>
          </cell>
          <cell r="C14205" t="str">
            <v>VENTAS A FUTURO - FWD.NON DELIVERY ES   2NC</v>
          </cell>
        </row>
        <row r="14206">
          <cell r="B14206" t="str">
            <v>25020102000203</v>
          </cell>
          <cell r="C14206" t="str">
            <v>MDC  Val Forward de Monedas COMP NEGO FI2NC</v>
          </cell>
        </row>
        <row r="14207">
          <cell r="B14207" t="str">
            <v>25020102000204</v>
          </cell>
          <cell r="C14207" t="str">
            <v>MDC  Val Forward de Monedas Vta NEGO FIN2NC</v>
          </cell>
        </row>
        <row r="14208">
          <cell r="B14208" t="str">
            <v>25020102000205</v>
          </cell>
          <cell r="C14208" t="str">
            <v>VENTAS A FUTURO - FWD.DIVISAS TESORERÃA2 C</v>
          </cell>
        </row>
        <row r="14209">
          <cell r="B14209" t="str">
            <v>25020102000206</v>
          </cell>
          <cell r="C14209" t="str">
            <v>COMPRAS A FUT-FWD.DIVISAS TESORERÃA    2 C</v>
          </cell>
        </row>
        <row r="14210">
          <cell r="B14210" t="str">
            <v>25020102000209</v>
          </cell>
          <cell r="C14210" t="str">
            <v>MRX  VAL FORWARD DE MONEDAS COMPRA NEGO 2NC</v>
          </cell>
        </row>
        <row r="14211">
          <cell r="B14211" t="str">
            <v>25020105000101</v>
          </cell>
          <cell r="C14211" t="str">
            <v>DERIV VALORIZ OPC COMP CALL AMER CTAXPAG2NC</v>
          </cell>
        </row>
        <row r="14212">
          <cell r="B14212" t="str">
            <v>25020105000102</v>
          </cell>
          <cell r="C14212" t="str">
            <v>DERIV VALORIZ OPC VTA CALL AMER CTAXPAG 2NC</v>
          </cell>
        </row>
        <row r="14213">
          <cell r="B14213" t="str">
            <v>25020105000103</v>
          </cell>
          <cell r="C14213" t="str">
            <v>DERIV VALORIZ OPC COMP PUTS AMER CTAXPAG2NC</v>
          </cell>
        </row>
        <row r="14214">
          <cell r="B14214" t="str">
            <v>25020105000104</v>
          </cell>
          <cell r="C14214" t="str">
            <v>DERIV VALORIZ OPC VENTAS PUTS AMER CTAXP2NC</v>
          </cell>
        </row>
        <row r="14215">
          <cell r="B14215" t="str">
            <v>25020105000201</v>
          </cell>
          <cell r="C14215" t="str">
            <v>DERIV VALORIZ OPC COMP CALL EUROPEO CTAX2NC</v>
          </cell>
        </row>
        <row r="14216">
          <cell r="B14216" t="str">
            <v>25020105000202</v>
          </cell>
          <cell r="C14216" t="str">
            <v>DERIV VALORIZ OPC VTA CALL EURP CTAXPAG 2NC</v>
          </cell>
        </row>
        <row r="14217">
          <cell r="B14217" t="str">
            <v>25020105000203</v>
          </cell>
          <cell r="C14217" t="str">
            <v>DERIV VALORIZ OPC COMP PUTS EUROP CTAXPA2NC</v>
          </cell>
        </row>
        <row r="14218">
          <cell r="B14218" t="str">
            <v>25020105000204</v>
          </cell>
          <cell r="C14218" t="str">
            <v>DERIV VALORIZ OPC VENTAS PUTS EURP CTAXP2NC</v>
          </cell>
        </row>
        <row r="14219">
          <cell r="B14219" t="str">
            <v>25020105000205</v>
          </cell>
          <cell r="C14219" t="str">
            <v>MDC VALORIZ OP COMP CALL EUR CXP - DEP E2NC</v>
          </cell>
        </row>
        <row r="14220">
          <cell r="B14220" t="str">
            <v>25020105000206</v>
          </cell>
          <cell r="C14220" t="str">
            <v>MDC VALORIZ OPC VTA CALL EUR CXP - DEP E2NC</v>
          </cell>
        </row>
        <row r="14221">
          <cell r="B14221" t="str">
            <v>25020105000207</v>
          </cell>
          <cell r="C14221" t="str">
            <v>MDC VALORIZ OPC COMP PUTS EUROP CXP - DE2NC</v>
          </cell>
        </row>
        <row r="14222">
          <cell r="B14222" t="str">
            <v>25020105000208</v>
          </cell>
          <cell r="C14222" t="str">
            <v>MDC VALORIZ OPC VENTAS PUTS EURP CXP - D2NC</v>
          </cell>
        </row>
        <row r="14223">
          <cell r="B14223" t="str">
            <v>25020105000209</v>
          </cell>
          <cell r="C14223" t="str">
            <v>MDC VALORIZ OP COMP CALL EUR CXP - FWD L2NC</v>
          </cell>
        </row>
        <row r="14224">
          <cell r="B14224" t="str">
            <v>25020105000210</v>
          </cell>
          <cell r="C14224" t="str">
            <v>MDC VALORIZ OPC VTA CALL EUR CXP - FWD A2NC</v>
          </cell>
        </row>
        <row r="14225">
          <cell r="B14225" t="str">
            <v>25020105000211</v>
          </cell>
          <cell r="C14225" t="str">
            <v>MDC VALORIZ OPC COMP PUTS EUROP CXP - FW2NC</v>
          </cell>
        </row>
        <row r="14226">
          <cell r="B14226" t="str">
            <v>25020105000212</v>
          </cell>
          <cell r="C14226" t="str">
            <v>MDC VALORIZ OPC VENTAS PUTS EURP CXP - F2NC</v>
          </cell>
        </row>
        <row r="14227">
          <cell r="B14227" t="str">
            <v>25020105000213</v>
          </cell>
          <cell r="C14227" t="str">
            <v>MDC VAL OPC COMP CALL EUR CXP  DEP DIV  2NC</v>
          </cell>
        </row>
        <row r="14228">
          <cell r="B14228" t="str">
            <v>25020105000214</v>
          </cell>
          <cell r="C14228" t="str">
            <v>MDC VAL  OPC VENT CALL EUR CXP  DEP DIV 2NC</v>
          </cell>
        </row>
        <row r="14229">
          <cell r="B14229" t="str">
            <v>25020105000215</v>
          </cell>
          <cell r="C14229" t="str">
            <v>MDC VAL OPC COMP PUT EUR CXP  DEP DIV   2NC</v>
          </cell>
        </row>
        <row r="14230">
          <cell r="B14230" t="str">
            <v>25020105000216</v>
          </cell>
          <cell r="C14230" t="str">
            <v>MDC VAL OPC VENT PUT EUR CXP  DEP       2NC</v>
          </cell>
        </row>
        <row r="14231">
          <cell r="B14231" t="str">
            <v>25020105000217</v>
          </cell>
          <cell r="C14231" t="str">
            <v>MDC VAL OPC COMP CALL CXP  OPC DIV      2NC</v>
          </cell>
        </row>
        <row r="14232">
          <cell r="B14232" t="str">
            <v>25020105000218</v>
          </cell>
          <cell r="C14232" t="str">
            <v>MDC VAL  OPC VENT CALL CXP  OPC DIV     2NC</v>
          </cell>
        </row>
        <row r="14233">
          <cell r="B14233" t="str">
            <v>25020105000219</v>
          </cell>
          <cell r="C14233" t="str">
            <v>MDC VAL OPC COMP PUT CXP  OPC DIV       2NC</v>
          </cell>
        </row>
        <row r="14234">
          <cell r="B14234" t="str">
            <v>25020105000220</v>
          </cell>
          <cell r="C14234" t="str">
            <v>MDC VAL OPC VENT PUT CXP  OPC DIV       2NC</v>
          </cell>
        </row>
        <row r="14235">
          <cell r="B14235" t="str">
            <v>25020201000101</v>
          </cell>
          <cell r="C14235" t="str">
            <v>MDC CXP VALÂ OVERNIGHT SWAP             2NC</v>
          </cell>
        </row>
        <row r="14236">
          <cell r="B14236" t="str">
            <v>25020201000301</v>
          </cell>
          <cell r="C14236" t="str">
            <v>SWAPS VAL DE TASA DE INTERES-NEGOCIACION2NC</v>
          </cell>
        </row>
        <row r="14237">
          <cell r="B14237" t="str">
            <v>25020201000302</v>
          </cell>
          <cell r="C14237" t="str">
            <v>SWPAS TASA DE INTERES-NEGOCIACION(INT   2NC</v>
          </cell>
        </row>
        <row r="14238">
          <cell r="B14238" t="str">
            <v>25020201000303</v>
          </cell>
          <cell r="C14238" t="str">
            <v>CXP INT Negociacion OVERNIGHT  SWAP     2NC</v>
          </cell>
        </row>
        <row r="14239">
          <cell r="B14239" t="str">
            <v>25020202000105</v>
          </cell>
          <cell r="C14239" t="str">
            <v>VALORIZ FWD TASA PAGO FIJO CTAXPAG      2NC</v>
          </cell>
        </row>
        <row r="14240">
          <cell r="B14240" t="str">
            <v>25020202000106</v>
          </cell>
          <cell r="C14240" t="str">
            <v>VALORIZ FWD TASA PAGO FLOTANTE CTAXPAG  2NC</v>
          </cell>
        </row>
        <row r="14241">
          <cell r="B14241" t="str">
            <v>25030201010201</v>
          </cell>
          <cell r="C14241" t="str">
            <v>VENTAS A FUTURO-SWAP(CFC)               2NC</v>
          </cell>
        </row>
        <row r="14242">
          <cell r="B14242" t="str">
            <v>25030201010202</v>
          </cell>
          <cell r="C14242" t="str">
            <v>VENTAS A FUTURO-SWAP INT(CFC)           2NC</v>
          </cell>
        </row>
        <row r="14243">
          <cell r="B14243" t="str">
            <v>25030201010203</v>
          </cell>
          <cell r="C14243" t="str">
            <v>VAL CCS COB GOLDMAN                     2NC</v>
          </cell>
        </row>
        <row r="14244">
          <cell r="B14244" t="str">
            <v>25030201010204</v>
          </cell>
          <cell r="C14244" t="str">
            <v>VAL CCS COB BOFA                        2NC</v>
          </cell>
        </row>
        <row r="14245">
          <cell r="B14245" t="str">
            <v>25030201010205</v>
          </cell>
          <cell r="C14245" t="str">
            <v>VAL CCS COB CITIBANK                    2NC</v>
          </cell>
        </row>
        <row r="14246">
          <cell r="B14246" t="str">
            <v>25030201010206</v>
          </cell>
          <cell r="C14246" t="str">
            <v>VAL CCS COB JP MORGAN                   2NC</v>
          </cell>
        </row>
        <row r="14247">
          <cell r="B14247" t="str">
            <v>25030201010208</v>
          </cell>
          <cell r="C14247" t="str">
            <v>VAL CCS COB BNP PARIBAS                 2NC</v>
          </cell>
        </row>
        <row r="14248">
          <cell r="B14248" t="str">
            <v>25030201010209</v>
          </cell>
          <cell r="C14248" t="str">
            <v>VAL CCS COB BBVA-ESPAÃ‘A                2NC</v>
          </cell>
        </row>
        <row r="14249">
          <cell r="B14249" t="str">
            <v>25030201010301</v>
          </cell>
          <cell r="C14249" t="str">
            <v>INT X PAGAR COMPRA SWAPS MONEDAS COB    2NC</v>
          </cell>
        </row>
        <row r="14250">
          <cell r="B14250" t="str">
            <v>25030201010303</v>
          </cell>
          <cell r="C14250" t="str">
            <v>VALOR CCS COBERTURA                     2 C</v>
          </cell>
        </row>
        <row r="14251">
          <cell r="B14251" t="str">
            <v>25030201010304</v>
          </cell>
          <cell r="C14251" t="str">
            <v>VALORIZACION CCS COBERTURA MESA COMPRA  2NC</v>
          </cell>
        </row>
        <row r="14252">
          <cell r="B14252" t="str">
            <v>25030201010305</v>
          </cell>
          <cell r="C14252" t="str">
            <v>INT POR PAGAR  CCS COBERTURA MESA COMPRA2NC</v>
          </cell>
        </row>
        <row r="14253">
          <cell r="B14253" t="str">
            <v>25030201010306</v>
          </cell>
          <cell r="C14253" t="str">
            <v>VALORIZACION CCS COBERTURA MESA VENTA   2NC</v>
          </cell>
        </row>
        <row r="14254">
          <cell r="B14254" t="str">
            <v>25030201010307</v>
          </cell>
          <cell r="C14254" t="str">
            <v>INT POR PAGAR  CCS COBERTURA MESA VENTA 2NC</v>
          </cell>
        </row>
        <row r="14255">
          <cell r="B14255" t="str">
            <v>25030201010314</v>
          </cell>
          <cell r="C14255" t="str">
            <v>VAL CCS ADEUDADO 2027 BANK OF CHINA     2 C</v>
          </cell>
        </row>
        <row r="14256">
          <cell r="B14256" t="str">
            <v>25030202010101</v>
          </cell>
          <cell r="C14256" t="str">
            <v>CONTR A FUT TASAS SWAP COBERTURA (INT)  2NC</v>
          </cell>
        </row>
        <row r="14257">
          <cell r="B14257" t="str">
            <v>25030202010201</v>
          </cell>
          <cell r="C14257" t="str">
            <v>CONT A FUT TASAS INT SWAP COBERTURA     2NC</v>
          </cell>
        </row>
        <row r="14258">
          <cell r="B14258" t="str">
            <v>25030202010202</v>
          </cell>
          <cell r="C14258" t="str">
            <v>VENTAS A FUTURO-SWAP INT (IRS)          2NC</v>
          </cell>
        </row>
        <row r="14259">
          <cell r="B14259" t="str">
            <v>25030202010210</v>
          </cell>
          <cell r="C14259" t="str">
            <v>INT SWAPS DE TASAS DE INT ASOC. A DPRS  2NC</v>
          </cell>
        </row>
        <row r="14260">
          <cell r="B14260" t="str">
            <v>25030202010211</v>
          </cell>
          <cell r="C14260" t="str">
            <v>INT SWAPS DE TASAS DE INT ASOC.A DPRS   2NC</v>
          </cell>
        </row>
        <row r="14261">
          <cell r="B14261" t="str">
            <v>25030202010212</v>
          </cell>
          <cell r="C14261" t="str">
            <v>CXP INT  OVERNIGHT INTEREST SWAP        2NC</v>
          </cell>
        </row>
        <row r="14262">
          <cell r="B14262" t="str">
            <v>25030202020401</v>
          </cell>
          <cell r="C14262" t="str">
            <v>FORWARDS                                2NC</v>
          </cell>
        </row>
        <row r="14263">
          <cell r="B14263" t="str">
            <v>25040200000904</v>
          </cell>
          <cell r="C14263" t="str">
            <v>SEG PH MIVIVIENDA-INMOBILIARIO          2NC</v>
          </cell>
        </row>
        <row r="14264">
          <cell r="B14264" t="str">
            <v>25040200000907</v>
          </cell>
          <cell r="C14264" t="str">
            <v>SEG INMOBILIARIO PHIPOTECARIO RP        2NC</v>
          </cell>
        </row>
        <row r="14265">
          <cell r="B14265" t="str">
            <v>25040600000101</v>
          </cell>
          <cell r="C14265" t="str">
            <v>GARANTIAS POR ALQUILERES                2NC</v>
          </cell>
        </row>
        <row r="14266">
          <cell r="B14266" t="str">
            <v>25040600000102</v>
          </cell>
          <cell r="C14266" t="str">
            <v>GARANTIAS POR ALQUILERES                2NC</v>
          </cell>
        </row>
        <row r="14267">
          <cell r="B14267" t="str">
            <v>25040800000101</v>
          </cell>
          <cell r="C14267" t="str">
            <v>CPP CUOTAS AF ATM                       2NC</v>
          </cell>
        </row>
        <row r="14268">
          <cell r="B14268" t="str">
            <v>25040800000109</v>
          </cell>
          <cell r="C14268" t="str">
            <v>CPP CUOTAS AF DATA CENTER               2NC</v>
          </cell>
        </row>
        <row r="14269">
          <cell r="B14269" t="str">
            <v>25040800000110</v>
          </cell>
          <cell r="C14269" t="str">
            <v>CPP CUOTAS ARREDAMIENTO PC              2NC</v>
          </cell>
        </row>
        <row r="14270">
          <cell r="B14270" t="str">
            <v>25040800000111</v>
          </cell>
          <cell r="C14270" t="str">
            <v>CPP CUOTAS ARREDAMIENTO EMBOZADORAS     2NC</v>
          </cell>
        </row>
        <row r="14271">
          <cell r="B14271" t="str">
            <v>25040800000112</v>
          </cell>
          <cell r="C14271" t="str">
            <v>CPP CUOTAS AF RED INALAMBRICA           2NC</v>
          </cell>
        </row>
        <row r="14272">
          <cell r="B14272" t="str">
            <v>25040900000101</v>
          </cell>
          <cell r="C14272" t="str">
            <v>CL CTA.X PAGAR C.HIPOT.TRANS.TP         2NC</v>
          </cell>
        </row>
        <row r="14273">
          <cell r="B14273" t="str">
            <v>25041101000101</v>
          </cell>
          <cell r="C14273" t="str">
            <v>ADEUDOS Y OBLIGACIONES CON EL BCRP-OP RE2NC</v>
          </cell>
        </row>
        <row r="14274">
          <cell r="B14274" t="str">
            <v>25041101000102</v>
          </cell>
          <cell r="C14274" t="str">
            <v>BCRP ADEUDADO Y OBLIGACIONES - OP EXPANS2NC</v>
          </cell>
        </row>
        <row r="14275">
          <cell r="B14275" t="str">
            <v>25041101000103</v>
          </cell>
          <cell r="C14275" t="str">
            <v>BCRP ADEUDADO Y OBLIGACIONES - OP SUSTIT2NC</v>
          </cell>
        </row>
        <row r="14276">
          <cell r="B14276" t="str">
            <v>25041101010101</v>
          </cell>
          <cell r="C14276" t="str">
            <v>ADEUDOS Y OBLIGACIONES CON EL BCRP-OP RE2NC</v>
          </cell>
        </row>
        <row r="14277">
          <cell r="B14277" t="str">
            <v>25041101010102</v>
          </cell>
          <cell r="C14277" t="str">
            <v>BCRP ADEUDADO Y OBLIGACIONES - OP EXPANS2NC</v>
          </cell>
        </row>
        <row r="14278">
          <cell r="B14278" t="str">
            <v>25041101010103</v>
          </cell>
          <cell r="C14278" t="str">
            <v>BCRP ADEUDADO Y OBLIGACIONES - OP SUSTIT2NC</v>
          </cell>
        </row>
        <row r="14279">
          <cell r="B14279" t="str">
            <v>25041101010104</v>
          </cell>
          <cell r="C14279" t="str">
            <v>OBLIG.CDN BCRP - PACTOS DE RECOMPRA     2NC</v>
          </cell>
        </row>
        <row r="14280">
          <cell r="B14280" t="str">
            <v>25041101010105</v>
          </cell>
          <cell r="C14280" t="str">
            <v>MDC BCRP ADEUDADO CARTERA C             2NC</v>
          </cell>
        </row>
        <row r="14281">
          <cell r="B14281" t="str">
            <v>25041101010106</v>
          </cell>
          <cell r="C14281" t="str">
            <v>REPOÂ Â  GARANTIA CARTERA DE CREDITO BCR2 C</v>
          </cell>
        </row>
        <row r="14282">
          <cell r="B14282" t="str">
            <v>25041101010107</v>
          </cell>
          <cell r="C14282" t="str">
            <v>REPO GRANTIA CARTERA DE CREDITO AMORTIZA2 C</v>
          </cell>
        </row>
        <row r="14283">
          <cell r="B14283" t="str">
            <v>25041101010108</v>
          </cell>
          <cell r="C14283" t="str">
            <v>MDC OBLIG.CDN BCRP - REPO CON GARANTIA B2NC</v>
          </cell>
        </row>
        <row r="14284">
          <cell r="B14284" t="str">
            <v>25041102010101</v>
          </cell>
          <cell r="C14284" t="str">
            <v>MDC REPO INTERBANCARIO ENAJENANTE       2NC</v>
          </cell>
        </row>
        <row r="14285">
          <cell r="B14285" t="str">
            <v>25041109010100</v>
          </cell>
          <cell r="C14285" t="str">
            <v>MDC REPO INTERBANCARIO ENAJENANTE EXT   2NC</v>
          </cell>
        </row>
        <row r="14286">
          <cell r="B14286" t="str">
            <v>25041900000101</v>
          </cell>
          <cell r="C14286" t="str">
            <v>INT. Y DIVIDENDOS DE TERCEROS           2NC</v>
          </cell>
        </row>
        <row r="14287">
          <cell r="B14287" t="str">
            <v>25041900000102</v>
          </cell>
          <cell r="C14287" t="str">
            <v>CAJAS DE SEGURIDAD - GARANTIAS          2NC</v>
          </cell>
        </row>
        <row r="14288">
          <cell r="B14288" t="str">
            <v>25041900000104</v>
          </cell>
          <cell r="C14288" t="str">
            <v>CTA.POR PAG.- CTAS.CTES.CANCELADAS      2NC</v>
          </cell>
        </row>
        <row r="14289">
          <cell r="B14289" t="str">
            <v>25041900000106</v>
          </cell>
          <cell r="C14289" t="str">
            <v>PROVISION  - PREMIOS CTA.MILLONARIA     2NC</v>
          </cell>
        </row>
        <row r="14290">
          <cell r="B14290" t="str">
            <v>25041900000109</v>
          </cell>
          <cell r="C14290" t="str">
            <v>OTRAS CUENTAS POR PAG.                  2YC</v>
          </cell>
        </row>
        <row r="14291">
          <cell r="B14291" t="str">
            <v>25041900000110</v>
          </cell>
          <cell r="C14291" t="str">
            <v>COMPRA DE VALORES                       2NC</v>
          </cell>
        </row>
        <row r="14292">
          <cell r="B14292" t="str">
            <v>25041900000111</v>
          </cell>
          <cell r="C14292" t="str">
            <v>OTRAS CXP VTA CARTERA A 3EROS CL        2NC</v>
          </cell>
        </row>
        <row r="14293">
          <cell r="B14293" t="str">
            <v>25041900000114</v>
          </cell>
          <cell r="C14293" t="str">
            <v>PROVISIONES CONTROL ADMINISTRATIVO E    2YC</v>
          </cell>
        </row>
        <row r="14294">
          <cell r="B14294" t="str">
            <v>25041900000115</v>
          </cell>
          <cell r="C14294" t="str">
            <v>CL CXP VTA CARTERA SERCA BL             2NC</v>
          </cell>
        </row>
        <row r="14295">
          <cell r="B14295" t="str">
            <v>25041900000116</v>
          </cell>
          <cell r="C14295" t="str">
            <v>BL OTRAS CUENTAS POR PAGAR              2NC</v>
          </cell>
        </row>
        <row r="14296">
          <cell r="B14296" t="str">
            <v>25041900000117</v>
          </cell>
          <cell r="C14296" t="str">
            <v>CL CXP BL 100%PROV.FIDEICOM. I          2NC</v>
          </cell>
        </row>
        <row r="14297">
          <cell r="B14297" t="str">
            <v>25041900000118</v>
          </cell>
          <cell r="C14297" t="str">
            <v>BL CTAS POR PAGAR BONOS                 2NC</v>
          </cell>
        </row>
        <row r="14298">
          <cell r="B14298" t="str">
            <v>25041900000120</v>
          </cell>
          <cell r="C14298" t="str">
            <v>CL CAPITAL VTA.CART. A 3EROS II         2NC</v>
          </cell>
        </row>
        <row r="14299">
          <cell r="B14299" t="str">
            <v>25041900000121</v>
          </cell>
          <cell r="C14299" t="str">
            <v>CL CXP VTA.CART.INV.TEMPERA BL          2NC</v>
          </cell>
        </row>
        <row r="14300">
          <cell r="B14300" t="str">
            <v>25041900000122</v>
          </cell>
          <cell r="C14300" t="str">
            <v>CL CXP BL DS099 FIDEICOMISO II          2NC</v>
          </cell>
        </row>
        <row r="14301">
          <cell r="B14301" t="str">
            <v>25041900000123</v>
          </cell>
          <cell r="C14301" t="str">
            <v>CL CXP BL CASTIGOS FIDEICOM. I          2NC</v>
          </cell>
        </row>
        <row r="14302">
          <cell r="B14302" t="str">
            <v>25041900000125</v>
          </cell>
          <cell r="C14302" t="str">
            <v>BL FACTURAS POR RECIBIR                 2NC</v>
          </cell>
        </row>
        <row r="14303">
          <cell r="B14303" t="str">
            <v>25041900000127</v>
          </cell>
          <cell r="C14303" t="str">
            <v>CUENTAS POR PAGAR BCR C/C               2NC</v>
          </cell>
        </row>
        <row r="14304">
          <cell r="B14304" t="str">
            <v>25041900000130</v>
          </cell>
          <cell r="C14304" t="str">
            <v>INT. Y DIVIDENDOS DE TERCEROS-GTIAS     2NC</v>
          </cell>
        </row>
        <row r="14305">
          <cell r="B14305" t="str">
            <v>25041900000132</v>
          </cell>
          <cell r="C14305" t="str">
            <v>PAGOS A CUENTA INTERSERV                2NC</v>
          </cell>
        </row>
        <row r="14306">
          <cell r="B14306" t="str">
            <v>25041900000133</v>
          </cell>
          <cell r="C14306" t="str">
            <v>CL CXP ENCARGO COB.CONTACTO             2NC</v>
          </cell>
        </row>
        <row r="14307">
          <cell r="B14307" t="str">
            <v>25041900000134</v>
          </cell>
          <cell r="C14307" t="str">
            <v>CONVENIOS PORFIN                        2NC</v>
          </cell>
        </row>
        <row r="14308">
          <cell r="B14308" t="str">
            <v>25041900000137</v>
          </cell>
          <cell r="C14308" t="str">
            <v>CTA POR PAGAR-ADM.DE EFECTIVO           2YC</v>
          </cell>
        </row>
        <row r="14309">
          <cell r="B14309" t="str">
            <v>25041900000139</v>
          </cell>
          <cell r="C14309" t="str">
            <v>CTA POR PAGAR MONEDEROS                 2NC</v>
          </cell>
        </row>
        <row r="14310">
          <cell r="B14310" t="str">
            <v>25041900000140</v>
          </cell>
          <cell r="C14310" t="str">
            <v>SALDOS ACREEDORES TARJETA DE CREDITO    2NC</v>
          </cell>
        </row>
        <row r="14311">
          <cell r="B14311" t="str">
            <v>25041900000141</v>
          </cell>
          <cell r="C14311" t="str">
            <v>CUENTA POR PAGAR RENOVACION TC          2NC</v>
          </cell>
        </row>
        <row r="14312">
          <cell r="B14312" t="str">
            <v>25041900000142</v>
          </cell>
          <cell r="C14312" t="str">
            <v>DEVOLUCIONES CONVECOV LIC               2NC</v>
          </cell>
        </row>
        <row r="14313">
          <cell r="B14313" t="str">
            <v>25041900000144</v>
          </cell>
          <cell r="C14313" t="str">
            <v>LIC DEV. AHORRO MEGA                    2NC</v>
          </cell>
        </row>
        <row r="14314">
          <cell r="B14314" t="str">
            <v>25041900000146</v>
          </cell>
          <cell r="C14314" t="str">
            <v>CONV.SUBCAFAE UGEL5 LIMA                2NC</v>
          </cell>
        </row>
        <row r="14315">
          <cell r="B14315" t="str">
            <v>25041900000149</v>
          </cell>
          <cell r="C14315" t="str">
            <v>CTA COBRAR SERVICIO TELEFONIA           2NC</v>
          </cell>
        </row>
        <row r="14316">
          <cell r="B14316" t="str">
            <v>25041900000151</v>
          </cell>
          <cell r="C14316" t="str">
            <v>LIC SALDOS CONVENIO D.2                 2NC</v>
          </cell>
        </row>
        <row r="14317">
          <cell r="B14317" t="str">
            <v>25041900000153</v>
          </cell>
          <cell r="C14317" t="str">
            <v>SALDO A FAVOR TARJETA DE CREDITO        2NC</v>
          </cell>
        </row>
        <row r="14318">
          <cell r="B14318" t="str">
            <v>25041900000156</v>
          </cell>
          <cell r="C14318" t="str">
            <v>CHI Y IC CXP SERV CRED HIPOTECARIO      2NC</v>
          </cell>
        </row>
        <row r="14319">
          <cell r="B14319" t="str">
            <v>25041900000157</v>
          </cell>
          <cell r="C14319" t="str">
            <v>CTA POR PAGAR IB DIRECTO                2NC</v>
          </cell>
        </row>
        <row r="14320">
          <cell r="B14320" t="str">
            <v>25041900000160</v>
          </cell>
          <cell r="C14320" t="str">
            <v>CXP COMPENSACION CREDITO VEHICULAR      2NC</v>
          </cell>
        </row>
        <row r="14321">
          <cell r="B14321" t="str">
            <v>25041900000162</v>
          </cell>
          <cell r="C14321" t="str">
            <v>CTAS X PAGAR VARIOS                     2NC</v>
          </cell>
        </row>
        <row r="14322">
          <cell r="B14322" t="str">
            <v>25041900000163</v>
          </cell>
          <cell r="C14322" t="str">
            <v>CTA X PAGAR BIG FAMILY CLARO            2NC</v>
          </cell>
        </row>
        <row r="14323">
          <cell r="B14323" t="str">
            <v>25041900000164</v>
          </cell>
          <cell r="C14323" t="str">
            <v>ADELANTOS POR VENTA DE BIENES AD        2NC</v>
          </cell>
        </row>
        <row r="14324">
          <cell r="B14324" t="str">
            <v>25041900000165</v>
          </cell>
          <cell r="C14324" t="str">
            <v>FONDOS GTÂ¡AS BCO DE TRABAJO            2NC</v>
          </cell>
        </row>
        <row r="14325">
          <cell r="B14325" t="str">
            <v>25041900000166</v>
          </cell>
          <cell r="C14325" t="str">
            <v>FONDO GARANTIA CONTRATISTAS - OBRAS     2YC</v>
          </cell>
        </row>
        <row r="14326">
          <cell r="B14326" t="str">
            <v>25041900000167</v>
          </cell>
          <cell r="C14326" t="str">
            <v>TC CUENTAS POR PAGAR TARJETA            2NC</v>
          </cell>
        </row>
        <row r="14327">
          <cell r="B14327" t="str">
            <v>25041900000168</v>
          </cell>
          <cell r="C14327" t="str">
            <v>SALDOS TARJETA PREPAGO -?REMESADORAS    2NC</v>
          </cell>
        </row>
        <row r="14328">
          <cell r="B14328" t="str">
            <v>25041900000169</v>
          </cell>
          <cell r="C14328" t="str">
            <v>PROV. MILLAS BENEFIT                    2YC</v>
          </cell>
        </row>
        <row r="14329">
          <cell r="B14329" t="str">
            <v>25041900000170</v>
          </cell>
          <cell r="C14329" t="str">
            <v>LIC CXP ESTABLECIMIENTO CONVENIO        2NC</v>
          </cell>
        </row>
        <row r="14330">
          <cell r="B14330" t="str">
            <v>25041900000171</v>
          </cell>
          <cell r="C14330" t="str">
            <v>ADELANTOS POR VENTA DE BIENES PROPIOS   2YC</v>
          </cell>
        </row>
        <row r="14331">
          <cell r="B14331" t="str">
            <v>25041900000172</v>
          </cell>
          <cell r="C14331" t="str">
            <v>HPC CUENTA POR PAGAR TITULIZADORA       2NC</v>
          </cell>
        </row>
        <row r="14332">
          <cell r="B14332" t="str">
            <v>25041900000173</v>
          </cell>
          <cell r="C14332" t="str">
            <v>OPER POR REG - TIENDAS                  2YC</v>
          </cell>
        </row>
        <row r="14333">
          <cell r="B14333" t="str">
            <v>25041900000181</v>
          </cell>
          <cell r="C14333" t="str">
            <v>CTAS POR PAGAR - CONTROVERSIAS          2NC</v>
          </cell>
        </row>
        <row r="14334">
          <cell r="B14334" t="str">
            <v>25041900000195</v>
          </cell>
          <cell r="C14334" t="str">
            <v>TC D/E FORANEAS POR PAGAR               2NC</v>
          </cell>
        </row>
        <row r="14335">
          <cell r="B14335" t="str">
            <v>25041900000196</v>
          </cell>
          <cell r="C14335" t="str">
            <v>HPC CXP SERV CRED HIPOTECARIO(ITF)      2NC</v>
          </cell>
        </row>
        <row r="14336">
          <cell r="B14336" t="str">
            <v>25041900000208</v>
          </cell>
          <cell r="C14336" t="str">
            <v>CTAS POR PAGAR JUDICIAL                 2NC</v>
          </cell>
        </row>
        <row r="14337">
          <cell r="B14337" t="str">
            <v>25041900000210</v>
          </cell>
          <cell r="C14337" t="str">
            <v>CUENTA POR PAGAR INVERSIONES            2YC</v>
          </cell>
        </row>
        <row r="14338">
          <cell r="B14338" t="str">
            <v>25041900000211</v>
          </cell>
          <cell r="C14338" t="str">
            <v>OTRAS CUENTAS POR PAG-COMEX             2NC</v>
          </cell>
        </row>
        <row r="14339">
          <cell r="B14339" t="str">
            <v>25041900000212</v>
          </cell>
          <cell r="C14339" t="str">
            <v>CONSUMOS REVOLVENTE TC RECARGA          2NC</v>
          </cell>
        </row>
        <row r="14340">
          <cell r="B14340" t="str">
            <v>25041900000213</v>
          </cell>
          <cell r="C14340" t="str">
            <v>CUENTA POR PAGAR GPTC                   2YC</v>
          </cell>
        </row>
        <row r="14341">
          <cell r="B14341" t="str">
            <v>25041900000221</v>
          </cell>
          <cell r="C14341" t="str">
            <v>AP CxP FONDO FIJO TIENDAS               2NC</v>
          </cell>
        </row>
        <row r="14342">
          <cell r="B14342" t="str">
            <v>25041900000222</v>
          </cell>
          <cell r="C14342" t="str">
            <v>AP CxP COLABORADORES                    2NC</v>
          </cell>
        </row>
        <row r="14343">
          <cell r="B14343" t="str">
            <v>25041900000223</v>
          </cell>
          <cell r="C14343" t="str">
            <v>TC SALDOS ACREEDORES                    2NC</v>
          </cell>
        </row>
        <row r="14344">
          <cell r="B14344" t="str">
            <v>25041900000224</v>
          </cell>
          <cell r="C14344" t="str">
            <v>OP DE CAMBIO T+XÂ DERIVADOS             2YC</v>
          </cell>
        </row>
        <row r="14345">
          <cell r="B14345" t="str">
            <v>25041900000225</v>
          </cell>
          <cell r="C14345" t="str">
            <v>CTA X PAGAR CCUP                        2NC</v>
          </cell>
        </row>
        <row r="14346">
          <cell r="B14346" t="str">
            <v>25041900000226</v>
          </cell>
          <cell r="C14346" t="str">
            <v>CAJA RURAL NUESTRA GENTE                2NC</v>
          </cell>
        </row>
        <row r="14347">
          <cell r="B14347" t="str">
            <v>25041900000227</v>
          </cell>
          <cell r="C14347" t="str">
            <v>LIC OP.PAGOS BCO NACION CONVENIO        2NC</v>
          </cell>
        </row>
        <row r="14348">
          <cell r="B14348" t="str">
            <v>25041900000229</v>
          </cell>
          <cell r="C14348" t="str">
            <v>JCC OTRAS CXP VTA CARTERA A 3EROS       2NC</v>
          </cell>
        </row>
        <row r="14349">
          <cell r="B14349" t="str">
            <v>25041900000230</v>
          </cell>
          <cell r="C14349" t="str">
            <v>JCC CAPITAL VTA.CART. A 3EROS II        2NC</v>
          </cell>
        </row>
        <row r="14350">
          <cell r="B14350" t="str">
            <v>25041900000231</v>
          </cell>
          <cell r="C14350" t="str">
            <v>JCC OTRAS CXP VTA CARTERA A 3EROS       2NC</v>
          </cell>
        </row>
        <row r="14351">
          <cell r="B14351" t="str">
            <v>25041900000232</v>
          </cell>
          <cell r="C14351" t="str">
            <v>JCC OTRAS CXP VTA CARTERA A 3EROS       2NC</v>
          </cell>
        </row>
        <row r="14352">
          <cell r="B14352" t="str">
            <v>25041900000237</v>
          </cell>
          <cell r="C14352" t="str">
            <v>JCC CXP ENCARGO COB.CONTACTO            2NC</v>
          </cell>
        </row>
        <row r="14353">
          <cell r="B14353" t="str">
            <v>25041900000238</v>
          </cell>
          <cell r="C14353" t="str">
            <v>JCC CXP VTA CARTERA SERCA BL.           2NC</v>
          </cell>
        </row>
        <row r="14354">
          <cell r="B14354" t="str">
            <v>25041900000239</v>
          </cell>
          <cell r="C14354" t="str">
            <v>JCC CXP BL DS099 FIDEICOMISO II         2NC</v>
          </cell>
        </row>
        <row r="14355">
          <cell r="B14355" t="str">
            <v>25041900000240</v>
          </cell>
          <cell r="C14355" t="str">
            <v>JCC CXP BL CASTIGOS FIDEICOM. I         2NC</v>
          </cell>
        </row>
        <row r="14356">
          <cell r="B14356" t="str">
            <v>25041900000241</v>
          </cell>
          <cell r="C14356" t="str">
            <v>JCC CXP BL 100%PROV.FIDEICOM. I         2NC</v>
          </cell>
        </row>
        <row r="14357">
          <cell r="B14357" t="str">
            <v>25041900000242</v>
          </cell>
          <cell r="C14357" t="str">
            <v>PROV GASTOS AUTOMATICO                  2NC</v>
          </cell>
        </row>
        <row r="14358">
          <cell r="B14358" t="str">
            <v>25041900000243</v>
          </cell>
          <cell r="C14358" t="str">
            <v>LIC SALDOS NOMINAS CONVENIO             2NC</v>
          </cell>
        </row>
        <row r="14359">
          <cell r="B14359" t="str">
            <v>25041900000244</v>
          </cell>
          <cell r="C14359" t="str">
            <v>CUENTAS POR PAGAR BCA COMERC. Y CONSUMO 2YC</v>
          </cell>
        </row>
        <row r="14360">
          <cell r="B14360" t="str">
            <v>25041900000245</v>
          </cell>
          <cell r="C14360" t="str">
            <v>PROVISIÃ“N DEL PRODUCTO MEMBRESHIP REWAR2YC</v>
          </cell>
        </row>
        <row r="14361">
          <cell r="B14361" t="str">
            <v>25041900000246</v>
          </cell>
          <cell r="C14361" t="str">
            <v>ALQUILER DE INMUEBLES                   2NC</v>
          </cell>
        </row>
        <row r="14362">
          <cell r="B14362" t="str">
            <v>25041900000247</v>
          </cell>
          <cell r="C14362" t="str">
            <v>PROVISION PREMIOS TC CLARO-IBK          2YC</v>
          </cell>
        </row>
        <row r="14363">
          <cell r="B14363" t="str">
            <v>25041900000249</v>
          </cell>
          <cell r="C14363" t="str">
            <v>CTA X PAGAR DIF X REG IB-DIRECTO        2YC</v>
          </cell>
        </row>
        <row r="14364">
          <cell r="B14364" t="str">
            <v>25041900000250</v>
          </cell>
          <cell r="C14364" t="str">
            <v>JCC CXP  VTA.CART.OTR. COMERC           2NC</v>
          </cell>
        </row>
        <row r="14365">
          <cell r="B14365" t="str">
            <v>25041900000251</v>
          </cell>
          <cell r="C14365" t="str">
            <v>CTA. POR PAGAR CHIP MASTERCAR           2NC</v>
          </cell>
        </row>
        <row r="14366">
          <cell r="B14366" t="str">
            <v>25041900000252</v>
          </cell>
          <cell r="C14366" t="str">
            <v>CTA X PAGAR BIG FAMILY CLARO (RPC)      2NC</v>
          </cell>
        </row>
        <row r="14367">
          <cell r="B14367" t="str">
            <v>25041900000253</v>
          </cell>
          <cell r="C14367" t="str">
            <v>PROVISIONES GRATIFICACIÃ“N EXTRAORDINARI2YC</v>
          </cell>
        </row>
        <row r="14368">
          <cell r="B14368" t="str">
            <v>25041900000254</v>
          </cell>
          <cell r="C14368" t="str">
            <v>CUENTA POR PAGAR  SPTX                  2NC</v>
          </cell>
        </row>
        <row r="14369">
          <cell r="B14369" t="str">
            <v>25041900000255</v>
          </cell>
          <cell r="C14369" t="str">
            <v>LIC PREPAGOS POR ADELANTO DE CUOTAS     2NC</v>
          </cell>
        </row>
        <row r="14370">
          <cell r="B14370" t="str">
            <v>25041900000256</v>
          </cell>
          <cell r="C14370" t="str">
            <v>CPP BIG FAMILY 2014-2016                2NC</v>
          </cell>
        </row>
        <row r="14371">
          <cell r="B14371" t="str">
            <v>25041900000257</v>
          </cell>
          <cell r="C14371" t="str">
            <v>CXP MARGIN CALL                         2YC</v>
          </cell>
        </row>
        <row r="14372">
          <cell r="B14372" t="str">
            <v>25041900000258</v>
          </cell>
          <cell r="C14372" t="str">
            <v>CXP OPERACIONES FORWARD                 2YC</v>
          </cell>
        </row>
        <row r="14373">
          <cell r="B14373" t="str">
            <v>25041900000259</v>
          </cell>
          <cell r="C14373" t="str">
            <v>CTA POR PAGAR DINERO ELECTRONICO        2NC</v>
          </cell>
        </row>
        <row r="14374">
          <cell r="B14374" t="str">
            <v>25041900000260</v>
          </cell>
          <cell r="C14374" t="str">
            <v>CUENTAS POR PAGAR OPERACIONES LEASING   2YC</v>
          </cell>
        </row>
        <row r="14375">
          <cell r="B14375" t="str">
            <v>25041900000261</v>
          </cell>
          <cell r="C14375" t="str">
            <v>TC  CUENTAS POR PAGAR OP. TARJETA DE CRE2YC</v>
          </cell>
        </row>
        <row r="14376">
          <cell r="B14376" t="str">
            <v>25041900000262</v>
          </cell>
          <cell r="C14376" t="str">
            <v>TC PROVISION COMISION USO ATM           2NC</v>
          </cell>
        </row>
        <row r="14377">
          <cell r="B14377" t="str">
            <v>25041900000263</v>
          </cell>
          <cell r="C14377" t="str">
            <v>OP ORD.DE PAGO-CH/G ANT   2007          2NC</v>
          </cell>
        </row>
        <row r="14378">
          <cell r="B14378" t="str">
            <v>25041900000264</v>
          </cell>
          <cell r="C14378" t="str">
            <v>C X PAGAR  PF SPTX T-3X                 2NC</v>
          </cell>
        </row>
        <row r="14379">
          <cell r="B14379" t="str">
            <v>25041900000265</v>
          </cell>
          <cell r="C14379" t="str">
            <v>CUENTA POR PAGAR ABONO NO PROCESADO     2NC</v>
          </cell>
        </row>
        <row r="14380">
          <cell r="B14380" t="str">
            <v>25041900000266</v>
          </cell>
          <cell r="C14380" t="str">
            <v>RECAUDACION Y PAGOS                     2YC</v>
          </cell>
        </row>
        <row r="14381">
          <cell r="B14381" t="str">
            <v>25041900000267</v>
          </cell>
          <cell r="C14381" t="str">
            <v>PROVISION OC CONTROL DE GASTOS          2YC</v>
          </cell>
        </row>
        <row r="14382">
          <cell r="B14382" t="str">
            <v>25041900000268</v>
          </cell>
          <cell r="C14382" t="str">
            <v>CTA X PAGAR BILLETES PRESUNTAMENTE FALSO2YC</v>
          </cell>
        </row>
        <row r="14383">
          <cell r="B14383" t="str">
            <v>25041900000269</v>
          </cell>
          <cell r="C14383" t="str">
            <v>CTAS POR PAGAR CD BCO COMERCIO - PNP    2YC</v>
          </cell>
        </row>
        <row r="14384">
          <cell r="B14384" t="str">
            <v>25041900000270</v>
          </cell>
          <cell r="C14384" t="str">
            <v>CUENTAS POR PAGAR BCA COMERCIAL         2YC</v>
          </cell>
        </row>
        <row r="14385">
          <cell r="B14385" t="str">
            <v>25041900000271</v>
          </cell>
          <cell r="C14385" t="str">
            <v>HPC CXP SEG.DESG.CRED.VEH               2NC</v>
          </cell>
        </row>
        <row r="14386">
          <cell r="B14386" t="str">
            <v>25041900000272</v>
          </cell>
          <cell r="C14386" t="str">
            <v>HPC CXP SEG.DESG.CRED.PERS              2NC</v>
          </cell>
        </row>
        <row r="14387">
          <cell r="B14387" t="str">
            <v>25041900000273</v>
          </cell>
          <cell r="C14387" t="str">
            <v>HPC CXP SEG.DESG.CRED.EFECT             2NC</v>
          </cell>
        </row>
        <row r="14388">
          <cell r="B14388" t="str">
            <v>25041900000274</v>
          </cell>
          <cell r="C14388" t="str">
            <v>HPC CXP SEG.DESG.CRED.REF               2NC</v>
          </cell>
        </row>
        <row r="14389">
          <cell r="B14389" t="str">
            <v>25041900000275</v>
          </cell>
          <cell r="C14389" t="str">
            <v>HPC CXP SEG.DESG.CRED.HIP               2NC</v>
          </cell>
        </row>
        <row r="14390">
          <cell r="B14390" t="str">
            <v>25041900000276</v>
          </cell>
          <cell r="C14390" t="str">
            <v>JCC CAP E INTXP VTA CARTERA HIPOTECARIA 2NC</v>
          </cell>
        </row>
        <row r="14391">
          <cell r="B14391" t="str">
            <v>25041900000277</v>
          </cell>
          <cell r="C14391" t="str">
            <v>FIDEICOMISO-DIFERIDO                    2NC</v>
          </cell>
        </row>
        <row r="14392">
          <cell r="B14392" t="str">
            <v>25041900000301</v>
          </cell>
          <cell r="C14392" t="str">
            <v>PROVISIONES BONOS POR METAS             2NC</v>
          </cell>
        </row>
        <row r="14393">
          <cell r="B14393" t="str">
            <v>25041900000302</v>
          </cell>
          <cell r="C14393" t="str">
            <v>PROVISIONES INCENTIVOS Y COMISIONES POR 2NC</v>
          </cell>
        </row>
        <row r="14394">
          <cell r="B14394" t="str">
            <v>25041900000303</v>
          </cell>
          <cell r="C14394" t="str">
            <v>PROVISIONES BONOS DE DESEMPEÃ‘O         2NC</v>
          </cell>
        </row>
        <row r="14395">
          <cell r="B14395" t="str">
            <v>25041900000304</v>
          </cell>
          <cell r="C14395" t="str">
            <v>PROVISIONES IR ASUMIDO                  2NC</v>
          </cell>
        </row>
        <row r="14396">
          <cell r="B14396" t="str">
            <v>25041900000305</v>
          </cell>
          <cell r="C14396" t="str">
            <v>PROVISION EPS                           2NC</v>
          </cell>
        </row>
        <row r="14397">
          <cell r="B14397" t="str">
            <v>25041900000405</v>
          </cell>
          <cell r="C14397" t="str">
            <v>CUENTAS POR PAGAR DEPOSITOS             2NC</v>
          </cell>
        </row>
        <row r="14398">
          <cell r="B14398" t="str">
            <v>25041900000801</v>
          </cell>
          <cell r="C14398" t="str">
            <v>OTRAS CUENTAS POR PAGAR PANAMA          2NC</v>
          </cell>
        </row>
        <row r="14399">
          <cell r="B14399" t="str">
            <v>25041900001101</v>
          </cell>
          <cell r="C14399" t="str">
            <v>CTAS POR PAGARÂ  CONVENIOS Y TRANSFERENC2YC</v>
          </cell>
        </row>
        <row r="14400">
          <cell r="B14400" t="str">
            <v>25041900001102</v>
          </cell>
          <cell r="C14400" t="str">
            <v>CxP ABONO NO PROCESADOÂ CANALES IBK - TD2NC</v>
          </cell>
        </row>
        <row r="14401">
          <cell r="B14401" t="str">
            <v>25041900001103</v>
          </cell>
          <cell r="C14401" t="str">
            <v>CDO SEG. DESGRAV. VISA                  2NC</v>
          </cell>
        </row>
        <row r="14402">
          <cell r="B14402" t="str">
            <v>25041900001104</v>
          </cell>
          <cell r="C14402" t="str">
            <v>CDO SEG. DESGRAV. MASTERCARD            2NC</v>
          </cell>
        </row>
        <row r="14403">
          <cell r="B14403" t="str">
            <v>25041900001105</v>
          </cell>
          <cell r="C14403" t="str">
            <v>CDO SEG. DESGRAV. AMEX                  2NC</v>
          </cell>
        </row>
        <row r="14404">
          <cell r="B14404" t="str">
            <v>25041900001106</v>
          </cell>
          <cell r="C14404" t="str">
            <v>PROVISIÃ“N INCENTIVOS-REM. VARIABLE     2NC</v>
          </cell>
        </row>
        <row r="14405">
          <cell r="B14405" t="str">
            <v>25041900001107</v>
          </cell>
          <cell r="C14405" t="str">
            <v>PROVISIÃ“N COMISIONES-REM. VARIABLE     2NC</v>
          </cell>
        </row>
        <row r="14406">
          <cell r="B14406" t="str">
            <v>25041900001108</v>
          </cell>
          <cell r="C14406" t="str">
            <v>CXP INVERSIONES-OP CAMBIO               2YC</v>
          </cell>
        </row>
        <row r="14407">
          <cell r="B14407" t="str">
            <v>25041900001109</v>
          </cell>
          <cell r="C14407" t="str">
            <v>PAY CXP COLABORADORES                   2NC</v>
          </cell>
        </row>
        <row r="14408">
          <cell r="B14408" t="str">
            <v>25041900001110</v>
          </cell>
          <cell r="C14408" t="str">
            <v>MDC OP PRONTA LIQUIDACION               2YC</v>
          </cell>
        </row>
        <row r="14409">
          <cell r="B14409" t="str">
            <v>25041900001111</v>
          </cell>
          <cell r="C14409" t="str">
            <v>BOG CTA POR PAGAR IB BOGOTA             2NC</v>
          </cell>
        </row>
        <row r="14410">
          <cell r="B14410" t="str">
            <v>25041900001112</v>
          </cell>
          <cell r="C14410" t="str">
            <v>MILLAS BENEFIT                          2NC</v>
          </cell>
        </row>
        <row r="14411">
          <cell r="B14411" t="str">
            <v>25041900001115</v>
          </cell>
          <cell r="C14411" t="str">
            <v>BSE CXP DIVERSAS                        2YC</v>
          </cell>
        </row>
        <row r="14412">
          <cell r="B14412" t="str">
            <v>25041900001116</v>
          </cell>
          <cell r="C14412" t="str">
            <v>LPC CXP OPERACIONES REACTIVA - COFIDE   2YC</v>
          </cell>
        </row>
        <row r="14413">
          <cell r="B14413" t="str">
            <v>25041900001117</v>
          </cell>
          <cell r="C14413" t="str">
            <v>MYP CXP OPERACIONES REACTIVA - COFIDE   2YC</v>
          </cell>
        </row>
        <row r="14414">
          <cell r="B14414" t="str">
            <v>25041900001118</v>
          </cell>
          <cell r="C14414" t="str">
            <v>BTC SALDOS ACREEDORES                   2NC</v>
          </cell>
        </row>
        <row r="14415">
          <cell r="B14415" t="str">
            <v>25041900001119</v>
          </cell>
          <cell r="C14415" t="str">
            <v>BTC SEG. DESGRAV. VISA                  2NC</v>
          </cell>
        </row>
        <row r="14416">
          <cell r="B14416" t="str">
            <v>25041900001120</v>
          </cell>
          <cell r="C14416" t="str">
            <v>CUENTAS POR PAGAR CRED. HIPOTECARIO     2YC</v>
          </cell>
        </row>
        <row r="14417">
          <cell r="B14417" t="str">
            <v>25041900001121</v>
          </cell>
          <cell r="C14417" t="str">
            <v>CTAS POR PAGAR CRED. EFECTIVO-VEHICULAR 2YC</v>
          </cell>
        </row>
        <row r="14418">
          <cell r="B14418" t="str">
            <v>25041900001122</v>
          </cell>
          <cell r="C14418" t="str">
            <v>CUENTAS POR PAGAR CANJE Y DEPOSITOS     2YC</v>
          </cell>
        </row>
        <row r="14419">
          <cell r="B14419" t="str">
            <v>25041900001123</v>
          </cell>
          <cell r="C14419" t="str">
            <v>TC TRANSACCIONES CONTRACARGO            2NC</v>
          </cell>
        </row>
        <row r="14420">
          <cell r="B14420" t="str">
            <v>25041900001124</v>
          </cell>
          <cell r="C14420" t="str">
            <v>ST OPERACIONES CTS EMPLEADORES          2NC</v>
          </cell>
        </row>
        <row r="14421">
          <cell r="B14421" t="str">
            <v>25041900001125</v>
          </cell>
          <cell r="C14421" t="str">
            <v>CUENTA POR PAGAR CANJE                  2NC</v>
          </cell>
        </row>
        <row r="14422">
          <cell r="B14422" t="str">
            <v>25041900001126</v>
          </cell>
          <cell r="C14422" t="str">
            <v>BTC IBK_RAPPIBANK                       2NC</v>
          </cell>
        </row>
        <row r="14423">
          <cell r="B14423" t="str">
            <v>25041900001127</v>
          </cell>
          <cell r="C14423" t="str">
            <v>INV PROVISION ORDENES COMPRA            2 C</v>
          </cell>
        </row>
        <row r="14424">
          <cell r="B14424" t="str">
            <v>25041900001128</v>
          </cell>
          <cell r="C14424" t="str">
            <v>CXP SOBERANOS  SHORT                    2NC</v>
          </cell>
        </row>
        <row r="14425">
          <cell r="B14425" t="str">
            <v>25041900001129</v>
          </cell>
          <cell r="C14425" t="str">
            <v>LIC CUENTAS POR PAGAR CPE               2NC</v>
          </cell>
        </row>
        <row r="14426">
          <cell r="B14426" t="str">
            <v>25041900001130</v>
          </cell>
          <cell r="C14426" t="str">
            <v>BTC RAPPI PAGO A CTA                    2 C</v>
          </cell>
        </row>
        <row r="14427">
          <cell r="B14427" t="str">
            <v>25041900001131</v>
          </cell>
          <cell r="C14427" t="str">
            <v>CONTRACARGOS                            2 C</v>
          </cell>
        </row>
        <row r="14428">
          <cell r="B14428" t="str">
            <v>25041900001132</v>
          </cell>
          <cell r="C14428" t="str">
            <v>CASHBACK RAPPI                          2 C</v>
          </cell>
        </row>
        <row r="14429">
          <cell r="B14429" t="str">
            <v>25041900001134</v>
          </cell>
          <cell r="C14429" t="str">
            <v>COMISION PASARELA RAPPI                 2 C</v>
          </cell>
        </row>
        <row r="14430">
          <cell r="B14430" t="str">
            <v>25041900001135</v>
          </cell>
          <cell r="C14430" t="str">
            <v>LIC CXP SEGURO DE DESGRAVAMEN           2NC</v>
          </cell>
        </row>
        <row r="14431">
          <cell r="B14431" t="str">
            <v>25041900001136</v>
          </cell>
          <cell r="C14431" t="str">
            <v>CUENTA POR PAGAR - COMEX.SERV.EMP       2YC</v>
          </cell>
        </row>
        <row r="14432">
          <cell r="B14432" t="str">
            <v>25041900001137</v>
          </cell>
          <cell r="C14432" t="str">
            <v>HPC BONO BUEN PAGADOR/SOSTENIBLE        2NC</v>
          </cell>
        </row>
        <row r="14433">
          <cell r="B14433" t="str">
            <v>25041900001138</v>
          </cell>
          <cell r="C14433" t="str">
            <v>CUENTAS POR PAGAR PROCESOS FINANCIEROS  2YC</v>
          </cell>
        </row>
        <row r="14434">
          <cell r="B14434" t="str">
            <v>25041900001139</v>
          </cell>
          <cell r="C14434" t="str">
            <v>HPC MICROPRESTAMOS CXP SEG DESG         2 C</v>
          </cell>
        </row>
        <row r="14435">
          <cell r="B14435" t="str">
            <v>25041900001141</v>
          </cell>
          <cell r="C14435" t="str">
            <v>CUENTAS POR PAGAR PROCESOS FINANCIEROS  2YC</v>
          </cell>
        </row>
        <row r="14436">
          <cell r="B14436" t="str">
            <v>25041900001142</v>
          </cell>
          <cell r="C14436" t="str">
            <v>POR EL TRASLADO DE SALDOS EN CUENTAS COR2NC</v>
          </cell>
        </row>
        <row r="14437">
          <cell r="B14437" t="str">
            <v>25041900001143</v>
          </cell>
          <cell r="C14437" t="str">
            <v>JCC CXP OPERACIONES IMPULSO MYPERU - COF2NC</v>
          </cell>
        </row>
        <row r="14438">
          <cell r="B14438" t="str">
            <v>25041900001144</v>
          </cell>
          <cell r="C14438" t="str">
            <v>JCC CXP OPERACIONES IMPULSO MYPERU - COF2NC</v>
          </cell>
        </row>
        <row r="14439">
          <cell r="B14439" t="str">
            <v>25041900001145</v>
          </cell>
          <cell r="C14439" t="str">
            <v>TC OP LIQUIDAR BIM                      2YC</v>
          </cell>
        </row>
        <row r="14440">
          <cell r="B14440" t="str">
            <v>25041900001146</v>
          </cell>
          <cell r="C14440" t="str">
            <v>JCC BC INT  IMPULSO MYPERU PERU COFIDE  2 C</v>
          </cell>
        </row>
        <row r="14441">
          <cell r="B14441" t="str">
            <v>25041900001147</v>
          </cell>
          <cell r="C14441" t="str">
            <v>JCC MP INT IMPULSO MYPERU PERU COFIDE   2 C</v>
          </cell>
        </row>
        <row r="14442">
          <cell r="B14442" t="str">
            <v>25050100000101</v>
          </cell>
          <cell r="C14442" t="str">
            <v>DIVIDENDOS POR PAG.                     2NC</v>
          </cell>
        </row>
        <row r="14443">
          <cell r="B14443" t="str">
            <v>25050200000101</v>
          </cell>
          <cell r="C14443" t="str">
            <v>PARTICIPACIONES POR PAG.                2NC</v>
          </cell>
        </row>
        <row r="14444">
          <cell r="B14444" t="str">
            <v>25050200000102</v>
          </cell>
          <cell r="C14444" t="str">
            <v>PARTICIPACIONES POR PAG.-EX-EMPLEADOS   2NC</v>
          </cell>
        </row>
        <row r="14445">
          <cell r="B14445" t="str">
            <v>25050200000103</v>
          </cell>
          <cell r="C14445" t="str">
            <v>PARTICIPACIÃ“N ADICIONAL EN LAS UTILIDAD2NC</v>
          </cell>
        </row>
        <row r="14446">
          <cell r="B14446" t="str">
            <v>25050300000101</v>
          </cell>
          <cell r="C14446" t="str">
            <v>VACACIONES POR PAGAR                    2NC</v>
          </cell>
        </row>
        <row r="14447">
          <cell r="B14447" t="str">
            <v>25050300000801</v>
          </cell>
          <cell r="C14447" t="str">
            <v>PAN  DECIMO TERCER MES                  2NC</v>
          </cell>
        </row>
        <row r="14448">
          <cell r="B14448" t="str">
            <v>25050300000802</v>
          </cell>
          <cell r="C14448" t="str">
            <v>PAN  I/R POR PAGAR                      2NC</v>
          </cell>
        </row>
        <row r="14449">
          <cell r="B14449" t="str">
            <v>25050300000803</v>
          </cell>
          <cell r="C14449" t="str">
            <v>PAN SEGURO SOCIAL POR PAGAR             2NC</v>
          </cell>
        </row>
        <row r="14450">
          <cell r="B14450" t="str">
            <v>25050300000804</v>
          </cell>
          <cell r="C14450" t="str">
            <v>PAN SEGURO EDUCATIVO POR PAGAR          2NC</v>
          </cell>
        </row>
        <row r="14451">
          <cell r="B14451" t="str">
            <v>25050300000805</v>
          </cell>
          <cell r="C14451" t="str">
            <v>PAN  VACACIONES POR PAGAR               2NC</v>
          </cell>
        </row>
        <row r="14452">
          <cell r="B14452" t="str">
            <v>25050400000101</v>
          </cell>
          <cell r="C14452" t="str">
            <v>REMUNERACIONES POR PAGAR                2NC</v>
          </cell>
        </row>
        <row r="14453">
          <cell r="B14453" t="str">
            <v>25050500000801</v>
          </cell>
          <cell r="C14453" t="str">
            <v>PAN HONORARIOS PROFESIONALES            2NC</v>
          </cell>
        </row>
        <row r="14454">
          <cell r="B14454" t="str">
            <v>25050900000101</v>
          </cell>
          <cell r="C14454" t="str">
            <v>AUTOSEGURO MEDICO FAM.                  2NC</v>
          </cell>
        </row>
        <row r="14455">
          <cell r="B14455" t="str">
            <v>25050900000102</v>
          </cell>
          <cell r="C14455" t="str">
            <v>PROV.UNIFORMES                          2NC</v>
          </cell>
        </row>
        <row r="14456">
          <cell r="B14456" t="str">
            <v>25050900000103</v>
          </cell>
          <cell r="C14456" t="str">
            <v>PROV.GRATIFICACIONES                    2NC</v>
          </cell>
        </row>
        <row r="14457">
          <cell r="B14457" t="str">
            <v>25050900000105</v>
          </cell>
          <cell r="C14457" t="str">
            <v>PROV.SEGURO SOCIAL DEL PERU             2NC</v>
          </cell>
        </row>
        <row r="14458">
          <cell r="B14458" t="str">
            <v>25050900000109</v>
          </cell>
          <cell r="C14458" t="str">
            <v>CTAS POR PAG. DIVERSAS-RRHH             2YC</v>
          </cell>
        </row>
        <row r="14459">
          <cell r="B14459" t="str">
            <v>25050900000801</v>
          </cell>
          <cell r="C14459" t="str">
            <v>PAN RIESGO PROFESIONALES POR PAGAR      2NC</v>
          </cell>
        </row>
        <row r="14460">
          <cell r="B14460" t="str">
            <v>25050900000802</v>
          </cell>
          <cell r="C14460" t="str">
            <v>PAN RETENCIONES POR PAGAR               2NC</v>
          </cell>
        </row>
        <row r="14461">
          <cell r="B14461" t="str">
            <v>25060100000104</v>
          </cell>
          <cell r="C14461" t="str">
            <v>CXP PROVEDORES DE BIENES - AP           2NC</v>
          </cell>
        </row>
        <row r="14462">
          <cell r="B14462" t="str">
            <v>25060100000105</v>
          </cell>
          <cell r="C14462" t="str">
            <v>FACTURAS POR RECIBIR PROVEEDORES        2NC</v>
          </cell>
        </row>
        <row r="14463">
          <cell r="B14463" t="str">
            <v>25060100000106</v>
          </cell>
          <cell r="C14463" t="str">
            <v>PROVISION DE FACTURAS POR RECIBIR       2NC</v>
          </cell>
        </row>
        <row r="14464">
          <cell r="B14464" t="str">
            <v>25060100000107</v>
          </cell>
          <cell r="C14464" t="str">
            <v>CUENTAS POR PAGAR PROVEEDORES A LARGO PL2NC</v>
          </cell>
        </row>
        <row r="14465">
          <cell r="B14465" t="str">
            <v>25060100000108</v>
          </cell>
          <cell r="C14465" t="str">
            <v>CUENTAS POR PAGAR DIVERSAS              2NC</v>
          </cell>
        </row>
        <row r="14466">
          <cell r="B14466" t="str">
            <v>25060100000201</v>
          </cell>
          <cell r="C14466" t="str">
            <v>INTERSEGURO CIA. DE SEGUROS DE VIDA S.A.2NC</v>
          </cell>
        </row>
        <row r="14467">
          <cell r="B14467" t="str">
            <v>25060100000202</v>
          </cell>
          <cell r="C14467" t="str">
            <v>INTERNACIONAL DE TITULOS SOCIEDAD TITULI2NC</v>
          </cell>
        </row>
        <row r="14468">
          <cell r="B14468" t="str">
            <v>25060100000203</v>
          </cell>
          <cell r="C14468" t="str">
            <v>REAL PLAZA                              2NC</v>
          </cell>
        </row>
        <row r="14469">
          <cell r="B14469" t="str">
            <v>25060100000204</v>
          </cell>
          <cell r="C14469" t="str">
            <v>CENTRO CIVICO                           2NC</v>
          </cell>
        </row>
        <row r="14470">
          <cell r="B14470" t="str">
            <v>25060100000205</v>
          </cell>
          <cell r="C14470" t="str">
            <v>INTELIGO SAB                            2NC</v>
          </cell>
        </row>
        <row r="14471">
          <cell r="B14471" t="str">
            <v>25060100000206</v>
          </cell>
          <cell r="C14471" t="str">
            <v>URBI PROPIEDADES S.A.                   2NC</v>
          </cell>
        </row>
        <row r="14472">
          <cell r="B14472" t="str">
            <v>25060100000207</v>
          </cell>
          <cell r="C14472" t="str">
            <v>SUPERMERCADOS PERUANOS                  2NC</v>
          </cell>
        </row>
        <row r="14473">
          <cell r="B14473" t="str">
            <v>25060100000208</v>
          </cell>
          <cell r="C14473" t="str">
            <v>TIENDAS PERUANAS                        2NC</v>
          </cell>
        </row>
        <row r="14474">
          <cell r="B14474" t="str">
            <v>25060100000209</v>
          </cell>
          <cell r="C14474" t="str">
            <v>IISA GESTION S.A.                       2NC</v>
          </cell>
        </row>
        <row r="14475">
          <cell r="B14475" t="str">
            <v>25060100000210</v>
          </cell>
          <cell r="C14475" t="str">
            <v>TEBCA                                   2NC</v>
          </cell>
        </row>
        <row r="14476">
          <cell r="B14476" t="str">
            <v>25060100000211</v>
          </cell>
          <cell r="C14476" t="str">
            <v>SERVITEPCA                              2NC</v>
          </cell>
        </row>
        <row r="14477">
          <cell r="B14477" t="str">
            <v>25060100000212</v>
          </cell>
          <cell r="C14477" t="str">
            <v>INTERCORP PERU LTD                      2NC</v>
          </cell>
        </row>
        <row r="14478">
          <cell r="B14478" t="str">
            <v>25060100000213</v>
          </cell>
          <cell r="C14478" t="str">
            <v>FINANCIERA UNO                          2NC</v>
          </cell>
        </row>
        <row r="14479">
          <cell r="B14479" t="str">
            <v>25060100000214</v>
          </cell>
          <cell r="C14479" t="str">
            <v>UCIK ASOCIACION CIVIL                   2NC</v>
          </cell>
        </row>
        <row r="14480">
          <cell r="B14480" t="str">
            <v>25060100000215</v>
          </cell>
          <cell r="C14480" t="str">
            <v>PAY CXP PROVEEDORES IBK                 2NC</v>
          </cell>
        </row>
        <row r="14481">
          <cell r="B14481" t="str">
            <v>25060100000216</v>
          </cell>
          <cell r="C14481" t="str">
            <v>PAY CXP EMPRESAS VINCULADAS             2NC</v>
          </cell>
        </row>
        <row r="14482">
          <cell r="B14482" t="str">
            <v>25060100000217</v>
          </cell>
          <cell r="C14482" t="str">
            <v>FACTURAS POR RECIBIR PROVEEDORES-CLOUD  2NC</v>
          </cell>
        </row>
        <row r="14483">
          <cell r="B14483" t="str">
            <v>25060200000101</v>
          </cell>
          <cell r="C14483" t="str">
            <v>PROVEED. DE SERVICIOS-ROYAL             2NC</v>
          </cell>
        </row>
        <row r="14484">
          <cell r="B14484" t="str">
            <v>25060200000102</v>
          </cell>
          <cell r="C14484" t="str">
            <v>PROVEED. DE SERVICIOS-NO ROYAL          2YC</v>
          </cell>
        </row>
        <row r="14485">
          <cell r="B14485" t="str">
            <v>25060200000104</v>
          </cell>
          <cell r="C14485" t="str">
            <v>PROVEEDORES - SEG.DESGRAV. VTA. BIENES  2YC</v>
          </cell>
        </row>
        <row r="14486">
          <cell r="B14486" t="str">
            <v>25060200000105</v>
          </cell>
          <cell r="C14486" t="str">
            <v>CXP PROYECTO DE INV REGIONAL            2NC</v>
          </cell>
        </row>
        <row r="14487">
          <cell r="B14487" t="str">
            <v>25060200000106</v>
          </cell>
          <cell r="C14487" t="str">
            <v>CXP PROYECTO DE INVERSION REGIONAL PAY  2NC</v>
          </cell>
        </row>
        <row r="14488">
          <cell r="B14488" t="str">
            <v>25070100000101</v>
          </cell>
          <cell r="C14488" t="str">
            <v>PRIMAS AL FONDO DE SEGURO DE DEP.       2NC</v>
          </cell>
        </row>
        <row r="14489">
          <cell r="B14489" t="str">
            <v>25070301000101</v>
          </cell>
          <cell r="C14489" t="str">
            <v>IMPTO A LA RENTA 3 ERA CATEG            2NC</v>
          </cell>
        </row>
        <row r="14490">
          <cell r="B14490" t="str">
            <v>25070301000102</v>
          </cell>
          <cell r="C14490" t="str">
            <v>IR PROYECTO DE INV REGIONAL             2NC</v>
          </cell>
        </row>
        <row r="14491">
          <cell r="B14491" t="str">
            <v>25070302000101</v>
          </cell>
          <cell r="C14491" t="str">
            <v>IGV POR PAGAR                           2NC</v>
          </cell>
        </row>
        <row r="14492">
          <cell r="B14492" t="str">
            <v>25070302000102</v>
          </cell>
          <cell r="C14492" t="str">
            <v>IGV-ARRENDAMIENTO FINANCIERO            2NC</v>
          </cell>
        </row>
        <row r="14493">
          <cell r="B14493" t="str">
            <v>25070302000103</v>
          </cell>
          <cell r="C14493" t="str">
            <v>IGV-ADJUDICADOS                         2NC</v>
          </cell>
        </row>
        <row r="14494">
          <cell r="B14494" t="str">
            <v>25070302000104</v>
          </cell>
          <cell r="C14494" t="str">
            <v>IGV-PREMIOS                             2NC</v>
          </cell>
        </row>
        <row r="14495">
          <cell r="B14495" t="str">
            <v>25070302000105</v>
          </cell>
          <cell r="C14495" t="str">
            <v>IGV- PROMOCIONES                        2NC</v>
          </cell>
        </row>
        <row r="14496">
          <cell r="B14496" t="str">
            <v>25070302000106</v>
          </cell>
          <cell r="C14496" t="str">
            <v>IGV- NO DOMICILIADOS                    2NC</v>
          </cell>
        </row>
        <row r="14497">
          <cell r="B14497" t="str">
            <v>25070302000107</v>
          </cell>
          <cell r="C14497" t="str">
            <v>IGV POR PAGAR - OTROS                   2NC</v>
          </cell>
        </row>
        <row r="14498">
          <cell r="B14498" t="str">
            <v>25070302000108</v>
          </cell>
          <cell r="C14498" t="str">
            <v>IGV POR PAGAR CL                        2NC</v>
          </cell>
        </row>
        <row r="14499">
          <cell r="B14499" t="str">
            <v>25070302000109</v>
          </cell>
          <cell r="C14499" t="str">
            <v>IGV PROYECTO DE INV REGIONAL            2NC</v>
          </cell>
        </row>
        <row r="14500">
          <cell r="B14500" t="str">
            <v>25070302000110</v>
          </cell>
          <cell r="C14500" t="str">
            <v>IGV POR PAGAR TASACIONES                2NC</v>
          </cell>
        </row>
        <row r="14501">
          <cell r="B14501" t="str">
            <v>25070302000111</v>
          </cell>
          <cell r="C14501" t="str">
            <v>LPC IGV COBROS OPERACIONES REACTIVA - CO2NC</v>
          </cell>
        </row>
        <row r="14502">
          <cell r="B14502" t="str">
            <v>25070302000112</v>
          </cell>
          <cell r="C14502" t="str">
            <v>MYP IGV COBROS OPERACIONES REACTIVA - CO2NC</v>
          </cell>
        </row>
        <row r="14503">
          <cell r="B14503" t="str">
            <v>25070302000113</v>
          </cell>
          <cell r="C14503" t="str">
            <v>JCC IGV REACTIVA                        2 C</v>
          </cell>
        </row>
        <row r="14504">
          <cell r="B14504" t="str">
            <v>25070302000114</v>
          </cell>
          <cell r="C14504" t="str">
            <v>MYP REPROG REACTIVA DS.011-2022         2 C</v>
          </cell>
        </row>
        <row r="14505">
          <cell r="B14505" t="str">
            <v>25070302000115</v>
          </cell>
          <cell r="C14505" t="str">
            <v>MYP REPROG REACTIVA 2023                2 C</v>
          </cell>
        </row>
        <row r="14506">
          <cell r="B14506" t="str">
            <v>25070302000116</v>
          </cell>
          <cell r="C14506" t="str">
            <v>IGV-FIDEICOMISOS                        2NC</v>
          </cell>
        </row>
        <row r="14507">
          <cell r="B14507" t="str">
            <v>25070302000117</v>
          </cell>
          <cell r="C14507" t="str">
            <v>MYP IGV DE COMISON DE DESMBOLSO CRECER -2 C</v>
          </cell>
        </row>
        <row r="14508">
          <cell r="B14508" t="str">
            <v>25070302000118</v>
          </cell>
          <cell r="C14508" t="str">
            <v>LPC IGV DE COMISON DE DESMBOLSO CRECER -2 C</v>
          </cell>
        </row>
        <row r="14509">
          <cell r="B14509" t="str">
            <v>25070302000119</v>
          </cell>
          <cell r="C14509" t="str">
            <v>IGV COMISION GASTOS NOTARIALES BN       2 C</v>
          </cell>
        </row>
        <row r="14510">
          <cell r="B14510" t="str">
            <v>25070303000101</v>
          </cell>
          <cell r="C14510" t="str">
            <v>IPSS - REGIMEN SALUD DL 22482           2NC</v>
          </cell>
        </row>
        <row r="14511">
          <cell r="B14511" t="str">
            <v>25070303000102</v>
          </cell>
          <cell r="C14511" t="str">
            <v>IPSS - SNP DL 19990                     2NC</v>
          </cell>
        </row>
        <row r="14512">
          <cell r="B14512" t="str">
            <v>25070303000103</v>
          </cell>
          <cell r="C14512" t="str">
            <v>IPSS - SEGURO DE VIDA                   2NC</v>
          </cell>
        </row>
        <row r="14513">
          <cell r="B14513" t="str">
            <v>25070309000101</v>
          </cell>
          <cell r="C14513" t="str">
            <v>ITF POR CUENTA PROPIA                   2NC</v>
          </cell>
        </row>
        <row r="14514">
          <cell r="B14514" t="str">
            <v>25070309000102</v>
          </cell>
          <cell r="C14514" t="str">
            <v>OTROS TRIBUTOS CTA PROPIA-IPSS          2NC</v>
          </cell>
        </row>
        <row r="14515">
          <cell r="B14515" t="str">
            <v>25070309000103</v>
          </cell>
          <cell r="C14515" t="str">
            <v>FRACCIONAMIENTO TRIBUTARIO              2NC</v>
          </cell>
        </row>
        <row r="14516">
          <cell r="B14516" t="str">
            <v>25070400000101</v>
          </cell>
          <cell r="C14516" t="str">
            <v>AFP                                     2NC</v>
          </cell>
        </row>
        <row r="14517">
          <cell r="B14517" t="str">
            <v>25070500000101</v>
          </cell>
          <cell r="C14517" t="str">
            <v>IMPUESTO A LA RENTA-4TA CATEGORIA       2NC</v>
          </cell>
        </row>
        <row r="14518">
          <cell r="B14518" t="str">
            <v>25070500000102</v>
          </cell>
          <cell r="C14518" t="str">
            <v>IMPTO. RENTA 5TA. CATEG                 2NC</v>
          </cell>
        </row>
        <row r="14519">
          <cell r="B14519" t="str">
            <v>25070500000103</v>
          </cell>
          <cell r="C14519" t="str">
            <v>IMPTO. RENTA- NO DOMICILIADOS           2NC</v>
          </cell>
        </row>
        <row r="14520">
          <cell r="B14520" t="str">
            <v>25070500000104</v>
          </cell>
          <cell r="C14520" t="str">
            <v>RETENC.IMP.RENTA-PAGO DIVIDENDOS        2NC</v>
          </cell>
        </row>
        <row r="14521">
          <cell r="B14521" t="str">
            <v>25070500000105</v>
          </cell>
          <cell r="C14521" t="str">
            <v>RETENC.IMP.RENTA 2DA CATEGORIA          2NC</v>
          </cell>
        </row>
        <row r="14522">
          <cell r="B14522" t="str">
            <v>25070500000106</v>
          </cell>
          <cell r="C14522" t="str">
            <v>IMPTO. RENTA - SUC PANAMA               2NC</v>
          </cell>
        </row>
        <row r="14523">
          <cell r="B14523" t="str">
            <v>25070500000107</v>
          </cell>
          <cell r="C14523" t="str">
            <v>IGV RETENCIONES POR PAGAR CTRL ADM      2NC</v>
          </cell>
        </row>
        <row r="14524">
          <cell r="B14524" t="str">
            <v>25070500000108</v>
          </cell>
          <cell r="C14524" t="str">
            <v>IGV RETENCIONES POR PAGAR               2NC</v>
          </cell>
        </row>
        <row r="14525">
          <cell r="B14525" t="str">
            <v>25070500000109</v>
          </cell>
          <cell r="C14525" t="str">
            <v>IES-4TA CATEGORIA                       2NC</v>
          </cell>
        </row>
        <row r="14526">
          <cell r="B14526" t="str">
            <v>25070500000110</v>
          </cell>
          <cell r="C14526" t="str">
            <v>IES- 4TA CATEGORIA-DIRECTORES           2NC</v>
          </cell>
        </row>
        <row r="14527">
          <cell r="B14527" t="str">
            <v>25070500000111</v>
          </cell>
          <cell r="C14527" t="str">
            <v>IMPUESTO RETENIDO ITF                   2NC</v>
          </cell>
        </row>
        <row r="14528">
          <cell r="B14528" t="str">
            <v>25070500000112</v>
          </cell>
          <cell r="C14528" t="str">
            <v>IR INTERESES GANADOS ND                 2NC</v>
          </cell>
        </row>
        <row r="14529">
          <cell r="B14529" t="str">
            <v>25070500000113</v>
          </cell>
          <cell r="C14529" t="str">
            <v>IR INTERESES BONOS ND                   2NC</v>
          </cell>
        </row>
        <row r="14530">
          <cell r="B14530" t="str">
            <v>25070500000114</v>
          </cell>
          <cell r="C14530" t="str">
            <v>RETENC.IMP.RENTA 3RA-FIDEICOMISOS       2NC</v>
          </cell>
        </row>
        <row r="14531">
          <cell r="B14531" t="str">
            <v>25070500000115</v>
          </cell>
          <cell r="C14531" t="str">
            <v>RETENCION AFP- APORTE COMIS.SEG Â¿ CUART2YC</v>
          </cell>
        </row>
        <row r="14532">
          <cell r="B14532" t="str">
            <v>25070500000116</v>
          </cell>
          <cell r="C14532" t="str">
            <v>RETENCION ONP-CUARTA CATEGORIA          2YC</v>
          </cell>
        </row>
        <row r="14533">
          <cell r="B14533" t="str">
            <v>25070600000101</v>
          </cell>
          <cell r="C14533" t="str">
            <v>RECAUDACION - PAGOS TEF-SUNAT??         2NC</v>
          </cell>
        </row>
        <row r="14534">
          <cell r="B14534" t="str">
            <v>25070600000102</v>
          </cell>
          <cell r="C14534" t="str">
            <v>RECAUDACION - PAGOS PDT-SUNAT?          2NC</v>
          </cell>
        </row>
        <row r="14535">
          <cell r="B14535" t="str">
            <v>25070600000103</v>
          </cell>
          <cell r="C14535" t="str">
            <v>RECAUDACION-PAGOS EFOR-SUNAT            2NC</v>
          </cell>
        </row>
        <row r="14536">
          <cell r="B14536" t="str">
            <v>25070600000104</v>
          </cell>
          <cell r="C14536" t="str">
            <v>PDT RECLASIF SALDO PDTE DE PAGO A SUNAT 2NC</v>
          </cell>
        </row>
        <row r="14537">
          <cell r="B14537" t="str">
            <v>25070600000105</v>
          </cell>
          <cell r="C14537" t="str">
            <v>FORMULARIO RECLASIF SALDO PDTE PAGO A SU2NC</v>
          </cell>
        </row>
        <row r="14538">
          <cell r="B14538" t="str">
            <v>25070600000106</v>
          </cell>
          <cell r="C14538" t="str">
            <v>PAGOS ELECTRONICOS SUNAT                2NC</v>
          </cell>
        </row>
        <row r="14539">
          <cell r="B14539" t="str">
            <v>25080100000101</v>
          </cell>
          <cell r="C14539" t="str">
            <v>250801000001010000                      2NC</v>
          </cell>
        </row>
        <row r="14540">
          <cell r="B14540" t="str">
            <v>25080100000102</v>
          </cell>
          <cell r="C14540" t="str">
            <v>BL OTRAS-INT VTA DE CARTERA SERCA CL    2NC</v>
          </cell>
        </row>
        <row r="14541">
          <cell r="B14541" t="str">
            <v>25080100000103</v>
          </cell>
          <cell r="C14541" t="str">
            <v>BL OTROS INT PROV TOTALES CL            2NC</v>
          </cell>
        </row>
        <row r="14542">
          <cell r="B14542" t="str">
            <v>25080100000105</v>
          </cell>
          <cell r="C14542" t="str">
            <v>BL OTRAS INT INV TEMPERA CL             2NC</v>
          </cell>
        </row>
        <row r="14543">
          <cell r="B14543" t="str">
            <v>25080100000106</v>
          </cell>
          <cell r="C14543" t="str">
            <v>BL OTRAS-INT CXP PF2 CL                 2NC</v>
          </cell>
        </row>
        <row r="14544">
          <cell r="B14544" t="str">
            <v>25080100000107</v>
          </cell>
          <cell r="C14544" t="str">
            <v>INT CASTIGOS BL PF2                     2NC</v>
          </cell>
        </row>
        <row r="14545">
          <cell r="B14545" t="str">
            <v>25080100000201</v>
          </cell>
          <cell r="C14545" t="str">
            <v>BL OTRAS- COM X PAG CART SERCA CL       2NC</v>
          </cell>
        </row>
        <row r="14546">
          <cell r="B14546" t="str">
            <v>25080100000202</v>
          </cell>
          <cell r="C14546" t="str">
            <v>BL OTRAS- COM X PAG INV TEMPERA CL      2NC</v>
          </cell>
        </row>
        <row r="14547">
          <cell r="B14547" t="str">
            <v>25080100000203</v>
          </cell>
          <cell r="C14547" t="str">
            <v>BL OTRAS- COM X PAG PF1 CL              2NC</v>
          </cell>
        </row>
        <row r="14548">
          <cell r="B14548" t="str">
            <v>25080100000204</v>
          </cell>
          <cell r="C14548" t="str">
            <v>BL OTRAS-COM X PAG PF2 CL               2NC</v>
          </cell>
        </row>
        <row r="14549">
          <cell r="B14549" t="str">
            <v>25080100000205</v>
          </cell>
          <cell r="C14549" t="str">
            <v>COM CASTIGOS BL PF2                     2NC</v>
          </cell>
        </row>
        <row r="14550">
          <cell r="B14550" t="str">
            <v>25080100000206</v>
          </cell>
          <cell r="C14550" t="str">
            <v>250801000002060000                      2NC</v>
          </cell>
        </row>
        <row r="14551">
          <cell r="B14551" t="str">
            <v>25080100000801</v>
          </cell>
          <cell r="C14551" t="str">
            <v>PAN RESERVAS - VIAJES                   2NC</v>
          </cell>
        </row>
        <row r="14552">
          <cell r="B14552" t="str">
            <v>25080100000802</v>
          </cell>
          <cell r="C14552" t="str">
            <v>PAN RESERVAS - CAPACITACION             2NC</v>
          </cell>
        </row>
        <row r="14553">
          <cell r="B14553" t="str">
            <v>25080100000803</v>
          </cell>
          <cell r="C14553" t="str">
            <v>PAN RESERVAS - GTOS CULTURALES          2NC</v>
          </cell>
        </row>
        <row r="14554">
          <cell r="B14554" t="str">
            <v>25080100000804</v>
          </cell>
          <cell r="C14554" t="str">
            <v>PAN RESERVAS - CUOTAS E INSCRIP.        2NC</v>
          </cell>
        </row>
        <row r="14555">
          <cell r="B14555" t="str">
            <v>25080100000805</v>
          </cell>
          <cell r="C14555" t="str">
            <v>PAN RESERVAS - AUDITORES                2NC</v>
          </cell>
        </row>
        <row r="14556">
          <cell r="B14556" t="str">
            <v>25080100000806</v>
          </cell>
          <cell r="C14556" t="str">
            <v>PAN RESERVAS - OTROS                    2NC</v>
          </cell>
        </row>
        <row r="14557">
          <cell r="B14557" t="str">
            <v>25080101000101</v>
          </cell>
          <cell r="C14557" t="str">
            <v>OTRAS-INT VTA DE CARTERA A 3EROS CL     2NC</v>
          </cell>
        </row>
        <row r="14558">
          <cell r="B14558" t="str">
            <v>25080101000102</v>
          </cell>
          <cell r="C14558" t="str">
            <v>GASTOS POR PAGAR DE ADEUDOS Y OBLIG. CON2NC</v>
          </cell>
        </row>
        <row r="14559">
          <cell r="B14559" t="str">
            <v>25080101000103</v>
          </cell>
          <cell r="C14559" t="str">
            <v>BCRP ADEUDADO Y OBLIG INT - OP EXPANSION2NC</v>
          </cell>
        </row>
        <row r="14560">
          <cell r="B14560" t="str">
            <v>25080101000104</v>
          </cell>
          <cell r="C14560" t="str">
            <v>BCRP ADEUDADO Y OBLIG INT - OP SUSTITUCI2NC</v>
          </cell>
        </row>
        <row r="14561">
          <cell r="B14561" t="str">
            <v>25080101000105</v>
          </cell>
          <cell r="C14561" t="str">
            <v>OBLIG.CDN BCRP - PACTOS DE RECOMPRA     2NC</v>
          </cell>
        </row>
        <row r="14562">
          <cell r="B14562" t="str">
            <v>25080101000206</v>
          </cell>
          <cell r="C14562" t="str">
            <v>JCC OTRAS-INT VTA DE CARTERA A 3EROS    2NC</v>
          </cell>
        </row>
        <row r="14563">
          <cell r="B14563" t="str">
            <v>25080101000207</v>
          </cell>
          <cell r="C14563" t="str">
            <v>JCC OTRAS-INT VTA DE CARTERA A 3EROS    2NC</v>
          </cell>
        </row>
        <row r="14564">
          <cell r="B14564" t="str">
            <v>25080101000301</v>
          </cell>
          <cell r="C14564" t="str">
            <v>MDC INT DE REPO INTERBANCARIO ENAJENANTE2NC</v>
          </cell>
        </row>
        <row r="14565">
          <cell r="B14565" t="str">
            <v>25080101000804</v>
          </cell>
          <cell r="C14565" t="str">
            <v>RESERVAS - CUOTAS E INSCRIP.            2NC</v>
          </cell>
        </row>
        <row r="14566">
          <cell r="B14566" t="str">
            <v>25080101000805</v>
          </cell>
          <cell r="C14566" t="str">
            <v>RESERVAS - AUDITORES                    2NC</v>
          </cell>
        </row>
        <row r="14567">
          <cell r="B14567" t="str">
            <v>25080101000806</v>
          </cell>
          <cell r="C14567" t="str">
            <v>RESERVAS - OTRAS                        2NC</v>
          </cell>
        </row>
        <row r="14568">
          <cell r="B14568" t="str">
            <v>25080101000807</v>
          </cell>
          <cell r="C14568" t="str">
            <v>MDC BCRP INT ADEUDADO CARTERA C         2NC</v>
          </cell>
        </row>
        <row r="14569">
          <cell r="B14569" t="str">
            <v>25080101000808</v>
          </cell>
          <cell r="C14569" t="str">
            <v>INT INT REPO GARANTIA CARTERA DE CREDITO2 C</v>
          </cell>
        </row>
        <row r="14570">
          <cell r="B14570" t="str">
            <v>25080101000809</v>
          </cell>
          <cell r="C14570" t="str">
            <v>INT REPO GARANTIAÂ  CARTERA DE CREDITO A2 C</v>
          </cell>
        </row>
        <row r="14571">
          <cell r="B14571" t="str">
            <v>25080101000810</v>
          </cell>
          <cell r="C14571" t="str">
            <v>MDC INT DE REPO INTERBANCARIO ENAJENANTE2NC</v>
          </cell>
        </row>
        <row r="14572">
          <cell r="B14572" t="str">
            <v>25080101000811</v>
          </cell>
          <cell r="C14572" t="str">
            <v>MDC OBLIG.CDN BCRP - REPO CON GARANTIA B2NC</v>
          </cell>
        </row>
        <row r="14573">
          <cell r="B14573" t="str">
            <v>25080900000801</v>
          </cell>
          <cell r="C14573" t="str">
            <v>PAN OTRAS                               2NC</v>
          </cell>
        </row>
        <row r="14574">
          <cell r="B14574" t="str">
            <v>26020201000102</v>
          </cell>
          <cell r="C14574" t="str">
            <v>COFIDE PROPEM CAF                       2NC</v>
          </cell>
        </row>
        <row r="14575">
          <cell r="B14575" t="str">
            <v>26020201000104</v>
          </cell>
          <cell r="C14575" t="str">
            <v>REAJ INDEX CAPITAL COFIDE T/V VAC       2NC</v>
          </cell>
        </row>
        <row r="14576">
          <cell r="B14576" t="str">
            <v>26020201000105</v>
          </cell>
          <cell r="C14576" t="str">
            <v>CHI A NO SUB AD COFIDE MIVIVIEN         2NC</v>
          </cell>
        </row>
        <row r="14577">
          <cell r="B14577" t="str">
            <v>26020201000106</v>
          </cell>
          <cell r="C14577" t="str">
            <v>CHI NO SUB RJ INDX AD COF MIVIVI .NCO   2NC</v>
          </cell>
        </row>
        <row r="14578">
          <cell r="B14578" t="str">
            <v>26020201000108</v>
          </cell>
          <cell r="C14578" t="str">
            <v>CHI MIVIVIEN ADEUD JUD-VN .NCO          2NC</v>
          </cell>
        </row>
        <row r="14579">
          <cell r="B14579" t="str">
            <v>26020201000109</v>
          </cell>
          <cell r="C14579" t="str">
            <v>CHI RJ INDX CAP MV AD COF JUD .NCO      2NC</v>
          </cell>
        </row>
        <row r="14580">
          <cell r="B14580" t="str">
            <v>26020201000110</v>
          </cell>
          <cell r="C14580" t="str">
            <v>CHI MVV ADEUD JUD 1/3 COB - VN .NCO     2NC</v>
          </cell>
        </row>
        <row r="14581">
          <cell r="B14581" t="str">
            <v>26020201000118</v>
          </cell>
          <cell r="C14581" t="str">
            <v>HPC  ADEUD CAP MIVIV COFIDE LP          2NC</v>
          </cell>
        </row>
        <row r="14582">
          <cell r="B14582" t="str">
            <v>26020201000124</v>
          </cell>
          <cell r="C14582" t="str">
            <v>CHI ADEUDADO COFIDE MI HOGAR MN         2NC</v>
          </cell>
        </row>
        <row r="14583">
          <cell r="B14583" t="str">
            <v>26020201000125</v>
          </cell>
          <cell r="C14583" t="str">
            <v>CHI ADEUD COFIDE BT MIVIVIENDA          2NC</v>
          </cell>
        </row>
        <row r="14584">
          <cell r="B14584" t="str">
            <v>26020201010101</v>
          </cell>
          <cell r="C14584" t="str">
            <v>COFIDE PROMPEM CAF LARGO PLAZO          2NC</v>
          </cell>
        </row>
        <row r="14585">
          <cell r="B14585" t="str">
            <v>26020201010201</v>
          </cell>
          <cell r="C14585" t="str">
            <v>LPC ADEUDADO COFIDE LARGO PLAZO         2NC</v>
          </cell>
        </row>
        <row r="14586">
          <cell r="B14586" t="str">
            <v>26020201010301</v>
          </cell>
          <cell r="C14586" t="str">
            <v>PR ADEUDADO COFIDE LARGO PLAZO          2NC</v>
          </cell>
        </row>
        <row r="14587">
          <cell r="B14587" t="str">
            <v>26030201010101</v>
          </cell>
          <cell r="C14587" t="str">
            <v>BANCO CENTRAL DE RESERVA DEL PERU       2NC</v>
          </cell>
        </row>
        <row r="14588">
          <cell r="B14588" t="str">
            <v>26030201010102</v>
          </cell>
          <cell r="C14588" t="str">
            <v>BANCO DE LA NACIÃ“N                     2NC</v>
          </cell>
        </row>
        <row r="14589">
          <cell r="B14589" t="str">
            <v>26030201010103</v>
          </cell>
          <cell r="C14589" t="str">
            <v>BANCODE CREDITO DEL PERU                2NC</v>
          </cell>
        </row>
        <row r="14590">
          <cell r="B14590" t="str">
            <v>26030201010104</v>
          </cell>
          <cell r="C14590" t="str">
            <v>BANCO INTERNACIONAL DEL PERU - INTERBANK2NC</v>
          </cell>
        </row>
        <row r="14591">
          <cell r="B14591" t="str">
            <v>26030201010105</v>
          </cell>
          <cell r="C14591" t="str">
            <v>SCOTIABANK PERU S. A. A.                2NC</v>
          </cell>
        </row>
        <row r="14592">
          <cell r="B14592" t="str">
            <v>26030201010106</v>
          </cell>
          <cell r="C14592" t="str">
            <v>BANCO CONTINENTAL                       2NC</v>
          </cell>
        </row>
        <row r="14593">
          <cell r="B14593" t="str">
            <v>26030201010108</v>
          </cell>
          <cell r="C14593" t="str">
            <v>BANCO DE COMERCIO                       2NC</v>
          </cell>
        </row>
        <row r="14594">
          <cell r="B14594" t="str">
            <v>26030201010109</v>
          </cell>
          <cell r="C14594" t="str">
            <v>BANCO FINANCIERO DEL PERU               2NC</v>
          </cell>
        </row>
        <row r="14595">
          <cell r="B14595" t="str">
            <v>26030201010116</v>
          </cell>
          <cell r="C14595" t="str">
            <v>CITIBANK N. A.   SUCURSAL EN EL PERU DEL2NC</v>
          </cell>
        </row>
        <row r="14596">
          <cell r="B14596" t="str">
            <v>26030201010121</v>
          </cell>
          <cell r="C14596" t="str">
            <v>BANCO INTERAMERICANO DE FINANZAS - S. A.2NC</v>
          </cell>
        </row>
        <row r="14597">
          <cell r="B14597" t="str">
            <v>26030201010128</v>
          </cell>
          <cell r="C14597" t="str">
            <v>CORPORACIÃ“N FINANCIERA DE DESARROLLO S.2NC</v>
          </cell>
        </row>
        <row r="14598">
          <cell r="B14598" t="str">
            <v>26030201010129</v>
          </cell>
          <cell r="C14598" t="str">
            <v>MIBANCO BANCO DE LA MICROEMPRESA - MIBAN2NC</v>
          </cell>
        </row>
        <row r="14599">
          <cell r="B14599" t="str">
            <v>26030201010131</v>
          </cell>
          <cell r="C14599" t="str">
            <v>BANCO AGROPECUARIO - AGROBANCO          2NC</v>
          </cell>
        </row>
        <row r="14600">
          <cell r="B14600" t="str">
            <v>26030201010132</v>
          </cell>
          <cell r="C14600" t="str">
            <v>HSBC BANK PERU S. A.                    2NC</v>
          </cell>
        </row>
        <row r="14601">
          <cell r="B14601" t="str">
            <v>26030201010133</v>
          </cell>
          <cell r="C14601" t="str">
            <v>BANCO FALABELLA DEL PERU                2NC</v>
          </cell>
        </row>
        <row r="14602">
          <cell r="B14602" t="str">
            <v>26030201010134</v>
          </cell>
          <cell r="C14602" t="str">
            <v>BANCO SANTANDER PERU S. A.              2NC</v>
          </cell>
        </row>
        <row r="14603">
          <cell r="B14603" t="str">
            <v>26030201010135</v>
          </cell>
          <cell r="C14603" t="str">
            <v>BANCO RIPLEY S. A.                      2NC</v>
          </cell>
        </row>
        <row r="14604">
          <cell r="B14604" t="str">
            <v>26030201010136</v>
          </cell>
          <cell r="C14604" t="str">
            <v>BANCO AZTECA DEL PERU S. A.             2NC</v>
          </cell>
        </row>
        <row r="14605">
          <cell r="B14605" t="str">
            <v>26030201010137</v>
          </cell>
          <cell r="C14605" t="str">
            <v>DEUTSCHE BANK (PERU) S. A.              2NC</v>
          </cell>
        </row>
        <row r="14606">
          <cell r="B14606" t="str">
            <v>26030201010140</v>
          </cell>
          <cell r="C14606" t="str">
            <v>MDC  ADEUDADOS EMP DEL SISTEMA FINANCIER2NC</v>
          </cell>
        </row>
        <row r="14607">
          <cell r="B14607" t="str">
            <v>26030201010199</v>
          </cell>
          <cell r="C14607" t="str">
            <v>BANCOS EN LIQUIDACIÃ“N                  2NC</v>
          </cell>
        </row>
        <row r="14608">
          <cell r="B14608" t="str">
            <v>26030201010203</v>
          </cell>
          <cell r="C14608" t="str">
            <v>SOLUCIÃ“N FINANCIERADE CREDITO DEL PERU 2NC</v>
          </cell>
        </row>
        <row r="14609">
          <cell r="B14609" t="str">
            <v>26030201010207</v>
          </cell>
          <cell r="C14609" t="str">
            <v>FINANCIERA TFC S. A.                    2NC</v>
          </cell>
        </row>
        <row r="14610">
          <cell r="B14610" t="str">
            <v>26030201010209</v>
          </cell>
          <cell r="C14610" t="str">
            <v>FINANCIERA EDYFICAR S. A.               2NC</v>
          </cell>
        </row>
        <row r="14611">
          <cell r="B14611" t="str">
            <v>26030201010210</v>
          </cell>
          <cell r="C14611" t="str">
            <v>CREDISCOTIA FINANCIERA S. A.            2NC</v>
          </cell>
        </row>
        <row r="14612">
          <cell r="B14612" t="str">
            <v>26030201010211</v>
          </cell>
          <cell r="C14612" t="str">
            <v>FINANCIERA CREAR S. A.                  2NC</v>
          </cell>
        </row>
        <row r="14613">
          <cell r="B14613" t="str">
            <v>26030201010212</v>
          </cell>
          <cell r="C14613" t="str">
            <v>FINANCIERA CONFIANZA S. A.              2NC</v>
          </cell>
        </row>
        <row r="14614">
          <cell r="B14614" t="str">
            <v>26030201010213</v>
          </cell>
          <cell r="C14614" t="str">
            <v>FINANCIERA UNIVERSAL S. A.              2NC</v>
          </cell>
        </row>
        <row r="14615">
          <cell r="B14615" t="str">
            <v>26030201010214</v>
          </cell>
          <cell r="C14615" t="str">
            <v>FINANCIERA UNO S. A.                    2NC</v>
          </cell>
        </row>
        <row r="14616">
          <cell r="B14616" t="str">
            <v>26030201010215</v>
          </cell>
          <cell r="C14616" t="str">
            <v>FINANCIERA EFECTIVA S. A.               2NC</v>
          </cell>
        </row>
        <row r="14617">
          <cell r="B14617" t="str">
            <v>26030201010216</v>
          </cell>
          <cell r="C14617" t="str">
            <v>AMERIKA FINANCIERA S. A.                2NC</v>
          </cell>
        </row>
        <row r="14618">
          <cell r="B14618" t="str">
            <v>26030201010299</v>
          </cell>
          <cell r="C14618" t="str">
            <v>FINANCIERAS EN LIQUIDACIÃ“N             2NC</v>
          </cell>
        </row>
        <row r="14619">
          <cell r="B14619" t="str">
            <v>26030201010301</v>
          </cell>
          <cell r="C14619" t="str">
            <v>CAJA MUNICIPAL DE AHORRO YCREDITO DE SUL2NC</v>
          </cell>
        </row>
        <row r="14620">
          <cell r="B14620" t="str">
            <v>26030201010302</v>
          </cell>
          <cell r="C14620" t="str">
            <v>CAJA MUNICIPALDE CREDITO POPULAR DE LIMA2NC</v>
          </cell>
        </row>
        <row r="14621">
          <cell r="B14621" t="str">
            <v>26030201010303</v>
          </cell>
          <cell r="C14621" t="str">
            <v>CAJA MUNICIPAL DE AHORRO YCREDITO DE PIU2NC</v>
          </cell>
        </row>
        <row r="14622">
          <cell r="B14622" t="str">
            <v>26030201010304</v>
          </cell>
          <cell r="C14622" t="str">
            <v>CAJA MUNICIPAL DE AHORRO YCREDITO DE ARE2NC</v>
          </cell>
        </row>
        <row r="14623">
          <cell r="B14623" t="str">
            <v>26030201010305</v>
          </cell>
          <cell r="C14623" t="str">
            <v>CAJA MUNICIPAL DE AHORRO YCREDITO DE HUA2NC</v>
          </cell>
        </row>
        <row r="14624">
          <cell r="B14624" t="str">
            <v>26030201010306</v>
          </cell>
          <cell r="C14624" t="str">
            <v>CAJA MUNICIPAL DE AHORRO YCREDITO CUSCO 2NC</v>
          </cell>
        </row>
        <row r="14625">
          <cell r="B14625" t="str">
            <v>26030201010307</v>
          </cell>
          <cell r="C14625" t="str">
            <v>CAJA MUNICIPAL DE AHORRO YCREDITO DE MAY2NC</v>
          </cell>
        </row>
        <row r="14626">
          <cell r="B14626" t="str">
            <v>26030201010308</v>
          </cell>
          <cell r="C14626" t="str">
            <v>CAJA MUNICIPAL DE AHORRO YCREDITO DE ICA2NC</v>
          </cell>
        </row>
        <row r="14627">
          <cell r="B14627" t="str">
            <v>26030201010309</v>
          </cell>
          <cell r="C14627" t="str">
            <v>CAJA MUNICIPAL DE AHORRO YCREDITO DE PAI2NC</v>
          </cell>
        </row>
        <row r="14628">
          <cell r="B14628" t="str">
            <v>26030201010310</v>
          </cell>
          <cell r="C14628" t="str">
            <v>CAJA MUNICIPAL DE AHORRO YCREDITO DEL SA2NC</v>
          </cell>
        </row>
        <row r="14629">
          <cell r="B14629" t="str">
            <v>26030201010311</v>
          </cell>
          <cell r="C14629" t="str">
            <v>CAJA MUNICIPAL DE AHORRO YCREDITO DE TRU2NC</v>
          </cell>
        </row>
        <row r="14630">
          <cell r="B14630" t="str">
            <v>26030201010312</v>
          </cell>
          <cell r="C14630" t="str">
            <v>CAJA MUNICIPAL DE AHORRO YCREDITO DE TAC2NC</v>
          </cell>
        </row>
        <row r="14631">
          <cell r="B14631" t="str">
            <v>26030201010313</v>
          </cell>
          <cell r="C14631" t="str">
            <v>CAJA MUNICIPAL DE AHORRO YCREDITO DE PIS2NC</v>
          </cell>
        </row>
        <row r="14632">
          <cell r="B14632" t="str">
            <v>26030201010399</v>
          </cell>
          <cell r="C14632" t="str">
            <v>CAJAS MUNICIPALES DE AHORRO YCREDITO EN 2NC</v>
          </cell>
        </row>
        <row r="14633">
          <cell r="B14633" t="str">
            <v>26030201010403</v>
          </cell>
          <cell r="C14633" t="str">
            <v>CAJA RURAL DE AHORRO YCREDITO QUILLABAMB2NC</v>
          </cell>
        </row>
        <row r="14634">
          <cell r="B14634" t="str">
            <v>26030201010405</v>
          </cell>
          <cell r="C14634" t="str">
            <v>CAJA RURAL DE AHORRO YCREDITO LOS LIBERT2NC</v>
          </cell>
        </row>
        <row r="14635">
          <cell r="B14635" t="str">
            <v>26030201010406</v>
          </cell>
          <cell r="C14635" t="str">
            <v>CAJA RURAL DE AHORRO YCREDITO SEÃ‘OR DE 2NC</v>
          </cell>
        </row>
        <row r="14636">
          <cell r="B14636" t="str">
            <v>26030201010407</v>
          </cell>
          <cell r="C14636" t="str">
            <v>CAJA RURAL DE AHORRO YCREDITO CHAVÃN S.2NC</v>
          </cell>
        </row>
        <row r="14637">
          <cell r="B14637" t="str">
            <v>26030201010408</v>
          </cell>
          <cell r="C14637" t="str">
            <v>CAJA RURAL DE AHORRO YCREDITO NUESTRA GE2NC</v>
          </cell>
        </row>
        <row r="14638">
          <cell r="B14638" t="str">
            <v>26030201010409</v>
          </cell>
          <cell r="C14638" t="str">
            <v>CAJA RURAL DE AHORRO YCREDITO CAJAMARCA 2NC</v>
          </cell>
        </row>
        <row r="14639">
          <cell r="B14639" t="str">
            <v>26030201010410</v>
          </cell>
          <cell r="C14639" t="str">
            <v>CAJA RURAL DE AHORRO YCREDITO PROFINANZA2NC</v>
          </cell>
        </row>
        <row r="14640">
          <cell r="B14640" t="str">
            <v>26030201010412</v>
          </cell>
          <cell r="C14640" t="str">
            <v>CAJA RURAL DE AHORRO YCREDITO SIPÃN S. 2NC</v>
          </cell>
        </row>
        <row r="14641">
          <cell r="B14641" t="str">
            <v>26030201010414</v>
          </cell>
          <cell r="C14641" t="str">
            <v>CAJA RURAL DE AHORRO YCREDITO PRYMERA S.2NC</v>
          </cell>
        </row>
        <row r="14642">
          <cell r="B14642" t="str">
            <v>26030201010415</v>
          </cell>
          <cell r="C14642" t="str">
            <v>CAJA RURAL DE AHORRO YCREDITO LOS ANDES 2NC</v>
          </cell>
        </row>
        <row r="14643">
          <cell r="B14643" t="str">
            <v>26030201010499</v>
          </cell>
          <cell r="C14643" t="str">
            <v>CAJAS RURALES DE AHORRO YCREDITO EN LIQU2NC</v>
          </cell>
        </row>
        <row r="14644">
          <cell r="B14644" t="str">
            <v>26030201010503</v>
          </cell>
          <cell r="C14644" t="str">
            <v>PROEMPRESA S. A.                        2NC</v>
          </cell>
        </row>
        <row r="14645">
          <cell r="B14645" t="str">
            <v>26030201010506</v>
          </cell>
          <cell r="C14645" t="str">
            <v>NUEVA VISIÃ“N S. A.                     2NC</v>
          </cell>
        </row>
        <row r="14646">
          <cell r="B14646" t="str">
            <v>26030201010508</v>
          </cell>
          <cell r="C14646" t="str">
            <v>RAIZ S. A.                              2NC</v>
          </cell>
        </row>
        <row r="14647">
          <cell r="B14647" t="str">
            <v>26030201010510</v>
          </cell>
          <cell r="C14647" t="str">
            <v>SOLIDARIDAD S. A.                       2NC</v>
          </cell>
        </row>
        <row r="14648">
          <cell r="B14648" t="str">
            <v>26030201010511</v>
          </cell>
          <cell r="C14648" t="str">
            <v>CREDIVISIÃ“N S. A.                      2NC</v>
          </cell>
        </row>
        <row r="14649">
          <cell r="B14649" t="str">
            <v>26030201010512</v>
          </cell>
          <cell r="C14649" t="str">
            <v>ACCESO CREDITICIO S. A.                 2NC</v>
          </cell>
        </row>
        <row r="14650">
          <cell r="B14650" t="str">
            <v>26030201010514</v>
          </cell>
          <cell r="C14650" t="str">
            <v>ALTERNATIVA S. A.                       2NC</v>
          </cell>
        </row>
        <row r="14651">
          <cell r="B14651" t="str">
            <v>26030201010515</v>
          </cell>
          <cell r="C14651" t="str">
            <v>PRONEGOCIOS S. A.                       2NC</v>
          </cell>
        </row>
        <row r="14652">
          <cell r="B14652" t="str">
            <v>26030201010516</v>
          </cell>
          <cell r="C14652" t="str">
            <v>MICASITA S. A.                          2NC</v>
          </cell>
        </row>
        <row r="14653">
          <cell r="B14653" t="str">
            <v>26030201010517</v>
          </cell>
          <cell r="C14653" t="str">
            <v>CREDIJET DEL PERU S. A.                 2NC</v>
          </cell>
        </row>
        <row r="14654">
          <cell r="B14654" t="str">
            <v>26030201010599</v>
          </cell>
          <cell r="C14654" t="str">
            <v>EDPYMES EN LIQUIDACIÃ“N                 2NC</v>
          </cell>
        </row>
        <row r="14655">
          <cell r="B14655" t="str">
            <v>26030201011401</v>
          </cell>
          <cell r="C14655" t="str">
            <v>FONDO MIVIVIENDA S. A.                  2NC</v>
          </cell>
        </row>
        <row r="14656">
          <cell r="B14656" t="str">
            <v>26030201011501</v>
          </cell>
          <cell r="C14656" t="str">
            <v>AMRICA FACTORING S. A.                  2NC</v>
          </cell>
        </row>
        <row r="14657">
          <cell r="B14657" t="str">
            <v>26030201011601</v>
          </cell>
          <cell r="C14657" t="str">
            <v>INCASA S. A.                            2NC</v>
          </cell>
        </row>
        <row r="14658">
          <cell r="B14658" t="str">
            <v>26030201011603</v>
          </cell>
          <cell r="C14658" t="str">
            <v>MDCÂ  ADEUDADOS EMP DEL SIST FINANCIERO 2NC</v>
          </cell>
        </row>
        <row r="14659">
          <cell r="B14659" t="str">
            <v>26030201020101</v>
          </cell>
          <cell r="C14659" t="str">
            <v>BANCO CENTRAL DE RESERVA DEL PERU       2NC</v>
          </cell>
        </row>
        <row r="14660">
          <cell r="B14660" t="str">
            <v>26030201020102</v>
          </cell>
          <cell r="C14660" t="str">
            <v>BANCO DE LA NACIÃ“N                     2NC</v>
          </cell>
        </row>
        <row r="14661">
          <cell r="B14661" t="str">
            <v>26030201020103</v>
          </cell>
          <cell r="C14661" t="str">
            <v>BANCODE CREDITO DEL PERU                2NC</v>
          </cell>
        </row>
        <row r="14662">
          <cell r="B14662" t="str">
            <v>26030201020104</v>
          </cell>
          <cell r="C14662" t="str">
            <v>BANCO INTERNACIONAL DEL PERU - INTERBANK2NC</v>
          </cell>
        </row>
        <row r="14663">
          <cell r="B14663" t="str">
            <v>26030201020105</v>
          </cell>
          <cell r="C14663" t="str">
            <v>SCOTIABANK PERU S. A. A.                2NC</v>
          </cell>
        </row>
        <row r="14664">
          <cell r="B14664" t="str">
            <v>26030201020106</v>
          </cell>
          <cell r="C14664" t="str">
            <v>BANCO CONTINENTAL                       2NC</v>
          </cell>
        </row>
        <row r="14665">
          <cell r="B14665" t="str">
            <v>26030201020108</v>
          </cell>
          <cell r="C14665" t="str">
            <v>BANCO DE COMERCIO                       2NC</v>
          </cell>
        </row>
        <row r="14666">
          <cell r="B14666" t="str">
            <v>26030201020109</v>
          </cell>
          <cell r="C14666" t="str">
            <v>BANCO FINANCIERO DEL PERU               2NC</v>
          </cell>
        </row>
        <row r="14667">
          <cell r="B14667" t="str">
            <v>26030201020116</v>
          </cell>
          <cell r="C14667" t="str">
            <v>CITIBANK N. A.   SUCURSAL EN EL PERU DEL2NC</v>
          </cell>
        </row>
        <row r="14668">
          <cell r="B14668" t="str">
            <v>26030201020121</v>
          </cell>
          <cell r="C14668" t="str">
            <v>BANCO INTERAMERICANO DE FINANZAS - S. A.2NC</v>
          </cell>
        </row>
        <row r="14669">
          <cell r="B14669" t="str">
            <v>26030201020128</v>
          </cell>
          <cell r="C14669" t="str">
            <v>CORPORACIÃ“N FINANCIERA DE DESARROLLO S.2NC</v>
          </cell>
        </row>
        <row r="14670">
          <cell r="B14670" t="str">
            <v>26030201020129</v>
          </cell>
          <cell r="C14670" t="str">
            <v>MIBANCO BANCO DE LA MICROEMPRESA - MIBAN2NC</v>
          </cell>
        </row>
        <row r="14671">
          <cell r="B14671" t="str">
            <v>26030201020131</v>
          </cell>
          <cell r="C14671" t="str">
            <v>BANCO AGROPECUARIO - AGROBANCO          2NC</v>
          </cell>
        </row>
        <row r="14672">
          <cell r="B14672" t="str">
            <v>26030201020132</v>
          </cell>
          <cell r="C14672" t="str">
            <v>HSBC BANK PERU S. A.                    2NC</v>
          </cell>
        </row>
        <row r="14673">
          <cell r="B14673" t="str">
            <v>26030201020133</v>
          </cell>
          <cell r="C14673" t="str">
            <v>BANCO FALABELLA DEL PERU                2NC</v>
          </cell>
        </row>
        <row r="14674">
          <cell r="B14674" t="str">
            <v>26030201020134</v>
          </cell>
          <cell r="C14674" t="str">
            <v>BANCO SANTANDER PERU S. A.              2NC</v>
          </cell>
        </row>
        <row r="14675">
          <cell r="B14675" t="str">
            <v>26030201020135</v>
          </cell>
          <cell r="C14675" t="str">
            <v>BANCO RIPLEY S. A.                      2NC</v>
          </cell>
        </row>
        <row r="14676">
          <cell r="B14676" t="str">
            <v>26030201020136</v>
          </cell>
          <cell r="C14676" t="str">
            <v>BANCO AZTECA DEL PERU S. A.             2NC</v>
          </cell>
        </row>
        <row r="14677">
          <cell r="B14677" t="str">
            <v>26030201020137</v>
          </cell>
          <cell r="C14677" t="str">
            <v>DEUTSCHE BANK (PERU) S. A.              2NC</v>
          </cell>
        </row>
        <row r="14678">
          <cell r="B14678" t="str">
            <v>26030201020199</v>
          </cell>
          <cell r="C14678" t="str">
            <v>BANCOS EN LIQUIDACIÃ“N                  2NC</v>
          </cell>
        </row>
        <row r="14679">
          <cell r="B14679" t="str">
            <v>26030201020203</v>
          </cell>
          <cell r="C14679" t="str">
            <v>SOLUCIÃ“N FINANCIERADE CREDITO DEL PERU 2NC</v>
          </cell>
        </row>
        <row r="14680">
          <cell r="B14680" t="str">
            <v>26030201020207</v>
          </cell>
          <cell r="C14680" t="str">
            <v>FINANCIERA TFC S. A.                    2NC</v>
          </cell>
        </row>
        <row r="14681">
          <cell r="B14681" t="str">
            <v>26030201020209</v>
          </cell>
          <cell r="C14681" t="str">
            <v>FINANCIERA EDYFICAR S. A.               2NC</v>
          </cell>
        </row>
        <row r="14682">
          <cell r="B14682" t="str">
            <v>26030201020210</v>
          </cell>
          <cell r="C14682" t="str">
            <v>CREDISCOTIA FINANCIERA S. A.            2NC</v>
          </cell>
        </row>
        <row r="14683">
          <cell r="B14683" t="str">
            <v>26030201020211</v>
          </cell>
          <cell r="C14683" t="str">
            <v>FINANCIERA CREAR S. A.                  2NC</v>
          </cell>
        </row>
        <row r="14684">
          <cell r="B14684" t="str">
            <v>26030201020212</v>
          </cell>
          <cell r="C14684" t="str">
            <v>FINANCIERA CONFIANZA S. A.              2NC</v>
          </cell>
        </row>
        <row r="14685">
          <cell r="B14685" t="str">
            <v>26030201020213</v>
          </cell>
          <cell r="C14685" t="str">
            <v>FINANCIERA UNIVERSAL S. A.              2NC</v>
          </cell>
        </row>
        <row r="14686">
          <cell r="B14686" t="str">
            <v>26030201020214</v>
          </cell>
          <cell r="C14686" t="str">
            <v>FINANCIERA UNO S. A.                    2NC</v>
          </cell>
        </row>
        <row r="14687">
          <cell r="B14687" t="str">
            <v>26030201020215</v>
          </cell>
          <cell r="C14687" t="str">
            <v>FINANCIERA EFECTIVA S. A.               2NC</v>
          </cell>
        </row>
        <row r="14688">
          <cell r="B14688" t="str">
            <v>26030201020216</v>
          </cell>
          <cell r="C14688" t="str">
            <v>AMERIKA FINANCIERA S. A.                2NC</v>
          </cell>
        </row>
        <row r="14689">
          <cell r="B14689" t="str">
            <v>26030201020299</v>
          </cell>
          <cell r="C14689" t="str">
            <v>FINANCIERAS EN LIQUIDACIÃ“N             2NC</v>
          </cell>
        </row>
        <row r="14690">
          <cell r="B14690" t="str">
            <v>26030201020301</v>
          </cell>
          <cell r="C14690" t="str">
            <v>CAJA MUNICIPAL DE AHORRO YCREDITO DE SUL2NC</v>
          </cell>
        </row>
        <row r="14691">
          <cell r="B14691" t="str">
            <v>26030201020302</v>
          </cell>
          <cell r="C14691" t="str">
            <v>CAJA MUNICIPALDE CREDITO POPULAR DE LIMA2NC</v>
          </cell>
        </row>
        <row r="14692">
          <cell r="B14692" t="str">
            <v>26030201020303</v>
          </cell>
          <cell r="C14692" t="str">
            <v>CAJA MUNICIPAL DE AHORRO YCREDITO DE PIU2NC</v>
          </cell>
        </row>
        <row r="14693">
          <cell r="B14693" t="str">
            <v>26030201020304</v>
          </cell>
          <cell r="C14693" t="str">
            <v>CAJA MUNICIPAL DE AHORRO YCREDITO DE ARE2NC</v>
          </cell>
        </row>
        <row r="14694">
          <cell r="B14694" t="str">
            <v>26030201020305</v>
          </cell>
          <cell r="C14694" t="str">
            <v>CAJA MUNICIPAL DE AHORRO YCREDITO DE HUA2NC</v>
          </cell>
        </row>
        <row r="14695">
          <cell r="B14695" t="str">
            <v>26030201020306</v>
          </cell>
          <cell r="C14695" t="str">
            <v>CAJA MUNICIPAL DE AHORRO YCREDITO CUSCO 2NC</v>
          </cell>
        </row>
        <row r="14696">
          <cell r="B14696" t="str">
            <v>26030201020307</v>
          </cell>
          <cell r="C14696" t="str">
            <v>CAJA MUNICIPAL DE AHORRO YCREDITO DE MAY2NC</v>
          </cell>
        </row>
        <row r="14697">
          <cell r="B14697" t="str">
            <v>26030201020308</v>
          </cell>
          <cell r="C14697" t="str">
            <v>CAJA MUNICIPAL DE AHORRO YCREDITO DE ICA2NC</v>
          </cell>
        </row>
        <row r="14698">
          <cell r="B14698" t="str">
            <v>26030201020309</v>
          </cell>
          <cell r="C14698" t="str">
            <v>CAJA MUNICIPAL DE AHORRO YCREDITO DE PAI2NC</v>
          </cell>
        </row>
        <row r="14699">
          <cell r="B14699" t="str">
            <v>26030201020310</v>
          </cell>
          <cell r="C14699" t="str">
            <v>CAJA MUNICIPAL DE AHORRO YCREDITO DEL SA2NC</v>
          </cell>
        </row>
        <row r="14700">
          <cell r="B14700" t="str">
            <v>26030201020311</v>
          </cell>
          <cell r="C14700" t="str">
            <v>CAJA MUNICIPAL DE AHORRO YCREDITO DE TRU2NC</v>
          </cell>
        </row>
        <row r="14701">
          <cell r="B14701" t="str">
            <v>26030201020312</v>
          </cell>
          <cell r="C14701" t="str">
            <v>CAJA MUNICIPAL DE AHORRO YCREDITO DE TAC2NC</v>
          </cell>
        </row>
        <row r="14702">
          <cell r="B14702" t="str">
            <v>26030201020313</v>
          </cell>
          <cell r="C14702" t="str">
            <v>CAJA MUNICIPAL DE AHORRO YCREDITO DE PIS2NC</v>
          </cell>
        </row>
        <row r="14703">
          <cell r="B14703" t="str">
            <v>26030201020399</v>
          </cell>
          <cell r="C14703" t="str">
            <v>CAJAS MUNICIPALES DE AHORRO YCREDITO EN 2NC</v>
          </cell>
        </row>
        <row r="14704">
          <cell r="B14704" t="str">
            <v>26030201020403</v>
          </cell>
          <cell r="C14704" t="str">
            <v>CAJA RURAL DE AHORRO YCREDITO QUILLABAMB2NC</v>
          </cell>
        </row>
        <row r="14705">
          <cell r="B14705" t="str">
            <v>26030201020405</v>
          </cell>
          <cell r="C14705" t="str">
            <v>CAJA RURAL DE AHORRO YCREDITO LOS LIBERT2NC</v>
          </cell>
        </row>
        <row r="14706">
          <cell r="B14706" t="str">
            <v>26030201020406</v>
          </cell>
          <cell r="C14706" t="str">
            <v>CAJA RURAL DE AHORRO YCREDITO SEÃ‘OR DE 2NC</v>
          </cell>
        </row>
        <row r="14707">
          <cell r="B14707" t="str">
            <v>26030201020407</v>
          </cell>
          <cell r="C14707" t="str">
            <v>CAJA RURAL DE AHORRO YCREDITO CHAVÃN S.2NC</v>
          </cell>
        </row>
        <row r="14708">
          <cell r="B14708" t="str">
            <v>26030201020408</v>
          </cell>
          <cell r="C14708" t="str">
            <v>CAJA RURAL DE AHORRO YCREDITO NUESTRA GE2NC</v>
          </cell>
        </row>
        <row r="14709">
          <cell r="B14709" t="str">
            <v>26030201020409</v>
          </cell>
          <cell r="C14709" t="str">
            <v>CAJA RURAL DE AHORRO YCREDITO CAJAMARCA 2NC</v>
          </cell>
        </row>
        <row r="14710">
          <cell r="B14710" t="str">
            <v>26030201020410</v>
          </cell>
          <cell r="C14710" t="str">
            <v>CAJA RURAL DE AHORRO YCREDITO PROFINANZA2NC</v>
          </cell>
        </row>
        <row r="14711">
          <cell r="B14711" t="str">
            <v>26030201020412</v>
          </cell>
          <cell r="C14711" t="str">
            <v>CAJA RURAL DE AHORRO YCREDITO SIPÃN S. 2NC</v>
          </cell>
        </row>
        <row r="14712">
          <cell r="B14712" t="str">
            <v>26030201020414</v>
          </cell>
          <cell r="C14712" t="str">
            <v>CAJA RURAL DE AHORRO YCREDITO PRYMERA S.2NC</v>
          </cell>
        </row>
        <row r="14713">
          <cell r="B14713" t="str">
            <v>26030201020415</v>
          </cell>
          <cell r="C14713" t="str">
            <v>CAJA RURAL DE AHORRO YCREDITO LOS ANDES 2NC</v>
          </cell>
        </row>
        <row r="14714">
          <cell r="B14714" t="str">
            <v>26030201020499</v>
          </cell>
          <cell r="C14714" t="str">
            <v>CAJAS RURALES DE AHORRO YCREDITO EN LIQU2NC</v>
          </cell>
        </row>
        <row r="14715">
          <cell r="B14715" t="str">
            <v>26030201020503</v>
          </cell>
          <cell r="C14715" t="str">
            <v>PROEMPRESA S. A.                        2NC</v>
          </cell>
        </row>
        <row r="14716">
          <cell r="B14716" t="str">
            <v>26030201020506</v>
          </cell>
          <cell r="C14716" t="str">
            <v>NUEVA VISIÃ“N S. A.                     2NC</v>
          </cell>
        </row>
        <row r="14717">
          <cell r="B14717" t="str">
            <v>26030201020508</v>
          </cell>
          <cell r="C14717" t="str">
            <v>RAIZ S. A.                              2NC</v>
          </cell>
        </row>
        <row r="14718">
          <cell r="B14718" t="str">
            <v>26030201020510</v>
          </cell>
          <cell r="C14718" t="str">
            <v>SOLIDARIDAD S. A.                       2NC</v>
          </cell>
        </row>
        <row r="14719">
          <cell r="B14719" t="str">
            <v>26030201020511</v>
          </cell>
          <cell r="C14719" t="str">
            <v>CREDIVISIÃ“N S. A.                      2NC</v>
          </cell>
        </row>
        <row r="14720">
          <cell r="B14720" t="str">
            <v>26030201020512</v>
          </cell>
          <cell r="C14720" t="str">
            <v>ACCESO CREDITICIO S. A.                 2NC</v>
          </cell>
        </row>
        <row r="14721">
          <cell r="B14721" t="str">
            <v>26030201020514</v>
          </cell>
          <cell r="C14721" t="str">
            <v>ALTERNATIVA S. A.                       2NC</v>
          </cell>
        </row>
        <row r="14722">
          <cell r="B14722" t="str">
            <v>26030201020515</v>
          </cell>
          <cell r="C14722" t="str">
            <v>PRONEGOCIOS S. A.                       2NC</v>
          </cell>
        </row>
        <row r="14723">
          <cell r="B14723" t="str">
            <v>26030201020516</v>
          </cell>
          <cell r="C14723" t="str">
            <v>MICASITA S. A.                          2NC</v>
          </cell>
        </row>
        <row r="14724">
          <cell r="B14724" t="str">
            <v>26030201020517</v>
          </cell>
          <cell r="C14724" t="str">
            <v>CREDIJET DEL PERU S. A.                 2NC</v>
          </cell>
        </row>
        <row r="14725">
          <cell r="B14725" t="str">
            <v>26030201020599</v>
          </cell>
          <cell r="C14725" t="str">
            <v>EDPYMES EN LIQUIDACIÃ“N                 2NC</v>
          </cell>
        </row>
        <row r="14726">
          <cell r="B14726" t="str">
            <v>26030202010101</v>
          </cell>
          <cell r="C14726" t="str">
            <v>BANCO CENTRAL DE RESERVA DEL PERU       2NC</v>
          </cell>
        </row>
        <row r="14727">
          <cell r="B14727" t="str">
            <v>26030202010102</v>
          </cell>
          <cell r="C14727" t="str">
            <v>BANCO DE LA NACIÃ“N                     2NC</v>
          </cell>
        </row>
        <row r="14728">
          <cell r="B14728" t="str">
            <v>26030202010103</v>
          </cell>
          <cell r="C14728" t="str">
            <v>BANCODE CREDITO DEL PERU                2NC</v>
          </cell>
        </row>
        <row r="14729">
          <cell r="B14729" t="str">
            <v>26030202010104</v>
          </cell>
          <cell r="C14729" t="str">
            <v>BANCO INTERNACIONAL DEL PERU - INTERBANK2NC</v>
          </cell>
        </row>
        <row r="14730">
          <cell r="B14730" t="str">
            <v>26030202010105</v>
          </cell>
          <cell r="C14730" t="str">
            <v>SCOTIABANK PERU S. A. A.                2NC</v>
          </cell>
        </row>
        <row r="14731">
          <cell r="B14731" t="str">
            <v>26030202010106</v>
          </cell>
          <cell r="C14731" t="str">
            <v>BANCO CONTINENTAL                       2NC</v>
          </cell>
        </row>
        <row r="14732">
          <cell r="B14732" t="str">
            <v>26030202010108</v>
          </cell>
          <cell r="C14732" t="str">
            <v>BANCO DE COMERCIO                       2NC</v>
          </cell>
        </row>
        <row r="14733">
          <cell r="B14733" t="str">
            <v>26030202010109</v>
          </cell>
          <cell r="C14733" t="str">
            <v>BANCO FINANCIERO DEL PERU               2NC</v>
          </cell>
        </row>
        <row r="14734">
          <cell r="B14734" t="str">
            <v>26030202010116</v>
          </cell>
          <cell r="C14734" t="str">
            <v>CITIBANK N. A.   SUCURSAL EN EL PERU DEL2NC</v>
          </cell>
        </row>
        <row r="14735">
          <cell r="B14735" t="str">
            <v>26030202010121</v>
          </cell>
          <cell r="C14735" t="str">
            <v>BANCO INTERAMERICANO DE FINANZAS - S. A.2NC</v>
          </cell>
        </row>
        <row r="14736">
          <cell r="B14736" t="str">
            <v>26030202010128</v>
          </cell>
          <cell r="C14736" t="str">
            <v>CORPORACIÃ“N FINANCIERA DE DESARROLLO S.2NC</v>
          </cell>
        </row>
        <row r="14737">
          <cell r="B14737" t="str">
            <v>26030202010129</v>
          </cell>
          <cell r="C14737" t="str">
            <v>MIBANCO BANCO DE LA MICROEMPRESA - MIBAN2NC</v>
          </cell>
        </row>
        <row r="14738">
          <cell r="B14738" t="str">
            <v>26030202010131</v>
          </cell>
          <cell r="C14738" t="str">
            <v>BANCO AGROPECUARIO - AGROBANCO          2NC</v>
          </cell>
        </row>
        <row r="14739">
          <cell r="B14739" t="str">
            <v>26030202010132</v>
          </cell>
          <cell r="C14739" t="str">
            <v>HSBC BANK PERU S. A.                    2NC</v>
          </cell>
        </row>
        <row r="14740">
          <cell r="B14740" t="str">
            <v>26030202010133</v>
          </cell>
          <cell r="C14740" t="str">
            <v>BANCO FALABELLA DEL PERU                2NC</v>
          </cell>
        </row>
        <row r="14741">
          <cell r="B14741" t="str">
            <v>26030202010134</v>
          </cell>
          <cell r="C14741" t="str">
            <v>BANCO SANTANDER PERU S. A.              2NC</v>
          </cell>
        </row>
        <row r="14742">
          <cell r="B14742" t="str">
            <v>26030202010135</v>
          </cell>
          <cell r="C14742" t="str">
            <v>BANCO RIPLEY S. A.                      2NC</v>
          </cell>
        </row>
        <row r="14743">
          <cell r="B14743" t="str">
            <v>26030202010136</v>
          </cell>
          <cell r="C14743" t="str">
            <v>BANCO AZTECA DEL PERU S. A.             2NC</v>
          </cell>
        </row>
        <row r="14744">
          <cell r="B14744" t="str">
            <v>26030202010137</v>
          </cell>
          <cell r="C14744" t="str">
            <v>DEUTSCHE BANK (PERU) S. A.              2NC</v>
          </cell>
        </row>
        <row r="14745">
          <cell r="B14745" t="str">
            <v>26030202010199</v>
          </cell>
          <cell r="C14745" t="str">
            <v>BANCOS EN LIQUIDACIÃ“N                  2NC</v>
          </cell>
        </row>
        <row r="14746">
          <cell r="B14746" t="str">
            <v>26030202011401</v>
          </cell>
          <cell r="C14746" t="str">
            <v>FONDO MIVIVIENDA S. A.                  2NC</v>
          </cell>
        </row>
        <row r="14747">
          <cell r="B14747" t="str">
            <v>26030202011501</v>
          </cell>
          <cell r="C14747" t="str">
            <v>AMRICA FACTORING S. A.                  2NC</v>
          </cell>
        </row>
        <row r="14748">
          <cell r="B14748" t="str">
            <v>26030202011601</v>
          </cell>
          <cell r="C14748" t="str">
            <v>INCASA S. A.                            2NC</v>
          </cell>
        </row>
        <row r="14749">
          <cell r="B14749" t="str">
            <v>26030202020101</v>
          </cell>
          <cell r="C14749" t="str">
            <v>BANCO CENTRAL DE RESERVA DEL PERU       2NC</v>
          </cell>
        </row>
        <row r="14750">
          <cell r="B14750" t="str">
            <v>26030202020102</v>
          </cell>
          <cell r="C14750" t="str">
            <v>BANCO DE LA NACIÃ“N                     2NC</v>
          </cell>
        </row>
        <row r="14751">
          <cell r="B14751" t="str">
            <v>26030202020103</v>
          </cell>
          <cell r="C14751" t="str">
            <v>BANCODE CREDITO DEL PERU                2NC</v>
          </cell>
        </row>
        <row r="14752">
          <cell r="B14752" t="str">
            <v>26030202020104</v>
          </cell>
          <cell r="C14752" t="str">
            <v>BANCO INTERNACIONAL DEL PERU - INTERBANK2NC</v>
          </cell>
        </row>
        <row r="14753">
          <cell r="B14753" t="str">
            <v>26030202020105</v>
          </cell>
          <cell r="C14753" t="str">
            <v>SCOTIABANK PERU S. A. A.                2NC</v>
          </cell>
        </row>
        <row r="14754">
          <cell r="B14754" t="str">
            <v>26030202020106</v>
          </cell>
          <cell r="C14754" t="str">
            <v>BANCO CONTINENTAL                       2NC</v>
          </cell>
        </row>
        <row r="14755">
          <cell r="B14755" t="str">
            <v>26030202020108</v>
          </cell>
          <cell r="C14755" t="str">
            <v>BANCO DE COMERCIO                       2NC</v>
          </cell>
        </row>
        <row r="14756">
          <cell r="B14756" t="str">
            <v>26030202020109</v>
          </cell>
          <cell r="C14756" t="str">
            <v>BANCO FINANCIERO DEL PERU               2NC</v>
          </cell>
        </row>
        <row r="14757">
          <cell r="B14757" t="str">
            <v>26030202020116</v>
          </cell>
          <cell r="C14757" t="str">
            <v>CITIBANK N. A.   SUCURSAL EN EL PERU DEL2NC</v>
          </cell>
        </row>
        <row r="14758">
          <cell r="B14758" t="str">
            <v>26030202020121</v>
          </cell>
          <cell r="C14758" t="str">
            <v>BANCO INTERAMERICANO DE FINANZAS - S. A.2NC</v>
          </cell>
        </row>
        <row r="14759">
          <cell r="B14759" t="str">
            <v>26030202020128</v>
          </cell>
          <cell r="C14759" t="str">
            <v>CORPORACIÃ“N FINANCIERA DE DESARROLLO S.2NC</v>
          </cell>
        </row>
        <row r="14760">
          <cell r="B14760" t="str">
            <v>26030202020129</v>
          </cell>
          <cell r="C14760" t="str">
            <v>MIBANCO BANCO DE LA MICROEMPRESA - MIBAN2NC</v>
          </cell>
        </row>
        <row r="14761">
          <cell r="B14761" t="str">
            <v>26030202020131</v>
          </cell>
          <cell r="C14761" t="str">
            <v>BANCO AGROPECUARIO - AGROBANCO          2NC</v>
          </cell>
        </row>
        <row r="14762">
          <cell r="B14762" t="str">
            <v>26030202020132</v>
          </cell>
          <cell r="C14762" t="str">
            <v>HSBC BANK PERU S. A.                    2NC</v>
          </cell>
        </row>
        <row r="14763">
          <cell r="B14763" t="str">
            <v>26030202020133</v>
          </cell>
          <cell r="C14763" t="str">
            <v>BANCO FALABELLA DEL PERU                2NC</v>
          </cell>
        </row>
        <row r="14764">
          <cell r="B14764" t="str">
            <v>26030202020134</v>
          </cell>
          <cell r="C14764" t="str">
            <v>BANCO SANTANDER PERU S. A.              2NC</v>
          </cell>
        </row>
        <row r="14765">
          <cell r="B14765" t="str">
            <v>26030202020135</v>
          </cell>
          <cell r="C14765" t="str">
            <v>BANCO RIPLEY S. A.                      2NC</v>
          </cell>
        </row>
        <row r="14766">
          <cell r="B14766" t="str">
            <v>26030202020136</v>
          </cell>
          <cell r="C14766" t="str">
            <v>BANCO AZTECA DEL PERU S. A.             2NC</v>
          </cell>
        </row>
        <row r="14767">
          <cell r="B14767" t="str">
            <v>26030202020137</v>
          </cell>
          <cell r="C14767" t="str">
            <v>DEUTSCHE BANK (PERU) S. A.              2NC</v>
          </cell>
        </row>
        <row r="14768">
          <cell r="B14768" t="str">
            <v>26030202020199</v>
          </cell>
          <cell r="C14768" t="str">
            <v>BANCOS EN LIQUIDACIÃ“N                  2NC</v>
          </cell>
        </row>
        <row r="14769">
          <cell r="B14769" t="str">
            <v>26030203010101</v>
          </cell>
          <cell r="C14769" t="str">
            <v>BANCO CENTRAL DE RESERVA DEL PERU       2NC</v>
          </cell>
        </row>
        <row r="14770">
          <cell r="B14770" t="str">
            <v>26030203010102</v>
          </cell>
          <cell r="C14770" t="str">
            <v>BANCO DE LA NACIÃ“N                     2NC</v>
          </cell>
        </row>
        <row r="14771">
          <cell r="B14771" t="str">
            <v>26030203010103</v>
          </cell>
          <cell r="C14771" t="str">
            <v>BANCODE CREDITO DEL PERU                2NC</v>
          </cell>
        </row>
        <row r="14772">
          <cell r="B14772" t="str">
            <v>26030203010104</v>
          </cell>
          <cell r="C14772" t="str">
            <v>BANCO INTERNACIONAL DEL PERU - INTERBANK2NC</v>
          </cell>
        </row>
        <row r="14773">
          <cell r="B14773" t="str">
            <v>26030203010105</v>
          </cell>
          <cell r="C14773" t="str">
            <v>SCOTIABANK PERU S. A. A.                2NC</v>
          </cell>
        </row>
        <row r="14774">
          <cell r="B14774" t="str">
            <v>26030203010106</v>
          </cell>
          <cell r="C14774" t="str">
            <v>BANCO CONTINENTAL                       2NC</v>
          </cell>
        </row>
        <row r="14775">
          <cell r="B14775" t="str">
            <v>26030203010108</v>
          </cell>
          <cell r="C14775" t="str">
            <v>BANCO DE COMERCIO                       2NC</v>
          </cell>
        </row>
        <row r="14776">
          <cell r="B14776" t="str">
            <v>26030203010109</v>
          </cell>
          <cell r="C14776" t="str">
            <v>BANCO FINANCIERO DEL PERU               2NC</v>
          </cell>
        </row>
        <row r="14777">
          <cell r="B14777" t="str">
            <v>26030203010116</v>
          </cell>
          <cell r="C14777" t="str">
            <v>CITIBANK N. A.   SUCURSAL EN EL PERU DEL2NC</v>
          </cell>
        </row>
        <row r="14778">
          <cell r="B14778" t="str">
            <v>26030203010121</v>
          </cell>
          <cell r="C14778" t="str">
            <v>BANCO INTERAMERICANO DE FINANZAS - S. A.2NC</v>
          </cell>
        </row>
        <row r="14779">
          <cell r="B14779" t="str">
            <v>26030203010128</v>
          </cell>
          <cell r="C14779" t="str">
            <v>CORPORACIÃ“N FINANCIERA DE DESARROLLO S.2NC</v>
          </cell>
        </row>
        <row r="14780">
          <cell r="B14780" t="str">
            <v>26030203010129</v>
          </cell>
          <cell r="C14780" t="str">
            <v>MIBANCO BANCO DE LA MICROEMPRESA - MIBAN2NC</v>
          </cell>
        </row>
        <row r="14781">
          <cell r="B14781" t="str">
            <v>26030203010131</v>
          </cell>
          <cell r="C14781" t="str">
            <v>BANCO AGROPECUARIO - AGROBANCO          2NC</v>
          </cell>
        </row>
        <row r="14782">
          <cell r="B14782" t="str">
            <v>26030203010132</v>
          </cell>
          <cell r="C14782" t="str">
            <v>HSBC BANK PERU S. A.                    2NC</v>
          </cell>
        </row>
        <row r="14783">
          <cell r="B14783" t="str">
            <v>26030203010133</v>
          </cell>
          <cell r="C14783" t="str">
            <v>BANCO FALABELLA DEL PERU                2NC</v>
          </cell>
        </row>
        <row r="14784">
          <cell r="B14784" t="str">
            <v>26030203010134</v>
          </cell>
          <cell r="C14784" t="str">
            <v>BANCO SANTANDER PERU S. A.              2NC</v>
          </cell>
        </row>
        <row r="14785">
          <cell r="B14785" t="str">
            <v>26030203010135</v>
          </cell>
          <cell r="C14785" t="str">
            <v>BANCO RIPLEY S. A.                      2NC</v>
          </cell>
        </row>
        <row r="14786">
          <cell r="B14786" t="str">
            <v>26030203010136</v>
          </cell>
          <cell r="C14786" t="str">
            <v>BANCO AZTECA DEL PERU S. A.             2NC</v>
          </cell>
        </row>
        <row r="14787">
          <cell r="B14787" t="str">
            <v>26030203010137</v>
          </cell>
          <cell r="C14787" t="str">
            <v>DEUTSCHE BANK (PERU) S. A.              2NC</v>
          </cell>
        </row>
        <row r="14788">
          <cell r="B14788" t="str">
            <v>26030203010199</v>
          </cell>
          <cell r="C14788" t="str">
            <v>BANCOS EN LIQUIDACIÃ“N                  2NC</v>
          </cell>
        </row>
        <row r="14789">
          <cell r="B14789" t="str">
            <v>26030203011401</v>
          </cell>
          <cell r="C14789" t="str">
            <v>FONDO MIVIVIENDA S. A.                  2NC</v>
          </cell>
        </row>
        <row r="14790">
          <cell r="B14790" t="str">
            <v>26030203011501</v>
          </cell>
          <cell r="C14790" t="str">
            <v>AMRICA FACTORING S. A.                  2NC</v>
          </cell>
        </row>
        <row r="14791">
          <cell r="B14791" t="str">
            <v>26030203011601</v>
          </cell>
          <cell r="C14791" t="str">
            <v>INCASA S. A.                            2NC</v>
          </cell>
        </row>
        <row r="14792">
          <cell r="B14792" t="str">
            <v>26030203020101</v>
          </cell>
          <cell r="C14792" t="str">
            <v>BANCO CENTRAL DE RESERVA DEL PERU       2NC</v>
          </cell>
        </row>
        <row r="14793">
          <cell r="B14793" t="str">
            <v>26030203020102</v>
          </cell>
          <cell r="C14793" t="str">
            <v>BANCO DE LA NACIÃ“N                     2NC</v>
          </cell>
        </row>
        <row r="14794">
          <cell r="B14794" t="str">
            <v>26030203020103</v>
          </cell>
          <cell r="C14794" t="str">
            <v>BANCODE CREDITO DEL PERU                2NC</v>
          </cell>
        </row>
        <row r="14795">
          <cell r="B14795" t="str">
            <v>26030203020104</v>
          </cell>
          <cell r="C14795" t="str">
            <v>BANCO INTERNACIONAL DEL PERU - INTERBANK2NC</v>
          </cell>
        </row>
        <row r="14796">
          <cell r="B14796" t="str">
            <v>26030203020105</v>
          </cell>
          <cell r="C14796" t="str">
            <v>SCOTIABANK PERU S. A. A.                2NC</v>
          </cell>
        </row>
        <row r="14797">
          <cell r="B14797" t="str">
            <v>26030203020106</v>
          </cell>
          <cell r="C14797" t="str">
            <v>BANCO CONTINENTAL                       2NC</v>
          </cell>
        </row>
        <row r="14798">
          <cell r="B14798" t="str">
            <v>26030203020108</v>
          </cell>
          <cell r="C14798" t="str">
            <v>BANCO DE COMERCIO                       2NC</v>
          </cell>
        </row>
        <row r="14799">
          <cell r="B14799" t="str">
            <v>26030203020109</v>
          </cell>
          <cell r="C14799" t="str">
            <v>BANCO FINANCIERO DEL PERU               2NC</v>
          </cell>
        </row>
        <row r="14800">
          <cell r="B14800" t="str">
            <v>26030203020116</v>
          </cell>
          <cell r="C14800" t="str">
            <v>CITIBANK N. A.   SUCURSAL EN EL PERU DEL2NC</v>
          </cell>
        </row>
        <row r="14801">
          <cell r="B14801" t="str">
            <v>26030203020121</v>
          </cell>
          <cell r="C14801" t="str">
            <v>BANCO INTERAMERICANO DE FINANZAS - S. A.2NC</v>
          </cell>
        </row>
        <row r="14802">
          <cell r="B14802" t="str">
            <v>26030203020128</v>
          </cell>
          <cell r="C14802" t="str">
            <v>CORPORACIÃ“N FINANCIERA DE DESARROLLO S.2NC</v>
          </cell>
        </row>
        <row r="14803">
          <cell r="B14803" t="str">
            <v>26030203020129</v>
          </cell>
          <cell r="C14803" t="str">
            <v>MIBANCO BANCO DE LA MICROEMPRESA - MIBAN2NC</v>
          </cell>
        </row>
        <row r="14804">
          <cell r="B14804" t="str">
            <v>26030203020131</v>
          </cell>
          <cell r="C14804" t="str">
            <v>BANCO AGROPECUARIO - AGROBANCO          2NC</v>
          </cell>
        </row>
        <row r="14805">
          <cell r="B14805" t="str">
            <v>26030203020132</v>
          </cell>
          <cell r="C14805" t="str">
            <v>HSBC BANK PERU S. A.                    2NC</v>
          </cell>
        </row>
        <row r="14806">
          <cell r="B14806" t="str">
            <v>26030203020133</v>
          </cell>
          <cell r="C14806" t="str">
            <v>BANCO FALABELLA DEL PERU                2NC</v>
          </cell>
        </row>
        <row r="14807">
          <cell r="B14807" t="str">
            <v>26030203020134</v>
          </cell>
          <cell r="C14807" t="str">
            <v>BANCO SANTANDER PERU S. A.              2NC</v>
          </cell>
        </row>
        <row r="14808">
          <cell r="B14808" t="str">
            <v>26030203020135</v>
          </cell>
          <cell r="C14808" t="str">
            <v>BANCO RIPLEY S. A.                      2NC</v>
          </cell>
        </row>
        <row r="14809">
          <cell r="B14809" t="str">
            <v>26030203020136</v>
          </cell>
          <cell r="C14809" t="str">
            <v>BANCO AZTECA DEL PERU S. A.             2NC</v>
          </cell>
        </row>
        <row r="14810">
          <cell r="B14810" t="str">
            <v>26030203020137</v>
          </cell>
          <cell r="C14810" t="str">
            <v>DEUTSCHE BANK (PERU) S. A.              2NC</v>
          </cell>
        </row>
        <row r="14811">
          <cell r="B14811" t="str">
            <v>26030203020199</v>
          </cell>
          <cell r="C14811" t="str">
            <v>BANCOS EN LIQUIDACIÃ“N                  2NC</v>
          </cell>
        </row>
        <row r="14812">
          <cell r="B14812" t="str">
            <v>26040201000123</v>
          </cell>
          <cell r="C14812" t="str">
            <v>RABO ROBECO BANK (EX RABOBANK)          2NC</v>
          </cell>
        </row>
        <row r="14813">
          <cell r="B14813" t="str">
            <v>26040201000124</v>
          </cell>
          <cell r="C14813" t="str">
            <v>WEST LB                                 2NC</v>
          </cell>
        </row>
        <row r="14814">
          <cell r="B14814" t="str">
            <v>26040201000148</v>
          </cell>
          <cell r="C14814" t="str">
            <v>COBANK                                  2NC</v>
          </cell>
        </row>
        <row r="14815">
          <cell r="B14815" t="str">
            <v>26040201000149</v>
          </cell>
          <cell r="C14815" t="str">
            <v>DEUTSCHE BANK NY                        2NC</v>
          </cell>
        </row>
        <row r="14816">
          <cell r="B14816" t="str">
            <v>26040201000150</v>
          </cell>
          <cell r="C14816" t="str">
            <v>CREDIT SUISSE ISLAS CAYMAN LP           2NC</v>
          </cell>
        </row>
        <row r="14817">
          <cell r="B14817" t="str">
            <v>26040201000151</v>
          </cell>
          <cell r="C14817" t="str">
            <v>AD DEUTSCHE BANK LP                     2NC</v>
          </cell>
        </row>
        <row r="14818">
          <cell r="B14818" t="str">
            <v>26040201000201</v>
          </cell>
          <cell r="C14818" t="str">
            <v>HSBC BANK PLC/ LP                       2NC</v>
          </cell>
        </row>
        <row r="14819">
          <cell r="B14819" t="str">
            <v>26040201010101</v>
          </cell>
          <cell r="C14819" t="str">
            <v>MDC ADEUDADOS  INSTITUCIONES FINANCIERAS2NC</v>
          </cell>
        </row>
        <row r="14820">
          <cell r="B14820" t="str">
            <v>26040201010102</v>
          </cell>
          <cell r="C14820" t="str">
            <v>AD DEUTSCHE BANK LP                     2NC</v>
          </cell>
        </row>
        <row r="14821">
          <cell r="B14821" t="str">
            <v>26040201010103</v>
          </cell>
          <cell r="C14821" t="str">
            <v>CREDIT SUISSE ISLAS CAYMAN LP           2NC</v>
          </cell>
        </row>
        <row r="14822">
          <cell r="B14822" t="str">
            <v>26040201010107</v>
          </cell>
          <cell r="C14822" t="str">
            <v>CL ADÂ  CAPITAL DE TRABAJO PROD.184 LP  2NC</v>
          </cell>
        </row>
        <row r="14823">
          <cell r="B14823" t="str">
            <v>26040201010109</v>
          </cell>
          <cell r="C14823" t="str">
            <v>CL AD CHINA DEVELOP BANK HEBEI BRANCH LP2NC</v>
          </cell>
        </row>
        <row r="14824">
          <cell r="B14824" t="str">
            <v>26040201010125</v>
          </cell>
          <cell r="C14824" t="str">
            <v>WELLS FARGO BANK NA SAN FRANCISCO       2NC</v>
          </cell>
        </row>
        <row r="14825">
          <cell r="B14825" t="str">
            <v>26040201010126</v>
          </cell>
          <cell r="C14825" t="str">
            <v>AD NATIONAL BANK OF ABU DHABIÂ          2NC</v>
          </cell>
        </row>
        <row r="14826">
          <cell r="B14826" t="str">
            <v>26040201010127</v>
          </cell>
          <cell r="C14826" t="str">
            <v>AD MERCANTIL COMMERCEBANK  N.A.         2NC</v>
          </cell>
        </row>
        <row r="14827">
          <cell r="B14827" t="str">
            <v>26040201010128</v>
          </cell>
          <cell r="C14827" t="str">
            <v>AD BANCO ESTADO DE CHILE NEW YORK BRANCH2NC</v>
          </cell>
        </row>
        <row r="14828">
          <cell r="B14828" t="str">
            <v>26040201010129</v>
          </cell>
          <cell r="C14828" t="str">
            <v>AD CHANG HWA COMMERCIAL BANK  LTD.  LOS 2NC</v>
          </cell>
        </row>
        <row r="14829">
          <cell r="B14829" t="str">
            <v>26040201010130</v>
          </cell>
          <cell r="C14829" t="str">
            <v>AD DISCOUNT BANK (LATIN AMERICA)        2NC</v>
          </cell>
        </row>
        <row r="14830">
          <cell r="B14830" t="str">
            <v>26040201010131</v>
          </cell>
          <cell r="C14830" t="str">
            <v>AD EXPORT-IMPORT BANK OF THE REPUBLIC OF2NC</v>
          </cell>
        </row>
        <row r="14831">
          <cell r="B14831" t="str">
            <v>26040201010132</v>
          </cell>
          <cell r="C14831" t="str">
            <v>AD REPUBLIC BANK LIMITEDÂ               2NC</v>
          </cell>
        </row>
        <row r="14832">
          <cell r="B14832" t="str">
            <v>26040201010133</v>
          </cell>
          <cell r="C14832" t="str">
            <v>AD TAIWAN COOPERATIVE BANK  LOS ANGELES 2NC</v>
          </cell>
        </row>
        <row r="14833">
          <cell r="B14833" t="str">
            <v>26040201010134</v>
          </cell>
          <cell r="C14833" t="str">
            <v>AD SHANGHAI COMMERCIAL AND SAVINGS BANK 2NC</v>
          </cell>
        </row>
        <row r="14834">
          <cell r="B14834" t="str">
            <v>26040201010135</v>
          </cell>
          <cell r="C14834" t="str">
            <v>AD ISRAEL DISCOUNT BANK OF NEW YORK     2NC</v>
          </cell>
        </row>
        <row r="14835">
          <cell r="B14835" t="str">
            <v>26040201010136</v>
          </cell>
          <cell r="C14835" t="str">
            <v>CITIBANK                                2NC</v>
          </cell>
        </row>
        <row r="14836">
          <cell r="B14836" t="str">
            <v>26040201010137</v>
          </cell>
          <cell r="C14836" t="str">
            <v>JP MORGAN CHASE                         2NC</v>
          </cell>
        </row>
        <row r="14837">
          <cell r="B14837" t="str">
            <v>26040201010138</v>
          </cell>
          <cell r="C14837" t="str">
            <v>BANK OF AMERICA                         2NC</v>
          </cell>
        </row>
        <row r="14838">
          <cell r="B14838" t="str">
            <v>26040201010139</v>
          </cell>
          <cell r="C14838" t="str">
            <v>STANDARD CHARTERED BANK                 2NC</v>
          </cell>
        </row>
        <row r="14839">
          <cell r="B14839" t="str">
            <v>26040201010201</v>
          </cell>
          <cell r="C14839" t="str">
            <v>HSBC BANK PLC/ LP                       2NC</v>
          </cell>
        </row>
        <row r="14840">
          <cell r="B14840" t="str">
            <v>26040201010202</v>
          </cell>
          <cell r="C14840" t="str">
            <v>MRX CAIXABANK S.A. LARGO PLAZO          2NC</v>
          </cell>
        </row>
        <row r="14841">
          <cell r="B14841" t="str">
            <v>26040201010203</v>
          </cell>
          <cell r="C14841" t="str">
            <v>MRX JP MORGAN LARGO PLAZO               2NC</v>
          </cell>
        </row>
        <row r="14842">
          <cell r="B14842" t="str">
            <v>26040201010204</v>
          </cell>
          <cell r="C14842" t="str">
            <v>MRX BANK OF CHINA PERU LARGO PLAZO      2NC</v>
          </cell>
        </row>
        <row r="14843">
          <cell r="B14843" t="str">
            <v>26040201010205</v>
          </cell>
          <cell r="C14843" t="str">
            <v>MRX BANCO DEL ESTADO DE CHILE  LARGO PLA2NC</v>
          </cell>
        </row>
        <row r="14844">
          <cell r="B14844" t="str">
            <v>26040201010206</v>
          </cell>
          <cell r="C14844" t="str">
            <v>MRX SCTANDARD CHARTERED NY    LARGO PLAZ2NC</v>
          </cell>
        </row>
        <row r="14845">
          <cell r="B14845" t="str">
            <v>26040201010207</v>
          </cell>
          <cell r="C14845" t="str">
            <v>MRX BANK OF MONTREAL                    2NC</v>
          </cell>
        </row>
        <row r="14846">
          <cell r="B14846" t="str">
            <v>26040201010208</v>
          </cell>
          <cell r="C14846" t="str">
            <v>MDC HSBC BRANCH INDIA                   2NC</v>
          </cell>
        </row>
        <row r="14847">
          <cell r="B14847" t="str">
            <v>26040201010209</v>
          </cell>
          <cell r="C14847" t="str">
            <v>MDC COMMERZBANK AG FRANKFURT            2NC</v>
          </cell>
        </row>
        <row r="14848">
          <cell r="B14848" t="str">
            <v>26040201010210</v>
          </cell>
          <cell r="C14848" t="str">
            <v>MDC WELL FARGO                          2NC</v>
          </cell>
        </row>
        <row r="14849">
          <cell r="B14849" t="str">
            <v>26040201010211</v>
          </cell>
          <cell r="C14849" t="str">
            <v>MDC BBVA MADRID                         2NC</v>
          </cell>
        </row>
        <row r="14850">
          <cell r="B14850" t="str">
            <v>26040201010212</v>
          </cell>
          <cell r="C14850" t="str">
            <v>MDC BANK OF AMERICA                     2NC</v>
          </cell>
        </row>
        <row r="14851">
          <cell r="B14851" t="str">
            <v>26040201010213</v>
          </cell>
          <cell r="C14851" t="str">
            <v>MDC ADEUDADO INSTITUCIONES FINANCIERAS E2NC</v>
          </cell>
        </row>
        <row r="14852">
          <cell r="B14852" t="str">
            <v>26040201010801</v>
          </cell>
          <cell r="C14852" t="str">
            <v>INTERBANK PERU                          2NC</v>
          </cell>
        </row>
        <row r="14853">
          <cell r="B14853" t="str">
            <v>26050101010101</v>
          </cell>
          <cell r="C14853" t="str">
            <v>MDC ADEUDADOS ORG FINANCIEROS INTERNACIO2NC</v>
          </cell>
        </row>
        <row r="14854">
          <cell r="B14854" t="str">
            <v>26050101010103</v>
          </cell>
          <cell r="C14854" t="str">
            <v>CL CORPORACION ANDINA DE FOMENTO        2NC</v>
          </cell>
        </row>
        <row r="14855">
          <cell r="B14855" t="str">
            <v>26050101010104</v>
          </cell>
          <cell r="C14855" t="str">
            <v>INTER-AMERICAN INVESTMENT CORPORATION   2 C</v>
          </cell>
        </row>
        <row r="14856">
          <cell r="B14856" t="str">
            <v>26050101010105</v>
          </cell>
          <cell r="C14856" t="str">
            <v>MDC ADEUDADOS ORG FINANCIEROS INTERNACIO2NC</v>
          </cell>
        </row>
        <row r="14857">
          <cell r="B14857" t="str">
            <v>26060201000102</v>
          </cell>
          <cell r="C14857" t="str">
            <v>NO SUBORD COFIDE PH MIVIVIENDA          2NC</v>
          </cell>
        </row>
        <row r="14858">
          <cell r="B14858" t="str">
            <v>26060201000103</v>
          </cell>
          <cell r="C14858" t="str">
            <v>P.H MIVIVIENDA ADEUDADO JUD             2NC</v>
          </cell>
        </row>
        <row r="14859">
          <cell r="B14859" t="str">
            <v>26060201000104</v>
          </cell>
          <cell r="C14859" t="str">
            <v>PH MV ADEUDADO JUD 1/3 COB              2NC</v>
          </cell>
        </row>
        <row r="14860">
          <cell r="B14860" t="str">
            <v>26060201000105</v>
          </cell>
          <cell r="C14860" t="str">
            <v>CHI ADEUD COFIDE BT MIVIVIENDA          2NC</v>
          </cell>
        </row>
        <row r="14861">
          <cell r="B14861" t="str">
            <v>26060201000106</v>
          </cell>
          <cell r="C14861" t="str">
            <v>CHI ADEUD COFIDE JUD BT MIVIVIEN        2NC</v>
          </cell>
        </row>
        <row r="14862">
          <cell r="B14862" t="str">
            <v>26060201000107</v>
          </cell>
          <cell r="C14862" t="str">
            <v>CHI ADEUD COFIDE JUD 1/3 COB BT MIVIV   2NC</v>
          </cell>
        </row>
        <row r="14863">
          <cell r="B14863" t="str">
            <v>26060201000108</v>
          </cell>
          <cell r="C14863" t="str">
            <v>NO SUBORD REAJ INDEX COFIDE PH MIVIVI   2NC</v>
          </cell>
        </row>
        <row r="14864">
          <cell r="B14864" t="str">
            <v>26060201000109</v>
          </cell>
          <cell r="C14864" t="str">
            <v>REAJ INDEX CAP PH MV ADEUDADO JUD       2NC</v>
          </cell>
        </row>
        <row r="14865">
          <cell r="B14865" t="str">
            <v>26060201000110</v>
          </cell>
          <cell r="C14865" t="str">
            <v>REAJ INDEX PHMV ADEUD JUD 1/3 COB       2NC</v>
          </cell>
        </row>
        <row r="14866">
          <cell r="B14866" t="str">
            <v>26060201000111</v>
          </cell>
          <cell r="C14866" t="str">
            <v>PH TECHO PROPIO ADEUDADO                2NC</v>
          </cell>
        </row>
        <row r="14867">
          <cell r="B14867" t="str">
            <v>26060201000113</v>
          </cell>
          <cell r="C14867" t="str">
            <v>CHI ADEUDADO COFIDE MI HOGAR MN         2NC</v>
          </cell>
        </row>
        <row r="14868">
          <cell r="B14868" t="str">
            <v>26060201000114</v>
          </cell>
          <cell r="C14868" t="str">
            <v>CHI ADEUD INDX BT MIVIVIENDA COF        2NC</v>
          </cell>
        </row>
        <row r="14869">
          <cell r="B14869" t="str">
            <v>26060201000115</v>
          </cell>
          <cell r="C14869" t="str">
            <v>CHI ADEUD INDX JUD BT MIVIVIENDA        2NC</v>
          </cell>
        </row>
        <row r="14870">
          <cell r="B14870" t="str">
            <v>26060201000116</v>
          </cell>
          <cell r="C14870" t="str">
            <v>CHI ADEUD INDX JUD 1/3 CONB BT MIVI C   2NC</v>
          </cell>
        </row>
        <row r="14871">
          <cell r="B14871" t="str">
            <v>26060201000117</v>
          </cell>
          <cell r="C14871" t="str">
            <v>HPC ADEUD CAP MI HOG COFIDE LP          2NC</v>
          </cell>
        </row>
        <row r="14872">
          <cell r="B14872" t="str">
            <v>26060201000120</v>
          </cell>
          <cell r="C14872" t="str">
            <v>HPC ADEUD INT MI HOG COFIDE LP          2NC</v>
          </cell>
        </row>
        <row r="14873">
          <cell r="B14873" t="str">
            <v>26060201000121</v>
          </cell>
          <cell r="C14873" t="str">
            <v>HPC ADEUD CAP MIVIV COFIDE LP           2NC</v>
          </cell>
        </row>
        <row r="14874">
          <cell r="B14874" t="str">
            <v>26060201000124</v>
          </cell>
          <cell r="C14874" t="str">
            <v>HPC ADEUD CAP TECHO PROP COF LP         2NC</v>
          </cell>
        </row>
        <row r="14875">
          <cell r="B14875" t="str">
            <v>26060201010101</v>
          </cell>
          <cell r="C14875" t="str">
            <v>HPC ADEUD CAP NUEVO MVV COFIDE LP       2NC</v>
          </cell>
        </row>
        <row r="14876">
          <cell r="B14876" t="str">
            <v>26060201010102</v>
          </cell>
          <cell r="C14876" t="str">
            <v>HPC ADEUD CAP NUEVO MVV COFIDE 2/3 JUDIC2NC</v>
          </cell>
        </row>
        <row r="14877">
          <cell r="B14877" t="str">
            <v>26060201010103</v>
          </cell>
          <cell r="C14877" t="str">
            <v>HPC ADEUD CAP NUEVO MVV COFIDEÂ  1/3 JUD2NC</v>
          </cell>
        </row>
        <row r="14878">
          <cell r="B14878" t="str">
            <v>26060201010104</v>
          </cell>
          <cell r="C14878" t="str">
            <v>HPC ADEUD CAP MIVIV COFIDE LP           2NC</v>
          </cell>
        </row>
        <row r="14879">
          <cell r="B14879" t="str">
            <v>26060201010105</v>
          </cell>
          <cell r="C14879" t="str">
            <v>HPC ADEUD CAP MIVIV 2/3 JUDIC           2NC</v>
          </cell>
        </row>
        <row r="14880">
          <cell r="B14880" t="str">
            <v>26060201010106</v>
          </cell>
          <cell r="C14880" t="str">
            <v>HPC ADEUD CAP MIVIV 1/3 JUDIC           2NC</v>
          </cell>
        </row>
        <row r="14881">
          <cell r="B14881" t="str">
            <v>26060201010107</v>
          </cell>
          <cell r="C14881" t="str">
            <v>HPC ADEUD CAP TECHO PROP COF LP         2NC</v>
          </cell>
        </row>
        <row r="14882">
          <cell r="B14882" t="str">
            <v>26060201010108</v>
          </cell>
          <cell r="C14882" t="str">
            <v>HPC ADEUD CAP TECHO PROP 2/3 JUD        2NC</v>
          </cell>
        </row>
        <row r="14883">
          <cell r="B14883" t="str">
            <v>26060201010109</v>
          </cell>
          <cell r="C14883" t="str">
            <v>HPC ADEUD CAP TECHO PROP 1/3 JUD        2NC</v>
          </cell>
        </row>
        <row r="14884">
          <cell r="B14884" t="str">
            <v>26060201010110</v>
          </cell>
          <cell r="C14884" t="str">
            <v>HPC ADEUD CAP MI HOG COFIDE LP          2NC</v>
          </cell>
        </row>
        <row r="14885">
          <cell r="B14885" t="str">
            <v>26060201010111</v>
          </cell>
          <cell r="C14885" t="str">
            <v>HPC ADEUD CAP MI HOG 2/3 JUDIC          2NC</v>
          </cell>
        </row>
        <row r="14886">
          <cell r="B14886" t="str">
            <v>26060201010112</v>
          </cell>
          <cell r="C14886" t="str">
            <v>HPC ADEUD CAP MI HOG 1/3 JUDIC          2NC</v>
          </cell>
        </row>
        <row r="14887">
          <cell r="B14887" t="str">
            <v>26060201010113</v>
          </cell>
          <cell r="C14887" t="str">
            <v>HPC ADEUD INT MI HOG COFIDE LP          2NC</v>
          </cell>
        </row>
        <row r="14888">
          <cell r="B14888" t="str">
            <v>26060201010114</v>
          </cell>
          <cell r="C14888" t="str">
            <v>NO SUBORD COFIDE PH MIVIVIENDA          2NC</v>
          </cell>
        </row>
        <row r="14889">
          <cell r="B14889" t="str">
            <v>26060201010115</v>
          </cell>
          <cell r="C14889" t="str">
            <v>P.H MIVIVIENDA ADEUDADO JUD             2NC</v>
          </cell>
        </row>
        <row r="14890">
          <cell r="B14890" t="str">
            <v>26060201010116</v>
          </cell>
          <cell r="C14890" t="str">
            <v>PH MV ADEUDADO JUD 1/3 COB              2NC</v>
          </cell>
        </row>
        <row r="14891">
          <cell r="B14891" t="str">
            <v>26060201010117</v>
          </cell>
          <cell r="C14891" t="str">
            <v>CHI ADEUD COFIDE BT MIVIVIENDA          2NC</v>
          </cell>
        </row>
        <row r="14892">
          <cell r="B14892" t="str">
            <v>26060201010118</v>
          </cell>
          <cell r="C14892" t="str">
            <v>CHI ADEUD COFIDE JUD BT MIVIVIENDA      2NC</v>
          </cell>
        </row>
        <row r="14893">
          <cell r="B14893" t="str">
            <v>26060201010119</v>
          </cell>
          <cell r="C14893" t="str">
            <v>CHI ADEUD COFIDE JUD 1/3 COB BT MIVIVIEN2NC</v>
          </cell>
        </row>
        <row r="14894">
          <cell r="B14894" t="str">
            <v>26060201010120</v>
          </cell>
          <cell r="C14894" t="str">
            <v>NO SUBORD REAJ INDEX COFIDE PH MIVIVI   2NC</v>
          </cell>
        </row>
        <row r="14895">
          <cell r="B14895" t="str">
            <v>26060201010121</v>
          </cell>
          <cell r="C14895" t="str">
            <v>REAJ INDEX CAP PH MV ADEUDADO JUD       2NC</v>
          </cell>
        </row>
        <row r="14896">
          <cell r="B14896" t="str">
            <v>26060201010122</v>
          </cell>
          <cell r="C14896" t="str">
            <v>REAJ INDEX PHMV ADEUD JUD 1/3 COB       2NC</v>
          </cell>
        </row>
        <row r="14897">
          <cell r="B14897" t="str">
            <v>26060201010123</v>
          </cell>
          <cell r="C14897" t="str">
            <v>CHI ADEUD INDX BT MIVIVIENDA COFIDE     2NC</v>
          </cell>
        </row>
        <row r="14898">
          <cell r="B14898" t="str">
            <v>26060201010124</v>
          </cell>
          <cell r="C14898" t="str">
            <v>CHI ADEUD INDX JUD BT MIVIVIENDA COFIDE 2NC</v>
          </cell>
        </row>
        <row r="14899">
          <cell r="B14899" t="str">
            <v>26060201010125</v>
          </cell>
          <cell r="C14899" t="str">
            <v>CHI ADEUD INDX JUD 1/3 COB BT MIVIVIENDA2NC</v>
          </cell>
        </row>
        <row r="14900">
          <cell r="B14900" t="str">
            <v>26060201010126</v>
          </cell>
          <cell r="C14900" t="str">
            <v>PH TECHO PROPIO ADEUDADO SOLES          2NC</v>
          </cell>
        </row>
        <row r="14901">
          <cell r="B14901" t="str">
            <v>26060201010127</v>
          </cell>
          <cell r="C14901" t="str">
            <v>CHI ADEUDADO COFIDE MI HOGAR MN         2NC</v>
          </cell>
        </row>
        <row r="14902">
          <cell r="B14902" t="str">
            <v>26060201010128</v>
          </cell>
          <cell r="C14902" t="str">
            <v>HPC ADEUD CAPIT INDX MIVIVIENDA  LP     2NC</v>
          </cell>
        </row>
        <row r="14903">
          <cell r="B14903" t="str">
            <v>26060201010129</v>
          </cell>
          <cell r="C14903" t="str">
            <v>HPC ADEUD CAPIT INDX MIVIVIENDA  2/3 JUD2NC</v>
          </cell>
        </row>
        <row r="14904">
          <cell r="B14904" t="str">
            <v>26060201010130</v>
          </cell>
          <cell r="C14904" t="str">
            <v>HPC ADEUD CAPIT INDX MIVIVIENDA  1/3 JUD2NC</v>
          </cell>
        </row>
        <row r="14905">
          <cell r="B14905" t="str">
            <v>26060201010131</v>
          </cell>
          <cell r="C14905" t="str">
            <v>ADEUDADO HPC REG CRONOGRAMA COFIDE      2NC</v>
          </cell>
        </row>
        <row r="14906">
          <cell r="B14906" t="str">
            <v>26080200000202</v>
          </cell>
          <cell r="C14906" t="str">
            <v>INT PAG COFIDE T/V VAC                  2NC</v>
          </cell>
        </row>
        <row r="14907">
          <cell r="B14907" t="str">
            <v>26080200000203</v>
          </cell>
          <cell r="C14907" t="str">
            <v>REAJ INDEX INT COFIDE T/V VAC           2NC</v>
          </cell>
        </row>
        <row r="14908">
          <cell r="B14908" t="str">
            <v>26080200000209</v>
          </cell>
          <cell r="C14908" t="str">
            <v>HPC ADEUD INT MIVIV COFIDE LP           2NC</v>
          </cell>
        </row>
        <row r="14909">
          <cell r="B14909" t="str">
            <v>26080200000210</v>
          </cell>
          <cell r="C14909" t="str">
            <v>HPC ADEUD INT TECHO PROP COF LP         2NC</v>
          </cell>
        </row>
        <row r="14910">
          <cell r="B14910" t="str">
            <v>26080200000211</v>
          </cell>
          <cell r="C14910" t="str">
            <v>HPC ADEUDADO INTERES .JUD.NUEVO MVV COFI2NC</v>
          </cell>
        </row>
        <row r="14911">
          <cell r="B14911" t="str">
            <v>26080200000301</v>
          </cell>
          <cell r="C14911" t="str">
            <v>HPC ADEUDADO INTERES .JUD.TECHO.PROPIO  2NC</v>
          </cell>
        </row>
        <row r="14912">
          <cell r="B14912" t="str">
            <v>26080200000302</v>
          </cell>
          <cell r="C14912" t="str">
            <v>HPC ADEUDADO INTERES .JUD.MIHOGAR       2NC</v>
          </cell>
        </row>
        <row r="14913">
          <cell r="B14913" t="str">
            <v>26080200000303</v>
          </cell>
          <cell r="C14913" t="str">
            <v>HPC ADEUDADO INTERES .JUD.MIVIVENDA IB-B2NC</v>
          </cell>
        </row>
        <row r="14914">
          <cell r="B14914" t="str">
            <v>26080200000304</v>
          </cell>
          <cell r="C14914" t="str">
            <v>HPC ADEUD INT  INDX  MIVIVIENDA LP      2NC</v>
          </cell>
        </row>
        <row r="14915">
          <cell r="B14915" t="str">
            <v>26080200000305</v>
          </cell>
          <cell r="C14915" t="str">
            <v>HPC ADEUD INT JUD  INDX MIVIVIENDA      2NC</v>
          </cell>
        </row>
        <row r="14916">
          <cell r="B14916" t="str">
            <v>26080200000401</v>
          </cell>
          <cell r="C14916" t="str">
            <v>LPC INTERESES ADEUDADO COFIDE LP        2NC</v>
          </cell>
        </row>
        <row r="14917">
          <cell r="B14917" t="str">
            <v>26080200000501</v>
          </cell>
          <cell r="C14917" t="str">
            <v>PR INTERESES ADEUDADO COFIDE LP         2NC</v>
          </cell>
        </row>
        <row r="14918">
          <cell r="B14918" t="str">
            <v>26080200000502</v>
          </cell>
          <cell r="C14918" t="str">
            <v>HPC ADEUD INT MI HOG COFIDE LP          2NC</v>
          </cell>
        </row>
        <row r="14919">
          <cell r="B14919" t="str">
            <v>26080200000503</v>
          </cell>
          <cell r="C14919" t="str">
            <v>HPC ADEUD INT NUEVO MVV COFIDE LP       2NC</v>
          </cell>
        </row>
        <row r="14920">
          <cell r="B14920" t="str">
            <v>26080200000504</v>
          </cell>
          <cell r="C14920" t="str">
            <v>MRX INT BANCO DEL ESTADO DE CHILE  LARGO2NC</v>
          </cell>
        </row>
        <row r="14921">
          <cell r="B14921" t="str">
            <v>26080301400101</v>
          </cell>
          <cell r="C14921" t="str">
            <v>MDC  INT AD EMPRESAS DEL SISTEMA FINANCI2NC</v>
          </cell>
        </row>
        <row r="14922">
          <cell r="B14922" t="str">
            <v>26080301400102</v>
          </cell>
          <cell r="C14922" t="str">
            <v>MDCÂ  INT AD EMP DEL SISTEMA FINANCIERO 2NC</v>
          </cell>
        </row>
        <row r="14923">
          <cell r="B14923" t="str">
            <v>26080400000101</v>
          </cell>
          <cell r="C14923" t="str">
            <v>MDC INT AD  INSTITUCIONES FINANCIERAS DE2NC</v>
          </cell>
        </row>
        <row r="14924">
          <cell r="B14924" t="str">
            <v>26080400000103</v>
          </cell>
          <cell r="C14924" t="str">
            <v>CL INT.AD CAPITAL DE TRABAJO PROD 184 LP2NC</v>
          </cell>
        </row>
        <row r="14925">
          <cell r="B14925" t="str">
            <v>26080400000104</v>
          </cell>
          <cell r="C14925" t="str">
            <v>CL GTOXP CHINA DEV. BANK HEBEI BRANCH LP2NC</v>
          </cell>
        </row>
        <row r="14926">
          <cell r="B14926" t="str">
            <v>26080400000105</v>
          </cell>
          <cell r="C14926" t="str">
            <v>MRX INT SCTANDARD CHARTERED NY    LARGO 2NC</v>
          </cell>
        </row>
        <row r="14927">
          <cell r="B14927" t="str">
            <v>26080400000106</v>
          </cell>
          <cell r="C14927" t="str">
            <v>MRX INT BANK OF MONTREAL                2NC</v>
          </cell>
        </row>
        <row r="14928">
          <cell r="B14928" t="str">
            <v>26080400000107</v>
          </cell>
          <cell r="C14928" t="str">
            <v>MDC INT HSBC BRANCH INDIA               2NC</v>
          </cell>
        </row>
        <row r="14929">
          <cell r="B14929" t="str">
            <v>26080400000108</v>
          </cell>
          <cell r="C14929" t="str">
            <v>MDC COMMERZBANK AG FRANKFURT            2NC</v>
          </cell>
        </row>
        <row r="14930">
          <cell r="B14930" t="str">
            <v>26080400000109</v>
          </cell>
          <cell r="C14930" t="str">
            <v>MDC INT WELL FARGO                      2NC</v>
          </cell>
        </row>
        <row r="14931">
          <cell r="B14931" t="str">
            <v>26080400000110</v>
          </cell>
          <cell r="C14931" t="str">
            <v>MDC INT BBVA MADRID                     2NC</v>
          </cell>
        </row>
        <row r="14932">
          <cell r="B14932" t="str">
            <v>26080400000111</v>
          </cell>
          <cell r="C14932" t="str">
            <v>MDC INT BANK OF AMERICA                 2NC</v>
          </cell>
        </row>
        <row r="14933">
          <cell r="B14933" t="str">
            <v>26080400000112</v>
          </cell>
          <cell r="C14933" t="str">
            <v>MDC INT ADÂ INSTITUCIONES FINANCIERAS  E2NC</v>
          </cell>
        </row>
        <row r="14934">
          <cell r="B14934" t="str">
            <v>26080400000801</v>
          </cell>
          <cell r="C14934" t="str">
            <v>INTERBANK PERU                          2NC</v>
          </cell>
        </row>
        <row r="14935">
          <cell r="B14935" t="str">
            <v>26080500000100</v>
          </cell>
          <cell r="C14935" t="str">
            <v>MDC INT ADEUDADOS ORG FINANCIEROS INTERN2 C</v>
          </cell>
        </row>
        <row r="14936">
          <cell r="B14936" t="str">
            <v>26080500000101</v>
          </cell>
          <cell r="C14936" t="str">
            <v>MDC INT ADEUDADO ORG FINANCIERO INTERNAC2NC</v>
          </cell>
        </row>
        <row r="14937">
          <cell r="B14937" t="str">
            <v>27010100000101</v>
          </cell>
          <cell r="C14937" t="str">
            <v>PROVISION PARA CREDITOS CONTINGENTES-ESP2NC</v>
          </cell>
        </row>
        <row r="14938">
          <cell r="B14938" t="str">
            <v>27010101000101</v>
          </cell>
          <cell r="C14938" t="str">
            <v>PROV.CRED.CON ESPECIFICA CRE REVOL CONSU2NC</v>
          </cell>
        </row>
        <row r="14939">
          <cell r="B14939" t="str">
            <v>27010102000001</v>
          </cell>
          <cell r="C14939" t="str">
            <v>Micro. Emp Especifica                   2NC</v>
          </cell>
        </row>
        <row r="14940">
          <cell r="B14940" t="str">
            <v>27010102000101</v>
          </cell>
          <cell r="C14940" t="str">
            <v>PROVISION ESP OBLIG RIES CRED - C. DE CR2NC</v>
          </cell>
        </row>
        <row r="14941">
          <cell r="B14941" t="str">
            <v>27010102000102</v>
          </cell>
          <cell r="C14941" t="str">
            <v>PROVISION ESP OBLIG RIES CRED - C. DE CR2NC</v>
          </cell>
        </row>
        <row r="14942">
          <cell r="B14942" t="str">
            <v>27010102000103</v>
          </cell>
          <cell r="C14942" t="str">
            <v>PROVISION ESP OBLIG RIES CRED - CARTA FI2NC</v>
          </cell>
        </row>
        <row r="14943">
          <cell r="B14943" t="str">
            <v>27010102000104</v>
          </cell>
          <cell r="C14943" t="str">
            <v>PROVISION ESP OBLIG RIES CRED - FINANCIA2NC</v>
          </cell>
        </row>
        <row r="14944">
          <cell r="B14944" t="str">
            <v>27010102000105</v>
          </cell>
          <cell r="C14944" t="str">
            <v>PROVISION ESP OBLIG RIES CRED - OTROS  C2NC</v>
          </cell>
        </row>
        <row r="14945">
          <cell r="B14945" t="str">
            <v>27010102000106</v>
          </cell>
          <cell r="C14945" t="str">
            <v>PRO ESP  MICROEMPRESAS                  2NC</v>
          </cell>
        </row>
        <row r="14946">
          <cell r="B14946" t="str">
            <v>27010102000601</v>
          </cell>
          <cell r="C14946" t="str">
            <v>PROVISION ESP OBLIG RIES CRED - CARTA FI2NC</v>
          </cell>
        </row>
        <row r="14947">
          <cell r="B14947" t="str">
            <v>27010102000701</v>
          </cell>
          <cell r="C14947" t="str">
            <v>IFRS - AJUSTE DE PROVISIONES BPE        2NC</v>
          </cell>
        </row>
        <row r="14948">
          <cell r="B14948" t="str">
            <v>27010103000001</v>
          </cell>
          <cell r="C14948" t="str">
            <v>Consumo Especifica                      2NC</v>
          </cell>
        </row>
        <row r="14949">
          <cell r="B14949" t="str">
            <v>27010103000101</v>
          </cell>
          <cell r="C14949" t="str">
            <v>PRO ESP  DE CONSUMO                     2NC</v>
          </cell>
        </row>
        <row r="14950">
          <cell r="B14950" t="str">
            <v>27010103000601</v>
          </cell>
          <cell r="C14950" t="str">
            <v>PRO ESP RIE CRE CARTA FIANZA            2NC</v>
          </cell>
        </row>
        <row r="14951">
          <cell r="B14951" t="str">
            <v>27010104000001</v>
          </cell>
          <cell r="C14951" t="str">
            <v>Hipotecarios para Viviendas Especifica  2NC</v>
          </cell>
        </row>
        <row r="14952">
          <cell r="B14952" t="str">
            <v>27010104000101</v>
          </cell>
          <cell r="C14952" t="str">
            <v>PRO ESP  HIPOTECARIOS PARA VIVIENDA     2NC</v>
          </cell>
        </row>
        <row r="14953">
          <cell r="B14953" t="str">
            <v>27010105000001</v>
          </cell>
          <cell r="C14953" t="str">
            <v>Bancos Multilaterales de Desarrollo Espe2NC</v>
          </cell>
        </row>
        <row r="14954">
          <cell r="B14954" t="str">
            <v>27010105000101</v>
          </cell>
          <cell r="C14954" t="str">
            <v>PRO ESP BCOS MULTILATERALES DE DESARROLL2NC</v>
          </cell>
        </row>
        <row r="14955">
          <cell r="B14955" t="str">
            <v>27010106000001</v>
          </cell>
          <cell r="C14955" t="str">
            <v>Soberanos Especifica                    2NC</v>
          </cell>
        </row>
        <row r="14956">
          <cell r="B14956" t="str">
            <v>27010106000101</v>
          </cell>
          <cell r="C14956" t="str">
            <v>PRO ESP  SOBERANOS                      2NC</v>
          </cell>
        </row>
        <row r="14957">
          <cell r="B14957" t="str">
            <v>27010107000001</v>
          </cell>
          <cell r="C14957" t="str">
            <v>Entidades del Sector Publico Especifica 2NC</v>
          </cell>
        </row>
        <row r="14958">
          <cell r="B14958" t="str">
            <v>27010107000101</v>
          </cell>
          <cell r="C14958" t="str">
            <v>PRO ESP  ENTIDADES DEL SECTOR PÃšBLICO  2NC</v>
          </cell>
        </row>
        <row r="14959">
          <cell r="B14959" t="str">
            <v>27010107000601</v>
          </cell>
          <cell r="C14959" t="str">
            <v>PRO ESP RIE CRE CARTA FIANZA            2NC</v>
          </cell>
        </row>
        <row r="14960">
          <cell r="B14960" t="str">
            <v>27010108000001</v>
          </cell>
          <cell r="C14960" t="str">
            <v>Intermediarios de Valores Especifica    2NC</v>
          </cell>
        </row>
        <row r="14961">
          <cell r="B14961" t="str">
            <v>27010108000101</v>
          </cell>
          <cell r="C14961" t="str">
            <v>PRO ESP  INTERMEDIARIOS DE VALORES      2NC</v>
          </cell>
        </row>
        <row r="14962">
          <cell r="B14962" t="str">
            <v>27010109000001</v>
          </cell>
          <cell r="C14962" t="str">
            <v>Sist. Financiero Especifica             2NC</v>
          </cell>
        </row>
        <row r="14963">
          <cell r="B14963" t="str">
            <v>27010109000101</v>
          </cell>
          <cell r="C14963" t="str">
            <v>OTRAS PROV CREDITOS CONTINGENTES ESPE   2YC</v>
          </cell>
        </row>
        <row r="14964">
          <cell r="B14964" t="str">
            <v>27010109000102</v>
          </cell>
          <cell r="C14964" t="str">
            <v>OTRAS PROV. CREDITOS CONTIG ESPEC MES   2YC</v>
          </cell>
        </row>
        <row r="14965">
          <cell r="B14965" t="str">
            <v>27010109000103</v>
          </cell>
          <cell r="C14965" t="str">
            <v>PRO ESP  EMPRESAS DEL SISTEMA FINANCIERO2NC</v>
          </cell>
        </row>
        <row r="14966">
          <cell r="B14966" t="str">
            <v>27010109000401</v>
          </cell>
          <cell r="C14966" t="str">
            <v>PROV ESPEC RGO CRED C. CRED EXPORT      2NC</v>
          </cell>
        </row>
        <row r="14967">
          <cell r="B14967" t="str">
            <v>27010110000001</v>
          </cell>
          <cell r="C14967" t="str">
            <v>Corporativos Especifica                 2NC</v>
          </cell>
        </row>
        <row r="14968">
          <cell r="B14968" t="str">
            <v>27010110000101</v>
          </cell>
          <cell r="C14968" t="str">
            <v>PROVISION ESP OBLIG RIES CRED - C. DE CR2NC</v>
          </cell>
        </row>
        <row r="14969">
          <cell r="B14969" t="str">
            <v>27010110000102</v>
          </cell>
          <cell r="C14969" t="str">
            <v>PROVISION ESP OBLIG RIES CRED - C. DE CR2NC</v>
          </cell>
        </row>
        <row r="14970">
          <cell r="B14970" t="str">
            <v>27010110000103</v>
          </cell>
          <cell r="C14970" t="str">
            <v>PROVISION ESP OBLIG RIES CRED - CARTA FI2NC</v>
          </cell>
        </row>
        <row r="14971">
          <cell r="B14971" t="str">
            <v>27010110000104</v>
          </cell>
          <cell r="C14971" t="str">
            <v>PROVISION ESP OBLIG RIES CRED - FINANCIA2NC</v>
          </cell>
        </row>
        <row r="14972">
          <cell r="B14972" t="str">
            <v>27010110000105</v>
          </cell>
          <cell r="C14972" t="str">
            <v>PROVISION ESP OBLIG RIES CRED - OTROS  C2NC</v>
          </cell>
        </row>
        <row r="14973">
          <cell r="B14973" t="str">
            <v>27010110000106</v>
          </cell>
          <cell r="C14973" t="str">
            <v>PRO CORPORATIVA - RIE CRED ESP          2NC</v>
          </cell>
        </row>
        <row r="14974">
          <cell r="B14974" t="str">
            <v>27010110000501</v>
          </cell>
          <cell r="C14974" t="str">
            <v>PROVISION ESP OBLIG RIES CRED - C. DE CR2NC</v>
          </cell>
        </row>
        <row r="14975">
          <cell r="B14975" t="str">
            <v>27010110000601</v>
          </cell>
          <cell r="C14975" t="str">
            <v>PROVISION ESP OBLIG RIES CRED - CARTA FI2NC</v>
          </cell>
        </row>
        <row r="14976">
          <cell r="B14976" t="str">
            <v>27010110000701</v>
          </cell>
          <cell r="C14976" t="str">
            <v>IFRS - AJUSTE DE PROVISIONES BANCA COMER2NC</v>
          </cell>
        </row>
        <row r="14977">
          <cell r="B14977" t="str">
            <v>27010110001501</v>
          </cell>
          <cell r="C14977" t="str">
            <v>PROVISION ESP OBLIG RIES CRED - OTROS CR2NC</v>
          </cell>
        </row>
        <row r="14978">
          <cell r="B14978" t="str">
            <v>27010111000001</v>
          </cell>
          <cell r="C14978" t="str">
            <v>G. Empresas Especifica                  2NC</v>
          </cell>
        </row>
        <row r="14979">
          <cell r="B14979" t="str">
            <v>27010111000101</v>
          </cell>
          <cell r="C14979" t="str">
            <v>PROVISION ESP OBLIG RIES CRED - C. DE CR2NC</v>
          </cell>
        </row>
        <row r="14980">
          <cell r="B14980" t="str">
            <v>27010111000102</v>
          </cell>
          <cell r="C14980" t="str">
            <v>PROVISION ESP OBLIG RIES CRED - C. DE CR2NC</v>
          </cell>
        </row>
        <row r="14981">
          <cell r="B14981" t="str">
            <v>27010111000103</v>
          </cell>
          <cell r="C14981" t="str">
            <v>PROVISION ESP OBLIG RIES CRED - CARTA FI2NC</v>
          </cell>
        </row>
        <row r="14982">
          <cell r="B14982" t="str">
            <v>27010111000104</v>
          </cell>
          <cell r="C14982" t="str">
            <v>PROVISION ESP OBLIG RIES CRED - FINANCIA2NC</v>
          </cell>
        </row>
        <row r="14983">
          <cell r="B14983" t="str">
            <v>27010111000105</v>
          </cell>
          <cell r="C14983" t="str">
            <v>PROVISION ESP OBLIG RIES CRED - OTROS  C2NC</v>
          </cell>
        </row>
        <row r="14984">
          <cell r="B14984" t="str">
            <v>27010111000106</v>
          </cell>
          <cell r="C14984" t="str">
            <v>PRO GRANDES EMPRESAS  - RIE CRED ESP    2NC</v>
          </cell>
        </row>
        <row r="14985">
          <cell r="B14985" t="str">
            <v>27010111000501</v>
          </cell>
          <cell r="C14985" t="str">
            <v>PROVISION ESP OBLIG RIES CRED - C. DE CR2NC</v>
          </cell>
        </row>
        <row r="14986">
          <cell r="B14986" t="str">
            <v>27010111000601</v>
          </cell>
          <cell r="C14986" t="str">
            <v>PROVISION ESP OBLIG RIES CRED - CARTA FI2NC</v>
          </cell>
        </row>
        <row r="14987">
          <cell r="B14987" t="str">
            <v>27010111001501</v>
          </cell>
          <cell r="C14987" t="str">
            <v>PROVISION ESP OBLIG RIES CRED - OTROS CR2NC</v>
          </cell>
        </row>
        <row r="14988">
          <cell r="B14988" t="str">
            <v>27010112000001</v>
          </cell>
          <cell r="C14988" t="str">
            <v>Med. Emp. Especifica                    2NC</v>
          </cell>
        </row>
        <row r="14989">
          <cell r="B14989" t="str">
            <v>27010112000101</v>
          </cell>
          <cell r="C14989" t="str">
            <v>PROVISION ESP OBLIG RIES CRED - C. DE CR2NC</v>
          </cell>
        </row>
        <row r="14990">
          <cell r="B14990" t="str">
            <v>27010112000102</v>
          </cell>
          <cell r="C14990" t="str">
            <v>PROVISION ESP OBLIG RIES CRED - C. DE CR2NC</v>
          </cell>
        </row>
        <row r="14991">
          <cell r="B14991" t="str">
            <v>27010112000103</v>
          </cell>
          <cell r="C14991" t="str">
            <v>PROVISION ESP OBLIG RIES CRED - CARTA FI2NC</v>
          </cell>
        </row>
        <row r="14992">
          <cell r="B14992" t="str">
            <v>27010112000104</v>
          </cell>
          <cell r="C14992" t="str">
            <v>PROVISION ESP OBLIG RIES CRED - FINANCIA2NC</v>
          </cell>
        </row>
        <row r="14993">
          <cell r="B14993" t="str">
            <v>27010112000105</v>
          </cell>
          <cell r="C14993" t="str">
            <v>PROVISION ESP OBLIG RIES CRED - OTROS  C2NC</v>
          </cell>
        </row>
        <row r="14994">
          <cell r="B14994" t="str">
            <v>27010112000501</v>
          </cell>
          <cell r="C14994" t="str">
            <v>PROV ESP IND MED EMPRESA                2NC</v>
          </cell>
        </row>
        <row r="14995">
          <cell r="B14995" t="str">
            <v>27010112000601</v>
          </cell>
          <cell r="C14995" t="str">
            <v>PROVISION ESP OBLIG RIES CRED - CARTA FI2NC</v>
          </cell>
        </row>
        <row r="14996">
          <cell r="B14996" t="str">
            <v>27010112001501</v>
          </cell>
          <cell r="C14996" t="str">
            <v>PROVISION ESP OBLIG RIES CRED - OTROS CR2NC</v>
          </cell>
        </row>
        <row r="14997">
          <cell r="B14997" t="str">
            <v>27010113000001</v>
          </cell>
          <cell r="C14997" t="str">
            <v>Peq. Emp. Especifica                    2NC</v>
          </cell>
        </row>
        <row r="14998">
          <cell r="B14998" t="str">
            <v>27010113000101</v>
          </cell>
          <cell r="C14998" t="str">
            <v>PROVISION ESP OBLIG RIES CRED - C. DE CR2NC</v>
          </cell>
        </row>
        <row r="14999">
          <cell r="B14999" t="str">
            <v>27010113000102</v>
          </cell>
          <cell r="C14999" t="str">
            <v>PROVISION ESP OBLIG RIES CRED - C. DE CR2NC</v>
          </cell>
        </row>
        <row r="15000">
          <cell r="B15000" t="str">
            <v>27010113000103</v>
          </cell>
          <cell r="C15000" t="str">
            <v>PROVISION ESP OBLIG RIES CRED - CARTA FI2NC</v>
          </cell>
        </row>
        <row r="15001">
          <cell r="B15001" t="str">
            <v>27010113000104</v>
          </cell>
          <cell r="C15001" t="str">
            <v>PROVISION ESP OBLIG RIES CRED - FINANCIA2NC</v>
          </cell>
        </row>
        <row r="15002">
          <cell r="B15002" t="str">
            <v>27010113000105</v>
          </cell>
          <cell r="C15002" t="str">
            <v>PROVISION ESP OBLIG RIES CRED - OTROS  C2NC</v>
          </cell>
        </row>
        <row r="15003">
          <cell r="B15003" t="str">
            <v>27010113000501</v>
          </cell>
          <cell r="C15003" t="str">
            <v>PROV ESPECIF CONTING PEQ EMP C.CRED IMPO2NC</v>
          </cell>
        </row>
        <row r="15004">
          <cell r="B15004" t="str">
            <v>27010113000601</v>
          </cell>
          <cell r="C15004" t="str">
            <v>PROVISION ESP OBLIG RIES CRED - CARTA FI2NC</v>
          </cell>
        </row>
        <row r="15005">
          <cell r="B15005" t="str">
            <v>27010113001501</v>
          </cell>
          <cell r="C15005" t="str">
            <v>PROVISION ESPECIFICA OBLIG. RIESGO CREDI2NC</v>
          </cell>
        </row>
        <row r="15006">
          <cell r="B15006" t="str">
            <v>27010201000101</v>
          </cell>
          <cell r="C15006" t="str">
            <v>PROV.CRED.CON GENERICA CRE REVOL CONSUMO2NC</v>
          </cell>
        </row>
        <row r="15007">
          <cell r="B15007" t="str">
            <v>27010201020001</v>
          </cell>
          <cell r="C15007" t="str">
            <v>Micro. Emp Generica                     2NC</v>
          </cell>
        </row>
        <row r="15008">
          <cell r="B15008" t="str">
            <v>27010201020101</v>
          </cell>
          <cell r="C15008" t="str">
            <v>PROVISION GEN OBLIG RIES CRED - C. DE CR2NC</v>
          </cell>
        </row>
        <row r="15009">
          <cell r="B15009" t="str">
            <v>27010201020102</v>
          </cell>
          <cell r="C15009" t="str">
            <v>PROVISION GEN OBLIG RIES CRED - C. DE CR2NC</v>
          </cell>
        </row>
        <row r="15010">
          <cell r="B15010" t="str">
            <v>27010201020103</v>
          </cell>
          <cell r="C15010" t="str">
            <v>PROVISION GEN OBLIG RIES CRED - CARTA FI2NC</v>
          </cell>
        </row>
        <row r="15011">
          <cell r="B15011" t="str">
            <v>27010201020104</v>
          </cell>
          <cell r="C15011" t="str">
            <v>PROVISION GEN OBLIG RIES CRED - FINANCIA2NC</v>
          </cell>
        </row>
        <row r="15012">
          <cell r="B15012" t="str">
            <v>27010201020105</v>
          </cell>
          <cell r="C15012" t="str">
            <v>PROVISION GEN OBLIG RIES CRED - OTROS  C2NC</v>
          </cell>
        </row>
        <row r="15013">
          <cell r="B15013" t="str">
            <v>27010201020106</v>
          </cell>
          <cell r="C15013" t="str">
            <v>PRO MICROEMPRESAS - GEN- COMP FIJO RIES 2NC</v>
          </cell>
        </row>
        <row r="15014">
          <cell r="B15014" t="str">
            <v>27010201020501</v>
          </cell>
          <cell r="C15014" t="str">
            <v>PROVISION GEN OBLIG RIES CRED - C. DE CR2NC</v>
          </cell>
        </row>
        <row r="15015">
          <cell r="B15015" t="str">
            <v>27010201020601</v>
          </cell>
          <cell r="C15015" t="str">
            <v>PROVISION GEN OBLIG RIES CRED - CARTA FI2NC</v>
          </cell>
        </row>
        <row r="15016">
          <cell r="B15016" t="str">
            <v>27010201021501</v>
          </cell>
          <cell r="C15016" t="str">
            <v>PROVISION GEN OBLIG RIES CRED - OTROS CR2NC</v>
          </cell>
        </row>
        <row r="15017">
          <cell r="B15017" t="str">
            <v>27010201030001</v>
          </cell>
          <cell r="C15017" t="str">
            <v>Consumo Generica                        2NC</v>
          </cell>
        </row>
        <row r="15018">
          <cell r="B15018" t="str">
            <v>27010201040001</v>
          </cell>
          <cell r="C15018" t="str">
            <v>Hipotecarios para Viviendas Generica    2NC</v>
          </cell>
        </row>
        <row r="15019">
          <cell r="B15019" t="str">
            <v>27010201050001</v>
          </cell>
          <cell r="C15019" t="str">
            <v>Bancos Multilaterales de Desarrollo Gene2NC</v>
          </cell>
        </row>
        <row r="15020">
          <cell r="B15020" t="str">
            <v>27010201050101</v>
          </cell>
          <cell r="C15020" t="str">
            <v>PROVISION GEN OBLIG RIES CRED - C. DE CR2NC</v>
          </cell>
        </row>
        <row r="15021">
          <cell r="B15021" t="str">
            <v>27010201050102</v>
          </cell>
          <cell r="C15021" t="str">
            <v>PROVISION GEN OBLIG RIES CRED - C. DE CR2NC</v>
          </cell>
        </row>
        <row r="15022">
          <cell r="B15022" t="str">
            <v>27010201050103</v>
          </cell>
          <cell r="C15022" t="str">
            <v>PROVISION GEN OBLIG RIES CRED - CARTA FI2NC</v>
          </cell>
        </row>
        <row r="15023">
          <cell r="B15023" t="str">
            <v>27010201050105</v>
          </cell>
          <cell r="C15023" t="str">
            <v>PRO BANCO MULT DESARROLLO GEN COMP FIJO 2NC</v>
          </cell>
        </row>
        <row r="15024">
          <cell r="B15024" t="str">
            <v>27010201060001</v>
          </cell>
          <cell r="C15024" t="str">
            <v>Soberanos Generica                      2NC</v>
          </cell>
        </row>
        <row r="15025">
          <cell r="B15025" t="str">
            <v>27010201060101</v>
          </cell>
          <cell r="C15025" t="str">
            <v>PROVISION GEN OBLIG RIES CRED - C. DE CR2NC</v>
          </cell>
        </row>
        <row r="15026">
          <cell r="B15026" t="str">
            <v>27010201060102</v>
          </cell>
          <cell r="C15026" t="str">
            <v>PROVISION GEN OBLIG RIES CRED - C. DE CR2NC</v>
          </cell>
        </row>
        <row r="15027">
          <cell r="B15027" t="str">
            <v>27010201060103</v>
          </cell>
          <cell r="C15027" t="str">
            <v>PROVISION GEN OBLIG RIES CRED - CARTA FI2NC</v>
          </cell>
        </row>
        <row r="15028">
          <cell r="B15028" t="str">
            <v>27010201060104</v>
          </cell>
          <cell r="C15028" t="str">
            <v>PRO SOBERANO  - GEN  COMP FIJO RIES CRED2NC</v>
          </cell>
        </row>
        <row r="15029">
          <cell r="B15029" t="str">
            <v>27010201070001</v>
          </cell>
          <cell r="C15029" t="str">
            <v>Sector Publico Generica                 2NC</v>
          </cell>
        </row>
        <row r="15030">
          <cell r="B15030" t="str">
            <v>27010201070101</v>
          </cell>
          <cell r="C15030" t="str">
            <v>PROVISION GEN OBLIG RIES CRED - C. DE CR2NC</v>
          </cell>
        </row>
        <row r="15031">
          <cell r="B15031" t="str">
            <v>27010201070102</v>
          </cell>
          <cell r="C15031" t="str">
            <v>PROVISION GEN OBLIG RIES CRED - C. DE CR2NC</v>
          </cell>
        </row>
        <row r="15032">
          <cell r="B15032" t="str">
            <v>27010201070103</v>
          </cell>
          <cell r="C15032" t="str">
            <v>PROVISION GEN OBLIG RIES CRED - CARTA FI2NC</v>
          </cell>
        </row>
        <row r="15033">
          <cell r="B15033" t="str">
            <v>27010201070104</v>
          </cell>
          <cell r="C15033" t="str">
            <v>PRO ENTIDADES DEL SECTOR PUBLICO - GEN- 2NC</v>
          </cell>
        </row>
        <row r="15034">
          <cell r="B15034" t="str">
            <v>27010201070501</v>
          </cell>
          <cell r="C15034" t="str">
            <v>PROVISION GEN OBLIG RIES CRED - C. DE CR2NC</v>
          </cell>
        </row>
        <row r="15035">
          <cell r="B15035" t="str">
            <v>27010201070601</v>
          </cell>
          <cell r="C15035" t="str">
            <v>PROVISION GEN OBLIG RIES CRED - CARTA FI2NC</v>
          </cell>
        </row>
        <row r="15036">
          <cell r="B15036" t="str">
            <v>27010201071501</v>
          </cell>
          <cell r="C15036" t="str">
            <v>PROV GENERICA RGO CRED OTR CRED CONTING 2NC</v>
          </cell>
        </row>
        <row r="15037">
          <cell r="B15037" t="str">
            <v>27010201080001</v>
          </cell>
          <cell r="C15037" t="str">
            <v>Int. Valores Generica                   2NC</v>
          </cell>
        </row>
        <row r="15038">
          <cell r="B15038" t="str">
            <v>27010201080101</v>
          </cell>
          <cell r="C15038" t="str">
            <v>PROVISION GEN OBLIG RIES CRED - C. DE CR2NC</v>
          </cell>
        </row>
        <row r="15039">
          <cell r="B15039" t="str">
            <v>27010201080102</v>
          </cell>
          <cell r="C15039" t="str">
            <v>PROVISION GEN OBLIG RIES CRED - C. DE CR2NC</v>
          </cell>
        </row>
        <row r="15040">
          <cell r="B15040" t="str">
            <v>27010201080103</v>
          </cell>
          <cell r="C15040" t="str">
            <v>PROVISION GEN OBLIG RIES CRED - CARTA FI2NC</v>
          </cell>
        </row>
        <row r="15041">
          <cell r="B15041" t="str">
            <v>27010201080104</v>
          </cell>
          <cell r="C15041" t="str">
            <v>PRO INTERMEDIARIOS DE VALORES - GEN- COM2NC</v>
          </cell>
        </row>
        <row r="15042">
          <cell r="B15042" t="str">
            <v>27010201080501</v>
          </cell>
          <cell r="C15042" t="str">
            <v>PROVISION GEN OBLIG RIES CRED - C. DE CR2NC</v>
          </cell>
        </row>
        <row r="15043">
          <cell r="B15043" t="str">
            <v>27010201080601</v>
          </cell>
          <cell r="C15043" t="str">
            <v>PROVISION GEN OBLIG RIES CRED - CARTA FI2NC</v>
          </cell>
        </row>
        <row r="15044">
          <cell r="B15044" t="str">
            <v>27010201090001</v>
          </cell>
          <cell r="C15044" t="str">
            <v>Sist. Financiero Generica               2NC</v>
          </cell>
        </row>
        <row r="15045">
          <cell r="B15045" t="str">
            <v>27010201090101</v>
          </cell>
          <cell r="C15045" t="str">
            <v>PROVISION GEN OBLIG RIES CRED - C. DE CR2NC</v>
          </cell>
        </row>
        <row r="15046">
          <cell r="B15046" t="str">
            <v>27010201090102</v>
          </cell>
          <cell r="C15046" t="str">
            <v>PROVISION GEN OBLIG RIES CRED - C. DE CR2NC</v>
          </cell>
        </row>
        <row r="15047">
          <cell r="B15047" t="str">
            <v>27010201090103</v>
          </cell>
          <cell r="C15047" t="str">
            <v>PROVISION GEN OBLIG RIES CRED - CARTA FI2NC</v>
          </cell>
        </row>
        <row r="15048">
          <cell r="B15048" t="str">
            <v>27010201090104</v>
          </cell>
          <cell r="C15048" t="str">
            <v>PRO EMPRESAS DEL SISTEMA FINANCIERO - GE2NC</v>
          </cell>
        </row>
        <row r="15049">
          <cell r="B15049" t="str">
            <v>27010201090401</v>
          </cell>
          <cell r="C15049" t="str">
            <v>PROVISION GEN OBLIG RIES CRED - C. DE CR2NC</v>
          </cell>
        </row>
        <row r="15050">
          <cell r="B15050" t="str">
            <v>27010201090501</v>
          </cell>
          <cell r="C15050" t="str">
            <v>Provision GEN.OBLIG.RGO CRED.C.DE.C.    2NC</v>
          </cell>
        </row>
        <row r="15051">
          <cell r="B15051" t="str">
            <v>27010201090601</v>
          </cell>
          <cell r="C15051" t="str">
            <v>PROVISION GEN OBLIG RIES CRED - CARTA FI2NC</v>
          </cell>
        </row>
        <row r="15052">
          <cell r="B15052" t="str">
            <v>27010201091501</v>
          </cell>
          <cell r="C15052" t="str">
            <v>PROVISION GEN OBLIG RGO CRED OTROS CONTI2NC</v>
          </cell>
        </row>
        <row r="15053">
          <cell r="B15053" t="str">
            <v>27010201100001</v>
          </cell>
          <cell r="C15053" t="str">
            <v>Corporativos Generica                   2NC</v>
          </cell>
        </row>
        <row r="15054">
          <cell r="B15054" t="str">
            <v>27010201100101</v>
          </cell>
          <cell r="C15054" t="str">
            <v>PROVISION GEN OBLIG RIES CRED - C. DE CR2NC</v>
          </cell>
        </row>
        <row r="15055">
          <cell r="B15055" t="str">
            <v>27010201100102</v>
          </cell>
          <cell r="C15055" t="str">
            <v>PROVISION GEN OBLIG RIES CRED - C. DE CR2NC</v>
          </cell>
        </row>
        <row r="15056">
          <cell r="B15056" t="str">
            <v>27010201100103</v>
          </cell>
          <cell r="C15056" t="str">
            <v>PROVISION GEN OBLIG RIES CRED - CARTA FI2NC</v>
          </cell>
        </row>
        <row r="15057">
          <cell r="B15057" t="str">
            <v>27010201100104</v>
          </cell>
          <cell r="C15057" t="str">
            <v>PROVISION GEN OBLIG RIES CRED - FINANCIA2NC</v>
          </cell>
        </row>
        <row r="15058">
          <cell r="B15058" t="str">
            <v>27010201100105</v>
          </cell>
          <cell r="C15058" t="str">
            <v>PROVISION GEN OBLIG RIES CRED - OTROS  C2NC</v>
          </cell>
        </row>
        <row r="15059">
          <cell r="B15059" t="str">
            <v>27010201100106</v>
          </cell>
          <cell r="C15059" t="str">
            <v>PRO CORPORATIVA - GEN- COMP FIJO RIES CR2NC</v>
          </cell>
        </row>
        <row r="15060">
          <cell r="B15060" t="str">
            <v>27010201100501</v>
          </cell>
          <cell r="C15060" t="str">
            <v>PROVISION GEN OBLIG RIES CRED - C. DE CR2NC</v>
          </cell>
        </row>
        <row r="15061">
          <cell r="B15061" t="str">
            <v>27010201100601</v>
          </cell>
          <cell r="C15061" t="str">
            <v>PROVISION GEN OBLIG RIES CRED - CARTA FI2NC</v>
          </cell>
        </row>
        <row r="15062">
          <cell r="B15062" t="str">
            <v>27010201100801</v>
          </cell>
          <cell r="C15062" t="str">
            <v>PANAM PROVISION GEN OBLIG RIES CRED - C.2NC</v>
          </cell>
        </row>
        <row r="15063">
          <cell r="B15063" t="str">
            <v>27010201101501</v>
          </cell>
          <cell r="C15063" t="str">
            <v>PROVISION GEN OBLIG RIES CRED - OTROS CR2NC</v>
          </cell>
        </row>
        <row r="15064">
          <cell r="B15064" t="str">
            <v>27010201110001</v>
          </cell>
          <cell r="C15064" t="str">
            <v>G. Empresas Generica                    2NC</v>
          </cell>
        </row>
        <row r="15065">
          <cell r="B15065" t="str">
            <v>27010201110101</v>
          </cell>
          <cell r="C15065" t="str">
            <v>PROVISION GEN OBLIG RIES CRED - C. DE CR2NC</v>
          </cell>
        </row>
        <row r="15066">
          <cell r="B15066" t="str">
            <v>27010201110102</v>
          </cell>
          <cell r="C15066" t="str">
            <v>PROVISION GEN OBLIG RIES CRED - C. DE CR2NC</v>
          </cell>
        </row>
        <row r="15067">
          <cell r="B15067" t="str">
            <v>27010201110103</v>
          </cell>
          <cell r="C15067" t="str">
            <v>PROVISION GEN OBLIG RIES CRED - CARTA FI2NC</v>
          </cell>
        </row>
        <row r="15068">
          <cell r="B15068" t="str">
            <v>27010201110104</v>
          </cell>
          <cell r="C15068" t="str">
            <v>PROVISION GEN OBLIG RIES CRED - FINANCIA2NC</v>
          </cell>
        </row>
        <row r="15069">
          <cell r="B15069" t="str">
            <v>27010201110105</v>
          </cell>
          <cell r="C15069" t="str">
            <v>PROVISION GEN OBLIG RIES CRED - OTROS  C2NC</v>
          </cell>
        </row>
        <row r="15070">
          <cell r="B15070" t="str">
            <v>27010201110106</v>
          </cell>
          <cell r="C15070" t="str">
            <v>PRO GRANDES EMPRESAS - GEN- COMP FIJO RI2NC</v>
          </cell>
        </row>
        <row r="15071">
          <cell r="B15071" t="str">
            <v>27010201110501</v>
          </cell>
          <cell r="C15071" t="str">
            <v>PROVISION GEN OBLIG RIES CRED - C. DE CR2NC</v>
          </cell>
        </row>
        <row r="15072">
          <cell r="B15072" t="str">
            <v>27010201110601</v>
          </cell>
          <cell r="C15072" t="str">
            <v>PROVISION GEN OBLIG RIES CRED - CARTA FI2NC</v>
          </cell>
        </row>
        <row r="15073">
          <cell r="B15073" t="str">
            <v>27010201111501</v>
          </cell>
          <cell r="C15073" t="str">
            <v>PROVISION GEN OBLIG RIES CRED - OTROS CR2NC</v>
          </cell>
        </row>
        <row r="15074">
          <cell r="B15074" t="str">
            <v>27010201120001</v>
          </cell>
          <cell r="C15074" t="str">
            <v>Med. Emp. Generica                      2NC</v>
          </cell>
        </row>
        <row r="15075">
          <cell r="B15075" t="str">
            <v>27010201120101</v>
          </cell>
          <cell r="C15075" t="str">
            <v>PROVISION GEN OBLIG RIES CRED - C. DE CR2NC</v>
          </cell>
        </row>
        <row r="15076">
          <cell r="B15076" t="str">
            <v>27010201120102</v>
          </cell>
          <cell r="C15076" t="str">
            <v>PROVISION GEN OBLIG RIES CRED - C. DE CR2NC</v>
          </cell>
        </row>
        <row r="15077">
          <cell r="B15077" t="str">
            <v>27010201120103</v>
          </cell>
          <cell r="C15077" t="str">
            <v>PROVISION GEN OBLIG RIES CRED - CARTA FI2NC</v>
          </cell>
        </row>
        <row r="15078">
          <cell r="B15078" t="str">
            <v>27010201120104</v>
          </cell>
          <cell r="C15078" t="str">
            <v>PROVISION GEN OBLIG RIES CRED - FINANCIA2NC</v>
          </cell>
        </row>
        <row r="15079">
          <cell r="B15079" t="str">
            <v>27010201120105</v>
          </cell>
          <cell r="C15079" t="str">
            <v>PROVISION GEN OBLIG RIES CRED - OTROS  C2NC</v>
          </cell>
        </row>
        <row r="15080">
          <cell r="B15080" t="str">
            <v>27010201120106</v>
          </cell>
          <cell r="C15080" t="str">
            <v>PRO MEDIANAS EMPRESAS  - GEN- COMP FIJO 2NC</v>
          </cell>
        </row>
        <row r="15081">
          <cell r="B15081" t="str">
            <v>27010201120401</v>
          </cell>
          <cell r="C15081" t="str">
            <v>PROVISION GEN OBLIG RIES CRED - C. DE CR2NC</v>
          </cell>
        </row>
        <row r="15082">
          <cell r="B15082" t="str">
            <v>27010201120501</v>
          </cell>
          <cell r="C15082" t="str">
            <v>PROVISION GEN OBLIG RIES CRED - C. DE CR2NC</v>
          </cell>
        </row>
        <row r="15083">
          <cell r="B15083" t="str">
            <v>27010201120601</v>
          </cell>
          <cell r="C15083" t="str">
            <v>PROVISION GEN OBLIG RIES CRED - CARTA FI2NC</v>
          </cell>
        </row>
        <row r="15084">
          <cell r="B15084" t="str">
            <v>27010201120801</v>
          </cell>
          <cell r="C15084" t="str">
            <v>PANAM PROVISION GEN OBLIG RIES CRED - C.2NC</v>
          </cell>
        </row>
        <row r="15085">
          <cell r="B15085" t="str">
            <v>27010201121501</v>
          </cell>
          <cell r="C15085" t="str">
            <v>PROVISION GEN OBLIG RIES CRED - OTROS CR2NC</v>
          </cell>
        </row>
        <row r="15086">
          <cell r="B15086" t="str">
            <v>27010201130001</v>
          </cell>
          <cell r="C15086" t="str">
            <v>Peq. Emp. Generica                      2NC</v>
          </cell>
        </row>
        <row r="15087">
          <cell r="B15087" t="str">
            <v>27010201130101</v>
          </cell>
          <cell r="C15087" t="str">
            <v>PROVISION GEN OBLIG RIES CRED - C. DE CR2NC</v>
          </cell>
        </row>
        <row r="15088">
          <cell r="B15088" t="str">
            <v>27010201130102</v>
          </cell>
          <cell r="C15088" t="str">
            <v>PROVISION GEN OBLIG RIES CRED - C. DE CR2NC</v>
          </cell>
        </row>
        <row r="15089">
          <cell r="B15089" t="str">
            <v>27010201130103</v>
          </cell>
          <cell r="C15089" t="str">
            <v>PROVISION GEN OBLIG RIES CRED - CARTA FI2NC</v>
          </cell>
        </row>
        <row r="15090">
          <cell r="B15090" t="str">
            <v>27010201130104</v>
          </cell>
          <cell r="C15090" t="str">
            <v>PROVISION GEN OBLIG RIES CRED - FINANCIA2NC</v>
          </cell>
        </row>
        <row r="15091">
          <cell r="B15091" t="str">
            <v>27010201130105</v>
          </cell>
          <cell r="C15091" t="str">
            <v>PROVISION GEN OBLIG RIES CRED - OTROS  C2NC</v>
          </cell>
        </row>
        <row r="15092">
          <cell r="B15092" t="str">
            <v>27010201130106</v>
          </cell>
          <cell r="C15092" t="str">
            <v>PRO PEQUEÃ‘A EMPRESA - GEN- COMP FIJO RI2NC</v>
          </cell>
        </row>
        <row r="15093">
          <cell r="B15093" t="str">
            <v>27010201130401</v>
          </cell>
          <cell r="C15093" t="str">
            <v>PROVISION GEN OBLIG RIES CRED - C. DE CR2NC</v>
          </cell>
        </row>
        <row r="15094">
          <cell r="B15094" t="str">
            <v>27010201130501</v>
          </cell>
          <cell r="C15094" t="str">
            <v>PROVISION GEN OBLIG RIES CRED - C. DE CR2NC</v>
          </cell>
        </row>
        <row r="15095">
          <cell r="B15095" t="str">
            <v>27010201130601</v>
          </cell>
          <cell r="C15095" t="str">
            <v>PROVISION GEN OBLIG RIES CRED - CARTA FI2NC</v>
          </cell>
        </row>
        <row r="15096">
          <cell r="B15096" t="str">
            <v>27010201131501</v>
          </cell>
          <cell r="C15096" t="str">
            <v>PROVISION GEN OBLIG RIES CRED - OTROS CR2NC</v>
          </cell>
        </row>
        <row r="15097">
          <cell r="B15097" t="str">
            <v>27010202020001</v>
          </cell>
          <cell r="C15097" t="str">
            <v>Micro. Emp Generica                     2NC</v>
          </cell>
        </row>
        <row r="15098">
          <cell r="B15098" t="str">
            <v>27010202020101</v>
          </cell>
          <cell r="C15098" t="str">
            <v>PROVISION GEN OBLIG PROCICLICA - C. DE C2NC</v>
          </cell>
        </row>
        <row r="15099">
          <cell r="B15099" t="str">
            <v>27010202020102</v>
          </cell>
          <cell r="C15099" t="str">
            <v>PROVISION GEN OBLIG PROCICLICA - C. DE C2NC</v>
          </cell>
        </row>
        <row r="15100">
          <cell r="B15100" t="str">
            <v>27010202020103</v>
          </cell>
          <cell r="C15100" t="str">
            <v>PROVISION GEN OBLIG PROCICLICA - CARTA F2NC</v>
          </cell>
        </row>
        <row r="15101">
          <cell r="B15101" t="str">
            <v>27010202020104</v>
          </cell>
          <cell r="C15101" t="str">
            <v>PROVISION GEN OBLIG PROCICLICA - FINANCI2NC</v>
          </cell>
        </row>
        <row r="15102">
          <cell r="B15102" t="str">
            <v>27010202020105</v>
          </cell>
          <cell r="C15102" t="str">
            <v>PROVISION GEN OBLIG PROCICLICA - OTROS  2NC</v>
          </cell>
        </row>
        <row r="15103">
          <cell r="B15103" t="str">
            <v>27010202020106</v>
          </cell>
          <cell r="C15103" t="str">
            <v>PRO MICROEMPRESAS - GEN - COMP PROCICLIC2NC</v>
          </cell>
        </row>
        <row r="15104">
          <cell r="B15104" t="str">
            <v>27010202020501</v>
          </cell>
          <cell r="C15104" t="str">
            <v>PROVISION GEN OBLIG PROCICLICA - C. DE C2NC</v>
          </cell>
        </row>
        <row r="15105">
          <cell r="B15105" t="str">
            <v>27010202020601</v>
          </cell>
          <cell r="C15105" t="str">
            <v>PROVISION GEN OBLIG PROCICLICA - CARTA F2NC</v>
          </cell>
        </row>
        <row r="15106">
          <cell r="B15106" t="str">
            <v>27010202021501</v>
          </cell>
          <cell r="C15106" t="str">
            <v>PROVISION GEN OBLIG PROCICLICA - OTROS C2NC</v>
          </cell>
        </row>
        <row r="15107">
          <cell r="B15107" t="str">
            <v>27010202030001</v>
          </cell>
          <cell r="C15107" t="str">
            <v>Consumo Generica                        2NC</v>
          </cell>
        </row>
        <row r="15108">
          <cell r="B15108" t="str">
            <v>27010202040001</v>
          </cell>
          <cell r="C15108" t="str">
            <v>Hipotecarios para Viviendas Generica    2NC</v>
          </cell>
        </row>
        <row r="15109">
          <cell r="B15109" t="str">
            <v>27010202050001</v>
          </cell>
          <cell r="C15109" t="str">
            <v>Bancos Multilaterales de Desarrollo Gene2NC</v>
          </cell>
        </row>
        <row r="15110">
          <cell r="B15110" t="str">
            <v>27010202050101</v>
          </cell>
          <cell r="C15110" t="str">
            <v>PROVISION GEN OBLIG PROCICLICA - C. DE C2NC</v>
          </cell>
        </row>
        <row r="15111">
          <cell r="B15111" t="str">
            <v>27010202050102</v>
          </cell>
          <cell r="C15111" t="str">
            <v>PROVISION GEN OBLIG PROCICLICA - C. DE C2NC</v>
          </cell>
        </row>
        <row r="15112">
          <cell r="B15112" t="str">
            <v>27010202050103</v>
          </cell>
          <cell r="C15112" t="str">
            <v>PROVISION GEN OBLIG PROCICLICA - CARTA F2NC</v>
          </cell>
        </row>
        <row r="15113">
          <cell r="B15113" t="str">
            <v>27010202060001</v>
          </cell>
          <cell r="C15113" t="str">
            <v>Soberanos Generica                      2NC</v>
          </cell>
        </row>
        <row r="15114">
          <cell r="B15114" t="str">
            <v>27010202060101</v>
          </cell>
          <cell r="C15114" t="str">
            <v>PROVISION GEN OBLIG PROCICLICA - C. DE C2NC</v>
          </cell>
        </row>
        <row r="15115">
          <cell r="B15115" t="str">
            <v>27010202060102</v>
          </cell>
          <cell r="C15115" t="str">
            <v>PROVISION GEN OBLIG PROCICLICA - C. DE C2NC</v>
          </cell>
        </row>
        <row r="15116">
          <cell r="B15116" t="str">
            <v>27010202060103</v>
          </cell>
          <cell r="C15116" t="str">
            <v>PROVISION GEN OBLIG PROCICLICA - CARTA F2NC</v>
          </cell>
        </row>
        <row r="15117">
          <cell r="B15117" t="str">
            <v>27010202070001</v>
          </cell>
          <cell r="C15117" t="str">
            <v>Sector Publico Generica                 2NC</v>
          </cell>
        </row>
        <row r="15118">
          <cell r="B15118" t="str">
            <v>27010202070101</v>
          </cell>
          <cell r="C15118" t="str">
            <v>PROVISION GEN OBLIG PROCICLICA - C. DE C2NC</v>
          </cell>
        </row>
        <row r="15119">
          <cell r="B15119" t="str">
            <v>27010202070102</v>
          </cell>
          <cell r="C15119" t="str">
            <v>PROVISION GEN OBLIG PROCICLICA - C. DE C2NC</v>
          </cell>
        </row>
        <row r="15120">
          <cell r="B15120" t="str">
            <v>27010202070103</v>
          </cell>
          <cell r="C15120" t="str">
            <v>PROVISION GEN OBLIG PROCICLICA - CARTA F2NC</v>
          </cell>
        </row>
        <row r="15121">
          <cell r="B15121" t="str">
            <v>27010202070104</v>
          </cell>
          <cell r="C15121" t="str">
            <v>PRO ENTIDADES DEL SECTOR PUBLICO -  GEN 2NC</v>
          </cell>
        </row>
        <row r="15122">
          <cell r="B15122" t="str">
            <v>27010202070501</v>
          </cell>
          <cell r="C15122" t="str">
            <v>PROVISION GEN OBLIG PROCICLICA - C. DE C2NC</v>
          </cell>
        </row>
        <row r="15123">
          <cell r="B15123" t="str">
            <v>27010202070601</v>
          </cell>
          <cell r="C15123" t="str">
            <v>PROVISION GEN OBLIG PROCICLICA - CARTA F2NC</v>
          </cell>
        </row>
        <row r="15124">
          <cell r="B15124" t="str">
            <v>27010202071501</v>
          </cell>
          <cell r="C15124" t="str">
            <v>PROVISION GEN OBLIG PROCICLICA - OTROS C2NC</v>
          </cell>
        </row>
        <row r="15125">
          <cell r="B15125" t="str">
            <v>27010202080001</v>
          </cell>
          <cell r="C15125" t="str">
            <v>Int. Valores Generica                   2NC</v>
          </cell>
        </row>
        <row r="15126">
          <cell r="B15126" t="str">
            <v>27010202080101</v>
          </cell>
          <cell r="C15126" t="str">
            <v>PROVISION GEN OBLIG PROCICLICA - C. DE C2NC</v>
          </cell>
        </row>
        <row r="15127">
          <cell r="B15127" t="str">
            <v>27010202080102</v>
          </cell>
          <cell r="C15127" t="str">
            <v>PROVISION GEN OBLIG PROCICLICA - C. DE C2NC</v>
          </cell>
        </row>
        <row r="15128">
          <cell r="B15128" t="str">
            <v>27010202080103</v>
          </cell>
          <cell r="C15128" t="str">
            <v>PROVISION GEN OBLIG PROCICLICA - CARTA F2NC</v>
          </cell>
        </row>
        <row r="15129">
          <cell r="B15129" t="str">
            <v>27010202080104</v>
          </cell>
          <cell r="C15129" t="str">
            <v>PRO INTERMEDIARIOS DE VALORES -  GEN - C2NC</v>
          </cell>
        </row>
        <row r="15130">
          <cell r="B15130" t="str">
            <v>27010202080501</v>
          </cell>
          <cell r="C15130" t="str">
            <v>PROVISION GEN OBLIG PROCICLICA - C. DE C2NC</v>
          </cell>
        </row>
        <row r="15131">
          <cell r="B15131" t="str">
            <v>27010202080601</v>
          </cell>
          <cell r="C15131" t="str">
            <v>PROVISION GEN OBLIG PROCICLICA - CARTA F2NC</v>
          </cell>
        </row>
        <row r="15132">
          <cell r="B15132" t="str">
            <v>27010202090001</v>
          </cell>
          <cell r="C15132" t="str">
            <v>Sist. Financiero Generica               2NC</v>
          </cell>
        </row>
        <row r="15133">
          <cell r="B15133" t="str">
            <v>27010202090101</v>
          </cell>
          <cell r="C15133" t="str">
            <v>PROVISION GEN OBLIG PROCICLICA - C. DE C2NC</v>
          </cell>
        </row>
        <row r="15134">
          <cell r="B15134" t="str">
            <v>27010202090102</v>
          </cell>
          <cell r="C15134" t="str">
            <v>PROVISION GEN OBLIG PROCICLICA - C. DE C2NC</v>
          </cell>
        </row>
        <row r="15135">
          <cell r="B15135" t="str">
            <v>27010202090103</v>
          </cell>
          <cell r="C15135" t="str">
            <v>PROVISION GEN OBLIG PROCICLICA - CARTA F2NC</v>
          </cell>
        </row>
        <row r="15136">
          <cell r="B15136" t="str">
            <v>27010202090104</v>
          </cell>
          <cell r="C15136" t="str">
            <v>PRO EMPRESAS DEL SISTEMA FINANCIERO -  G2NC</v>
          </cell>
        </row>
        <row r="15137">
          <cell r="B15137" t="str">
            <v>27010202090401</v>
          </cell>
          <cell r="C15137" t="str">
            <v>PROVISION GEN OBLIG PROCICLICA - C. DE C2NC</v>
          </cell>
        </row>
        <row r="15138">
          <cell r="B15138" t="str">
            <v>27010202090501</v>
          </cell>
          <cell r="C15138" t="str">
            <v>PROVISION GEN OBLIG PROCICLICA - C. DE C2NC</v>
          </cell>
        </row>
        <row r="15139">
          <cell r="B15139" t="str">
            <v>27010202090601</v>
          </cell>
          <cell r="C15139" t="str">
            <v>PROVISION GEN OBLIG PROCICLICA - CARTA F2NC</v>
          </cell>
        </row>
        <row r="15140">
          <cell r="B15140" t="str">
            <v>27010202091501</v>
          </cell>
          <cell r="C15140" t="str">
            <v>PROVISION GEN OBLIG PROCICLICA - OTROS C2NC</v>
          </cell>
        </row>
        <row r="15141">
          <cell r="B15141" t="str">
            <v>27010202100001</v>
          </cell>
          <cell r="C15141" t="str">
            <v>Corporativos Generica                   2NC</v>
          </cell>
        </row>
        <row r="15142">
          <cell r="B15142" t="str">
            <v>27010202100101</v>
          </cell>
          <cell r="C15142" t="str">
            <v>PROVISION GEN OBLIG PROCICLICA - C. DE C2NC</v>
          </cell>
        </row>
        <row r="15143">
          <cell r="B15143" t="str">
            <v>27010202100102</v>
          </cell>
          <cell r="C15143" t="str">
            <v>PROVISION GEN OBLIG PROCICLICA - C. DE C2NC</v>
          </cell>
        </row>
        <row r="15144">
          <cell r="B15144" t="str">
            <v>27010202100103</v>
          </cell>
          <cell r="C15144" t="str">
            <v>PROVISION GEN OBLIG PROCICLICA - CARTA F2NC</v>
          </cell>
        </row>
        <row r="15145">
          <cell r="B15145" t="str">
            <v>27010202100104</v>
          </cell>
          <cell r="C15145" t="str">
            <v>PROVISION GEN OBLIG PROCICLICA - FINANCI2NC</v>
          </cell>
        </row>
        <row r="15146">
          <cell r="B15146" t="str">
            <v>27010202100105</v>
          </cell>
          <cell r="C15146" t="str">
            <v>PROVISION GEN OBLIG PROCICLICA - OTROS  2NC</v>
          </cell>
        </row>
        <row r="15147">
          <cell r="B15147" t="str">
            <v>27010202100106</v>
          </cell>
          <cell r="C15147" t="str">
            <v>PRO COORPORATIVO  -  GEN - COMP PROCICLI2NC</v>
          </cell>
        </row>
        <row r="15148">
          <cell r="B15148" t="str">
            <v>27010202100501</v>
          </cell>
          <cell r="C15148" t="str">
            <v>PROVISION GEN OBLIG PROCICLICA - C. DE C2NC</v>
          </cell>
        </row>
        <row r="15149">
          <cell r="B15149" t="str">
            <v>27010202100601</v>
          </cell>
          <cell r="C15149" t="str">
            <v>PROVISION GEN OBLIG PROCICLICA - CARTA F2NC</v>
          </cell>
        </row>
        <row r="15150">
          <cell r="B15150" t="str">
            <v>27010202100801</v>
          </cell>
          <cell r="C15150" t="str">
            <v>PANAM PROVISION GEN OBLIG PROCICLICA - C2NC</v>
          </cell>
        </row>
        <row r="15151">
          <cell r="B15151" t="str">
            <v>27010202101501</v>
          </cell>
          <cell r="C15151" t="str">
            <v>PROVISION GEN OBLIG PROCICLICA - OTROS C2NC</v>
          </cell>
        </row>
        <row r="15152">
          <cell r="B15152" t="str">
            <v>27010202110001</v>
          </cell>
          <cell r="C15152" t="str">
            <v>G. Empresas Generica                    2NC</v>
          </cell>
        </row>
        <row r="15153">
          <cell r="B15153" t="str">
            <v>27010202110101</v>
          </cell>
          <cell r="C15153" t="str">
            <v>PROVISION GEN OBLIG PROCICLICA - C. DE C2NC</v>
          </cell>
        </row>
        <row r="15154">
          <cell r="B15154" t="str">
            <v>27010202110102</v>
          </cell>
          <cell r="C15154" t="str">
            <v>PROVISION GEN OBLIG PROCICLICA - C. DE C2NC</v>
          </cell>
        </row>
        <row r="15155">
          <cell r="B15155" t="str">
            <v>27010202110103</v>
          </cell>
          <cell r="C15155" t="str">
            <v>PROVISION GEN OBLIG PROCICLICA - CARTA F2NC</v>
          </cell>
        </row>
        <row r="15156">
          <cell r="B15156" t="str">
            <v>27010202110104</v>
          </cell>
          <cell r="C15156" t="str">
            <v>PROVISION GEN OBLIG PROCICLICA - FINANCI2NC</v>
          </cell>
        </row>
        <row r="15157">
          <cell r="B15157" t="str">
            <v>27010202110105</v>
          </cell>
          <cell r="C15157" t="str">
            <v>PROVISION GEN OBLIG PROCICLICA - OTROS  2NC</v>
          </cell>
        </row>
        <row r="15158">
          <cell r="B15158" t="str">
            <v>27010202110106</v>
          </cell>
          <cell r="C15158" t="str">
            <v>PRO GRANDES EMPRESAS  -  GEN - COMP PROC2NC</v>
          </cell>
        </row>
        <row r="15159">
          <cell r="B15159" t="str">
            <v>27010202110501</v>
          </cell>
          <cell r="C15159" t="str">
            <v>PROVISION GEN OBLIG PROCICLICA - C. DE C2NC</v>
          </cell>
        </row>
        <row r="15160">
          <cell r="B15160" t="str">
            <v>27010202110601</v>
          </cell>
          <cell r="C15160" t="str">
            <v>PROVISION GEN OBLIG PROCICLICA - CARTA F2NC</v>
          </cell>
        </row>
        <row r="15161">
          <cell r="B15161" t="str">
            <v>27010202111501</v>
          </cell>
          <cell r="C15161" t="str">
            <v>PROVISION GEN OBLIG PROCICLICA - OTROS C2NC</v>
          </cell>
        </row>
        <row r="15162">
          <cell r="B15162" t="str">
            <v>27010202120001</v>
          </cell>
          <cell r="C15162" t="str">
            <v>Med. Emp. Generica                      2NC</v>
          </cell>
        </row>
        <row r="15163">
          <cell r="B15163" t="str">
            <v>27010202120101</v>
          </cell>
          <cell r="C15163" t="str">
            <v>PROVISION GEN OBLIG PROCICLICA - C. DE C2NC</v>
          </cell>
        </row>
        <row r="15164">
          <cell r="B15164" t="str">
            <v>27010202120102</v>
          </cell>
          <cell r="C15164" t="str">
            <v>PROVISION GEN OBLIG PROCICLICA - C. DE C2NC</v>
          </cell>
        </row>
        <row r="15165">
          <cell r="B15165" t="str">
            <v>27010202120103</v>
          </cell>
          <cell r="C15165" t="str">
            <v>PROVISION GEN OBLIG PROCICLICA - CARTA F2NC</v>
          </cell>
        </row>
        <row r="15166">
          <cell r="B15166" t="str">
            <v>27010202120104</v>
          </cell>
          <cell r="C15166" t="str">
            <v>PROVISION GEN OBLIG PROCICLICA - FINANCI2NC</v>
          </cell>
        </row>
        <row r="15167">
          <cell r="B15167" t="str">
            <v>27010202120105</v>
          </cell>
          <cell r="C15167" t="str">
            <v>PROVISION GEN OBLIG PROCICLICA - OTROS  2NC</v>
          </cell>
        </row>
        <row r="15168">
          <cell r="B15168" t="str">
            <v>27010202120106</v>
          </cell>
          <cell r="C15168" t="str">
            <v>PRO MEDIANAS EMPRESAS -  GEN - COMP PROC2NC</v>
          </cell>
        </row>
        <row r="15169">
          <cell r="B15169" t="str">
            <v>27010202120401</v>
          </cell>
          <cell r="C15169" t="str">
            <v>PROVISION GEN OBLIG PROCICLICA - C. DE C2NC</v>
          </cell>
        </row>
        <row r="15170">
          <cell r="B15170" t="str">
            <v>27010202120501</v>
          </cell>
          <cell r="C15170" t="str">
            <v>PROVISION GEN OBLIG PROCICLICA - C. DE C2NC</v>
          </cell>
        </row>
        <row r="15171">
          <cell r="B15171" t="str">
            <v>27010202120601</v>
          </cell>
          <cell r="C15171" t="str">
            <v>PROVISION GEN OBLIG PROCICLICA - CARTA F2NC</v>
          </cell>
        </row>
        <row r="15172">
          <cell r="B15172" t="str">
            <v>27010202120801</v>
          </cell>
          <cell r="C15172" t="str">
            <v>PANAM PROVISION GENERICA PROCICLICA MEDI2NC</v>
          </cell>
        </row>
        <row r="15173">
          <cell r="B15173" t="str">
            <v>27010202121501</v>
          </cell>
          <cell r="C15173" t="str">
            <v>PROVISION GEN OBLIG PROCICLICA - OTROS C2NC</v>
          </cell>
        </row>
        <row r="15174">
          <cell r="B15174" t="str">
            <v>27010202130001</v>
          </cell>
          <cell r="C15174" t="str">
            <v>Peq. Emp. Generica                      2NC</v>
          </cell>
        </row>
        <row r="15175">
          <cell r="B15175" t="str">
            <v>27010202130101</v>
          </cell>
          <cell r="C15175" t="str">
            <v>PROVISION GEN OBLIG PROCICLICA - C. DE C2NC</v>
          </cell>
        </row>
        <row r="15176">
          <cell r="B15176" t="str">
            <v>27010202130102</v>
          </cell>
          <cell r="C15176" t="str">
            <v>PROVISION GEN OBLIG PROCICLICA - C. DE C2NC</v>
          </cell>
        </row>
        <row r="15177">
          <cell r="B15177" t="str">
            <v>27010202130103</v>
          </cell>
          <cell r="C15177" t="str">
            <v>PROVISION GEN OBLIG PROCICLICA - CARTA F2NC</v>
          </cell>
        </row>
        <row r="15178">
          <cell r="B15178" t="str">
            <v>27010202130104</v>
          </cell>
          <cell r="C15178" t="str">
            <v>PROVISION GEN OBLIG PROCICLICA - FINANCI2NC</v>
          </cell>
        </row>
        <row r="15179">
          <cell r="B15179" t="str">
            <v>27010202130105</v>
          </cell>
          <cell r="C15179" t="str">
            <v>PROVISION GEN OBLIG PROCICLICA - OTROS  2NC</v>
          </cell>
        </row>
        <row r="15180">
          <cell r="B15180" t="str">
            <v>27010202130106</v>
          </cell>
          <cell r="C15180" t="str">
            <v>PRO PEQUEÃ‘AS EMPRESAS  -  GEN - COMP PR2NC</v>
          </cell>
        </row>
        <row r="15181">
          <cell r="B15181" t="str">
            <v>27010202130401</v>
          </cell>
          <cell r="C15181" t="str">
            <v>PROVISION GEN OBLIG PROCICLICA - C. DE C2NC</v>
          </cell>
        </row>
        <row r="15182">
          <cell r="B15182" t="str">
            <v>27010202130501</v>
          </cell>
          <cell r="C15182" t="str">
            <v>PROVISION GEN OBLIG PROCICLICA - C. DE C2NC</v>
          </cell>
        </row>
        <row r="15183">
          <cell r="B15183" t="str">
            <v>27010202130601</v>
          </cell>
          <cell r="C15183" t="str">
            <v>PROVISION GEN OBLIG PROCICLICA - CARTA F2NC</v>
          </cell>
        </row>
        <row r="15184">
          <cell r="B15184" t="str">
            <v>27010202131501</v>
          </cell>
          <cell r="C15184" t="str">
            <v>PROVISION GEN OBLIG PROCICLICA - OTROS C2NC</v>
          </cell>
        </row>
        <row r="15185">
          <cell r="B15185" t="str">
            <v>27010209000101</v>
          </cell>
          <cell r="C15185" t="str">
            <v>OTRAS PROV CREDITOS CONTINGENTES GENE   2YC</v>
          </cell>
        </row>
        <row r="15186">
          <cell r="B15186" t="str">
            <v>27010209000102</v>
          </cell>
          <cell r="C15186" t="str">
            <v>OTRAS PROV CRED CONTINGEN GENERICAS M   2YC</v>
          </cell>
        </row>
        <row r="15187">
          <cell r="B15187" t="str">
            <v>27010602000001</v>
          </cell>
          <cell r="C15187" t="str">
            <v>Micro. Emp Especifica                   2NC</v>
          </cell>
        </row>
        <row r="15188">
          <cell r="B15188" t="str">
            <v>27010602000002</v>
          </cell>
          <cell r="C15188" t="str">
            <v>Micro. Emp Generica                     2NC</v>
          </cell>
        </row>
        <row r="15189">
          <cell r="B15189" t="str">
            <v>27010602000101</v>
          </cell>
          <cell r="C15189" t="str">
            <v>PROVISION ESP OBLIG SOBREEND LINEAS - AV2NC</v>
          </cell>
        </row>
        <row r="15190">
          <cell r="B15190" t="str">
            <v>27010602000102</v>
          </cell>
          <cell r="C15190" t="str">
            <v>PROVISION ESP OBLIG SOBREEND LINEAS - SO2NC</v>
          </cell>
        </row>
        <row r="15191">
          <cell r="B15191" t="str">
            <v>27010602000103</v>
          </cell>
          <cell r="C15191" t="str">
            <v>PROVISION ESP OBLIG SOBREEND LINEAS - TA2NC</v>
          </cell>
        </row>
        <row r="15192">
          <cell r="B15192" t="str">
            <v>27010602000104</v>
          </cell>
          <cell r="C15192" t="str">
            <v>PRO MICROEMPRESA - Riesgo de Sobreendeud2NC</v>
          </cell>
        </row>
        <row r="15193">
          <cell r="B15193" t="str">
            <v>27010602000502</v>
          </cell>
          <cell r="C15193" t="str">
            <v>PRO GEN SOBR LIN - C. DE CRÃ‰D. IMPORTAC2NC</v>
          </cell>
        </row>
        <row r="15194">
          <cell r="B15194" t="str">
            <v>27010602000601</v>
          </cell>
          <cell r="C15194" t="str">
            <v>PRO ESP SOBR LIN - CARTA FIANZA         2NC</v>
          </cell>
        </row>
        <row r="15195">
          <cell r="B15195" t="str">
            <v>27010602000602</v>
          </cell>
          <cell r="C15195" t="str">
            <v>PRO MICROEMPRESA - Riesgo de Sobreendeud2NC</v>
          </cell>
        </row>
        <row r="15196">
          <cell r="B15196" t="str">
            <v>27010602001101</v>
          </cell>
          <cell r="C15196" t="str">
            <v>PRO ESP SOBR LIN - DESCUENTOS           2NC</v>
          </cell>
        </row>
        <row r="15197">
          <cell r="B15197" t="str">
            <v>27010602001102</v>
          </cell>
          <cell r="C15197" t="str">
            <v>PRO GEN SOBR LIN - DESCUENTOS           2NC</v>
          </cell>
        </row>
        <row r="15198">
          <cell r="B15198" t="str">
            <v>27010602001201</v>
          </cell>
          <cell r="C15198" t="str">
            <v>PRO ESP SOBR LIN - FACTORING            2NC</v>
          </cell>
        </row>
        <row r="15199">
          <cell r="B15199" t="str">
            <v>27010602001202</v>
          </cell>
          <cell r="C15199" t="str">
            <v>PRO GEN SOBR LIN - FACTORING            2NC</v>
          </cell>
        </row>
        <row r="15200">
          <cell r="B15200" t="str">
            <v>27010602001301</v>
          </cell>
          <cell r="C15200" t="str">
            <v>PRO ESP SOBR LIN - FINANCIAMIENTOS COMEX2NC</v>
          </cell>
        </row>
        <row r="15201">
          <cell r="B15201" t="str">
            <v>27010602001302</v>
          </cell>
          <cell r="C15201" t="str">
            <v>PRO GEN SOBR LIN - FINANCIAMIENTOS COMEX2NC</v>
          </cell>
        </row>
        <row r="15202">
          <cell r="B15202" t="str">
            <v>27010602001501</v>
          </cell>
          <cell r="C15202" t="str">
            <v>PRO ESP SOBR LIN - OTROS CRÃ‰DITOS DIREC2NC</v>
          </cell>
        </row>
        <row r="15203">
          <cell r="B15203" t="str">
            <v>27010602001502</v>
          </cell>
          <cell r="C15203" t="str">
            <v>PRO GEN SOBR LIN - OTROS CRÃ‰DITOS DIREC2NC</v>
          </cell>
        </row>
        <row r="15204">
          <cell r="B15204" t="str">
            <v>27010602001701</v>
          </cell>
          <cell r="C15204" t="str">
            <v>PRO ESP SOBR LIN Â¿ PAGARES             2NC</v>
          </cell>
        </row>
        <row r="15205">
          <cell r="B15205" t="str">
            <v>27010602001702</v>
          </cell>
          <cell r="C15205" t="str">
            <v>PRO GEN SOBR LIN - PAGARES              2NC</v>
          </cell>
        </row>
        <row r="15206">
          <cell r="B15206" t="str">
            <v>27010602001901</v>
          </cell>
          <cell r="C15206" t="str">
            <v>PROVISION ESP OBLIG SOBREEND LINEAS - SO2NC</v>
          </cell>
        </row>
        <row r="15207">
          <cell r="B15207" t="str">
            <v>27010602001902</v>
          </cell>
          <cell r="C15207" t="str">
            <v>PRO GEN SOBR LIN -Â  SOBREGIROS         2NC</v>
          </cell>
        </row>
        <row r="15208">
          <cell r="B15208" t="str">
            <v>27010602002001</v>
          </cell>
          <cell r="C15208" t="str">
            <v>PRO ESP SOBR LIN -Â  TCR                2NC</v>
          </cell>
        </row>
        <row r="15209">
          <cell r="B15209" t="str">
            <v>27010602002002</v>
          </cell>
          <cell r="C15209" t="str">
            <v>PRO GEN SOBR LIN -Â  TCR                2NC</v>
          </cell>
        </row>
        <row r="15210">
          <cell r="B15210" t="str">
            <v>27010603000001</v>
          </cell>
          <cell r="C15210" t="str">
            <v>Consumo Especifica                      2NC</v>
          </cell>
        </row>
        <row r="15211">
          <cell r="B15211" t="str">
            <v>27010603000002</v>
          </cell>
          <cell r="C15211" t="str">
            <v>Consumo Generica                        2NC</v>
          </cell>
        </row>
        <row r="15212">
          <cell r="B15212" t="str">
            <v>27010603000101</v>
          </cell>
          <cell r="C15212" t="str">
            <v>PRO ESP SOBR LIN -  ADEL.  SUELDO       2NC</v>
          </cell>
        </row>
        <row r="15213">
          <cell r="B15213" t="str">
            <v>27010603000102</v>
          </cell>
          <cell r="C15213" t="str">
            <v>PRO GEN SOBR LIN -  ADEL. SUELDO        2NC</v>
          </cell>
        </row>
        <row r="15214">
          <cell r="B15214" t="str">
            <v>27010603000103</v>
          </cell>
          <cell r="C15214" t="str">
            <v>PROVISION ESP OBLIG SOBREEND LINEAS - AV2NC</v>
          </cell>
        </row>
        <row r="15215">
          <cell r="B15215" t="str">
            <v>27010603000104</v>
          </cell>
          <cell r="C15215" t="str">
            <v>PROVISION ESP OBLIG SOBREEND LINEAS - AD2NC</v>
          </cell>
        </row>
        <row r="15216">
          <cell r="B15216" t="str">
            <v>27010603000105</v>
          </cell>
          <cell r="C15216" t="str">
            <v>PROVISION ESP OBLIG SOBREEND LINEAS - TA2NC</v>
          </cell>
        </row>
        <row r="15217">
          <cell r="B15217" t="str">
            <v>27010603000106</v>
          </cell>
          <cell r="C15217" t="str">
            <v>PROVISION GEN OBLIG RIES SOBREEND LIN - 2NC</v>
          </cell>
        </row>
        <row r="15218">
          <cell r="B15218" t="str">
            <v>27010603000107</v>
          </cell>
          <cell r="C15218" t="str">
            <v>PROVISION GEN OBLIG RIES SOBREEND LIN - 2NC</v>
          </cell>
        </row>
        <row r="15219">
          <cell r="B15219" t="str">
            <v>27010603000108</v>
          </cell>
          <cell r="C15219" t="str">
            <v>PROVISION GEN OBLIG RIES SOBREEND LIN - 2NC</v>
          </cell>
        </row>
        <row r="15220">
          <cell r="B15220" t="str">
            <v>27010603000109</v>
          </cell>
          <cell r="C15220" t="str">
            <v>PROVISION GEN OBLIG RIES SOBREEND LIN - 2NC</v>
          </cell>
        </row>
        <row r="15221">
          <cell r="B15221" t="str">
            <v>27010603000110</v>
          </cell>
          <cell r="C15221" t="str">
            <v>PROVISION GEN OBLIG RIES SOBREEND LIN - 2NC</v>
          </cell>
        </row>
        <row r="15222">
          <cell r="B15222" t="str">
            <v>27010603000111</v>
          </cell>
          <cell r="C15222" t="str">
            <v>PRO CONSUMO - Riesgo de Sobreendeudamien2NC</v>
          </cell>
        </row>
        <row r="15223">
          <cell r="B15223" t="str">
            <v>27010603000112</v>
          </cell>
          <cell r="C15223" t="str">
            <v>PRO CONSUMO - Riesgo de Sobreendeudamien2NC</v>
          </cell>
        </row>
        <row r="15224">
          <cell r="B15224" t="str">
            <v>27010603000701</v>
          </cell>
          <cell r="C15224" t="str">
            <v>PRO ESP SOBR LIN -Â  CONVENIO           2NC</v>
          </cell>
        </row>
        <row r="15225">
          <cell r="B15225" t="str">
            <v>27010603000702</v>
          </cell>
          <cell r="C15225" t="str">
            <v>PRO CONSUMO - Riesgo de Sobreendeudamien2NC</v>
          </cell>
        </row>
        <row r="15226">
          <cell r="B15226" t="str">
            <v>27010603001901</v>
          </cell>
          <cell r="C15226" t="str">
            <v>PRO ESP SOBR LIN -Â  SOBREGIROS         2NC</v>
          </cell>
        </row>
        <row r="15227">
          <cell r="B15227" t="str">
            <v>27010603001902</v>
          </cell>
          <cell r="C15227" t="str">
            <v>PRO GEN SOBR LIN -Â  SOBREGIROS         2NC</v>
          </cell>
        </row>
        <row r="15228">
          <cell r="B15228" t="str">
            <v>27010603002001</v>
          </cell>
          <cell r="C15228" t="str">
            <v>PRO ESP SOBR LIN -Â  TCR                2NC</v>
          </cell>
        </row>
        <row r="15229">
          <cell r="B15229" t="str">
            <v>27010603002002</v>
          </cell>
          <cell r="C15229" t="str">
            <v>PRO GEN SOBR LIN -Â  TCR                2NC</v>
          </cell>
        </row>
        <row r="15230">
          <cell r="B15230" t="str">
            <v>27010603002301</v>
          </cell>
          <cell r="C15230" t="str">
            <v>PRO ESP SOBR LIN - CONVENIOS PREFERENTE 2NC</v>
          </cell>
        </row>
        <row r="15231">
          <cell r="B15231" t="str">
            <v>27010603002302</v>
          </cell>
          <cell r="C15231" t="str">
            <v>PRO GEN SOBR LIN -CONVENIOS PREFERENTE  2NC</v>
          </cell>
        </row>
        <row r="15232">
          <cell r="B15232" t="str">
            <v>27010613000001</v>
          </cell>
          <cell r="C15232" t="str">
            <v>Peq. Emp. Especifica                    2NC</v>
          </cell>
        </row>
        <row r="15233">
          <cell r="B15233" t="str">
            <v>27010613000002</v>
          </cell>
          <cell r="C15233" t="str">
            <v>Peq. Emp. Generica                      2NC</v>
          </cell>
        </row>
        <row r="15234">
          <cell r="B15234" t="str">
            <v>27010613000101</v>
          </cell>
          <cell r="C15234" t="str">
            <v>PROVISION ESP OBLIG SOBREEND LINEAS - AV2NC</v>
          </cell>
        </row>
        <row r="15235">
          <cell r="B15235" t="str">
            <v>27010613000102</v>
          </cell>
          <cell r="C15235" t="str">
            <v>PROVISION ESP OBLIG SOBREEND LINEAS - SO2NC</v>
          </cell>
        </row>
        <row r="15236">
          <cell r="B15236" t="str">
            <v>27010613000103</v>
          </cell>
          <cell r="C15236" t="str">
            <v>PROVISION ESP OBLIG SOBREEND LINEAS - TA2NC</v>
          </cell>
        </row>
        <row r="15237">
          <cell r="B15237" t="str">
            <v>27010613000104</v>
          </cell>
          <cell r="C15237" t="str">
            <v>PRO PEQUEÃ‘AS EMPRESAS - Riesgo de Sobre2NC</v>
          </cell>
        </row>
        <row r="15238">
          <cell r="B15238" t="str">
            <v>27010613000105</v>
          </cell>
          <cell r="C15238" t="str">
            <v>PRO PEQUEÃ‘AS EMPRESAS - Riesgo de Sobre2NC</v>
          </cell>
        </row>
        <row r="15239">
          <cell r="B15239" t="str">
            <v>27010613000301</v>
          </cell>
          <cell r="C15239" t="str">
            <v>PRO ESP SOBR LIN - AVANCE EN CUENTA     2NC</v>
          </cell>
        </row>
        <row r="15240">
          <cell r="B15240" t="str">
            <v>27010613000302</v>
          </cell>
          <cell r="C15240" t="str">
            <v>PRO PEQUEÃ‘AS EMPRESAS - Riesgo de Sobre2NC</v>
          </cell>
        </row>
        <row r="15241">
          <cell r="B15241" t="str">
            <v>27010613000601</v>
          </cell>
          <cell r="C15241" t="str">
            <v>PRO ESP SOBR LIN - CARTA FIANZA         2NC</v>
          </cell>
        </row>
        <row r="15242">
          <cell r="B15242" t="str">
            <v>27010613000602</v>
          </cell>
          <cell r="C15242" t="str">
            <v>PRO GEN SOBR LIN - CARTA FIANZA         2NC</v>
          </cell>
        </row>
        <row r="15243">
          <cell r="B15243" t="str">
            <v>27010613001101</v>
          </cell>
          <cell r="C15243" t="str">
            <v>PRO ESP SOBR LIN - DESCUENTOS           2NC</v>
          </cell>
        </row>
        <row r="15244">
          <cell r="B15244" t="str">
            <v>27010613001102</v>
          </cell>
          <cell r="C15244" t="str">
            <v>PRO GEN SOBR LIN - DESCUENTOS           2NC</v>
          </cell>
        </row>
        <row r="15245">
          <cell r="B15245" t="str">
            <v>27010613001201</v>
          </cell>
          <cell r="C15245" t="str">
            <v>PRO ESP SOBR LIN - FACTORING            2NC</v>
          </cell>
        </row>
        <row r="15246">
          <cell r="B15246" t="str">
            <v>27010613001202</v>
          </cell>
          <cell r="C15246" t="str">
            <v>PRO GEN SOBR LIN - FACTORING            2NC</v>
          </cell>
        </row>
        <row r="15247">
          <cell r="B15247" t="str">
            <v>27010613001301</v>
          </cell>
          <cell r="C15247" t="str">
            <v>PRO ESP SOBR LIN - FINANCIAMIENTOS COMEX2NC</v>
          </cell>
        </row>
        <row r="15248">
          <cell r="B15248" t="str">
            <v>27010613001302</v>
          </cell>
          <cell r="C15248" t="str">
            <v>PRO GEN SOBR LIN - FINANCIAMIENTOS COMEX2NC</v>
          </cell>
        </row>
        <row r="15249">
          <cell r="B15249" t="str">
            <v>27010613001501</v>
          </cell>
          <cell r="C15249" t="str">
            <v>PRO ESP SOBR LIN - OTROS CRÃ‰DITOS DIREC2NC</v>
          </cell>
        </row>
        <row r="15250">
          <cell r="B15250" t="str">
            <v>27010613001502</v>
          </cell>
          <cell r="C15250" t="str">
            <v>PRO GEN SOBR LIN - OTROS CRÃ‰DITOS DIREC2NC</v>
          </cell>
        </row>
        <row r="15251">
          <cell r="B15251" t="str">
            <v>27010613001701</v>
          </cell>
          <cell r="C15251" t="str">
            <v>PRO ESP SOBR LIN - PAGARES              2NC</v>
          </cell>
        </row>
        <row r="15252">
          <cell r="B15252" t="str">
            <v>27010613001702</v>
          </cell>
          <cell r="C15252" t="str">
            <v>PRO GEN SOBR LIN - PAGARES              2NC</v>
          </cell>
        </row>
        <row r="15253">
          <cell r="B15253" t="str">
            <v>27010613001902</v>
          </cell>
          <cell r="C15253" t="str">
            <v>PRO GEN SOBR LIN -Â  SOBREGIROS         2NC</v>
          </cell>
        </row>
        <row r="15254">
          <cell r="B15254" t="str">
            <v>27010613002001</v>
          </cell>
          <cell r="C15254" t="str">
            <v>PRO ESP SOBR LIN -Â  TCR                2NC</v>
          </cell>
        </row>
        <row r="15255">
          <cell r="B15255" t="str">
            <v>27010613002002</v>
          </cell>
          <cell r="C15255" t="str">
            <v>PRO GEN SOBR LIN -Â  TCR                2NC</v>
          </cell>
        </row>
        <row r="15256">
          <cell r="B15256" t="str">
            <v>27020200000101</v>
          </cell>
          <cell r="C15256" t="str">
            <v>PROV LITIGIOS Y DEMANDAS                2NC</v>
          </cell>
        </row>
        <row r="15257">
          <cell r="B15257" t="str">
            <v>27020501000101</v>
          </cell>
          <cell r="C15257" t="str">
            <v>DEPOSITOS EN EL EXTERIOR                2NC</v>
          </cell>
        </row>
        <row r="15258">
          <cell r="B15258" t="str">
            <v>27020504010101</v>
          </cell>
          <cell r="C15258" t="str">
            <v>CREDITOS DIRECTOS                       2NC</v>
          </cell>
        </row>
        <row r="15259">
          <cell r="B15259" t="str">
            <v>27020504010102</v>
          </cell>
          <cell r="C15259" t="str">
            <v>CRÃ‰DITOS DIRECTOS MYPE                 2NC</v>
          </cell>
        </row>
        <row r="15260">
          <cell r="B15260" t="str">
            <v>27020504010103</v>
          </cell>
          <cell r="C15260" t="str">
            <v>CRÃ‰DITOS DIRECTOS COMERCIAL            2NC</v>
          </cell>
        </row>
        <row r="15261">
          <cell r="B15261" t="str">
            <v>27020504010104</v>
          </cell>
          <cell r="C15261" t="str">
            <v>CRÃ‰DITOS DIRECTOS CONSUMO              2NC</v>
          </cell>
        </row>
        <row r="15262">
          <cell r="B15262" t="str">
            <v>27020504010105</v>
          </cell>
          <cell r="C15262" t="str">
            <v>CRÃ‰DITOS DIRECTOS HIPOTECARIO          2NC</v>
          </cell>
        </row>
        <row r="15263">
          <cell r="B15263" t="str">
            <v>27020504020101</v>
          </cell>
          <cell r="C15263" t="str">
            <v>CREDITOS INDIRECTOS                     2NC</v>
          </cell>
        </row>
        <row r="15264">
          <cell r="B15264" t="str">
            <v>27020504020102</v>
          </cell>
          <cell r="C15264" t="str">
            <v>CRÃ‰DITOS INDIRECTOS MYPE               2NC</v>
          </cell>
        </row>
        <row r="15265">
          <cell r="B15265" t="str">
            <v>27020504020103</v>
          </cell>
          <cell r="C15265" t="str">
            <v>CRÃ‰DITOS INDIRECTOS COMERCIAL          2NC</v>
          </cell>
        </row>
        <row r="15266">
          <cell r="B15266" t="str">
            <v>27020504020104</v>
          </cell>
          <cell r="C15266" t="str">
            <v>CRÃ‰DITOS INDIRECTOS CONSUMO            2NC</v>
          </cell>
        </row>
        <row r="15267">
          <cell r="B15267" t="str">
            <v>27020504020105</v>
          </cell>
          <cell r="C15267" t="str">
            <v>CRÃ‰DITOS INDIRECTOS HIPOTECARIO        2NC</v>
          </cell>
        </row>
        <row r="15268">
          <cell r="B15268" t="str">
            <v>27020505000101</v>
          </cell>
          <cell r="C15268" t="str">
            <v>CUENTAS POR COBRAR                      2NC</v>
          </cell>
        </row>
        <row r="15269">
          <cell r="B15269" t="str">
            <v>27020505040101</v>
          </cell>
          <cell r="C15269" t="str">
            <v>PROV RIESGO PAIS OTRAS CTAS X COBRAR    2NC</v>
          </cell>
        </row>
        <row r="15270">
          <cell r="B15270" t="str">
            <v>27020507000101</v>
          </cell>
          <cell r="C15270" t="str">
            <v>INVERSIONES PERMANENTES                 2NC</v>
          </cell>
        </row>
        <row r="15271">
          <cell r="B15271" t="str">
            <v>27020900000101</v>
          </cell>
          <cell r="C15271" t="str">
            <v>BL OTRAS PROVISIONES                    2NC</v>
          </cell>
        </row>
        <row r="15272">
          <cell r="B15272" t="str">
            <v>27020900000102</v>
          </cell>
          <cell r="C15272" t="str">
            <v>BL PROV CTS                             2NC</v>
          </cell>
        </row>
        <row r="15273">
          <cell r="B15273" t="str">
            <v>27020900000103</v>
          </cell>
          <cell r="C15273" t="str">
            <v>OTRAS PROVISIONES                       2NC</v>
          </cell>
        </row>
        <row r="15274">
          <cell r="B15274" t="str">
            <v>27020900000104</v>
          </cell>
          <cell r="C15274" t="str">
            <v>PROV CONTINGENCIAS LEGALES Y LABORALES  2NC</v>
          </cell>
        </row>
        <row r="15275">
          <cell r="B15275" t="str">
            <v>27020900000107</v>
          </cell>
          <cell r="C15275" t="str">
            <v>OTRAS PROVISIONES RANSA                 2NC</v>
          </cell>
        </row>
        <row r="15276">
          <cell r="B15276" t="str">
            <v>27020900000108</v>
          </cell>
          <cell r="C15276" t="str">
            <v>PROV CONTINGENCIAS TRIBUTARIAS          2NC</v>
          </cell>
        </row>
        <row r="15277">
          <cell r="B15277" t="str">
            <v>28010100000101</v>
          </cell>
          <cell r="C15277" t="str">
            <v>BONOS SENIOR UNSECURED 2023             2NC</v>
          </cell>
        </row>
        <row r="15278">
          <cell r="B15278" t="str">
            <v>28010100000102</v>
          </cell>
          <cell r="C15278" t="str">
            <v>EXCHANGE BONOS SENIOR 2023              2NC</v>
          </cell>
        </row>
        <row r="15279">
          <cell r="B15279" t="str">
            <v>28010100000103</v>
          </cell>
          <cell r="C15279" t="str">
            <v>INGRESO POR DIFERIR EXCHANGE 2023       2NC</v>
          </cell>
        </row>
        <row r="15280">
          <cell r="B15280" t="str">
            <v>28010100000104</v>
          </cell>
          <cell r="C15280" t="str">
            <v>BONOS 2DO PROG 5TA EMISION SERIE A      2NC</v>
          </cell>
        </row>
        <row r="15281">
          <cell r="B15281" t="str">
            <v>28010100000105</v>
          </cell>
          <cell r="C15281" t="str">
            <v>AJUSTE VAC-BONOS 2DO PROG 5TA EMISION SE2NC</v>
          </cell>
        </row>
        <row r="15282">
          <cell r="B15282" t="str">
            <v>28010100000106</v>
          </cell>
          <cell r="C15282" t="str">
            <v>BONO CORPORATIVO SOLES 2026             2NC</v>
          </cell>
        </row>
        <row r="15283">
          <cell r="B15283" t="str">
            <v>28010100000107</v>
          </cell>
          <cell r="C15283" t="str">
            <v>BONO CORPORATIVO US.D 2026              2NC</v>
          </cell>
        </row>
        <row r="15284">
          <cell r="B15284" t="str">
            <v>28010100000108</v>
          </cell>
          <cell r="C15284" t="str">
            <v>MDC. NOMINAL BONO BONO CORPORATIVO 2030 2 C</v>
          </cell>
        </row>
        <row r="15285">
          <cell r="B15285" t="str">
            <v>28010100000801</v>
          </cell>
          <cell r="C15285" t="str">
            <v>PAN  BONOS CORRIENTES                   2NC</v>
          </cell>
        </row>
        <row r="15286">
          <cell r="B15286" t="str">
            <v>28010100000802</v>
          </cell>
          <cell r="C15286" t="str">
            <v>PAN  BONOS CORRIENTES 2DA EMISION       2NC</v>
          </cell>
        </row>
        <row r="15287">
          <cell r="B15287" t="str">
            <v>28010100000803</v>
          </cell>
          <cell r="C15287" t="str">
            <v>PAN BONOS CORRIENTES 2DA EMISION        2NC</v>
          </cell>
        </row>
        <row r="15288">
          <cell r="B15288" t="str">
            <v>28020200000101</v>
          </cell>
          <cell r="C15288" t="str">
            <v>BONOS SUBORD.5TA Y 6TA EMISION          2NC</v>
          </cell>
        </row>
        <row r="15289">
          <cell r="B15289" t="str">
            <v>28020200000102</v>
          </cell>
          <cell r="C15289" t="str">
            <v>PRIMER PROGRAMA B.SUBOR.3RA EMISION V   2NC</v>
          </cell>
        </row>
        <row r="15290">
          <cell r="B15290" t="str">
            <v>28020200000103</v>
          </cell>
          <cell r="C15290" t="str">
            <v>PROVISION AJUSTE VAC - COMPUTABLE       2NC</v>
          </cell>
        </row>
        <row r="15291">
          <cell r="B15291" t="str">
            <v>28020200000104</v>
          </cell>
          <cell r="C15291" t="str">
            <v>PRIMER PROGRAMA B. SUBORDINADOS 2DA E   2NC</v>
          </cell>
        </row>
        <row r="15292">
          <cell r="B15292" t="str">
            <v>28020200000105</v>
          </cell>
          <cell r="C15292" t="str">
            <v>BONOS SUBORDINADOS 5TA EMISION          2NC</v>
          </cell>
        </row>
        <row r="15293">
          <cell r="B15293" t="str">
            <v>28020200000106</v>
          </cell>
          <cell r="C15293" t="str">
            <v>BONOS SUBORDINADOS REDIMIBLES 1RA EMI   2NC</v>
          </cell>
        </row>
        <row r="15294">
          <cell r="B15294" t="str">
            <v>28020200000107</v>
          </cell>
          <cell r="C15294" t="str">
            <v>BONO SUBORDINADO COMPUTABLE             2NC</v>
          </cell>
        </row>
        <row r="15295">
          <cell r="B15295" t="str">
            <v>28020200000108</v>
          </cell>
          <cell r="C15295" t="str">
            <v>BONOS SUBORDINADOS 8VA EMIS CAPITAL     2NC</v>
          </cell>
        </row>
        <row r="15296">
          <cell r="B15296" t="str">
            <v>28020200000109</v>
          </cell>
          <cell r="C15296" t="str">
            <v>BONOS SUBORD 2DO PROG 2DA EM SERIE A    2NC</v>
          </cell>
        </row>
        <row r="15297">
          <cell r="B15297" t="str">
            <v>28020200000110</v>
          </cell>
          <cell r="C15297" t="str">
            <v>BONOS SUBORDINADOS SEG PROG TERCERA EMIS2NC</v>
          </cell>
        </row>
        <row r="15298">
          <cell r="B15298" t="str">
            <v>28020200000111</v>
          </cell>
          <cell r="C15298" t="str">
            <v>BONOS SUBORDINADOS REDIMIBLES 6.625%    2NC</v>
          </cell>
        </row>
        <row r="15299">
          <cell r="B15299" t="str">
            <v>28020200000112</v>
          </cell>
          <cell r="C15299" t="str">
            <v>BONO SUBORDINADO REDIMIBLE 2020 USD 300M2NC</v>
          </cell>
        </row>
        <row r="15300">
          <cell r="B15300" t="str">
            <v>28020200000802</v>
          </cell>
          <cell r="C15300" t="str">
            <v>PAN  BONOS SUBORDINADOS                 2NC</v>
          </cell>
        </row>
        <row r="15301">
          <cell r="B15301" t="str">
            <v>28020201000105</v>
          </cell>
          <cell r="C15301" t="str">
            <v>PRIMER PROGRAMA B.SUBORD 3RA EMIS VAC   2NC</v>
          </cell>
        </row>
        <row r="15302">
          <cell r="B15302" t="str">
            <v>28020201000106</v>
          </cell>
          <cell r="C15302" t="str">
            <v>PROVISION AJUSTE VAC - COMPUTABLE       2NC</v>
          </cell>
        </row>
        <row r="15303">
          <cell r="B15303" t="str">
            <v>28020201000108</v>
          </cell>
          <cell r="C15303" t="str">
            <v>PRIMER PROGRAMA B. SUBORDINADOS 2DA E   2NC</v>
          </cell>
        </row>
        <row r="15304">
          <cell r="B15304" t="str">
            <v>28020203000101</v>
          </cell>
          <cell r="C15304" t="str">
            <v>BONOS SUBORDINADOS 5TA EMISION          2NC</v>
          </cell>
        </row>
        <row r="15305">
          <cell r="B15305" t="str">
            <v>28020203000104</v>
          </cell>
          <cell r="C15305" t="str">
            <v>BONOS SUBORDINADOS REDIMIBLES 1RA EMI   2NC</v>
          </cell>
        </row>
        <row r="15306">
          <cell r="B15306" t="str">
            <v>28020203000105</v>
          </cell>
          <cell r="C15306" t="str">
            <v>BONO SUBORDINADO REDIMIBLE 2020 USD 300M2NC</v>
          </cell>
        </row>
        <row r="15307">
          <cell r="B15307" t="str">
            <v>28020203000106</v>
          </cell>
          <cell r="C15307" t="str">
            <v>MDC NOMINAL BONO SUBORDINADO IBK 7.625% 2NC</v>
          </cell>
        </row>
        <row r="15308">
          <cell r="B15308" t="str">
            <v>28020203000107</v>
          </cell>
          <cell r="C15308" t="str">
            <v>MDC. NOMINAL BONO SUBORDINADO 2035      2 C</v>
          </cell>
        </row>
        <row r="15309">
          <cell r="B15309" t="str">
            <v>28020300000101</v>
          </cell>
          <cell r="C15309" t="str">
            <v>BONOS SUBORD.5TA Y 6TA EMISION          2NC</v>
          </cell>
        </row>
        <row r="15310">
          <cell r="B15310" t="str">
            <v>28020300000108</v>
          </cell>
          <cell r="C15310" t="str">
            <v>BONOS SUBORDINADOS 8VA EMIS CAPITAL     2NC</v>
          </cell>
        </row>
        <row r="15311">
          <cell r="B15311" t="str">
            <v>28020300000109</v>
          </cell>
          <cell r="C15311" t="str">
            <v>BONOS SUBORD 2DO PROG 2DA EM SERIE A    2NC</v>
          </cell>
        </row>
        <row r="15312">
          <cell r="B15312" t="str">
            <v>28020300000110</v>
          </cell>
          <cell r="C15312" t="str">
            <v>BONOS SUBORDINADOS SEG PROG TERCERA EMIS2NC</v>
          </cell>
        </row>
        <row r="15313">
          <cell r="B15313" t="str">
            <v>28040100000401</v>
          </cell>
          <cell r="C15313" t="str">
            <v>2DO PROGRAMA BAF                        2NC</v>
          </cell>
        </row>
        <row r="15314">
          <cell r="B15314" t="str">
            <v>28050100000101</v>
          </cell>
          <cell r="C15314" t="str">
            <v>BONOS HIPOTECARIOS-PRIMERA EMISION      2NC</v>
          </cell>
        </row>
        <row r="15315">
          <cell r="B15315" t="str">
            <v>28050100000102</v>
          </cell>
          <cell r="C15315" t="str">
            <v>BONOS HIPOTECARIOS-SEGUNDA EMISION      2NC</v>
          </cell>
        </row>
        <row r="15316">
          <cell r="B15316" t="str">
            <v>28070300000101</v>
          </cell>
          <cell r="C15316" t="str">
            <v>CERT DEPÃ“SITO 1ER PROG 1ERA EMISION    2NC</v>
          </cell>
        </row>
        <row r="15317">
          <cell r="B15317" t="str">
            <v>28070300000102</v>
          </cell>
          <cell r="C15317" t="str">
            <v>MDC.CDN 2DO PROG 1ERA EMISION           2NC</v>
          </cell>
        </row>
        <row r="15318">
          <cell r="B15318" t="str">
            <v>28070300000103</v>
          </cell>
          <cell r="C15318" t="str">
            <v>MDC.CDN 2DO PROG 2DA EMISION            2NC</v>
          </cell>
        </row>
        <row r="15319">
          <cell r="B15319" t="str">
            <v>28070300000104</v>
          </cell>
          <cell r="C15319" t="str">
            <v>MDC.CDN 2DO PROG 3RA EMISION            2 C</v>
          </cell>
        </row>
        <row r="15320">
          <cell r="B15320" t="str">
            <v>28070300000105</v>
          </cell>
          <cell r="C15320" t="str">
            <v>MDC.CDN 2DO PROG 4TA EMISION            2NC</v>
          </cell>
        </row>
        <row r="15321">
          <cell r="B15321" t="str">
            <v>28070300000106</v>
          </cell>
          <cell r="C15321" t="str">
            <v>MDC CDN 2DO PROG 5TA EMISION            2 C</v>
          </cell>
        </row>
        <row r="15322">
          <cell r="B15322" t="str">
            <v>28080100000101</v>
          </cell>
          <cell r="C15322" t="str">
            <v>INT POR PAGAR BONOS SENIOR UNSECURED 2022NC</v>
          </cell>
        </row>
        <row r="15323">
          <cell r="B15323" t="str">
            <v>28080100000102</v>
          </cell>
          <cell r="C15323" t="str">
            <v>INT POR PAGAR EXCHANGE BONOS SENIOR 20232NC</v>
          </cell>
        </row>
        <row r="15324">
          <cell r="B15324" t="str">
            <v>28080100000103</v>
          </cell>
          <cell r="C15324" t="str">
            <v>INT BONOS 2DO PROG 5TA EMISION SERIE A  2NC</v>
          </cell>
        </row>
        <row r="15325">
          <cell r="B15325" t="str">
            <v>28080100000104</v>
          </cell>
          <cell r="C15325" t="str">
            <v>BONO CORPORATIVO SOLES 2026             2NC</v>
          </cell>
        </row>
        <row r="15326">
          <cell r="B15326" t="str">
            <v>28080100000105</v>
          </cell>
          <cell r="C15326" t="str">
            <v>BONO CORPORATIVO US.D 2026              2NC</v>
          </cell>
        </row>
        <row r="15327">
          <cell r="B15327" t="str">
            <v>28080100000106</v>
          </cell>
          <cell r="C15327" t="str">
            <v>MDC. INTERES BONO BONO CORPORATIVO 2030 2 C</v>
          </cell>
        </row>
        <row r="15328">
          <cell r="B15328" t="str">
            <v>28080100000801</v>
          </cell>
          <cell r="C15328" t="str">
            <v>PAN VALOR BONOS SENIOR                  2NC</v>
          </cell>
        </row>
        <row r="15329">
          <cell r="B15329" t="str">
            <v>28080100000802</v>
          </cell>
          <cell r="C15329" t="str">
            <v>PAN VALOR BONOS SENIOR 2DA EMISION      2NC</v>
          </cell>
        </row>
        <row r="15330">
          <cell r="B15330" t="str">
            <v>28080200000105</v>
          </cell>
          <cell r="C15330" t="str">
            <v>PRIMER PROGRAMA B. SUBORDINADOS 2DA E   2NC</v>
          </cell>
        </row>
        <row r="15331">
          <cell r="B15331" t="str">
            <v>28080200000107</v>
          </cell>
          <cell r="C15331" t="str">
            <v>INTERES DE BONO SUBORDINADO COMPUTABLE  2NC</v>
          </cell>
        </row>
        <row r="15332">
          <cell r="B15332" t="str">
            <v>28080200000108</v>
          </cell>
          <cell r="C15332" t="str">
            <v>BONOS SUBORDINADOS 8VA EMIS PROVISION   2NC</v>
          </cell>
        </row>
        <row r="15333">
          <cell r="B15333" t="str">
            <v>28080200000109</v>
          </cell>
          <cell r="C15333" t="str">
            <v>INT BONOS SUBORD 2DO PROG 2DA EM SERIE A2NC</v>
          </cell>
        </row>
        <row r="15334">
          <cell r="B15334" t="str">
            <v>28080200000110</v>
          </cell>
          <cell r="C15334" t="str">
            <v>INT BONOS SUBORDINADOS SEG PROG TERCERA 2NC</v>
          </cell>
        </row>
        <row r="15335">
          <cell r="B15335" t="str">
            <v>28080200000111</v>
          </cell>
          <cell r="C15335" t="str">
            <v>INT BONOS SUBORDINADOS REDIMIBLES 6.625%2NC</v>
          </cell>
        </row>
        <row r="15336">
          <cell r="B15336" t="str">
            <v>28080200000112</v>
          </cell>
          <cell r="C15336" t="str">
            <v>INTERESES BONO SUB RED 2020 USD 300MM   2NC</v>
          </cell>
        </row>
        <row r="15337">
          <cell r="B15337" t="str">
            <v>28080200000401</v>
          </cell>
          <cell r="C15337" t="str">
            <v>BONOS SUBORDINADOS 5TA EMISION          2NC</v>
          </cell>
        </row>
        <row r="15338">
          <cell r="B15338" t="str">
            <v>28080200000501</v>
          </cell>
          <cell r="C15338" t="str">
            <v>INT BONOS SUBORD REDIMIBL 1RA EMISION   2NC</v>
          </cell>
        </row>
        <row r="15339">
          <cell r="B15339" t="str">
            <v>28080200000502</v>
          </cell>
          <cell r="C15339" t="str">
            <v>PROVISION DE INTERESES                  2NC</v>
          </cell>
        </row>
        <row r="15340">
          <cell r="B15340" t="str">
            <v>28080200000801</v>
          </cell>
          <cell r="C15340" t="str">
            <v>PAN VALOR BONOS HIBRIDOS                2NC</v>
          </cell>
        </row>
        <row r="15341">
          <cell r="B15341" t="str">
            <v>28080202000102</v>
          </cell>
          <cell r="C15341" t="str">
            <v>INT BONOS SUBORDINADOS SEG PROG TERCERA 2 C</v>
          </cell>
        </row>
        <row r="15342">
          <cell r="B15342" t="str">
            <v>28080202000103</v>
          </cell>
          <cell r="C15342" t="str">
            <v>INT BONOS SUBORDINADOS REDIMIBLES 6.625%2 C</v>
          </cell>
        </row>
        <row r="15343">
          <cell r="B15343" t="str">
            <v>28080202000104</v>
          </cell>
          <cell r="C15343" t="str">
            <v>INTERESES BONO SUB RED 2020 USD 300MM   2 C</v>
          </cell>
        </row>
        <row r="15344">
          <cell r="B15344" t="str">
            <v>28080202000106</v>
          </cell>
          <cell r="C15344" t="str">
            <v>MDC INTERES BONO SUBORDINADO IBK 7.625% 2 C</v>
          </cell>
        </row>
        <row r="15345">
          <cell r="B15345" t="str">
            <v>28080202000107</v>
          </cell>
          <cell r="C15345" t="str">
            <v>MDC. INTERES BONO SUBORDINADO 2035      2 C</v>
          </cell>
        </row>
        <row r="15346">
          <cell r="B15346" t="str">
            <v>28080400000101</v>
          </cell>
          <cell r="C15346" t="str">
            <v>INTERESES BAF- QUINTA EMISION           2NC</v>
          </cell>
        </row>
        <row r="15347">
          <cell r="B15347" t="str">
            <v>28080400000401</v>
          </cell>
          <cell r="C15347" t="str">
            <v>2DO PROGRAMA BAF                        2NC</v>
          </cell>
        </row>
        <row r="15348">
          <cell r="B15348" t="str">
            <v>28080500000101</v>
          </cell>
          <cell r="C15348" t="str">
            <v>INT BONOS HIPOTECARIOS-PRIMERA EMISIO   2NC</v>
          </cell>
        </row>
        <row r="15349">
          <cell r="B15349" t="str">
            <v>28080500000102</v>
          </cell>
          <cell r="C15349" t="str">
            <v>INT BONOS HIPOTECARIOS-SEGUNDA EMISIO   2NC</v>
          </cell>
        </row>
        <row r="15350">
          <cell r="B15350" t="str">
            <v>28080700000101</v>
          </cell>
          <cell r="C15350" t="str">
            <v>INT CERT DEPÃ“SITO 1ER PROG 1ERA EMISION2NC</v>
          </cell>
        </row>
        <row r="15351">
          <cell r="B15351" t="str">
            <v>28080700000102</v>
          </cell>
          <cell r="C15351" t="str">
            <v>MDC.INT POR PAGAR CDN 2DO PROG 1ERA EMIS2NC</v>
          </cell>
        </row>
        <row r="15352">
          <cell r="B15352" t="str">
            <v>28090700000226</v>
          </cell>
          <cell r="C15352" t="str">
            <v>OP PERSONALES - CONVENIOS               2YC</v>
          </cell>
        </row>
        <row r="15353">
          <cell r="B15353" t="str">
            <v>29010101000101</v>
          </cell>
          <cell r="C15353" t="str">
            <v>CL PAG.TASA VENCIDA INT.DIFER           2NC</v>
          </cell>
        </row>
        <row r="15354">
          <cell r="B15354" t="str">
            <v>29010101000102</v>
          </cell>
          <cell r="C15354" t="str">
            <v>CL D/P PAG.TASA VENCIDA INT.DIF         2NC</v>
          </cell>
        </row>
        <row r="15355">
          <cell r="B15355" t="str">
            <v>29010101000103</v>
          </cell>
          <cell r="C15355" t="str">
            <v>CL P.TASA VENCIDA MES INT.DIF           2NC</v>
          </cell>
        </row>
        <row r="15356">
          <cell r="B15356" t="str">
            <v>29010101000105</v>
          </cell>
          <cell r="C15356" t="str">
            <v>CL P.T.V.OTRO SUSPENSO INT.DIF          2NC</v>
          </cell>
        </row>
        <row r="15357">
          <cell r="B15357" t="str">
            <v>29010101000121</v>
          </cell>
          <cell r="C15357" t="str">
            <v>CL INT.DIF PAG.TV NEG.INMOB VIG         2NC</v>
          </cell>
        </row>
        <row r="15358">
          <cell r="B15358" t="str">
            <v>29010101000126</v>
          </cell>
          <cell r="C15358" t="str">
            <v>HPC INT.DIF .VIG HIPOT .TRAD.FINA       2NC</v>
          </cell>
        </row>
        <row r="15359">
          <cell r="B15359" t="str">
            <v>29010101000127</v>
          </cell>
          <cell r="C15359" t="str">
            <v>HPC COM DIF VIG HIPOT .TRAD.FINAN       2NC</v>
          </cell>
        </row>
        <row r="15360">
          <cell r="B15360" t="str">
            <v>29010101000128</v>
          </cell>
          <cell r="C15360" t="str">
            <v>HPC D/P  INT.DIF .VIG HIPOT .TRAD       2NC</v>
          </cell>
        </row>
        <row r="15361">
          <cell r="B15361" t="str">
            <v>29010101000129</v>
          </cell>
          <cell r="C15361" t="str">
            <v>HPC D/P COM DIF VIG HIPOT .TRAD.F       2NC</v>
          </cell>
        </row>
        <row r="15362">
          <cell r="B15362" t="str">
            <v>29010101000130</v>
          </cell>
          <cell r="C15362" t="str">
            <v>HPC INT.DIF .VIG HIPOT .FINAN.PRO       2NC</v>
          </cell>
        </row>
        <row r="15363">
          <cell r="B15363" t="str">
            <v>29010101000131</v>
          </cell>
          <cell r="C15363" t="str">
            <v>HPC COM DIF VIG HIPOT .FINAN.PROV       2NC</v>
          </cell>
        </row>
        <row r="15364">
          <cell r="B15364" t="str">
            <v>29010101000132</v>
          </cell>
          <cell r="C15364" t="str">
            <v>HPC D/P INT.DIF .VIG HIPOT .FINAN       2NC</v>
          </cell>
        </row>
        <row r="15365">
          <cell r="B15365" t="str">
            <v>29010101000133</v>
          </cell>
          <cell r="C15365" t="str">
            <v>HPC D/P COM DIF VIG HIPOT .FINAN.       2NC</v>
          </cell>
        </row>
        <row r="15366">
          <cell r="B15366" t="str">
            <v>29010101000134</v>
          </cell>
          <cell r="C15366" t="str">
            <v>LPC REC.PROPIOS DIFERIDO INT.DIF.VIG    2NC</v>
          </cell>
        </row>
        <row r="15367">
          <cell r="B15367" t="str">
            <v>29010101000135</v>
          </cell>
          <cell r="C15367" t="str">
            <v>LPC PRE EMBARQUE DIFERIDO INT.DIF.VIG   2NC</v>
          </cell>
        </row>
        <row r="15368">
          <cell r="B15368" t="str">
            <v>29010101000136</v>
          </cell>
          <cell r="C15368" t="str">
            <v>LPC POST EMBARQUE DIFERIDO INT.DIF.VIG  2NC</v>
          </cell>
        </row>
        <row r="15369">
          <cell r="B15369" t="str">
            <v>29010101000137</v>
          </cell>
          <cell r="C15369" t="str">
            <v>LPC IMPORTACIONES DIFERIDO INT.DIF.VIG  2NC</v>
          </cell>
        </row>
        <row r="15370">
          <cell r="B15370" t="str">
            <v>29010101000138</v>
          </cell>
          <cell r="C15370" t="str">
            <v>LPC PAGARÃ‰ INMOBILIARIO INT.DIF.VIG    2NC</v>
          </cell>
        </row>
        <row r="15371">
          <cell r="B15371" t="str">
            <v>29010101000139</v>
          </cell>
          <cell r="C15371" t="str">
            <v>LPC MEDIANO PLAZO DIFERIDO INT.DIF.VIG  2NC</v>
          </cell>
        </row>
        <row r="15372">
          <cell r="B15372" t="str">
            <v>29010101000140</v>
          </cell>
          <cell r="C15372" t="str">
            <v>DIFERIDOS COMERCIAL REPROG. EN SUSPENSO 2NC</v>
          </cell>
        </row>
        <row r="15373">
          <cell r="B15373" t="str">
            <v>29010101000166</v>
          </cell>
          <cell r="C15373" t="str">
            <v>HPC DP INT.DIF .VIG TC FINAN.PROV.REFIN 2NC</v>
          </cell>
        </row>
        <row r="15374">
          <cell r="B15374" t="str">
            <v>29010101000167</v>
          </cell>
          <cell r="C15374" t="str">
            <v>HPC  INT.DIF .VIG CRED VEHIC FINAN.PROV.2NC</v>
          </cell>
        </row>
        <row r="15375">
          <cell r="B15375" t="str">
            <v>29010101000168</v>
          </cell>
          <cell r="C15375" t="str">
            <v>HPC DP INT.DIF .VIG CRED VEHIC FINAN.PRO2NC</v>
          </cell>
        </row>
        <row r="15376">
          <cell r="B15376" t="str">
            <v>29010101000169</v>
          </cell>
          <cell r="C15376" t="str">
            <v>HPC  INT.DIF .VIG CRED EFECT FINAN.PROV.2NC</v>
          </cell>
        </row>
        <row r="15377">
          <cell r="B15377" t="str">
            <v>29010101000170</v>
          </cell>
          <cell r="C15377" t="str">
            <v>HPC DP INT.DIF .VIG CRED EFECT FINAN.PRO2NC</v>
          </cell>
        </row>
        <row r="15378">
          <cell r="B15378" t="str">
            <v>29010101000171</v>
          </cell>
          <cell r="C15378" t="str">
            <v>HPC INT.DIF .VIG LIC CONVENIO PROV.REFIN2NC</v>
          </cell>
        </row>
        <row r="15379">
          <cell r="B15379" t="str">
            <v>29010101000172</v>
          </cell>
          <cell r="C15379" t="str">
            <v>HPC DP INT.DIF .VIG LIC CONVENIO PROV.RE2NC</v>
          </cell>
        </row>
        <row r="15380">
          <cell r="B15380" t="str">
            <v>29010101000173</v>
          </cell>
          <cell r="C15380" t="str">
            <v>LIC.INT.DIF.CRED.REENG                  2NC</v>
          </cell>
        </row>
        <row r="15381">
          <cell r="B15381" t="str">
            <v>29010101000174</v>
          </cell>
          <cell r="C15381" t="str">
            <v>HPC.INT.DIF.CRED.REENG                  2NC</v>
          </cell>
        </row>
        <row r="15382">
          <cell r="B15382" t="str">
            <v>29010101000175</v>
          </cell>
          <cell r="C15382" t="str">
            <v>HPC COM.DIF CRED VEH PROV REF           2NC</v>
          </cell>
        </row>
        <row r="15383">
          <cell r="B15383" t="str">
            <v>29010101000176</v>
          </cell>
          <cell r="C15383" t="str">
            <v>HPC INT.DIF CRED VEH PROV REF VIG       2NC</v>
          </cell>
        </row>
        <row r="15384">
          <cell r="B15384" t="str">
            <v>29010101000203</v>
          </cell>
          <cell r="C15384" t="str">
            <v>TC INT DIFERIDO COMPRA CUOTAS VIG       2NC</v>
          </cell>
        </row>
        <row r="15385">
          <cell r="B15385" t="str">
            <v>29010101000204</v>
          </cell>
          <cell r="C15385" t="str">
            <v>TC INT DIFERIDO D/E CUOTAS VIG          2NC</v>
          </cell>
        </row>
        <row r="15386">
          <cell r="B15386" t="str">
            <v>29010101000205</v>
          </cell>
          <cell r="C15386" t="str">
            <v>TC INT DIFERIDO EXTRACASH VIG           2NC</v>
          </cell>
        </row>
        <row r="15387">
          <cell r="B15387" t="str">
            <v>29010101000206</v>
          </cell>
          <cell r="C15387" t="str">
            <v>TC INT DIFERIDO CDEUDA REV VIG          2NC</v>
          </cell>
        </row>
        <row r="15388">
          <cell r="B15388" t="str">
            <v>29010101000207</v>
          </cell>
          <cell r="C15388" t="str">
            <v>TC INT DIFERIDO CDEUDA PAR VIG          2NC</v>
          </cell>
        </row>
        <row r="15389">
          <cell r="B15389" t="str">
            <v>29010101000301</v>
          </cell>
          <cell r="C15389" t="str">
            <v>HPC INT.DIF .VIG TC FINAN.PROV.REFIN    2NC</v>
          </cell>
        </row>
        <row r="15390">
          <cell r="B15390" t="str">
            <v>29010101000302</v>
          </cell>
          <cell r="C15390" t="str">
            <v>HPC COM DIF VIG TC FINAN.PROV.REFIN     2NC</v>
          </cell>
        </row>
        <row r="15391">
          <cell r="B15391" t="str">
            <v>29010101000303</v>
          </cell>
          <cell r="C15391" t="str">
            <v>HPC COM DIF VIG LIC CONVENIO PROV.REFIN 2NC</v>
          </cell>
        </row>
        <row r="15392">
          <cell r="B15392" t="str">
            <v>29010101000304</v>
          </cell>
          <cell r="C15392" t="str">
            <v>HPC DP COM DIF VIG LIC CONVENIO PROV.REF2NC</v>
          </cell>
        </row>
        <row r="15393">
          <cell r="B15393" t="str">
            <v>29010101000366</v>
          </cell>
          <cell r="C15393" t="str">
            <v>HPC DP COM DIF VIG TC FINAN.PROV.REFIN  2NC</v>
          </cell>
        </row>
        <row r="15394">
          <cell r="B15394" t="str">
            <v>29010101000367</v>
          </cell>
          <cell r="C15394" t="str">
            <v>HPC COM DIF VIG CRED VEHIC FINAN.PROV.RE2NC</v>
          </cell>
        </row>
        <row r="15395">
          <cell r="B15395" t="str">
            <v>29010101000368</v>
          </cell>
          <cell r="C15395" t="str">
            <v>HPC DP COM DIF VIG CRED VEHIC FINAN.PROV2NC</v>
          </cell>
        </row>
        <row r="15396">
          <cell r="B15396" t="str">
            <v>29010101000369</v>
          </cell>
          <cell r="C15396" t="str">
            <v>HPC COM DIF VIG CRED EFECT FINAN.PROV.RE2NC</v>
          </cell>
        </row>
        <row r="15397">
          <cell r="B15397" t="str">
            <v>29010101000370</v>
          </cell>
          <cell r="C15397" t="str">
            <v>HPC DP COM DIF VIG CRED EFECT FINAN.PROV2NC</v>
          </cell>
        </row>
        <row r="15398">
          <cell r="B15398" t="str">
            <v>29010101000401</v>
          </cell>
          <cell r="C15398" t="str">
            <v>MYP CAP.VIG.FIN. CAP. TRABÂ  PRO.REFIN  2NC</v>
          </cell>
        </row>
        <row r="15399">
          <cell r="B15399" t="str">
            <v>29010101000402</v>
          </cell>
          <cell r="C15399" t="str">
            <v>MYP CAP.VIG CAP. TRAB. CMED PRO.REFIN   2NC</v>
          </cell>
        </row>
        <row r="15400">
          <cell r="B15400" t="str">
            <v>29010101000403</v>
          </cell>
          <cell r="C15400" t="str">
            <v>MYP CAP.VIG CAP. TRAB. CPEM PRO.REFIN   2NC</v>
          </cell>
        </row>
        <row r="15401">
          <cell r="B15401" t="str">
            <v>29010101000404</v>
          </cell>
          <cell r="C15401" t="str">
            <v>MYP INTDIFLINEA REVOLV PROVREFCMED      2NC</v>
          </cell>
        </row>
        <row r="15402">
          <cell r="B15402" t="str">
            <v>29010101000405</v>
          </cell>
          <cell r="C15402" t="str">
            <v>MYP INTDIFLINEA REVOLV PROVREFCMIE      2NC</v>
          </cell>
        </row>
        <row r="15403">
          <cell r="B15403" t="str">
            <v>29010101000406</v>
          </cell>
          <cell r="C15403" t="str">
            <v>MYP INTDIFLINEA REVOLV PROVREFCPEM      2NC</v>
          </cell>
        </row>
        <row r="15404">
          <cell r="B15404" t="str">
            <v>29010101000407</v>
          </cell>
          <cell r="C15404" t="str">
            <v>MYP INT.DIF.CAP.TRAB.REUT.CMED          2NC</v>
          </cell>
        </row>
        <row r="15405">
          <cell r="B15405" t="str">
            <v>29010101000408</v>
          </cell>
          <cell r="C15405" t="str">
            <v>MYP INT.DIF.CAP.TRAB.REUT.CMIE          2NC</v>
          </cell>
        </row>
        <row r="15406">
          <cell r="B15406" t="str">
            <v>29010101000409</v>
          </cell>
          <cell r="C15406" t="str">
            <v>MYP INT.DIF.CAP.TRAB.REUT.CPEM          2NC</v>
          </cell>
        </row>
        <row r="15407">
          <cell r="B15407" t="str">
            <v>29010101000410</v>
          </cell>
          <cell r="C15407" t="str">
            <v>MYP INT.DIF.LINEA REVOLV REUT.CMED      2NC</v>
          </cell>
        </row>
        <row r="15408">
          <cell r="B15408" t="str">
            <v>29010101000411</v>
          </cell>
          <cell r="C15408" t="str">
            <v>MYP INT.DIF.LINEA REVOLV REUT.CMIE      2NC</v>
          </cell>
        </row>
        <row r="15409">
          <cell r="B15409" t="str">
            <v>29010101000412</v>
          </cell>
          <cell r="C15409" t="str">
            <v>MYP INT.DIF.LINEA REVOLV REUT.CPEM      2NC</v>
          </cell>
        </row>
        <row r="15410">
          <cell r="B15410" t="str">
            <v>29010101000413</v>
          </cell>
          <cell r="C15410" t="str">
            <v>MYP DUPE CAP.VIG CAP.TRAB.CPEM PRO.REFIN2NC</v>
          </cell>
        </row>
        <row r="15411">
          <cell r="B15411" t="str">
            <v>29010101000414</v>
          </cell>
          <cell r="C15411" t="str">
            <v>MYP DUPE CAP.VIG LIN.REVOL.REUT. CPEM   2NC</v>
          </cell>
        </row>
        <row r="15412">
          <cell r="B15412" t="str">
            <v>29010101000415</v>
          </cell>
          <cell r="C15412" t="str">
            <v>MYP DUPE CAP.VIG LIN.REVOL.REUT. CMED   2NC</v>
          </cell>
        </row>
        <row r="15413">
          <cell r="B15413" t="str">
            <v>29010101000416</v>
          </cell>
          <cell r="C15413" t="str">
            <v>MYP DUPE VIG-VENC MYP INT.DIF.CAP.TRAB.R2NC</v>
          </cell>
        </row>
        <row r="15414">
          <cell r="B15414" t="str">
            <v>29010101000417</v>
          </cell>
          <cell r="C15414" t="str">
            <v>MYP DUPE CAP.VIG CAP.TRAB.CMED PRO.REFIN2NC</v>
          </cell>
        </row>
        <row r="15415">
          <cell r="B15415" t="str">
            <v>29010101000418</v>
          </cell>
          <cell r="C15415" t="str">
            <v>MYP DUPE INTDIFLINEA REVOLV PROVREFCMIE 2NC</v>
          </cell>
        </row>
        <row r="15416">
          <cell r="B15416" t="str">
            <v>29010101000501</v>
          </cell>
          <cell r="C15416" t="str">
            <v>SAT REPROG E 2017                       2NC</v>
          </cell>
        </row>
        <row r="15417">
          <cell r="B15417" t="str">
            <v>29010101000502</v>
          </cell>
          <cell r="C15417" t="str">
            <v>CDO REPROG E 2017                       2NC</v>
          </cell>
        </row>
        <row r="15418">
          <cell r="B15418" t="str">
            <v>29010101000503</v>
          </cell>
          <cell r="C15418" t="str">
            <v>HPC REPROG E 2017                       2NC</v>
          </cell>
        </row>
        <row r="15419">
          <cell r="B15419" t="str">
            <v>29010101000504</v>
          </cell>
          <cell r="C15419" t="str">
            <v>LIC REPROG E 2017                       2NC</v>
          </cell>
        </row>
        <row r="15420">
          <cell r="B15420" t="str">
            <v>29010101000505</v>
          </cell>
          <cell r="C15420" t="str">
            <v>MYP REPROG E 2017                       2NC</v>
          </cell>
        </row>
        <row r="15421">
          <cell r="B15421" t="str">
            <v>29010101000506</v>
          </cell>
          <cell r="C15421" t="str">
            <v>CDO REPROG INT Y COM VIGENTES EN TC     2NC</v>
          </cell>
        </row>
        <row r="15422">
          <cell r="B15422" t="str">
            <v>29010101000507</v>
          </cell>
          <cell r="C15422" t="str">
            <v>MYP INT.DIF.CAP.TRAB.REUT.CMIE DUPE     2NC</v>
          </cell>
        </row>
        <row r="15423">
          <cell r="B15423" t="str">
            <v>29010101000509</v>
          </cell>
          <cell r="C15423" t="str">
            <v>LPC MEDIANO PLAZO COVID-19  INT.DIF.VIG 2NC</v>
          </cell>
        </row>
        <row r="15424">
          <cell r="B15424" t="str">
            <v>29010101000510</v>
          </cell>
          <cell r="C15424" t="str">
            <v>LPC REF_FINAN_ESPECIALES_DIFE CCOR COVID2NC</v>
          </cell>
        </row>
        <row r="15425">
          <cell r="B15425" t="str">
            <v>29010101000511</v>
          </cell>
          <cell r="C15425" t="str">
            <v>MYP INT DIF.REFINANCIADO VIG CMED       2 C</v>
          </cell>
        </row>
        <row r="15426">
          <cell r="B15426" t="str">
            <v>29010101000512</v>
          </cell>
          <cell r="C15426" t="str">
            <v>MYP INT DIF.REFINANCIADO VIG CPEM       2 C</v>
          </cell>
        </row>
        <row r="15427">
          <cell r="B15427" t="str">
            <v>29010101000513</v>
          </cell>
          <cell r="C15427" t="str">
            <v>MYP INT DIF.REFINANCIADO VIG CMIE       2 C</v>
          </cell>
        </row>
        <row r="15428">
          <cell r="B15428" t="str">
            <v>29010101000524</v>
          </cell>
          <cell r="C15428" t="str">
            <v>MYP REPROGRAMADO CIMA DIFE CMED VIG DUPE2 C</v>
          </cell>
        </row>
        <row r="15429">
          <cell r="B15429" t="str">
            <v>29010101000525</v>
          </cell>
          <cell r="C15429" t="str">
            <v>MYP REPROGRAMADO CIMA DIFE CMIE VIG DUPE2 C</v>
          </cell>
        </row>
        <row r="15430">
          <cell r="B15430" t="str">
            <v>29010101000526</v>
          </cell>
          <cell r="C15430" t="str">
            <v>MYP REPROGRAMADO CIMA DIFE CPEM VIG DUPE2 C</v>
          </cell>
        </row>
        <row r="15431">
          <cell r="B15431" t="str">
            <v>29010101000527</v>
          </cell>
          <cell r="C15431" t="str">
            <v>MYP CAPITAL DE TRAB CIMA REU DIF INT S/V2 C</v>
          </cell>
        </row>
        <row r="15432">
          <cell r="B15432" t="str">
            <v>29010101000528</v>
          </cell>
          <cell r="C15432" t="str">
            <v>MYP CAPITAL DE TRAB CIMA REU DIF INT S/V2 C</v>
          </cell>
        </row>
        <row r="15433">
          <cell r="B15433" t="str">
            <v>29010101000529</v>
          </cell>
          <cell r="C15433" t="str">
            <v>MYP CAPITAL DE TRAB CIMA REU DIF INT S/V2 C</v>
          </cell>
        </row>
        <row r="15434">
          <cell r="B15434" t="str">
            <v>29010101000530</v>
          </cell>
          <cell r="C15434" t="str">
            <v>MYP REPROG PERIODO GRACIA PARCIAL VIG CM2 C</v>
          </cell>
        </row>
        <row r="15435">
          <cell r="B15435" t="str">
            <v>29010101000531</v>
          </cell>
          <cell r="C15435" t="str">
            <v>MYP REPROG PERIODO GRACIA PARCIAL VIG CP2 C</v>
          </cell>
        </row>
        <row r="15436">
          <cell r="B15436" t="str">
            <v>29010101000532</v>
          </cell>
          <cell r="C15436" t="str">
            <v>MYP REPROG PERIODO GRACIA PARCIAL VIG CM2 C</v>
          </cell>
        </row>
        <row r="15437">
          <cell r="B15437" t="str">
            <v>29010101000533</v>
          </cell>
          <cell r="C15437" t="str">
            <v>MYP LINEA REVOL REUT.VIG CGEM DUPE      2 C</v>
          </cell>
        </row>
        <row r="15438">
          <cell r="B15438" t="str">
            <v>29010101000534</v>
          </cell>
          <cell r="C15438" t="str">
            <v>MYP LINEA REVOL REUT.VIG CCOR DUPE      2 C</v>
          </cell>
        </row>
        <row r="15439">
          <cell r="B15439" t="str">
            <v>29010101000535</v>
          </cell>
          <cell r="C15439" t="str">
            <v>MYP DUPE CAP.TRAB.REUT.VIG.CGEM   DUPE  2 C</v>
          </cell>
        </row>
        <row r="15440">
          <cell r="B15440" t="str">
            <v>29010101000536</v>
          </cell>
          <cell r="C15440" t="str">
            <v>MYP DUPE CAP.TRAB.REUT.VIG.CCOR   DUPE  2 C</v>
          </cell>
        </row>
        <row r="15441">
          <cell r="B15441" t="str">
            <v>29010101000537</v>
          </cell>
          <cell r="C15441" t="str">
            <v>CCD CREDITO REFINANCIADO_VIG DIFE       2 C</v>
          </cell>
        </row>
        <row r="15442">
          <cell r="B15442" t="str">
            <v>29010103000101</v>
          </cell>
          <cell r="C15442" t="str">
            <v>CL LETRA DSCTO.REEST.INT.DIF            2NC</v>
          </cell>
        </row>
        <row r="15443">
          <cell r="B15443" t="str">
            <v>29010103000103</v>
          </cell>
          <cell r="C15443" t="str">
            <v>CL CTA.CTE.REESTRUC.INT.DIF             2NC</v>
          </cell>
        </row>
        <row r="15444">
          <cell r="B15444" t="str">
            <v>29010103000105</v>
          </cell>
          <cell r="C15444" t="str">
            <v>CL P.TASA VEN.REEST.INT.DIF             2NC</v>
          </cell>
        </row>
        <row r="15445">
          <cell r="B15445" t="str">
            <v>29010103000110</v>
          </cell>
          <cell r="C15445" t="str">
            <v>CL P.LEASING REESTRUC.INT.DIF           2NC</v>
          </cell>
        </row>
        <row r="15446">
          <cell r="B15446" t="str">
            <v>29010103000114</v>
          </cell>
          <cell r="C15446" t="str">
            <v>CL C.CREDITO REESTR BKT INT.DIF         2NC</v>
          </cell>
        </row>
        <row r="15447">
          <cell r="B15447" t="str">
            <v>29010103000118</v>
          </cell>
          <cell r="C15447" t="str">
            <v>CL PTV.REESTRUC.COFIDE INT.DIF          2NC</v>
          </cell>
        </row>
        <row r="15448">
          <cell r="B15448" t="str">
            <v>29010103000119</v>
          </cell>
          <cell r="C15448" t="str">
            <v>INT DIF PAG TV REESTRUC RP-LPC          2NC</v>
          </cell>
        </row>
        <row r="15449">
          <cell r="B15449" t="str">
            <v>29010103000135</v>
          </cell>
          <cell r="C15449" t="str">
            <v>LPC DIF.P.REES.MED.PLZ C/FI VIG         2NC</v>
          </cell>
        </row>
        <row r="15450">
          <cell r="B15450" t="str">
            <v>29010103000137</v>
          </cell>
          <cell r="C15450" t="str">
            <v>INT  COMIS DIFERIDO CRED REESTRUCTURADO 2NC</v>
          </cell>
        </row>
        <row r="15451">
          <cell r="B15451" t="str">
            <v>29010103000509</v>
          </cell>
          <cell r="C15451" t="str">
            <v>LPC INT DIF PAG TV REESTRUC RP-MES      2NC</v>
          </cell>
        </row>
        <row r="15452">
          <cell r="B15452" t="str">
            <v>29010104000105</v>
          </cell>
          <cell r="C15452" t="str">
            <v>CL PAG.TASA VENC.REFINA.INT.DIF         2NC</v>
          </cell>
        </row>
        <row r="15453">
          <cell r="B15453" t="str">
            <v>29010104000107</v>
          </cell>
          <cell r="C15453" t="str">
            <v>INT DIFER. PAG REFINAC RP IMP CL        2NC</v>
          </cell>
        </row>
        <row r="15454">
          <cell r="B15454" t="str">
            <v>29010104000118</v>
          </cell>
          <cell r="C15454" t="str">
            <v>CL P.CONS.DEUDA BCO.REFIN.DIF           2NC</v>
          </cell>
        </row>
        <row r="15455">
          <cell r="B15455" t="str">
            <v>29010104000126</v>
          </cell>
          <cell r="C15455" t="str">
            <v>CL PAG.RFA SUBOR.REFIN.INT.DIF          2NC</v>
          </cell>
        </row>
        <row r="15456">
          <cell r="B15456" t="str">
            <v>29010104000127</v>
          </cell>
          <cell r="C15456" t="str">
            <v>LPC PAG.TV REFIN.INT.DIF.VIG            2NC</v>
          </cell>
        </row>
        <row r="15457">
          <cell r="B15457" t="str">
            <v>29010104000130</v>
          </cell>
          <cell r="C15457" t="str">
            <v>CL PAG.T.V COFIDE REFIN.INT.DIF         2NC</v>
          </cell>
        </row>
        <row r="15458">
          <cell r="B15458" t="str">
            <v>29010104000146</v>
          </cell>
          <cell r="C15458" t="str">
            <v>IC REF CONV PREST RV INT DIFER VIG      2NC</v>
          </cell>
        </row>
        <row r="15459">
          <cell r="B15459" t="str">
            <v>29010104000147</v>
          </cell>
          <cell r="C15459" t="str">
            <v>IC REF CONV PREST RV COM DIFER VIG      2NC</v>
          </cell>
        </row>
        <row r="15460">
          <cell r="B15460" t="str">
            <v>29010104000150</v>
          </cell>
          <cell r="C15460" t="str">
            <v>CL INT.DIF DEU.VTA.CARTE VIG            2NC</v>
          </cell>
        </row>
        <row r="15461">
          <cell r="B15461" t="str">
            <v>29010104000157</v>
          </cell>
          <cell r="C15461" t="str">
            <v>HPC REF? INT.DIF VIG HIP TRAD           2NC</v>
          </cell>
        </row>
        <row r="15462">
          <cell r="B15462" t="str">
            <v>29010104000158</v>
          </cell>
          <cell r="C15462" t="str">
            <v>HPC REF COM.DIF VIG HIP TRAD            2NC</v>
          </cell>
        </row>
        <row r="15463">
          <cell r="B15463" t="str">
            <v>29010104000159</v>
          </cell>
          <cell r="C15463" t="str">
            <v>HPC REFÂ  INT.DIF VIGÂ  HIP ADJUDIC.    2NC</v>
          </cell>
        </row>
        <row r="15464">
          <cell r="B15464" t="str">
            <v>29010104000160</v>
          </cell>
          <cell r="C15464" t="str">
            <v>HPC REFÂ  COM.DIF VIGÂ  HIP ADJUDIC.    2NC</v>
          </cell>
        </row>
        <row r="15465">
          <cell r="B15465" t="str">
            <v>29010104000161</v>
          </cell>
          <cell r="C15465" t="str">
            <v>HPC REF  INT.DIF VIG  EFEC C/GAR $ 1100 2NC</v>
          </cell>
        </row>
        <row r="15466">
          <cell r="B15466" t="str">
            <v>29010104000162</v>
          </cell>
          <cell r="C15466" t="str">
            <v>HPC REF  COM.DIF VIG  EFEC C/GAR        2NC</v>
          </cell>
        </row>
        <row r="15467">
          <cell r="B15467" t="str">
            <v>29010104000163</v>
          </cell>
          <cell r="C15467" t="str">
            <v>HPC REFÂ  INT.DIF VIGÂ  PREST.PERS.     2NC</v>
          </cell>
        </row>
        <row r="15468">
          <cell r="B15468" t="str">
            <v>29010104000164</v>
          </cell>
          <cell r="C15468" t="str">
            <v>HPC REFÂ  COM.DIF VIG PREST.PERS.       2NC</v>
          </cell>
        </row>
        <row r="15469">
          <cell r="B15469" t="str">
            <v>29010104000165</v>
          </cell>
          <cell r="C15469" t="str">
            <v>HPC INT DIF REFIN VIG CRED EFECT/VEHIC  2NC</v>
          </cell>
        </row>
        <row r="15470">
          <cell r="B15470" t="str">
            <v>29010104000166</v>
          </cell>
          <cell r="C15470" t="str">
            <v>HPC COM. DIF REFIN VIG EFECT/VEHIC      2NC</v>
          </cell>
        </row>
        <row r="15471">
          <cell r="B15471" t="str">
            <v>29010104000167</v>
          </cell>
          <cell r="C15471" t="str">
            <v>HPC REFIN TC IB PN INT DIFER VIG        2NC</v>
          </cell>
        </row>
        <row r="15472">
          <cell r="B15472" t="str">
            <v>29010104000168</v>
          </cell>
          <cell r="C15472" t="str">
            <v>HPC REFIN TC IB PN  COMIS DIFER VIG     2NC</v>
          </cell>
        </row>
        <row r="15473">
          <cell r="B15473" t="str">
            <v>29010104000169</v>
          </cell>
          <cell r="C15473" t="str">
            <v>HPC ME INT DIF REFIN VIG CRED EFECT/VEHI2NC</v>
          </cell>
        </row>
        <row r="15474">
          <cell r="B15474" t="str">
            <v>29010104000170</v>
          </cell>
          <cell r="C15474" t="str">
            <v>HPC ME COM. DIF REFIN VIG EFECT/VEHIC/TC2NC</v>
          </cell>
        </row>
        <row r="15475">
          <cell r="B15475" t="str">
            <v>29010104000171</v>
          </cell>
          <cell r="C15475" t="str">
            <v>HPC CCNR INT DIF REFIN VIG CRED         2NC</v>
          </cell>
        </row>
        <row r="15476">
          <cell r="B15476" t="str">
            <v>29010104000172</v>
          </cell>
          <cell r="C15476" t="str">
            <v>HPC CCNR COM. DIF REFIN VIG             2NC</v>
          </cell>
        </row>
        <row r="15477">
          <cell r="B15477" t="str">
            <v>29010104000201</v>
          </cell>
          <cell r="C15477" t="str">
            <v>IC REF TC IB PN INT DIFER VIG           2NC</v>
          </cell>
        </row>
        <row r="15478">
          <cell r="B15478" t="str">
            <v>29010104000202</v>
          </cell>
          <cell r="C15478" t="str">
            <v>IC COM DIF VIG CRED REF TC IB PN        2NC</v>
          </cell>
        </row>
        <row r="15479">
          <cell r="B15479" t="str">
            <v>29010104000203</v>
          </cell>
          <cell r="C15479" t="str">
            <v>LPC REF INT LEASING BPE BIEN REFIN RP CM2NC</v>
          </cell>
        </row>
        <row r="15480">
          <cell r="B15480" t="str">
            <v>29010104000204</v>
          </cell>
          <cell r="C15480" t="str">
            <v>LPC REF INT LEAS BPE SEGÂ  RP CMED      2NC</v>
          </cell>
        </row>
        <row r="15481">
          <cell r="B15481" t="str">
            <v>29010104000205</v>
          </cell>
          <cell r="C15481" t="str">
            <v>LPC REF INT LEASING BPE BIEN REFIN RP CP2NC</v>
          </cell>
        </row>
        <row r="15482">
          <cell r="B15482" t="str">
            <v>29010104000206</v>
          </cell>
          <cell r="C15482" t="str">
            <v>LPC REF INT LEAS BPE SEGÂ  RP CPEM      2NC</v>
          </cell>
        </row>
        <row r="15483">
          <cell r="B15483" t="str">
            <v>29010104000207</v>
          </cell>
          <cell r="C15483" t="str">
            <v>LPC REF INT LEASING BPE BIEN REFIN RP CM2NC</v>
          </cell>
        </row>
        <row r="15484">
          <cell r="B15484" t="str">
            <v>29010104000208</v>
          </cell>
          <cell r="C15484" t="str">
            <v>LPC REF INT LEAS BPE SEGÂ  RP CMIE      2NC</v>
          </cell>
        </row>
        <row r="15485">
          <cell r="B15485" t="str">
            <v>29010104000209</v>
          </cell>
          <cell r="C15485" t="str">
            <v>LPC REF LS COFIGAS INT DIF VIG PDL CCOR 2NC</v>
          </cell>
        </row>
        <row r="15486">
          <cell r="B15486" t="str">
            <v>29010104000210</v>
          </cell>
          <cell r="C15486" t="str">
            <v>LPC REF LS COFIGAS INT DIF SB VIG PDS CC2NC</v>
          </cell>
        </row>
        <row r="15487">
          <cell r="B15487" t="str">
            <v>29010104000211</v>
          </cell>
          <cell r="C15487" t="str">
            <v>LPC REF LS COFIGAS INT DIF VIG PDL CGEM 2NC</v>
          </cell>
        </row>
        <row r="15488">
          <cell r="B15488" t="str">
            <v>29010104000212</v>
          </cell>
          <cell r="C15488" t="str">
            <v>LPC REF LS COFIGAS INT DIF SB VIG PDS CG2NC</v>
          </cell>
        </row>
        <row r="15489">
          <cell r="B15489" t="str">
            <v>29010104000213</v>
          </cell>
          <cell r="C15489" t="str">
            <v>LPC REF LS COFIGAS INT DIF VIG PDL CMED 2NC</v>
          </cell>
        </row>
        <row r="15490">
          <cell r="B15490" t="str">
            <v>29010104000214</v>
          </cell>
          <cell r="C15490" t="str">
            <v>LPC REF LS COFIGAS INT DIF SB VIG PDS CM2NC</v>
          </cell>
        </row>
        <row r="15491">
          <cell r="B15491" t="str">
            <v>29010104000215</v>
          </cell>
          <cell r="C15491" t="str">
            <v>LPC REF LS COFIGAS INT DIF VIG PDL CPEM 2NC</v>
          </cell>
        </row>
        <row r="15492">
          <cell r="B15492" t="str">
            <v>29010104000216</v>
          </cell>
          <cell r="C15492" t="str">
            <v>LPC REF LS COFIGAS INT DIF SB VIG PDS CP2NC</v>
          </cell>
        </row>
        <row r="15493">
          <cell r="B15493" t="str">
            <v>29010104000217</v>
          </cell>
          <cell r="C15493" t="str">
            <v>LPC REF INT LEASING BPE BIEN REFIN RP CG2NC</v>
          </cell>
        </row>
        <row r="15494">
          <cell r="B15494" t="str">
            <v>29010104000218</v>
          </cell>
          <cell r="C15494" t="str">
            <v>LPC REF INT LEAS BPE SEGÂ  RP CGEM      2NC</v>
          </cell>
        </row>
        <row r="15495">
          <cell r="B15495" t="str">
            <v>29010104000301</v>
          </cell>
          <cell r="C15495" t="str">
            <v>IC INT DIFER VIG CRED REFIN CONSU       2NC</v>
          </cell>
        </row>
        <row r="15496">
          <cell r="B15496" t="str">
            <v>29010104000305</v>
          </cell>
          <cell r="C15496" t="str">
            <v>COM.CRED REFINANC CONSUMO-PRESTAMOS     2NC</v>
          </cell>
        </row>
        <row r="15497">
          <cell r="B15497" t="str">
            <v>29010104000306</v>
          </cell>
          <cell r="C15497" t="str">
            <v>COM.CRED REFINANC CONSUMO-PORFIN-IC     2NC</v>
          </cell>
        </row>
        <row r="15498">
          <cell r="B15498" t="str">
            <v>29010104000403</v>
          </cell>
          <cell r="C15498" t="str">
            <v>IC INT DIF VIG CRED REF HIPOTECARI      2NC</v>
          </cell>
        </row>
        <row r="15499">
          <cell r="B15499" t="str">
            <v>29010104000404</v>
          </cell>
          <cell r="C15499" t="str">
            <v>IC COM DIF VIG CRED REF HIPOTEC         2NC</v>
          </cell>
        </row>
        <row r="15500">
          <cell r="B15500" t="str">
            <v>29010104000405</v>
          </cell>
          <cell r="C15500" t="str">
            <v>IC INT DIF VIG REF HIP CRED COMERC      2NC</v>
          </cell>
        </row>
        <row r="15501">
          <cell r="B15501" t="str">
            <v>29010104000408</v>
          </cell>
          <cell r="C15501" t="str">
            <v>MYP INT DIF.PAG.TV.REFIN.C/FIJA VIG COM 2NC</v>
          </cell>
        </row>
        <row r="15502">
          <cell r="B15502" t="str">
            <v>29010104000507</v>
          </cell>
          <cell r="C15502" t="str">
            <v>CL P.RFA REFIN.MES INT.DIF              2NC</v>
          </cell>
        </row>
        <row r="15503">
          <cell r="B15503" t="str">
            <v>29010104000509</v>
          </cell>
          <cell r="C15503" t="str">
            <v>CL PAG.TV REFINA. MES INT.DIF           2NC</v>
          </cell>
        </row>
        <row r="15504">
          <cell r="B15504" t="str">
            <v>29010104000512</v>
          </cell>
          <cell r="C15504" t="str">
            <v>LPC INT DIF PAG TV REFINANCIADO - MES   2NC</v>
          </cell>
        </row>
        <row r="15505">
          <cell r="B15505" t="str">
            <v>29010104000514</v>
          </cell>
          <cell r="C15505" t="str">
            <v>MYP INT.DIF.PAG. TV REFIN. REVOL VIG CPE2NC</v>
          </cell>
        </row>
        <row r="15506">
          <cell r="B15506" t="str">
            <v>29010104000515</v>
          </cell>
          <cell r="C15506" t="str">
            <v>MYP INT DIF.PAG.TV.REFIN.C/FIJA VIG     2NC</v>
          </cell>
        </row>
        <row r="15507">
          <cell r="B15507" t="str">
            <v>29010104000516</v>
          </cell>
          <cell r="C15507" t="str">
            <v>MYP INT DIF.PAG.TV.REFIN.C/FIJA VIG CGEM2NC</v>
          </cell>
        </row>
        <row r="15508">
          <cell r="B15508" t="str">
            <v>29010104000601</v>
          </cell>
          <cell r="C15508" t="str">
            <v>MYP INT DIF.PAG.TV.REFIN.C/FIJA VIG CPEM2NC</v>
          </cell>
        </row>
        <row r="15509">
          <cell r="B15509" t="str">
            <v>29010104000602</v>
          </cell>
          <cell r="C15509" t="str">
            <v>MYP INT DIF.PAG.TV.REFIN.C/FIJA VIG CMED2NC</v>
          </cell>
        </row>
        <row r="15510">
          <cell r="B15510" t="str">
            <v>29010104000603</v>
          </cell>
          <cell r="C15510" t="str">
            <v>MYP INT.DIF.PAG. TV REFIN. REVOL VIG CPE2NC</v>
          </cell>
        </row>
        <row r="15511">
          <cell r="B15511" t="str">
            <v>29010104000604</v>
          </cell>
          <cell r="C15511" t="str">
            <v>MYP INT.DIF.PAG. TV REFIN. REVOL VIG CME2NC</v>
          </cell>
        </row>
        <row r="15512">
          <cell r="B15512" t="str">
            <v>29010104000605</v>
          </cell>
          <cell r="C15512" t="str">
            <v>MYP INT DIF.REF.COBRANZAS C/FIJA VIG.MES2NC</v>
          </cell>
        </row>
        <row r="15513">
          <cell r="B15513" t="str">
            <v>29010104000606</v>
          </cell>
          <cell r="C15513" t="str">
            <v>MYP INT DIF.REF.COBRANZAS REVOL.VIG.MES 2NC</v>
          </cell>
        </row>
        <row r="15514">
          <cell r="B15514" t="str">
            <v>29010104000607</v>
          </cell>
          <cell r="C15514" t="str">
            <v>MYP INT DIF.REF.COBRANZAS C/FIJA VIG.COM2NC</v>
          </cell>
        </row>
        <row r="15515">
          <cell r="B15515" t="str">
            <v>29010104000608</v>
          </cell>
          <cell r="C15515" t="str">
            <v>MYP INT DIF.REF.COBRANZAS REVOL.VIG.COM 2NC</v>
          </cell>
        </row>
        <row r="15516">
          <cell r="B15516" t="str">
            <v>29010104000701</v>
          </cell>
          <cell r="C15516" t="str">
            <v>LPC INT IDL LEASEBACK RP CMIE           2NC</v>
          </cell>
        </row>
        <row r="15517">
          <cell r="B15517" t="str">
            <v>29010104000702</v>
          </cell>
          <cell r="C15517" t="str">
            <v>LPC INT IDS LEASEBACK BIEN RP CMIE      2NC</v>
          </cell>
        </row>
        <row r="15518">
          <cell r="B15518" t="str">
            <v>29010104000703</v>
          </cell>
          <cell r="C15518" t="str">
            <v>LPC INT IDL LEASEBACK BIEN D/P RP CMIE  2NC</v>
          </cell>
        </row>
        <row r="15519">
          <cell r="B15519" t="str">
            <v>29010104000704</v>
          </cell>
          <cell r="C15519" t="str">
            <v>LPC INT IDS LEASEBACK BIEN D/P RP CMIE  2NC</v>
          </cell>
        </row>
        <row r="15520">
          <cell r="B15520" t="str">
            <v>29010104000705</v>
          </cell>
          <cell r="C15520" t="str">
            <v>LPC INT LEASEBACK BIEN RP CCOR          2NC</v>
          </cell>
        </row>
        <row r="15521">
          <cell r="B15521" t="str">
            <v>29010104000706</v>
          </cell>
          <cell r="C15521" t="str">
            <v>LPC INT LEASEBACK SEG RP CCOR           2NC</v>
          </cell>
        </row>
        <row r="15522">
          <cell r="B15522" t="str">
            <v>29010104000707</v>
          </cell>
          <cell r="C15522" t="str">
            <v>LPC INT LEASEBACK BIEN D/P RP CCOR      2NC</v>
          </cell>
        </row>
        <row r="15523">
          <cell r="B15523" t="str">
            <v>29010104000708</v>
          </cell>
          <cell r="C15523" t="str">
            <v>LPC INT LSBACK SEG D/P RP CCOR          2NC</v>
          </cell>
        </row>
        <row r="15524">
          <cell r="B15524" t="str">
            <v>29010104000709</v>
          </cell>
          <cell r="C15524" t="str">
            <v>LPC INT LEASEBACK BIEN RP CGEM          2NC</v>
          </cell>
        </row>
        <row r="15525">
          <cell r="B15525" t="str">
            <v>29010104000710</v>
          </cell>
          <cell r="C15525" t="str">
            <v>LPC INT LEASEBACK SEG RP CGEM           2NC</v>
          </cell>
        </row>
        <row r="15526">
          <cell r="B15526" t="str">
            <v>29010104000711</v>
          </cell>
          <cell r="C15526" t="str">
            <v>LPC INT LEASEBACK BIEN D/P RP CGEM      2NC</v>
          </cell>
        </row>
        <row r="15527">
          <cell r="B15527" t="str">
            <v>29010104000712</v>
          </cell>
          <cell r="C15527" t="str">
            <v>LPC INT LSBACK SEG D/P RP CGEM          2NC</v>
          </cell>
        </row>
        <row r="15528">
          <cell r="B15528" t="str">
            <v>29010104000713</v>
          </cell>
          <cell r="C15528" t="str">
            <v>LPC INT LEASEBACK BIEN RP CMED          2NC</v>
          </cell>
        </row>
        <row r="15529">
          <cell r="B15529" t="str">
            <v>29010104000714</v>
          </cell>
          <cell r="C15529" t="str">
            <v>LPC INT LEASEBACK SEG RP CMED           2NC</v>
          </cell>
        </row>
        <row r="15530">
          <cell r="B15530" t="str">
            <v>29010104000715</v>
          </cell>
          <cell r="C15530" t="str">
            <v>LPC INT LEASEBACK BIEN D/P RP CMED      2NC</v>
          </cell>
        </row>
        <row r="15531">
          <cell r="B15531" t="str">
            <v>29010104000716</v>
          </cell>
          <cell r="C15531" t="str">
            <v>LPC INT LSBACK SEG D/P RP CMED          2NC</v>
          </cell>
        </row>
        <row r="15532">
          <cell r="B15532" t="str">
            <v>29010104000717</v>
          </cell>
          <cell r="C15532" t="str">
            <v>LPC INT LEASEBACK BIEN RP CPEM          2NC</v>
          </cell>
        </row>
        <row r="15533">
          <cell r="B15533" t="str">
            <v>29010104000718</v>
          </cell>
          <cell r="C15533" t="str">
            <v>LPC INT LEASEBACK SEG RP CPEM           2NC</v>
          </cell>
        </row>
        <row r="15534">
          <cell r="B15534" t="str">
            <v>29010104000719</v>
          </cell>
          <cell r="C15534" t="str">
            <v>LPC INT LEASEBACK BIEN D/P RP CPEM      2NC</v>
          </cell>
        </row>
        <row r="15535">
          <cell r="B15535" t="str">
            <v>29010104000720</v>
          </cell>
          <cell r="C15535" t="str">
            <v>LPC INT LSBACK SEG D/P RP CPEM          2NC</v>
          </cell>
        </row>
        <row r="15536">
          <cell r="B15536" t="str">
            <v>29010104000721</v>
          </cell>
          <cell r="C15536" t="str">
            <v>LPC REF INT LEASING BIEN REFIN RP CCOR  2NC</v>
          </cell>
        </row>
        <row r="15537">
          <cell r="B15537" t="str">
            <v>29010104000722</v>
          </cell>
          <cell r="C15537" t="str">
            <v>LPC REF INT LEAS SEG  RP CCOR           2NC</v>
          </cell>
        </row>
        <row r="15538">
          <cell r="B15538" t="str">
            <v>29010104000723</v>
          </cell>
          <cell r="C15538" t="str">
            <v>LPC REF INT LEASING BIEN REFIN RP CGEM  2NC</v>
          </cell>
        </row>
        <row r="15539">
          <cell r="B15539" t="str">
            <v>29010104000724</v>
          </cell>
          <cell r="C15539" t="str">
            <v>LPC REF INT LEAS SEG  RP CGEM           2NC</v>
          </cell>
        </row>
        <row r="15540">
          <cell r="B15540" t="str">
            <v>29010104000725</v>
          </cell>
          <cell r="C15540" t="str">
            <v>LPC REF INT LEASING BIEN REFIN RP CMED  2NC</v>
          </cell>
        </row>
        <row r="15541">
          <cell r="B15541" t="str">
            <v>29010104000726</v>
          </cell>
          <cell r="C15541" t="str">
            <v>LPC REF INT LEAS SEG  RP CMED           2NC</v>
          </cell>
        </row>
        <row r="15542">
          <cell r="B15542" t="str">
            <v>29010104000727</v>
          </cell>
          <cell r="C15542" t="str">
            <v>LPC REF INT LEASING BIEN REFIN RP CPEM  2NC</v>
          </cell>
        </row>
        <row r="15543">
          <cell r="B15543" t="str">
            <v>29010104000728</v>
          </cell>
          <cell r="C15543" t="str">
            <v>LPC REF INT LEAS SEG  RP CPEM           2NC</v>
          </cell>
        </row>
        <row r="15544">
          <cell r="B15544" t="str">
            <v>29010104001001</v>
          </cell>
          <cell r="C15544" t="str">
            <v>LPC PDL LSBACK INT DIF REFIN RP CGEM    2NC</v>
          </cell>
        </row>
        <row r="15545">
          <cell r="B15545" t="str">
            <v>29010104001002</v>
          </cell>
          <cell r="C15545" t="str">
            <v>LPC PDS LSBACK REF INT SEGÂ  RP CGEM    2NC</v>
          </cell>
        </row>
        <row r="15546">
          <cell r="B15546" t="str">
            <v>29010104001003</v>
          </cell>
          <cell r="C15546" t="str">
            <v>LPC REF PAGARE COMER COVID-19 VENC      2NC</v>
          </cell>
        </row>
        <row r="15547">
          <cell r="B15547" t="str">
            <v>29010104001004</v>
          </cell>
          <cell r="C15547" t="str">
            <v>MYP REFINANC. COVID-19 DIFE VIG         2NC</v>
          </cell>
        </row>
        <row r="15548">
          <cell r="B15548" t="str">
            <v>29010104001005</v>
          </cell>
          <cell r="C15548" t="str">
            <v>LPC REFINANCIADO REACTIVA VIG           2 C</v>
          </cell>
        </row>
        <row r="15549">
          <cell r="B15549" t="str">
            <v>29010104001015</v>
          </cell>
          <cell r="C15549" t="str">
            <v>MYP REFINANCIADO CIMA DIFE CMED VIG     2 C</v>
          </cell>
        </row>
        <row r="15550">
          <cell r="B15550" t="str">
            <v>29010104001016</v>
          </cell>
          <cell r="C15550" t="str">
            <v>MYP REFINANCIADO CIMA DIFE CMIE VIG     2 C</v>
          </cell>
        </row>
        <row r="15551">
          <cell r="B15551" t="str">
            <v>29010104001017</v>
          </cell>
          <cell r="C15551" t="str">
            <v>MYP REFINANCIADO CIMA DIFE CPEM VIG     2 C</v>
          </cell>
        </row>
        <row r="15552">
          <cell r="B15552" t="str">
            <v>29010104001018</v>
          </cell>
          <cell r="C15552" t="str">
            <v>LPC REFINANCIADO CRECER IBK POST HONR DI2 C</v>
          </cell>
        </row>
        <row r="15553">
          <cell r="B15553" t="str">
            <v>29010104001019</v>
          </cell>
          <cell r="C15553" t="str">
            <v>MYP PAG.TV REFIN.C/FIJA VIG CCOR        2 C</v>
          </cell>
        </row>
        <row r="15554">
          <cell r="B15554" t="str">
            <v>29010104001020</v>
          </cell>
          <cell r="C15554" t="str">
            <v>CCD-BPE REFINANCIADO_DIFE  VIG          2 C</v>
          </cell>
        </row>
        <row r="15555">
          <cell r="B15555" t="str">
            <v>29010105000101</v>
          </cell>
          <cell r="C15555" t="str">
            <v>CL DIFERIDO PRE JUDIC DSCTO.PAGARE VENCI2NC</v>
          </cell>
        </row>
        <row r="15556">
          <cell r="B15556" t="str">
            <v>29010105000102</v>
          </cell>
          <cell r="C15556" t="str">
            <v>CL DIFERIDO PRE JUDIC DSCTO.LETRA VEN   2NC</v>
          </cell>
        </row>
        <row r="15557">
          <cell r="B15557" t="str">
            <v>29010105000105</v>
          </cell>
          <cell r="C15557" t="str">
            <v>UCL PRE.JUD.P.RP CAP.TRA.INT.DIF        2NC</v>
          </cell>
        </row>
        <row r="15558">
          <cell r="B15558" t="str">
            <v>29010105000111</v>
          </cell>
          <cell r="C15558" t="str">
            <v>CL DIFERIDO PRE JUDIC CRED EFECT VENCIDO2NC</v>
          </cell>
        </row>
        <row r="15559">
          <cell r="B15559" t="str">
            <v>29010105000113</v>
          </cell>
          <cell r="C15559" t="str">
            <v>CL DIFERIDO PRE JUD CRED VEHIC VENCIDO  2NC</v>
          </cell>
        </row>
        <row r="15560">
          <cell r="B15560" t="str">
            <v>29010105000114</v>
          </cell>
          <cell r="C15560" t="str">
            <v>CL DIFERIDO PRE JUD CRED HIPOTEC IC VENC2NC</v>
          </cell>
        </row>
        <row r="15561">
          <cell r="B15561" t="str">
            <v>29010105000115</v>
          </cell>
          <cell r="C15561" t="str">
            <v>CL DIFERIDO PRE JUD EX CONVENIO IC VE   2NC</v>
          </cell>
        </row>
        <row r="15562">
          <cell r="B15562" t="str">
            <v>29010105000116</v>
          </cell>
          <cell r="C15562" t="str">
            <v>CL PRE.JUD.REFINANC. IC INT.DIF         2NC</v>
          </cell>
        </row>
        <row r="15563">
          <cell r="B15563" t="str">
            <v>29010105000117</v>
          </cell>
          <cell r="C15563" t="str">
            <v>CL DIFER PRE.JUD REF HIPO IC            2NC</v>
          </cell>
        </row>
        <row r="15564">
          <cell r="B15564" t="str">
            <v>29010105000119</v>
          </cell>
          <cell r="C15564" t="str">
            <v>CL DIFERIDO PRE JUD INT GAN TC CONS-COM 2NC</v>
          </cell>
        </row>
        <row r="15565">
          <cell r="B15565" t="str">
            <v>29010105000120</v>
          </cell>
          <cell r="C15565" t="str">
            <v>CL DIFERIDO PRE JUD TC.AMEX PN VENCIDO  2NC</v>
          </cell>
        </row>
        <row r="15566">
          <cell r="B15566" t="str">
            <v>29010105000122</v>
          </cell>
          <cell r="C15566" t="str">
            <v>CL INT.DIF PREJUD TC MASTER PN-DISP EFEC2NC</v>
          </cell>
        </row>
        <row r="15567">
          <cell r="B15567" t="str">
            <v>29010105000125</v>
          </cell>
          <cell r="C15567" t="str">
            <v>CL DIFER PRE JUD PAG RFA SUB            2NC</v>
          </cell>
        </row>
        <row r="15568">
          <cell r="B15568" t="str">
            <v>29010105000128</v>
          </cell>
          <cell r="C15568" t="str">
            <v>CL INT.DIF.PREJUD PAG TV COFIDE REVOL CC2NC</v>
          </cell>
        </row>
        <row r="15569">
          <cell r="B15569" t="str">
            <v>29010105000130</v>
          </cell>
          <cell r="C15569" t="str">
            <v>CL DIFERIDO PRE JUD SOBR CCTE. PJ VEN   2NC</v>
          </cell>
        </row>
        <row r="15570">
          <cell r="B15570" t="str">
            <v>29010105000131</v>
          </cell>
          <cell r="C15570" t="str">
            <v>TC INTERESES DIFERIDOS VENCIDOS         2NC</v>
          </cell>
        </row>
        <row r="15571">
          <cell r="B15571" t="str">
            <v>29010105000132</v>
          </cell>
          <cell r="C15571" t="str">
            <v>IC REF TC IB PN INT DIFER VENC          2NC</v>
          </cell>
        </row>
        <row r="15572">
          <cell r="B15572" t="str">
            <v>29010105000133</v>
          </cell>
          <cell r="C15572" t="str">
            <v>IC REF TC IB PN COMIS DIFER VENC        2NC</v>
          </cell>
        </row>
        <row r="15573">
          <cell r="B15573" t="str">
            <v>29010105000146</v>
          </cell>
          <cell r="C15573" t="str">
            <v>CL P.TASA VEN. REESTR.DIF.VEN           2NC</v>
          </cell>
        </row>
        <row r="15574">
          <cell r="B15574" t="str">
            <v>29010105000147</v>
          </cell>
          <cell r="C15574" t="str">
            <v>CL P.CTAS.CTES.REESTR.DIF.VEN           2NC</v>
          </cell>
        </row>
        <row r="15575">
          <cell r="B15575" t="str">
            <v>29010105000148</v>
          </cell>
          <cell r="C15575" t="str">
            <v>IC INT DIF VENC CRED REF CONSUMO        2NC</v>
          </cell>
        </row>
        <row r="15576">
          <cell r="B15576" t="str">
            <v>29010105000149</v>
          </cell>
          <cell r="C15576" t="str">
            <v>IC COM DIF VENC CRED REF CONSUMO        2NC</v>
          </cell>
        </row>
        <row r="15577">
          <cell r="B15577" t="str">
            <v>29010105000150</v>
          </cell>
          <cell r="C15577" t="str">
            <v>IC INT DIF VENC CRED REF HIPOTECARIO    2NC</v>
          </cell>
        </row>
        <row r="15578">
          <cell r="B15578" t="str">
            <v>29010105000151</v>
          </cell>
          <cell r="C15578" t="str">
            <v>IC COM DIF VENC CRED REF HIPOTECARIO    2NC</v>
          </cell>
        </row>
        <row r="15579">
          <cell r="B15579" t="str">
            <v>29010105000154</v>
          </cell>
          <cell r="C15579" t="str">
            <v>CL P.TASA VENCIDA INT.DIF.VEN           2NC</v>
          </cell>
        </row>
        <row r="15580">
          <cell r="B15580" t="str">
            <v>29010105000155</v>
          </cell>
          <cell r="C15580" t="str">
            <v>CL D/P P.TASA VENCIDA DIF.VEN           2NC</v>
          </cell>
        </row>
        <row r="15581">
          <cell r="B15581" t="str">
            <v>29010105000156</v>
          </cell>
          <cell r="C15581" t="str">
            <v>CL P.TAS.VEN.OTROS SUSP.DIF.VEN         2NC</v>
          </cell>
        </row>
        <row r="15582">
          <cell r="B15582" t="str">
            <v>29010105000163</v>
          </cell>
          <cell r="C15582" t="str">
            <v>CL PAGARE REFIN.RFA INT.DIF.VEN         2NC</v>
          </cell>
        </row>
        <row r="15583">
          <cell r="B15583" t="str">
            <v>29010105000165</v>
          </cell>
          <cell r="C15583" t="str">
            <v>CL P.TASA VENCIDA REFIN.DIF.VEN         2NC</v>
          </cell>
        </row>
        <row r="15584">
          <cell r="B15584" t="str">
            <v>29010105000182</v>
          </cell>
          <cell r="C15584" t="str">
            <v>LPC P.TV REEST.INT.DIF.VEN              2NC</v>
          </cell>
        </row>
        <row r="15585">
          <cell r="B15585" t="str">
            <v>29010105000183</v>
          </cell>
          <cell r="C15585" t="str">
            <v>LPC P.TV REFIN.INT.DIF.VEN              2NC</v>
          </cell>
        </row>
        <row r="15586">
          <cell r="B15586" t="str">
            <v>29010105000184</v>
          </cell>
          <cell r="C15586" t="str">
            <v>CL INT. DIF.PREJUD.HIP.MIVIV.COFIDE VEN 2NC</v>
          </cell>
        </row>
        <row r="15587">
          <cell r="B15587" t="str">
            <v>29010105000186</v>
          </cell>
          <cell r="C15587" t="str">
            <v>INTERESES DIFERIDOS TC MES              2NC</v>
          </cell>
        </row>
        <row r="15588">
          <cell r="B15588" t="str">
            <v>29010105000188</v>
          </cell>
          <cell r="C15588" t="str">
            <v>HPC INT.DIF .VENC HIPOT .TRAD.FIN       2NC</v>
          </cell>
        </row>
        <row r="15589">
          <cell r="B15589" t="str">
            <v>29010105000189</v>
          </cell>
          <cell r="C15589" t="str">
            <v>HPC COM DIF VENC HIPOT .TRAD.FINA       2NC</v>
          </cell>
        </row>
        <row r="15590">
          <cell r="B15590" t="str">
            <v>29010105000190</v>
          </cell>
          <cell r="C15590" t="str">
            <v>HPC D/P INT.DIF .VENC HIPOT .TRAD       2NC</v>
          </cell>
        </row>
        <row r="15591">
          <cell r="B15591" t="str">
            <v>29010105000191</v>
          </cell>
          <cell r="C15591" t="str">
            <v>HPC D/P COM DIF VENC HIPOT .TRAD.       2NC</v>
          </cell>
        </row>
        <row r="15592">
          <cell r="B15592" t="str">
            <v>29010105000192</v>
          </cell>
          <cell r="C15592" t="str">
            <v>HPC INT.DIF .VENC HIPOT .FINAN.PR       2NC</v>
          </cell>
        </row>
        <row r="15593">
          <cell r="B15593" t="str">
            <v>29010105000193</v>
          </cell>
          <cell r="C15593" t="str">
            <v>HPC COM DIF VENC HIPOT .FINAN.PRO       2NC</v>
          </cell>
        </row>
        <row r="15594">
          <cell r="B15594" t="str">
            <v>29010105000194</v>
          </cell>
          <cell r="C15594" t="str">
            <v>HPC D/P INT.DIF .VENC HIPOT .FINA       2NC</v>
          </cell>
        </row>
        <row r="15595">
          <cell r="B15595" t="str">
            <v>29010105000195</v>
          </cell>
          <cell r="C15595" t="str">
            <v>HPC D/P COM DIF VENC HIPOT .FINAN       2NC</v>
          </cell>
        </row>
        <row r="15596">
          <cell r="B15596" t="str">
            <v>29010105000196</v>
          </cell>
          <cell r="C15596" t="str">
            <v>CL DIFERIDO PRE JUD CRED TECHOPROPIO-   2NC</v>
          </cell>
        </row>
        <row r="15597">
          <cell r="B15597" t="str">
            <v>29010105000198</v>
          </cell>
          <cell r="C15597" t="str">
            <v>MYP INT DIF.PAG.TV.REFIN.C/FIJA VEN COM 2NC</v>
          </cell>
        </row>
        <row r="15598">
          <cell r="B15598" t="str">
            <v>29010105000215</v>
          </cell>
          <cell r="C15598" t="str">
            <v>CL PRE.JUD.P.RFA SUB.MES INT.DIF        2NC</v>
          </cell>
        </row>
        <row r="15599">
          <cell r="B15599" t="str">
            <v>29010105000220</v>
          </cell>
          <cell r="C15599" t="str">
            <v>CL PAGARE REFIN.RFA MES DIF.VEN         2NC</v>
          </cell>
        </row>
        <row r="15600">
          <cell r="B15600" t="str">
            <v>29010105000221</v>
          </cell>
          <cell r="C15600" t="str">
            <v>CL P.TV REFIN.MES INT.DIF.VEN           2NC</v>
          </cell>
        </row>
        <row r="15601">
          <cell r="B15601" t="str">
            <v>29010105000244</v>
          </cell>
          <cell r="C15601" t="str">
            <v>LPC P.TV REEST.MES INT.DIF.VEN          2NC</v>
          </cell>
        </row>
        <row r="15602">
          <cell r="B15602" t="str">
            <v>29010105000245</v>
          </cell>
          <cell r="C15602" t="str">
            <v>LPC P.TV REFIN.MES INT.DIF.VEN          2NC</v>
          </cell>
        </row>
        <row r="15603">
          <cell r="B15603" t="str">
            <v>29010105000246</v>
          </cell>
          <cell r="C15603" t="str">
            <v>HPC REF INT.DIF VENC HIP TRAD           2NC</v>
          </cell>
        </row>
        <row r="15604">
          <cell r="B15604" t="str">
            <v>29010105000247</v>
          </cell>
          <cell r="C15604" t="str">
            <v>HPC REF COM.DIF VENC HIP TRAD           2NC</v>
          </cell>
        </row>
        <row r="15605">
          <cell r="B15605" t="str">
            <v>29010105000248</v>
          </cell>
          <cell r="C15605" t="str">
            <v>HPC REF INT.DIF VENCÂ  HIP ADJUDIC.     2NC</v>
          </cell>
        </row>
        <row r="15606">
          <cell r="B15606" t="str">
            <v>29010105000249</v>
          </cell>
          <cell r="C15606" t="str">
            <v>HPC REF COM.DIF VENCÂ  HIP ADJUDIC.     2NC</v>
          </cell>
        </row>
        <row r="15607">
          <cell r="B15607" t="str">
            <v>29010105000250</v>
          </cell>
          <cell r="C15607" t="str">
            <v>HPC REF INT.DIF VENC EFEC C/GAR $ 1100  2NC</v>
          </cell>
        </row>
        <row r="15608">
          <cell r="B15608" t="str">
            <v>29010105000251</v>
          </cell>
          <cell r="C15608" t="str">
            <v>HPC REF COM.DIF VENC EFEC C/GAR $ 1100  2NC</v>
          </cell>
        </row>
        <row r="15609">
          <cell r="B15609" t="str">
            <v>29010105000252</v>
          </cell>
          <cell r="C15609" t="str">
            <v>HPC REF INT.DIF VENC PREST.PERS.        2NC</v>
          </cell>
        </row>
        <row r="15610">
          <cell r="B15610" t="str">
            <v>29010105000253</v>
          </cell>
          <cell r="C15610" t="str">
            <v>HPC REF COM.DIF VENC PREST.PERS.        2NC</v>
          </cell>
        </row>
        <row r="15611">
          <cell r="B15611" t="str">
            <v>29010105000254</v>
          </cell>
          <cell r="C15611" t="str">
            <v>HPC INT DIF REFIN VENC CRED EFECT/VEHIC 2NC</v>
          </cell>
        </row>
        <row r="15612">
          <cell r="B15612" t="str">
            <v>29010105000255</v>
          </cell>
          <cell r="C15612" t="str">
            <v>HPC COM. DIF REFIN VENC EFECT/VEHIC     2NC</v>
          </cell>
        </row>
        <row r="15613">
          <cell r="B15613" t="str">
            <v>29010105000256</v>
          </cell>
          <cell r="C15613" t="str">
            <v>HPC REFIN TC IB PN  INT DIFER VENC      2NC</v>
          </cell>
        </row>
        <row r="15614">
          <cell r="B15614" t="str">
            <v>29010105000257</v>
          </cell>
          <cell r="C15614" t="str">
            <v>HPC REFIN TC IB PN  COMIS DIFER VENC    2NC</v>
          </cell>
        </row>
        <row r="15615">
          <cell r="B15615" t="str">
            <v>29010105000258</v>
          </cell>
          <cell r="C15615" t="str">
            <v>HPC  INT.DIF ESPECIAL REFIN CONS-VEH(C.P2NC</v>
          </cell>
        </row>
        <row r="15616">
          <cell r="B15616" t="str">
            <v>29010105000259</v>
          </cell>
          <cell r="C15616" t="str">
            <v>HPC  INT.DIF ESPECIAL REFIN TC          2NC</v>
          </cell>
        </row>
        <row r="15617">
          <cell r="B15617" t="str">
            <v>29010105000260</v>
          </cell>
          <cell r="C15617" t="str">
            <v>HPC ME INT DIF REFIN VENC CRED EFECT/VEH2NC</v>
          </cell>
        </row>
        <row r="15618">
          <cell r="B15618" t="str">
            <v>29010105000261</v>
          </cell>
          <cell r="C15618" t="str">
            <v>HPC ME COM. DIF REFIN VENC EFECT/VEHIC/T2NC</v>
          </cell>
        </row>
        <row r="15619">
          <cell r="B15619" t="str">
            <v>29010105000262</v>
          </cell>
          <cell r="C15619" t="str">
            <v>HPC ME INT.DIF ESPECIAL REFIN CONS-VEH(C2NC</v>
          </cell>
        </row>
        <row r="15620">
          <cell r="B15620" t="str">
            <v>29010105000263</v>
          </cell>
          <cell r="C15620" t="str">
            <v>TC INT DIFERIDO COMPRA CUOTAS VEN       2NC</v>
          </cell>
        </row>
        <row r="15621">
          <cell r="B15621" t="str">
            <v>29010105000264</v>
          </cell>
          <cell r="C15621" t="str">
            <v>TC INT DIFERIDO D/E CUOTAS VEN          2NC</v>
          </cell>
        </row>
        <row r="15622">
          <cell r="B15622" t="str">
            <v>29010105000265</v>
          </cell>
          <cell r="C15622" t="str">
            <v>TC INT DIFERIDO EXTRACASH VEN           2NC</v>
          </cell>
        </row>
        <row r="15623">
          <cell r="B15623" t="str">
            <v>29010105000266</v>
          </cell>
          <cell r="C15623" t="str">
            <v>TC INT DIFERIDO CDEUDA REV VEN          2NC</v>
          </cell>
        </row>
        <row r="15624">
          <cell r="B15624" t="str">
            <v>29010105000267</v>
          </cell>
          <cell r="C15624" t="str">
            <v>TC INT DIFERIDO CDEUDA PAR VEN          2NC</v>
          </cell>
        </row>
        <row r="15625">
          <cell r="B15625" t="str">
            <v>29010105000273</v>
          </cell>
          <cell r="C15625" t="str">
            <v>HPC DP INT.DIF .VENC TC FINAN.PROV.REFIN2NC</v>
          </cell>
        </row>
        <row r="15626">
          <cell r="B15626" t="str">
            <v>29010105000274</v>
          </cell>
          <cell r="C15626" t="str">
            <v>HPC INT.DIF .VENC CRED VEHIC FINAN.PROV.2NC</v>
          </cell>
        </row>
        <row r="15627">
          <cell r="B15627" t="str">
            <v>29010105000275</v>
          </cell>
          <cell r="C15627" t="str">
            <v>HPC DP INT.DIF .VENC CRED VEHIC FINAN.PR2NC</v>
          </cell>
        </row>
        <row r="15628">
          <cell r="B15628" t="str">
            <v>29010105000276</v>
          </cell>
          <cell r="C15628" t="str">
            <v>HPC INT.DIF .VENC CRED EFECT FINAN.PROV.2NC</v>
          </cell>
        </row>
        <row r="15629">
          <cell r="B15629" t="str">
            <v>29010105000277</v>
          </cell>
          <cell r="C15629" t="str">
            <v>HPC DP INT.DIF .VENC CRED EFECT FINAN.PR2NC</v>
          </cell>
        </row>
        <row r="15630">
          <cell r="B15630" t="str">
            <v>29010105000278</v>
          </cell>
          <cell r="C15630" t="str">
            <v>HPC INT.DIF .VENC LIC CONVENIO PROV.REFI2NC</v>
          </cell>
        </row>
        <row r="15631">
          <cell r="B15631" t="str">
            <v>29010105000279</v>
          </cell>
          <cell r="C15631" t="str">
            <v>HPC DP INT.DIF .VENC LIC CONVENIO PROV.R2NC</v>
          </cell>
        </row>
        <row r="15632">
          <cell r="B15632" t="str">
            <v>29010105000280</v>
          </cell>
          <cell r="C15632" t="str">
            <v>LPC PRE EMBARQUE DIFERIDO INT.DIF.VEN   2NC</v>
          </cell>
        </row>
        <row r="15633">
          <cell r="B15633" t="str">
            <v>29010105000281</v>
          </cell>
          <cell r="C15633" t="str">
            <v>LPC POST EMBARQUE DIFERIDO INT.DIF.VEN  2NC</v>
          </cell>
        </row>
        <row r="15634">
          <cell r="B15634" t="str">
            <v>29010105000282</v>
          </cell>
          <cell r="C15634" t="str">
            <v>LPC IMPORTACIONES DIFERIDO INT.DIF.VEN  2NC</v>
          </cell>
        </row>
        <row r="15635">
          <cell r="B15635" t="str">
            <v>29010105000283</v>
          </cell>
          <cell r="C15635" t="str">
            <v>LPC PAGARÃ‰ INMOBILIARIO INT.DIF.VEN    2NC</v>
          </cell>
        </row>
        <row r="15636">
          <cell r="B15636" t="str">
            <v>29010105000284</v>
          </cell>
          <cell r="C15636" t="str">
            <v>LPC MEDIANO PLAZO DIFERIDO INT.DIF.VEN  2NC</v>
          </cell>
        </row>
        <row r="15637">
          <cell r="B15637" t="str">
            <v>29010105000285</v>
          </cell>
          <cell r="C15637" t="str">
            <v>HPC INT DIF PROV REFIN VENC CRED EFECT/V2NC</v>
          </cell>
        </row>
        <row r="15638">
          <cell r="B15638" t="str">
            <v>29010105000311</v>
          </cell>
          <cell r="C15638" t="str">
            <v>LPC DIF.P.REES.MED.PLZ C/FI VEN         2NC</v>
          </cell>
        </row>
        <row r="15639">
          <cell r="B15639" t="str">
            <v>29010105000315</v>
          </cell>
          <cell r="C15639" t="str">
            <v>IC REF CONV PREST RV INT DIFER VENC     2NC</v>
          </cell>
        </row>
        <row r="15640">
          <cell r="B15640" t="str">
            <v>29010105000316</v>
          </cell>
          <cell r="C15640" t="str">
            <v>IC REF CONV PREST RV COM DIFER VENC     2NC</v>
          </cell>
        </row>
        <row r="15641">
          <cell r="B15641" t="str">
            <v>29010105000319</v>
          </cell>
          <cell r="C15641" t="str">
            <v>CL BT PJUD HIP.MIVI INT.DIF COF         2NC</v>
          </cell>
        </row>
        <row r="15642">
          <cell r="B15642" t="str">
            <v>29010105000326</v>
          </cell>
          <cell r="C15642" t="str">
            <v>CL PRE JUD MYP CAP TRAB DIF COMERC      2NC</v>
          </cell>
        </row>
        <row r="15643">
          <cell r="B15643" t="str">
            <v>29010105000327</v>
          </cell>
          <cell r="C15643" t="str">
            <v>UCL PRE JUD MYP CAP TRAB DIF MES        2NC</v>
          </cell>
        </row>
        <row r="15644">
          <cell r="B15644" t="str">
            <v>29010105000328</v>
          </cell>
          <cell r="C15644" t="str">
            <v>CL PRE JUD MYP COMP AF INMUEB DIF CO    2NC</v>
          </cell>
        </row>
        <row r="15645">
          <cell r="B15645" t="str">
            <v>29010105000329</v>
          </cell>
          <cell r="C15645" t="str">
            <v>CL PRE JUD MYP COMP AF INMUEB DIF ME    2NC</v>
          </cell>
        </row>
        <row r="15646">
          <cell r="B15646" t="str">
            <v>29010105000330</v>
          </cell>
          <cell r="C15646" t="str">
            <v>CL PRE JUD MYP COMP AF MUEB DIF COME    2NC</v>
          </cell>
        </row>
        <row r="15647">
          <cell r="B15647" t="str">
            <v>29010105000331</v>
          </cell>
          <cell r="C15647" t="str">
            <v>CL PRE JUD MYP COMP AF MUEB DIF MES     2NC</v>
          </cell>
        </row>
        <row r="15648">
          <cell r="B15648" t="str">
            <v>29010105000332</v>
          </cell>
          <cell r="C15648" t="str">
            <v>CL PRE JUD MYP CRED ESTAC DIF COMERC    2NC</v>
          </cell>
        </row>
        <row r="15649">
          <cell r="B15649" t="str">
            <v>29010105000333</v>
          </cell>
          <cell r="C15649" t="str">
            <v>CL PRE JUD MYP CRED ESTAC DIF MES       2NC</v>
          </cell>
        </row>
        <row r="15650">
          <cell r="B15650" t="str">
            <v>29010105000334</v>
          </cell>
          <cell r="C15650" t="str">
            <v>CL PRE JUD MYP AF CYBERPL DIF COMERC    2NC</v>
          </cell>
        </row>
        <row r="15651">
          <cell r="B15651" t="str">
            <v>29010105000335</v>
          </cell>
          <cell r="C15651" t="str">
            <v>CL PRE JUD MYP AF CYBERPL DIF MES       2NC</v>
          </cell>
        </row>
        <row r="15652">
          <cell r="B15652" t="str">
            <v>29010105000336</v>
          </cell>
          <cell r="C15652" t="str">
            <v>MYP INT.DIF.PAG. TV REFIN. REVOL VENC CP2NC</v>
          </cell>
        </row>
        <row r="15653">
          <cell r="B15653" t="str">
            <v>29010105000337</v>
          </cell>
          <cell r="C15653" t="str">
            <v>MYP INT DIF.PAG.TV.REFIN.C/FIJA VEN     2NC</v>
          </cell>
        </row>
        <row r="15654">
          <cell r="B15654" t="str">
            <v>29010105000339</v>
          </cell>
          <cell r="C15654" t="str">
            <v>CL INT.DIF.PREJUDICIAL H. MIHOGAR COFIDE2NC</v>
          </cell>
        </row>
        <row r="15655">
          <cell r="B15655" t="str">
            <v>29010105000340</v>
          </cell>
          <cell r="C15655" t="str">
            <v>$CL PRE JUD  PRES EFEC GTIA HIP DIFERID 2NC</v>
          </cell>
        </row>
        <row r="15656">
          <cell r="B15656" t="str">
            <v>29010105000341</v>
          </cell>
          <cell r="C15656" t="str">
            <v>CL DIFERIDO PRE JUD.CONVENIO NO REV.CNG 2NC</v>
          </cell>
        </row>
        <row r="15657">
          <cell r="B15657" t="str">
            <v>29010105000342</v>
          </cell>
          <cell r="C15657" t="str">
            <v>CL PRE.JUD.REFINANC.INT.DIF CONV.NO REV.2NC</v>
          </cell>
        </row>
        <row r="15658">
          <cell r="B15658" t="str">
            <v>29010105000343</v>
          </cell>
          <cell r="C15658" t="str">
            <v>ÃœJCC PRE.JUD.P.RP CAP.TRA.INT.DIF      2NC</v>
          </cell>
        </row>
        <row r="15659">
          <cell r="B15659" t="str">
            <v>29010105000344</v>
          </cell>
          <cell r="C15659" t="str">
            <v>JCC DIFERIDO PRE JUDIC CRED EFECT VENCID2NC</v>
          </cell>
        </row>
        <row r="15660">
          <cell r="B15660" t="str">
            <v>29010105000345</v>
          </cell>
          <cell r="C15660" t="str">
            <v>JCC DIFERIDO PRE JUD CRED VEHIC VENCIDO 2NC</v>
          </cell>
        </row>
        <row r="15661">
          <cell r="B15661" t="str">
            <v>29010105000346</v>
          </cell>
          <cell r="C15661" t="str">
            <v>JCC DIFERIDO PRE JUD EX CONVENIO VE     2NC</v>
          </cell>
        </row>
        <row r="15662">
          <cell r="B15662" t="str">
            <v>29010105000347</v>
          </cell>
          <cell r="C15662" t="str">
            <v>JCC PRE.JUD.REFINANC. IC INT.DIF        2NC</v>
          </cell>
        </row>
        <row r="15663">
          <cell r="B15663" t="str">
            <v>29010105000348</v>
          </cell>
          <cell r="C15663" t="str">
            <v>JCC PRE JUD MYP COMP AF INMUEB DIF ME   2NC</v>
          </cell>
        </row>
        <row r="15664">
          <cell r="B15664" t="str">
            <v>29010105000349</v>
          </cell>
          <cell r="C15664" t="str">
            <v>JCC PRE JUD MYP COMP AF MUEB DIF MES    2NC</v>
          </cell>
        </row>
        <row r="15665">
          <cell r="B15665" t="str">
            <v>29010105000350</v>
          </cell>
          <cell r="C15665" t="str">
            <v>JCC PRE JUD  PRES EFEC GTIA HIP DIFERID 2NC</v>
          </cell>
        </row>
        <row r="15666">
          <cell r="B15666" t="str">
            <v>29010105000351</v>
          </cell>
          <cell r="C15666" t="str">
            <v>JCC DIFERIDO PRE JUD CRED TECHOPROPIO-  2NC</v>
          </cell>
        </row>
        <row r="15667">
          <cell r="B15667" t="str">
            <v>29010105000352</v>
          </cell>
          <cell r="C15667" t="str">
            <v>JCC DIFERIDO PRE JUD TC.AMEX PN VENCIDO 2NC</v>
          </cell>
        </row>
        <row r="15668">
          <cell r="B15668" t="str">
            <v>29010105000353</v>
          </cell>
          <cell r="C15668" t="str">
            <v>JCC DIFERIDO PRE JUD TC.AMEX PN VENCIDO 2NC</v>
          </cell>
        </row>
        <row r="15669">
          <cell r="B15669" t="str">
            <v>29010105000354</v>
          </cell>
          <cell r="C15669" t="str">
            <v>JCC DIFERIDO PRE JUDIC DSCTO.LETRA VEN  2NC</v>
          </cell>
        </row>
        <row r="15670">
          <cell r="B15670" t="str">
            <v>29010105000355</v>
          </cell>
          <cell r="C15670" t="str">
            <v>JCC PRE JUD MYP CAP TRAB DIF MES        2NC</v>
          </cell>
        </row>
        <row r="15671">
          <cell r="B15671" t="str">
            <v>29010105000356</v>
          </cell>
          <cell r="C15671" t="str">
            <v>JCC PRE JUD MYP CRED ESTAC DIF MES      2NC</v>
          </cell>
        </row>
        <row r="15672">
          <cell r="B15672" t="str">
            <v>29010105000357</v>
          </cell>
          <cell r="C15672" t="str">
            <v>JCC PRE JUD MYP AF CYBERPL DIF MES      2NC</v>
          </cell>
        </row>
        <row r="15673">
          <cell r="B15673" t="str">
            <v>29010105000358</v>
          </cell>
          <cell r="C15673" t="str">
            <v>JCC DIFERIDO PRE JUD SOBR CCTE. PJ VEN  2NC</v>
          </cell>
        </row>
        <row r="15674">
          <cell r="B15674" t="str">
            <v>29010105000359</v>
          </cell>
          <cell r="C15674" t="str">
            <v>JCC DIFER PRE JUD PAG RFA SUB           2NC</v>
          </cell>
        </row>
        <row r="15675">
          <cell r="B15675" t="str">
            <v>29010105000360</v>
          </cell>
          <cell r="C15675" t="str">
            <v>JCC PRE.JUD.P.RFA SUB.MES INT.DIF       2NC</v>
          </cell>
        </row>
        <row r="15676">
          <cell r="B15676" t="str">
            <v>29010105000361</v>
          </cell>
          <cell r="C15676" t="str">
            <v>CL PRE-JUD P.TASA VENCIDA REFIN.CMED    2NC</v>
          </cell>
        </row>
        <row r="15677">
          <cell r="B15677" t="str">
            <v>29010105000362</v>
          </cell>
          <cell r="C15677" t="str">
            <v>JCC DIFER PRE.JUD REF HIPO              2NC</v>
          </cell>
        </row>
        <row r="15678">
          <cell r="B15678" t="str">
            <v>29010105000363</v>
          </cell>
          <cell r="C15678" t="str">
            <v>JCC  DIFERIDO PRE JUD CRED HIPOTEC VENC 2NC</v>
          </cell>
        </row>
        <row r="15679">
          <cell r="B15679" t="str">
            <v>29010105000364</v>
          </cell>
          <cell r="C15679" t="str">
            <v>JCC BT PJUD HIP.MIVI INT.DIF COF        2NC</v>
          </cell>
        </row>
        <row r="15680">
          <cell r="B15680" t="str">
            <v>29010105000365</v>
          </cell>
          <cell r="C15680" t="str">
            <v>CL MYP PRE-JUD.C.TRAB.INT.DIF.REV.      2NC</v>
          </cell>
        </row>
        <row r="15681">
          <cell r="B15681" t="str">
            <v>29010105000366</v>
          </cell>
          <cell r="C15681" t="str">
            <v>JCC DIFERIDO PRE JUD.CONVENIO NO REV.CNG2NC</v>
          </cell>
        </row>
        <row r="15682">
          <cell r="B15682" t="str">
            <v>29010105000367</v>
          </cell>
          <cell r="C15682" t="str">
            <v>JCC PRE.JUD.REFINANC.INT.DIF CONV.NO REV2NC</v>
          </cell>
        </row>
        <row r="15683">
          <cell r="B15683" t="str">
            <v>29010105000368</v>
          </cell>
          <cell r="C15683" t="str">
            <v>JCC MYP PRE-JUD.C.TRAB.INT.DIF.REV.     2NC</v>
          </cell>
        </row>
        <row r="15684">
          <cell r="B15684" t="str">
            <v>29010105000369</v>
          </cell>
          <cell r="C15684" t="str">
            <v>CL DIFERIDO PRE JUD CRED HIPOTEC IC CMED2NC</v>
          </cell>
        </row>
        <row r="15685">
          <cell r="B15685" t="str">
            <v>29010105000370</v>
          </cell>
          <cell r="C15685" t="str">
            <v>JCC PREJUD INT DIFERIDO REFIN TC        2NC</v>
          </cell>
        </row>
        <row r="15686">
          <cell r="B15686" t="str">
            <v>29010105000371</v>
          </cell>
          <cell r="C15686" t="str">
            <v>HPC INT.DIF .VENC TC FINAN.PROV.REFIN   2NC</v>
          </cell>
        </row>
        <row r="15687">
          <cell r="B15687" t="str">
            <v>29010105000372</v>
          </cell>
          <cell r="C15687" t="str">
            <v>HPC COM DIF VENC TC FINAN.PROV.REFIN    2NC</v>
          </cell>
        </row>
        <row r="15688">
          <cell r="B15688" t="str">
            <v>29010105000373</v>
          </cell>
          <cell r="C15688" t="str">
            <v>HPC DP COM DIF VENC TC FINAN.PROV.REFIN 2NC</v>
          </cell>
        </row>
        <row r="15689">
          <cell r="B15689" t="str">
            <v>29010105000374</v>
          </cell>
          <cell r="C15689" t="str">
            <v>HPC COM DIF VENC CRED VEHIC FINAN.PROV.R2NC</v>
          </cell>
        </row>
        <row r="15690">
          <cell r="B15690" t="str">
            <v>29010105000375</v>
          </cell>
          <cell r="C15690" t="str">
            <v>HPC DP COM DIF VENC CRED VEHIC FINAN.PRO2NC</v>
          </cell>
        </row>
        <row r="15691">
          <cell r="B15691" t="str">
            <v>29010105000376</v>
          </cell>
          <cell r="C15691" t="str">
            <v>HPC COM DIF VENC CRED EFECT FINAN.PROV.R2NC</v>
          </cell>
        </row>
        <row r="15692">
          <cell r="B15692" t="str">
            <v>29010105000377</v>
          </cell>
          <cell r="C15692" t="str">
            <v>HPC DP COM DIF VENC CRED EFECT FINAN.PRO2NC</v>
          </cell>
        </row>
        <row r="15693">
          <cell r="B15693" t="str">
            <v>29010105000378</v>
          </cell>
          <cell r="C15693" t="str">
            <v>HPC COM DIF VENC LIC CONVENIO PROV.REFIN2NC</v>
          </cell>
        </row>
        <row r="15694">
          <cell r="B15694" t="str">
            <v>29010105000379</v>
          </cell>
          <cell r="C15694" t="str">
            <v>HPC DP COM DIF VENC LIC CONVENIO PROV.RE2NC</v>
          </cell>
        </row>
        <row r="15695">
          <cell r="B15695" t="str">
            <v>29010105000401</v>
          </cell>
          <cell r="C15695" t="str">
            <v>INT DIFERIDO VEN - TC COMERCIAL         2NC</v>
          </cell>
        </row>
        <row r="15696">
          <cell r="B15696" t="str">
            <v>29010105000402</v>
          </cell>
          <cell r="C15696" t="str">
            <v>LPC INT IDL LEASEBACK BIEN D/P RP CMIE  2NC</v>
          </cell>
        </row>
        <row r="15697">
          <cell r="B15697" t="str">
            <v>29010105000403</v>
          </cell>
          <cell r="C15697" t="str">
            <v>LPC INT IDL LEASEBACK RP CMIE           2NC</v>
          </cell>
        </row>
        <row r="15698">
          <cell r="B15698" t="str">
            <v>29010105000404</v>
          </cell>
          <cell r="C15698" t="str">
            <v>LPC INT IDS LEASEBACK BIEN D/P RP CMIE  2NC</v>
          </cell>
        </row>
        <row r="15699">
          <cell r="B15699" t="str">
            <v>29010105000405</v>
          </cell>
          <cell r="C15699" t="str">
            <v>LPC INT IDS LEASEBACK BIEN RP CMIE      2NC</v>
          </cell>
        </row>
        <row r="15700">
          <cell r="B15700" t="str">
            <v>29010105000406</v>
          </cell>
          <cell r="C15700" t="str">
            <v>LPC INT CAP LEASEBACK VENC RP CMED      2NC</v>
          </cell>
        </row>
        <row r="15701">
          <cell r="B15701" t="str">
            <v>29010105000407</v>
          </cell>
          <cell r="C15701" t="str">
            <v>LPC INT CAP LSBACK VENC D/P RP CMED     2NC</v>
          </cell>
        </row>
        <row r="15702">
          <cell r="B15702" t="str">
            <v>29010105000408</v>
          </cell>
          <cell r="C15702" t="str">
            <v>LPC INT LSBACK SEG VENC D/P RP CMED     2NC</v>
          </cell>
        </row>
        <row r="15703">
          <cell r="B15703" t="str">
            <v>29010105000409</v>
          </cell>
          <cell r="C15703" t="str">
            <v>LPC INT LEASEBACK SEG VENC RP CMED      2NC</v>
          </cell>
        </row>
        <row r="15704">
          <cell r="B15704" t="str">
            <v>29010105000410</v>
          </cell>
          <cell r="C15704" t="str">
            <v>LPC INT CAP LSBACK VENC D/P RP CCOR     2NC</v>
          </cell>
        </row>
        <row r="15705">
          <cell r="B15705" t="str">
            <v>29010105000411</v>
          </cell>
          <cell r="C15705" t="str">
            <v>LPC INT CAP LEASEBACK VENC RP CCOR      2NC</v>
          </cell>
        </row>
        <row r="15706">
          <cell r="B15706" t="str">
            <v>29010105000412</v>
          </cell>
          <cell r="C15706" t="str">
            <v>LPC INT LEASEBACK SEG VENC RP CCOR      2NC</v>
          </cell>
        </row>
        <row r="15707">
          <cell r="B15707" t="str">
            <v>29010105000413</v>
          </cell>
          <cell r="C15707" t="str">
            <v>LPC INT LSBACK SEG VENC D/P RP CCOR     2NC</v>
          </cell>
        </row>
        <row r="15708">
          <cell r="B15708" t="str">
            <v>29010105000414</v>
          </cell>
          <cell r="C15708" t="str">
            <v>LPC INT CAP LEASEBACK VENC RP CGEM      2NC</v>
          </cell>
        </row>
        <row r="15709">
          <cell r="B15709" t="str">
            <v>29010105000415</v>
          </cell>
          <cell r="C15709" t="str">
            <v>LPC INT CAP LSBACK VENC D/P RP CGEM     2NC</v>
          </cell>
        </row>
        <row r="15710">
          <cell r="B15710" t="str">
            <v>29010105000416</v>
          </cell>
          <cell r="C15710" t="str">
            <v>LPC INT LEASEBACK SEG VENC RP CGEM      2NC</v>
          </cell>
        </row>
        <row r="15711">
          <cell r="B15711" t="str">
            <v>29010105000417</v>
          </cell>
          <cell r="C15711" t="str">
            <v>LPC INT LSBACK SEG VENC D/P RP CGEM     2NC</v>
          </cell>
        </row>
        <row r="15712">
          <cell r="B15712" t="str">
            <v>29010105000418</v>
          </cell>
          <cell r="C15712" t="str">
            <v>LPC INT CAP LEASEBACK VENC RP CPEM      2NC</v>
          </cell>
        </row>
        <row r="15713">
          <cell r="B15713" t="str">
            <v>29010105000419</v>
          </cell>
          <cell r="C15713" t="str">
            <v>LPC INT CAP LSBACK VENC D/P RP CPEM     2NC</v>
          </cell>
        </row>
        <row r="15714">
          <cell r="B15714" t="str">
            <v>29010105000420</v>
          </cell>
          <cell r="C15714" t="str">
            <v>LPC INT LEASEBACK SEG VENC RP CPEM      2NC</v>
          </cell>
        </row>
        <row r="15715">
          <cell r="B15715" t="str">
            <v>29010105000421</v>
          </cell>
          <cell r="C15715" t="str">
            <v>LPC INT LSBACK SEG VENC D/P RP CPEM     2NC</v>
          </cell>
        </row>
        <row r="15716">
          <cell r="B15716" t="str">
            <v>29010105000422</v>
          </cell>
          <cell r="C15716" t="str">
            <v>LPC INT CAP LEAS VENC REFINANC RP CCOR  2NC</v>
          </cell>
        </row>
        <row r="15717">
          <cell r="B15717" t="str">
            <v>29010105000423</v>
          </cell>
          <cell r="C15717" t="str">
            <v>LPC INT LEAS SEG VENC REFINANC RP CCOR  2NC</v>
          </cell>
        </row>
        <row r="15718">
          <cell r="B15718" t="str">
            <v>29010105000424</v>
          </cell>
          <cell r="C15718" t="str">
            <v>LPC INT CAP LEAS VENC REFINANC RP CGEM  2NC</v>
          </cell>
        </row>
        <row r="15719">
          <cell r="B15719" t="str">
            <v>29010105000425</v>
          </cell>
          <cell r="C15719" t="str">
            <v>LPC INT LEAS SEG VENC REFINANC RP CGEM  2NC</v>
          </cell>
        </row>
        <row r="15720">
          <cell r="B15720" t="str">
            <v>29010105000426</v>
          </cell>
          <cell r="C15720" t="str">
            <v>LPC DIF VEN LS  BIEN OTROS SUSP RP CMED 2NC</v>
          </cell>
        </row>
        <row r="15721">
          <cell r="B15721" t="str">
            <v>29010105000427</v>
          </cell>
          <cell r="C15721" t="str">
            <v>LPC DIF VEN LS SEG OTROS SUSP RP CMED   2NC</v>
          </cell>
        </row>
        <row r="15722">
          <cell r="B15722" t="str">
            <v>29010105000428</v>
          </cell>
          <cell r="C15722" t="str">
            <v>LPC INT CAP LEAS VENC REFINANC RP CPEM  2NC</v>
          </cell>
        </row>
        <row r="15723">
          <cell r="B15723" t="str">
            <v>29010105000429</v>
          </cell>
          <cell r="C15723" t="str">
            <v>LPC INT LEAS SEG VENC REFINANC RP CPEM  2NC</v>
          </cell>
        </row>
        <row r="15724">
          <cell r="B15724" t="str">
            <v>29010105000430</v>
          </cell>
          <cell r="C15724" t="str">
            <v>LPC INT CAP LEASEBACK BPE VENC RP CMED  2NC</v>
          </cell>
        </row>
        <row r="15725">
          <cell r="B15725" t="str">
            <v>29010105000431</v>
          </cell>
          <cell r="C15725" t="str">
            <v>LPC INT CAP LSBACK BPE VENC D/P RP CMED 2NC</v>
          </cell>
        </row>
        <row r="15726">
          <cell r="B15726" t="str">
            <v>29010105000432</v>
          </cell>
          <cell r="C15726" t="str">
            <v>LPC INT CAP LEASEBACK BPE VENC RP CPEM  2NC</v>
          </cell>
        </row>
        <row r="15727">
          <cell r="B15727" t="str">
            <v>29010105000433</v>
          </cell>
          <cell r="C15727" t="str">
            <v>LPC INT CAP LSBACK BPE VENC D/P RP CPEM 2NC</v>
          </cell>
        </row>
        <row r="15728">
          <cell r="B15728" t="str">
            <v>29010105000434</v>
          </cell>
          <cell r="C15728" t="str">
            <v>LPC INT CAP LEASEBACK BPE VENC RP CMIE  2NC</v>
          </cell>
        </row>
        <row r="15729">
          <cell r="B15729" t="str">
            <v>29010105000435</v>
          </cell>
          <cell r="C15729" t="str">
            <v>LPC INT CAP LSBACK BPE VENC D/P RP CMIE 2NC</v>
          </cell>
        </row>
        <row r="15730">
          <cell r="B15730" t="str">
            <v>29010105000436</v>
          </cell>
          <cell r="C15730" t="str">
            <v>LPC REF LS COFIGAS INT DIF VEN PDL CCOR 2NC</v>
          </cell>
        </row>
        <row r="15731">
          <cell r="B15731" t="str">
            <v>29010105000437</v>
          </cell>
          <cell r="C15731" t="str">
            <v>LPC REF LS COFIGAS INT DIF SB VEN PDS CC2NC</v>
          </cell>
        </row>
        <row r="15732">
          <cell r="B15732" t="str">
            <v>29010105000438</v>
          </cell>
          <cell r="C15732" t="str">
            <v>LPC REF LS COFIGAS INT DIF VEN PDL CGEM 2NC</v>
          </cell>
        </row>
        <row r="15733">
          <cell r="B15733" t="str">
            <v>29010105000439</v>
          </cell>
          <cell r="C15733" t="str">
            <v>LPC REF LS COFIGAS INT DIF SB VEN PDS CG2NC</v>
          </cell>
        </row>
        <row r="15734">
          <cell r="B15734" t="str">
            <v>29010105000440</v>
          </cell>
          <cell r="C15734" t="str">
            <v>LPC REF LS COFIGAS INT DIF VEN PDL CMED 2NC</v>
          </cell>
        </row>
        <row r="15735">
          <cell r="B15735" t="str">
            <v>29010105000441</v>
          </cell>
          <cell r="C15735" t="str">
            <v>LPC REF LS COFIGAS INT DIF SB VEN PDS CM2NC</v>
          </cell>
        </row>
        <row r="15736">
          <cell r="B15736" t="str">
            <v>29010105000442</v>
          </cell>
          <cell r="C15736" t="str">
            <v>LPC REF LS COFIGAS INT DIF VEN PDL CPEM 2NC</v>
          </cell>
        </row>
        <row r="15737">
          <cell r="B15737" t="str">
            <v>29010105000443</v>
          </cell>
          <cell r="C15737" t="str">
            <v>LPC REF LS COFIGAS INT DIF SB VEN PDS CP2NC</v>
          </cell>
        </row>
        <row r="15738">
          <cell r="B15738" t="str">
            <v>29010105000444</v>
          </cell>
          <cell r="C15738" t="str">
            <v>LPC INT CAP LEASEBACK BPE VENC RP CGEM  2NC</v>
          </cell>
        </row>
        <row r="15739">
          <cell r="B15739" t="str">
            <v>29010105000445</v>
          </cell>
          <cell r="C15739" t="str">
            <v>LPC INT CAP LSBACK BPE VENC D/P RP CGEM 2NC</v>
          </cell>
        </row>
        <row r="15740">
          <cell r="B15740" t="str">
            <v>29010105000446</v>
          </cell>
          <cell r="C15740" t="str">
            <v>LPC REC.PROPIOS DIFERIDO INT.DIF.VEN    2NC</v>
          </cell>
        </row>
        <row r="15741">
          <cell r="B15741" t="str">
            <v>29010105000601</v>
          </cell>
          <cell r="C15741" t="str">
            <v>MYP INT DIF.PAG.TV.REFIN.C/FIJA  VEN CPE2NC</v>
          </cell>
        </row>
        <row r="15742">
          <cell r="B15742" t="str">
            <v>29010105000602</v>
          </cell>
          <cell r="C15742" t="str">
            <v>MYP INT DIF.PAG.TV.REFIN.C/FIJA  VEN CME2NC</v>
          </cell>
        </row>
        <row r="15743">
          <cell r="B15743" t="str">
            <v>29010105000603</v>
          </cell>
          <cell r="C15743" t="str">
            <v>MYP INT.DIF.PAG. TV REFIN. REVOL VENC CP2NC</v>
          </cell>
        </row>
        <row r="15744">
          <cell r="B15744" t="str">
            <v>29010105000604</v>
          </cell>
          <cell r="C15744" t="str">
            <v>MYP INT.DIF.PAG. TV REFIN. REVOL VENC CM2NC</v>
          </cell>
        </row>
        <row r="15745">
          <cell r="B15745" t="str">
            <v>29010105000605</v>
          </cell>
          <cell r="C15745" t="str">
            <v>MYP INT DIF.REF.COBRANZAS C/FIJA VEN.MES2NC</v>
          </cell>
        </row>
        <row r="15746">
          <cell r="B15746" t="str">
            <v>29010105000606</v>
          </cell>
          <cell r="C15746" t="str">
            <v>MYP INT DIF.REF.COBRANZAS REVOL.VENC.MES2NC</v>
          </cell>
        </row>
        <row r="15747">
          <cell r="B15747" t="str">
            <v>29010105000607</v>
          </cell>
          <cell r="C15747" t="str">
            <v>MYP INT DIF.REF.COBRANZAS C/FIJA VEN.COM2NC</v>
          </cell>
        </row>
        <row r="15748">
          <cell r="B15748" t="str">
            <v>29010105000608</v>
          </cell>
          <cell r="C15748" t="str">
            <v>MYP INT DIF.REF.COBRANZAS REVOL.VENC.COM2NC</v>
          </cell>
        </row>
        <row r="15749">
          <cell r="B15749" t="str">
            <v>29010105000609</v>
          </cell>
          <cell r="C15749" t="str">
            <v>MYP INT DIF.PAG.TV.REFIN.C/FIJA VEN CGEM2NC</v>
          </cell>
        </row>
        <row r="15750">
          <cell r="B15750" t="str">
            <v>29010105000610</v>
          </cell>
          <cell r="C15750" t="str">
            <v>JCC MYP PJ CAP TRAB DIF CMED            2NC</v>
          </cell>
        </row>
        <row r="15751">
          <cell r="B15751" t="str">
            <v>29010105000701</v>
          </cell>
          <cell r="C15751" t="str">
            <v>HPC  INT.DIF ESPECIAL REFIN CONVENIO    2NC</v>
          </cell>
        </row>
        <row r="15752">
          <cell r="B15752" t="str">
            <v>29010105000702</v>
          </cell>
          <cell r="C15752" t="str">
            <v>HPC CCNR INT DIF REFIN VENC CRED        2NC</v>
          </cell>
        </row>
        <row r="15753">
          <cell r="B15753" t="str">
            <v>29010105000703</v>
          </cell>
          <cell r="C15753" t="str">
            <v>HPC CCNR COM. DIF REFIN VENC            2NC</v>
          </cell>
        </row>
        <row r="15754">
          <cell r="B15754" t="str">
            <v>29010105000704</v>
          </cell>
          <cell r="C15754" t="str">
            <v>HPC CCNR INT.DIF ESPECIAL REFIN CONS-VEH2NC</v>
          </cell>
        </row>
        <row r="15755">
          <cell r="B15755" t="str">
            <v>29010105000705</v>
          </cell>
          <cell r="C15755" t="str">
            <v>CDO REPROG INT Y COM VENCIDOS EN TC     2NC</v>
          </cell>
        </row>
        <row r="15756">
          <cell r="B15756" t="str">
            <v>29010105000706</v>
          </cell>
          <cell r="C15756" t="str">
            <v>LPC REF PAGARE COMER COVID-19 VIG       2NC</v>
          </cell>
        </row>
        <row r="15757">
          <cell r="B15757" t="str">
            <v>29010105000707</v>
          </cell>
          <cell r="C15757" t="str">
            <v>MYP REFINANC. COVID-19 DIFE VEN         2NC</v>
          </cell>
        </row>
        <row r="15758">
          <cell r="B15758" t="str">
            <v>29010105000708</v>
          </cell>
          <cell r="C15758" t="str">
            <v>LPC REPROG EM COVID-19 PRE EMBARQUE VENC2NC</v>
          </cell>
        </row>
        <row r="15759">
          <cell r="B15759" t="str">
            <v>29010105000709</v>
          </cell>
          <cell r="C15759" t="str">
            <v>LPC REPROG EM COVID-19 PRE EMBAR VENC CC2NC</v>
          </cell>
        </row>
        <row r="15760">
          <cell r="B15760" t="str">
            <v>29010105000710</v>
          </cell>
          <cell r="C15760" t="str">
            <v>LPC REPROG EM COVID-19 PRE EMB INT REFIN2NC</v>
          </cell>
        </row>
        <row r="15761">
          <cell r="B15761" t="str">
            <v>29010105000711</v>
          </cell>
          <cell r="C15761" t="str">
            <v>LPC REPROG EM COVID-19 PRE EMB INT CCOR 2NC</v>
          </cell>
        </row>
        <row r="15762">
          <cell r="B15762" t="str">
            <v>29010105000713</v>
          </cell>
          <cell r="C15762" t="str">
            <v>LPC MEDIANO PLAZO COVID-19  INT.DIF.VENC2NC</v>
          </cell>
        </row>
        <row r="15763">
          <cell r="B15763" t="str">
            <v>29010105000714</v>
          </cell>
          <cell r="C15763" t="str">
            <v>LPC REF_FINAN_ESPECIALES_DIFE CCOR COVID2NC</v>
          </cell>
        </row>
        <row r="15764">
          <cell r="B15764" t="str">
            <v>29010105000715</v>
          </cell>
          <cell r="C15764" t="str">
            <v>JCC PRE.JUD REACTIVA PERU INT.DIF       2NC</v>
          </cell>
        </row>
        <row r="15765">
          <cell r="B15765" t="str">
            <v>29010105000716</v>
          </cell>
          <cell r="C15765" t="str">
            <v>JCC PRE.JUD REACTIVA PERU INT.DIF       2 C</v>
          </cell>
        </row>
        <row r="15766">
          <cell r="B15766" t="str">
            <v>29010105000717</v>
          </cell>
          <cell r="C15766" t="str">
            <v>JCC PRE.JUD FONDO CRECER INT.DIF        2 C</v>
          </cell>
        </row>
        <row r="15767">
          <cell r="B15767" t="str">
            <v>29010105000718</v>
          </cell>
          <cell r="C15767" t="str">
            <v>JCC PRE.JUD FONDO CRECER INT.DIF        2 C</v>
          </cell>
        </row>
        <row r="15768">
          <cell r="B15768" t="str">
            <v>29010105000719</v>
          </cell>
          <cell r="C15768" t="str">
            <v>JCC PRE.JUD REACTIVA PRE-HONRAMIENTO INT2 C</v>
          </cell>
        </row>
        <row r="15769">
          <cell r="B15769" t="str">
            <v>29010105000720</v>
          </cell>
          <cell r="C15769" t="str">
            <v>JCC PRE.JUD REACTIVA PRE-HONRAMIENTO INT2 C</v>
          </cell>
        </row>
        <row r="15770">
          <cell r="B15770" t="str">
            <v>29010105000721</v>
          </cell>
          <cell r="C15770" t="str">
            <v>MYP INT DIF.REFINANCIADO VEN CMED       2 C</v>
          </cell>
        </row>
        <row r="15771">
          <cell r="B15771" t="str">
            <v>29010105000722</v>
          </cell>
          <cell r="C15771" t="str">
            <v>MYP INT DIF.REFINANCIADO VEN CPEM       2 C</v>
          </cell>
        </row>
        <row r="15772">
          <cell r="B15772" t="str">
            <v>29010105000723</v>
          </cell>
          <cell r="C15772" t="str">
            <v>MYP INT DIF.REFINANCIADO VEN CMIE       2 C</v>
          </cell>
        </row>
        <row r="15773">
          <cell r="B15773" t="str">
            <v>29010105000724</v>
          </cell>
          <cell r="C15773" t="str">
            <v>LPC REFINANCIADO REACTIVA VEN           2 C</v>
          </cell>
        </row>
        <row r="15774">
          <cell r="B15774" t="str">
            <v>29010105000738</v>
          </cell>
          <cell r="C15774" t="str">
            <v>MYP REFINANCIADO CIMA DIFE CMED VEN     2 C</v>
          </cell>
        </row>
        <row r="15775">
          <cell r="B15775" t="str">
            <v>29010105000739</v>
          </cell>
          <cell r="C15775" t="str">
            <v>MYP REFINANCIADO CIMA DIFE CMIE VEN     2 C</v>
          </cell>
        </row>
        <row r="15776">
          <cell r="B15776" t="str">
            <v>29010105000740</v>
          </cell>
          <cell r="C15776" t="str">
            <v>MYP REFINANCIADO CIMA DIFE CPEM VEN     2 C</v>
          </cell>
        </row>
        <row r="15777">
          <cell r="B15777" t="str">
            <v>29010105000741</v>
          </cell>
          <cell r="C15777" t="str">
            <v>MYP REPROGRAMADO CIMA DIFE CMED VEN NORM2 C</v>
          </cell>
        </row>
        <row r="15778">
          <cell r="B15778" t="str">
            <v>29010105000742</v>
          </cell>
          <cell r="C15778" t="str">
            <v>MYP REPROGRAMADO CIMA DIFE CMIE VEN NORM2 C</v>
          </cell>
        </row>
        <row r="15779">
          <cell r="B15779" t="str">
            <v>29010105000743</v>
          </cell>
          <cell r="C15779" t="str">
            <v>MYP REPROGRAMADO CIMA DIFE CPEM VEN NORM2 C</v>
          </cell>
        </row>
        <row r="15780">
          <cell r="B15780" t="str">
            <v>29010105000744</v>
          </cell>
          <cell r="C15780" t="str">
            <v>LPC REFINANCIADO CRECER IBK POST HONR DI2 C</v>
          </cell>
        </row>
        <row r="15781">
          <cell r="B15781" t="str">
            <v>29010105000745</v>
          </cell>
          <cell r="C15781" t="str">
            <v>JCC MP INT.DIF PRE.JUD IMPULSO MYPERU IB2 C</v>
          </cell>
        </row>
        <row r="15782">
          <cell r="B15782" t="str">
            <v>29010105000746</v>
          </cell>
          <cell r="C15782" t="str">
            <v>JCC BC INT.DIF PRE JUD IMPULSO MYPERU PR2NC</v>
          </cell>
        </row>
        <row r="15783">
          <cell r="B15783" t="str">
            <v>29010105000747</v>
          </cell>
          <cell r="C15783" t="str">
            <v>MYP REPROG PERIODO GRACIA PARCIAL VEN CM2 C</v>
          </cell>
        </row>
        <row r="15784">
          <cell r="B15784" t="str">
            <v>29010105000748</v>
          </cell>
          <cell r="C15784" t="str">
            <v>MYP REPROG PERIODO GRACIA PARCIAL VEN CP2 C</v>
          </cell>
        </row>
        <row r="15785">
          <cell r="B15785" t="str">
            <v>29010105000749</v>
          </cell>
          <cell r="C15785" t="str">
            <v>MYP REPROG PERIODO GRACIA PARCIAL VEN CM2 C</v>
          </cell>
        </row>
        <row r="15786">
          <cell r="B15786" t="str">
            <v>29010105000750</v>
          </cell>
          <cell r="C15786" t="str">
            <v>JCC MP PRE JUD IMPLUSO MYPERU HONRADO IB2 C</v>
          </cell>
        </row>
        <row r="15787">
          <cell r="B15787" t="str">
            <v>29010105000751</v>
          </cell>
          <cell r="C15787" t="str">
            <v>MYP PAG.TV REFIN. C/FIJA VEN CCOR       2 C</v>
          </cell>
        </row>
        <row r="15788">
          <cell r="B15788" t="str">
            <v>29010105000752</v>
          </cell>
          <cell r="C15788" t="str">
            <v>MYP LINEA REVOL REUT.VEN CGEM DUPE      2 C</v>
          </cell>
        </row>
        <row r="15789">
          <cell r="B15789" t="str">
            <v>29010105000753</v>
          </cell>
          <cell r="C15789" t="str">
            <v>MYP LINEA REVOL REUT.VEN CCOR DUPE      2 C</v>
          </cell>
        </row>
        <row r="15790">
          <cell r="B15790" t="str">
            <v>29010105000754</v>
          </cell>
          <cell r="C15790" t="str">
            <v>MYP DUPE CAP.TRAB.REUT.VEN.CGEM  DUPE   2 C</v>
          </cell>
        </row>
        <row r="15791">
          <cell r="B15791" t="str">
            <v>29010105000755</v>
          </cell>
          <cell r="C15791" t="str">
            <v>MYP DUPE CAP.TRAB.REUT.VEN.CCOR  DUPE   2 C</v>
          </cell>
        </row>
        <row r="15792">
          <cell r="B15792" t="str">
            <v>29010105000756</v>
          </cell>
          <cell r="C15792" t="str">
            <v>CCD-BPE REFINANCIADO_DIFE  VEN          2 C</v>
          </cell>
        </row>
        <row r="15793">
          <cell r="B15793" t="str">
            <v>29010105000757</v>
          </cell>
          <cell r="C15793" t="str">
            <v>JCC CCD PREJUD CAPITAL DE TRABAJO DIFERI2 C</v>
          </cell>
        </row>
        <row r="15794">
          <cell r="B15794" t="str">
            <v>29010106000106</v>
          </cell>
          <cell r="C15794" t="str">
            <v>UCL DIF COB.JUD.RP.CAP. TRAB            2NC</v>
          </cell>
        </row>
        <row r="15795">
          <cell r="B15795" t="str">
            <v>29010106000110</v>
          </cell>
          <cell r="C15795" t="str">
            <v>CL DIFERIDO COB. JUD. CARTA FIANZA      2NC</v>
          </cell>
        </row>
        <row r="15796">
          <cell r="B15796" t="str">
            <v>29010106000112</v>
          </cell>
          <cell r="C15796" t="str">
            <v>CL DIFERIDO COB. JUD. CRED DE EFECTIV   2NC</v>
          </cell>
        </row>
        <row r="15797">
          <cell r="B15797" t="str">
            <v>29010106000114</v>
          </cell>
          <cell r="C15797" t="str">
            <v>CL DIFERIDO COB. JUD. CRED DE VEHICULAR 2NC</v>
          </cell>
        </row>
        <row r="15798">
          <cell r="B15798" t="str">
            <v>29010106000115</v>
          </cell>
          <cell r="C15798" t="str">
            <v>CL DIFERIDO COB. JUD.CRED DE HIPOTECARIO2NC</v>
          </cell>
        </row>
        <row r="15799">
          <cell r="B15799" t="str">
            <v>29010106000116</v>
          </cell>
          <cell r="C15799" t="str">
            <v>CL INT DIF JUD CONSUMO REVOLVENTE CCRV  2NC</v>
          </cell>
        </row>
        <row r="15800">
          <cell r="B15800" t="str">
            <v>29010106000117</v>
          </cell>
          <cell r="C15800" t="str">
            <v>CL DIF CJ REF IC                        2NC</v>
          </cell>
        </row>
        <row r="15801">
          <cell r="B15801" t="str">
            <v>29010106000118</v>
          </cell>
          <cell r="C15801" t="str">
            <v>CL DIF CJ REF HIPOT IC                  2NC</v>
          </cell>
        </row>
        <row r="15802">
          <cell r="B15802" t="str">
            <v>29010106000126</v>
          </cell>
          <cell r="C15802" t="str">
            <v>CL DIF CJ PAG RFA SUBORD                2NC</v>
          </cell>
        </row>
        <row r="15803">
          <cell r="B15803" t="str">
            <v>29010106000129</v>
          </cell>
          <cell r="C15803" t="str">
            <v>CL INT.DIF.COBJUD PAG TV COFIDE REVOL CC2NC</v>
          </cell>
        </row>
        <row r="15804">
          <cell r="B15804" t="str">
            <v>29010106000131</v>
          </cell>
          <cell r="C15804" t="str">
            <v>CL DIF COB.JUD.SOBREGIRO CTA CTE PJ     2NC</v>
          </cell>
        </row>
        <row r="15805">
          <cell r="B15805" t="str">
            <v>29010106000132</v>
          </cell>
          <cell r="C15805" t="str">
            <v>CL INT.DIF.JUD.HIP.MIVIVIENDA COFIDE    2NC</v>
          </cell>
        </row>
        <row r="15806">
          <cell r="B15806" t="str">
            <v>29010106000135</v>
          </cell>
          <cell r="C15806" t="str">
            <v>CL BT JUD.HIP.MIVIV.INT.DIF COF         2NC</v>
          </cell>
        </row>
        <row r="15807">
          <cell r="B15807" t="str">
            <v>29010106000136</v>
          </cell>
          <cell r="C15807" t="str">
            <v>CL DIFERIDO COB JUD CRED TECHOPROPIO-   2NC</v>
          </cell>
        </row>
        <row r="15808">
          <cell r="B15808" t="str">
            <v>29010106000137</v>
          </cell>
          <cell r="C15808" t="str">
            <v>CL CJ MYP CAP TRAB DIF COMERC           2NC</v>
          </cell>
        </row>
        <row r="15809">
          <cell r="B15809" t="str">
            <v>29010106000138</v>
          </cell>
          <cell r="C15809" t="str">
            <v>CL CJ MYP COMP AF INMUEB DIF COM        2NC</v>
          </cell>
        </row>
        <row r="15810">
          <cell r="B15810" t="str">
            <v>29010106000139</v>
          </cell>
          <cell r="C15810" t="str">
            <v>CL CJ MYP COMP AF MUEB DIF COMER        2NC</v>
          </cell>
        </row>
        <row r="15811">
          <cell r="B15811" t="str">
            <v>29010106000140</v>
          </cell>
          <cell r="C15811" t="str">
            <v>CL CJ MYP CRED ESTAC DIF COMERC         2NC</v>
          </cell>
        </row>
        <row r="15812">
          <cell r="B15812" t="str">
            <v>29010106000141</v>
          </cell>
          <cell r="C15812" t="str">
            <v>CL CJ MYP AF CYBERPL DIF COMERC         2NC</v>
          </cell>
        </row>
        <row r="15813">
          <cell r="B15813" t="str">
            <v>29010106000143</v>
          </cell>
          <cell r="C15813" t="str">
            <v>CL INT.DIF.COBJUD HIPOT. MI HOGAR COFIDE2NC</v>
          </cell>
        </row>
        <row r="15814">
          <cell r="B15814" t="str">
            <v>29010106000144</v>
          </cell>
          <cell r="C15814" t="str">
            <v>JCC COB JUD PRES EFEC GTIA HIP DIFERIDO 2NC</v>
          </cell>
        </row>
        <row r="15815">
          <cell r="B15815" t="str">
            <v>29010106000145</v>
          </cell>
          <cell r="C15815" t="str">
            <v>CL DIFERIDO JUD.CONVENIO NO REV.CNG     2NC</v>
          </cell>
        </row>
        <row r="15816">
          <cell r="B15816" t="str">
            <v>29010106000146</v>
          </cell>
          <cell r="C15816" t="str">
            <v>CL JUD.REFINANC.INT.DIF CONV.NO REV.CNG 2NC</v>
          </cell>
        </row>
        <row r="15817">
          <cell r="B15817" t="str">
            <v>29010106000147</v>
          </cell>
          <cell r="C15817" t="str">
            <v>ÃœJCC DIF COB.JUD.RP.CAP. TRAB          2NC</v>
          </cell>
        </row>
        <row r="15818">
          <cell r="B15818" t="str">
            <v>29010106000148</v>
          </cell>
          <cell r="C15818" t="str">
            <v>JCC DIFERIDO COB. JUD. CRED DE EFECTIV  2NC</v>
          </cell>
        </row>
        <row r="15819">
          <cell r="B15819" t="str">
            <v>29010106000215</v>
          </cell>
          <cell r="C15819" t="str">
            <v>CL DIF CJ PAG RFA SUBORDINADO MES       2NC</v>
          </cell>
        </row>
        <row r="15820">
          <cell r="B15820" t="str">
            <v>29010106000220</v>
          </cell>
          <cell r="C15820" t="str">
            <v>UCL CJ MYP CAP TRAB DIF MES             2NC</v>
          </cell>
        </row>
        <row r="15821">
          <cell r="B15821" t="str">
            <v>29010106000221</v>
          </cell>
          <cell r="C15821" t="str">
            <v>CL CJ MYP COMP AF INMUEB DIF MES        2NC</v>
          </cell>
        </row>
        <row r="15822">
          <cell r="B15822" t="str">
            <v>29010106000222</v>
          </cell>
          <cell r="C15822" t="str">
            <v>CL CJ MYP COMP AF MUEB DIF MES          2NC</v>
          </cell>
        </row>
        <row r="15823">
          <cell r="B15823" t="str">
            <v>29010106000223</v>
          </cell>
          <cell r="C15823" t="str">
            <v>CL CJ MYP CRED ESTAC DIF MES            2NC</v>
          </cell>
        </row>
        <row r="15824">
          <cell r="B15824" t="str">
            <v>29010106000224</v>
          </cell>
          <cell r="C15824" t="str">
            <v>CL CJ MYP AF CYBERPL DIF MES            2NC</v>
          </cell>
        </row>
        <row r="15825">
          <cell r="B15825" t="str">
            <v>29010106000225</v>
          </cell>
          <cell r="C15825" t="str">
            <v>CL DIFERIDO COB JUDICIAL                2NC</v>
          </cell>
        </row>
        <row r="15826">
          <cell r="B15826" t="str">
            <v>29010106000226</v>
          </cell>
          <cell r="C15826" t="str">
            <v>JCC DIF CJ REF IC                       2NC</v>
          </cell>
        </row>
        <row r="15827">
          <cell r="B15827" t="str">
            <v>29010106000227</v>
          </cell>
          <cell r="C15827" t="str">
            <v>JCC CJ MYP COMP AF INMUEB DIF MES       2NC</v>
          </cell>
        </row>
        <row r="15828">
          <cell r="B15828" t="str">
            <v>29010106000228</v>
          </cell>
          <cell r="C15828" t="str">
            <v>JCC CJ MYP COMP AF MUEB DIF MES         2NC</v>
          </cell>
        </row>
        <row r="15829">
          <cell r="B15829" t="str">
            <v>29010106000229</v>
          </cell>
          <cell r="C15829" t="str">
            <v>JCC DIFERIDO COB JUD CRED TECHOPROPIO-  2NC</v>
          </cell>
        </row>
        <row r="15830">
          <cell r="B15830" t="str">
            <v>29010106000230</v>
          </cell>
          <cell r="C15830" t="str">
            <v>JCC DIFERIDO COB. JUD. CARTA FIANZA     2NC</v>
          </cell>
        </row>
        <row r="15831">
          <cell r="B15831" t="str">
            <v>29010106000231</v>
          </cell>
          <cell r="C15831" t="str">
            <v>JCC CJ MYP CAP TRAB DIF MES             2NC</v>
          </cell>
        </row>
        <row r="15832">
          <cell r="B15832" t="str">
            <v>29010106000232</v>
          </cell>
          <cell r="C15832" t="str">
            <v>JCC CJ MYP CRED ESTAC DIF COMERC        2NC</v>
          </cell>
        </row>
        <row r="15833">
          <cell r="B15833" t="str">
            <v>29010106000233</v>
          </cell>
          <cell r="C15833" t="str">
            <v>JCC CJ MYP CRED ESTAC DIF MES           2NC</v>
          </cell>
        </row>
        <row r="15834">
          <cell r="B15834" t="str">
            <v>29010106000234</v>
          </cell>
          <cell r="C15834" t="str">
            <v>JCC  MYP AF CYBERPL DIF MES             2NC</v>
          </cell>
        </row>
        <row r="15835">
          <cell r="B15835" t="str">
            <v>29010106000235</v>
          </cell>
          <cell r="C15835" t="str">
            <v>JCC DIF COB.JUD.SOBREGIRO CTA CTE PJ    2NC</v>
          </cell>
        </row>
        <row r="15836">
          <cell r="B15836" t="str">
            <v>29010106000236</v>
          </cell>
          <cell r="C15836" t="str">
            <v>JCC DIF CJ PAG RFA SUBORD               2NC</v>
          </cell>
        </row>
        <row r="15837">
          <cell r="B15837" t="str">
            <v>29010106000237</v>
          </cell>
          <cell r="C15837" t="str">
            <v>JCC DIF CJ PAG RFA SUBORDINADO MES      2NC</v>
          </cell>
        </row>
        <row r="15838">
          <cell r="B15838" t="str">
            <v>29010106000238</v>
          </cell>
          <cell r="C15838" t="str">
            <v>CL JUD P.TASA VENCIDA REFIN.CMED        2NC</v>
          </cell>
        </row>
        <row r="15839">
          <cell r="B15839" t="str">
            <v>29010106000239</v>
          </cell>
          <cell r="C15839" t="str">
            <v>JCC DIF CJ REF HIPOT IC                 2NC</v>
          </cell>
        </row>
        <row r="15840">
          <cell r="B15840" t="str">
            <v>29010106000240</v>
          </cell>
          <cell r="C15840" t="str">
            <v>JCC  DIFERIDO COB. JUD.CRED DE HIPOTECAR2NC</v>
          </cell>
        </row>
        <row r="15841">
          <cell r="B15841" t="str">
            <v>29010106000241</v>
          </cell>
          <cell r="C15841" t="str">
            <v>JCC INT DIF JUD CONSUMO REVOLVENTE CCRV 2NC</v>
          </cell>
        </row>
        <row r="15842">
          <cell r="B15842" t="str">
            <v>29010106000242</v>
          </cell>
          <cell r="C15842" t="str">
            <v>JCC  DIF CJ REFINAN                     2NC</v>
          </cell>
        </row>
        <row r="15843">
          <cell r="B15843" t="str">
            <v>29010106000243</v>
          </cell>
          <cell r="C15843" t="str">
            <v>JCC BT JUD.HIP.MIVIV.INT.DIF COF        2NC</v>
          </cell>
        </row>
        <row r="15844">
          <cell r="B15844" t="str">
            <v>29010106000244</v>
          </cell>
          <cell r="C15844" t="str">
            <v>CL MYP JUD.C.TRAB.INT.DIF.REV.CMED      2NC</v>
          </cell>
        </row>
        <row r="15845">
          <cell r="B15845" t="str">
            <v>29010106000245</v>
          </cell>
          <cell r="C15845" t="str">
            <v>JCC DIFERIDO JUD.CONVENIO NO REV.CNG    2NC</v>
          </cell>
        </row>
        <row r="15846">
          <cell r="B15846" t="str">
            <v>29010106000246</v>
          </cell>
          <cell r="C15846" t="str">
            <v>JCC JUD.REFINANC.INT.DIF CONV.NO REV.CNG2NC</v>
          </cell>
        </row>
        <row r="15847">
          <cell r="B15847" t="str">
            <v>29010106000247</v>
          </cell>
          <cell r="C15847" t="str">
            <v>JCC MYP JUD.C.TRAB.INT.DIF.REV.CMED     2NC</v>
          </cell>
        </row>
        <row r="15848">
          <cell r="B15848" t="str">
            <v>29010106000248</v>
          </cell>
          <cell r="C15848" t="str">
            <v>JCC DIFERIDO JUD CRED VEHICULAR         2NC</v>
          </cell>
        </row>
        <row r="15849">
          <cell r="B15849" t="str">
            <v>29010106000249</v>
          </cell>
          <cell r="C15849" t="str">
            <v>JCC DIFERIDO JUDIC DSCTO.LETRAS         2NC</v>
          </cell>
        </row>
        <row r="15850">
          <cell r="B15850" t="str">
            <v>29010106000250</v>
          </cell>
          <cell r="C15850" t="str">
            <v>JCC JUD INT DIFERIDO REFIN TC           2NC</v>
          </cell>
        </row>
        <row r="15851">
          <cell r="B15851" t="str">
            <v>29010106000251</v>
          </cell>
          <cell r="C15851" t="str">
            <v>JCC MYP JUD CAP TRAB DIF CMED           2NC</v>
          </cell>
        </row>
        <row r="15852">
          <cell r="B15852" t="str">
            <v>29010106000252</v>
          </cell>
          <cell r="C15852" t="str">
            <v>JCC DIF COB.JUD. REACTIVA PERU          2NC</v>
          </cell>
        </row>
        <row r="15853">
          <cell r="B15853" t="str">
            <v>29010106000253</v>
          </cell>
          <cell r="C15853" t="str">
            <v>JCC DIF COB.JUD. REACTIVA PERU          2 C</v>
          </cell>
        </row>
        <row r="15854">
          <cell r="B15854" t="str">
            <v>29010106000254</v>
          </cell>
          <cell r="C15854" t="str">
            <v>JCC COB.JUD. FONDO CRECER INT DIF       2 C</v>
          </cell>
        </row>
        <row r="15855">
          <cell r="B15855" t="str">
            <v>29010106000255</v>
          </cell>
          <cell r="C15855" t="str">
            <v>JCC DIF COB.JUD. FONDO CRECER           2 C</v>
          </cell>
        </row>
        <row r="15856">
          <cell r="B15856" t="str">
            <v>29010106000256</v>
          </cell>
          <cell r="C15856" t="str">
            <v>JCC COB.JUD. REACTIVA PRE-HONRAMIENTO IN2 C</v>
          </cell>
        </row>
        <row r="15857">
          <cell r="B15857" t="str">
            <v>29010106000257</v>
          </cell>
          <cell r="C15857" t="str">
            <v>JCC DIF COB.JUD. REACTIVA PRE-HONRAMIENT2 C</v>
          </cell>
        </row>
        <row r="15858">
          <cell r="B15858" t="str">
            <v>29010106000258</v>
          </cell>
          <cell r="C15858" t="str">
            <v>JCC MP INT.DIF COB.JUD. IMPULSO MYPERU I2 C</v>
          </cell>
        </row>
        <row r="15859">
          <cell r="B15859" t="str">
            <v>29010106000259</v>
          </cell>
          <cell r="C15859" t="str">
            <v>JCC BC INT.DIF COB JUD IMPULSO MYPERU PR2 C</v>
          </cell>
        </row>
        <row r="15860">
          <cell r="B15860" t="str">
            <v>29010106000260</v>
          </cell>
          <cell r="C15860" t="str">
            <v>JCC MP COB JUD IMPLUSO MYPERU HONRADO IB2 C</v>
          </cell>
        </row>
        <row r="15861">
          <cell r="B15861" t="str">
            <v>29010106000261</v>
          </cell>
          <cell r="C15861" t="str">
            <v>JCC CCD COBJUD CAPITAL DE TRABAJO DIFERI2 C</v>
          </cell>
        </row>
        <row r="15862">
          <cell r="B15862" t="str">
            <v>29010108000100</v>
          </cell>
          <cell r="C15862" t="str">
            <v>CRÃ‰DITOS REPROGRAMADOS TC              2NC</v>
          </cell>
        </row>
        <row r="15863">
          <cell r="B15863" t="str">
            <v>29010108000101</v>
          </cell>
          <cell r="C15863" t="str">
            <v>CRÃ‰DITOS REPROGRAMADOS MYP             2NC</v>
          </cell>
        </row>
        <row r="15864">
          <cell r="B15864" t="str">
            <v>29010108000102</v>
          </cell>
          <cell r="C15864" t="str">
            <v>CRÃ‰DITOS REPROGRAMADOS HIPOTECARIO     2NC</v>
          </cell>
        </row>
        <row r="15865">
          <cell r="B15865" t="str">
            <v>29010108000103</v>
          </cell>
          <cell r="C15865" t="str">
            <v>CRÃ‰DITOS REPROGRAMADOS CONSUMO         2NC</v>
          </cell>
        </row>
        <row r="15866">
          <cell r="B15866" t="str">
            <v>29010108000104</v>
          </cell>
          <cell r="C15866" t="str">
            <v>CRÃ‰DITOS REPROGRAMADOS VEHICULAR       2NC</v>
          </cell>
        </row>
        <row r="15867">
          <cell r="B15867" t="str">
            <v>29010108010104</v>
          </cell>
          <cell r="C15867" t="str">
            <v>LPC REPROG REACTIVA DIFE VIG            2 C</v>
          </cell>
        </row>
        <row r="15868">
          <cell r="B15868" t="str">
            <v>29010108050100</v>
          </cell>
          <cell r="C15868" t="str">
            <v>LPC REPROG REACTIVA DIFE VEN            2 C</v>
          </cell>
        </row>
        <row r="15869">
          <cell r="B15869" t="str">
            <v>29010200000101</v>
          </cell>
          <cell r="C15869" t="str">
            <v>INT DIFER LETRAS EN DSCTO CL            2NC</v>
          </cell>
        </row>
        <row r="15870">
          <cell r="B15870" t="str">
            <v>29010200000102</v>
          </cell>
          <cell r="C15870" t="str">
            <v>INT DIFERIDO PAG EN DSCTO CL            2NC</v>
          </cell>
        </row>
        <row r="15871">
          <cell r="B15871" t="str">
            <v>29010200000301</v>
          </cell>
          <cell r="C15871" t="str">
            <v>HPC INT.DIF ESPECIAL NUEVO MVV COFIDE   2NC</v>
          </cell>
        </row>
        <row r="15872">
          <cell r="B15872" t="str">
            <v>29010200000302</v>
          </cell>
          <cell r="C15872" t="str">
            <v>HPC INT.DIF ESPECIAL NUEVO MVV COFIDE   2NC</v>
          </cell>
        </row>
        <row r="15873">
          <cell r="B15873" t="str">
            <v>29010201000101</v>
          </cell>
          <cell r="C15873" t="str">
            <v>FCD LETR./FACT.DSCTO.INT.DIF            2NC</v>
          </cell>
        </row>
        <row r="15874">
          <cell r="B15874" t="str">
            <v>29010201000102</v>
          </cell>
          <cell r="C15874" t="str">
            <v>CL PAG.TASA DSCTA.INT. DIF              2NC</v>
          </cell>
        </row>
        <row r="15875">
          <cell r="B15875" t="str">
            <v>29010201000103</v>
          </cell>
          <cell r="C15875" t="str">
            <v>CL D/P PAG.TASA DSCTDA.INT.DIF          2NC</v>
          </cell>
        </row>
        <row r="15876">
          <cell r="B15876" t="str">
            <v>29010201000104</v>
          </cell>
          <cell r="C15876" t="str">
            <v>INT DIFERIDOS TC VEA                    2NC</v>
          </cell>
        </row>
        <row r="15877">
          <cell r="B15877" t="str">
            <v>29010201000106</v>
          </cell>
          <cell r="C15877" t="str">
            <v>IC INT. DIFERIDO CRED VEHICULAR         2NC</v>
          </cell>
        </row>
        <row r="15878">
          <cell r="B15878" t="str">
            <v>29010201000107</v>
          </cell>
          <cell r="C15878" t="str">
            <v>CL EX FORFAITING INT.DIF                2NC</v>
          </cell>
        </row>
        <row r="15879">
          <cell r="B15879" t="str">
            <v>29010201000108</v>
          </cell>
          <cell r="C15879" t="str">
            <v>IC D/P INT DIFER CRED VEHICUL           2NC</v>
          </cell>
        </row>
        <row r="15880">
          <cell r="B15880" t="str">
            <v>29010201000109</v>
          </cell>
          <cell r="C15880" t="str">
            <v>INT DIFERIDOS TARJETA DE CRED MES       2NC</v>
          </cell>
        </row>
        <row r="15881">
          <cell r="B15881" t="str">
            <v>29010201000110</v>
          </cell>
          <cell r="C15881" t="str">
            <v>PR DSCTO ELECTR SM PERUAN I.DIF         2NC</v>
          </cell>
        </row>
        <row r="15882">
          <cell r="B15882" t="str">
            <v>29010201000121</v>
          </cell>
          <cell r="C15882" t="str">
            <v>INT DIFERIDO VIG - TC COMERCIAL         2NC</v>
          </cell>
        </row>
        <row r="15883">
          <cell r="B15883" t="str">
            <v>29010201000201</v>
          </cell>
          <cell r="C15883" t="str">
            <v>CL INT DIFERIDO PAG EN DSCTO CL MES     2NC</v>
          </cell>
        </row>
        <row r="15884">
          <cell r="B15884" t="str">
            <v>29010201000202</v>
          </cell>
          <cell r="C15884" t="str">
            <v>CL INT DIFER.PAG  DSCTO-CALIF. DUDOSA CL2NC</v>
          </cell>
        </row>
        <row r="15885">
          <cell r="B15885" t="str">
            <v>29010201000203</v>
          </cell>
          <cell r="C15885" t="str">
            <v>PR LETR./FACT.DSCTO.MES INT.DIF         2NC</v>
          </cell>
        </row>
        <row r="15886">
          <cell r="B15886" t="str">
            <v>29010201000204</v>
          </cell>
          <cell r="C15886" t="str">
            <v>PR DSCTO ELECTR SM PERUAN I.DIF MES     2NC</v>
          </cell>
        </row>
        <row r="15887">
          <cell r="B15887" t="str">
            <v>29010201000301</v>
          </cell>
          <cell r="C15887" t="str">
            <v>HPC INT.DIF ESPECIAL NUEVO MVV COFIDE   2NC</v>
          </cell>
        </row>
        <row r="15888">
          <cell r="B15888" t="str">
            <v>29010201000302</v>
          </cell>
          <cell r="C15888" t="str">
            <v>HPC INT.DIF ESPECIAL NUEVO MVV COFIDE   2NC</v>
          </cell>
        </row>
        <row r="15889">
          <cell r="B15889" t="str">
            <v>29010201000303</v>
          </cell>
          <cell r="C15889" t="str">
            <v>HPC INT.DIF ESPECIAL TC FINAN.PROV.REFIN2NC</v>
          </cell>
        </row>
        <row r="15890">
          <cell r="B15890" t="str">
            <v>29010201000304</v>
          </cell>
          <cell r="C15890" t="str">
            <v>HPC DP INT.DIF ESPECIAL TC FINAN.PROV.RE2NC</v>
          </cell>
        </row>
        <row r="15891">
          <cell r="B15891" t="str">
            <v>29010201000305</v>
          </cell>
          <cell r="C15891" t="str">
            <v>HPC INT.DIF ESPECIAL CRED EFECT FINAN.PR2NC</v>
          </cell>
        </row>
        <row r="15892">
          <cell r="B15892" t="str">
            <v>29010201000306</v>
          </cell>
          <cell r="C15892" t="str">
            <v>HPC DP INT.DIF ESPECIAL CRED EFECT FINAN2NC</v>
          </cell>
        </row>
        <row r="15893">
          <cell r="B15893" t="str">
            <v>29010201000307</v>
          </cell>
          <cell r="C15893" t="str">
            <v>HPC INT.DIF ESPECIAL CRED VEHIC FINAN.PR2NC</v>
          </cell>
        </row>
        <row r="15894">
          <cell r="B15894" t="str">
            <v>29010201000308</v>
          </cell>
          <cell r="C15894" t="str">
            <v>HPC DP INT.DIF ESPECIAL CRED VEHIC FINAN2NC</v>
          </cell>
        </row>
        <row r="15895">
          <cell r="B15895" t="str">
            <v>29010201000309</v>
          </cell>
          <cell r="C15895" t="str">
            <v>HPC INT.DIF ESPECIAL LIC CONVENIO PROV.R2NC</v>
          </cell>
        </row>
        <row r="15896">
          <cell r="B15896" t="str">
            <v>29010201000310</v>
          </cell>
          <cell r="C15896" t="str">
            <v>HPC DP INT.DIF ESPECIAL LIC CONVENIO PRO2NC</v>
          </cell>
        </row>
        <row r="15897">
          <cell r="B15897" t="str">
            <v>29010201000401</v>
          </cell>
          <cell r="C15897" t="str">
            <v>HPC INT.DIF ESPECIAL HIPOT RP           2NC</v>
          </cell>
        </row>
        <row r="15898">
          <cell r="B15898" t="str">
            <v>29010201000402</v>
          </cell>
          <cell r="C15898" t="str">
            <v>HPC INT.DIF ESPECIAL MI VIV COF         2NC</v>
          </cell>
        </row>
        <row r="15899">
          <cell r="B15899" t="str">
            <v>29010201000403</v>
          </cell>
          <cell r="C15899" t="str">
            <v>HPC INT.DIF ESP MI VIV COF EMPL         2NC</v>
          </cell>
        </row>
        <row r="15900">
          <cell r="B15900" t="str">
            <v>29010201000405</v>
          </cell>
          <cell r="C15900" t="str">
            <v>HPC INT.DIF ESP RP EMPLEAD              2NC</v>
          </cell>
        </row>
        <row r="15901">
          <cell r="B15901" t="str">
            <v>29010201000406</v>
          </cell>
          <cell r="C15901" t="str">
            <v>HPC D/P INT.DIF ESP RP EMPLEAD          2NC</v>
          </cell>
        </row>
        <row r="15902">
          <cell r="B15902" t="str">
            <v>29010201000407</v>
          </cell>
          <cell r="C15902" t="str">
            <v>HPC INT.DIF ESP TEC PROP COF            2NC</v>
          </cell>
        </row>
        <row r="15903">
          <cell r="B15903" t="str">
            <v>29010201000408</v>
          </cell>
          <cell r="C15903" t="str">
            <v>HPC INT.DIF ESPECIAL MI VIV REC         2NC</v>
          </cell>
        </row>
        <row r="15904">
          <cell r="B15904" t="str">
            <v>29010201000409</v>
          </cell>
          <cell r="C15904" t="str">
            <v>HPC INT.DIF ESPECIAL HIP. RP. BO        2NC</v>
          </cell>
        </row>
        <row r="15905">
          <cell r="B15905" t="str">
            <v>29010201000410</v>
          </cell>
          <cell r="C15905" t="str">
            <v>HPC D/P INT.DIF ESPECIAL HIP. RP        2NC</v>
          </cell>
        </row>
        <row r="15906">
          <cell r="B15906" t="str">
            <v>29010201000411</v>
          </cell>
          <cell r="C15906" t="str">
            <v>HPC INT.DIF ESP HIP RP ADJUDIC          2NC</v>
          </cell>
        </row>
        <row r="15907">
          <cell r="B15907" t="str">
            <v>29010201000412</v>
          </cell>
          <cell r="C15907" t="str">
            <v>HPC D/P INT.DIF ESP HIP RP ADJUDI       2NC</v>
          </cell>
        </row>
        <row r="15908">
          <cell r="B15908" t="str">
            <v>29010201000413</v>
          </cell>
          <cell r="C15908" t="str">
            <v>HPC D/P INT.DIF ESP HIPOT RP            2NC</v>
          </cell>
        </row>
        <row r="15909">
          <cell r="B15909" t="str">
            <v>29010201000414</v>
          </cell>
          <cell r="C15909" t="str">
            <v>HPC D/P INT.DIF ESP MI VIV COFI         2NC</v>
          </cell>
        </row>
        <row r="15910">
          <cell r="B15910" t="str">
            <v>29010201000415</v>
          </cell>
          <cell r="C15910" t="str">
            <v>HPC D/P INT.DIF ESP TEC PROP COF        2NC</v>
          </cell>
        </row>
        <row r="15911">
          <cell r="B15911" t="str">
            <v>29010201000416</v>
          </cell>
          <cell r="C15911" t="str">
            <v>HPC D/P INT.DIF ESP RP/MV               2NC</v>
          </cell>
        </row>
        <row r="15912">
          <cell r="B15912" t="str">
            <v>29010201000423</v>
          </cell>
          <cell r="C15912" t="str">
            <v>HPC INT.DIF ESPECIAL MI HOGAR           2NC</v>
          </cell>
        </row>
        <row r="15913">
          <cell r="B15913" t="str">
            <v>29010201000424</v>
          </cell>
          <cell r="C15913" t="str">
            <v>HPC INT.DIF ESPECIAL MI HOGAR           2NC</v>
          </cell>
        </row>
        <row r="15914">
          <cell r="B15914" t="str">
            <v>29010201000425</v>
          </cell>
          <cell r="C15914" t="str">
            <v>HPC INT.DIF ESPECIAL HIPOT .TRAD.       2NC</v>
          </cell>
        </row>
        <row r="15915">
          <cell r="B15915" t="str">
            <v>29010201000426</v>
          </cell>
          <cell r="C15915" t="str">
            <v>HPC D/P INT.DIF ESPECIAL HIPOT .T       2NC</v>
          </cell>
        </row>
        <row r="15916">
          <cell r="B15916" t="str">
            <v>29010201000427</v>
          </cell>
          <cell r="C15916" t="str">
            <v>HPC INT.DIF ESPECIAL HIPOT .FINAN       2NC</v>
          </cell>
        </row>
        <row r="15917">
          <cell r="B15917" t="str">
            <v>29010201000428</v>
          </cell>
          <cell r="C15917" t="str">
            <v>HPC D/P INT.DIF ESPECIAL HIPOT .F       2NC</v>
          </cell>
        </row>
        <row r="15918">
          <cell r="B15918" t="str">
            <v>29010201000431</v>
          </cell>
          <cell r="C15918" t="str">
            <v>HPC INT.DIF ESPECIAL  MI VIV REC PROP   2NC</v>
          </cell>
        </row>
        <row r="15919">
          <cell r="B15919" t="str">
            <v>29010201000433</v>
          </cell>
          <cell r="C15919" t="str">
            <v>HPC INT DIF ESPEC INDX MIVIVI           2NC</v>
          </cell>
        </row>
        <row r="15920">
          <cell r="B15920" t="str">
            <v>29010201000501</v>
          </cell>
          <cell r="C15920" t="str">
            <v>HPC REF INT.DIF ESPECIAL HIPOT.TRAD     2NC</v>
          </cell>
        </row>
        <row r="15921">
          <cell r="B15921" t="str">
            <v>29010201000502</v>
          </cell>
          <cell r="C15921" t="str">
            <v>HPC REF INT.DIF ESP HIPÃ¿ ADJUDIC       2NC</v>
          </cell>
        </row>
        <row r="15922">
          <cell r="B15922" t="str">
            <v>29010201000503</v>
          </cell>
          <cell r="C15922" t="str">
            <v>HPC REF INT.DIF ESP EFEC C/GAR. HIP     2NC</v>
          </cell>
        </row>
        <row r="15923">
          <cell r="B15923" t="str">
            <v>29010201000504</v>
          </cell>
          <cell r="C15923" t="str">
            <v>HPC REF INT.DIF ESP .PREST.PERS.        2NC</v>
          </cell>
        </row>
        <row r="15924">
          <cell r="B15924" t="str">
            <v>29010201000505</v>
          </cell>
          <cell r="C15924" t="str">
            <v>HPC ME INT.DIF ESP EFEC C/GARANT. HIP.  2NC</v>
          </cell>
        </row>
        <row r="15925">
          <cell r="B15925" t="str">
            <v>29010201000506</v>
          </cell>
          <cell r="C15925" t="str">
            <v>HPC ME D/P INT.DIF ESP EFEC C/GAR. HIP. 2NC</v>
          </cell>
        </row>
        <row r="15926">
          <cell r="B15926" t="str">
            <v>29010201000507</v>
          </cell>
          <cell r="C15926" t="str">
            <v>HPC INT.DIF ESPECIAL HIPOT TASA MIXTA RP2NC</v>
          </cell>
        </row>
        <row r="15927">
          <cell r="B15927" t="str">
            <v>29010201000508</v>
          </cell>
          <cell r="C15927" t="str">
            <v>HPC D/P INT.DIF ESP HIPOT TASA MIXTA RP 2NC</v>
          </cell>
        </row>
        <row r="15928">
          <cell r="B15928" t="str">
            <v>29010201000509</v>
          </cell>
          <cell r="C15928" t="str">
            <v>HPC ME REF INT.DIF ESP EFEC C/GARANT. HI2NC</v>
          </cell>
        </row>
        <row r="15929">
          <cell r="B15929" t="str">
            <v>29010201000601</v>
          </cell>
          <cell r="C15929" t="str">
            <v>HPC INT.DIF ESP EFEC C/GARANT. HI       2NC</v>
          </cell>
        </row>
        <row r="15930">
          <cell r="B15930" t="str">
            <v>29010201000602</v>
          </cell>
          <cell r="C15930" t="str">
            <v>HPC D/P INT.DIF ESP EFEC C/GAR          2NC</v>
          </cell>
        </row>
        <row r="15931">
          <cell r="B15931" t="str">
            <v>29010201000603</v>
          </cell>
          <cell r="C15931" t="str">
            <v>HPC INT.DIF ESP EFEC C/GARANT.HIP.EMP   2NC</v>
          </cell>
        </row>
        <row r="15932">
          <cell r="B15932" t="str">
            <v>29010201000605</v>
          </cell>
          <cell r="C15932" t="str">
            <v>HPC INT.DIF ESP EFEC REGULAR.           2NC</v>
          </cell>
        </row>
        <row r="15933">
          <cell r="B15933" t="str">
            <v>29010201000606</v>
          </cell>
          <cell r="C15933" t="str">
            <v>HPC D/P INT.DIF ESP EFEC REGULAR.       2NC</v>
          </cell>
        </row>
        <row r="15934">
          <cell r="B15934" t="str">
            <v>29010201000617</v>
          </cell>
          <cell r="C15934" t="str">
            <v>HPC INT.DIF .VIG EFEC C/GARANT.HI       2NC</v>
          </cell>
        </row>
        <row r="15935">
          <cell r="B15935" t="str">
            <v>29010201000618</v>
          </cell>
          <cell r="C15935" t="str">
            <v>HPC COM DIF VIG EFEC C/GARANT.HIP       2NC</v>
          </cell>
        </row>
        <row r="15936">
          <cell r="B15936" t="str">
            <v>29010201000619</v>
          </cell>
          <cell r="C15936" t="str">
            <v>HPC INT.DIF ESPECIAL EFEC C/GARAN       2NC</v>
          </cell>
        </row>
        <row r="15937">
          <cell r="B15937" t="str">
            <v>29010201000620</v>
          </cell>
          <cell r="C15937" t="str">
            <v>HPC  D/P INT.DIF .VIG EFEC C/GARA       2NC</v>
          </cell>
        </row>
        <row r="15938">
          <cell r="B15938" t="str">
            <v>29010201000621</v>
          </cell>
          <cell r="C15938" t="str">
            <v>HPC  D/P COM DIF VIG EFEC C/GARAN       2NC</v>
          </cell>
        </row>
        <row r="15939">
          <cell r="B15939" t="str">
            <v>29010201000622</v>
          </cell>
          <cell r="C15939" t="str">
            <v>HPC D/P  INT.DIF ESPECIAL EFEC C/       2NC</v>
          </cell>
        </row>
        <row r="15940">
          <cell r="B15940" t="str">
            <v>29010201000623</v>
          </cell>
          <cell r="C15940" t="str">
            <v>HPC INT.DIF .VIG .PRESTAMO PERSON       2NC</v>
          </cell>
        </row>
        <row r="15941">
          <cell r="B15941" t="str">
            <v>29010201000624</v>
          </cell>
          <cell r="C15941" t="str">
            <v>HPC COM DIF VIG .PRESTAMO PERSONA       2NC</v>
          </cell>
        </row>
        <row r="15942">
          <cell r="B15942" t="str">
            <v>29010201000625</v>
          </cell>
          <cell r="C15942" t="str">
            <v>HPC INT.DIF ESPECIAL.PRESTAMO PER       2NC</v>
          </cell>
        </row>
        <row r="15943">
          <cell r="B15943" t="str">
            <v>29010201000626</v>
          </cell>
          <cell r="C15943" t="str">
            <v>HPC D/P  INT.DIF .VIG .PRESTAMO P       2NC</v>
          </cell>
        </row>
        <row r="15944">
          <cell r="B15944" t="str">
            <v>29010201000627</v>
          </cell>
          <cell r="C15944" t="str">
            <v>HPC D/P COM DIF VIG .PRESTAMO PER       2NC</v>
          </cell>
        </row>
        <row r="15945">
          <cell r="B15945" t="str">
            <v>29010201000628</v>
          </cell>
          <cell r="C15945" t="str">
            <v>HPC D/P INT.DIF ESPECIAL.PRESTAMO       2NC</v>
          </cell>
        </row>
        <row r="15946">
          <cell r="B15946" t="str">
            <v>29010201000629</v>
          </cell>
          <cell r="C15946" t="str">
            <v>HPC INT.DIF ESPECIAL CRED E             2NC</v>
          </cell>
        </row>
        <row r="15947">
          <cell r="B15947" t="str">
            <v>29010201000630</v>
          </cell>
          <cell r="C15947" t="str">
            <v>HPC D/P INT.DIF ESP EFECTIV             2NC</v>
          </cell>
        </row>
        <row r="15948">
          <cell r="B15948" t="str">
            <v>29010201000631</v>
          </cell>
          <cell r="C15948" t="str">
            <v>HPC INT DIFERIDO VIG CRED               2NC</v>
          </cell>
        </row>
        <row r="15949">
          <cell r="B15949" t="str">
            <v>29010201000632</v>
          </cell>
          <cell r="C15949" t="str">
            <v>HPC INT.DIF ESPECIAL CRED V             2NC</v>
          </cell>
        </row>
        <row r="15950">
          <cell r="B15950" t="str">
            <v>29010201000633</v>
          </cell>
          <cell r="C15950" t="str">
            <v>HPC D/P INT DIFERIDO VIG C              2NC</v>
          </cell>
        </row>
        <row r="15951">
          <cell r="B15951" t="str">
            <v>29010201000634</v>
          </cell>
          <cell r="C15951" t="str">
            <v>HPC D/P INT.DIF ESP VEHICUL             2NC</v>
          </cell>
        </row>
        <row r="15952">
          <cell r="B15952" t="str">
            <v>29010201000635</v>
          </cell>
          <cell r="C15952" t="str">
            <v>HPC INT.DIF ESP CRED VEH PROV REF VIG   2NC</v>
          </cell>
        </row>
        <row r="15953">
          <cell r="B15953" t="str">
            <v>29010201000703</v>
          </cell>
          <cell r="C15953" t="str">
            <v>IC S INT DIFERIDO CREDITO VEHICULAR     2NC</v>
          </cell>
        </row>
        <row r="15954">
          <cell r="B15954" t="str">
            <v>29010201000801</v>
          </cell>
          <cell r="C15954" t="str">
            <v>HPC ME INT.DIF ESPECIAL CRED EFECTIVO   2NC</v>
          </cell>
        </row>
        <row r="15955">
          <cell r="B15955" t="str">
            <v>29010201000802</v>
          </cell>
          <cell r="C15955" t="str">
            <v>HPC ME INT DIFERIDO VIG  CRED VEHICULAR 2NC</v>
          </cell>
        </row>
        <row r="15956">
          <cell r="B15956" t="str">
            <v>29010201000803</v>
          </cell>
          <cell r="C15956" t="str">
            <v>HPC ME INT.DIF ESPECIAL CRED VEHICULAR  2NC</v>
          </cell>
        </row>
        <row r="15957">
          <cell r="B15957" t="str">
            <v>29010201000804</v>
          </cell>
          <cell r="C15957" t="str">
            <v>HPC ME D/P INT.DIF ESP EFECTIVO         2NC</v>
          </cell>
        </row>
        <row r="15958">
          <cell r="B15958" t="str">
            <v>29010201000805</v>
          </cell>
          <cell r="C15958" t="str">
            <v>HPC ME D/P INT DIFERIDO VIG  CRED VEHICU2NC</v>
          </cell>
        </row>
        <row r="15959">
          <cell r="B15959" t="str">
            <v>29010201000806</v>
          </cell>
          <cell r="C15959" t="str">
            <v>HPC ME D/P INT.DIF ESP VEHICULAR        2NC</v>
          </cell>
        </row>
        <row r="15960">
          <cell r="B15960" t="str">
            <v>29010201000901</v>
          </cell>
          <cell r="C15960" t="str">
            <v>PR INT DIFER LETRAS  DSCTO  CCOR        2NC</v>
          </cell>
        </row>
        <row r="15961">
          <cell r="B15961" t="str">
            <v>29010201000902</v>
          </cell>
          <cell r="C15961" t="str">
            <v>PR INT DIFER LETRAS  DSCTO  CGEM        2NC</v>
          </cell>
        </row>
        <row r="15962">
          <cell r="B15962" t="str">
            <v>29010201000903</v>
          </cell>
          <cell r="C15962" t="str">
            <v>PR INT DIFER LETRAS  DSCTO  CESP        2NC</v>
          </cell>
        </row>
        <row r="15963">
          <cell r="B15963" t="str">
            <v>29010201000904</v>
          </cell>
          <cell r="C15963" t="str">
            <v>FCD INT DIFER LETRAS  DSCTO  CMED       2NC</v>
          </cell>
        </row>
        <row r="15964">
          <cell r="B15964" t="str">
            <v>29010201000905</v>
          </cell>
          <cell r="C15964" t="str">
            <v>FCD INT DIFER LETRAS  DSCTO  CPEM       2NC</v>
          </cell>
        </row>
        <row r="15965">
          <cell r="B15965" t="str">
            <v>29010201000906</v>
          </cell>
          <cell r="C15965" t="str">
            <v>PR DSCTO ELECTR SM PERU I.DIF CCOR      2NC</v>
          </cell>
        </row>
        <row r="15966">
          <cell r="B15966" t="str">
            <v>29010201000907</v>
          </cell>
          <cell r="C15966" t="str">
            <v>PR DSCTO ELECTR SM PERU I.DIF CCOR      2NC</v>
          </cell>
        </row>
        <row r="15967">
          <cell r="B15967" t="str">
            <v>29010201000908</v>
          </cell>
          <cell r="C15967" t="str">
            <v>PR DSCTO ELECTR SM PERU I.DIF CGEM      2NC</v>
          </cell>
        </row>
        <row r="15968">
          <cell r="B15968" t="str">
            <v>29010201000909</v>
          </cell>
          <cell r="C15968" t="str">
            <v>FCD DSCTO ELECTR SM PERU I.DIF CMED     2NC</v>
          </cell>
        </row>
        <row r="15969">
          <cell r="B15969" t="str">
            <v>29010201000910</v>
          </cell>
          <cell r="C15969" t="str">
            <v>FCD DSCTO ELECTR SM PERU I.DIF CMED     2NC</v>
          </cell>
        </row>
        <row r="15970">
          <cell r="B15970" t="str">
            <v>29010201000911</v>
          </cell>
          <cell r="C15970" t="str">
            <v>FCD DSCTO ELECTR DIF.DUDOSO CCOR        2NC</v>
          </cell>
        </row>
        <row r="15971">
          <cell r="B15971" t="str">
            <v>29010201000912</v>
          </cell>
          <cell r="C15971" t="str">
            <v>FCD DSCTO ELECTR DIF. DUDOSO CESP       2NC</v>
          </cell>
        </row>
        <row r="15972">
          <cell r="B15972" t="str">
            <v>29010201000913</v>
          </cell>
          <cell r="C15972" t="str">
            <v>FCD DSCTO ELECTR DIF.DUDOSO CGEM        2NC</v>
          </cell>
        </row>
        <row r="15973">
          <cell r="B15973" t="str">
            <v>29010201000914</v>
          </cell>
          <cell r="C15973" t="str">
            <v>FCD DSCTO ELECTR DIF.DUDOSO CMED        2NC</v>
          </cell>
        </row>
        <row r="15974">
          <cell r="B15974" t="str">
            <v>29010201000915</v>
          </cell>
          <cell r="C15974" t="str">
            <v>FCD DSCTO ELECTR DIF.DUDOSO CMIE        2NC</v>
          </cell>
        </row>
        <row r="15975">
          <cell r="B15975" t="str">
            <v>29010201000916</v>
          </cell>
          <cell r="C15975" t="str">
            <v>FCD DSCTO ELECTR DIF.DUDOSO CPEM        2NC</v>
          </cell>
        </row>
        <row r="15976">
          <cell r="B15976" t="str">
            <v>29010201000917</v>
          </cell>
          <cell r="C15976" t="str">
            <v>FCD CONFIRMING INTERNACIONAL  INT.DIF NO2NC</v>
          </cell>
        </row>
        <row r="15977">
          <cell r="B15977" t="str">
            <v>29010201000918</v>
          </cell>
          <cell r="C15977" t="str">
            <v>FCD CONFIRMING INTERNACIONAL  INT.DIF DU2NC</v>
          </cell>
        </row>
        <row r="15978">
          <cell r="B15978" t="str">
            <v>29010201001001</v>
          </cell>
          <cell r="C15978" t="str">
            <v>CL EX FACTORING FORFAITING INT.DIF      2NC</v>
          </cell>
        </row>
        <row r="15979">
          <cell r="B15979" t="str">
            <v>29010201001002</v>
          </cell>
          <cell r="C15979" t="str">
            <v>CL  CONFIRMING INTER INT.DIF            2NC</v>
          </cell>
        </row>
        <row r="15980">
          <cell r="B15980" t="str">
            <v>29010201001101</v>
          </cell>
          <cell r="C15980" t="str">
            <v>GARANTIA LEASEBACK BIENES INMUEBLES     2NC</v>
          </cell>
        </row>
        <row r="15981">
          <cell r="B15981" t="str">
            <v>29010201005102</v>
          </cell>
          <cell r="C15981" t="str">
            <v>PR INT DIFER LETRAS T DSCTOÂ  CCOR      2NC</v>
          </cell>
        </row>
        <row r="15982">
          <cell r="B15982" t="str">
            <v>29010201005107</v>
          </cell>
          <cell r="C15982" t="str">
            <v>PR INT DIFER LETRAS T DSCTOÂ  CESP      2NC</v>
          </cell>
        </row>
        <row r="15983">
          <cell r="B15983" t="str">
            <v>29010201005110</v>
          </cell>
          <cell r="C15983" t="str">
            <v>PR INT DIFER LETRAS T DSCTOÂ  CGEM      2NC</v>
          </cell>
        </row>
        <row r="15984">
          <cell r="B15984" t="str">
            <v>29010201005111</v>
          </cell>
          <cell r="C15984" t="str">
            <v>PR INT DIFER LETRAS T DSCTOÂ  CMED      2NC</v>
          </cell>
        </row>
        <row r="15985">
          <cell r="B15985" t="str">
            <v>29010201005112</v>
          </cell>
          <cell r="C15985" t="str">
            <v>PR INT DIFER LETRAS T DSCTOÂ  CMIE      2NC</v>
          </cell>
        </row>
        <row r="15986">
          <cell r="B15986" t="str">
            <v>29010201005113</v>
          </cell>
          <cell r="C15986" t="str">
            <v>PR INT DIFER LETRAS T DSCTOÂ  CPEM      2NC</v>
          </cell>
        </row>
        <row r="15987">
          <cell r="B15987" t="str">
            <v>29010201005114</v>
          </cell>
          <cell r="C15987" t="str">
            <v>CDO REPROG INT Y COM VIGENTE EN TC      2NC</v>
          </cell>
        </row>
        <row r="15988">
          <cell r="B15988" t="str">
            <v>29010201005115</v>
          </cell>
          <cell r="C15988" t="str">
            <v>HPC INT.DIFERIDO VIG CONV PRIVADO       2NC</v>
          </cell>
        </row>
        <row r="15989">
          <cell r="B15989" t="str">
            <v>29010201005116</v>
          </cell>
          <cell r="C15989" t="str">
            <v>HPC MICROPRESTAMOS INT DIFE SEG DESG VIG2 C</v>
          </cell>
        </row>
        <row r="15990">
          <cell r="B15990" t="str">
            <v>29010201005117</v>
          </cell>
          <cell r="C15990" t="str">
            <v>HPC MICROPRESTAMOS INT DIFE SEG DESG VIG2 C</v>
          </cell>
        </row>
        <row r="15991">
          <cell r="B15991" t="str">
            <v>29010201005118</v>
          </cell>
          <cell r="C15991" t="str">
            <v>HPC INT.DIFERIDO VIG CONV PRIVADO GRUPO 2 C</v>
          </cell>
        </row>
        <row r="15992">
          <cell r="B15992" t="str">
            <v>29010201005119</v>
          </cell>
          <cell r="C15992" t="str">
            <v>CCD-BPE LINEA REVOLVENTE_ DIFE VIG      2 C</v>
          </cell>
        </row>
        <row r="15993">
          <cell r="B15993" t="str">
            <v>29010201005120</v>
          </cell>
          <cell r="C15993" t="str">
            <v>CCD BPE CAPITAL DE TRABAJO_CCOR VIG DIFE2 C</v>
          </cell>
        </row>
        <row r="15994">
          <cell r="B15994" t="str">
            <v>29010205000101</v>
          </cell>
          <cell r="C15994" t="str">
            <v>IC INT DIF VENC VEHIC                   2NC</v>
          </cell>
        </row>
        <row r="15995">
          <cell r="B15995" t="str">
            <v>29010205000111</v>
          </cell>
          <cell r="C15995" t="str">
            <v>HPC INT.DIF .VENC EFEC C/GARANT.H       2NC</v>
          </cell>
        </row>
        <row r="15996">
          <cell r="B15996" t="str">
            <v>29010205000112</v>
          </cell>
          <cell r="C15996" t="str">
            <v>HPC COM DIF VENC EFEC C/GARANT.HI       2NC</v>
          </cell>
        </row>
        <row r="15997">
          <cell r="B15997" t="str">
            <v>29010205000113</v>
          </cell>
          <cell r="C15997" t="str">
            <v>HPC D/P  INT.DIF .VENC EFEC C/GAR       2NC</v>
          </cell>
        </row>
        <row r="15998">
          <cell r="B15998" t="str">
            <v>29010205000114</v>
          </cell>
          <cell r="C15998" t="str">
            <v>HPC  D/P COM DIF VENC EFEC C/GARA       2NC</v>
          </cell>
        </row>
        <row r="15999">
          <cell r="B15999" t="str">
            <v>29010205000115</v>
          </cell>
          <cell r="C15999" t="str">
            <v>HPC INT.DIF .VENC .PRESTAMO PERSO       2NC</v>
          </cell>
        </row>
        <row r="16000">
          <cell r="B16000" t="str">
            <v>29010205000116</v>
          </cell>
          <cell r="C16000" t="str">
            <v>HPC COM DIF VENC .PRESTAMO PERSON       2NC</v>
          </cell>
        </row>
        <row r="16001">
          <cell r="B16001" t="str">
            <v>29010205000117</v>
          </cell>
          <cell r="C16001" t="str">
            <v>HPC D/P  INT.DIF .VENC .PRESTAMO        2NC</v>
          </cell>
        </row>
        <row r="16002">
          <cell r="B16002" t="str">
            <v>29010205000118</v>
          </cell>
          <cell r="C16002" t="str">
            <v>HPC D/P  COM DIF VENC .PRESTAMO P       2NC</v>
          </cell>
        </row>
        <row r="16003">
          <cell r="B16003" t="str">
            <v>29010205000201</v>
          </cell>
          <cell r="C16003" t="str">
            <v>HPC ME INT DIFERIDO VENC  CRED VEHICULAR2NC</v>
          </cell>
        </row>
        <row r="16004">
          <cell r="B16004" t="str">
            <v>29010205000202</v>
          </cell>
          <cell r="C16004" t="str">
            <v>HPC ME D/P INT DIFERIDO VENC  CRED VEHIC2NC</v>
          </cell>
        </row>
        <row r="16005">
          <cell r="B16005" t="str">
            <v>29010205000203</v>
          </cell>
          <cell r="C16005" t="str">
            <v>INT COMIS COB ANTIC CRED VENCIDO        2NC</v>
          </cell>
        </row>
        <row r="16006">
          <cell r="B16006" t="str">
            <v>29010205000301</v>
          </cell>
          <cell r="C16006" t="str">
            <v>GARANTIA LEASE BACK  BIENES  MUEBLES    2NC</v>
          </cell>
        </row>
        <row r="16007">
          <cell r="B16007" t="str">
            <v>29010205002307</v>
          </cell>
          <cell r="C16007" t="str">
            <v>HPC INT DIFERIDO VENC CRED              2NC</v>
          </cell>
        </row>
        <row r="16008">
          <cell r="B16008" t="str">
            <v>29010205002308</v>
          </cell>
          <cell r="C16008" t="str">
            <v>HPC D/P INT DIFERIDO VENC               2NC</v>
          </cell>
        </row>
        <row r="16009">
          <cell r="B16009" t="str">
            <v>29010205002309</v>
          </cell>
          <cell r="C16009" t="str">
            <v>CDO REPROG INT Y COM VENCIDOS EN TC     2NC</v>
          </cell>
        </row>
        <row r="16010">
          <cell r="B16010" t="str">
            <v>29010205002310</v>
          </cell>
          <cell r="C16010" t="str">
            <v>HPC INT.DIFERIDO VEN CONV PRIVADO       2NC</v>
          </cell>
        </row>
        <row r="16011">
          <cell r="B16011" t="str">
            <v>29010205002311</v>
          </cell>
          <cell r="C16011" t="str">
            <v>HPC MICROPRESTAMOS INT DIFE VEN         2 C</v>
          </cell>
        </row>
        <row r="16012">
          <cell r="B16012" t="str">
            <v>29010205002312</v>
          </cell>
          <cell r="C16012" t="str">
            <v>HPC INT.DIFERIDO VEN CONV PRIVADO GRUPO 2 C</v>
          </cell>
        </row>
        <row r="16013">
          <cell r="B16013" t="str">
            <v>29010205002313</v>
          </cell>
          <cell r="C16013" t="str">
            <v>CCD-BPE LINEA REVOLVENTE_ DIFE VEN      2 C</v>
          </cell>
        </row>
        <row r="16014">
          <cell r="B16014" t="str">
            <v>29010205002314</v>
          </cell>
          <cell r="C16014" t="str">
            <v>CCD BPE CAPITAL DE TRABAJO_CCOR VEN DIFE2 C</v>
          </cell>
        </row>
        <row r="16015">
          <cell r="B16015" t="str">
            <v>29010206000101</v>
          </cell>
          <cell r="C16015" t="str">
            <v>INT COMIS COB ANTIC CRED COB JUDIC      2NC</v>
          </cell>
        </row>
        <row r="16016">
          <cell r="B16016" t="str">
            <v>29010207000101</v>
          </cell>
          <cell r="C16016" t="str">
            <v>COM ACEPTACION C/C EXPORTACION          2NC</v>
          </cell>
        </row>
        <row r="16017">
          <cell r="B16017" t="str">
            <v>29010207000102</v>
          </cell>
          <cell r="C16017" t="str">
            <v>COM ACEPTACION C/C IMPORTACION          2NC</v>
          </cell>
        </row>
        <row r="16018">
          <cell r="B16018" t="str">
            <v>29010207000103</v>
          </cell>
          <cell r="C16018" t="str">
            <v>COM C/C EXPO CONFIRMADAS                2NC</v>
          </cell>
        </row>
        <row r="16019">
          <cell r="B16019" t="str">
            <v>29010207000104</v>
          </cell>
          <cell r="C16019" t="str">
            <v>COM PAGO C/C IMPORTACION                2NC</v>
          </cell>
        </row>
        <row r="16020">
          <cell r="B16020" t="str">
            <v>29010207000105</v>
          </cell>
          <cell r="C16020" t="str">
            <v>SCF COM TASA DESCONTADA CARTA FIANZA    2NC</v>
          </cell>
        </row>
        <row r="16021">
          <cell r="B16021" t="str">
            <v>29010300000101</v>
          </cell>
          <cell r="C16021" t="str">
            <v>ALQUILER DE INMUEBLES                   2NC</v>
          </cell>
        </row>
        <row r="16022">
          <cell r="B16022" t="str">
            <v>29010400000101</v>
          </cell>
          <cell r="C16022" t="str">
            <v>INT.NO DEVENGADOS - LEASING             2NC</v>
          </cell>
        </row>
        <row r="16023">
          <cell r="B16023" t="str">
            <v>29010400000115</v>
          </cell>
          <cell r="C16023" t="str">
            <v>INT LEASING BIEN RP LPC                 2NC</v>
          </cell>
        </row>
        <row r="16024">
          <cell r="B16024" t="str">
            <v>29010400000116</v>
          </cell>
          <cell r="C16024" t="str">
            <v>CIA SEGUROS LEASING RP LPC              2NC</v>
          </cell>
        </row>
        <row r="16025">
          <cell r="B16025" t="str">
            <v>29010400000117</v>
          </cell>
          <cell r="C16025" t="str">
            <v>INT LEASING SEG RP LPC                  2NC</v>
          </cell>
        </row>
        <row r="16026">
          <cell r="B16026" t="str">
            <v>29010400000118</v>
          </cell>
          <cell r="C16026" t="str">
            <v>INT LEASING BIEN D/P RP LPC             2NC</v>
          </cell>
        </row>
        <row r="16027">
          <cell r="B16027" t="str">
            <v>29010400000119</v>
          </cell>
          <cell r="C16027" t="str">
            <v>CIA SEGUROS LEASING D/P RP LPC          2NC</v>
          </cell>
        </row>
        <row r="16028">
          <cell r="B16028" t="str">
            <v>29010400000120</v>
          </cell>
          <cell r="C16028" t="str">
            <v>INT LEASING SEG D/P RP LPC              2NC</v>
          </cell>
        </row>
        <row r="16029">
          <cell r="B16029" t="str">
            <v>29010401010101</v>
          </cell>
          <cell r="C16029" t="str">
            <v>LPC IDL LS BIEN D/P INT.DIFE VIG        2NC</v>
          </cell>
        </row>
        <row r="16030">
          <cell r="B16030" t="str">
            <v>29010401010102</v>
          </cell>
          <cell r="C16030" t="str">
            <v>LPC IDS LS BIEN D/P INT.SEG VIG         2NC</v>
          </cell>
        </row>
        <row r="16031">
          <cell r="B16031" t="str">
            <v>29010401010103</v>
          </cell>
          <cell r="C16031" t="str">
            <v>CIA SEGUROS LEASING D/P RP LPC          2NC</v>
          </cell>
        </row>
        <row r="16032">
          <cell r="B16032" t="str">
            <v>29010401010104</v>
          </cell>
          <cell r="C16032" t="str">
            <v>BL VALOR AGREGADO DIFER.RENDIM CAP      2NC</v>
          </cell>
        </row>
        <row r="16033">
          <cell r="B16033" t="str">
            <v>29010401010105</v>
          </cell>
          <cell r="C16033" t="str">
            <v>IGV ARRENDAMIENTO FINAN. NO DEVENG      2NC</v>
          </cell>
        </row>
        <row r="16034">
          <cell r="B16034" t="str">
            <v>29010401010106</v>
          </cell>
          <cell r="C16034" t="str">
            <v>LPC IDL LS BIEN RP INT.DIF VIG          2NC</v>
          </cell>
        </row>
        <row r="16035">
          <cell r="B16035" t="str">
            <v>29010401010107</v>
          </cell>
          <cell r="C16035" t="str">
            <v>LPC IDS LS BIEN RP DIF.VIG SEG          2NC</v>
          </cell>
        </row>
        <row r="16036">
          <cell r="B16036" t="str">
            <v>29010401010108</v>
          </cell>
          <cell r="C16036" t="str">
            <v>CIA SEGUROS LEASING RP LPC              2NC</v>
          </cell>
        </row>
        <row r="16037">
          <cell r="B16037" t="str">
            <v>29010401010109</v>
          </cell>
          <cell r="C16037" t="str">
            <v>LPC IDS LS BIEN ADJU.DIF.SEG VIG        2NC</v>
          </cell>
        </row>
        <row r="16038">
          <cell r="B16038" t="str">
            <v>29010401010110</v>
          </cell>
          <cell r="C16038" t="str">
            <v>LPC DIF.VIG LSG BIEN ADJ. D/P RP        2NC</v>
          </cell>
        </row>
        <row r="16039">
          <cell r="B16039" t="str">
            <v>29010401010112</v>
          </cell>
          <cell r="C16039" t="str">
            <v>LPC IDL LS BIEN ADJU.INT.DIF VIG        2NC</v>
          </cell>
        </row>
        <row r="16040">
          <cell r="B16040" t="str">
            <v>29010401010115</v>
          </cell>
          <cell r="C16040" t="str">
            <v>LPC IDL LSBACK OTRO SUS.DIF.VIG         2NC</v>
          </cell>
        </row>
        <row r="16041">
          <cell r="B16041" t="str">
            <v>29010401010701</v>
          </cell>
          <cell r="C16041" t="str">
            <v>LPC SISMO IDL LSG INT DIF VIG           2NC</v>
          </cell>
        </row>
        <row r="16042">
          <cell r="B16042" t="str">
            <v>29010401010702</v>
          </cell>
          <cell r="C16042" t="str">
            <v>LPC SISM IDL LSG INT DIF SEG VIG        2NC</v>
          </cell>
        </row>
        <row r="16043">
          <cell r="B16043" t="str">
            <v>29010401010703</v>
          </cell>
          <cell r="C16043" t="str">
            <v>LPC IDL LS BIEN BPE INT.DIF VIG         2NC</v>
          </cell>
        </row>
        <row r="16044">
          <cell r="B16044" t="str">
            <v>29010401010704</v>
          </cell>
          <cell r="C16044" t="str">
            <v>LPC IDS LS BIEN BPE DIF.VIG SEG         2NC</v>
          </cell>
        </row>
        <row r="16045">
          <cell r="B16045" t="str">
            <v>29010401010705</v>
          </cell>
          <cell r="C16045" t="str">
            <v>LPC IDL LS B.D/P INT.DIF.VIG BPE        2NC</v>
          </cell>
        </row>
        <row r="16046">
          <cell r="B16046" t="str">
            <v>29010401010706</v>
          </cell>
          <cell r="C16046" t="str">
            <v>LPC IDS LS B.D/P INT.SEG VIG BPE        2NC</v>
          </cell>
        </row>
        <row r="16047">
          <cell r="B16047" t="str">
            <v>29010401010801</v>
          </cell>
          <cell r="C16047" t="str">
            <v>LPC IDL MYP INT LEASING BIEN CMIE       2NC</v>
          </cell>
        </row>
        <row r="16048">
          <cell r="B16048" t="str">
            <v>29010401010802</v>
          </cell>
          <cell r="C16048" t="str">
            <v>LPC IDS MYP INT LEASING BIEN CMIE       2NC</v>
          </cell>
        </row>
        <row r="16049">
          <cell r="B16049" t="str">
            <v>29010401010803</v>
          </cell>
          <cell r="C16049" t="str">
            <v>LPC IDL INT DIF MYP LS D/P CMIE         2NC</v>
          </cell>
        </row>
        <row r="16050">
          <cell r="B16050" t="str">
            <v>29010401010804</v>
          </cell>
          <cell r="C16050" t="str">
            <v>LPC IDS INT DIF MYP LS D/P CMIE         2NC</v>
          </cell>
        </row>
        <row r="16051">
          <cell r="B16051" t="str">
            <v>29010401010805</v>
          </cell>
          <cell r="C16051" t="str">
            <v>LPC INT IDL LEASING BIEN RP CMIE        2NC</v>
          </cell>
        </row>
        <row r="16052">
          <cell r="B16052" t="str">
            <v>29010401010806</v>
          </cell>
          <cell r="C16052" t="str">
            <v>LPC INT IDS LEASING BIEN RP CMIE        2NC</v>
          </cell>
        </row>
        <row r="16053">
          <cell r="B16053" t="str">
            <v>29010401010807</v>
          </cell>
          <cell r="C16053" t="str">
            <v>LPC INT IDL LEASING BIEN D/P RP CMIE    2NC</v>
          </cell>
        </row>
        <row r="16054">
          <cell r="B16054" t="str">
            <v>29010401010808</v>
          </cell>
          <cell r="C16054" t="str">
            <v>LPC INT IDS LEASING BIEN D/P RP CMIE    2NC</v>
          </cell>
        </row>
        <row r="16055">
          <cell r="B16055" t="str">
            <v>29010401010901</v>
          </cell>
          <cell r="C16055" t="str">
            <v>LPC INT LEASING COFIDE IDL CMIE         2NC</v>
          </cell>
        </row>
        <row r="16056">
          <cell r="B16056" t="str">
            <v>29010401010902</v>
          </cell>
          <cell r="C16056" t="str">
            <v>LPC LS COFIDE INT LEASING SEG IDS CMIE  2NC</v>
          </cell>
        </row>
        <row r="16057">
          <cell r="B16057" t="str">
            <v>29010401010903</v>
          </cell>
          <cell r="C16057" t="str">
            <v>LPC INT LS COFIDE D/P IDL CMIE          2NC</v>
          </cell>
        </row>
        <row r="16058">
          <cell r="B16058" t="str">
            <v>29010401010904</v>
          </cell>
          <cell r="C16058" t="str">
            <v>LPC INT LS COFIDE SEG D/P IDS CMIE      2NC</v>
          </cell>
        </row>
        <row r="16059">
          <cell r="B16059" t="str">
            <v>29010401020101</v>
          </cell>
          <cell r="C16059" t="str">
            <v>LPC INT LEASING BIEN RP MES             2NC</v>
          </cell>
        </row>
        <row r="16060">
          <cell r="B16060" t="str">
            <v>29010401020102</v>
          </cell>
          <cell r="C16060" t="str">
            <v>LPC INT LEASING SEG RP MES              2NC</v>
          </cell>
        </row>
        <row r="16061">
          <cell r="B16061" t="str">
            <v>29010401020104</v>
          </cell>
          <cell r="C16061" t="str">
            <v>LPC INT LEASING BIEN D/P RP MES         2NC</v>
          </cell>
        </row>
        <row r="16062">
          <cell r="B16062" t="str">
            <v>29010401020105</v>
          </cell>
          <cell r="C16062" t="str">
            <v>LPC INT LEASING SEG D/P RP MES          2NC</v>
          </cell>
        </row>
        <row r="16063">
          <cell r="B16063" t="str">
            <v>29010401020109</v>
          </cell>
          <cell r="C16063" t="str">
            <v>LPC INT LSG ADJ. BIEN D/P MES RP        2NC</v>
          </cell>
        </row>
        <row r="16064">
          <cell r="B16064" t="str">
            <v>29010401020110</v>
          </cell>
          <cell r="C16064" t="str">
            <v>LPC INT LSG ADJ. SEG D/P MES RP         2NC</v>
          </cell>
        </row>
        <row r="16065">
          <cell r="B16065" t="str">
            <v>29010401020111</v>
          </cell>
          <cell r="C16065" t="str">
            <v>LPC INT LEASING BIEN BPE MES            2NC</v>
          </cell>
        </row>
        <row r="16066">
          <cell r="B16066" t="str">
            <v>29010401020112</v>
          </cell>
          <cell r="C16066" t="str">
            <v>LPC INT LEASING SEG BPE MES             2NC</v>
          </cell>
        </row>
        <row r="16067">
          <cell r="B16067" t="str">
            <v>29010401020113</v>
          </cell>
          <cell r="C16067" t="str">
            <v>LPC INT LS BIEN D/P BPE MES             2NC</v>
          </cell>
        </row>
        <row r="16068">
          <cell r="B16068" t="str">
            <v>29010401020114</v>
          </cell>
          <cell r="C16068" t="str">
            <v>LPC INT LS SEG D/P BPE MES              2NC</v>
          </cell>
        </row>
        <row r="16069">
          <cell r="B16069" t="str">
            <v>29010401030103</v>
          </cell>
          <cell r="C16069" t="str">
            <v>LPC INT LEAS BIEN D/P RP CESP           2NC</v>
          </cell>
        </row>
        <row r="16070">
          <cell r="B16070" t="str">
            <v>29010401030104</v>
          </cell>
          <cell r="C16070" t="str">
            <v>LPC INT LEAS SEG D/P RP CESP            2NC</v>
          </cell>
        </row>
        <row r="16071">
          <cell r="B16071" t="str">
            <v>29010401030201</v>
          </cell>
          <cell r="C16071" t="str">
            <v>LPC INT LEASING COFIDE IDL CESP         2NC</v>
          </cell>
        </row>
        <row r="16072">
          <cell r="B16072" t="str">
            <v>29010401030202</v>
          </cell>
          <cell r="C16072" t="str">
            <v>LPC LS COFIDE INT LEASING SEG IDS CESP  2NC</v>
          </cell>
        </row>
        <row r="16073">
          <cell r="B16073" t="str">
            <v>29010401030203</v>
          </cell>
          <cell r="C16073" t="str">
            <v>LPC INT LS COFIDE D/P IDL CESP          2NC</v>
          </cell>
        </row>
        <row r="16074">
          <cell r="B16074" t="str">
            <v>29010401030204</v>
          </cell>
          <cell r="C16074" t="str">
            <v>LPC INT LS COFIDE SEG D/P IDS CESP      2NC</v>
          </cell>
        </row>
        <row r="16075">
          <cell r="B16075" t="str">
            <v>29010401040101</v>
          </cell>
          <cell r="C16075" t="str">
            <v>LPC IDL INT LEASEBACK BIEN RP LPC       2NC</v>
          </cell>
        </row>
        <row r="16076">
          <cell r="B16076" t="str">
            <v>29010401040102</v>
          </cell>
          <cell r="C16076" t="str">
            <v>CIA SEGUROS LEASEBACK RP LPC            2NC</v>
          </cell>
        </row>
        <row r="16077">
          <cell r="B16077" t="str">
            <v>29010401040103</v>
          </cell>
          <cell r="C16077" t="str">
            <v>LPC IDS LSBACK BIEN DIF.SEG VIG         2NC</v>
          </cell>
        </row>
        <row r="16078">
          <cell r="B16078" t="str">
            <v>29010401040104</v>
          </cell>
          <cell r="C16078" t="str">
            <v>LPC IDL LSBACK BIEN D/P DIFE.VIG        2NC</v>
          </cell>
        </row>
        <row r="16079">
          <cell r="B16079" t="str">
            <v>29010401040107</v>
          </cell>
          <cell r="C16079" t="str">
            <v>LPC INT LEASING BIEN RP CIVA            2NC</v>
          </cell>
        </row>
        <row r="16080">
          <cell r="B16080" t="str">
            <v>29010401040108</v>
          </cell>
          <cell r="C16080" t="str">
            <v>LPC INT LEASING SEG RP CIVA             2NC</v>
          </cell>
        </row>
        <row r="16081">
          <cell r="B16081" t="str">
            <v>29010401040109</v>
          </cell>
          <cell r="C16081" t="str">
            <v>LPC INT LEAS BIEN D/P RP CIVA           2NC</v>
          </cell>
        </row>
        <row r="16082">
          <cell r="B16082" t="str">
            <v>29010401040110</v>
          </cell>
          <cell r="C16082" t="str">
            <v>LPC INT LEAS SEG D/P RP CIVA            2NC</v>
          </cell>
        </row>
        <row r="16083">
          <cell r="B16083" t="str">
            <v>29010401040201</v>
          </cell>
          <cell r="C16083" t="str">
            <v>LPC INT LEASING COFIDE IDL CIVA         2NC</v>
          </cell>
        </row>
        <row r="16084">
          <cell r="B16084" t="str">
            <v>29010401040202</v>
          </cell>
          <cell r="C16084" t="str">
            <v>LPC LS COFIDE INT LEASING SEG IDS CIVA  2NC</v>
          </cell>
        </row>
        <row r="16085">
          <cell r="B16085" t="str">
            <v>29010401040203</v>
          </cell>
          <cell r="C16085" t="str">
            <v>LPC INT LS COFIDE D/P IDL CIVA          2NC</v>
          </cell>
        </row>
        <row r="16086">
          <cell r="B16086" t="str">
            <v>29010401040204</v>
          </cell>
          <cell r="C16086" t="str">
            <v>LPC INT LS COFIDE SEG D/P IDS CIVA      2NC</v>
          </cell>
        </row>
        <row r="16087">
          <cell r="B16087" t="str">
            <v>29010401050101</v>
          </cell>
          <cell r="C16087" t="str">
            <v>LPC INT LEASEBACK BIEN RP MES           2NC</v>
          </cell>
        </row>
        <row r="16088">
          <cell r="B16088" t="str">
            <v>29010401050103</v>
          </cell>
          <cell r="C16088" t="str">
            <v>LPC INT LEASEBACK SEG RP MES            2NC</v>
          </cell>
        </row>
        <row r="16089">
          <cell r="B16089" t="str">
            <v>29010401050104</v>
          </cell>
          <cell r="C16089" t="str">
            <v>LPC INT LEASEBACK BIEN D/P RP MES       2NC</v>
          </cell>
        </row>
        <row r="16090">
          <cell r="B16090" t="str">
            <v>29010401050106</v>
          </cell>
          <cell r="C16090" t="str">
            <v>LPC INT LSBACK SEG D/P RP MES           2NC</v>
          </cell>
        </row>
        <row r="16091">
          <cell r="B16091" t="str">
            <v>29010401050107</v>
          </cell>
          <cell r="C16091" t="str">
            <v>LPC INT LS LA FIDUCIARIA IDL CESF       2NC</v>
          </cell>
        </row>
        <row r="16092">
          <cell r="B16092" t="str">
            <v>29010401050108</v>
          </cell>
          <cell r="C16092" t="str">
            <v>LPC LS LA FIDUC INT LEASING SEG IDS CESF2NC</v>
          </cell>
        </row>
        <row r="16093">
          <cell r="B16093" t="str">
            <v>29010401050109</v>
          </cell>
          <cell r="C16093" t="str">
            <v>LPC INT LS LA FIDUCIARIA D/P IDL CESF   2NC</v>
          </cell>
        </row>
        <row r="16094">
          <cell r="B16094" t="str">
            <v>29010401050110</v>
          </cell>
          <cell r="C16094" t="str">
            <v>LPC INT LS LA FIDUC SEG D/P IDS CESF    2NC</v>
          </cell>
        </row>
        <row r="16095">
          <cell r="B16095" t="str">
            <v>29010401060101</v>
          </cell>
          <cell r="C16095" t="str">
            <v>LPC INT LEASING BIEN RP CCOR            2NC</v>
          </cell>
        </row>
        <row r="16096">
          <cell r="B16096" t="str">
            <v>29010401060102</v>
          </cell>
          <cell r="C16096" t="str">
            <v>290104010601020000                      2NC</v>
          </cell>
        </row>
        <row r="16097">
          <cell r="B16097" t="str">
            <v>29010401060103</v>
          </cell>
          <cell r="C16097" t="str">
            <v>LPC INT LEAS BIEN D/P RP CCOR           2NC</v>
          </cell>
        </row>
        <row r="16098">
          <cell r="B16098" t="str">
            <v>29010401060104</v>
          </cell>
          <cell r="C16098" t="str">
            <v>LPC INT LEAS SEG D/P RP CCOR            2NC</v>
          </cell>
        </row>
        <row r="16099">
          <cell r="B16099" t="str">
            <v>29010401060201</v>
          </cell>
          <cell r="C16099" t="str">
            <v>LPC DIF.VIG LS  BIEN OTROS SUSP RP CCOR 2NC</v>
          </cell>
        </row>
        <row r="16100">
          <cell r="B16100" t="str">
            <v>29010401060202</v>
          </cell>
          <cell r="C16100" t="str">
            <v>LPC DIF VIG LS SEG OTROS SUSP RP CCOR   2NC</v>
          </cell>
        </row>
        <row r="16101">
          <cell r="B16101" t="str">
            <v>29010401060401</v>
          </cell>
          <cell r="C16101" t="str">
            <v>LPC DIF.VIG LSG BIEN ADJ. RP CCOR       2NC</v>
          </cell>
        </row>
        <row r="16102">
          <cell r="B16102" t="str">
            <v>29010401060402</v>
          </cell>
          <cell r="C16102" t="str">
            <v>LPC DIF.VIG LSG SEG. ADJ. RP CCOR       2NC</v>
          </cell>
        </row>
        <row r="16103">
          <cell r="B16103" t="str">
            <v>29010401060403</v>
          </cell>
          <cell r="C16103" t="str">
            <v>LPC DIF.VIG LSG BIEN ADJ. D/P CCOR      2NC</v>
          </cell>
        </row>
        <row r="16104">
          <cell r="B16104" t="str">
            <v>29010401060404</v>
          </cell>
          <cell r="C16104" t="str">
            <v>LPC DIF.VIG LSG SEG. ADJ. D/P CCOR      2NC</v>
          </cell>
        </row>
        <row r="16105">
          <cell r="B16105" t="str">
            <v>29010401060501</v>
          </cell>
          <cell r="C16105" t="str">
            <v>LPC INT LEASING COFIDE IDL CCOR         2NC</v>
          </cell>
        </row>
        <row r="16106">
          <cell r="B16106" t="str">
            <v>29010401060502</v>
          </cell>
          <cell r="C16106" t="str">
            <v>LPC LS COFIDE INT LEASING SEG IDS CCOR  2NC</v>
          </cell>
        </row>
        <row r="16107">
          <cell r="B16107" t="str">
            <v>29010401060503</v>
          </cell>
          <cell r="C16107" t="str">
            <v>LPC INT LS COFIDE D/P IDL CCOR          2NC</v>
          </cell>
        </row>
        <row r="16108">
          <cell r="B16108" t="str">
            <v>29010401060504</v>
          </cell>
          <cell r="C16108" t="str">
            <v>LPC INT LS COFIDE SEG D/P IDS CCOR      2NC</v>
          </cell>
        </row>
        <row r="16109">
          <cell r="B16109" t="str">
            <v>29010401070101</v>
          </cell>
          <cell r="C16109" t="str">
            <v>LPC INT LEASING BIEN RP CGEM            2NC</v>
          </cell>
        </row>
        <row r="16110">
          <cell r="B16110" t="str">
            <v>29010401070102</v>
          </cell>
          <cell r="C16110" t="str">
            <v>LPC INT LEASING SEG RP CGEM             2NC</v>
          </cell>
        </row>
        <row r="16111">
          <cell r="B16111" t="str">
            <v>29010401070103</v>
          </cell>
          <cell r="C16111" t="str">
            <v>LPC INT LEAS BIEN D/P RP CGEM           2NC</v>
          </cell>
        </row>
        <row r="16112">
          <cell r="B16112" t="str">
            <v>29010401070104</v>
          </cell>
          <cell r="C16112" t="str">
            <v>LPC INT LEAS SEG D/P RP CGEM            2NC</v>
          </cell>
        </row>
        <row r="16113">
          <cell r="B16113" t="str">
            <v>29010401070401</v>
          </cell>
          <cell r="C16113" t="str">
            <v>LPC DIF.VIG LSG BIEN ADJ. RP CGEM       2NC</v>
          </cell>
        </row>
        <row r="16114">
          <cell r="B16114" t="str">
            <v>29010401070402</v>
          </cell>
          <cell r="C16114" t="str">
            <v>LPC DIF.VIG LSG SEG. ADJ. RP CGEM       2NC</v>
          </cell>
        </row>
        <row r="16115">
          <cell r="B16115" t="str">
            <v>29010401070403</v>
          </cell>
          <cell r="C16115" t="str">
            <v>LPC DIF.VIG LSG BIEN ADJ. D/P CGEM      2NC</v>
          </cell>
        </row>
        <row r="16116">
          <cell r="B16116" t="str">
            <v>29010401070404</v>
          </cell>
          <cell r="C16116" t="str">
            <v>LPC DIF.VIG LSG SEG. ADJ. D/P CGEM      2NC</v>
          </cell>
        </row>
        <row r="16117">
          <cell r="B16117" t="str">
            <v>29010401070405</v>
          </cell>
          <cell r="C16117" t="str">
            <v>LPC DIF.VIG LS  BIEN OTROS SUSP RP CGEM 2NC</v>
          </cell>
        </row>
        <row r="16118">
          <cell r="B16118" t="str">
            <v>29010401070406</v>
          </cell>
          <cell r="C16118" t="str">
            <v>LPC DIF VIG LS SEG OTROS SUSP RP CGEM   2NC</v>
          </cell>
        </row>
        <row r="16119">
          <cell r="B16119" t="str">
            <v>29010401070501</v>
          </cell>
          <cell r="C16119" t="str">
            <v>LPC INT LEASING COFIDE IDL CGEM         2NC</v>
          </cell>
        </row>
        <row r="16120">
          <cell r="B16120" t="str">
            <v>29010401070502</v>
          </cell>
          <cell r="C16120" t="str">
            <v>LPC LS COFIDE INT LEASING SEG IDS CGEM  2NC</v>
          </cell>
        </row>
        <row r="16121">
          <cell r="B16121" t="str">
            <v>29010401070503</v>
          </cell>
          <cell r="C16121" t="str">
            <v>LPC INT LS COFIDE D/P IDL CGEM          2NC</v>
          </cell>
        </row>
        <row r="16122">
          <cell r="B16122" t="str">
            <v>29010401070504</v>
          </cell>
          <cell r="C16122" t="str">
            <v>LPC INT LS COFIDE SEG D/P IDS CGEM      2NC</v>
          </cell>
        </row>
        <row r="16123">
          <cell r="B16123" t="str">
            <v>29010401080101</v>
          </cell>
          <cell r="C16123" t="str">
            <v>LPC INT LEASING BIEN RP CMED            2NC</v>
          </cell>
        </row>
        <row r="16124">
          <cell r="B16124" t="str">
            <v>29010401080102</v>
          </cell>
          <cell r="C16124" t="str">
            <v>LPC INT LEASING SEG RP CMED             2NC</v>
          </cell>
        </row>
        <row r="16125">
          <cell r="B16125" t="str">
            <v>29010401080103</v>
          </cell>
          <cell r="C16125" t="str">
            <v>LPC INT LEAS BIEN D/P RP CMED           2NC</v>
          </cell>
        </row>
        <row r="16126">
          <cell r="B16126" t="str">
            <v>29010401080104</v>
          </cell>
          <cell r="C16126" t="str">
            <v>LPC INT LEAS SEG D/P RP CMED            2NC</v>
          </cell>
        </row>
        <row r="16127">
          <cell r="B16127" t="str">
            <v>29010401080401</v>
          </cell>
          <cell r="C16127" t="str">
            <v>LPC DIF.VIG LSG BIEN ADJ. RP CMED       2NC</v>
          </cell>
        </row>
        <row r="16128">
          <cell r="B16128" t="str">
            <v>29010401080402</v>
          </cell>
          <cell r="C16128" t="str">
            <v>290104010804020000                      2NC</v>
          </cell>
        </row>
        <row r="16129">
          <cell r="B16129" t="str">
            <v>29010401080403</v>
          </cell>
          <cell r="C16129" t="str">
            <v>LPC DIF.VIG LSG BIEN ADJ. D/P CMED      2NC</v>
          </cell>
        </row>
        <row r="16130">
          <cell r="B16130" t="str">
            <v>29010401080404</v>
          </cell>
          <cell r="C16130" t="str">
            <v>LPC DIF.VIG LSG SEG. ADJ. D/P CMED      2NC</v>
          </cell>
        </row>
        <row r="16131">
          <cell r="B16131" t="str">
            <v>29010401080405</v>
          </cell>
          <cell r="C16131" t="str">
            <v>LPC DIF.VIG LS  BIEN OTROS SUSP RP CMED 2NC</v>
          </cell>
        </row>
        <row r="16132">
          <cell r="B16132" t="str">
            <v>29010401080406</v>
          </cell>
          <cell r="C16132" t="str">
            <v>LPC DIF VIG LS SEG OTROS SUSP RP CMED   2NC</v>
          </cell>
        </row>
        <row r="16133">
          <cell r="B16133" t="str">
            <v>29010401080407</v>
          </cell>
          <cell r="C16133" t="str">
            <v>LPC IDL MYP INT LEASING BIEN CMED       2NC</v>
          </cell>
        </row>
        <row r="16134">
          <cell r="B16134" t="str">
            <v>29010401080408</v>
          </cell>
          <cell r="C16134" t="str">
            <v>LPC IDS MYP INT LEASING BIEN CMED       2NC</v>
          </cell>
        </row>
        <row r="16135">
          <cell r="B16135" t="str">
            <v>29010401080409</v>
          </cell>
          <cell r="C16135" t="str">
            <v>LPC IDL INT DIF MYP LS D/P CMED         2NC</v>
          </cell>
        </row>
        <row r="16136">
          <cell r="B16136" t="str">
            <v>29010401080410</v>
          </cell>
          <cell r="C16136" t="str">
            <v>LPC IDS INT DIF MYP LS D/P CMED         2NC</v>
          </cell>
        </row>
        <row r="16137">
          <cell r="B16137" t="str">
            <v>29010401080502</v>
          </cell>
          <cell r="C16137" t="str">
            <v>LPC LS COFIDE INT LEASING SEG IDS CMED  2NC</v>
          </cell>
        </row>
        <row r="16138">
          <cell r="B16138" t="str">
            <v>29010401080503</v>
          </cell>
          <cell r="C16138" t="str">
            <v>LPC INT LS COFIDE D/P IDL CMED          2NC</v>
          </cell>
        </row>
        <row r="16139">
          <cell r="B16139" t="str">
            <v>29010401080504</v>
          </cell>
          <cell r="C16139" t="str">
            <v>LPC INT LS COFIDE SEG D/P IDS CMED      2NC</v>
          </cell>
        </row>
        <row r="16140">
          <cell r="B16140" t="str">
            <v>29010401090101</v>
          </cell>
          <cell r="C16140" t="str">
            <v>LPC INT LEASING BIEN RP CPEM            2NC</v>
          </cell>
        </row>
        <row r="16141">
          <cell r="B16141" t="str">
            <v>29010401090102</v>
          </cell>
          <cell r="C16141" t="str">
            <v>LPC INT LEASING SEG RP CPEM             2NC</v>
          </cell>
        </row>
        <row r="16142">
          <cell r="B16142" t="str">
            <v>29010401090103</v>
          </cell>
          <cell r="C16142" t="str">
            <v>LPC INT LEAS BIEN D/P RP CPEM           2NC</v>
          </cell>
        </row>
        <row r="16143">
          <cell r="B16143" t="str">
            <v>29010401090104</v>
          </cell>
          <cell r="C16143" t="str">
            <v>LPC INT LEAS SEG D/P RP CPEM            2NC</v>
          </cell>
        </row>
        <row r="16144">
          <cell r="B16144" t="str">
            <v>29010401090105</v>
          </cell>
          <cell r="C16144" t="str">
            <v>LPC DIF.VIG LSG BIEN ADJ. D/P CPEM      2NC</v>
          </cell>
        </row>
        <row r="16145">
          <cell r="B16145" t="str">
            <v>29010401090106</v>
          </cell>
          <cell r="C16145" t="str">
            <v>LPC DIF.VIG LSG SEG. ADJ. D/P CPEM      2NC</v>
          </cell>
        </row>
        <row r="16146">
          <cell r="B16146" t="str">
            <v>29010401090403</v>
          </cell>
          <cell r="C16146" t="str">
            <v>LPC DIF.VIG LS  BIEN OTROS SUSP RP CPEM 2NC</v>
          </cell>
        </row>
        <row r="16147">
          <cell r="B16147" t="str">
            <v>29010401090404</v>
          </cell>
          <cell r="C16147" t="str">
            <v>LPC DIF VIG LS SEG OTROS SUSP RP CPEM   2NC</v>
          </cell>
        </row>
        <row r="16148">
          <cell r="B16148" t="str">
            <v>29010401090501</v>
          </cell>
          <cell r="C16148" t="str">
            <v>LPC IDL MYP INT LEASING BIEN CPEM       2NC</v>
          </cell>
        </row>
        <row r="16149">
          <cell r="B16149" t="str">
            <v>29010401090502</v>
          </cell>
          <cell r="C16149" t="str">
            <v>LPC IDS MYP INT LEASING BIEN CPEM       2NC</v>
          </cell>
        </row>
        <row r="16150">
          <cell r="B16150" t="str">
            <v>29010401090503</v>
          </cell>
          <cell r="C16150" t="str">
            <v>290104010905030000                      2NC</v>
          </cell>
        </row>
        <row r="16151">
          <cell r="B16151" t="str">
            <v>29010401090504</v>
          </cell>
          <cell r="C16151" t="str">
            <v>290104010905040000                      2NC</v>
          </cell>
        </row>
        <row r="16152">
          <cell r="B16152" t="str">
            <v>29010401090601</v>
          </cell>
          <cell r="C16152" t="str">
            <v>LPC INT LEASING COFIDE IDL CPEM         2NC</v>
          </cell>
        </row>
        <row r="16153">
          <cell r="B16153" t="str">
            <v>29010401090602</v>
          </cell>
          <cell r="C16153" t="str">
            <v>LPC LS COFIDE INT LEASING SEG IDS CPEM  2NC</v>
          </cell>
        </row>
        <row r="16154">
          <cell r="B16154" t="str">
            <v>29010401090603</v>
          </cell>
          <cell r="C16154" t="str">
            <v>LPC INT LS COFIDE D/P IDL CPEM          2NC</v>
          </cell>
        </row>
        <row r="16155">
          <cell r="B16155" t="str">
            <v>29010401090604</v>
          </cell>
          <cell r="C16155" t="str">
            <v>LPC INT LS COFIDE SEG D/P IDS CPEM      2NC</v>
          </cell>
        </row>
        <row r="16156">
          <cell r="B16156" t="str">
            <v>29010401100101</v>
          </cell>
          <cell r="C16156" t="str">
            <v>290104011001010000                      2NC</v>
          </cell>
        </row>
        <row r="16157">
          <cell r="B16157" t="str">
            <v>29010401100102</v>
          </cell>
          <cell r="C16157" t="str">
            <v>LPC INT IDS LEASEBACK BIEN RP CMIE      2NC</v>
          </cell>
        </row>
        <row r="16158">
          <cell r="B16158" t="str">
            <v>29010401100103</v>
          </cell>
          <cell r="C16158" t="str">
            <v>LPC INT IDL LEASEBACK BIEN D/P RP CMIE  2NC</v>
          </cell>
        </row>
        <row r="16159">
          <cell r="B16159" t="str">
            <v>29010401100104</v>
          </cell>
          <cell r="C16159" t="str">
            <v>LPC INT IDS LEASEBACK BIEN D/P RP CMIE  2NC</v>
          </cell>
        </row>
        <row r="16160">
          <cell r="B16160" t="str">
            <v>29010401150101</v>
          </cell>
          <cell r="C16160" t="str">
            <v>LPC INT LEASEBACK BIEN RP CCOR          2NC</v>
          </cell>
        </row>
        <row r="16161">
          <cell r="B16161" t="str">
            <v>29010401150102</v>
          </cell>
          <cell r="C16161" t="str">
            <v>LPC INT LEASEBACK SEG RP CCOR           2NC</v>
          </cell>
        </row>
        <row r="16162">
          <cell r="B16162" t="str">
            <v>29010401150103</v>
          </cell>
          <cell r="C16162" t="str">
            <v>LPC INT LEASEBACK BIEN D/P RP CCOR      2NC</v>
          </cell>
        </row>
        <row r="16163">
          <cell r="B16163" t="str">
            <v>29010401150104</v>
          </cell>
          <cell r="C16163" t="str">
            <v>LPC INT LSBACK SEG D/P RP CCOR          2NC</v>
          </cell>
        </row>
        <row r="16164">
          <cell r="B16164" t="str">
            <v>29010401150105</v>
          </cell>
          <cell r="C16164" t="str">
            <v>LPC DIF.VIG LSB  BIEN OTROS SUSP CCOR   2NC</v>
          </cell>
        </row>
        <row r="16165">
          <cell r="B16165" t="str">
            <v>29010401150106</v>
          </cell>
          <cell r="C16165" t="str">
            <v>LPC DIF VIG LSB SEG OTROS SUSP CCOR     2NC</v>
          </cell>
        </row>
        <row r="16166">
          <cell r="B16166" t="str">
            <v>29010401160101</v>
          </cell>
          <cell r="C16166" t="str">
            <v>LPC INT LEASEBACK BIEN RP CGEM          2NC</v>
          </cell>
        </row>
        <row r="16167">
          <cell r="B16167" t="str">
            <v>29010401160102</v>
          </cell>
          <cell r="C16167" t="str">
            <v>LPC INT LEASEBACK SEG RP CGEM           2NC</v>
          </cell>
        </row>
        <row r="16168">
          <cell r="B16168" t="str">
            <v>29010401160103</v>
          </cell>
          <cell r="C16168" t="str">
            <v>LPC INT LEASEBACK BIEN D/P RP CGEM      2NC</v>
          </cell>
        </row>
        <row r="16169">
          <cell r="B16169" t="str">
            <v>29010401160104</v>
          </cell>
          <cell r="C16169" t="str">
            <v>LPC INT LSBACK SEG D/P RP CGEM          2NC</v>
          </cell>
        </row>
        <row r="16170">
          <cell r="B16170" t="str">
            <v>29010401160105</v>
          </cell>
          <cell r="C16170" t="str">
            <v>LPC DIF.VIG LSB  BIEN OTROS SUSP CGEM   2NC</v>
          </cell>
        </row>
        <row r="16171">
          <cell r="B16171" t="str">
            <v>29010401160106</v>
          </cell>
          <cell r="C16171" t="str">
            <v>LPC DIF VIG LSB SEG OTROS SUSP CGEM     2NC</v>
          </cell>
        </row>
        <row r="16172">
          <cell r="B16172" t="str">
            <v>29010401160108</v>
          </cell>
          <cell r="C16172" t="str">
            <v>LPC SEG INT DIFER VIG LEASEBACK COFIDE I2NC</v>
          </cell>
        </row>
        <row r="16173">
          <cell r="B16173" t="str">
            <v>29010401160109</v>
          </cell>
          <cell r="C16173" t="str">
            <v>LPC INT DIFER VIG LEASEBACK COFIDE D/P I2NC</v>
          </cell>
        </row>
        <row r="16174">
          <cell r="B16174" t="str">
            <v>29010401160110</v>
          </cell>
          <cell r="C16174" t="str">
            <v>LPC SEG INT DIFER VIG LEASEBACK COFIDE D2NC</v>
          </cell>
        </row>
        <row r="16175">
          <cell r="B16175" t="str">
            <v>29010401170101</v>
          </cell>
          <cell r="C16175" t="str">
            <v>LPC INT LEASEBACK BIEN RP CMED          2NC</v>
          </cell>
        </row>
        <row r="16176">
          <cell r="B16176" t="str">
            <v>29010401170102</v>
          </cell>
          <cell r="C16176" t="str">
            <v>LPC INT LEASEBACK SEG RP CMED           2NC</v>
          </cell>
        </row>
        <row r="16177">
          <cell r="B16177" t="str">
            <v>29010401170103</v>
          </cell>
          <cell r="C16177" t="str">
            <v>LPC INT LEASEBACK BIEN D/P RP CMED      2NC</v>
          </cell>
        </row>
        <row r="16178">
          <cell r="B16178" t="str">
            <v>29010401170104</v>
          </cell>
          <cell r="C16178" t="str">
            <v>LPC INT LSBACK SEG D/P RP CMED          2NC</v>
          </cell>
        </row>
        <row r="16179">
          <cell r="B16179" t="str">
            <v>29010401170105</v>
          </cell>
          <cell r="C16179" t="str">
            <v>LPC DIF.VIG LSB  BIEN OTROS SUSP CMED   2NC</v>
          </cell>
        </row>
        <row r="16180">
          <cell r="B16180" t="str">
            <v>29010401170106</v>
          </cell>
          <cell r="C16180" t="str">
            <v>LPC DIF VIG LSB SEG OTROS SUSP CMED     2NC</v>
          </cell>
        </row>
        <row r="16181">
          <cell r="B16181" t="str">
            <v>29010401170202</v>
          </cell>
          <cell r="C16181" t="str">
            <v>LPC LB COFIDE INT LEASING SEG IDS CMED  2NC</v>
          </cell>
        </row>
        <row r="16182">
          <cell r="B16182" t="str">
            <v>29010401170203</v>
          </cell>
          <cell r="C16182" t="str">
            <v>LPC INT LB COFIDE D/P IDL CMED          2NC</v>
          </cell>
        </row>
        <row r="16183">
          <cell r="B16183" t="str">
            <v>29010401170204</v>
          </cell>
          <cell r="C16183" t="str">
            <v>LPC INT LB COFIDE SEG D/P IDS CMED      2NC</v>
          </cell>
        </row>
        <row r="16184">
          <cell r="B16184" t="str">
            <v>29010401180101</v>
          </cell>
          <cell r="C16184" t="str">
            <v>LPC INT LEASEBACK BIEN RP CPEM          2NC</v>
          </cell>
        </row>
        <row r="16185">
          <cell r="B16185" t="str">
            <v>29010401180102</v>
          </cell>
          <cell r="C16185" t="str">
            <v>LPC INT LEASEBACK SEG RP CPEM           2NC</v>
          </cell>
        </row>
        <row r="16186">
          <cell r="B16186" t="str">
            <v>29010401180103</v>
          </cell>
          <cell r="C16186" t="str">
            <v>LPC INT LEASEBACK BIEN D/P RP CPEM      2NC</v>
          </cell>
        </row>
        <row r="16187">
          <cell r="B16187" t="str">
            <v>29010401180104</v>
          </cell>
          <cell r="C16187" t="str">
            <v>290104011801040000                      2NC</v>
          </cell>
        </row>
        <row r="16188">
          <cell r="B16188" t="str">
            <v>29010401180105</v>
          </cell>
          <cell r="C16188" t="str">
            <v>LPC DIF.VIG LSB  BIEN OTROS SUSP CPEM   2NC</v>
          </cell>
        </row>
        <row r="16189">
          <cell r="B16189" t="str">
            <v>29010401180106</v>
          </cell>
          <cell r="C16189" t="str">
            <v>LPC DIF VIG LSB SEG OTROS SUSP CPEM     2NC</v>
          </cell>
        </row>
        <row r="16190">
          <cell r="B16190" t="str">
            <v>29010403010101</v>
          </cell>
          <cell r="C16190" t="str">
            <v>LPC IDL LS BIEN REEST.INT.DIF VIG       2NC</v>
          </cell>
        </row>
        <row r="16191">
          <cell r="B16191" t="str">
            <v>29010403060101</v>
          </cell>
          <cell r="C16191" t="str">
            <v>LPC INT LEAS BIEN REESTR RP CCOR        2NC</v>
          </cell>
        </row>
        <row r="16192">
          <cell r="B16192" t="str">
            <v>29010403060102</v>
          </cell>
          <cell r="C16192" t="str">
            <v>LPC INT LEASING SEG REESTR RP CCOR      2NC</v>
          </cell>
        </row>
        <row r="16193">
          <cell r="B16193" t="str">
            <v>29010403070101</v>
          </cell>
          <cell r="C16193" t="str">
            <v>LPC INT LEAS BIEN REESTR RP CGEM        2NC</v>
          </cell>
        </row>
        <row r="16194">
          <cell r="B16194" t="str">
            <v>29010403070102</v>
          </cell>
          <cell r="C16194" t="str">
            <v>LPC INT LEASING SEG REESTR RP CGEM      2NC</v>
          </cell>
        </row>
        <row r="16195">
          <cell r="B16195" t="str">
            <v>29010403080101</v>
          </cell>
          <cell r="C16195" t="str">
            <v>LPC INT LEAS BIEN REESTR RP CMED        2NC</v>
          </cell>
        </row>
        <row r="16196">
          <cell r="B16196" t="str">
            <v>29010403080102</v>
          </cell>
          <cell r="C16196" t="str">
            <v>LPC INT LEASING SEG REESTR RP CMED      2NC</v>
          </cell>
        </row>
        <row r="16197">
          <cell r="B16197" t="str">
            <v>29010403090101</v>
          </cell>
          <cell r="C16197" t="str">
            <v>LPC INT LEAS BIEN REESTR RP CPEM        2NC</v>
          </cell>
        </row>
        <row r="16198">
          <cell r="B16198" t="str">
            <v>29010403090102</v>
          </cell>
          <cell r="C16198" t="str">
            <v>LPC INT LEASING SEG REESTR RP CPEM      2NC</v>
          </cell>
        </row>
        <row r="16199">
          <cell r="B16199" t="str">
            <v>29010403120101</v>
          </cell>
          <cell r="C16199" t="str">
            <v>ING DIF CRED REESTRUCT LEESEBACK CESP   2NC</v>
          </cell>
        </row>
        <row r="16200">
          <cell r="B16200" t="str">
            <v>29010403170101</v>
          </cell>
          <cell r="C16200" t="str">
            <v>ING DIF CRED REESTRUCT LEESEBACK CMED   2NC</v>
          </cell>
        </row>
        <row r="16201">
          <cell r="B16201" t="str">
            <v>29010404010101</v>
          </cell>
          <cell r="C16201" t="str">
            <v>LPC IDL LS BIEN REFIN.INT.VIG           2NC</v>
          </cell>
        </row>
        <row r="16202">
          <cell r="B16202" t="str">
            <v>29010404010102</v>
          </cell>
          <cell r="C16202" t="str">
            <v>CIA SEGUROS LEASING REFINANC RP LPC     2NC</v>
          </cell>
        </row>
        <row r="16203">
          <cell r="B16203" t="str">
            <v>29010404010103</v>
          </cell>
          <cell r="C16203" t="str">
            <v>LPC IDS LS BIEN REFIN.SEG VIG           2NC</v>
          </cell>
        </row>
        <row r="16204">
          <cell r="B16204" t="str">
            <v>29010404030101</v>
          </cell>
          <cell r="C16204" t="str">
            <v>LPC INT DIF PAG TV REFIN VIG CESP       2NC</v>
          </cell>
        </row>
        <row r="16205">
          <cell r="B16205" t="str">
            <v>29010404040101</v>
          </cell>
          <cell r="C16205" t="str">
            <v>LPC INT LEASEBACK BIEN REFIN RP LPC     2NC</v>
          </cell>
        </row>
        <row r="16206">
          <cell r="B16206" t="str">
            <v>29010404060101</v>
          </cell>
          <cell r="C16206" t="str">
            <v>LPC REF INT LEASING BIEN REFIN RP CCOR  2NC</v>
          </cell>
        </row>
        <row r="16207">
          <cell r="B16207" t="str">
            <v>29010404060102</v>
          </cell>
          <cell r="C16207" t="str">
            <v>LPC REF INT LEAS SEG  RP CCOR           2NC</v>
          </cell>
        </row>
        <row r="16208">
          <cell r="B16208" t="str">
            <v>29010404060103</v>
          </cell>
          <cell r="C16208" t="str">
            <v>LPC INT LEASING SEG REFIN RP CCOR       2NC</v>
          </cell>
        </row>
        <row r="16209">
          <cell r="B16209" t="str">
            <v>29010404060104</v>
          </cell>
          <cell r="C16209" t="str">
            <v>LPC INT DIF PAG TV REFIN VIG CCOR       2NC</v>
          </cell>
        </row>
        <row r="16210">
          <cell r="B16210" t="str">
            <v>29010404070101</v>
          </cell>
          <cell r="C16210" t="str">
            <v>290104040701010000                      2NC</v>
          </cell>
        </row>
        <row r="16211">
          <cell r="B16211" t="str">
            <v>29010404070102</v>
          </cell>
          <cell r="C16211" t="str">
            <v>LPC REF INT LEAS SEG  RP CGEM           2NC</v>
          </cell>
        </row>
        <row r="16212">
          <cell r="B16212" t="str">
            <v>29010404070103</v>
          </cell>
          <cell r="C16212" t="str">
            <v>LPC INT LEASING SEG REFIN RP CGEM       2NC</v>
          </cell>
        </row>
        <row r="16213">
          <cell r="B16213" t="str">
            <v>29010404070104</v>
          </cell>
          <cell r="C16213" t="str">
            <v>LPC INT DIF PAG TV REFIN VIG CGEM       2NC</v>
          </cell>
        </row>
        <row r="16214">
          <cell r="B16214" t="str">
            <v>29010404080101</v>
          </cell>
          <cell r="C16214" t="str">
            <v>LPC REF INT LEASING BIEN REFIN RP CMED  2NC</v>
          </cell>
        </row>
        <row r="16215">
          <cell r="B16215" t="str">
            <v>29010404080102</v>
          </cell>
          <cell r="C16215" t="str">
            <v>LPC REF INT LEAS SEG  RP CMED           2NC</v>
          </cell>
        </row>
        <row r="16216">
          <cell r="B16216" t="str">
            <v>29010404080103</v>
          </cell>
          <cell r="C16216" t="str">
            <v>LPC INT LEASING SEG REFIN RP CMED       2NC</v>
          </cell>
        </row>
        <row r="16217">
          <cell r="B16217" t="str">
            <v>29010404080104</v>
          </cell>
          <cell r="C16217" t="str">
            <v>LPC INT DIF PAG TV REFIN VIG CMED       2NC</v>
          </cell>
        </row>
        <row r="16218">
          <cell r="B16218" t="str">
            <v>29010404090101</v>
          </cell>
          <cell r="C16218" t="str">
            <v>LPC REF INT LEASING BIEN REFIN RP CPEM  2NC</v>
          </cell>
        </row>
        <row r="16219">
          <cell r="B16219" t="str">
            <v>29010404090102</v>
          </cell>
          <cell r="C16219" t="str">
            <v>LPC REF INT LEAS SEG  RP CPEM           2NC</v>
          </cell>
        </row>
        <row r="16220">
          <cell r="B16220" t="str">
            <v>29010404090103</v>
          </cell>
          <cell r="C16220" t="str">
            <v>LPC INT LEASING SEG REFIN RP CPEM       2NC</v>
          </cell>
        </row>
        <row r="16221">
          <cell r="B16221" t="str">
            <v>29010404090104</v>
          </cell>
          <cell r="C16221" t="str">
            <v>LPC INT DIF PAG TV REFIN VIG CPEM       2NC</v>
          </cell>
        </row>
        <row r="16222">
          <cell r="B16222" t="str">
            <v>29010404110101</v>
          </cell>
          <cell r="C16222" t="str">
            <v>ING DIF CRED REFIN  LEESEBACK C.CONSUMO 2NC</v>
          </cell>
        </row>
        <row r="16223">
          <cell r="B16223" t="str">
            <v>29010404150101</v>
          </cell>
          <cell r="C16223" t="str">
            <v>LPC INT LEASEBACK BIEN REFIN RP CCOR    2NC</v>
          </cell>
        </row>
        <row r="16224">
          <cell r="B16224" t="str">
            <v>29010404150102</v>
          </cell>
          <cell r="C16224" t="str">
            <v>LPC INT LEASING SEG REFIN RP CCOR       2NC</v>
          </cell>
        </row>
        <row r="16225">
          <cell r="B16225" t="str">
            <v>29010404160101</v>
          </cell>
          <cell r="C16225" t="str">
            <v>290104041601010000                      2NC</v>
          </cell>
        </row>
        <row r="16226">
          <cell r="B16226" t="str">
            <v>29010404160102</v>
          </cell>
          <cell r="C16226" t="str">
            <v>LPC INT LEASING SEG REFIN RP CGEM       2NC</v>
          </cell>
        </row>
        <row r="16227">
          <cell r="B16227" t="str">
            <v>29010404170101</v>
          </cell>
          <cell r="C16227" t="str">
            <v>LPC INT LEASEBACK BIEN REFIN RP CMED    2NC</v>
          </cell>
        </row>
        <row r="16228">
          <cell r="B16228" t="str">
            <v>29010404170102</v>
          </cell>
          <cell r="C16228" t="str">
            <v>LPC INT LEASING SEG REFIN RP CMED       2NC</v>
          </cell>
        </row>
        <row r="16229">
          <cell r="B16229" t="str">
            <v>29010404180101</v>
          </cell>
          <cell r="C16229" t="str">
            <v>LPC INT LEASEBACK BIEN REFIN RP CPEM    2NC</v>
          </cell>
        </row>
        <row r="16230">
          <cell r="B16230" t="str">
            <v>29010404180102</v>
          </cell>
          <cell r="C16230" t="str">
            <v>LPC INT LEASING SEG REFIN RP CPEM       2NC</v>
          </cell>
        </row>
        <row r="16231">
          <cell r="B16231" t="str">
            <v>29010405000105</v>
          </cell>
          <cell r="C16231" t="str">
            <v>LPC IDL LS BIEN ADJU.INT.DIF VEN        2NC</v>
          </cell>
        </row>
        <row r="16232">
          <cell r="B16232" t="str">
            <v>29010405010101</v>
          </cell>
          <cell r="C16232" t="str">
            <v>LPC IDL LS BIEN D/P INT.DIFE VEN        2NC</v>
          </cell>
        </row>
        <row r="16233">
          <cell r="B16233" t="str">
            <v>29010405010102</v>
          </cell>
          <cell r="C16233" t="str">
            <v>LPC IDS LS BIEN D/P INT.SEG VEN         2NC</v>
          </cell>
        </row>
        <row r="16234">
          <cell r="B16234" t="str">
            <v>29010405010103</v>
          </cell>
          <cell r="C16234" t="str">
            <v>LPC IDL LS BIEN RP INT.DIF VEN          2NC</v>
          </cell>
        </row>
        <row r="16235">
          <cell r="B16235" t="str">
            <v>29010405010104</v>
          </cell>
          <cell r="C16235" t="str">
            <v>LPC IDS LS BIEN RP DIF.VEN SEG          2NC</v>
          </cell>
        </row>
        <row r="16236">
          <cell r="B16236" t="str">
            <v>29010405010106</v>
          </cell>
          <cell r="C16236" t="str">
            <v>LPC DIF VEN LSG SEG. ADJ. RP            2NC</v>
          </cell>
        </row>
        <row r="16237">
          <cell r="B16237" t="str">
            <v>29010405010113</v>
          </cell>
          <cell r="C16237" t="str">
            <v>LPC IDL LS BIEN BPE INT.DIF VEN         2NC</v>
          </cell>
        </row>
        <row r="16238">
          <cell r="B16238" t="str">
            <v>29010405010114</v>
          </cell>
          <cell r="C16238" t="str">
            <v>LPC IDS LS BIEN BPE DIF.VEN SEG         2NC</v>
          </cell>
        </row>
        <row r="16239">
          <cell r="B16239" t="str">
            <v>29010405010115</v>
          </cell>
          <cell r="C16239" t="str">
            <v>LPC IDL LS B.D/P INT.DIF.VEN BPE        2NC</v>
          </cell>
        </row>
        <row r="16240">
          <cell r="B16240" t="str">
            <v>29010405010116</v>
          </cell>
          <cell r="C16240" t="str">
            <v>LPC IDS LS B.D/P INT.SEG VEN BPE        2NC</v>
          </cell>
        </row>
        <row r="16241">
          <cell r="B16241" t="str">
            <v>29010405010117</v>
          </cell>
          <cell r="C16241" t="str">
            <v>LPC INT IDL LEASING BIEN RP CMIE        2NC</v>
          </cell>
        </row>
        <row r="16242">
          <cell r="B16242" t="str">
            <v>29010405010118</v>
          </cell>
          <cell r="C16242" t="str">
            <v>LPC INT IDS LEASING BIEN RP CMIE        2NC</v>
          </cell>
        </row>
        <row r="16243">
          <cell r="B16243" t="str">
            <v>29010405010119</v>
          </cell>
          <cell r="C16243" t="str">
            <v>LPC INT IDL LEASING BIEN D/P RP CMIE    2NC</v>
          </cell>
        </row>
        <row r="16244">
          <cell r="B16244" t="str">
            <v>29010405010120</v>
          </cell>
          <cell r="C16244" t="str">
            <v>LPC INT IDS LEASING BIEN D/P RP CMIE    2NC</v>
          </cell>
        </row>
        <row r="16245">
          <cell r="B16245" t="str">
            <v>29010405010201</v>
          </cell>
          <cell r="C16245" t="str">
            <v>LPC IDL MYP INT LEASING BIEN CMIE       2NC</v>
          </cell>
        </row>
        <row r="16246">
          <cell r="B16246" t="str">
            <v>29010405010202</v>
          </cell>
          <cell r="C16246" t="str">
            <v>LPC IDS MYP INT LEASING BIEN CMIE       2NC</v>
          </cell>
        </row>
        <row r="16247">
          <cell r="B16247" t="str">
            <v>29010405010203</v>
          </cell>
          <cell r="C16247" t="str">
            <v>LPC IDL INT DIF MYP LS D/P CMIE         2NC</v>
          </cell>
        </row>
        <row r="16248">
          <cell r="B16248" t="str">
            <v>29010405010204</v>
          </cell>
          <cell r="C16248" t="str">
            <v>LPC IDS INT DIF MYP LS D/P CMIE         2NC</v>
          </cell>
        </row>
        <row r="16249">
          <cell r="B16249" t="str">
            <v>29010405010301</v>
          </cell>
          <cell r="C16249" t="str">
            <v>LPC INT CAP LEASING COFIDE VENC IDL CMIE2NC</v>
          </cell>
        </row>
        <row r="16250">
          <cell r="B16250" t="str">
            <v>29010405010302</v>
          </cell>
          <cell r="C16250" t="str">
            <v>LPC INT LS COFIDE SEG VENC IDS CMIE     2NC</v>
          </cell>
        </row>
        <row r="16251">
          <cell r="B16251" t="str">
            <v>29010405010303</v>
          </cell>
          <cell r="C16251" t="str">
            <v>LPC INT CAP LS COFIDE VENC D/P IDL CMIE 2NC</v>
          </cell>
        </row>
        <row r="16252">
          <cell r="B16252" t="str">
            <v>29010405010304</v>
          </cell>
          <cell r="C16252" t="str">
            <v>LPC INT LS COFIDE SEG VENC D/P IDS CMIE 2NC</v>
          </cell>
        </row>
        <row r="16253">
          <cell r="B16253" t="str">
            <v>29010405020101</v>
          </cell>
          <cell r="C16253" t="str">
            <v>LPC INT CAP LEASING VENC RP MES         2NC</v>
          </cell>
        </row>
        <row r="16254">
          <cell r="B16254" t="str">
            <v>29010405020102</v>
          </cell>
          <cell r="C16254" t="str">
            <v>LPC INT LEASING SEG VENC RP MES         2NC</v>
          </cell>
        </row>
        <row r="16255">
          <cell r="B16255" t="str">
            <v>29010405020103</v>
          </cell>
          <cell r="C16255" t="str">
            <v>LPC INT CAP LEASING VENC D/P RP MES     2NC</v>
          </cell>
        </row>
        <row r="16256">
          <cell r="B16256" t="str">
            <v>29010405020104</v>
          </cell>
          <cell r="C16256" t="str">
            <v>LPC INT LEASING SEG VENC D/P RP MES     2NC</v>
          </cell>
        </row>
        <row r="16257">
          <cell r="B16257" t="str">
            <v>29010405020111</v>
          </cell>
          <cell r="C16257" t="str">
            <v>LPC INT CAP LSG ADJ. VEN D/P MES RP     2NC</v>
          </cell>
        </row>
        <row r="16258">
          <cell r="B16258" t="str">
            <v>29010405020112</v>
          </cell>
          <cell r="C16258" t="str">
            <v>LPC INT LSG ADJ. SEG VEN D/P MES RP     2NC</v>
          </cell>
        </row>
        <row r="16259">
          <cell r="B16259" t="str">
            <v>29010405020113</v>
          </cell>
          <cell r="C16259" t="str">
            <v>LPC INT CAP LEASING VENC BPE MES        2NC</v>
          </cell>
        </row>
        <row r="16260">
          <cell r="B16260" t="str">
            <v>29010405020114</v>
          </cell>
          <cell r="C16260" t="str">
            <v>LPC INT LEASING SEG VENC BPE MES        2NC</v>
          </cell>
        </row>
        <row r="16261">
          <cell r="B16261" t="str">
            <v>29010405020115</v>
          </cell>
          <cell r="C16261" t="str">
            <v>LPC INT CAP LS VENC D/P BPE MES         2NC</v>
          </cell>
        </row>
        <row r="16262">
          <cell r="B16262" t="str">
            <v>29010405020116</v>
          </cell>
          <cell r="C16262" t="str">
            <v>LPC INT LS SEG VENC D/P BPE MES         2NC</v>
          </cell>
        </row>
        <row r="16263">
          <cell r="B16263" t="str">
            <v>29010405030101</v>
          </cell>
          <cell r="C16263" t="str">
            <v>LPC INT DIF PAG TV VENC REFIN CESP      2NC</v>
          </cell>
        </row>
        <row r="16264">
          <cell r="B16264" t="str">
            <v>29010405030102</v>
          </cell>
          <cell r="C16264" t="str">
            <v>LPC INT LEAS SEG VENC RP CESP           2NC</v>
          </cell>
        </row>
        <row r="16265">
          <cell r="B16265" t="str">
            <v>29010405030103</v>
          </cell>
          <cell r="C16265" t="str">
            <v>LPC INT CAP LEAS VENC D/P RP CESP       2NC</v>
          </cell>
        </row>
        <row r="16266">
          <cell r="B16266" t="str">
            <v>29010405030104</v>
          </cell>
          <cell r="C16266" t="str">
            <v>LPC INT LEAS SEG VENC D/P RP CESP       2NC</v>
          </cell>
        </row>
        <row r="16267">
          <cell r="B16267" t="str">
            <v>29010405030105</v>
          </cell>
          <cell r="C16267" t="str">
            <v>LPC INT CAP LEASING VENC RP CESP        2NC</v>
          </cell>
        </row>
        <row r="16268">
          <cell r="B16268" t="str">
            <v>29010405030201</v>
          </cell>
          <cell r="C16268" t="str">
            <v>LPC INT CAP LEASING COFIDE VENC IDL CESP2NC</v>
          </cell>
        </row>
        <row r="16269">
          <cell r="B16269" t="str">
            <v>29010405030202</v>
          </cell>
          <cell r="C16269" t="str">
            <v>LPC INT LS COFIDE SEG VENC IDS CESP     2NC</v>
          </cell>
        </row>
        <row r="16270">
          <cell r="B16270" t="str">
            <v>29010405030203</v>
          </cell>
          <cell r="C16270" t="str">
            <v>LPC INT CAP LS COFIDE VENC D/P IDL CESP 2NC</v>
          </cell>
        </row>
        <row r="16271">
          <cell r="B16271" t="str">
            <v>29010405030204</v>
          </cell>
          <cell r="C16271" t="str">
            <v>LPC INT LS COFIDE SEG VENC D/P IDS CESP 2NC</v>
          </cell>
        </row>
        <row r="16272">
          <cell r="B16272" t="str">
            <v>29010405040101</v>
          </cell>
          <cell r="C16272" t="str">
            <v>LPC INT LEASEBACK BIEN REFIN RP LPC     2NC</v>
          </cell>
        </row>
        <row r="16273">
          <cell r="B16273" t="str">
            <v>29010405040102</v>
          </cell>
          <cell r="C16273" t="str">
            <v>LPC IDS LSBACK BIEN DIF.SEG VEN         2NC</v>
          </cell>
        </row>
        <row r="16274">
          <cell r="B16274" t="str">
            <v>29010405040103</v>
          </cell>
          <cell r="C16274" t="str">
            <v>LPC INT CAP LEAS VENC D/P RP CIVA       2NC</v>
          </cell>
        </row>
        <row r="16275">
          <cell r="B16275" t="str">
            <v>29010405040104</v>
          </cell>
          <cell r="C16275" t="str">
            <v>LPC INT LEAS SEG VENC D/P RP CIVA       2NC</v>
          </cell>
        </row>
        <row r="16276">
          <cell r="B16276" t="str">
            <v>29010405040201</v>
          </cell>
          <cell r="C16276" t="str">
            <v>LPC INT CAP LEASING COFIDE VENC IDL CIVA2NC</v>
          </cell>
        </row>
        <row r="16277">
          <cell r="B16277" t="str">
            <v>29010405040202</v>
          </cell>
          <cell r="C16277" t="str">
            <v>LPC INT LS COFIDE SEG VENC IDS CIVA     2NC</v>
          </cell>
        </row>
        <row r="16278">
          <cell r="B16278" t="str">
            <v>29010405040203</v>
          </cell>
          <cell r="C16278" t="str">
            <v>LPC INT CAP LS COFIDE VENC D/P IDL CIVA 2NC</v>
          </cell>
        </row>
        <row r="16279">
          <cell r="B16279" t="str">
            <v>29010405040204</v>
          </cell>
          <cell r="C16279" t="str">
            <v>LPC INT LS COFIDE SEG VENC D/P IDS CIVA 2NC</v>
          </cell>
        </row>
        <row r="16280">
          <cell r="B16280" t="str">
            <v>29010405050101</v>
          </cell>
          <cell r="C16280" t="str">
            <v>LPC INT CAP LEASEBACK VENC RP MES       2NC</v>
          </cell>
        </row>
        <row r="16281">
          <cell r="B16281" t="str">
            <v>29010405050102</v>
          </cell>
          <cell r="C16281" t="str">
            <v>LPC INT LEASEBACK SEG VENC RP MES       2NC</v>
          </cell>
        </row>
        <row r="16282">
          <cell r="B16282" t="str">
            <v>29010405050103</v>
          </cell>
          <cell r="C16282" t="str">
            <v>LPC INT CAP LSBACK VENC D/P RP MES      2NC</v>
          </cell>
        </row>
        <row r="16283">
          <cell r="B16283" t="str">
            <v>29010405050104</v>
          </cell>
          <cell r="C16283" t="str">
            <v>LPC INT LSBACK SEG VENC D/P RP MES      2NC</v>
          </cell>
        </row>
        <row r="16284">
          <cell r="B16284" t="str">
            <v>29010405050107</v>
          </cell>
          <cell r="C16284" t="str">
            <v>LPC INT CAP LS LA FIDUCIARIA VENC IDL CE2NC</v>
          </cell>
        </row>
        <row r="16285">
          <cell r="B16285" t="str">
            <v>29010405050108</v>
          </cell>
          <cell r="C16285" t="str">
            <v>LPC INT LS LA FIDUC SEG VENC IDS CESF   2NC</v>
          </cell>
        </row>
        <row r="16286">
          <cell r="B16286" t="str">
            <v>29010405050109</v>
          </cell>
          <cell r="C16286" t="str">
            <v>LPC INT CAP LS LA FIDUC VENC D/P IDL CES2NC</v>
          </cell>
        </row>
        <row r="16287">
          <cell r="B16287" t="str">
            <v>29010405050110</v>
          </cell>
          <cell r="C16287" t="str">
            <v>LPC INT LS LA FIDUC SEG VENC D/P IDS CES2NC</v>
          </cell>
        </row>
        <row r="16288">
          <cell r="B16288" t="str">
            <v>29010405060101</v>
          </cell>
          <cell r="C16288" t="str">
            <v>LPC INT CAP LEASING VENC RP CCOR        2NC</v>
          </cell>
        </row>
        <row r="16289">
          <cell r="B16289" t="str">
            <v>29010405060102</v>
          </cell>
          <cell r="C16289" t="str">
            <v>LPC INT LEAS SEG VENC RP CCOR           2NC</v>
          </cell>
        </row>
        <row r="16290">
          <cell r="B16290" t="str">
            <v>29010405060201</v>
          </cell>
          <cell r="C16290" t="str">
            <v>LPC INT CAP LEAS VENC D/P RP CCOR       2NC</v>
          </cell>
        </row>
        <row r="16291">
          <cell r="B16291" t="str">
            <v>29010405060202</v>
          </cell>
          <cell r="C16291" t="str">
            <v>LPC INT LEAS SEG VENC D/P RP CCOR       2NC</v>
          </cell>
        </row>
        <row r="16292">
          <cell r="B16292" t="str">
            <v>29010405060301</v>
          </cell>
          <cell r="C16292" t="str">
            <v>LPC INT CAP LEAS VENC REESTR RP CCOR    2NC</v>
          </cell>
        </row>
        <row r="16293">
          <cell r="B16293" t="str">
            <v>29010405060302</v>
          </cell>
          <cell r="C16293" t="str">
            <v>LPC INT LEAS SEG VENC REESTR RP CCOR    2NC</v>
          </cell>
        </row>
        <row r="16294">
          <cell r="B16294" t="str">
            <v>29010405060303</v>
          </cell>
          <cell r="C16294" t="str">
            <v>LPC INT CAP LEAS VENC REFINANC RP CCOR  2NC</v>
          </cell>
        </row>
        <row r="16295">
          <cell r="B16295" t="str">
            <v>29010405060304</v>
          </cell>
          <cell r="C16295" t="str">
            <v>LPC INT LEAS SEG VENC REFINANC RP CCOR  2NC</v>
          </cell>
        </row>
        <row r="16296">
          <cell r="B16296" t="str">
            <v>29010405060401</v>
          </cell>
          <cell r="C16296" t="str">
            <v>LPC DIF VEN LSG BIEN ADJ. RP CCOR       2NC</v>
          </cell>
        </row>
        <row r="16297">
          <cell r="B16297" t="str">
            <v>29010405060402</v>
          </cell>
          <cell r="C16297" t="str">
            <v>LPC DIF VEN LSG SEG. ADJ. RP CCOR       2NC</v>
          </cell>
        </row>
        <row r="16298">
          <cell r="B16298" t="str">
            <v>29010405060403</v>
          </cell>
          <cell r="C16298" t="str">
            <v>LPC LSG SEG DIF VEN ADJUD. D/P CCOR     2NC</v>
          </cell>
        </row>
        <row r="16299">
          <cell r="B16299" t="str">
            <v>29010405060404</v>
          </cell>
          <cell r="C16299" t="str">
            <v>LPC DIF VEN LS  BIEN OTROS SUSP RP CCOR 2NC</v>
          </cell>
        </row>
        <row r="16300">
          <cell r="B16300" t="str">
            <v>29010405060405</v>
          </cell>
          <cell r="C16300" t="str">
            <v>LPC DIF VEN LS SEG OTROS SUSP RP CCOR   2NC</v>
          </cell>
        </row>
        <row r="16301">
          <cell r="B16301" t="str">
            <v>29010405060501</v>
          </cell>
          <cell r="C16301" t="str">
            <v>LPC INT DIF PAG TV VENC REFIN CCOR      2NC</v>
          </cell>
        </row>
        <row r="16302">
          <cell r="B16302" t="str">
            <v>29010405060601</v>
          </cell>
          <cell r="C16302" t="str">
            <v>LPC INT CAP LEASING COFIDE VENC IDL CCOR2NC</v>
          </cell>
        </row>
        <row r="16303">
          <cell r="B16303" t="str">
            <v>29010405060602</v>
          </cell>
          <cell r="C16303" t="str">
            <v>LPC INT LS COFIDE SEG VENC IDS CCOR     2NC</v>
          </cell>
        </row>
        <row r="16304">
          <cell r="B16304" t="str">
            <v>29010405060603</v>
          </cell>
          <cell r="C16304" t="str">
            <v>LPC INT CAP LS COFIDE VENC D/P IDL CCOR 2NC</v>
          </cell>
        </row>
        <row r="16305">
          <cell r="B16305" t="str">
            <v>29010405060604</v>
          </cell>
          <cell r="C16305" t="str">
            <v>LPC INT LS COFIDE SEG VENC D/P IDS CCOR 2NC</v>
          </cell>
        </row>
        <row r="16306">
          <cell r="B16306" t="str">
            <v>29010405070101</v>
          </cell>
          <cell r="C16306" t="str">
            <v>LPC INT CAP LEASING VENC RP CGEM        2NC</v>
          </cell>
        </row>
        <row r="16307">
          <cell r="B16307" t="str">
            <v>29010405070102</v>
          </cell>
          <cell r="C16307" t="str">
            <v>LPC INT LEAS SEG VENC RP CGEM           2NC</v>
          </cell>
        </row>
        <row r="16308">
          <cell r="B16308" t="str">
            <v>29010405070201</v>
          </cell>
          <cell r="C16308" t="str">
            <v>LPC INT CAP LEAS VENC D/P RP CGEM       2NC</v>
          </cell>
        </row>
        <row r="16309">
          <cell r="B16309" t="str">
            <v>29010405070202</v>
          </cell>
          <cell r="C16309" t="str">
            <v>LPC INT LEAS SEG VENC D/P RP CGEM       2NC</v>
          </cell>
        </row>
        <row r="16310">
          <cell r="B16310" t="str">
            <v>29010405070301</v>
          </cell>
          <cell r="C16310" t="str">
            <v>LPC INT CAP LEAS VENC REESTR RP CGEM    2NC</v>
          </cell>
        </row>
        <row r="16311">
          <cell r="B16311" t="str">
            <v>29010405070302</v>
          </cell>
          <cell r="C16311" t="str">
            <v>LPC INT LEAS SEG VENC REESTR RP CGEM    2NC</v>
          </cell>
        </row>
        <row r="16312">
          <cell r="B16312" t="str">
            <v>29010405070303</v>
          </cell>
          <cell r="C16312" t="str">
            <v>LPC INT CAP LEAS VENC REFINANC RP CGEM  2NC</v>
          </cell>
        </row>
        <row r="16313">
          <cell r="B16313" t="str">
            <v>29010405070304</v>
          </cell>
          <cell r="C16313" t="str">
            <v>LPC INT LEAS SEG VENC REFINANC RP CGEM  2NC</v>
          </cell>
        </row>
        <row r="16314">
          <cell r="B16314" t="str">
            <v>29010405070401</v>
          </cell>
          <cell r="C16314" t="str">
            <v>LPC DIF VEN LSG BIEN ADJ. RP CGEM       2NC</v>
          </cell>
        </row>
        <row r="16315">
          <cell r="B16315" t="str">
            <v>29010405070402</v>
          </cell>
          <cell r="C16315" t="str">
            <v>LPC DIF VEN LSG SEG. ADJ. RP CGEM       2NC</v>
          </cell>
        </row>
        <row r="16316">
          <cell r="B16316" t="str">
            <v>29010405070403</v>
          </cell>
          <cell r="C16316" t="str">
            <v>LPC DIF VEN LSG BIEN ADJ. D/P CGEM      2NC</v>
          </cell>
        </row>
        <row r="16317">
          <cell r="B16317" t="str">
            <v>29010405070404</v>
          </cell>
          <cell r="C16317" t="str">
            <v>LPC LSG SEG DIF VEN ADJUD. D/P CGEM     2NC</v>
          </cell>
        </row>
        <row r="16318">
          <cell r="B16318" t="str">
            <v>29010405070405</v>
          </cell>
          <cell r="C16318" t="str">
            <v>LPC DIF VEN LS  BIEN OTROS SUSP RP CGEM 2NC</v>
          </cell>
        </row>
        <row r="16319">
          <cell r="B16319" t="str">
            <v>29010405070406</v>
          </cell>
          <cell r="C16319" t="str">
            <v>LPC DIF VEN LS SEG OTROS SUSP RP CGEM   2NC</v>
          </cell>
        </row>
        <row r="16320">
          <cell r="B16320" t="str">
            <v>29010405070501</v>
          </cell>
          <cell r="C16320" t="str">
            <v>290104050705010000                      2NC</v>
          </cell>
        </row>
        <row r="16321">
          <cell r="B16321" t="str">
            <v>29010405070601</v>
          </cell>
          <cell r="C16321" t="str">
            <v>LPC INT CAP LEASING COFIDE VENC IDL CGEM2NC</v>
          </cell>
        </row>
        <row r="16322">
          <cell r="B16322" t="str">
            <v>29010405070602</v>
          </cell>
          <cell r="C16322" t="str">
            <v>LPC INT LS COFIDE SEG VENC IDS CGEM     2NC</v>
          </cell>
        </row>
        <row r="16323">
          <cell r="B16323" t="str">
            <v>29010405070603</v>
          </cell>
          <cell r="C16323" t="str">
            <v>LPC INT CAP LS COFIDE VENC D/P IDL CGEM 2NC</v>
          </cell>
        </row>
        <row r="16324">
          <cell r="B16324" t="str">
            <v>29010405070604</v>
          </cell>
          <cell r="C16324" t="str">
            <v>LPC INT LS COFIDE SEG VENC D/P IDS CGEM 2NC</v>
          </cell>
        </row>
        <row r="16325">
          <cell r="B16325" t="str">
            <v>29010405080101</v>
          </cell>
          <cell r="C16325" t="str">
            <v>LPC INT CAP LEASING VENC RP CMED        2NC</v>
          </cell>
        </row>
        <row r="16326">
          <cell r="B16326" t="str">
            <v>29010405080102</v>
          </cell>
          <cell r="C16326" t="str">
            <v>LPC INT LEAS SEG VENC RP CMED           2NC</v>
          </cell>
        </row>
        <row r="16327">
          <cell r="B16327" t="str">
            <v>29010405080201</v>
          </cell>
          <cell r="C16327" t="str">
            <v>LPC INT CAP LEAS VENC D/P RP CMED       2NC</v>
          </cell>
        </row>
        <row r="16328">
          <cell r="B16328" t="str">
            <v>29010405080202</v>
          </cell>
          <cell r="C16328" t="str">
            <v>LPC INT LEAS SEG VENC D/P RP CMED       2NC</v>
          </cell>
        </row>
        <row r="16329">
          <cell r="B16329" t="str">
            <v>29010405080301</v>
          </cell>
          <cell r="C16329" t="str">
            <v>LPC INT CAP LEAS VENC REESTR RP CMED    2NC</v>
          </cell>
        </row>
        <row r="16330">
          <cell r="B16330" t="str">
            <v>29010405080302</v>
          </cell>
          <cell r="C16330" t="str">
            <v>LPC INT LEAS SEG VENC REESTR RP CMED    2NC</v>
          </cell>
        </row>
        <row r="16331">
          <cell r="B16331" t="str">
            <v>29010405080305</v>
          </cell>
          <cell r="C16331" t="str">
            <v>LPC INT CAP LEAS VENC REFINANC RP CMED  2NC</v>
          </cell>
        </row>
        <row r="16332">
          <cell r="B16332" t="str">
            <v>29010405080306</v>
          </cell>
          <cell r="C16332" t="str">
            <v>LPC INT LEAS SEG VENC REFINANC RP CMED  2NC</v>
          </cell>
        </row>
        <row r="16333">
          <cell r="B16333" t="str">
            <v>29010405080401</v>
          </cell>
          <cell r="C16333" t="str">
            <v>LPC DIF VEN LSG BIEN ADJ. RP CMED       2NC</v>
          </cell>
        </row>
        <row r="16334">
          <cell r="B16334" t="str">
            <v>29010405080402</v>
          </cell>
          <cell r="C16334" t="str">
            <v>LPC DIF VEN LSG SEG. ADJ. RP CMED       2NC</v>
          </cell>
        </row>
        <row r="16335">
          <cell r="B16335" t="str">
            <v>29010405080403</v>
          </cell>
          <cell r="C16335" t="str">
            <v>LPC DIF VEN LSG BIEN ADJ. D/P CMED      2NC</v>
          </cell>
        </row>
        <row r="16336">
          <cell r="B16336" t="str">
            <v>29010405080404</v>
          </cell>
          <cell r="C16336" t="str">
            <v>LPC LSG SEG DIF VEN ADJUD. D/P CMED     2NC</v>
          </cell>
        </row>
        <row r="16337">
          <cell r="B16337" t="str">
            <v>29010405080405</v>
          </cell>
          <cell r="C16337" t="str">
            <v>LPC DIF VEN LS  BIEN OTROS SUSP RP CMED 2NC</v>
          </cell>
        </row>
        <row r="16338">
          <cell r="B16338" t="str">
            <v>29010405080406</v>
          </cell>
          <cell r="C16338" t="str">
            <v>LPC DIF VEN LS SEG OTROS SUSP RP CMED   2NC</v>
          </cell>
        </row>
        <row r="16339">
          <cell r="B16339" t="str">
            <v>29010405080501</v>
          </cell>
          <cell r="C16339" t="str">
            <v>LPC INT DIF PAG TV VENC REFIN CMED      2NC</v>
          </cell>
        </row>
        <row r="16340">
          <cell r="B16340" t="str">
            <v>29010405080601</v>
          </cell>
          <cell r="C16340" t="str">
            <v>LPC IDL MYP INT LEASING BIEN CMED       2NC</v>
          </cell>
        </row>
        <row r="16341">
          <cell r="B16341" t="str">
            <v>29010405080602</v>
          </cell>
          <cell r="C16341" t="str">
            <v>LPC IDS MYP INT LEASING BIEN CMED       2NC</v>
          </cell>
        </row>
        <row r="16342">
          <cell r="B16342" t="str">
            <v>29010405080603</v>
          </cell>
          <cell r="C16342" t="str">
            <v>LPC IDL INT DIF MYP LS D/P CMED         2NC</v>
          </cell>
        </row>
        <row r="16343">
          <cell r="B16343" t="str">
            <v>29010405080604</v>
          </cell>
          <cell r="C16343" t="str">
            <v>LPC IDS INT DIF MYP LS D/P CMED         2NC</v>
          </cell>
        </row>
        <row r="16344">
          <cell r="B16344" t="str">
            <v>29010405080701</v>
          </cell>
          <cell r="C16344" t="str">
            <v>LPC INT CAP LEASING COFIDE VENC IDL CMED2NC</v>
          </cell>
        </row>
        <row r="16345">
          <cell r="B16345" t="str">
            <v>29010405080702</v>
          </cell>
          <cell r="C16345" t="str">
            <v>LPC INT LS COFIDE SEG VENC IDS CMED     2NC</v>
          </cell>
        </row>
        <row r="16346">
          <cell r="B16346" t="str">
            <v>29010405080703</v>
          </cell>
          <cell r="C16346" t="str">
            <v>LPC INT CAP LS COFIDE VENC D/P IDL CMED 2NC</v>
          </cell>
        </row>
        <row r="16347">
          <cell r="B16347" t="str">
            <v>29010405080704</v>
          </cell>
          <cell r="C16347" t="str">
            <v>LPC INT LS COFIDE SEG VENC D/P IDS CMED 2NC</v>
          </cell>
        </row>
        <row r="16348">
          <cell r="B16348" t="str">
            <v>29010405090101</v>
          </cell>
          <cell r="C16348" t="str">
            <v>LPC INT CAP LEASING VENC RP CPEM        2NC</v>
          </cell>
        </row>
        <row r="16349">
          <cell r="B16349" t="str">
            <v>29010405090102</v>
          </cell>
          <cell r="C16349" t="str">
            <v>LPC INT LEAS SEG VENC RP CPEM           2NC</v>
          </cell>
        </row>
        <row r="16350">
          <cell r="B16350" t="str">
            <v>29010405090201</v>
          </cell>
          <cell r="C16350" t="str">
            <v>LPC INT CAP LEAS VENC D/P RP CPEM       2NC</v>
          </cell>
        </row>
        <row r="16351">
          <cell r="B16351" t="str">
            <v>29010405090202</v>
          </cell>
          <cell r="C16351" t="str">
            <v>LPC INT LEAS SEG VENC D/P RP CPEM       2NC</v>
          </cell>
        </row>
        <row r="16352">
          <cell r="B16352" t="str">
            <v>29010405090301</v>
          </cell>
          <cell r="C16352" t="str">
            <v>LPC INT CAP LEAS VENC REESTR RP CPEM    2NC</v>
          </cell>
        </row>
        <row r="16353">
          <cell r="B16353" t="str">
            <v>29010405090302</v>
          </cell>
          <cell r="C16353" t="str">
            <v>LPC INT LEAS SEG VENC REESTR RP CPEM    2NC</v>
          </cell>
        </row>
        <row r="16354">
          <cell r="B16354" t="str">
            <v>29010405090303</v>
          </cell>
          <cell r="C16354" t="str">
            <v>LPC INT CAP LEAS VENC REFINANC RP CPEM  2NC</v>
          </cell>
        </row>
        <row r="16355">
          <cell r="B16355" t="str">
            <v>29010405090304</v>
          </cell>
          <cell r="C16355" t="str">
            <v>LPC INT LEAS SEG VENC REFINANC RP CPEM  2NC</v>
          </cell>
        </row>
        <row r="16356">
          <cell r="B16356" t="str">
            <v>29010405090401</v>
          </cell>
          <cell r="C16356" t="str">
            <v>LPC DIF VEN LSG BIEN ADJ. RP CPEM       2NC</v>
          </cell>
        </row>
        <row r="16357">
          <cell r="B16357" t="str">
            <v>29010405090402</v>
          </cell>
          <cell r="C16357" t="str">
            <v>LPC DIF VEN LSG SEG. ADJ. RP CPEM       2NC</v>
          </cell>
        </row>
        <row r="16358">
          <cell r="B16358" t="str">
            <v>29010405090403</v>
          </cell>
          <cell r="C16358" t="str">
            <v>LPC DIF VEN LSG BIEN ADJ. D/P CPEM      2NC</v>
          </cell>
        </row>
        <row r="16359">
          <cell r="B16359" t="str">
            <v>29010405090404</v>
          </cell>
          <cell r="C16359" t="str">
            <v>LPC LSG SEG DIF VEN ADJUD. D/P CPEM     2NC</v>
          </cell>
        </row>
        <row r="16360">
          <cell r="B16360" t="str">
            <v>29010405090405</v>
          </cell>
          <cell r="C16360" t="str">
            <v>LPC DIF VEN LS  BIEN OTROS SUSP RP CPEM 2NC</v>
          </cell>
        </row>
        <row r="16361">
          <cell r="B16361" t="str">
            <v>29010405090406</v>
          </cell>
          <cell r="C16361" t="str">
            <v>LPC DIF VEN LS SEG OTROS SUSP RP CPEM   2NC</v>
          </cell>
        </row>
        <row r="16362">
          <cell r="B16362" t="str">
            <v>29010405090501</v>
          </cell>
          <cell r="C16362" t="str">
            <v>LPC INT DIF PAG TV VENC REFIN CPEM      2NC</v>
          </cell>
        </row>
        <row r="16363">
          <cell r="B16363" t="str">
            <v>29010405090601</v>
          </cell>
          <cell r="C16363" t="str">
            <v>LPC IDL MYP INT LEASING BIEN CPEM       2NC</v>
          </cell>
        </row>
        <row r="16364">
          <cell r="B16364" t="str">
            <v>29010405090602</v>
          </cell>
          <cell r="C16364" t="str">
            <v>LPC IDS MYP INT LEASING BIEN CPEM       2NC</v>
          </cell>
        </row>
        <row r="16365">
          <cell r="B16365" t="str">
            <v>29010405090603</v>
          </cell>
          <cell r="C16365" t="str">
            <v>LPC IDL INT DIF MYP LS D/P CPEM         2NC</v>
          </cell>
        </row>
        <row r="16366">
          <cell r="B16366" t="str">
            <v>29010405090604</v>
          </cell>
          <cell r="C16366" t="str">
            <v>LPC IDS INT DIF MYP LS D/P CPEM         2NC</v>
          </cell>
        </row>
        <row r="16367">
          <cell r="B16367" t="str">
            <v>29010405090701</v>
          </cell>
          <cell r="C16367" t="str">
            <v>LPC INT CAP LEASING COFIDE VENC IDL CPEM2NC</v>
          </cell>
        </row>
        <row r="16368">
          <cell r="B16368" t="str">
            <v>29010405090702</v>
          </cell>
          <cell r="C16368" t="str">
            <v>LPC INT LS COFIDE SEG VENC IDS CPEM     2NC</v>
          </cell>
        </row>
        <row r="16369">
          <cell r="B16369" t="str">
            <v>29010405090703</v>
          </cell>
          <cell r="C16369" t="str">
            <v>LPC INT CAP LS COFIDE VENC D/P IDL CPEM 2NC</v>
          </cell>
        </row>
        <row r="16370">
          <cell r="B16370" t="str">
            <v>29010405090704</v>
          </cell>
          <cell r="C16370" t="str">
            <v>LPC INT LS COFIDE SEG VENC D/P IDS CPEM 2NC</v>
          </cell>
        </row>
        <row r="16371">
          <cell r="B16371" t="str">
            <v>29010405100101</v>
          </cell>
          <cell r="C16371" t="str">
            <v>LPC INT IDL LEASEBACK RP CMIE           2NC</v>
          </cell>
        </row>
        <row r="16372">
          <cell r="B16372" t="str">
            <v>29010405100102</v>
          </cell>
          <cell r="C16372" t="str">
            <v>LPC INT IDS LEASEBACK BIEN RP CMIE      2NC</v>
          </cell>
        </row>
        <row r="16373">
          <cell r="B16373" t="str">
            <v>29010405100103</v>
          </cell>
          <cell r="C16373" t="str">
            <v>LPC INT IDL LEASEBACK BIEN D/P RP CMIE  2NC</v>
          </cell>
        </row>
        <row r="16374">
          <cell r="B16374" t="str">
            <v>29010405100104</v>
          </cell>
          <cell r="C16374" t="str">
            <v>LPC INT IDS LEASEBACK BIEN D/P RP CMIE  2NC</v>
          </cell>
        </row>
        <row r="16375">
          <cell r="B16375" t="str">
            <v>29010405120101</v>
          </cell>
          <cell r="C16375" t="str">
            <v>ING DIF VENCIDOS CESP LEASEBACK         2NC</v>
          </cell>
        </row>
        <row r="16376">
          <cell r="B16376" t="str">
            <v>29010405150101</v>
          </cell>
          <cell r="C16376" t="str">
            <v>LPC INT CAP LEASEBACK VENC RP CCOR      2NC</v>
          </cell>
        </row>
        <row r="16377">
          <cell r="B16377" t="str">
            <v>29010405150102</v>
          </cell>
          <cell r="C16377" t="str">
            <v>LPC INT LEASEBACK SEG VENC RP CCOR      2NC</v>
          </cell>
        </row>
        <row r="16378">
          <cell r="B16378" t="str">
            <v>29010405150103</v>
          </cell>
          <cell r="C16378" t="str">
            <v>LPC INT CAP LSBACK VENC D/P RP CCOR     2NC</v>
          </cell>
        </row>
        <row r="16379">
          <cell r="B16379" t="str">
            <v>29010405150104</v>
          </cell>
          <cell r="C16379" t="str">
            <v>LPC INT LSBACK SEG VENC D/P RP CCOR     2NC</v>
          </cell>
        </row>
        <row r="16380">
          <cell r="B16380" t="str">
            <v>29010405150105</v>
          </cell>
          <cell r="C16380" t="str">
            <v>LPC DIF VEN LSB  BIEN OTROS SUSP CCOR   2NC</v>
          </cell>
        </row>
        <row r="16381">
          <cell r="B16381" t="str">
            <v>29010405150106</v>
          </cell>
          <cell r="C16381" t="str">
            <v>LPC DIF VEN LSB SEG OTROS SUSP CCOR     2NC</v>
          </cell>
        </row>
        <row r="16382">
          <cell r="B16382" t="str">
            <v>29010405150107</v>
          </cell>
          <cell r="C16382" t="str">
            <v>LPC INT CAP LEASEBACK VENC REFIN CCOR   2NC</v>
          </cell>
        </row>
        <row r="16383">
          <cell r="B16383" t="str">
            <v>29010405150108</v>
          </cell>
          <cell r="C16383" t="str">
            <v>LPC LEASEBACK SEG INT DIF VENC REFIN CCO2NC</v>
          </cell>
        </row>
        <row r="16384">
          <cell r="B16384" t="str">
            <v>29010405160101</v>
          </cell>
          <cell r="C16384" t="str">
            <v>LPC INT CAP LEASEBACK VENC RP CGEM      2NC</v>
          </cell>
        </row>
        <row r="16385">
          <cell r="B16385" t="str">
            <v>29010405160102</v>
          </cell>
          <cell r="C16385" t="str">
            <v>LPC INT LEASEBACK SEG VENC RP CGEM      2NC</v>
          </cell>
        </row>
        <row r="16386">
          <cell r="B16386" t="str">
            <v>29010405160103</v>
          </cell>
          <cell r="C16386" t="str">
            <v>LPC INT CAP LSBACK VENC D/P RP CGEM     2NC</v>
          </cell>
        </row>
        <row r="16387">
          <cell r="B16387" t="str">
            <v>29010405160104</v>
          </cell>
          <cell r="C16387" t="str">
            <v>LPC INT LSBACK SEG VENC D/P RP CGEM     2NC</v>
          </cell>
        </row>
        <row r="16388">
          <cell r="B16388" t="str">
            <v>29010405160105</v>
          </cell>
          <cell r="C16388" t="str">
            <v>LPC DIF VEN LSB  BIEN OTROS SUSP CGEM   2NC</v>
          </cell>
        </row>
        <row r="16389">
          <cell r="B16389" t="str">
            <v>29010405160106</v>
          </cell>
          <cell r="C16389" t="str">
            <v>LPC DIF VEN LSB SEG OTROS SUSP CGEM     2NC</v>
          </cell>
        </row>
        <row r="16390">
          <cell r="B16390" t="str">
            <v>29010405160107</v>
          </cell>
          <cell r="C16390" t="str">
            <v>LPC INT CAP LEASEBACK VENC REFIN CGEM   2NC</v>
          </cell>
        </row>
        <row r="16391">
          <cell r="B16391" t="str">
            <v>29010405160108</v>
          </cell>
          <cell r="C16391" t="str">
            <v>LPC LEASEBACK SEG INT DIF VENC REFIN CGE2NC</v>
          </cell>
        </row>
        <row r="16392">
          <cell r="B16392" t="str">
            <v>29010405160109</v>
          </cell>
          <cell r="C16392" t="str">
            <v>LPC INT DIFER VEN LEASEBACK COFIDE IDL C2NC</v>
          </cell>
        </row>
        <row r="16393">
          <cell r="B16393" t="str">
            <v>29010405160110</v>
          </cell>
          <cell r="C16393" t="str">
            <v>LPC SEG INT DIFER VEN LEASEBACK COFIDE I2NC</v>
          </cell>
        </row>
        <row r="16394">
          <cell r="B16394" t="str">
            <v>29010405160111</v>
          </cell>
          <cell r="C16394" t="str">
            <v>LPC INT DIFER VEN LEASEBACK COFIDE D/P I2NC</v>
          </cell>
        </row>
        <row r="16395">
          <cell r="B16395" t="str">
            <v>29010405160112</v>
          </cell>
          <cell r="C16395" t="str">
            <v>LPC SEG INT DIFER VEN LEASEBACK COFIDE D2NC</v>
          </cell>
        </row>
        <row r="16396">
          <cell r="B16396" t="str">
            <v>29010405170101</v>
          </cell>
          <cell r="C16396" t="str">
            <v>LPC INT CAP LEASEBACK VENC RP CMED      2NC</v>
          </cell>
        </row>
        <row r="16397">
          <cell r="B16397" t="str">
            <v>29010405170102</v>
          </cell>
          <cell r="C16397" t="str">
            <v>LPC INT LEASEBACK SEG VENC RP CMED      2NC</v>
          </cell>
        </row>
        <row r="16398">
          <cell r="B16398" t="str">
            <v>29010405170103</v>
          </cell>
          <cell r="C16398" t="str">
            <v>LPC INT CAP LSBACK VENC D/P RP CMED     2NC</v>
          </cell>
        </row>
        <row r="16399">
          <cell r="B16399" t="str">
            <v>29010405170104</v>
          </cell>
          <cell r="C16399" t="str">
            <v>LPC INT LSBACK SEG VENC D/P RP CMED     2NC</v>
          </cell>
        </row>
        <row r="16400">
          <cell r="B16400" t="str">
            <v>29010405170105</v>
          </cell>
          <cell r="C16400" t="str">
            <v>LPC DIF VEN LSB  BIEN OTROS SUSP CMED   2NC</v>
          </cell>
        </row>
        <row r="16401">
          <cell r="B16401" t="str">
            <v>29010405170106</v>
          </cell>
          <cell r="C16401" t="str">
            <v>LPC DIF VEN LSB SEG OTROS SUSP CMED     2NC</v>
          </cell>
        </row>
        <row r="16402">
          <cell r="B16402" t="str">
            <v>29010405170107</v>
          </cell>
          <cell r="C16402" t="str">
            <v>LPC INT CAP LEASEBACK VENC REFIN CMED   2NC</v>
          </cell>
        </row>
        <row r="16403">
          <cell r="B16403" t="str">
            <v>29010405170108</v>
          </cell>
          <cell r="C16403" t="str">
            <v>LPC LEASEBACK SEG INT DIF VENC REFIN CME2NC</v>
          </cell>
        </row>
        <row r="16404">
          <cell r="B16404" t="str">
            <v>29010405170201</v>
          </cell>
          <cell r="C16404" t="str">
            <v>LPC INT CAP LEASE-BACK COFIDE VENC IDL C2NC</v>
          </cell>
        </row>
        <row r="16405">
          <cell r="B16405" t="str">
            <v>29010405170202</v>
          </cell>
          <cell r="C16405" t="str">
            <v>LPC INT LB COFIDE SEG VENC IDS CMED     2NC</v>
          </cell>
        </row>
        <row r="16406">
          <cell r="B16406" t="str">
            <v>29010405170203</v>
          </cell>
          <cell r="C16406" t="str">
            <v>LPC INT CAP LB COFIDE VENC D/P IDL CMED 2NC</v>
          </cell>
        </row>
        <row r="16407">
          <cell r="B16407" t="str">
            <v>29010405170204</v>
          </cell>
          <cell r="C16407" t="str">
            <v>LPC INT LB COFIDE SEG VENC D/P IDS CMED 2NC</v>
          </cell>
        </row>
        <row r="16408">
          <cell r="B16408" t="str">
            <v>29010405180101</v>
          </cell>
          <cell r="C16408" t="str">
            <v>LPC INT CAP LEASEBACK VENC RP CPEM      2NC</v>
          </cell>
        </row>
        <row r="16409">
          <cell r="B16409" t="str">
            <v>29010405180102</v>
          </cell>
          <cell r="C16409" t="str">
            <v>LPC INT LEASEBACK SEG VENC RP CPEM      2NC</v>
          </cell>
        </row>
        <row r="16410">
          <cell r="B16410" t="str">
            <v>29010405180103</v>
          </cell>
          <cell r="C16410" t="str">
            <v>LPC INT CAP LSBACK VENC D/P RP CPEM     2NC</v>
          </cell>
        </row>
        <row r="16411">
          <cell r="B16411" t="str">
            <v>29010405180104</v>
          </cell>
          <cell r="C16411" t="str">
            <v>LPC INT LSBACK SEG VENC D/P RP CPEM     2NC</v>
          </cell>
        </row>
        <row r="16412">
          <cell r="B16412" t="str">
            <v>29010405180105</v>
          </cell>
          <cell r="C16412" t="str">
            <v>LPC DIF VEN LSB  BIEN OTROS SUSP CPEM   2NC</v>
          </cell>
        </row>
        <row r="16413">
          <cell r="B16413" t="str">
            <v>29010405180106</v>
          </cell>
          <cell r="C16413" t="str">
            <v>LPC DIF VEN LSB SEG OTROS SUSP CPEM     2NC</v>
          </cell>
        </row>
        <row r="16414">
          <cell r="B16414" t="str">
            <v>29010405180107</v>
          </cell>
          <cell r="C16414" t="str">
            <v>LPC INT CAP LEASEBACK VENC REFIN CPEM   2NC</v>
          </cell>
        </row>
        <row r="16415">
          <cell r="B16415" t="str">
            <v>29010405180108</v>
          </cell>
          <cell r="C16415" t="str">
            <v>LPC LEASEBACK SEG INT DIF VENC REFIN CPE2NC</v>
          </cell>
        </row>
        <row r="16416">
          <cell r="B16416" t="str">
            <v>29010406070101</v>
          </cell>
          <cell r="C16416" t="str">
            <v>ING DIF CJ CGEM LEASING                 2NC</v>
          </cell>
        </row>
        <row r="16417">
          <cell r="B16417" t="str">
            <v>29010406080101</v>
          </cell>
          <cell r="C16417" t="str">
            <v>ING DIF CJ CMED LEASING                 2NC</v>
          </cell>
        </row>
        <row r="16418">
          <cell r="B16418" t="str">
            <v>29010406090101</v>
          </cell>
          <cell r="C16418" t="str">
            <v>ING DIF CJ CPEM LEASING                 2NC</v>
          </cell>
        </row>
        <row r="16419">
          <cell r="B16419" t="str">
            <v>29010406170101</v>
          </cell>
          <cell r="C16419" t="str">
            <v>ING DIF CRED JUDIC LEESEBACK C.MEDIANO  2NC</v>
          </cell>
        </row>
        <row r="16420">
          <cell r="B16420" t="str">
            <v>29010701000102</v>
          </cell>
          <cell r="C16420" t="str">
            <v>CL OTROS DIF DEU.VTA.CARTE              2NC</v>
          </cell>
        </row>
        <row r="16421">
          <cell r="B16421" t="str">
            <v>29010701000103</v>
          </cell>
          <cell r="C16421" t="str">
            <v>ING DIF TRANS DE CARTERA CREDITICIA     2NC</v>
          </cell>
        </row>
        <row r="16422">
          <cell r="B16422" t="str">
            <v>29010701000104</v>
          </cell>
          <cell r="C16422" t="str">
            <v>DIFERIDO TRANSFERENCIA DE CARTERA CREDIT2NC</v>
          </cell>
        </row>
        <row r="16423">
          <cell r="B16423" t="str">
            <v>29010702000102</v>
          </cell>
          <cell r="C16423" t="str">
            <v>ING DIF ADQ CARTERA CREDITICIA          2NC</v>
          </cell>
        </row>
        <row r="16424">
          <cell r="B16424" t="str">
            <v>29010702010101</v>
          </cell>
          <cell r="C16424" t="str">
            <v>DIFERIDO ADQUISICION DE CARTERA SURA    2NC</v>
          </cell>
        </row>
        <row r="16425">
          <cell r="B16425" t="str">
            <v>29010702010102</v>
          </cell>
          <cell r="C16425" t="str">
            <v>DIFERIDO ADQUISICION DE CARTERA NAUTILUS2NC</v>
          </cell>
        </row>
        <row r="16426">
          <cell r="B16426" t="str">
            <v>29010702010103</v>
          </cell>
          <cell r="C16426" t="str">
            <v>DIFERIDO ADQ. DE CARTERA CIA MINERA RAUR2NC</v>
          </cell>
        </row>
        <row r="16427">
          <cell r="B16427" t="str">
            <v>29010702010104</v>
          </cell>
          <cell r="C16427" t="str">
            <v>DIFERIDO ADQ. DE CARTERA VOLCAN CIA MINE2NC</v>
          </cell>
        </row>
        <row r="16428">
          <cell r="B16428" t="str">
            <v>29010704000102</v>
          </cell>
          <cell r="C16428" t="str">
            <v>ING DIF POR TRANS DE BS ADJ Y RECP AL AC2NC</v>
          </cell>
        </row>
        <row r="16429">
          <cell r="B16429" t="str">
            <v>29010709000101</v>
          </cell>
          <cell r="C16429" t="str">
            <v>OTROS ING.DIF-COM.FLAT PF BANEMISO      2NC</v>
          </cell>
        </row>
        <row r="16430">
          <cell r="B16430" t="str">
            <v>29010709000106</v>
          </cell>
          <cell r="C16430" t="str">
            <v>LPC IIG IGV LEASING NO DEVENGADO        2NC</v>
          </cell>
        </row>
        <row r="16431">
          <cell r="B16431" t="str">
            <v>29010709000109</v>
          </cell>
          <cell r="C16431" t="str">
            <v>OTROS INGRESOS DIFERIDOS                2YC</v>
          </cell>
        </row>
        <row r="16432">
          <cell r="B16432" t="str">
            <v>29010709000110</v>
          </cell>
          <cell r="C16432" t="str">
            <v>INT DIFERIDO VIG TV FINANC OTROS SUSP   2NC</v>
          </cell>
        </row>
        <row r="16433">
          <cell r="B16433" t="str">
            <v>29010709000112</v>
          </cell>
          <cell r="C16433" t="str">
            <v>LPC IVA VALOR AGREG.DIFE.CAPI           2NC</v>
          </cell>
        </row>
        <row r="16434">
          <cell r="B16434" t="str">
            <v>29010709000119</v>
          </cell>
          <cell r="C16434" t="str">
            <v>LPC ISG LS BIEN REFIN.CIA SEG           2NC</v>
          </cell>
        </row>
        <row r="16435">
          <cell r="B16435" t="str">
            <v>29010709000120</v>
          </cell>
          <cell r="C16435" t="str">
            <v>LPC ISG LS BIEN D/P CIA.SEG VIG         2NC</v>
          </cell>
        </row>
        <row r="16436">
          <cell r="B16436" t="str">
            <v>29010709000121</v>
          </cell>
          <cell r="C16436" t="str">
            <v>LPC ISG LS BIEN RP CIA SEG INT          2NC</v>
          </cell>
        </row>
        <row r="16437">
          <cell r="B16437" t="str">
            <v>29010709000122</v>
          </cell>
          <cell r="C16437" t="str">
            <v>LPC ISG LSBACK BIEN CIA.SEG             2NC</v>
          </cell>
        </row>
        <row r="16438">
          <cell r="B16438" t="str">
            <v>29010709000126</v>
          </cell>
          <cell r="C16438" t="str">
            <v>CIA SEGUROS LSBACK D/P RP LPC           2NC</v>
          </cell>
        </row>
        <row r="16439">
          <cell r="B16439" t="str">
            <v>29010709000127</v>
          </cell>
          <cell r="C16439" t="str">
            <v>CIA SEGUROS LEASING REESTR RP CGEM      2NC</v>
          </cell>
        </row>
        <row r="16440">
          <cell r="B16440" t="str">
            <v>29010709000128</v>
          </cell>
          <cell r="C16440" t="str">
            <v>LPC CIA SEGUROS LEASING RP MES          2NC</v>
          </cell>
        </row>
        <row r="16441">
          <cell r="B16441" t="str">
            <v>29010709000129</v>
          </cell>
          <cell r="C16441" t="str">
            <v>LPC PSG LEASING MYP D/P CMED            2NC</v>
          </cell>
        </row>
        <row r="16442">
          <cell r="B16442" t="str">
            <v>29010709000130</v>
          </cell>
          <cell r="C16442" t="str">
            <v>LPC CIA SEGUROS LSBACK D/P RP CMIE      2NC</v>
          </cell>
        </row>
        <row r="16443">
          <cell r="B16443" t="str">
            <v>29010709000131</v>
          </cell>
          <cell r="C16443" t="str">
            <v>LPC CIA SEGUROS LEASEBACK RP MES        2NC</v>
          </cell>
        </row>
        <row r="16444">
          <cell r="B16444" t="str">
            <v>29010709000136</v>
          </cell>
          <cell r="C16444" t="str">
            <v>LPC ISG LS BIEN ADJU.CIA SEG DIF        2NC</v>
          </cell>
        </row>
        <row r="16445">
          <cell r="B16445" t="str">
            <v>29010709000137</v>
          </cell>
          <cell r="C16445" t="str">
            <v>LPC LS CIA SEGUROS  D/P ADJ. CCOR       2NC</v>
          </cell>
        </row>
        <row r="16446">
          <cell r="B16446" t="str">
            <v>29010709000139</v>
          </cell>
          <cell r="C16446" t="str">
            <v>LPC CIA SEGUROS LSG ADJ. D/P MES RP     2NC</v>
          </cell>
        </row>
        <row r="16447">
          <cell r="B16447" t="str">
            <v>29010709000146</v>
          </cell>
          <cell r="C16447" t="str">
            <v>LPC ISG LS BIEN OTR.SUSP.CIA.SEG        2NC</v>
          </cell>
        </row>
        <row r="16448">
          <cell r="B16448" t="str">
            <v>29010709000148</v>
          </cell>
          <cell r="C16448" t="str">
            <v>HPC SEG DESG.DIF ESPEC HIPOT RP         2NC</v>
          </cell>
        </row>
        <row r="16449">
          <cell r="B16449" t="str">
            <v>29010709000149</v>
          </cell>
          <cell r="C16449" t="str">
            <v>HPC SEG BIEN DIF ESPEC HIPOT RP         2NC</v>
          </cell>
        </row>
        <row r="16450">
          <cell r="B16450" t="str">
            <v>29010709000150</v>
          </cell>
          <cell r="C16450" t="str">
            <v>HPC SEG DESG.DIF ESPEC MI VIV C         2NC</v>
          </cell>
        </row>
        <row r="16451">
          <cell r="B16451" t="str">
            <v>29010709000151</v>
          </cell>
          <cell r="C16451" t="str">
            <v>HPC SEG BIEN DIF ESPEC MI VIV C         2NC</v>
          </cell>
        </row>
        <row r="16452">
          <cell r="B16452" t="str">
            <v>29010709000152</v>
          </cell>
          <cell r="C16452" t="str">
            <v>HPC SEG DESG.DIF MI VIV COF EMPL        2NC</v>
          </cell>
        </row>
        <row r="16453">
          <cell r="B16453" t="str">
            <v>29010709000153</v>
          </cell>
          <cell r="C16453" t="str">
            <v>HPC SEG BIEN DIF ESP MI VIV COF EMPL    2NC</v>
          </cell>
        </row>
        <row r="16454">
          <cell r="B16454" t="str">
            <v>29010709000156</v>
          </cell>
          <cell r="C16454" t="str">
            <v>HPC SEG DESG.DIF RP EMPLEAD             2NC</v>
          </cell>
        </row>
        <row r="16455">
          <cell r="B16455" t="str">
            <v>29010709000157</v>
          </cell>
          <cell r="C16455" t="str">
            <v>HPC SEG BIEN DIF ESP RP EMPLEAD         2NC</v>
          </cell>
        </row>
        <row r="16456">
          <cell r="B16456" t="str">
            <v>29010709000158</v>
          </cell>
          <cell r="C16456" t="str">
            <v>HPC D/P SEG DESG.DIF RP EMPLEAD         2NC</v>
          </cell>
        </row>
        <row r="16457">
          <cell r="B16457" t="str">
            <v>29010709000159</v>
          </cell>
          <cell r="C16457" t="str">
            <v>HPC D/P SEG BIEN DIF ESP RP EMPLEAD     2NC</v>
          </cell>
        </row>
        <row r="16458">
          <cell r="B16458" t="str">
            <v>29010709000160</v>
          </cell>
          <cell r="C16458" t="str">
            <v>HPC SEG DESG.DIF ESP TEC PROP COF       2NC</v>
          </cell>
        </row>
        <row r="16459">
          <cell r="B16459" t="str">
            <v>29010709000161</v>
          </cell>
          <cell r="C16459" t="str">
            <v>HPC SEG BIEN DIF ESP TEC PROP CO        2NC</v>
          </cell>
        </row>
        <row r="16460">
          <cell r="B16460" t="str">
            <v>29010709000162</v>
          </cell>
          <cell r="C16460" t="str">
            <v>HPC SEG DESG.DIF ESPEC MI VIV RE        2NC</v>
          </cell>
        </row>
        <row r="16461">
          <cell r="B16461" t="str">
            <v>29010709000163</v>
          </cell>
          <cell r="C16461" t="str">
            <v>HPC SEG BIEN DIF ESPEC MI VIV R         2NC</v>
          </cell>
        </row>
        <row r="16462">
          <cell r="B16462" t="str">
            <v>29010709000164</v>
          </cell>
          <cell r="C16462" t="str">
            <v>HPC SEG DESG.DIF ESPEC HIP. RP          2NC</v>
          </cell>
        </row>
        <row r="16463">
          <cell r="B16463" t="str">
            <v>29010709000165</v>
          </cell>
          <cell r="C16463" t="str">
            <v>HPC SEG BIEN DIF ESPEC HIP. RP          2NC</v>
          </cell>
        </row>
        <row r="16464">
          <cell r="B16464" t="str">
            <v>29010709000166</v>
          </cell>
          <cell r="C16464" t="str">
            <v>HPC D/P SEG DESG.DIF ESPEC HIP          2NC</v>
          </cell>
        </row>
        <row r="16465">
          <cell r="B16465" t="str">
            <v>29010709000167</v>
          </cell>
          <cell r="C16465" t="str">
            <v>HPC D/P SEG BIEN.DIF ESPEC HIP          2NC</v>
          </cell>
        </row>
        <row r="16466">
          <cell r="B16466" t="str">
            <v>29010709000168</v>
          </cell>
          <cell r="C16466" t="str">
            <v>HPC SEG DESG.DIF ESP HIP RP ADJU        2NC</v>
          </cell>
        </row>
        <row r="16467">
          <cell r="B16467" t="str">
            <v>29010709000169</v>
          </cell>
          <cell r="C16467" t="str">
            <v>HPC SEG BIEN DIF ESP HIP RP ADJUD       2NC</v>
          </cell>
        </row>
        <row r="16468">
          <cell r="B16468" t="str">
            <v>29010709000170</v>
          </cell>
          <cell r="C16468" t="str">
            <v>HPC D/P SEG DESG.DIF ESP HIP RP A       2NC</v>
          </cell>
        </row>
        <row r="16469">
          <cell r="B16469" t="str">
            <v>29010709000171</v>
          </cell>
          <cell r="C16469" t="str">
            <v>HPC D/P SEG BIEN DIF ESP HIP RP A       2NC</v>
          </cell>
        </row>
        <row r="16470">
          <cell r="B16470" t="str">
            <v>29010709000172</v>
          </cell>
          <cell r="C16470" t="str">
            <v>HPC D/P SEG DESG.DIF ESP HIP RP         2NC</v>
          </cell>
        </row>
        <row r="16471">
          <cell r="B16471" t="str">
            <v>29010709000173</v>
          </cell>
          <cell r="C16471" t="str">
            <v>HPC D/P SEG BIEN DIF ESP HIP RP         2NC</v>
          </cell>
        </row>
        <row r="16472">
          <cell r="B16472" t="str">
            <v>29010709000174</v>
          </cell>
          <cell r="C16472" t="str">
            <v>HPC D/P SEG DESG.DIF ESP MIVIV CO       2NC</v>
          </cell>
        </row>
        <row r="16473">
          <cell r="B16473" t="str">
            <v>29010709000175</v>
          </cell>
          <cell r="C16473" t="str">
            <v>HPC D/P SEG BIEN DIF ESP MIVIV C        2NC</v>
          </cell>
        </row>
        <row r="16474">
          <cell r="B16474" t="str">
            <v>29010709000176</v>
          </cell>
          <cell r="C16474" t="str">
            <v>HPC D/P SEG DESG.DIF ESP TEC PROP       2NC</v>
          </cell>
        </row>
        <row r="16475">
          <cell r="B16475" t="str">
            <v>29010709000177</v>
          </cell>
          <cell r="C16475" t="str">
            <v>HPC D/P SEG BIEN DIF ESP TEC PRO        2NC</v>
          </cell>
        </row>
        <row r="16476">
          <cell r="B16476" t="str">
            <v>29010709000178</v>
          </cell>
          <cell r="C16476" t="str">
            <v>HPC D/P SEG DESG.DIF ESP RP/MV          2NC</v>
          </cell>
        </row>
        <row r="16477">
          <cell r="B16477" t="str">
            <v>29010709000179</v>
          </cell>
          <cell r="C16477" t="str">
            <v>HPC D/P SEG BIEN DIF ESP RP/MV          2NC</v>
          </cell>
        </row>
        <row r="16478">
          <cell r="B16478" t="str">
            <v>29010709000180</v>
          </cell>
          <cell r="C16478" t="str">
            <v>HPC SEG DESG.DIF ESP EFEC C/GARAN       2NC</v>
          </cell>
        </row>
        <row r="16479">
          <cell r="B16479" t="str">
            <v>29010709000181</v>
          </cell>
          <cell r="C16479" t="str">
            <v>HPC SEG BIEN DIF ESP EFEC C/GARA        2NC</v>
          </cell>
        </row>
        <row r="16480">
          <cell r="B16480" t="str">
            <v>29010709000182</v>
          </cell>
          <cell r="C16480" t="str">
            <v>HPC D/P SEG DESG.DIF ESP EFEC C/G       2NC</v>
          </cell>
        </row>
        <row r="16481">
          <cell r="B16481" t="str">
            <v>29010709000183</v>
          </cell>
          <cell r="C16481" t="str">
            <v>HPC D/P SEG BIEN.DIF ESP EFEC C/        2NC</v>
          </cell>
        </row>
        <row r="16482">
          <cell r="B16482" t="str">
            <v>29010709000184</v>
          </cell>
          <cell r="C16482" t="str">
            <v>HPC SEG DESG.DIF ESP EFEC C/GARANT.HI   2NC</v>
          </cell>
        </row>
        <row r="16483">
          <cell r="B16483" t="str">
            <v>29010709000185</v>
          </cell>
          <cell r="C16483" t="str">
            <v>HPC SEG BIEN DIF ESP EFEC C/GARANT.HI   2NC</v>
          </cell>
        </row>
        <row r="16484">
          <cell r="B16484" t="str">
            <v>29010709000188</v>
          </cell>
          <cell r="C16484" t="str">
            <v>HPC SEG DESG.DIF ESP EFEC REGULAR       2NC</v>
          </cell>
        </row>
        <row r="16485">
          <cell r="B16485" t="str">
            <v>29010709000189</v>
          </cell>
          <cell r="C16485" t="str">
            <v>HPC SEG BIEN DIF ESP EFEC REGULAR       2NC</v>
          </cell>
        </row>
        <row r="16486">
          <cell r="B16486" t="str">
            <v>29010709000190</v>
          </cell>
          <cell r="C16486" t="str">
            <v>HPC D/P SEG DESG.DIF ESP EFEC REG       2NC</v>
          </cell>
        </row>
        <row r="16487">
          <cell r="B16487" t="str">
            <v>29010709000191</v>
          </cell>
          <cell r="C16487" t="str">
            <v>HPC D/P SEG BIEN.DIF ESP EFEC REG       2NC</v>
          </cell>
        </row>
        <row r="16488">
          <cell r="B16488" t="str">
            <v>29010709000192</v>
          </cell>
          <cell r="C16488" t="str">
            <v>HPC REF INT.DIF ESPECIAL HIPOT.TR       2NC</v>
          </cell>
        </row>
        <row r="16489">
          <cell r="B16489" t="str">
            <v>29010709000193</v>
          </cell>
          <cell r="C16489" t="str">
            <v>HPC REF SEG DESG.DIF ESPEC HIPO         2NC</v>
          </cell>
        </row>
        <row r="16490">
          <cell r="B16490" t="str">
            <v>29010709000194</v>
          </cell>
          <cell r="C16490" t="str">
            <v>HPC REF SEG BIEN DIF ESPEC HIPOT        2NC</v>
          </cell>
        </row>
        <row r="16491">
          <cell r="B16491" t="str">
            <v>29010709000195</v>
          </cell>
          <cell r="C16491" t="str">
            <v>HPC REF INT.DIF ESP HIP ADJUDIC         2NC</v>
          </cell>
        </row>
        <row r="16492">
          <cell r="B16492" t="str">
            <v>29010709000196</v>
          </cell>
          <cell r="C16492" t="str">
            <v>HPC REF SEG DESG.DIF ESP HIP  ADJ       2NC</v>
          </cell>
        </row>
        <row r="16493">
          <cell r="B16493" t="str">
            <v>29010709000197</v>
          </cell>
          <cell r="C16493" t="str">
            <v>HPC REF SEG BIEN DIF ESP HIP  ADJ       2NC</v>
          </cell>
        </row>
        <row r="16494">
          <cell r="B16494" t="str">
            <v>29010709000201</v>
          </cell>
          <cell r="C16494" t="str">
            <v>HPC REF INT.DIF ESP EFEC C/GAR.H        2NC</v>
          </cell>
        </row>
        <row r="16495">
          <cell r="B16495" t="str">
            <v>29010709000202</v>
          </cell>
          <cell r="C16495" t="str">
            <v>HPC REF  SEG DESG.DIF ESP EFEC C/       2NC</v>
          </cell>
        </row>
        <row r="16496">
          <cell r="B16496" t="str">
            <v>29010709000203</v>
          </cell>
          <cell r="C16496" t="str">
            <v>HPC REF SEG BIEN.DIF ESP EFEC C/G       2NC</v>
          </cell>
        </row>
        <row r="16497">
          <cell r="B16497" t="str">
            <v>29010709000204</v>
          </cell>
          <cell r="C16497" t="str">
            <v>HPC REF  INT.DIF ESP.PREST.PERS         2NC</v>
          </cell>
        </row>
        <row r="16498">
          <cell r="B16498" t="str">
            <v>29010709000205</v>
          </cell>
          <cell r="C16498" t="str">
            <v>HPC  REF SEG DESG.DIF ESP. PREST.       2NC</v>
          </cell>
        </row>
        <row r="16499">
          <cell r="B16499" t="str">
            <v>29010709000206</v>
          </cell>
          <cell r="C16499" t="str">
            <v>HPC  REF SEG BIEN.DIF ESP .PREST.       2NC</v>
          </cell>
        </row>
        <row r="16500">
          <cell r="B16500" t="str">
            <v>29010709000216</v>
          </cell>
          <cell r="C16500" t="str">
            <v>HPC SEG DESG.DIF ESPEC MI HOGAR         2NC</v>
          </cell>
        </row>
        <row r="16501">
          <cell r="B16501" t="str">
            <v>29010709000217</v>
          </cell>
          <cell r="C16501" t="str">
            <v>HPC SEG BIEN DIF ESPEC MI HOGAR         2NC</v>
          </cell>
        </row>
        <row r="16502">
          <cell r="B16502" t="str">
            <v>29010709000218</v>
          </cell>
          <cell r="C16502" t="str">
            <v>HPC SEG DESG.DIF ESPEC MI HOGAR         2NC</v>
          </cell>
        </row>
        <row r="16503">
          <cell r="B16503" t="str">
            <v>29010709000219</v>
          </cell>
          <cell r="C16503" t="str">
            <v>HPC SEG BIEN DIF ESPEC MI HOGAR         2NC</v>
          </cell>
        </row>
        <row r="16504">
          <cell r="B16504" t="str">
            <v>29010709000220</v>
          </cell>
          <cell r="C16504" t="str">
            <v>HPC SEG DESG.DIF ESPEC HIPOT .TRA       2NC</v>
          </cell>
        </row>
        <row r="16505">
          <cell r="B16505" t="str">
            <v>29010709000221</v>
          </cell>
          <cell r="C16505" t="str">
            <v>HPC SEG BIEN DIF ESPEC HIPOT .TRA       2NC</v>
          </cell>
        </row>
        <row r="16506">
          <cell r="B16506" t="str">
            <v>29010709000222</v>
          </cell>
          <cell r="C16506" t="str">
            <v>HPC D/P SEG DESG.DIF ESPEC HIPOT        2NC</v>
          </cell>
        </row>
        <row r="16507">
          <cell r="B16507" t="str">
            <v>29010709000223</v>
          </cell>
          <cell r="C16507" t="str">
            <v>HPC D/P SEG BIEN DIF ESPEC HIPOT        2NC</v>
          </cell>
        </row>
        <row r="16508">
          <cell r="B16508" t="str">
            <v>29010709000224</v>
          </cell>
          <cell r="C16508" t="str">
            <v>HPC SEG DESG.DIF ESPEC HIPOT .FIN       2NC</v>
          </cell>
        </row>
        <row r="16509">
          <cell r="B16509" t="str">
            <v>29010709000225</v>
          </cell>
          <cell r="C16509" t="str">
            <v>HPC SEG BIEN DIF ESPEC HIPOT .FIN       2NC</v>
          </cell>
        </row>
        <row r="16510">
          <cell r="B16510" t="str">
            <v>29010709000226</v>
          </cell>
          <cell r="C16510" t="str">
            <v>HPC D/P SEG DESG.DIF ESPEC HIPOT        2NC</v>
          </cell>
        </row>
        <row r="16511">
          <cell r="B16511" t="str">
            <v>29010709000227</v>
          </cell>
          <cell r="C16511" t="str">
            <v>HPC D/P SEG BIEN DIF ESPEC HIPOT        2NC</v>
          </cell>
        </row>
        <row r="16512">
          <cell r="B16512" t="str">
            <v>29010709000228</v>
          </cell>
          <cell r="C16512" t="str">
            <v>HPC SEG DESG.DIF ESPEC EFEC C/GAR       2NC</v>
          </cell>
        </row>
        <row r="16513">
          <cell r="B16513" t="str">
            <v>29010709000229</v>
          </cell>
          <cell r="C16513" t="str">
            <v>HPC SEG BIEN DIF ESPEC EFEC C/GAR       2NC</v>
          </cell>
        </row>
        <row r="16514">
          <cell r="B16514" t="str">
            <v>29010709000230</v>
          </cell>
          <cell r="C16514" t="str">
            <v>HPC D/P SEG DESG.DIF ESPEC EFEC C       2NC</v>
          </cell>
        </row>
        <row r="16515">
          <cell r="B16515" t="str">
            <v>29010709000231</v>
          </cell>
          <cell r="C16515" t="str">
            <v>HPC D/P SEG BIEN DIF ESPEC EFEC C       2NC</v>
          </cell>
        </row>
        <row r="16516">
          <cell r="B16516" t="str">
            <v>29010709000232</v>
          </cell>
          <cell r="C16516" t="str">
            <v>HPC SEG DESG.DIF ESPEC .PRESTAMO        2NC</v>
          </cell>
        </row>
        <row r="16517">
          <cell r="B16517" t="str">
            <v>29010709000233</v>
          </cell>
          <cell r="C16517" t="str">
            <v>HPC SEG BIEN DIF ESPEC.PRESTAMO P       2NC</v>
          </cell>
        </row>
        <row r="16518">
          <cell r="B16518" t="str">
            <v>29010709000234</v>
          </cell>
          <cell r="C16518" t="str">
            <v>HPC D/P SEG DESG.DIF ESPEC .PREST       2NC</v>
          </cell>
        </row>
        <row r="16519">
          <cell r="B16519" t="str">
            <v>29010709000235</v>
          </cell>
          <cell r="C16519" t="str">
            <v>HPC D/P SEG BIEN DIF ESPEC.PRESTA       2NC</v>
          </cell>
        </row>
        <row r="16520">
          <cell r="B16520" t="str">
            <v>29010709000240</v>
          </cell>
          <cell r="C16520" t="str">
            <v>HPC SEG DESG.DIF ESPEC MI VIV REC PRO   2NC</v>
          </cell>
        </row>
        <row r="16521">
          <cell r="B16521" t="str">
            <v>29010709000241</v>
          </cell>
          <cell r="C16521" t="str">
            <v>HPC SEG BIEN DIF ESPEC  MI VIV REC PR   2NC</v>
          </cell>
        </row>
        <row r="16522">
          <cell r="B16522" t="str">
            <v>29010709000244</v>
          </cell>
          <cell r="C16522" t="str">
            <v>HPC SEG DESG.DIF ESPEC CRED             2NC</v>
          </cell>
        </row>
        <row r="16523">
          <cell r="B16523" t="str">
            <v>29010709000245</v>
          </cell>
          <cell r="C16523" t="str">
            <v>HPC SEG PRENDA DIF ESPEC CR             2NC</v>
          </cell>
        </row>
        <row r="16524">
          <cell r="B16524" t="str">
            <v>29010709000246</v>
          </cell>
          <cell r="C16524" t="str">
            <v>HPC D/P SEG DESG.DIF ESPEC              2NC</v>
          </cell>
        </row>
        <row r="16525">
          <cell r="B16525" t="str">
            <v>29010709000247</v>
          </cell>
          <cell r="C16525" t="str">
            <v>HPC D/P SEG PRENDA DIF ESPE             2NC</v>
          </cell>
        </row>
        <row r="16526">
          <cell r="B16526" t="str">
            <v>29010709000248</v>
          </cell>
          <cell r="C16526" t="str">
            <v>$CL INTERESES DIFERIDOS ANDESA          2NC</v>
          </cell>
        </row>
        <row r="16527">
          <cell r="B16527" t="str">
            <v>29010709000249</v>
          </cell>
          <cell r="C16527" t="str">
            <v>HPC DP SEG BIEN DIF ESPEC INDX MIVIVI   2NC</v>
          </cell>
        </row>
        <row r="16528">
          <cell r="B16528" t="str">
            <v>29010709000250</v>
          </cell>
          <cell r="C16528" t="str">
            <v>LPC CIA SEGUROS LEASEBACK REFINANC RP   2NC</v>
          </cell>
        </row>
        <row r="16529">
          <cell r="B16529" t="str">
            <v>29010709000252</v>
          </cell>
          <cell r="C16529" t="str">
            <v>INGRESOS DIFERIDOS - VEHICULAR          2NC</v>
          </cell>
        </row>
        <row r="16530">
          <cell r="B16530" t="str">
            <v>29010709000253</v>
          </cell>
          <cell r="C16530" t="str">
            <v>HPC DP SEG DES DIF ESPEC INDX MIVIVI    2NC</v>
          </cell>
        </row>
        <row r="16531">
          <cell r="B16531" t="str">
            <v>29010709000254</v>
          </cell>
          <cell r="C16531" t="str">
            <v>LPC SEGUROS LEASEBACK COFIDE ISG CGEM   2NC</v>
          </cell>
        </row>
        <row r="16532">
          <cell r="B16532" t="str">
            <v>29010709000255</v>
          </cell>
          <cell r="C16532" t="str">
            <v>LPC SEGUROS LEASEBACK COFIDE D/P ISG CGE2NC</v>
          </cell>
        </row>
        <row r="16533">
          <cell r="B16533" t="str">
            <v>29010709000256</v>
          </cell>
          <cell r="C16533" t="str">
            <v>LPC ISG LS BIEN REFIN BPE.CIA SEG       2NC</v>
          </cell>
        </row>
        <row r="16534">
          <cell r="B16534" t="str">
            <v>29010709000257</v>
          </cell>
          <cell r="C16534" t="str">
            <v>INT.EN SUSPENSO BCA.INMOBILIARIA        2NC</v>
          </cell>
        </row>
        <row r="16535">
          <cell r="B16535" t="str">
            <v>29010709000258</v>
          </cell>
          <cell r="C16535" t="str">
            <v>INT.EN SUSPENSO BCA.COMERCIAL           2NC</v>
          </cell>
        </row>
        <row r="16536">
          <cell r="B16536" t="str">
            <v>29010709000259</v>
          </cell>
          <cell r="C16536" t="str">
            <v>CL PAG.TV NEG.INMOB                     2NC</v>
          </cell>
        </row>
        <row r="16537">
          <cell r="B16537" t="str">
            <v>29010709000260</v>
          </cell>
          <cell r="C16537" t="str">
            <v>VENTA DE INVERSIONES                    2NC</v>
          </cell>
        </row>
        <row r="16538">
          <cell r="B16538" t="str">
            <v>29010709000301</v>
          </cell>
          <cell r="C16538" t="str">
            <v>HPC SEG DESG.DIF ESPEC NUEVO MVV COFIDE 2NC</v>
          </cell>
        </row>
        <row r="16539">
          <cell r="B16539" t="str">
            <v>29010709000302</v>
          </cell>
          <cell r="C16539" t="str">
            <v>HPC SEG BIEN DIF ESPEC NUEVO MVV COFI   2NC</v>
          </cell>
        </row>
        <row r="16540">
          <cell r="B16540" t="str">
            <v>29010709000303</v>
          </cell>
          <cell r="C16540" t="str">
            <v>HPC SEG DESG.DIF ESPEC NUEVO MVV COFIDE 2NC</v>
          </cell>
        </row>
        <row r="16541">
          <cell r="B16541" t="str">
            <v>29010709000304</v>
          </cell>
          <cell r="C16541" t="str">
            <v>HPC SEG BIEN DIF ESPEC NUEVO MVV COFIDE 2NC</v>
          </cell>
        </row>
        <row r="16542">
          <cell r="B16542" t="str">
            <v>29010709000305</v>
          </cell>
          <cell r="C16542" t="str">
            <v>HPC ME SEG DESG.DIF ESP EFEC C/GARANT. H2NC</v>
          </cell>
        </row>
        <row r="16543">
          <cell r="B16543" t="str">
            <v>29010709000306</v>
          </cell>
          <cell r="C16543" t="str">
            <v>HPC ME SEG BIEN DIF ESP EFEC C/GARANT. H2NC</v>
          </cell>
        </row>
        <row r="16544">
          <cell r="B16544" t="str">
            <v>29010709000307</v>
          </cell>
          <cell r="C16544" t="str">
            <v>HPC ME D/P SEG DESG.DIF ESP EFEC C/GAR. 2NC</v>
          </cell>
        </row>
        <row r="16545">
          <cell r="B16545" t="str">
            <v>29010709000308</v>
          </cell>
          <cell r="C16545" t="str">
            <v>HPC ME D/P SEG BIEN.DIF ESP EFEC C/GAR. 2NC</v>
          </cell>
        </row>
        <row r="16546">
          <cell r="B16546" t="str">
            <v>29010709000309</v>
          </cell>
          <cell r="C16546" t="str">
            <v>HPC CCNR REFÂ  SEG DESG.DIF REFIN       2NC</v>
          </cell>
        </row>
        <row r="16547">
          <cell r="B16547" t="str">
            <v>29010709000310</v>
          </cell>
          <cell r="C16547" t="str">
            <v>HPC CCNR REF SEG BIEN DIF ESPEC REFIN   2NC</v>
          </cell>
        </row>
        <row r="16548">
          <cell r="B16548" t="str">
            <v>29010709000401</v>
          </cell>
          <cell r="C16548" t="str">
            <v>LPC CIA SEGUROS LEASE-BACK COFIDE ISG CM2NC</v>
          </cell>
        </row>
        <row r="16549">
          <cell r="B16549" t="str">
            <v>29010709000402</v>
          </cell>
          <cell r="C16549" t="str">
            <v>CIA SEGUROS LEASE-BACK COFIDE D/P ISG CM2NC</v>
          </cell>
        </row>
        <row r="16550">
          <cell r="B16550" t="str">
            <v>29010709000403</v>
          </cell>
          <cell r="C16550" t="str">
            <v>LPC ISG LS BIEN REFIN BPE.CIA SEG       2NC</v>
          </cell>
        </row>
        <row r="16551">
          <cell r="B16551" t="str">
            <v>29010709000404</v>
          </cell>
          <cell r="C16551" t="str">
            <v>LPC REF LS SEG BIEN DIF ISG             2NC</v>
          </cell>
        </row>
        <row r="16552">
          <cell r="B16552" t="str">
            <v>29010709000501</v>
          </cell>
          <cell r="C16552" t="str">
            <v>LPC CIA SEGUROS LS LA FIDUCIARIA ISG CES2NC</v>
          </cell>
        </row>
        <row r="16553">
          <cell r="B16553" t="str">
            <v>29010709000502</v>
          </cell>
          <cell r="C16553" t="str">
            <v>CIA SEGUROS LS LA FIDUCIARIA D/P ISG CES2NC</v>
          </cell>
        </row>
        <row r="16554">
          <cell r="B16554" t="str">
            <v>29010709000601</v>
          </cell>
          <cell r="C16554" t="str">
            <v>FA - INGRESOS DIFERIDOS                 2NC</v>
          </cell>
        </row>
        <row r="16555">
          <cell r="B16555" t="str">
            <v>29010709000602</v>
          </cell>
          <cell r="C16555" t="str">
            <v>INGRESO FWD DB                          2NC</v>
          </cell>
        </row>
        <row r="16556">
          <cell r="B16556" t="str">
            <v>29010709000603</v>
          </cell>
          <cell r="C16556" t="str">
            <v>INGRESOS VENTA IBM-CDO                  2NC</v>
          </cell>
        </row>
        <row r="16557">
          <cell r="B16557" t="str">
            <v>29010709000701</v>
          </cell>
          <cell r="C16557" t="str">
            <v>LPC SISM ISG LSG INT DIF PRI SEG        2NC</v>
          </cell>
        </row>
        <row r="16558">
          <cell r="B16558" t="str">
            <v>29010709000702</v>
          </cell>
          <cell r="C16558" t="str">
            <v>LPC ISG LS BIEN BPE CIA SEG INT         2NC</v>
          </cell>
        </row>
        <row r="16559">
          <cell r="B16559" t="str">
            <v>29010709000703</v>
          </cell>
          <cell r="C16559" t="str">
            <v>LPC ISG LS B.D/P CIA.SEG VIG BPE        2NC</v>
          </cell>
        </row>
        <row r="16560">
          <cell r="B16560" t="str">
            <v>29010709000704</v>
          </cell>
          <cell r="C16560" t="str">
            <v>LPC ISG MYP CIA SEG LS CMIE             2NC</v>
          </cell>
        </row>
        <row r="16561">
          <cell r="B16561" t="str">
            <v>29010709000705</v>
          </cell>
          <cell r="C16561" t="str">
            <v>LPC CIA SEG.LS D/P BPE MES              2NC</v>
          </cell>
        </row>
        <row r="16562">
          <cell r="B16562" t="str">
            <v>29010709000801</v>
          </cell>
          <cell r="C16562" t="str">
            <v>LPC CIA SEGUROS LEASING COFIDE ISG CMED 2NC</v>
          </cell>
        </row>
        <row r="16563">
          <cell r="B16563" t="str">
            <v>29010709000802</v>
          </cell>
          <cell r="C16563" t="str">
            <v>CIA SEGUROS LEASING COFIDE D/P ISG CMED 2NC</v>
          </cell>
        </row>
        <row r="16564">
          <cell r="B16564" t="str">
            <v>29010709000803</v>
          </cell>
          <cell r="C16564" t="str">
            <v>LPC CIA SEGUROS LEASING COFIDE ISG CGEM 2NC</v>
          </cell>
        </row>
        <row r="16565">
          <cell r="B16565" t="str">
            <v>29010709000804</v>
          </cell>
          <cell r="C16565" t="str">
            <v>CIA SEGUROS LEASING COFIDE D/P ISG CGEM 2NC</v>
          </cell>
        </row>
        <row r="16566">
          <cell r="B16566" t="str">
            <v>29010709000805</v>
          </cell>
          <cell r="C16566" t="str">
            <v>LPC CIA SEGUROS LEASING COFIDE ISG CCOR 2NC</v>
          </cell>
        </row>
        <row r="16567">
          <cell r="B16567" t="str">
            <v>29010709000806</v>
          </cell>
          <cell r="C16567" t="str">
            <v>CIA SEGUROS LEASING COFIDE D/P ISG CCOR 2NC</v>
          </cell>
        </row>
        <row r="16568">
          <cell r="B16568" t="str">
            <v>29010709000807</v>
          </cell>
          <cell r="C16568" t="str">
            <v>LPC CIA SEGUROS LEASING COFIDE ISG CESP 2NC</v>
          </cell>
        </row>
        <row r="16569">
          <cell r="B16569" t="str">
            <v>29010709000808</v>
          </cell>
          <cell r="C16569" t="str">
            <v>CIA SEGUROS LEASING COFIDE D/P ISG CESP 2NC</v>
          </cell>
        </row>
        <row r="16570">
          <cell r="B16570" t="str">
            <v>29010709000809</v>
          </cell>
          <cell r="C16570" t="str">
            <v>LPC CIA SEGUROS LEASING COFIDE ISG CIVA 2NC</v>
          </cell>
        </row>
        <row r="16571">
          <cell r="B16571" t="str">
            <v>29010709000810</v>
          </cell>
          <cell r="C16571" t="str">
            <v>CIA SEGUROS LEASING COFIDE D/P ISG CIVA 2NC</v>
          </cell>
        </row>
        <row r="16572">
          <cell r="B16572" t="str">
            <v>29010709000811</v>
          </cell>
          <cell r="C16572" t="str">
            <v>LPC CIA SEGUROS LEASING COFIDE ISG CMIE 2NC</v>
          </cell>
        </row>
        <row r="16573">
          <cell r="B16573" t="str">
            <v>29010709000812</v>
          </cell>
          <cell r="C16573" t="str">
            <v>CIA SEGUROS LEASING COFIDE D/P ISG CMIE 2NC</v>
          </cell>
        </row>
        <row r="16574">
          <cell r="B16574" t="str">
            <v>29010709000813</v>
          </cell>
          <cell r="C16574" t="str">
            <v>LPC CIA SEGUROS LEASING COFIDE ISG CPEM 2NC</v>
          </cell>
        </row>
        <row r="16575">
          <cell r="B16575" t="str">
            <v>29010709000814</v>
          </cell>
          <cell r="C16575" t="str">
            <v>CIA SEGUROS LEASING COFIDE D/P ISG CPEM 2NC</v>
          </cell>
        </row>
        <row r="16576">
          <cell r="B16576" t="str">
            <v>29010709000815</v>
          </cell>
          <cell r="C16576" t="str">
            <v>LPC INT DIF REPRO PAG COMERCIAL CCOR COV2NC</v>
          </cell>
        </row>
        <row r="16577">
          <cell r="B16577" t="str">
            <v>29010709000816</v>
          </cell>
          <cell r="C16577" t="str">
            <v>LPC INT DIF REPRO PAG COMERCIAL CGEM COV2NC</v>
          </cell>
        </row>
        <row r="16578">
          <cell r="B16578" t="str">
            <v>29010709000817</v>
          </cell>
          <cell r="C16578" t="str">
            <v>LPCINT DIF REPRO PAG COMERCIAL CMED COVI2NC</v>
          </cell>
        </row>
        <row r="16579">
          <cell r="B16579" t="str">
            <v>29010709000818</v>
          </cell>
          <cell r="C16579" t="str">
            <v>LPC INT DIF REPRO PAG COMERCIAL CCOR COV2NC</v>
          </cell>
        </row>
        <row r="16580">
          <cell r="B16580" t="str">
            <v>29010709000819</v>
          </cell>
          <cell r="C16580" t="str">
            <v>LPC INT DIF REPRO PAG COMERCIAL CGEM COV2NC</v>
          </cell>
        </row>
        <row r="16581">
          <cell r="B16581" t="str">
            <v>29010709000820</v>
          </cell>
          <cell r="C16581" t="str">
            <v>LPC INT DIF REPRO PAG COMERCIAL CMED COV2NC</v>
          </cell>
        </row>
        <row r="16582">
          <cell r="B16582" t="str">
            <v>29010709000821</v>
          </cell>
          <cell r="C16582" t="str">
            <v>LIC INT DIFERIDO REPRO COVID-19         2NC</v>
          </cell>
        </row>
        <row r="16583">
          <cell r="B16583" t="str">
            <v>29010709000822</v>
          </cell>
          <cell r="C16583" t="str">
            <v>MYP INT DIFERIDO REPRO COVID-19         2NC</v>
          </cell>
        </row>
        <row r="16584">
          <cell r="B16584" t="str">
            <v>29010709000823</v>
          </cell>
          <cell r="C16584" t="str">
            <v>CDO INT DIFERIDO REPRO COVID-19         2NC</v>
          </cell>
        </row>
        <row r="16585">
          <cell r="B16585" t="str">
            <v>29010709000824</v>
          </cell>
          <cell r="C16585" t="str">
            <v>HPC INT DIFERIDO REPRO (CH/CE) COVID-19 2NC</v>
          </cell>
        </row>
        <row r="16586">
          <cell r="B16586" t="str">
            <v>29010709000825</v>
          </cell>
          <cell r="C16586" t="str">
            <v>HCP INT DIFERIDO REPRO (CP/CV) COVID-19 2NC</v>
          </cell>
        </row>
        <row r="16587">
          <cell r="B16587" t="str">
            <v>29010709000826</v>
          </cell>
          <cell r="C16587" t="str">
            <v>LPC INT DIFERIDO REPRO COMEX COVID-19   2NC</v>
          </cell>
        </row>
        <row r="16588">
          <cell r="B16588" t="str">
            <v>29010709000827</v>
          </cell>
          <cell r="C16588" t="str">
            <v>LPC INT DIFE REPRO PAGARE COMERCIAL CCOR2NC</v>
          </cell>
        </row>
        <row r="16589">
          <cell r="B16589" t="str">
            <v>29010709000828</v>
          </cell>
          <cell r="C16589" t="str">
            <v>LPC INT DIFERIDO REPRO PAGARE INMOB COVI2NC</v>
          </cell>
        </row>
        <row r="16590">
          <cell r="B16590" t="str">
            <v>29010709000829</v>
          </cell>
          <cell r="C16590" t="str">
            <v>LPC REPROG EM COVID-19 PRE-EMBARQUE     2NC</v>
          </cell>
        </row>
        <row r="16591">
          <cell r="B16591" t="str">
            <v>29010709000830</v>
          </cell>
          <cell r="C16591" t="str">
            <v>LPC REPROG EM COVID-19 POST-EMBARQUE    2NC</v>
          </cell>
        </row>
        <row r="16592">
          <cell r="B16592" t="str">
            <v>29010709000831</v>
          </cell>
          <cell r="C16592" t="str">
            <v>LPC REPROG EM COVID-19 FINAN.COMEX      2NC</v>
          </cell>
        </row>
        <row r="16593">
          <cell r="B16593" t="str">
            <v>29010709000832</v>
          </cell>
          <cell r="C16593" t="str">
            <v>HPC PARALELO HIPOTECARIO-CRED EFECTIVO C2NC</v>
          </cell>
        </row>
        <row r="16594">
          <cell r="B16594" t="str">
            <v>29010709000833</v>
          </cell>
          <cell r="C16594" t="str">
            <v>HPC PARALELO HIP. MIVIVIENDA - DEV REALI2NC</v>
          </cell>
        </row>
        <row r="16595">
          <cell r="B16595" t="str">
            <v>29010709000834</v>
          </cell>
          <cell r="C16595" t="str">
            <v>HPC PARALELO PREST. PERSONAL - DEV REALI2NC</v>
          </cell>
        </row>
        <row r="16596">
          <cell r="B16596" t="str">
            <v>29010709000835</v>
          </cell>
          <cell r="C16596" t="str">
            <v>HPC PARALELO PREST. VEHICULAR - DEV REAL2NC</v>
          </cell>
        </row>
        <row r="16597">
          <cell r="B16597" t="str">
            <v>29010709000836</v>
          </cell>
          <cell r="C16597" t="str">
            <v>MYP REFINANC. COVID-19 DIFE             2NC</v>
          </cell>
        </row>
        <row r="16598">
          <cell r="B16598" t="str">
            <v>29010709000837</v>
          </cell>
          <cell r="C16598" t="str">
            <v>LPC REFINANC COVID-19 DIFE CCOR         2NC</v>
          </cell>
        </row>
        <row r="16599">
          <cell r="B16599" t="str">
            <v>29010709000838</v>
          </cell>
          <cell r="C16599" t="str">
            <v>LPC REFINANC COVID-19 DIFE CGEM         2NC</v>
          </cell>
        </row>
        <row r="16600">
          <cell r="B16600" t="str">
            <v>29010709000839</v>
          </cell>
          <cell r="C16600" t="str">
            <v>LPC REFINANC COVID-19 DIFE CMED         2NC</v>
          </cell>
        </row>
        <row r="16601">
          <cell r="B16601" t="str">
            <v>29010709000840</v>
          </cell>
          <cell r="C16601" t="str">
            <v>INGRESOS DIFERIDOS                      2NC</v>
          </cell>
        </row>
        <row r="16602">
          <cell r="B16602" t="str">
            <v>29010709000841</v>
          </cell>
          <cell r="C16602" t="str">
            <v>CDO INT DIF VIGENTE REPROGRAMADO        2NC</v>
          </cell>
        </row>
        <row r="16603">
          <cell r="B16603" t="str">
            <v>29010709000842</v>
          </cell>
          <cell r="C16603" t="str">
            <v>CDO INT DIF VENCIDO REPROGRAMADO        2NC</v>
          </cell>
        </row>
        <row r="16604">
          <cell r="B16604" t="str">
            <v>29010709000843</v>
          </cell>
          <cell r="C16604" t="str">
            <v>LPC INT DIFERIDOS REPRO COVID-19        2NC</v>
          </cell>
        </row>
        <row r="16605">
          <cell r="B16605" t="str">
            <v>29010709000844</v>
          </cell>
          <cell r="C16605" t="str">
            <v>CDO MAC CENTER                          2NC</v>
          </cell>
        </row>
        <row r="16606">
          <cell r="B16606" t="str">
            <v>29010709000848</v>
          </cell>
          <cell r="C16606" t="str">
            <v>LPC INT DIF REPRO MED PLAZO COVID-19 CCO2NC</v>
          </cell>
        </row>
        <row r="16607">
          <cell r="B16607" t="str">
            <v>29010709000849</v>
          </cell>
          <cell r="C16607" t="str">
            <v>LPC INT DIF REPRO MED PLAZO COVID-19 CGE2NC</v>
          </cell>
        </row>
        <row r="16608">
          <cell r="B16608" t="str">
            <v>29010709000850</v>
          </cell>
          <cell r="C16608" t="str">
            <v>LPC INT DIF REPRO MED PLAZO COVID-19 CME2NC</v>
          </cell>
        </row>
        <row r="16609">
          <cell r="B16609" t="str">
            <v>29010709000851</v>
          </cell>
          <cell r="C16609" t="str">
            <v>CDO INT DIF VIGENTE REPROGRAMADO EMCS   2NC</v>
          </cell>
        </row>
        <row r="16610">
          <cell r="B16610" t="str">
            <v>29010709000852</v>
          </cell>
          <cell r="C16610" t="str">
            <v>LIC INT DIF VIGENTE REPROGRAMADO EMCS   2NC</v>
          </cell>
        </row>
        <row r="16611">
          <cell r="B16611" t="str">
            <v>29010709000853</v>
          </cell>
          <cell r="C16611" t="str">
            <v>HPC INT DIF VIGENTE REPROGRAMADO EMCS   2NC</v>
          </cell>
        </row>
        <row r="16612">
          <cell r="B16612" t="str">
            <v>29010709000854</v>
          </cell>
          <cell r="C16612" t="str">
            <v>MYP INT DIF VIGENTE REPROGRAMADO EMCS   2NC</v>
          </cell>
        </row>
        <row r="16613">
          <cell r="B16613" t="str">
            <v>29010709000855</v>
          </cell>
          <cell r="C16613" t="str">
            <v>HPC MICROPRESTAMOS INT DIFE SEG DESG VIG2 C</v>
          </cell>
        </row>
        <row r="16614">
          <cell r="B16614" t="str">
            <v>29010709000856</v>
          </cell>
          <cell r="C16614" t="str">
            <v>HPC MICROPRESTAMOS INT DIFE SEG DESG VIG2 C</v>
          </cell>
        </row>
        <row r="16615">
          <cell r="B16615" t="str">
            <v>29010709000857</v>
          </cell>
          <cell r="C16615" t="str">
            <v>HPC SEG DESG.DIF ESPEC CRED GRUPO IBK   2 C</v>
          </cell>
        </row>
        <row r="16616">
          <cell r="B16616" t="str">
            <v>29010709000858</v>
          </cell>
          <cell r="C16616" t="str">
            <v>HPC D/P SEG DESG.DIF ESPEC GRUPO IBK    2 C</v>
          </cell>
        </row>
        <row r="16617">
          <cell r="B16617" t="str">
            <v>29010801010101</v>
          </cell>
          <cell r="C16617" t="str">
            <v>UT.VTA FINANC RECUPERADOS Y ADJU        2NC</v>
          </cell>
        </row>
        <row r="16618">
          <cell r="B16618" t="str">
            <v>29010809000101</v>
          </cell>
          <cell r="C16618" t="str">
            <v>ING DIF UTIL VTA BS ADJ Y RECUP         2NC</v>
          </cell>
        </row>
        <row r="16619">
          <cell r="B16619" t="str">
            <v>29020100000101</v>
          </cell>
          <cell r="C16619" t="str">
            <v>SOBRANTE DE CAJA                        2NC</v>
          </cell>
        </row>
        <row r="16620">
          <cell r="B16620" t="str">
            <v>29020100000102</v>
          </cell>
          <cell r="C16620" t="str">
            <v>SOBR CAJA-RECLAMO ATM BILLETES          2NC</v>
          </cell>
        </row>
        <row r="16621">
          <cell r="B16621" t="str">
            <v>29020100000103</v>
          </cell>
          <cell r="C16621" t="str">
            <v>SOBRANTE DE CAJA IB DIRECTO             2NC</v>
          </cell>
        </row>
        <row r="16622">
          <cell r="B16622" t="str">
            <v>29020100000104</v>
          </cell>
          <cell r="C16622" t="str">
            <v>DIF X REG SOBRANTES ATM                 2NC</v>
          </cell>
        </row>
        <row r="16623">
          <cell r="B16623" t="str">
            <v>29020100000105</v>
          </cell>
          <cell r="C16623" t="str">
            <v>DIF X REG SOBRANTES MON                 2NC</v>
          </cell>
        </row>
        <row r="16624">
          <cell r="B16624" t="str">
            <v>29020100000106</v>
          </cell>
          <cell r="C16624" t="str">
            <v>DIF X REG SOB PACMAN                    2NC</v>
          </cell>
        </row>
        <row r="16625">
          <cell r="B16625" t="str">
            <v>29020100000107</v>
          </cell>
          <cell r="C16625" t="str">
            <v>SOBRANTE AL CIERRE DE CICLO ATM         2NC</v>
          </cell>
        </row>
        <row r="16626">
          <cell r="B16626" t="str">
            <v>29020100000108</v>
          </cell>
          <cell r="C16626" t="str">
            <v>SOBRANTE AL CIERRE DE CICLO MON         2NC</v>
          </cell>
        </row>
        <row r="16627">
          <cell r="B16627" t="str">
            <v>29020100000109</v>
          </cell>
          <cell r="C16627" t="str">
            <v>PACMAN SOBR FINAL P/RECLAMOS            2NC</v>
          </cell>
        </row>
        <row r="16628">
          <cell r="B16628" t="str">
            <v>29030100000102</v>
          </cell>
          <cell r="C16628" t="str">
            <v>IMPTO A LA RENTA DIFERIDO               2NC</v>
          </cell>
        </row>
        <row r="16629">
          <cell r="B16629" t="str">
            <v>29030200000102</v>
          </cell>
          <cell r="C16629" t="str">
            <v>PART. UTIL DIF (PASIVO)                 2NC</v>
          </cell>
        </row>
        <row r="16630">
          <cell r="B16630" t="str">
            <v>29070101000102</v>
          </cell>
          <cell r="C16630" t="str">
            <v>EDIFICIOS CEDIDOS EN ARRENDAMIENTO FI   2NC</v>
          </cell>
        </row>
        <row r="16631">
          <cell r="B16631" t="str">
            <v>29070200000101</v>
          </cell>
          <cell r="C16631" t="str">
            <v>MOBILIARIO Y EQUIPO DE OFICINA CEDID    2NC</v>
          </cell>
        </row>
        <row r="16632">
          <cell r="B16632" t="str">
            <v>29070300000102</v>
          </cell>
          <cell r="C16632" t="str">
            <v>BL EQUIPO DE TRANSPORTE                 2NC</v>
          </cell>
        </row>
        <row r="16633">
          <cell r="B16633" t="str">
            <v>29070300000201</v>
          </cell>
          <cell r="C16633" t="str">
            <v>MAQUINARIAS CEDIDOS EN ARRENDAMIENTO FIN2NC</v>
          </cell>
        </row>
        <row r="16634">
          <cell r="B16634" t="str">
            <v>29070300000202</v>
          </cell>
          <cell r="C16634" t="str">
            <v>BL MAQUINARIA AREND FINANC000202        2NC</v>
          </cell>
        </row>
        <row r="16635">
          <cell r="B16635" t="str">
            <v>29080000000203</v>
          </cell>
          <cell r="C16635" t="str">
            <v xml:space="preserve">                                        2 C</v>
          </cell>
        </row>
        <row r="16636">
          <cell r="B16636" t="str">
            <v>29080500000101</v>
          </cell>
          <cell r="C16636" t="str">
            <v>DIFERENCIAS POR REGULARIZAR             2YC</v>
          </cell>
        </row>
        <row r="16637">
          <cell r="B16637" t="str">
            <v>29080500000102</v>
          </cell>
          <cell r="C16637" t="str">
            <v>EXTORNOS DE CAJA PR                     2YC</v>
          </cell>
        </row>
        <row r="16638">
          <cell r="B16638" t="str">
            <v>29080500000103</v>
          </cell>
          <cell r="C16638" t="str">
            <v>290805000001030000                      2NC</v>
          </cell>
        </row>
        <row r="16639">
          <cell r="B16639" t="str">
            <v>29080500000105</v>
          </cell>
          <cell r="C16639" t="str">
            <v>290805000001050000                      2NC</v>
          </cell>
        </row>
        <row r="16640">
          <cell r="B16640" t="str">
            <v>29080500000106</v>
          </cell>
          <cell r="C16640" t="str">
            <v>OP X REG CANALES ALTERNATIVOS Y DIGITALE2YC</v>
          </cell>
        </row>
        <row r="16641">
          <cell r="B16641" t="str">
            <v>29080500000107</v>
          </cell>
          <cell r="C16641" t="str">
            <v>DIFERENCIAS X REGULARIZARÂ SOBRANTES ATM2YC</v>
          </cell>
        </row>
        <row r="16642">
          <cell r="B16642" t="str">
            <v>29080700000110</v>
          </cell>
          <cell r="C16642" t="str">
            <v>OP LIQUIDAR -CL                         2NC</v>
          </cell>
        </row>
        <row r="16643">
          <cell r="B16643" t="str">
            <v>29080700000111</v>
          </cell>
          <cell r="C16643" t="str">
            <v>OP REGISTRADAS FCD                      2NC</v>
          </cell>
        </row>
        <row r="16644">
          <cell r="B16644" t="str">
            <v>29080700000113</v>
          </cell>
          <cell r="C16644" t="str">
            <v>INTERESES COBRANZAS JUDICIAL- CL        2NC</v>
          </cell>
        </row>
        <row r="16645">
          <cell r="B16645" t="str">
            <v>29080700000114</v>
          </cell>
          <cell r="C16645" t="str">
            <v>OP LIQUIDAR COB JUD CL                  2NC</v>
          </cell>
        </row>
        <row r="16646">
          <cell r="B16646" t="str">
            <v>29080700000115</v>
          </cell>
          <cell r="C16646" t="str">
            <v>OP LIQUIDAR REF CL-PR                   2NC</v>
          </cell>
        </row>
        <row r="16647">
          <cell r="B16647" t="str">
            <v>29080700000116</v>
          </cell>
          <cell r="C16647" t="str">
            <v>OP LIQUIDAR CARTA FIANZA CL             2NC</v>
          </cell>
        </row>
        <row r="16648">
          <cell r="B16648" t="str">
            <v>29080700000119</v>
          </cell>
          <cell r="C16648" t="str">
            <v>OP LIQUIDAR PR-MANUAL                   2YC</v>
          </cell>
        </row>
        <row r="16649">
          <cell r="B16649" t="str">
            <v>29080700000121</v>
          </cell>
          <cell r="C16649" t="str">
            <v>OP LIQUIDAR-IMPUESTOS CL                2NC</v>
          </cell>
        </row>
        <row r="16650">
          <cell r="B16650" t="str">
            <v>29080700000123</v>
          </cell>
          <cell r="C16650" t="str">
            <v>COBRO CARTERA TRANSFERIDA CL            2NC</v>
          </cell>
        </row>
        <row r="16651">
          <cell r="B16651" t="str">
            <v>29080700000126</v>
          </cell>
          <cell r="C16651" t="str">
            <v>CTRL BIENES ADJUDICADOS PR              2NC</v>
          </cell>
        </row>
        <row r="16652">
          <cell r="B16652" t="str">
            <v>29080700000128</v>
          </cell>
          <cell r="C16652" t="str">
            <v>OP REG PROD345MNCL VAC                  2NC</v>
          </cell>
        </row>
        <row r="16653">
          <cell r="B16653" t="str">
            <v>29080700000130</v>
          </cell>
          <cell r="C16653" t="str">
            <v>BL OP LIQUIDAR COBRO CARTERA 114-98EF   2NC</v>
          </cell>
        </row>
        <row r="16654">
          <cell r="B16654" t="str">
            <v>29080700000131</v>
          </cell>
          <cell r="C16654" t="str">
            <v>TRANSITORIA DE DESEMBOLSO LEASING       2NC</v>
          </cell>
        </row>
        <row r="16655">
          <cell r="B16655" t="str">
            <v>29080700000132</v>
          </cell>
          <cell r="C16655" t="str">
            <v>CHEQUE GERENCIA LEASING LPC             2NC</v>
          </cell>
        </row>
        <row r="16656">
          <cell r="B16656" t="str">
            <v>29080700000133</v>
          </cell>
          <cell r="C16656" t="str">
            <v>OP. LIQ LEASING OP. CAMB COMPRA - LPC   2NC</v>
          </cell>
        </row>
        <row r="16657">
          <cell r="B16657" t="str">
            <v>29080700000134</v>
          </cell>
          <cell r="C16657" t="str">
            <v>TRANS DESEMBOLSO PAGARE CUOT            2NC</v>
          </cell>
        </row>
        <row r="16658">
          <cell r="B16658" t="str">
            <v>29080700000136</v>
          </cell>
          <cell r="C16658" t="str">
            <v>LIC DESEMBOLSO ESTABLEC CONVEFERIA      2NC</v>
          </cell>
        </row>
        <row r="16659">
          <cell r="B16659" t="str">
            <v>29080700000137</v>
          </cell>
          <cell r="C16659" t="str">
            <v>IC TRANSIT HIPOTECARIOS                 2NC</v>
          </cell>
        </row>
        <row r="16660">
          <cell r="B16660" t="str">
            <v>29080700000138</v>
          </cell>
          <cell r="C16660" t="str">
            <v>LIC TRANSIT PAGO MEGA AHORROS           2NC</v>
          </cell>
        </row>
        <row r="16661">
          <cell r="B16661" t="str">
            <v>29080700000139</v>
          </cell>
          <cell r="C16661" t="str">
            <v>LIC DESEMB COMPRA DEUDA CONVENIO        2NC</v>
          </cell>
        </row>
        <row r="16662">
          <cell r="B16662" t="str">
            <v>29080700000140</v>
          </cell>
          <cell r="C16662" t="str">
            <v>JCC OPERAC INGRESO TC A JUD             2NC</v>
          </cell>
        </row>
        <row r="16663">
          <cell r="B16663" t="str">
            <v>29080700000141</v>
          </cell>
          <cell r="C16663" t="str">
            <v>OP COMPRA DEUDA CONVENIO  DREA          2YC</v>
          </cell>
        </row>
        <row r="16664">
          <cell r="B16664" t="str">
            <v>29080700000142</v>
          </cell>
          <cell r="C16664" t="str">
            <v>LBC - TRANFERENCIAS BCR                 2YC</v>
          </cell>
        </row>
        <row r="16665">
          <cell r="B16665" t="str">
            <v>29080700000143</v>
          </cell>
          <cell r="C16665" t="str">
            <v>LIC ATM TRANSF CTA AHO ADEL SUELDO      2NC</v>
          </cell>
        </row>
        <row r="16666">
          <cell r="B16666" t="str">
            <v>29080700000144</v>
          </cell>
          <cell r="C16666" t="str">
            <v>LIC CONVENIOS OPERAC COMPRA DEUDA       2YC</v>
          </cell>
        </row>
        <row r="16667">
          <cell r="B16667" t="str">
            <v>29080700000145</v>
          </cell>
          <cell r="C16667" t="str">
            <v>OP LIQUIDAR - TRANF PRO                 2NC</v>
          </cell>
        </row>
        <row r="16668">
          <cell r="B16668" t="str">
            <v>29080700000146</v>
          </cell>
          <cell r="C16668" t="str">
            <v>OP LIQUIDAR -  VTA y CASTIGO PRO        2NC</v>
          </cell>
        </row>
        <row r="16669">
          <cell r="B16669" t="str">
            <v>29080700000147</v>
          </cell>
          <cell r="C16669" t="str">
            <v>TRANSITORIA PRIORITY PASS               2NC</v>
          </cell>
        </row>
        <row r="16670">
          <cell r="B16670" t="str">
            <v>29080700000148</v>
          </cell>
          <cell r="C16670" t="str">
            <v>CONSUMOS TUNKY                          2NC</v>
          </cell>
        </row>
        <row r="16671">
          <cell r="B16671" t="str">
            <v>29080700000149</v>
          </cell>
          <cell r="C16671" t="str">
            <v>PAGO CUPON PREMIA                       2NC</v>
          </cell>
        </row>
        <row r="16672">
          <cell r="B16672" t="str">
            <v>29080700000150</v>
          </cell>
          <cell r="C16672" t="str">
            <v>DETRACCIONES-COMPROBANTES DE PAGO       2NC</v>
          </cell>
        </row>
        <row r="16673">
          <cell r="B16673" t="str">
            <v>29080700000161</v>
          </cell>
          <cell r="C16673" t="str">
            <v>LPC POR REGULARIZAR                     2NC</v>
          </cell>
        </row>
        <row r="16674">
          <cell r="B16674" t="str">
            <v>29080700000201</v>
          </cell>
          <cell r="C16674" t="str">
            <v>TT PAGOS ELECTRONICOS SUNAT             2NC</v>
          </cell>
        </row>
        <row r="16675">
          <cell r="B16675" t="str">
            <v>29080700000202</v>
          </cell>
          <cell r="C16675" t="str">
            <v>JCC OPERAC.JUD.BCA PERSONA              2NC</v>
          </cell>
        </row>
        <row r="16676">
          <cell r="B16676" t="str">
            <v>29080700000203</v>
          </cell>
          <cell r="C16676" t="str">
            <v>JCC OPERAC.JUD.BCA COMERCIAL            2NC</v>
          </cell>
        </row>
        <row r="16677">
          <cell r="B16677" t="str">
            <v>29080700000204</v>
          </cell>
          <cell r="C16677" t="str">
            <v>JCC OPERAC.JUD.CONVECOB                 2NC</v>
          </cell>
        </row>
        <row r="16678">
          <cell r="B16678" t="str">
            <v>29080700000205</v>
          </cell>
          <cell r="C16678" t="str">
            <v>JCC TRANSITORIA INGRESO JCC-TC          2NC</v>
          </cell>
        </row>
        <row r="16679">
          <cell r="B16679" t="str">
            <v>29080700000225</v>
          </cell>
          <cell r="C16679" t="str">
            <v>OPERACIONES VARIAS CONTROL CONTABLE     2YC</v>
          </cell>
        </row>
        <row r="16680">
          <cell r="B16680" t="str">
            <v>29080700000226</v>
          </cell>
          <cell r="C16680" t="str">
            <v>OP PERSONALES - CONVENIOS               2YC</v>
          </cell>
        </row>
        <row r="16681">
          <cell r="B16681" t="str">
            <v>29080700000301</v>
          </cell>
          <cell r="C16681" t="str">
            <v>OPERAC REGISTRAD EN IC                  2NC</v>
          </cell>
        </row>
        <row r="16682">
          <cell r="B16682" t="str">
            <v>29080700000302</v>
          </cell>
          <cell r="C16682" t="str">
            <v>RECIBO RECEP PREST EN TRAMITE           2YC</v>
          </cell>
        </row>
        <row r="16683">
          <cell r="B16683" t="str">
            <v>29080700000304</v>
          </cell>
          <cell r="C16683" t="str">
            <v>PAGOS POR CAJA PREST HIPOTECARIOS       2NC</v>
          </cell>
        </row>
        <row r="16684">
          <cell r="B16684" t="str">
            <v>29080700000307</v>
          </cell>
          <cell r="C16684" t="str">
            <v>TC -VISA PAGO A CTA                     2NC</v>
          </cell>
        </row>
        <row r="16685">
          <cell r="B16685" t="str">
            <v>29080700000308</v>
          </cell>
          <cell r="C16685" t="str">
            <v>APUNTES MANUALES                        2NC</v>
          </cell>
        </row>
        <row r="16686">
          <cell r="B16686" t="str">
            <v>29080700000309</v>
          </cell>
          <cell r="C16686" t="str">
            <v>FACT CON INCIDENCIAS DE COMERCIOS       2NC</v>
          </cell>
        </row>
        <row r="16687">
          <cell r="B16687" t="str">
            <v>29080700000310</v>
          </cell>
          <cell r="C16687" t="str">
            <v>CUENTA PUENTE SAT                       2NC</v>
          </cell>
        </row>
        <row r="16688">
          <cell r="B16688" t="str">
            <v>29080700000311</v>
          </cell>
          <cell r="C16688" t="str">
            <v>PAGOS IT                                2NC</v>
          </cell>
        </row>
        <row r="16689">
          <cell r="B16689" t="str">
            <v>29080700000312</v>
          </cell>
          <cell r="C16689" t="str">
            <v>IT - SAT                                2NC</v>
          </cell>
        </row>
        <row r="16690">
          <cell r="B16690" t="str">
            <v>29080700000313</v>
          </cell>
          <cell r="C16690" t="str">
            <v>OPERACIONES VARIAS                      2YC</v>
          </cell>
        </row>
        <row r="16691">
          <cell r="B16691" t="str">
            <v>29080700000314</v>
          </cell>
          <cell r="C16691" t="str">
            <v>OPERACIONES COBRANZAS CONTACTO          2NC</v>
          </cell>
        </row>
        <row r="16692">
          <cell r="B16692" t="str">
            <v>29080700000316</v>
          </cell>
          <cell r="C16692" t="str">
            <v>PAGOS INCOMING - SAT                    2NC</v>
          </cell>
        </row>
        <row r="16693">
          <cell r="B16693" t="str">
            <v>29080700000318</v>
          </cell>
          <cell r="C16693" t="str">
            <v>OPERACIONES VARIAS-RRHH                 2YC</v>
          </cell>
        </row>
        <row r="16694">
          <cell r="B16694" t="str">
            <v>29080700000319</v>
          </cell>
          <cell r="C16694" t="str">
            <v>CRED TARJETA CREDITO VENC-JUD           2NC</v>
          </cell>
        </row>
        <row r="16695">
          <cell r="B16695" t="str">
            <v>29080700000320</v>
          </cell>
          <cell r="C16695" t="str">
            <v>INT TC VENC-JUD                         2NC</v>
          </cell>
        </row>
        <row r="16696">
          <cell r="B16696" t="str">
            <v>29080700000321</v>
          </cell>
          <cell r="C16696" t="str">
            <v>COM TC VENC-JUD                         2NC</v>
          </cell>
        </row>
        <row r="16697">
          <cell r="B16697" t="str">
            <v>29080700000322</v>
          </cell>
          <cell r="C16697" t="str">
            <v>SALDOS ACREEDORES EN VENCIDOS-TC        2NC</v>
          </cell>
        </row>
        <row r="16698">
          <cell r="B16698" t="str">
            <v>29080700000323</v>
          </cell>
          <cell r="C16698" t="str">
            <v>INT-COM POR COBRAR TC VIG               2NC</v>
          </cell>
        </row>
        <row r="16699">
          <cell r="B16699" t="str">
            <v>29080700000324</v>
          </cell>
          <cell r="C16699" t="str">
            <v>INT-COM POR COBRAR TC VENC              2NC</v>
          </cell>
        </row>
        <row r="16700">
          <cell r="B16700" t="str">
            <v>29080700000325</v>
          </cell>
          <cell r="C16700" t="str">
            <v>SEGURO TARJETA DE CREDITO               2NC</v>
          </cell>
        </row>
        <row r="16701">
          <cell r="B16701" t="str">
            <v>29080700000326</v>
          </cell>
          <cell r="C16701" t="str">
            <v>HPC PAGO SEGURO DESEMPLEO               2NC</v>
          </cell>
        </row>
        <row r="16702">
          <cell r="B16702" t="str">
            <v>29080700000327</v>
          </cell>
          <cell r="C16702" t="str">
            <v>INT X COB REFINANC TARJETA CREDITO      2NC</v>
          </cell>
        </row>
        <row r="16703">
          <cell r="B16703" t="str">
            <v>29080700000330</v>
          </cell>
          <cell r="C16703" t="str">
            <v>INT -COM POR COBRAR TC VIG WONG         2NC</v>
          </cell>
        </row>
        <row r="16704">
          <cell r="B16704" t="str">
            <v>29080700000340</v>
          </cell>
          <cell r="C16704" t="str">
            <v>PAGO DE SERVICIOS TC                    2NC</v>
          </cell>
        </row>
        <row r="16705">
          <cell r="B16705" t="str">
            <v>29080700000341</v>
          </cell>
          <cell r="C16705" t="str">
            <v>LIC OPERACIONES CREDXCONVENIO           2NC</v>
          </cell>
        </row>
        <row r="16706">
          <cell r="B16706" t="str">
            <v>29080700000342</v>
          </cell>
          <cell r="C16706" t="str">
            <v>LIC TRANSITORIA DE DESEMB.CONV          2NC</v>
          </cell>
        </row>
        <row r="16707">
          <cell r="B16707" t="str">
            <v>29080700000343</v>
          </cell>
          <cell r="C16707" t="str">
            <v>OP.LIQ.CHQ.GCIA EN TRAM CONV - LIC      2NC</v>
          </cell>
        </row>
        <row r="16708">
          <cell r="B16708" t="str">
            <v>29080700000344</v>
          </cell>
          <cell r="C16708" t="str">
            <v>LIC OP.LIQ.CHQ.TARJETA DEB CONV ATM     2NC</v>
          </cell>
        </row>
        <row r="16709">
          <cell r="B16709" t="str">
            <v>29080700000345</v>
          </cell>
          <cell r="C16709" t="str">
            <v>LIC TRANSITORIA CONV.POR TRANSFER       2NC</v>
          </cell>
        </row>
        <row r="16710">
          <cell r="B16710" t="str">
            <v>29080700000348</v>
          </cell>
          <cell r="C16710" t="str">
            <v>INCOMING CAJA REGISTRADORA              2NC</v>
          </cell>
        </row>
        <row r="16711">
          <cell r="B16711" t="str">
            <v>29080700000349</v>
          </cell>
          <cell r="C16711" t="str">
            <v>LIC OP CRED CONVENIO DUDOSO PERD.       2NC</v>
          </cell>
        </row>
        <row r="16712">
          <cell r="B16712" t="str">
            <v>29080700000350</v>
          </cell>
          <cell r="C16712" t="str">
            <v>LIC OP CREDITO EX-CONVENIO              2NC</v>
          </cell>
        </row>
        <row r="16713">
          <cell r="B16713" t="str">
            <v>29080700000352</v>
          </cell>
          <cell r="C16713" t="str">
            <v>LIC PASE A JUDICIALES CONVENIO          2NC</v>
          </cell>
        </row>
        <row r="16714">
          <cell r="B16714" t="str">
            <v>29080700000353</v>
          </cell>
          <cell r="C16714" t="str">
            <v>ENTRADA INCOMING TARJETA DE CREDITO     2NC</v>
          </cell>
        </row>
        <row r="16715">
          <cell r="B16715" t="str">
            <v>29080700000359</v>
          </cell>
          <cell r="C16715" t="str">
            <v>TC TRANSACCIONES CONTRACARGOS           2NC</v>
          </cell>
        </row>
        <row r="16716">
          <cell r="B16716" t="str">
            <v>29080700000360</v>
          </cell>
          <cell r="C16716" t="str">
            <v>TC EMPRESARIALES - CAS                  2NC</v>
          </cell>
        </row>
        <row r="16717">
          <cell r="B16717" t="str">
            <v>29080700000361</v>
          </cell>
          <cell r="C16717" t="str">
            <v>ENTRADA INCOMING TC BANMAT              2NC</v>
          </cell>
        </row>
        <row r="16718">
          <cell r="B16718" t="str">
            <v>29080700000363</v>
          </cell>
          <cell r="C16718" t="str">
            <v>PAGOS TC REMESAS DEL EXTERIOR           2NC</v>
          </cell>
        </row>
        <row r="16719">
          <cell r="B16719" t="str">
            <v>29080700000365</v>
          </cell>
          <cell r="C16719" t="str">
            <v>ACO TRANS.CONTROVERSIAS IM ST           2NC</v>
          </cell>
        </row>
        <row r="16720">
          <cell r="B16720" t="str">
            <v>29080700000367</v>
          </cell>
          <cell r="C16720" t="str">
            <v>SOB.ANOMALIAS EFECTIVO                  2NC</v>
          </cell>
        </row>
        <row r="16721">
          <cell r="B16721" t="str">
            <v>29080700000368</v>
          </cell>
          <cell r="C16721" t="str">
            <v>SOB. MON ANOMALIAS EFECTIVO             2NC</v>
          </cell>
        </row>
        <row r="16722">
          <cell r="B16722" t="str">
            <v>29080700000369</v>
          </cell>
          <cell r="C16722" t="str">
            <v>TRANSITORIA  PAGOS SAT                  2NC</v>
          </cell>
        </row>
        <row r="16723">
          <cell r="B16723" t="str">
            <v>29080700000370</v>
          </cell>
          <cell r="C16723" t="str">
            <v>TC TRANSITORIA APUNTE MANUAL            2NC</v>
          </cell>
        </row>
        <row r="16724">
          <cell r="B16724" t="str">
            <v>29080700000371</v>
          </cell>
          <cell r="C16724" t="str">
            <v>TC TRANSITORIA PUENTE INCOMING          2NC</v>
          </cell>
        </row>
        <row r="16725">
          <cell r="B16725" t="str">
            <v>29080700000372</v>
          </cell>
          <cell r="C16725" t="str">
            <v>TC TRANSITORIA PUENTE CONCILIACION      2NC</v>
          </cell>
        </row>
        <row r="16726">
          <cell r="B16726" t="str">
            <v>29080700000373</v>
          </cell>
          <cell r="C16726" t="str">
            <v>TC TRANSITORIA PUENTE INCIDENCIAS       2NC</v>
          </cell>
        </row>
        <row r="16727">
          <cell r="B16727" t="str">
            <v>29080700000374</v>
          </cell>
          <cell r="C16727" t="str">
            <v>TC TRANSITORIA PUENTE OPERACIONES       2NC</v>
          </cell>
        </row>
        <row r="16728">
          <cell r="B16728" t="str">
            <v>29080700000375</v>
          </cell>
          <cell r="C16728" t="str">
            <v>TC TRANSIT VENTA DE VALES VENTANILLA    2NC</v>
          </cell>
        </row>
        <row r="16729">
          <cell r="B16729" t="str">
            <v>29080700000376</v>
          </cell>
          <cell r="C16729" t="str">
            <v>TC TRANS PASE A REPROGRAMACIONES        2YC</v>
          </cell>
        </row>
        <row r="16730">
          <cell r="B16730" t="str">
            <v>29080700000377</v>
          </cell>
          <cell r="C16730" t="str">
            <v>TC TRANSFER POR CAMBIO DE TC - UG       2NC</v>
          </cell>
        </row>
        <row r="16731">
          <cell r="B16731" t="str">
            <v>29080700000405</v>
          </cell>
          <cell r="C16731" t="str">
            <v>CHEQUE DE GERENCIA TECHO PROPIO         2YC</v>
          </cell>
        </row>
        <row r="16732">
          <cell r="B16732" t="str">
            <v>29080700000408</v>
          </cell>
          <cell r="C16732" t="str">
            <v>CHI OP LIQ.CH/.GERENCIA RP FMV          2YC</v>
          </cell>
        </row>
        <row r="16733">
          <cell r="B16733" t="str">
            <v>29080700000502</v>
          </cell>
          <cell r="C16733" t="str">
            <v>OP FINANCIERAS-MEDIO DE PAGO/COBRO      2NC</v>
          </cell>
        </row>
        <row r="16734">
          <cell r="B16734" t="str">
            <v>29080700000505</v>
          </cell>
          <cell r="C16734" t="str">
            <v>OP. LIQUIDAR-BKT                        2NC</v>
          </cell>
        </row>
        <row r="16735">
          <cell r="B16735" t="str">
            <v>29080700000506</v>
          </cell>
          <cell r="C16735" t="str">
            <v>OP. LIQUIDAR-TRANS SAFE-BKT-COMEXT      2YC</v>
          </cell>
        </row>
        <row r="16736">
          <cell r="B16736" t="str">
            <v>29080700000508</v>
          </cell>
          <cell r="C16736" t="str">
            <v>OPERACIONES DE CAMBIO-MESA              2YC</v>
          </cell>
        </row>
        <row r="16737">
          <cell r="B16737" t="str">
            <v>29080700000512</v>
          </cell>
          <cell r="C16737" t="str">
            <v>OP. POR LIQUIDAR COMEX                  2YC</v>
          </cell>
        </row>
        <row r="16738">
          <cell r="B16738" t="str">
            <v>29080700000514</v>
          </cell>
          <cell r="C16738" t="str">
            <v>OP. LIQUIDAR- INC TRANSFERENCIAS        2YC</v>
          </cell>
        </row>
        <row r="16739">
          <cell r="B16739" t="str">
            <v>29080700000515</v>
          </cell>
          <cell r="C16739" t="str">
            <v>TRANSITORIA REEMBOLSO REMESAS           2NC</v>
          </cell>
        </row>
        <row r="16740">
          <cell r="B16740" t="str">
            <v>29080700000516</v>
          </cell>
          <cell r="C16740" t="str">
            <v>REGISTRO DE REMESAS DE BCOS REMESADOR   2NC</v>
          </cell>
        </row>
        <row r="16741">
          <cell r="B16741" t="str">
            <v>29080700000517</v>
          </cell>
          <cell r="C16741" t="str">
            <v>OP. FWD NON DELIVERY POR LIQUIDAR       2YC</v>
          </cell>
        </row>
        <row r="16742">
          <cell r="B16742" t="str">
            <v>29080700000518</v>
          </cell>
          <cell r="C16742" t="str">
            <v>IC-LIC OPERACIONES DE CRED              2NC</v>
          </cell>
        </row>
        <row r="16743">
          <cell r="B16743" t="str">
            <v>29080700000519</v>
          </cell>
          <cell r="C16743" t="str">
            <v>HPC OPERAC CRED EFECT/VEHIC (BP12002    2NC</v>
          </cell>
        </row>
        <row r="16744">
          <cell r="B16744" t="str">
            <v>29080700000520</v>
          </cell>
          <cell r="C16744" t="str">
            <v>HPC TRANSIT DESEMB BD EFECT/ VEHIC (    2NC</v>
          </cell>
        </row>
        <row r="16745">
          <cell r="B16745" t="str">
            <v>29080700000521</v>
          </cell>
          <cell r="C16745" t="str">
            <v>HPC TRANSIT PAGO VENTANILLA EFECT/VEH   2NC</v>
          </cell>
        </row>
        <row r="16746">
          <cell r="B16746" t="str">
            <v>29080700000522</v>
          </cell>
          <cell r="C16746" t="str">
            <v>HPC TRANSIT PAGO ADM CRED EFECT/VEHIC   2NC</v>
          </cell>
        </row>
        <row r="16747">
          <cell r="B16747" t="str">
            <v>29080700000523</v>
          </cell>
          <cell r="C16747" t="str">
            <v>HPC TRANSIT PAGO INTERNET CRED EFECT/   2NC</v>
          </cell>
        </row>
        <row r="16748">
          <cell r="B16748" t="str">
            <v>29080700000524</v>
          </cell>
          <cell r="C16748" t="str">
            <v>HPC TRANSIT POR TRANSFER CRED EFECT/V   2NC</v>
          </cell>
        </row>
        <row r="16749">
          <cell r="B16749" t="str">
            <v>29080700000525</v>
          </cell>
          <cell r="C16749" t="str">
            <v>HPC TRNST .PAG EMPR.(CONV.EMPR -$ST) EFE2NC</v>
          </cell>
        </row>
        <row r="16750">
          <cell r="B16750" t="str">
            <v>29080700000526</v>
          </cell>
          <cell r="C16750" t="str">
            <v>HPC OP LIQUIDAR CHQ GERENC              2YC</v>
          </cell>
        </row>
        <row r="16751">
          <cell r="B16751" t="str">
            <v>29080700000527</v>
          </cell>
          <cell r="C16751" t="str">
            <v>OP CAPTACIONES MESA                     2YC</v>
          </cell>
        </row>
        <row r="16752">
          <cell r="B16752" t="str">
            <v>29080700000528</v>
          </cell>
          <cell r="C16752" t="str">
            <v>LIC CONV TARJETA DEB IBK DIRECTO        2NC</v>
          </cell>
        </row>
        <row r="16753">
          <cell r="B16753" t="str">
            <v>29080700000529</v>
          </cell>
          <cell r="C16753" t="str">
            <v>LIC PAGO CONV. VENTANILLA Y CHEQUE      2YC</v>
          </cell>
        </row>
        <row r="16754">
          <cell r="B16754" t="str">
            <v>29080700000530</v>
          </cell>
          <cell r="C16754" t="str">
            <v>LIC ANULACION DE OP MASIVAS             2NC</v>
          </cell>
        </row>
        <row r="16755">
          <cell r="B16755" t="str">
            <v>29080700000531</v>
          </cell>
          <cell r="C16755" t="str">
            <v>CDO TRANSIT PAGO CTA CTE/ AHORROS       2NC</v>
          </cell>
        </row>
        <row r="16756">
          <cell r="B16756" t="str">
            <v>29080700000532</v>
          </cell>
          <cell r="C16756" t="str">
            <v>SAT TRANSIT PAGO CTA CTE/ AHORROS       2NC</v>
          </cell>
        </row>
        <row r="16757">
          <cell r="B16757" t="str">
            <v>29080700000533</v>
          </cell>
          <cell r="C16757" t="str">
            <v>CONVENIOS LIC - TDAS                    2YC</v>
          </cell>
        </row>
        <row r="16758">
          <cell r="B16758" t="str">
            <v>29080700000534</v>
          </cell>
          <cell r="C16758" t="str">
            <v>PAGOS COMP DEUDA C/CTA AHORROS          2NC</v>
          </cell>
        </row>
        <row r="16759">
          <cell r="B16759" t="str">
            <v>29080700000601</v>
          </cell>
          <cell r="C16759" t="str">
            <v>OPERACIONES VARIAS WEB                  2NC</v>
          </cell>
        </row>
        <row r="16760">
          <cell r="B16760" t="str">
            <v>29080700000602</v>
          </cell>
          <cell r="C16760" t="str">
            <v>FCD OP REGISTRADAS EN SCAD              2NC</v>
          </cell>
        </row>
        <row r="16761">
          <cell r="B16761" t="str">
            <v>29080700000603</v>
          </cell>
          <cell r="C16761" t="str">
            <v>FCD ABONO SCAD TRANSITORIA              2NC</v>
          </cell>
        </row>
        <row r="16762">
          <cell r="B16762" t="str">
            <v>29080700000604</v>
          </cell>
          <cell r="C16762" t="str">
            <v>FCD ABONO FECHA VALOR TRANSITORIA       2NC</v>
          </cell>
        </row>
        <row r="16763">
          <cell r="B16763" t="str">
            <v>29080700000701</v>
          </cell>
          <cell r="C16763" t="str">
            <v>TC COMPRA DE DEUDA NO BANCO CDO         2NC</v>
          </cell>
        </row>
        <row r="16764">
          <cell r="B16764" t="str">
            <v>29080700000702</v>
          </cell>
          <cell r="C16764" t="str">
            <v>TC COMPRA DE DEUDA BANCO CDO            2NC</v>
          </cell>
        </row>
        <row r="16765">
          <cell r="B16765" t="str">
            <v>29080700000703</v>
          </cell>
          <cell r="C16765" t="str">
            <v>TC COMPRA DE DEUDA CDO CONSOLIDADO      2NC</v>
          </cell>
        </row>
        <row r="16766">
          <cell r="B16766" t="str">
            <v>29080700000704</v>
          </cell>
          <cell r="C16766" t="str">
            <v>OPERACIONES DE CAMBIO POR LIQUIDAR      2YC</v>
          </cell>
        </row>
        <row r="16767">
          <cell r="B16767" t="str">
            <v>29080700000705</v>
          </cell>
          <cell r="C16767" t="str">
            <v>CUENTA SWIFT ROYAL BANK OF CANADA       2NC</v>
          </cell>
        </row>
        <row r="16768">
          <cell r="B16768" t="str">
            <v>29080700000706</v>
          </cell>
          <cell r="C16768" t="str">
            <v>CUENTA SWIFT CITIBANK                   2NC</v>
          </cell>
        </row>
        <row r="16769">
          <cell r="B16769" t="str">
            <v>29080700000707</v>
          </cell>
          <cell r="C16769" t="str">
            <v>CUENTA SWIFT JPMORGAN                   2NC</v>
          </cell>
        </row>
        <row r="16770">
          <cell r="B16770" t="str">
            <v>29080700000708</v>
          </cell>
          <cell r="C16770" t="str">
            <v>MDC OPERAC COBERTURA FWD Y DERIVADOS    2NC</v>
          </cell>
        </row>
        <row r="16771">
          <cell r="B16771" t="str">
            <v>29080700000901</v>
          </cell>
          <cell r="C16771" t="str">
            <v>RECAUDADORA ITF                         2NC</v>
          </cell>
        </row>
        <row r="16772">
          <cell r="B16772" t="str">
            <v>29080700000902</v>
          </cell>
          <cell r="C16772" t="str">
            <v>POR LIQUIDAR RECAUDACION TUUA           2YC</v>
          </cell>
        </row>
        <row r="16773">
          <cell r="B16773" t="str">
            <v>29080700000904</v>
          </cell>
          <cell r="C16773" t="str">
            <v>MYP OP.EN TRAMITE TASACIONES            2YC</v>
          </cell>
        </row>
        <row r="16774">
          <cell r="B16774" t="str">
            <v>29080700000906</v>
          </cell>
          <cell r="C16774" t="str">
            <v>TC TRANS.PAGOS TC CONVENIOS LIC         2NC</v>
          </cell>
        </row>
        <row r="16775">
          <cell r="B16775" t="str">
            <v>29080700000907</v>
          </cell>
          <cell r="C16775" t="str">
            <v>LIC TRANSIT DESEM PAGO TC P. VEA        2NC</v>
          </cell>
        </row>
        <row r="16776">
          <cell r="B16776" t="str">
            <v>29080700000908</v>
          </cell>
          <cell r="C16776" t="str">
            <v>MYP TRANS.DISP.PAGOS IB DIRECTO         2NC</v>
          </cell>
        </row>
        <row r="16777">
          <cell r="B16777" t="str">
            <v>29080700000909</v>
          </cell>
          <cell r="C16777" t="str">
            <v>ACO APUNTE MANUAL CONTROVERSIAS         2NC</v>
          </cell>
        </row>
        <row r="16778">
          <cell r="B16778" t="str">
            <v>29080700000911</v>
          </cell>
          <cell r="C16778" t="str">
            <v>OPERACIONES VARIAS ATM                  2NC</v>
          </cell>
        </row>
        <row r="16779">
          <cell r="B16779" t="str">
            <v>29080700000912</v>
          </cell>
          <cell r="C16779" t="str">
            <v>OPERAC. POR REGULARIZAR-SOBRANTES ATM   2NC</v>
          </cell>
        </row>
        <row r="16780">
          <cell r="B16780" t="str">
            <v>29080700000913</v>
          </cell>
          <cell r="C16780" t="str">
            <v>OPERAC POR REGULARIZAR SOBRANTES MONE   2NC</v>
          </cell>
        </row>
        <row r="16781">
          <cell r="B16781" t="str">
            <v>29080700000914</v>
          </cell>
          <cell r="C16781" t="str">
            <v>SOBRANTES TIB                           2NC</v>
          </cell>
        </row>
        <row r="16782">
          <cell r="B16782" t="str">
            <v>29080700000917</v>
          </cell>
          <cell r="C16782" t="str">
            <v>TRANSITORIA X REMESAS SOLES             2NC</v>
          </cell>
        </row>
        <row r="16783">
          <cell r="B16783" t="str">
            <v>29080700000918</v>
          </cell>
          <cell r="C16783" t="str">
            <v>LPC DESEMBOLOS CREDITOS PANAMA          2NC</v>
          </cell>
        </row>
        <row r="16784">
          <cell r="B16784" t="str">
            <v>29080700000919</v>
          </cell>
          <cell r="C16784" t="str">
            <v>OPERACIONES OTRAS DIVISAS               2YC</v>
          </cell>
        </row>
        <row r="16785">
          <cell r="B16785" t="str">
            <v>29080700000920</v>
          </cell>
          <cell r="C16785" t="str">
            <v>DEBITO AUTOMÃTICO PAG                  2NC</v>
          </cell>
        </row>
        <row r="16786">
          <cell r="B16786" t="str">
            <v>29080700000921</v>
          </cell>
          <cell r="C16786" t="str">
            <v>TC TRANSITORIA DE TRANSFER CDO          2NC</v>
          </cell>
        </row>
        <row r="16787">
          <cell r="B16787" t="str">
            <v>29080700000922</v>
          </cell>
          <cell r="C16787" t="str">
            <v>PAGOS COMP DEUDA C/CTA AHORROS          2NC</v>
          </cell>
        </row>
        <row r="16788">
          <cell r="B16788" t="str">
            <v>29080700000923</v>
          </cell>
          <cell r="C16788" t="str">
            <v>OPERACIONES COMPRA INVERSIONES          2YC</v>
          </cell>
        </row>
        <row r="16789">
          <cell r="B16789" t="str">
            <v>29080700000924</v>
          </cell>
          <cell r="C16789" t="str">
            <v>NO PROCESADOS ITB EN LINEA              2NC</v>
          </cell>
        </row>
        <row r="16790">
          <cell r="B16790" t="str">
            <v>29080700000925</v>
          </cell>
          <cell r="C16790" t="str">
            <v>RECAUDACION REFINANCIADOS BPE           2YC</v>
          </cell>
        </row>
        <row r="16791">
          <cell r="B16791" t="str">
            <v>29080700000926</v>
          </cell>
          <cell r="C16791" t="str">
            <v>COMISIONES CORP y EMP                   2YC</v>
          </cell>
        </row>
        <row r="16792">
          <cell r="B16792" t="str">
            <v>29080700000927</v>
          </cell>
          <cell r="C16792" t="str">
            <v>COMISIONES BPE                          2YC</v>
          </cell>
        </row>
        <row r="16793">
          <cell r="B16793" t="str">
            <v>29080700000928</v>
          </cell>
          <cell r="C16793" t="str">
            <v>COMISIONES HIPOTECARIOS                 2YC</v>
          </cell>
        </row>
        <row r="16794">
          <cell r="B16794" t="str">
            <v>29080700000929</v>
          </cell>
          <cell r="C16794" t="str">
            <v>COMISIONES TARJETAS DE CRÃ‰DITO         2YC</v>
          </cell>
        </row>
        <row r="16795">
          <cell r="B16795" t="str">
            <v>29080700000930</v>
          </cell>
          <cell r="C16795" t="str">
            <v>PENDIENTES DE COMPROBANTES AUTOMATICOS  2YC</v>
          </cell>
        </row>
        <row r="16796">
          <cell r="B16796" t="str">
            <v>29080700000931</v>
          </cell>
          <cell r="C16796" t="str">
            <v>PENDIENTES DE CUENTAS POR COBRAR VARIOS 2YC</v>
          </cell>
        </row>
        <row r="16797">
          <cell r="B16797" t="str">
            <v>29080700000932</v>
          </cell>
          <cell r="C16797" t="str">
            <v>LBC TRX TRANSFERENCIAS BCR              2NC</v>
          </cell>
        </row>
        <row r="16798">
          <cell r="B16798" t="str">
            <v>29080700000933</v>
          </cell>
          <cell r="C16798" t="str">
            <v>CDO OP. EN TRAMITE ABONO EN LINEA       2NC</v>
          </cell>
        </row>
        <row r="16799">
          <cell r="B16799" t="str">
            <v>29080700000934</v>
          </cell>
          <cell r="C16799" t="str">
            <v>LIC COMPRA DE DEUDA - CHEQ GERENCIA     2YC</v>
          </cell>
        </row>
        <row r="16800">
          <cell r="B16800" t="str">
            <v>29080700000935</v>
          </cell>
          <cell r="C16800" t="str">
            <v>OP REGISTRADAS CONVENIO TDA             2NC</v>
          </cell>
        </row>
        <row r="16801">
          <cell r="B16801" t="str">
            <v>29080700000936</v>
          </cell>
          <cell r="C16801" t="str">
            <v>BTC PAGO DE SERVICIOS                   2NC</v>
          </cell>
        </row>
        <row r="16802">
          <cell r="B16802" t="str">
            <v>29080700000937</v>
          </cell>
          <cell r="C16802" t="str">
            <v>BTC INCOMING TARJETA DE CREDITO         2NC</v>
          </cell>
        </row>
        <row r="16803">
          <cell r="B16803" t="str">
            <v>29080700000938</v>
          </cell>
          <cell r="C16803" t="str">
            <v>BTC TRANSITORIA APUNTE MANUAL           2NC</v>
          </cell>
        </row>
        <row r="16804">
          <cell r="B16804" t="str">
            <v>29080700000939</v>
          </cell>
          <cell r="C16804" t="str">
            <v>BTC TRANSITORIA PUENTE CONCILIACION     2NC</v>
          </cell>
        </row>
        <row r="16805">
          <cell r="B16805" t="str">
            <v>29080700000940</v>
          </cell>
          <cell r="C16805" t="str">
            <v>BTC TRANSITORIA PUENTE INCIDENCIAS      2NC</v>
          </cell>
        </row>
        <row r="16806">
          <cell r="B16806" t="str">
            <v>29080700000941</v>
          </cell>
          <cell r="C16806" t="str">
            <v>BTC TRANSITORIA PUENTE OPERACIONES      2NC</v>
          </cell>
        </row>
        <row r="16807">
          <cell r="B16807" t="str">
            <v>29080700000942</v>
          </cell>
          <cell r="C16807" t="str">
            <v>BTC TRANSITORIA DE TRANSFER BTC         2NC</v>
          </cell>
        </row>
        <row r="16808">
          <cell r="B16808" t="str">
            <v>29080700000943</v>
          </cell>
          <cell r="C16808" t="str">
            <v>BTC VISA PAGO A CTA                     2NC</v>
          </cell>
        </row>
        <row r="16809">
          <cell r="B16809" t="str">
            <v>29080700000944</v>
          </cell>
          <cell r="C16809" t="str">
            <v>MDC MEDIOS DE PAGO                      2NC</v>
          </cell>
        </row>
        <row r="16810">
          <cell r="B16810" t="str">
            <v>29080700000945</v>
          </cell>
          <cell r="C16810" t="str">
            <v>OPERACIONES VARIAS ATM                  2NC</v>
          </cell>
        </row>
        <row r="16811">
          <cell r="B16811" t="str">
            <v>29080700000951</v>
          </cell>
          <cell r="C16811" t="str">
            <v>BTC PAGO A CTA                          2 C</v>
          </cell>
        </row>
        <row r="16812">
          <cell r="B16812" t="str">
            <v>29080700000956</v>
          </cell>
          <cell r="C16812" t="str">
            <v>LIC OPERACIONES VARIAS CPE              2 C</v>
          </cell>
        </row>
        <row r="16813">
          <cell r="B16813" t="str">
            <v>29080700000957</v>
          </cell>
          <cell r="C16813" t="str">
            <v>AFT CARGO FAST FUND                     2NC</v>
          </cell>
        </row>
        <row r="16814">
          <cell r="B16814" t="str">
            <v>29080700000958</v>
          </cell>
          <cell r="C16814" t="str">
            <v>JCC OPERACIONES PACMAN                  2 C</v>
          </cell>
        </row>
        <row r="16815">
          <cell r="B16815" t="str">
            <v>29080700000959</v>
          </cell>
          <cell r="C16815" t="str">
            <v>HPC OP EN TRAMITE - SOBRANTES           2YC</v>
          </cell>
        </row>
        <row r="16816">
          <cell r="B16816" t="str">
            <v>29080700000960</v>
          </cell>
          <cell r="C16816" t="str">
            <v>HPC OP EN TRAMITE - SOBRANTES           2YC</v>
          </cell>
        </row>
        <row r="16817">
          <cell r="B16817" t="str">
            <v>29080700000961</v>
          </cell>
          <cell r="C16817" t="str">
            <v>JCC OPERACIONES EN TRANSITO REACTIVA COD2 C</v>
          </cell>
        </row>
        <row r="16818">
          <cell r="B16818" t="str">
            <v>29080700000962</v>
          </cell>
          <cell r="C16818" t="str">
            <v>JCC OPERACIONES EN TRANSITO CRECER CODIF2 C</v>
          </cell>
        </row>
        <row r="16819">
          <cell r="B16819" t="str">
            <v>29080700000963</v>
          </cell>
          <cell r="C16819" t="str">
            <v>JCC OPERACIONES EN TRANSITO REACTIVA COD2 C</v>
          </cell>
        </row>
        <row r="16820">
          <cell r="B16820" t="str">
            <v>29080700000964</v>
          </cell>
          <cell r="C16820" t="str">
            <v>JCC OPERACIONES EN TRANSITO CRECER CODIF2 C</v>
          </cell>
        </row>
        <row r="16821">
          <cell r="B16821" t="str">
            <v>29080700000965</v>
          </cell>
          <cell r="C16821" t="str">
            <v>JCC OPERACIONES EN TRANSITO PAGOS REACTI2 C</v>
          </cell>
        </row>
        <row r="16822">
          <cell r="B16822" t="str">
            <v>29080700000966</v>
          </cell>
          <cell r="C16822" t="str">
            <v>JCC OPERACIONES EN TRANSITO PAGOS CRECER2 C</v>
          </cell>
        </row>
        <row r="16823">
          <cell r="B16823" t="str">
            <v>29080700000967</v>
          </cell>
          <cell r="C16823" t="str">
            <v>LIC OPERACIONES EN TRAMITE CPE          2 C</v>
          </cell>
        </row>
        <row r="16824">
          <cell r="B16824" t="str">
            <v>29080700000968</v>
          </cell>
          <cell r="C16824" t="str">
            <v>LPC REFINANCIADO REACTIVA OP EN TRANSITO2 C</v>
          </cell>
        </row>
        <row r="16825">
          <cell r="B16825" t="str">
            <v>29080700000969</v>
          </cell>
          <cell r="C16825" t="str">
            <v>OP NO PROCESADAS OFICINAS VARIAS        2YC</v>
          </cell>
        </row>
        <row r="16826">
          <cell r="B16826" t="str">
            <v>29080700000970</v>
          </cell>
          <cell r="C16826" t="str">
            <v>PYR CONVENIOS TIB Y REM                 2YC</v>
          </cell>
        </row>
        <row r="16827">
          <cell r="B16827" t="str">
            <v>29080700000971</v>
          </cell>
          <cell r="C16827" t="str">
            <v>GPYR VARIAS                             2YC</v>
          </cell>
        </row>
        <row r="16828">
          <cell r="B16828" t="str">
            <v>29080700000972</v>
          </cell>
          <cell r="C16828" t="str">
            <v>EPS COLABORADOR                         2YC</v>
          </cell>
        </row>
        <row r="16829">
          <cell r="B16829" t="str">
            <v>29080700000974</v>
          </cell>
          <cell r="C16829" t="str">
            <v>GTC CHEQUE GERENCIA                     2NC</v>
          </cell>
        </row>
        <row r="16830">
          <cell r="B16830" t="str">
            <v>29080700000975</v>
          </cell>
          <cell r="C16830" t="str">
            <v>CDO TRANSITORIA OP LIQUIDACION MARCAS   2NC</v>
          </cell>
        </row>
        <row r="16831">
          <cell r="B16831" t="str">
            <v>29080700000976</v>
          </cell>
          <cell r="C16831" t="str">
            <v>CDO OP CAMBIO CONVERSION VISA           2NC</v>
          </cell>
        </row>
        <row r="16832">
          <cell r="B16832" t="str">
            <v>29080700000977</v>
          </cell>
          <cell r="C16832" t="str">
            <v>CUENTA TRANSITORIA REMESAS BÃ“VEDAS     2NC</v>
          </cell>
        </row>
        <row r="16833">
          <cell r="B16833" t="str">
            <v>29080700000978</v>
          </cell>
          <cell r="C16833" t="str">
            <v>CUENTA TRANSITORIA DIFERENCIAS EN REMESA2YC</v>
          </cell>
        </row>
        <row r="16834">
          <cell r="B16834" t="str">
            <v>29080700000979</v>
          </cell>
          <cell r="C16834" t="str">
            <v>TDA OPER  NO CONCILIADA OCT              NC</v>
          </cell>
        </row>
        <row r="16835">
          <cell r="B16835" t="str">
            <v>29080700000980</v>
          </cell>
          <cell r="C16835" t="str">
            <v>TDA OPER  NO CONFIRM AFT                 NC</v>
          </cell>
        </row>
        <row r="16836">
          <cell r="B16836" t="str">
            <v>29080700000981</v>
          </cell>
          <cell r="C16836" t="str">
            <v>OPERACIONES VARIAS - DESEMBOLSOS HPC    2YC</v>
          </cell>
        </row>
        <row r="16837">
          <cell r="B16837" t="str">
            <v>29080700000982</v>
          </cell>
          <cell r="C16837" t="str">
            <v>COMPRA DEUDA BANCO TIB  - POSTERIOR 5PM 2NC</v>
          </cell>
        </row>
        <row r="16838">
          <cell r="B16838" t="str">
            <v>29080700000983</v>
          </cell>
          <cell r="C16838" t="str">
            <v>MDC BONOS SOBERANOS SHORT               2NC</v>
          </cell>
        </row>
        <row r="16839">
          <cell r="B16839" t="str">
            <v>29080700000984</v>
          </cell>
          <cell r="C16839" t="str">
            <v>CDO POSICIÃ“N NETA AMEX                 2NC</v>
          </cell>
        </row>
        <row r="16840">
          <cell r="B16840" t="str">
            <v>29080700000985</v>
          </cell>
          <cell r="C16840" t="str">
            <v>CDO NO CONCILIADOS OUTGOING AMEX        2NC</v>
          </cell>
        </row>
        <row r="16841">
          <cell r="B16841" t="str">
            <v>29080700000986</v>
          </cell>
          <cell r="C16841" t="str">
            <v>CDO NO CONCILIADOS CONTRACARGOS AMEX    2NC</v>
          </cell>
        </row>
        <row r="16842">
          <cell r="B16842" t="str">
            <v>29080700000987</v>
          </cell>
          <cell r="C16842" t="str">
            <v>CDO TRANSITORIA OP LIQUIDACION AMEX     2NC</v>
          </cell>
        </row>
        <row r="16843">
          <cell r="B16843" t="str">
            <v>29080700000988</v>
          </cell>
          <cell r="C16843" t="str">
            <v>CDO ABONO PLIN A CTA IBK                2NC</v>
          </cell>
        </row>
        <row r="16844">
          <cell r="B16844" t="str">
            <v>29080700000989</v>
          </cell>
          <cell r="C16844" t="str">
            <v>CDO ABONO PLIN A OTROS BCOS             2NC</v>
          </cell>
        </row>
        <row r="16845">
          <cell r="B16845" t="str">
            <v>29080700000990</v>
          </cell>
          <cell r="C16845" t="str">
            <v>JCC OPERACIONES EN TRANSITO IMPULSO MYPE2 C</v>
          </cell>
        </row>
        <row r="16846">
          <cell r="B16846" t="str">
            <v>29080700000991</v>
          </cell>
          <cell r="C16846" t="str">
            <v>JCC OPERACIONES EN TRANSITO IMPULSO     2YC</v>
          </cell>
        </row>
        <row r="16847">
          <cell r="B16847" t="str">
            <v>29080700000992</v>
          </cell>
          <cell r="C16847" t="str">
            <v>JCC OPERACIONES EN TRANSITO IMPULSO COFI2 C</v>
          </cell>
        </row>
        <row r="16848">
          <cell r="B16848" t="str">
            <v>29080700000993</v>
          </cell>
          <cell r="C16848" t="str">
            <v>CDO CONSUMO TC RIELES IZIPAY            2 C</v>
          </cell>
        </row>
        <row r="16849">
          <cell r="B16849" t="str">
            <v>29080900000103</v>
          </cell>
          <cell r="C16849" t="str">
            <v>OP LIQUIDAR CHQ GERENCIA EN TRAMITE IC  2YC</v>
          </cell>
        </row>
        <row r="16850">
          <cell r="B16850" t="str">
            <v>29080900000104</v>
          </cell>
          <cell r="C16850" t="str">
            <v>OP. LIQUIDAR CTRL GIROS S/ NEW YORK     2NC</v>
          </cell>
        </row>
        <row r="16851">
          <cell r="B16851" t="str">
            <v>29080900000105</v>
          </cell>
          <cell r="C16851" t="str">
            <v>OP. LIQUIDAR DEP.CHQ NEW YORK           2NC</v>
          </cell>
        </row>
        <row r="16852">
          <cell r="B16852" t="str">
            <v>29080900000106</v>
          </cell>
          <cell r="C16852" t="str">
            <v>OP LIQUIDAR-CHQ GERENCIA EN TRAMITE     2NC</v>
          </cell>
        </row>
        <row r="16853">
          <cell r="B16853" t="str">
            <v>29080900000108</v>
          </cell>
          <cell r="C16853" t="str">
            <v>OP LIQUIDAR-SERVICIOS ESPECIALES EN TRAM2NC</v>
          </cell>
        </row>
        <row r="16854">
          <cell r="B16854" t="str">
            <v>29080900000109</v>
          </cell>
          <cell r="C16854" t="str">
            <v>OP LIQUIDAR-CTAS.POR REG.BKT            2YC</v>
          </cell>
        </row>
        <row r="16855">
          <cell r="B16855" t="str">
            <v>29080900000110</v>
          </cell>
          <cell r="C16855" t="str">
            <v>OP LIQUIDAR- IM CTAS CTES               2NC</v>
          </cell>
        </row>
        <row r="16856">
          <cell r="B16856" t="str">
            <v>29080900000111</v>
          </cell>
          <cell r="C16856" t="str">
            <v>OP.LIQUIDAR- INT.COB.JUDIC.DESCTO.PAG.  2NC</v>
          </cell>
        </row>
        <row r="16857">
          <cell r="B16857" t="str">
            <v>29080900000113</v>
          </cell>
          <cell r="C16857" t="str">
            <v>ANULACION CHQ GERENCIA                  2NC</v>
          </cell>
        </row>
        <row r="16858">
          <cell r="B16858" t="str">
            <v>29080900000114</v>
          </cell>
          <cell r="C16858" t="str">
            <v>OP.LIQUIDAR -CONTROL DE PAGOS AFP       2NC</v>
          </cell>
        </row>
        <row r="16859">
          <cell r="B16859" t="str">
            <v>29080900000115</v>
          </cell>
          <cell r="C16859" t="str">
            <v>OP.LIQUIDAR -VENTA DE BIENES PROPIOS Y A2YC</v>
          </cell>
        </row>
        <row r="16860">
          <cell r="B16860" t="str">
            <v>29080900000116</v>
          </cell>
          <cell r="C16860" t="str">
            <v>OP.LIQUIDAR -CONTROL ADMINISTRATIVO     2YC</v>
          </cell>
        </row>
        <row r="16861">
          <cell r="B16861" t="str">
            <v>29080900000118</v>
          </cell>
          <cell r="C16861" t="str">
            <v>OP LIQUIDAR ST-AHORROS                  2NC</v>
          </cell>
        </row>
        <row r="16862">
          <cell r="B16862" t="str">
            <v>29080900000120</v>
          </cell>
          <cell r="C16862" t="str">
            <v>OP.LIQUIDAR - BANQUEROS CL              2NC</v>
          </cell>
        </row>
        <row r="16863">
          <cell r="B16863" t="str">
            <v>29080900000124</v>
          </cell>
          <cell r="C16863" t="str">
            <v>CONTROL DE PAGOS BCOS EN LIQUIDACION    2NC</v>
          </cell>
        </row>
        <row r="16864">
          <cell r="B16864" t="str">
            <v>29080900000126</v>
          </cell>
          <cell r="C16864" t="str">
            <v>OP.LIQUIDAR - NO SUJETAS A ENCAJE       2YC</v>
          </cell>
        </row>
        <row r="16865">
          <cell r="B16865" t="str">
            <v>29080900000127</v>
          </cell>
          <cell r="C16865" t="str">
            <v>OP.LIQUIDAR - SUJETAS A ENCAJE          2YC</v>
          </cell>
        </row>
        <row r="16866">
          <cell r="B16866" t="str">
            <v>29080900000128</v>
          </cell>
          <cell r="C16866" t="str">
            <v>OP.LIQUIDAR CHQ.GCIA EN TRAMITE-MI VIVIE2YC</v>
          </cell>
        </row>
        <row r="16867">
          <cell r="B16867" t="str">
            <v>29080900000129</v>
          </cell>
          <cell r="C16867" t="str">
            <v>OP.LIQUIDAR - PAGOS TEF-SUNAT           2NC</v>
          </cell>
        </row>
        <row r="16868">
          <cell r="B16868" t="str">
            <v>29080900000132</v>
          </cell>
          <cell r="C16868" t="str">
            <v>ORDEN DE PAGO - TDA.TRUJILLO            2YC</v>
          </cell>
        </row>
        <row r="16869">
          <cell r="B16869" t="str">
            <v>29080900000133</v>
          </cell>
          <cell r="C16869" t="str">
            <v>OP LIQUIDAR-OP INTER NACIONAL CL        2NC</v>
          </cell>
        </row>
        <row r="16870">
          <cell r="B16870" t="str">
            <v>29080900000135</v>
          </cell>
          <cell r="C16870" t="str">
            <v>OP LIQUIDAR ST - CORREC                 2NC</v>
          </cell>
        </row>
        <row r="16871">
          <cell r="B16871" t="str">
            <v>29080900000137</v>
          </cell>
          <cell r="C16871" t="str">
            <v>OP.LIQUIDAR - PAGOS PDT-SUNAT           2NC</v>
          </cell>
        </row>
        <row r="16872">
          <cell r="B16872" t="str">
            <v>29080900000141</v>
          </cell>
          <cell r="C16872" t="str">
            <v>OP LIQUIDAR-PAGO ACTIVO                 2NC</v>
          </cell>
        </row>
        <row r="16873">
          <cell r="B16873" t="str">
            <v>29080900000142</v>
          </cell>
          <cell r="C16873" t="str">
            <v>OP LIQUIDAR - LEASING                   2YC</v>
          </cell>
        </row>
        <row r="16874">
          <cell r="B16874" t="str">
            <v>29080900000143</v>
          </cell>
          <cell r="C16874" t="str">
            <v>BL OP LIQUIDAR-PAGARE VAC CL            2NC</v>
          </cell>
        </row>
        <row r="16875">
          <cell r="B16875" t="str">
            <v>29080900000144</v>
          </cell>
          <cell r="C16875" t="str">
            <v>BL OP LIQUIDAR.OP REFINANC-LETRAS CL    2NC</v>
          </cell>
        </row>
        <row r="16876">
          <cell r="B16876" t="str">
            <v>29080900000145</v>
          </cell>
          <cell r="C16876" t="str">
            <v>BL OP LIQUIDAR CARGO EN CTA LEASING     2NC</v>
          </cell>
        </row>
        <row r="16877">
          <cell r="B16877" t="str">
            <v>29080900000146</v>
          </cell>
          <cell r="C16877" t="str">
            <v>OP LIQUIDAR NESTLE                      2YC</v>
          </cell>
        </row>
        <row r="16878">
          <cell r="B16878" t="str">
            <v>29080900000150</v>
          </cell>
          <cell r="C16878" t="str">
            <v>TRANSFERENCIAS CTS                      2NC</v>
          </cell>
        </row>
        <row r="16879">
          <cell r="B16879" t="str">
            <v>29080900000151</v>
          </cell>
          <cell r="C16879" t="str">
            <v>BL TRANS FACTURAS POR RECIBIR S         2NC</v>
          </cell>
        </row>
        <row r="16880">
          <cell r="B16880" t="str">
            <v>29080900000152</v>
          </cell>
          <cell r="C16880" t="str">
            <v>TRANSFERENCIAS INTERBANCARIAS           2NC</v>
          </cell>
        </row>
        <row r="16881">
          <cell r="B16881" t="str">
            <v>29080900000154</v>
          </cell>
          <cell r="C16881" t="str">
            <v>OP LIQUIDAR DEVOLUCIONES TIB            2NC</v>
          </cell>
        </row>
        <row r="16882">
          <cell r="B16882" t="str">
            <v>29080900000155</v>
          </cell>
          <cell r="C16882" t="str">
            <v>OP LIQUIDAR NO PROCESADOS TIB           2NC</v>
          </cell>
        </row>
        <row r="16883">
          <cell r="B16883" t="str">
            <v>29080900000156</v>
          </cell>
          <cell r="C16883" t="str">
            <v>OP LIQUIDAR SAT TIB                     2NC</v>
          </cell>
        </row>
        <row r="16884">
          <cell r="B16884" t="str">
            <v>29080900000157</v>
          </cell>
          <cell r="C16884" t="str">
            <v>OP LIQUIDAR ITB-IT                      2NC</v>
          </cell>
        </row>
        <row r="16885">
          <cell r="B16885" t="str">
            <v>29080900000158</v>
          </cell>
          <cell r="C16885" t="str">
            <v>OP LIQUIDAR PH CONVENIO                 2YC</v>
          </cell>
        </row>
        <row r="16886">
          <cell r="B16886" t="str">
            <v>29080900000159</v>
          </cell>
          <cell r="C16886" t="str">
            <v>OP. LIQUIDAR CTRL GIROS S/ NEW YORK     2NC</v>
          </cell>
        </row>
        <row r="16887">
          <cell r="B16887" t="str">
            <v>29080900000160</v>
          </cell>
          <cell r="C16887" t="str">
            <v>OP LIQUIDAR-IM/SYSTEMATIC               2NC</v>
          </cell>
        </row>
        <row r="16888">
          <cell r="B16888" t="str">
            <v>29080900000161</v>
          </cell>
          <cell r="C16888" t="str">
            <v>TRANSITORIA LEASING - LPC               2NC</v>
          </cell>
        </row>
        <row r="16889">
          <cell r="B16889" t="str">
            <v>29080900000162</v>
          </cell>
          <cell r="C16889" t="str">
            <v>OP.LIQ-PAGCUOTAS-LPC                    2NC</v>
          </cell>
        </row>
        <row r="16890">
          <cell r="B16890" t="str">
            <v>29080900000163</v>
          </cell>
          <cell r="C16890" t="str">
            <v>OP LIQUIDAR PAGARE VAC - LPC            2NC</v>
          </cell>
        </row>
        <row r="16891">
          <cell r="B16891" t="str">
            <v>29080900000164</v>
          </cell>
          <cell r="C16891" t="str">
            <v>LIQUIDAR LEASING JUDICIAL-LPC           2NC</v>
          </cell>
        </row>
        <row r="16892">
          <cell r="B16892" t="str">
            <v>29080900000165</v>
          </cell>
          <cell r="C16892" t="str">
            <v>OP LIQUIDAR CHQ GERENCIA VEHICULAR      2YC</v>
          </cell>
        </row>
        <row r="16893">
          <cell r="B16893" t="str">
            <v>29080900000167</v>
          </cell>
          <cell r="C16893" t="str">
            <v>OP LIQUIDAR SUNAT                       2NC</v>
          </cell>
        </row>
        <row r="16894">
          <cell r="B16894" t="str">
            <v>29080900000168</v>
          </cell>
          <cell r="C16894" t="str">
            <v>OP LIQUIDAR PAGO ACTIVO COBRANZAS       2NC</v>
          </cell>
        </row>
        <row r="16895">
          <cell r="B16895" t="str">
            <v>29080900000169</v>
          </cell>
          <cell r="C16895" t="str">
            <v>HPC TRANS PAGO BUEN PAG NUEVO MVV COF   2NC</v>
          </cell>
        </row>
        <row r="16896">
          <cell r="B16896" t="str">
            <v>29080900000170</v>
          </cell>
          <cell r="C16896" t="str">
            <v>ANULACION ORDEN DE PAGO                 2NC</v>
          </cell>
        </row>
        <row r="16897">
          <cell r="B16897" t="str">
            <v>29080900000171</v>
          </cell>
          <cell r="C16897" t="str">
            <v>TRANS.TRANSFERENCIAS BANQUEROS          2YC</v>
          </cell>
        </row>
        <row r="16898">
          <cell r="B16898" t="str">
            <v>29080900000173</v>
          </cell>
          <cell r="C16898" t="str">
            <v>OPERACIONES - CONVENIOS                 2NC</v>
          </cell>
        </row>
        <row r="16899">
          <cell r="B16899" t="str">
            <v>29080900000175</v>
          </cell>
          <cell r="C16899" t="str">
            <v>LIC OP.LIQ.TARJEDA DEB CONV VENT        2NC</v>
          </cell>
        </row>
        <row r="16900">
          <cell r="B16900" t="str">
            <v>29080900000176</v>
          </cell>
          <cell r="C16900" t="str">
            <v>TRANSITORIA EMISION GIROS DEL EX        2NC</v>
          </cell>
        </row>
        <row r="16901">
          <cell r="B16901" t="str">
            <v>29080900000178</v>
          </cell>
          <cell r="C16901" t="str">
            <v>TRANSITORIA REMESAS                     2YC</v>
          </cell>
        </row>
        <row r="16902">
          <cell r="B16902" t="str">
            <v>29080900000181</v>
          </cell>
          <cell r="C16902" t="str">
            <v>TRANSITORIA IB DIRECTO                  2NC</v>
          </cell>
        </row>
        <row r="16903">
          <cell r="B16903" t="str">
            <v>29080900000189</v>
          </cell>
          <cell r="C16903" t="str">
            <v>OP CANALES DIGITALES                    2NC</v>
          </cell>
        </row>
        <row r="16904">
          <cell r="B16904" t="str">
            <v>29080900000190</v>
          </cell>
          <cell r="C16904" t="str">
            <v>OP.LIQUIDAR - CREDITOS NO ASENTADOS FMS 2NC</v>
          </cell>
        </row>
        <row r="16905">
          <cell r="B16905" t="str">
            <v>29080900000191</v>
          </cell>
          <cell r="C16905" t="str">
            <v>HPC TRANSIT. ITF                        2NC</v>
          </cell>
        </row>
        <row r="16906">
          <cell r="B16906" t="str">
            <v>29080900000193</v>
          </cell>
          <cell r="C16906" t="str">
            <v>HPC TRANSIT PASE A PREJUD Y JUDICI      2NC</v>
          </cell>
        </row>
        <row r="16907">
          <cell r="B16907" t="str">
            <v>29080900000194</v>
          </cell>
          <cell r="C16907" t="str">
            <v>HPC TRANS .PAGO BUEN PAG. MVV-COFIDE    2NC</v>
          </cell>
        </row>
        <row r="16908">
          <cell r="B16908" t="str">
            <v>29080900000195</v>
          </cell>
          <cell r="C16908" t="str">
            <v>HPC TRANS .PAGO BUEN PAG. MI HOGAR-CO   2NC</v>
          </cell>
        </row>
        <row r="16909">
          <cell r="B16909" t="str">
            <v>29080900000196</v>
          </cell>
          <cell r="C16909" t="str">
            <v>HPC TRANSIT .PAGO EMPLEADOS             2NC</v>
          </cell>
        </row>
        <row r="16910">
          <cell r="B16910" t="str">
            <v>29080900000197</v>
          </cell>
          <cell r="C16910" t="str">
            <v>HPC TRANSIT .PAGO .CONVCOB(COV.COBRANZA)2NC</v>
          </cell>
        </row>
        <row r="16911">
          <cell r="B16911" t="str">
            <v>29080900000201</v>
          </cell>
          <cell r="C16911" t="str">
            <v>POSICION MERCADO LIBRE                  2NC</v>
          </cell>
        </row>
        <row r="16912">
          <cell r="B16912" t="str">
            <v>29080900000202</v>
          </cell>
          <cell r="C16912" t="str">
            <v>POSICION ARBITRAJE                      2NC</v>
          </cell>
        </row>
        <row r="16913">
          <cell r="B16913" t="str">
            <v>29080900000203</v>
          </cell>
          <cell r="C16913" t="str">
            <v>POSICION OFERTA Y DEMANDA CAPITAL       2NC</v>
          </cell>
        </row>
        <row r="16914">
          <cell r="B16914" t="str">
            <v>29080900000204</v>
          </cell>
          <cell r="C16914" t="str">
            <v>POSICIÃ€N SPOT SWAP                     2NC</v>
          </cell>
        </row>
        <row r="16915">
          <cell r="B16915" t="str">
            <v>29080900000205</v>
          </cell>
          <cell r="C16915" t="str">
            <v>POSICION OPERACIONES A FUTURO           2NC</v>
          </cell>
        </row>
        <row r="16916">
          <cell r="B16916" t="str">
            <v>29080900000206</v>
          </cell>
          <cell r="C16916" t="str">
            <v>POSICION SPOT                           2NC</v>
          </cell>
        </row>
        <row r="16917">
          <cell r="B16917" t="str">
            <v>29080900000208</v>
          </cell>
          <cell r="C16917" t="str">
            <v>POSICIÃ€N DE COBERTURA SWAP(CFE)        2NC</v>
          </cell>
        </row>
        <row r="16918">
          <cell r="B16918" t="str">
            <v>29080900000209</v>
          </cell>
          <cell r="C16918" t="str">
            <v>POSICIÃ€N DE COBERTURA SWAP (CFC)       2NC</v>
          </cell>
        </row>
        <row r="16919">
          <cell r="B16919" t="str">
            <v>29080900000210</v>
          </cell>
          <cell r="C16919" t="str">
            <v>POSICION COBERTURA SWAP -  SCCS         2NC</v>
          </cell>
        </row>
        <row r="16920">
          <cell r="B16920" t="str">
            <v>29080900000211</v>
          </cell>
          <cell r="C16920" t="str">
            <v>POSICION SPOT FWD OTRAS MONEDAS         2NC</v>
          </cell>
        </row>
        <row r="16921">
          <cell r="B16921" t="str">
            <v>29080900000212</v>
          </cell>
          <cell r="C16921" t="str">
            <v>IM TRANSITORIA OP TRANSFER              2NC</v>
          </cell>
        </row>
        <row r="16922">
          <cell r="B16922" t="str">
            <v>29080900000213</v>
          </cell>
          <cell r="C16922" t="str">
            <v>POSICION SPOTFORWARD DIVISAS            2NC</v>
          </cell>
        </row>
        <row r="16923">
          <cell r="B16923" t="str">
            <v>29080900000214</v>
          </cell>
          <cell r="C16923" t="str">
            <v>TRANSITORIA OPERACIONES TOLD            2NC</v>
          </cell>
        </row>
        <row r="16924">
          <cell r="B16924" t="str">
            <v>29080900000215</v>
          </cell>
          <cell r="C16924" t="str">
            <v>POSICION COBERTURA OPCIONES             2NC</v>
          </cell>
        </row>
        <row r="16925">
          <cell r="B16925" t="str">
            <v>29080900000216</v>
          </cell>
          <cell r="C16925" t="str">
            <v>POSICION SPTX                           2NC</v>
          </cell>
        </row>
        <row r="16926">
          <cell r="B16926" t="str">
            <v>29080900000217</v>
          </cell>
          <cell r="C16926" t="str">
            <v>POSICION COBERTURA IRS                  2NC</v>
          </cell>
        </row>
        <row r="16927">
          <cell r="B16927" t="str">
            <v>29080900000218</v>
          </cell>
          <cell r="C16927" t="str">
            <v>POSICION SPOT ESTRATEGICO               2NC</v>
          </cell>
        </row>
        <row r="16928">
          <cell r="B16928" t="str">
            <v>29080900000219</v>
          </cell>
          <cell r="C16928" t="str">
            <v>Posicion CCS Cobertura Goldman          2NC</v>
          </cell>
        </row>
        <row r="16929">
          <cell r="B16929" t="str">
            <v>29080900000220</v>
          </cell>
          <cell r="C16929" t="str">
            <v>POSICION OPCIONES DIVISAS               2NC</v>
          </cell>
        </row>
        <row r="16930">
          <cell r="B16930" t="str">
            <v>29080900000221</v>
          </cell>
          <cell r="C16930" t="str">
            <v>Spot Fwd Opciones                       2NC</v>
          </cell>
        </row>
        <row r="16931">
          <cell r="B16931" t="str">
            <v>29080900000222</v>
          </cell>
          <cell r="C16931" t="str">
            <v>Spot Fwd Op Divisas                     2NC</v>
          </cell>
        </row>
        <row r="16932">
          <cell r="B16932" t="str">
            <v>29080900000223</v>
          </cell>
          <cell r="C16932" t="str">
            <v>POSICION CCS COBERTURA BOFA             2NC</v>
          </cell>
        </row>
        <row r="16933">
          <cell r="B16933" t="str">
            <v>29080900000224</v>
          </cell>
          <cell r="C16933" t="str">
            <v>POSICION SWAP CAMBIARIO SWAP            2NC</v>
          </cell>
        </row>
        <row r="16934">
          <cell r="B16934" t="str">
            <v>29080900000225</v>
          </cell>
          <cell r="C16934" t="str">
            <v>POSICIÃ“N  SWAP CAMBIARIO (SBCR)        2NC</v>
          </cell>
        </row>
        <row r="16935">
          <cell r="B16935" t="str">
            <v>29080900000227</v>
          </cell>
          <cell r="C16935" t="str">
            <v>PosiciÃ³n NegociaciÃ³n Finanzas         2NC</v>
          </cell>
        </row>
        <row r="16936">
          <cell r="B16936" t="str">
            <v>29080900000228</v>
          </cell>
          <cell r="C16936" t="str">
            <v>POSICIÃ“N DE DIVISAS ESTRATEGICAS       2NC</v>
          </cell>
        </row>
        <row r="16937">
          <cell r="B16937" t="str">
            <v>29080900000229</v>
          </cell>
          <cell r="C16937" t="str">
            <v>MDC TRASPASO COBERTURAS CDR             2NC</v>
          </cell>
        </row>
        <row r="16938">
          <cell r="B16938" t="str">
            <v>29080900000230</v>
          </cell>
          <cell r="C16938" t="str">
            <v>SPOT COBERTURA CCS ESTRATEGICO          2NC</v>
          </cell>
        </row>
        <row r="16939">
          <cell r="B16939" t="str">
            <v>29080900000231</v>
          </cell>
          <cell r="C16939" t="str">
            <v>MRX POSICION NEGOCIACION CCS ESTRATEGICO2NC</v>
          </cell>
        </row>
        <row r="16940">
          <cell r="B16940" t="str">
            <v>29080900000232</v>
          </cell>
          <cell r="C16940" t="str">
            <v>MRX POSICION FWD TESORERIA              2NC</v>
          </cell>
        </row>
        <row r="16941">
          <cell r="B16941" t="str">
            <v>29080900000233</v>
          </cell>
          <cell r="C16941" t="str">
            <v>MDC POSICION FX SPOTS ARBITRAJE         2 C</v>
          </cell>
        </row>
        <row r="16942">
          <cell r="B16942" t="str">
            <v>29080900000234</v>
          </cell>
          <cell r="C16942" t="str">
            <v>MDC POSICION FX SPOTS MERCADO LIBRE     2 C</v>
          </cell>
        </row>
        <row r="16943">
          <cell r="B16943" t="str">
            <v>29080900000235</v>
          </cell>
          <cell r="C16943" t="str">
            <v>MDC POSICION FWD SPOT HEGDE MERCADO LIBR2 C</v>
          </cell>
        </row>
        <row r="16944">
          <cell r="B16944" t="str">
            <v>29080900000236</v>
          </cell>
          <cell r="C16944" t="str">
            <v>MDC POSICION FWD SPOT HEGDE ARBITRAJE   2 C</v>
          </cell>
        </row>
        <row r="16945">
          <cell r="B16945" t="str">
            <v>29080900000237</v>
          </cell>
          <cell r="C16945" t="str">
            <v>MDC POSICION INVERSIONES CCS MERCADO LIB2 C</v>
          </cell>
        </row>
        <row r="16946">
          <cell r="B16946" t="str">
            <v>29080900000238</v>
          </cell>
          <cell r="C16946" t="str">
            <v>MDC POSICION MESA INVERSIONES (GDN BIMON2 C</v>
          </cell>
        </row>
        <row r="16947">
          <cell r="B16947" t="str">
            <v>29080900000239</v>
          </cell>
          <cell r="C16947" t="str">
            <v>MDC POSICION MESA FX OPCIONES ARBITRAJE 2NC</v>
          </cell>
        </row>
        <row r="16948">
          <cell r="B16948" t="str">
            <v>29080900000240</v>
          </cell>
          <cell r="C16948" t="str">
            <v>MDC POSICION MESA FX OPCIONES MERCADO LI2NC</v>
          </cell>
        </row>
        <row r="16949">
          <cell r="B16949" t="str">
            <v>29080900000241</v>
          </cell>
          <cell r="C16949" t="str">
            <v>MDC POSICION MESA DRV FWD ARBITRAJE     2NC</v>
          </cell>
        </row>
        <row r="16950">
          <cell r="B16950" t="str">
            <v>29080900000250</v>
          </cell>
          <cell r="C16950" t="str">
            <v>SOBRANTES REMESAS MONEY GRAM            2NC</v>
          </cell>
        </row>
        <row r="16951">
          <cell r="B16951" t="str">
            <v>29080900000251</v>
          </cell>
          <cell r="C16951" t="str">
            <v>JCC OPERAC.JUD. MYPES                   2NC</v>
          </cell>
        </row>
        <row r="16952">
          <cell r="B16952" t="str">
            <v>29080900000252</v>
          </cell>
          <cell r="C16952" t="str">
            <v>MYP TRANSIT PASE A JUDI MYPES COMP A    2NC</v>
          </cell>
        </row>
        <row r="16953">
          <cell r="B16953" t="str">
            <v>29080900000253</v>
          </cell>
          <cell r="C16953" t="str">
            <v>JCC MYP TRANSIT PASE A JUDICIAL         2NC</v>
          </cell>
        </row>
        <row r="16954">
          <cell r="B16954" t="str">
            <v>29080900000260</v>
          </cell>
          <cell r="C16954" t="str">
            <v>COMISIONES IBK-RIA                      2NC</v>
          </cell>
        </row>
        <row r="16955">
          <cell r="B16955" t="str">
            <v>29080900000261</v>
          </cell>
          <cell r="C16955" t="str">
            <v>POSICION OPCIONES ESTRATEGICO MERCADO LI2NC</v>
          </cell>
        </row>
        <row r="16956">
          <cell r="B16956" t="str">
            <v>29080900000262</v>
          </cell>
          <cell r="C16956" t="str">
            <v>POSICION OPCIONES ESTRATEGICO ARBITRAJE 2NC</v>
          </cell>
        </row>
        <row r="16957">
          <cell r="B16957" t="str">
            <v>29080900000263</v>
          </cell>
          <cell r="C16957" t="str">
            <v>MDC POSICION MESA INVERSIONES FWD ARBITR2NC</v>
          </cell>
        </row>
        <row r="16958">
          <cell r="B16958" t="str">
            <v>29080900000264</v>
          </cell>
          <cell r="C16958" t="str">
            <v>MDC POSICION MESA INVERSIONES FWD MERCAD2NC</v>
          </cell>
        </row>
        <row r="16959">
          <cell r="B16959" t="str">
            <v>29080900000265</v>
          </cell>
          <cell r="C16959" t="str">
            <v>POSICION DERIVADOS MESA INVERSIONES ARBI2NC</v>
          </cell>
        </row>
        <row r="16960">
          <cell r="B16960" t="str">
            <v>29080900000302</v>
          </cell>
          <cell r="C16960" t="str">
            <v>BL BL CTA TRANSITORIA DE MIGRACION      2NC</v>
          </cell>
        </row>
        <row r="16961">
          <cell r="B16961" t="str">
            <v>29080900000306</v>
          </cell>
          <cell r="C16961" t="str">
            <v>MDC POSICION Mesa Fx (CDLD,CDLD-V)       NC</v>
          </cell>
        </row>
        <row r="16962">
          <cell r="B16962" t="str">
            <v>29080900000307</v>
          </cell>
          <cell r="C16962" t="str">
            <v>MDC POSICION Mesa Inversiones (GDN,Bimon NC</v>
          </cell>
        </row>
        <row r="16963">
          <cell r="B16963" t="str">
            <v>29080900000313</v>
          </cell>
          <cell r="C16963" t="str">
            <v>BL TRANSITORIA INTERESES IC             2NC</v>
          </cell>
        </row>
        <row r="16964">
          <cell r="B16964" t="str">
            <v>29080900000401</v>
          </cell>
          <cell r="C16964" t="str">
            <v>HPC TRANSIT. PAGO ACTIVO DESEMBOL       2NC</v>
          </cell>
        </row>
        <row r="16965">
          <cell r="B16965" t="str">
            <v>29080900000402</v>
          </cell>
          <cell r="C16965" t="str">
            <v>HPC OPERACIONES CRED HIPOTECARIOS       2NC</v>
          </cell>
        </row>
        <row r="16966">
          <cell r="B16966" t="str">
            <v>29080900000403</v>
          </cell>
          <cell r="C16966" t="str">
            <v>HPC TRANSIT DESEMB BD .DESCARGO         2NC</v>
          </cell>
        </row>
        <row r="16967">
          <cell r="B16967" t="str">
            <v>29080900000404</v>
          </cell>
          <cell r="C16967" t="str">
            <v>HPC TRANSIT PAGO VENTANILLA             2NC</v>
          </cell>
        </row>
        <row r="16968">
          <cell r="B16968" t="str">
            <v>29080900000405</v>
          </cell>
          <cell r="C16968" t="str">
            <v>HPC TRANSIT PAGO ADM                    2NC</v>
          </cell>
        </row>
        <row r="16969">
          <cell r="B16969" t="str">
            <v>29080900000406</v>
          </cell>
          <cell r="C16969" t="str">
            <v>HPC TRANSIT PAGO INTERNET               2NC</v>
          </cell>
        </row>
        <row r="16970">
          <cell r="B16970" t="str">
            <v>29080900000407</v>
          </cell>
          <cell r="C16970" t="str">
            <v>HPC TRANSIT PAGO CTA CTE                2NC</v>
          </cell>
        </row>
        <row r="16971">
          <cell r="B16971" t="str">
            <v>29080900000408</v>
          </cell>
          <cell r="C16971" t="str">
            <v>HPC TRANSIT PAGO AHORROS                2NC</v>
          </cell>
        </row>
        <row r="16972">
          <cell r="B16972" t="str">
            <v>29080900000409</v>
          </cell>
          <cell r="C16972" t="str">
            <v>HPC TRANSIT POR TRANSFER                2NC</v>
          </cell>
        </row>
        <row r="16973">
          <cell r="B16973" t="str">
            <v>29080900000410</v>
          </cell>
          <cell r="C16973" t="str">
            <v>HPC TRANSIT .PAGO EMPR.(CONV.EMPRESAS)($2NC</v>
          </cell>
        </row>
        <row r="16974">
          <cell r="B16974" t="str">
            <v>29080900000412</v>
          </cell>
          <cell r="C16974" t="str">
            <v>HPC TRANST PAGO CTACTE-AHORRO (IT) E    2NC</v>
          </cell>
        </row>
        <row r="16975">
          <cell r="B16975" t="str">
            <v>29080900000413</v>
          </cell>
          <cell r="C16975" t="str">
            <v>HPC TRANSIT PASE A PREJUD Y JUDICI EFECT2NC</v>
          </cell>
        </row>
        <row r="16976">
          <cell r="B16976" t="str">
            <v>29080900000414</v>
          </cell>
          <cell r="C16976" t="str">
            <v>HPC TRAN.PAG EMPLEAD VEH-EFEC           2NC</v>
          </cell>
        </row>
        <row r="16977">
          <cell r="B16977" t="str">
            <v>29080900000416</v>
          </cell>
          <cell r="C16977" t="str">
            <v>TRANSITORIA NO PROCESADOS X COMPRA DE DE2NC</v>
          </cell>
        </row>
        <row r="16978">
          <cell r="B16978" t="str">
            <v>29080900000417</v>
          </cell>
          <cell r="C16978" t="str">
            <v>HPC DESEMB.ATM.EFEC.EXPRES              2NC</v>
          </cell>
        </row>
        <row r="16979">
          <cell r="B16979" t="str">
            <v>29080900000418</v>
          </cell>
          <cell r="C16979" t="str">
            <v>HPC DESEMB.BPI.EFEC.EXPRES              2NC</v>
          </cell>
        </row>
        <row r="16980">
          <cell r="B16980" t="str">
            <v>29080900000419</v>
          </cell>
          <cell r="C16980" t="str">
            <v>HPC DESEMB.APP.EFEC.EXPRES              2NC</v>
          </cell>
        </row>
        <row r="16981">
          <cell r="B16981" t="str">
            <v>29080900000501</v>
          </cell>
          <cell r="C16981" t="str">
            <v>ST OPERACIONES CTS EMPLEADORES          2NC</v>
          </cell>
        </row>
        <row r="16982">
          <cell r="B16982" t="str">
            <v>29080900000509</v>
          </cell>
          <cell r="C16982" t="str">
            <v>OPERACIONES BDR BCA. PERSONAL           2NC</v>
          </cell>
        </row>
        <row r="16983">
          <cell r="B16983" t="str">
            <v>29080900000510</v>
          </cell>
          <cell r="C16983" t="str">
            <v>OPERACIONES BDR BCA. COMERCIAL          2NC</v>
          </cell>
        </row>
        <row r="16984">
          <cell r="B16984" t="str">
            <v>29080900000511</v>
          </cell>
          <cell r="C16984" t="str">
            <v>OPERACIONES BDR MYP                     2NC</v>
          </cell>
        </row>
        <row r="16985">
          <cell r="B16985" t="str">
            <v>29080900000512</v>
          </cell>
          <cell r="C16985" t="str">
            <v>OPERACIONES BDR DEPOSITOS               2NC</v>
          </cell>
        </row>
        <row r="16986">
          <cell r="B16986" t="str">
            <v>29080900000513</v>
          </cell>
          <cell r="C16986" t="str">
            <v>SEGUROS LEASING                         2YC</v>
          </cell>
        </row>
        <row r="16987">
          <cell r="B16987" t="str">
            <v>29080900000514</v>
          </cell>
          <cell r="C16987" t="str">
            <v>IMPUESTOS  LEASING                      2YC</v>
          </cell>
        </row>
        <row r="16988">
          <cell r="B16988" t="str">
            <v>29080900000515</v>
          </cell>
          <cell r="C16988" t="str">
            <v>TRANSITORIA OPERACIONES TOLD            2NC</v>
          </cell>
        </row>
        <row r="16989">
          <cell r="B16989" t="str">
            <v>29080900000517</v>
          </cell>
          <cell r="C16989" t="str">
            <v>LPC - TRANSITORIA LEASING               2NC</v>
          </cell>
        </row>
        <row r="16990">
          <cell r="B16990" t="str">
            <v>29080900000518</v>
          </cell>
          <cell r="C16990" t="str">
            <v>TRANSITORIA DINERO ELECTRONICO FEES     2NC</v>
          </cell>
        </row>
        <row r="16991">
          <cell r="B16991" t="str">
            <v>29080900000519</v>
          </cell>
          <cell r="C16991" t="str">
            <v>PAG COMIS.CASCADA                       2NC</v>
          </cell>
        </row>
        <row r="16992">
          <cell r="B16992" t="str">
            <v>29080900000601</v>
          </cell>
          <cell r="C16992" t="str">
            <v>MYP OP DE CREDITO MYPES                 2NC</v>
          </cell>
        </row>
        <row r="16993">
          <cell r="B16993" t="str">
            <v>29080900000602</v>
          </cell>
          <cell r="C16993" t="str">
            <v>MYP TRANS DE DESEMBOLSO BD              2NC</v>
          </cell>
        </row>
        <row r="16994">
          <cell r="B16994" t="str">
            <v>29080900000603</v>
          </cell>
          <cell r="C16994" t="str">
            <v>MYP TRANSIT TRANSFER MYPES              2NC</v>
          </cell>
        </row>
        <row r="16995">
          <cell r="B16995" t="str">
            <v>29080900000604</v>
          </cell>
          <cell r="C16995" t="str">
            <v>MYP TRANSIT PASE A JUDICIAL MYPES       2NC</v>
          </cell>
        </row>
        <row r="16996">
          <cell r="B16996" t="str">
            <v>29080900000605</v>
          </cell>
          <cell r="C16996" t="str">
            <v>MYP OP LIQ CH/G EN TRAM                 2NC</v>
          </cell>
        </row>
        <row r="16997">
          <cell r="B16997" t="str">
            <v>29080900000606</v>
          </cell>
          <cell r="C16997" t="str">
            <v>MYP DESEMBOLSO ESTABLECIMIENTO          2NC</v>
          </cell>
        </row>
        <row r="16998">
          <cell r="B16998" t="str">
            <v>29080900000608</v>
          </cell>
          <cell r="C16998" t="str">
            <v>JCC OPERAC.JUD. MYPES                   2NC</v>
          </cell>
        </row>
        <row r="16999">
          <cell r="B16999" t="str">
            <v>29080900000701</v>
          </cell>
          <cell r="C16999" t="str">
            <v>OP DE CAMBIO T+X                        2YC</v>
          </cell>
        </row>
        <row r="17000">
          <cell r="B17000" t="str">
            <v>29080900000702</v>
          </cell>
          <cell r="C17000" t="str">
            <v>OP TRANSFERENCIA DE FONDOS              2NC</v>
          </cell>
        </row>
        <row r="17001">
          <cell r="B17001" t="str">
            <v>29080900000710</v>
          </cell>
          <cell r="C17001" t="str">
            <v>AP CTA TRANSITORIA PAGOS SAFE           2NC</v>
          </cell>
        </row>
        <row r="17002">
          <cell r="B17002" t="str">
            <v>29080900000711</v>
          </cell>
          <cell r="C17002" t="str">
            <v>AP PAGO DETRACCIONES                    2NC</v>
          </cell>
        </row>
        <row r="17003">
          <cell r="B17003" t="str">
            <v>29080900000801</v>
          </cell>
          <cell r="C17003" t="str">
            <v>SOBRANTE POR REG ATM CUADRE FINAL PY ATM2NC</v>
          </cell>
        </row>
        <row r="17004">
          <cell r="B17004" t="str">
            <v>29080900000803</v>
          </cell>
          <cell r="C17004" t="str">
            <v>290809000008030000                      2NC</v>
          </cell>
        </row>
        <row r="17005">
          <cell r="B17005" t="str">
            <v>29080900000804</v>
          </cell>
          <cell r="C17005" t="str">
            <v>TRANS IBA SOCIOS                        2NC</v>
          </cell>
        </row>
        <row r="17006">
          <cell r="B17006" t="str">
            <v>29080900000901</v>
          </cell>
          <cell r="C17006" t="str">
            <v>TRANSITORIA BIENES ADJUDICADOS Y RECUPER2NC</v>
          </cell>
        </row>
        <row r="17007">
          <cell r="B17007" t="str">
            <v>29080900000902</v>
          </cell>
          <cell r="C17007" t="str">
            <v>TRANSITORIA BIENES ADJUDICADOS Y RECUPER2NC</v>
          </cell>
        </row>
        <row r="17008">
          <cell r="B17008" t="str">
            <v>29080900000903</v>
          </cell>
          <cell r="C17008" t="str">
            <v>PAY CTA TRANSITORIA PAGOS SAFE          2NC</v>
          </cell>
        </row>
        <row r="17009">
          <cell r="B17009" t="str">
            <v>29080900000904</v>
          </cell>
          <cell r="C17009" t="str">
            <v>PAY PAGO DE DETRACCIONES                2NC</v>
          </cell>
        </row>
        <row r="17010">
          <cell r="B17010" t="str">
            <v>29080900000905</v>
          </cell>
          <cell r="C17010" t="str">
            <v>BOG TRANSITORIA IB BOGOTA               2YC</v>
          </cell>
        </row>
        <row r="17011">
          <cell r="B17011" t="str">
            <v>29080900000906</v>
          </cell>
          <cell r="C17011" t="str">
            <v>BOG PAG OP LIQUIDAR                     2NC</v>
          </cell>
        </row>
        <row r="17012">
          <cell r="B17012" t="str">
            <v>29080900000908</v>
          </cell>
          <cell r="C17012" t="str">
            <v>AP EMBARGO TELEMATICO                   2NC</v>
          </cell>
        </row>
        <row r="17013">
          <cell r="B17013" t="str">
            <v>29080900000909</v>
          </cell>
          <cell r="C17013" t="str">
            <v>BTC OP LIQUIDAR TIB                     2NC</v>
          </cell>
        </row>
        <row r="17014">
          <cell r="B17014" t="str">
            <v>29080900000910</v>
          </cell>
          <cell r="C17014" t="str">
            <v>OP EN PROCESO ITB                       2NC</v>
          </cell>
        </row>
        <row r="17015">
          <cell r="B17015" t="str">
            <v>29080900000911</v>
          </cell>
          <cell r="C17015" t="str">
            <v>PAY FONDO FIJO EN TRANSITO              2NC</v>
          </cell>
        </row>
        <row r="17016">
          <cell r="B17016" t="str">
            <v>29080900000912</v>
          </cell>
          <cell r="C17016" t="str">
            <v>OP- PAGO EN CTA CONTABLE                2NC</v>
          </cell>
        </row>
        <row r="17017">
          <cell r="B17017" t="str">
            <v>29080900000914</v>
          </cell>
          <cell r="C17017" t="str">
            <v>$IM POR DEVOLUCIONES                    2NC</v>
          </cell>
        </row>
        <row r="17018">
          <cell r="B17018" t="str">
            <v>29080900000915</v>
          </cell>
          <cell r="C17018" t="str">
            <v>ITB TRANSFERENCIAS INTERBANCARIAS RAPPIB2 C</v>
          </cell>
        </row>
        <row r="17019">
          <cell r="B17019" t="str">
            <v>29080900000919</v>
          </cell>
          <cell r="C17019" t="str">
            <v>OP LIQUIDAR BKT                         2NC</v>
          </cell>
        </row>
        <row r="17020">
          <cell r="B17020" t="str">
            <v>29080900000920</v>
          </cell>
          <cell r="C17020" t="str">
            <v>$IM MEGAS MASIVAS S/ITF                 2NC</v>
          </cell>
        </row>
        <row r="17021">
          <cell r="B17021" t="str">
            <v>29080900000921</v>
          </cell>
          <cell r="C17021" t="str">
            <v>$IM MEGAS MASIVAS C/ITF                 2NC</v>
          </cell>
        </row>
        <row r="17022">
          <cell r="B17022" t="str">
            <v>29080900000922</v>
          </cell>
          <cell r="C17022" t="str">
            <v>$ST MEGA POR REGULARIZACIONES           2NC</v>
          </cell>
        </row>
        <row r="17023">
          <cell r="B17023" t="str">
            <v>29080900000923</v>
          </cell>
          <cell r="C17023" t="str">
            <v>PRUEBAJUNIO BORRAR                      2NC</v>
          </cell>
        </row>
        <row r="17024">
          <cell r="B17024" t="str">
            <v>29080900000924</v>
          </cell>
          <cell r="C17024" t="str">
            <v>CCD-PEQ TRANSITORIA OPERACIONES PEQ EMP 2NC</v>
          </cell>
        </row>
        <row r="17025">
          <cell r="B17025" t="str">
            <v>29080900000925</v>
          </cell>
          <cell r="C17025" t="str">
            <v>CCD-BPE OP DE CREDITO MYPES             2 C</v>
          </cell>
        </row>
        <row r="17026">
          <cell r="B17026" t="str">
            <v>29080900000926</v>
          </cell>
          <cell r="C17026" t="str">
            <v>TDA OP LIQUIDAR                         2NC</v>
          </cell>
        </row>
        <row r="17027">
          <cell r="B17027" t="str">
            <v>29080900000927</v>
          </cell>
          <cell r="C17027" t="str">
            <v>OP LIQUIDAR - DEP                       2 C</v>
          </cell>
        </row>
        <row r="17028">
          <cell r="B17028" t="str">
            <v>29080900000928</v>
          </cell>
          <cell r="C17028" t="str">
            <v>DESCARGO DE ORDEN DE PAGO FSD           2 C</v>
          </cell>
        </row>
        <row r="17029">
          <cell r="B17029" t="str">
            <v>29080900000929</v>
          </cell>
          <cell r="C17029" t="str">
            <v>DEVOLUCIONES ORDEN DE PAGO              2YC</v>
          </cell>
        </row>
        <row r="17030">
          <cell r="B17030" t="str">
            <v>29080900008001</v>
          </cell>
          <cell r="C17030" t="str">
            <v>PAN TRANSITORIA LPC                     2NC</v>
          </cell>
        </row>
        <row r="17031">
          <cell r="B17031" t="str">
            <v>31010100000101</v>
          </cell>
          <cell r="C17031" t="str">
            <v>APORTES EN EFECTIVO                     3NC</v>
          </cell>
        </row>
        <row r="17032">
          <cell r="B17032" t="str">
            <v>31010100000102</v>
          </cell>
          <cell r="C17032" t="str">
            <v>REINVERSION DE UTILIDADES               3NC</v>
          </cell>
        </row>
        <row r="17033">
          <cell r="B17033" t="str">
            <v>31010100000103</v>
          </cell>
          <cell r="C17033" t="str">
            <v>RESERVAS                                3NC</v>
          </cell>
        </row>
        <row r="17034">
          <cell r="B17034" t="str">
            <v>31010100000801</v>
          </cell>
          <cell r="C17034" t="str">
            <v>PAN CAPITAL ASIGNADO                    3NC</v>
          </cell>
        </row>
        <row r="17035">
          <cell r="B17035" t="str">
            <v>31010101000101</v>
          </cell>
          <cell r="C17035" t="str">
            <v>APORTES EN EFECTIVO                     3NC</v>
          </cell>
        </row>
        <row r="17036">
          <cell r="B17036" t="str">
            <v>31010102000101</v>
          </cell>
          <cell r="C17036" t="str">
            <v>REINVERSION DE UTILIDADES               3NC</v>
          </cell>
        </row>
        <row r="17037">
          <cell r="B17037" t="str">
            <v>31010104000101</v>
          </cell>
          <cell r="C17037" t="str">
            <v>RESERVAS                                3NC</v>
          </cell>
        </row>
        <row r="17038">
          <cell r="B17038" t="str">
            <v>31040900000101</v>
          </cell>
          <cell r="C17038" t="str">
            <v>ACCIONES EN TESORERIA                   3NC</v>
          </cell>
        </row>
        <row r="17039">
          <cell r="B17039" t="str">
            <v>31040900000102</v>
          </cell>
          <cell r="C17039" t="str">
            <v>ACCIONES TESORERIA -  (DSCTO PRIMA)ACCIO3NC</v>
          </cell>
        </row>
        <row r="17040">
          <cell r="B17040" t="str">
            <v>32020900000101</v>
          </cell>
          <cell r="C17040" t="str">
            <v>ACCIONES EN TESORERIA                   3NC</v>
          </cell>
        </row>
        <row r="17041">
          <cell r="B17041" t="str">
            <v>33010100000101</v>
          </cell>
          <cell r="C17041" t="str">
            <v>APORTES EN EFECTIVO                     3NC</v>
          </cell>
        </row>
        <row r="17042">
          <cell r="B17042" t="str">
            <v>33010100000111</v>
          </cell>
          <cell r="C17042" t="str">
            <v>GQPRUEBA                                3NC</v>
          </cell>
        </row>
        <row r="17043">
          <cell r="B17043" t="str">
            <v>33010200000101</v>
          </cell>
          <cell r="C17043" t="str">
            <v>UTILIDADES                              3NC</v>
          </cell>
        </row>
        <row r="17044">
          <cell r="B17044" t="str">
            <v>33010200000102</v>
          </cell>
          <cell r="C17044" t="str">
            <v>RESERVA BIENES ADJUDICADOS              3NC</v>
          </cell>
        </row>
        <row r="17045">
          <cell r="B17045" t="str">
            <v>33030100000101</v>
          </cell>
          <cell r="C17045" t="str">
            <v>RESERVAS ESPECIALES                     3NC</v>
          </cell>
        </row>
        <row r="17046">
          <cell r="B17046" t="str">
            <v>33030300000100</v>
          </cell>
          <cell r="C17046" t="str">
            <v>RESERVAS FACULTATIVAS                   3NC</v>
          </cell>
        </row>
        <row r="17047">
          <cell r="B17047" t="str">
            <v>33030900000101</v>
          </cell>
          <cell r="C17047" t="str">
            <v>RESERVAS ESPECIALES                     3NC</v>
          </cell>
        </row>
        <row r="17048">
          <cell r="B17048" t="str">
            <v>36030300000101</v>
          </cell>
          <cell r="C17048" t="str">
            <v>RES NO REALIZADOS ACC - EMP.ASEGURADO   3NC</v>
          </cell>
        </row>
        <row r="17049">
          <cell r="B17049" t="str">
            <v>36030300000102</v>
          </cell>
          <cell r="C17049" t="str">
            <v>RES NO REALIZADOS ACC - SOC.NO FINANC   3NC</v>
          </cell>
        </row>
        <row r="17050">
          <cell r="B17050" t="str">
            <v>36030300000103</v>
          </cell>
          <cell r="C17050" t="str">
            <v>RES NO REALIZADOS PARTICI. F MUTUOS     3NC</v>
          </cell>
        </row>
        <row r="17051">
          <cell r="B17051" t="str">
            <v>36030300000104</v>
          </cell>
          <cell r="C17051" t="str">
            <v>RES NO REALIZADOS OTRAS INV.            3NC</v>
          </cell>
        </row>
        <row r="17052">
          <cell r="B17052" t="str">
            <v>36030300000105</v>
          </cell>
          <cell r="C17052" t="str">
            <v>RES NO REALIZADOS B GLOBALES DPV        3NC</v>
          </cell>
        </row>
        <row r="17053">
          <cell r="B17053" t="str">
            <v>36030300000106</v>
          </cell>
          <cell r="C17053" t="str">
            <v>RES NO REALIZADOS BANCOS CENTRALES      3NC</v>
          </cell>
        </row>
        <row r="17054">
          <cell r="B17054" t="str">
            <v>36030300000107</v>
          </cell>
          <cell r="C17054" t="str">
            <v>RES NO REALIZADOS COFIDE                3NC</v>
          </cell>
        </row>
        <row r="17055">
          <cell r="B17055" t="str">
            <v>36030300000108</v>
          </cell>
          <cell r="C17055" t="str">
            <v>RES NO REALIZADOS ORGA FINAN INTER      3NC</v>
          </cell>
        </row>
        <row r="17056">
          <cell r="B17056" t="str">
            <v>36030300000109</v>
          </cell>
          <cell r="C17056" t="str">
            <v>RES NO REALIZADOS EMI ESF B ORDINARIO   3NC</v>
          </cell>
        </row>
        <row r="17057">
          <cell r="B17057" t="str">
            <v>36030300000110</v>
          </cell>
          <cell r="C17057" t="str">
            <v>RES NO REALIZADOS BAF                   3NC</v>
          </cell>
        </row>
        <row r="17058">
          <cell r="B17058" t="str">
            <v>36030300000112</v>
          </cell>
          <cell r="C17058" t="str">
            <v>RES NO REALIZADOS CERTIF BANCARIOS      3NC</v>
          </cell>
        </row>
        <row r="17059">
          <cell r="B17059" t="str">
            <v>36030300000113</v>
          </cell>
          <cell r="C17059" t="str">
            <v>RES NO REALIZADOS EMI OTRAS SOC- B OR   3NC</v>
          </cell>
        </row>
        <row r="17060">
          <cell r="B17060" t="str">
            <v>36030300000115</v>
          </cell>
          <cell r="C17060" t="str">
            <v>IMPUESTO DIFERIDO PERDIDA POR FLUCTUA   3NC</v>
          </cell>
        </row>
        <row r="17061">
          <cell r="B17061" t="str">
            <v>36030300000116</v>
          </cell>
          <cell r="C17061" t="str">
            <v>RES NO REALIZADOS ACC - EMP.FINANCIER   3NC</v>
          </cell>
        </row>
        <row r="17062">
          <cell r="B17062" t="str">
            <v>36030300000117</v>
          </cell>
          <cell r="C17062" t="str">
            <v>RES NO REALIZADOS B TITULIZADOS         3NC</v>
          </cell>
        </row>
        <row r="17063">
          <cell r="B17063" t="str">
            <v>36030300000118</v>
          </cell>
          <cell r="C17063" t="str">
            <v>RES NO REALIZADOS B ESTRUCTURADOS       3NC</v>
          </cell>
        </row>
        <row r="17064">
          <cell r="B17064" t="str">
            <v>36030300000119</v>
          </cell>
          <cell r="C17064" t="str">
            <v>RES NO REALIZADOS B SUBORDINADOS        3NC</v>
          </cell>
        </row>
        <row r="17065">
          <cell r="B17065" t="str">
            <v>36030300000120</v>
          </cell>
          <cell r="C17065" t="str">
            <v>RES NO REALIZADOS B SOBERANOS DPV       3NC</v>
          </cell>
        </row>
        <row r="17066">
          <cell r="B17066" t="str">
            <v>36030300000121</v>
          </cell>
          <cell r="C17066" t="str">
            <v>VALORIZ BONOS GLOB BRASIL               3NC</v>
          </cell>
        </row>
        <row r="17067">
          <cell r="B17067" t="str">
            <v>36030700000101</v>
          </cell>
          <cell r="C17067" t="str">
            <v>DIFERENCIA CONVERSION OP INVERSION      3NC</v>
          </cell>
        </row>
        <row r="17068">
          <cell r="B17068" t="str">
            <v>36030700000102</v>
          </cell>
          <cell r="C17068" t="str">
            <v>DIFERENCIA CONVERSION OP INVERSION - IFS3 C</v>
          </cell>
        </row>
        <row r="17069">
          <cell r="B17069" t="str">
            <v>36030700000103</v>
          </cell>
          <cell r="C17069" t="str">
            <v>IMP. DIFE. PERD. INSTRUMENTO PATRIMONIO 3 C</v>
          </cell>
        </row>
        <row r="17070">
          <cell r="B17070" t="str">
            <v>36030700000801</v>
          </cell>
          <cell r="C17070" t="str">
            <v>PANAM PROVISION CARTERA                 3NC</v>
          </cell>
        </row>
        <row r="17071">
          <cell r="B17071" t="str">
            <v>36030700000802</v>
          </cell>
          <cell r="C17071" t="str">
            <v>PAN RESERVA IFRS 9                      3NC</v>
          </cell>
        </row>
        <row r="17072">
          <cell r="B17072" t="str">
            <v>36050000000102</v>
          </cell>
          <cell r="C17072" t="str">
            <v>IMPUESTO DIFERIDO RESULTADO NO REALIZ   3NC</v>
          </cell>
        </row>
        <row r="17073">
          <cell r="B17073" t="str">
            <v>36050000000103</v>
          </cell>
          <cell r="C17073" t="str">
            <v>IMPTO DIF RESULTADO TASA DE INTERES     3NC</v>
          </cell>
        </row>
        <row r="17074">
          <cell r="B17074" t="str">
            <v>36050000000104</v>
          </cell>
          <cell r="C17074" t="str">
            <v>VALRZ SWAPS DE TASAS DE INT ASOC.A DPRS 3NC</v>
          </cell>
        </row>
        <row r="17075">
          <cell r="B17075" t="str">
            <v>36050000000201</v>
          </cell>
          <cell r="C17075" t="str">
            <v>RESUL. NO REALIZADO COBERTURA F.E.(CC   3NC</v>
          </cell>
        </row>
        <row r="17076">
          <cell r="B17076" t="str">
            <v>36050000000202</v>
          </cell>
          <cell r="C17076" t="str">
            <v>SWAPS DE TASA DE INTERES                3NC</v>
          </cell>
        </row>
        <row r="17077">
          <cell r="B17077" t="str">
            <v>36050000000203</v>
          </cell>
          <cell r="C17077" t="str">
            <v>RESULTADO NO REALIZADO CCS COBERTURA GOL3NC</v>
          </cell>
        </row>
        <row r="17078">
          <cell r="B17078" t="str">
            <v>36050000000204</v>
          </cell>
          <cell r="C17078" t="str">
            <v>RESULTADO NO REALIZADO CCS COBERTURA BOF3NC</v>
          </cell>
        </row>
        <row r="17079">
          <cell r="B17079" t="str">
            <v>36050000000205</v>
          </cell>
          <cell r="C17079" t="str">
            <v>RESULTADO NO REALIZADO CCS CITIBANK     3NC</v>
          </cell>
        </row>
        <row r="17080">
          <cell r="B17080" t="str">
            <v>36050000000206</v>
          </cell>
          <cell r="C17080" t="str">
            <v>RESULTADO NO REALIZADO CCS JP MORGAN    3NC</v>
          </cell>
        </row>
        <row r="17081">
          <cell r="B17081" t="str">
            <v>36050000000208</v>
          </cell>
          <cell r="C17081" t="str">
            <v>RESULTADO NO REALIZADO CCS COBERTURA BNP3NC</v>
          </cell>
        </row>
        <row r="17082">
          <cell r="B17082" t="str">
            <v>36050000000209</v>
          </cell>
          <cell r="C17082" t="str">
            <v>RESULTADO NO REALIZADO CCS COBERTURA BBV3NC</v>
          </cell>
        </row>
        <row r="17083">
          <cell r="B17083" t="str">
            <v>36050000000401</v>
          </cell>
          <cell r="C17083" t="str">
            <v>FORWARDS                                3NC</v>
          </cell>
        </row>
        <row r="17084">
          <cell r="B17084" t="str">
            <v>36050000000402</v>
          </cell>
          <cell r="C17084" t="str">
            <v>IMPTO DIFERIDO FORWARDS                 3NC</v>
          </cell>
        </row>
        <row r="17085">
          <cell r="B17085" t="str">
            <v>36050000000403</v>
          </cell>
          <cell r="C17085" t="str">
            <v>RESULTADO NO REALIZADO CCS COBERTURA    3 C</v>
          </cell>
        </row>
        <row r="17086">
          <cell r="B17086" t="str">
            <v>36050000000404</v>
          </cell>
          <cell r="C17086" t="str">
            <v>RESULTADO CCS COBERTURA MESA COMPRA     3NC</v>
          </cell>
        </row>
        <row r="17087">
          <cell r="B17087" t="str">
            <v>36050000000405</v>
          </cell>
          <cell r="C17087" t="str">
            <v>RESULTADO CCS COBERTURA MESA VENTA      3NC</v>
          </cell>
        </row>
        <row r="17088">
          <cell r="B17088" t="str">
            <v>36050000000412</v>
          </cell>
          <cell r="C17088" t="str">
            <v>RNR CCS ADEUDADO 2027 BANK OF CHINA     3 C</v>
          </cell>
        </row>
        <row r="17089">
          <cell r="B17089" t="str">
            <v>38010100000101</v>
          </cell>
          <cell r="C17089" t="str">
            <v>UTILIDAD ACUMULADA                      3NC</v>
          </cell>
        </row>
        <row r="17090">
          <cell r="B17090" t="str">
            <v>38010100000801</v>
          </cell>
          <cell r="C17090" t="str">
            <v>PAN UTILIDADES ACUMULADAS DE PERIODOS AN3NC</v>
          </cell>
        </row>
        <row r="17091">
          <cell r="B17091" t="str">
            <v>38010200000101</v>
          </cell>
          <cell r="C17091" t="str">
            <v>UTILIDAD ACUMULADA SIN ACUERDO DE CAPIT 3NC</v>
          </cell>
        </row>
        <row r="17092">
          <cell r="B17092" t="str">
            <v>38010200000802</v>
          </cell>
          <cell r="C17092" t="str">
            <v>RESULTADOS ACUMULADOS                   3NC</v>
          </cell>
        </row>
        <row r="17093">
          <cell r="B17093" t="str">
            <v>38010300000101</v>
          </cell>
          <cell r="C17093" t="str">
            <v>GAN NO REALIZADOS ACC - EMP.ASEGURADOÂ Â3NC</v>
          </cell>
        </row>
        <row r="17094">
          <cell r="B17094" t="str">
            <v>38010300000102</v>
          </cell>
          <cell r="C17094" t="str">
            <v>GAN NO REALIZADOS ACC - SOC.NO          3NC</v>
          </cell>
        </row>
        <row r="17095">
          <cell r="B17095" t="str">
            <v>38010300000103</v>
          </cell>
          <cell r="C17095" t="str">
            <v>GAN NO REALIZADOS PARTICI. F M          3NC</v>
          </cell>
        </row>
        <row r="17096">
          <cell r="B17096" t="str">
            <v>38010300000104</v>
          </cell>
          <cell r="C17096" t="str">
            <v>GAN NO REALIZADOS OTRAS INV.            3NC</v>
          </cell>
        </row>
        <row r="17097">
          <cell r="B17097" t="str">
            <v>38010300000105</v>
          </cell>
          <cell r="C17097" t="str">
            <v>GAN NO REALIZADOS B GLOBALES D          3NC</v>
          </cell>
        </row>
        <row r="17098">
          <cell r="B17098" t="str">
            <v>38010300000106</v>
          </cell>
          <cell r="C17098" t="str">
            <v>GAN NO REALIZADOS BANCOS CENTR          3NC</v>
          </cell>
        </row>
        <row r="17099">
          <cell r="B17099" t="str">
            <v>38010300000107</v>
          </cell>
          <cell r="C17099" t="str">
            <v>GAN NO REALIZADOS COFIDE                3NC</v>
          </cell>
        </row>
        <row r="17100">
          <cell r="B17100" t="str">
            <v>38010300000108</v>
          </cell>
          <cell r="C17100" t="str">
            <v>GAN NO REALIZADOS ORGA FINAN I          3NC</v>
          </cell>
        </row>
        <row r="17101">
          <cell r="B17101" t="str">
            <v>38010300000109</v>
          </cell>
          <cell r="C17101" t="str">
            <v>GAN NO REALIZADOS EMI ESF B ORDINARIO   3NC</v>
          </cell>
        </row>
        <row r="17102">
          <cell r="B17102" t="str">
            <v>38010300000110</v>
          </cell>
          <cell r="C17102" t="str">
            <v>GAN NO REALIZADOS BAF                   3NC</v>
          </cell>
        </row>
        <row r="17103">
          <cell r="B17103" t="str">
            <v>38010300000111</v>
          </cell>
          <cell r="C17103" t="str">
            <v>GAN NO REALIZADOS EMI OTRAS SO          3NC</v>
          </cell>
        </row>
        <row r="17104">
          <cell r="B17104" t="str">
            <v>38010300000113</v>
          </cell>
          <cell r="C17104" t="str">
            <v>GAN NO REALIZADOS B TITULIZADO          3NC</v>
          </cell>
        </row>
        <row r="17105">
          <cell r="B17105" t="str">
            <v>38010300000114</v>
          </cell>
          <cell r="C17105" t="str">
            <v>GAN NO REALIZADOS B ESTRUCTURA          3NC</v>
          </cell>
        </row>
        <row r="17106">
          <cell r="B17106" t="str">
            <v>38010300000115</v>
          </cell>
          <cell r="C17106" t="str">
            <v>GAN NO REALIZADOS B SUBORDINAD          3NC</v>
          </cell>
        </row>
        <row r="17107">
          <cell r="B17107" t="str">
            <v>38010300000116</v>
          </cell>
          <cell r="C17107" t="str">
            <v>GAN NO REALIZADOS B HIPOTECARIOSÂ Â Â Â 3NC</v>
          </cell>
        </row>
        <row r="17108">
          <cell r="B17108" t="str">
            <v>38010300000117</v>
          </cell>
          <cell r="C17108" t="str">
            <v>GAN NO REALIZADOS CERTIF BANCARIOS      3NC</v>
          </cell>
        </row>
        <row r="17109">
          <cell r="B17109" t="str">
            <v>38010300000119</v>
          </cell>
          <cell r="C17109" t="str">
            <v>GAN NO REALIZADOS ACC - EMP.FINANCIERAS 3NC</v>
          </cell>
        </row>
        <row r="17110">
          <cell r="B17110" t="str">
            <v>38010300000120</v>
          </cell>
          <cell r="C17110" t="str">
            <v>GAN NO REALIZADOS B SOBERANOS           3NC</v>
          </cell>
        </row>
        <row r="17111">
          <cell r="B17111" t="str">
            <v>38010300000121</v>
          </cell>
          <cell r="C17111" t="str">
            <v>UTIL  NO REALIZADA BONOS GLOBALES BRASIL3NC</v>
          </cell>
        </row>
        <row r="17112">
          <cell r="B17112" t="str">
            <v>38010300000122</v>
          </cell>
          <cell r="C17112" t="str">
            <v>GAN NO REALIZADA FDO INV SIGMA          3NC</v>
          </cell>
        </row>
        <row r="17113">
          <cell r="B17113" t="str">
            <v>38010300000123</v>
          </cell>
          <cell r="C17113" t="str">
            <v>RES NO REALZ B SOBERANO                 3NC</v>
          </cell>
        </row>
        <row r="17114">
          <cell r="B17114" t="str">
            <v>38010300000124</v>
          </cell>
          <cell r="C17114" t="str">
            <v>UTIL  NO REALIZADA BONOS GLOBALES BRASIL3NC</v>
          </cell>
        </row>
        <row r="17115">
          <cell r="B17115" t="str">
            <v>38010300000125</v>
          </cell>
          <cell r="C17115" t="str">
            <v>RES NO REALIZADOS B GLOBALES DPV        3NC</v>
          </cell>
        </row>
        <row r="17116">
          <cell r="B17116" t="str">
            <v>38010300000126</v>
          </cell>
          <cell r="C17116" t="str">
            <v>GAN NO REALIZADA GLOBALES RESTR PACTO   3NC</v>
          </cell>
        </row>
        <row r="17117">
          <cell r="B17117" t="str">
            <v>38010300000127</v>
          </cell>
          <cell r="C17117" t="str">
            <v>GAN NO REALIZADA BONOS HIPOTECARIOS     3NC</v>
          </cell>
        </row>
        <row r="17118">
          <cell r="B17118" t="str">
            <v>38010300000128</v>
          </cell>
          <cell r="C17118" t="str">
            <v>GAN FLUCT VALOR IFS                     3NC</v>
          </cell>
        </row>
        <row r="17119">
          <cell r="B17119" t="str">
            <v>38010300000129</v>
          </cell>
          <cell r="C17119" t="str">
            <v>GAN FLUCT VALOR BONOS TESORO AMERICANO  3NC</v>
          </cell>
        </row>
        <row r="17120">
          <cell r="B17120" t="str">
            <v>38010300000130</v>
          </cell>
          <cell r="C17120" t="str">
            <v>RES NO REALIZ B GLOBALES DPV ESPECIAL   3NC</v>
          </cell>
        </row>
        <row r="17121">
          <cell r="B17121" t="str">
            <v>38010300000131</v>
          </cell>
          <cell r="C17121" t="str">
            <v>RES NO REALIZ B SOBERANOS DPV ESPECIAL  3NC</v>
          </cell>
        </row>
        <row r="17122">
          <cell r="B17122" t="str">
            <v>38010300000132</v>
          </cell>
          <cell r="C17122" t="str">
            <v>UTIL  NO REALIZADA BONOS GLOBALES BRASIL3NC</v>
          </cell>
        </row>
        <row r="17123">
          <cell r="B17123" t="str">
            <v>38010300000133</v>
          </cell>
          <cell r="C17123" t="str">
            <v>CERTIFICADO DEP TASA VAR PROVISION DE VA3NC</v>
          </cell>
        </row>
        <row r="17124">
          <cell r="B17124" t="str">
            <v>38010300000134</v>
          </cell>
          <cell r="C17124" t="str">
            <v>FLUCT VALOR US TREASURIES DPV ESP       3NC</v>
          </cell>
        </row>
        <row r="17125">
          <cell r="B17125" t="str">
            <v>38010300000135</v>
          </cell>
          <cell r="C17125" t="str">
            <v>FLUCT VALOR US TREASURIES DPV EST       3NC</v>
          </cell>
        </row>
        <row r="17126">
          <cell r="B17126" t="str">
            <v>38010300000136</v>
          </cell>
          <cell r="C17126" t="str">
            <v>GAN NO REAL BONOS CAF                   3NC</v>
          </cell>
        </row>
        <row r="17127">
          <cell r="B17127" t="str">
            <v>38010300000137</v>
          </cell>
          <cell r="C17127" t="str">
            <v>RES NO REALIZADO INVERS ETF DPV         3NC</v>
          </cell>
        </row>
        <row r="17128">
          <cell r="B17128" t="str">
            <v>38010300000138</v>
          </cell>
          <cell r="C17128" t="str">
            <v>FLUCT VALOR BONOS CORP SIST FIN DPV EST 3NC</v>
          </cell>
        </row>
        <row r="17129">
          <cell r="B17129" t="str">
            <v>38010300000139</v>
          </cell>
          <cell r="C17129" t="str">
            <v>FLUCT VALOR BONOS CORP SIST FIN DVP ESP 3NC</v>
          </cell>
        </row>
        <row r="17130">
          <cell r="B17130" t="str">
            <v>38010300000140</v>
          </cell>
          <cell r="C17130" t="str">
            <v>FLUCT VALOR BONOS CORP DPV EST          3NC</v>
          </cell>
        </row>
        <row r="17131">
          <cell r="B17131" t="str">
            <v>38010300000141</v>
          </cell>
          <cell r="C17131" t="str">
            <v>VALORIZ BONOS GOB COLOMBIA DPV MESA     3NC</v>
          </cell>
        </row>
        <row r="17132">
          <cell r="B17132" t="str">
            <v>38010300000142</v>
          </cell>
          <cell r="C17132" t="str">
            <v>VALORIZ BONOS GOB COLOMBIA DPV EST      3NC</v>
          </cell>
        </row>
        <row r="17133">
          <cell r="B17133" t="str">
            <v>38010300000143</v>
          </cell>
          <cell r="C17133" t="str">
            <v>VALORIZ BONOS CORP SIST FIN COLOMBIA DPV3NC</v>
          </cell>
        </row>
        <row r="17134">
          <cell r="B17134" t="str">
            <v>38010300000144</v>
          </cell>
          <cell r="C17134" t="str">
            <v>VALORIZ BONOS CORP SIST FIN COLOMBIA DPV3NC</v>
          </cell>
        </row>
        <row r="17135">
          <cell r="B17135" t="str">
            <v>38010300000145</v>
          </cell>
          <cell r="C17135" t="str">
            <v>VALORIZ BONOS GOB MEXICO DPV MESA       3NC</v>
          </cell>
        </row>
        <row r="17136">
          <cell r="B17136" t="str">
            <v>38010300000146</v>
          </cell>
          <cell r="C17136" t="str">
            <v>VALORIZ BONOS GOB MEXICO DPV EST        3NC</v>
          </cell>
        </row>
        <row r="17137">
          <cell r="B17137" t="str">
            <v>38010300000147</v>
          </cell>
          <cell r="C17137" t="str">
            <v>VALORIZ CDBCRP DPV ESP                  3NC</v>
          </cell>
        </row>
        <row r="17138">
          <cell r="B17138" t="str">
            <v>38010300000148</v>
          </cell>
          <cell r="C17138" t="str">
            <v>VALORIZ BONOS SOBERANOS CARTERA RESTRING3NC</v>
          </cell>
        </row>
        <row r="17139">
          <cell r="B17139" t="str">
            <v>38010300000149</v>
          </cell>
          <cell r="C17139" t="str">
            <v>UTIL VALORIZ BONOS COFIDE DPV ESP       3NC</v>
          </cell>
        </row>
        <row r="17140">
          <cell r="B17140" t="str">
            <v>38010300000150</v>
          </cell>
          <cell r="C17140" t="str">
            <v>UTIL VALORIZ BONOS ORD SOC NO FIN DPV ES3NC</v>
          </cell>
        </row>
        <row r="17141">
          <cell r="B17141" t="str">
            <v>38010300000151</v>
          </cell>
          <cell r="C17141" t="str">
            <v>UTIL VALORIZ FONDOS MUTUOS DPV ESP      3NC</v>
          </cell>
        </row>
        <row r="17142">
          <cell r="B17142" t="str">
            <v>38010300000152</v>
          </cell>
          <cell r="C17142" t="str">
            <v>RES NO REALIZADOS TITUL DVP EST         3NC</v>
          </cell>
        </row>
        <row r="17143">
          <cell r="B17143" t="str">
            <v>38010300000153</v>
          </cell>
          <cell r="C17143" t="str">
            <v>UTIL VAL BONOS COFIDE DPV EST           3NC</v>
          </cell>
        </row>
        <row r="17144">
          <cell r="B17144" t="str">
            <v>38010300000154</v>
          </cell>
          <cell r="C17144" t="str">
            <v>UTIL VAL ACC COM HOLDING ESTRATEGICO    3NC</v>
          </cell>
        </row>
        <row r="17145">
          <cell r="B17145" t="str">
            <v>38010300000155</v>
          </cell>
          <cell r="C17145" t="str">
            <v>GNR  CERTIFICADO DE DEPOSITO A VENCIMIEN3NC</v>
          </cell>
        </row>
        <row r="17146">
          <cell r="B17146" t="str">
            <v>38010300000156</v>
          </cell>
          <cell r="C17146" t="str">
            <v>UTIL VALORIZ GLOB COLOMBIA DISPO VENTA  3NC</v>
          </cell>
        </row>
        <row r="17147">
          <cell r="B17147" t="str">
            <v>38010300000157</v>
          </cell>
          <cell r="C17147" t="str">
            <v>UTIL VALORIZ GLOB COLOMBIA DPV ESPECIAL 3NC</v>
          </cell>
        </row>
        <row r="17148">
          <cell r="B17148" t="str">
            <v>38010300000158</v>
          </cell>
          <cell r="C17148" t="str">
            <v>UTIL VALORIZ GLOB COLOMBIA DPV ESTRATEGI3NC</v>
          </cell>
        </row>
        <row r="17149">
          <cell r="B17149" t="str">
            <v>38010300000159</v>
          </cell>
          <cell r="C17149" t="str">
            <v>UTIL VALORIZ GLOB MEXICO DISPO VENTA    3NC</v>
          </cell>
        </row>
        <row r="17150">
          <cell r="B17150" t="str">
            <v>38010300000160</v>
          </cell>
          <cell r="C17150" t="str">
            <v>UTIL VALORIZ GLOB MEXICO DPV ESPECIAL   3NC</v>
          </cell>
        </row>
        <row r="17151">
          <cell r="B17151" t="str">
            <v>38010300000161</v>
          </cell>
          <cell r="C17151" t="str">
            <v>UTIL VALORIZ GLOB MEXICO DPV ESTRATEGICO3NC</v>
          </cell>
        </row>
        <row r="17152">
          <cell r="B17152" t="str">
            <v>38010300000162</v>
          </cell>
          <cell r="C17152" t="str">
            <v>UTIL VALORIZ GLOB CHILE DISPO VENTA     3NC</v>
          </cell>
        </row>
        <row r="17153">
          <cell r="B17153" t="str">
            <v>38010300000163</v>
          </cell>
          <cell r="C17153" t="str">
            <v>UTIL VALORIZ GLOB CHILE DPV ESPECIAL    3NC</v>
          </cell>
        </row>
        <row r="17154">
          <cell r="B17154" t="str">
            <v>38010300000164</v>
          </cell>
          <cell r="C17154" t="str">
            <v>UTIL VALORIZ GLOB CHILE DPV ESTRATEGICO 3NC</v>
          </cell>
        </row>
        <row r="17155">
          <cell r="B17155" t="str">
            <v>38010300000165</v>
          </cell>
          <cell r="C17155" t="str">
            <v>UTIL VALORIZ CDBCRP ALM DPV ESTRATEGICO 3NC</v>
          </cell>
        </row>
        <row r="17156">
          <cell r="B17156" t="str">
            <v>38010300000166</v>
          </cell>
          <cell r="C17156" t="str">
            <v>UTIL VALORIZ BONOS SOB ALM DPV ESTRATEGI3NC</v>
          </cell>
        </row>
        <row r="17157">
          <cell r="B17157" t="str">
            <v>38010300000167</v>
          </cell>
          <cell r="C17157" t="str">
            <v>UTIL VALORIZ BONOS TESORO US ALM DPV EST3NC</v>
          </cell>
        </row>
        <row r="17158">
          <cell r="B17158" t="str">
            <v>38010300000168</v>
          </cell>
          <cell r="C17158" t="str">
            <v>UTIL VALORIZ BONOS GLOB PERU ALM DPV EST3NC</v>
          </cell>
        </row>
        <row r="17159">
          <cell r="B17159" t="str">
            <v>38010300000169</v>
          </cell>
          <cell r="C17159" t="str">
            <v>UTIL VALORIZ GLOB COLOMBIA ALM DPV ESTRA3NC</v>
          </cell>
        </row>
        <row r="17160">
          <cell r="B17160" t="str">
            <v>38010300000170</v>
          </cell>
          <cell r="C17160" t="str">
            <v>UTIL VALORIZ GLOB MEXICO ALM DPV ESTRATE3NC</v>
          </cell>
        </row>
        <row r="17161">
          <cell r="B17161" t="str">
            <v>38010300000171</v>
          </cell>
          <cell r="C17161" t="str">
            <v>UTIL VALORIZ GLOB CHILE ALM DPV ESTRATET3NC</v>
          </cell>
        </row>
        <row r="17162">
          <cell r="B17162" t="str">
            <v>38010300000172</v>
          </cell>
          <cell r="C17162" t="str">
            <v>UTIL VALORIZ GLOB BRASIL ALM DPV ESTRATE3NC</v>
          </cell>
        </row>
        <row r="17163">
          <cell r="B17163" t="str">
            <v>38010300000173</v>
          </cell>
          <cell r="C17163" t="str">
            <v>GANANCIA VALORIZACION FFMM ESTRATEGICO  3NC</v>
          </cell>
        </row>
        <row r="17164">
          <cell r="B17164" t="str">
            <v>38010300000174</v>
          </cell>
          <cell r="C17164" t="str">
            <v>UTIL VALORIZ GLOB COLOMBIA IB-RESTRINGID3NC</v>
          </cell>
        </row>
        <row r="17165">
          <cell r="B17165" t="str">
            <v>38010300000175</v>
          </cell>
          <cell r="C17165" t="str">
            <v>GANANCIA BONOS SOBERANOS A VENCIMIENTO  3NC</v>
          </cell>
        </row>
        <row r="17166">
          <cell r="B17166" t="str">
            <v>38010300000176</v>
          </cell>
          <cell r="C17166" t="str">
            <v>UTIL VAL CD YANKEE DIS VENTA            3NC</v>
          </cell>
        </row>
        <row r="17167">
          <cell r="B17167" t="str">
            <v>38010300000177</v>
          </cell>
          <cell r="C17167" t="str">
            <v>UTIL VAL LETRAS MEF ALM ESTRAT          3NC</v>
          </cell>
        </row>
        <row r="17168">
          <cell r="B17168" t="str">
            <v>38010300000178</v>
          </cell>
          <cell r="C17168" t="str">
            <v>RES NO REALIZADOS CDBLD                 3NC</v>
          </cell>
        </row>
        <row r="17169">
          <cell r="B17169" t="str">
            <v>38010300000179</v>
          </cell>
          <cell r="C17169" t="str">
            <v>PER NO REALIZADOS Bono CORP Org Fin Int 3NC</v>
          </cell>
        </row>
        <row r="17170">
          <cell r="B17170" t="str">
            <v>38010300000180</v>
          </cell>
          <cell r="C17170" t="str">
            <v>RES NO REALIZADOS B GLOBALES DPV  PLUS U3NC</v>
          </cell>
        </row>
        <row r="17171">
          <cell r="B17171" t="str">
            <v>38010300000181</v>
          </cell>
          <cell r="C17171" t="str">
            <v>RES NO REALIZADOS BONOS SOBERANOS DPV PL3NC</v>
          </cell>
        </row>
        <row r="17172">
          <cell r="B17172" t="str">
            <v>38010300000182</v>
          </cell>
          <cell r="C17172" t="str">
            <v>RES NO REALIZADOS BONOS DEL TESORO USA D3NC</v>
          </cell>
        </row>
        <row r="17173">
          <cell r="B17173" t="str">
            <v>38010300000183</v>
          </cell>
          <cell r="C17173" t="str">
            <v>FLUCT  Positiva BONOS CORP SIST FIN ALM 3NC</v>
          </cell>
        </row>
        <row r="17174">
          <cell r="B17174" t="str">
            <v>38010300000184</v>
          </cell>
          <cell r="C17174" t="str">
            <v>FLUCT  Positiva BONOS CORP ORD ALM EST  3NC</v>
          </cell>
        </row>
        <row r="17175">
          <cell r="B17175" t="str">
            <v>38010300000201</v>
          </cell>
          <cell r="C17175" t="str">
            <v>IMPUESTO DIFERIDO GANANCIA POR FLUCTU   3NC</v>
          </cell>
        </row>
        <row r="17176">
          <cell r="B17176" t="str">
            <v>38010300000202</v>
          </cell>
          <cell r="C17176" t="str">
            <v>RES NO REALIZADOS CORP EMP FINANC DPLUS 3NC</v>
          </cell>
        </row>
        <row r="17177">
          <cell r="B17177" t="str">
            <v>38010300000203</v>
          </cell>
          <cell r="C17177" t="str">
            <v>RES NO REALIZADOS CORP SOC NO FINANC DPL3NC</v>
          </cell>
        </row>
        <row r="17178">
          <cell r="B17178" t="str">
            <v>38010300000204</v>
          </cell>
          <cell r="C17178" t="str">
            <v>UTIL VALORIZ BONOS SOB DPV BANKING BOOK 3NC</v>
          </cell>
        </row>
        <row r="17179">
          <cell r="B17179" t="str">
            <v>38010300000205</v>
          </cell>
          <cell r="C17179" t="str">
            <v>MDC UTIL VAL LETRAS GLOBALES DPV ESPECIA3NC</v>
          </cell>
        </row>
        <row r="17180">
          <cell r="B17180" t="str">
            <v>38010300000207</v>
          </cell>
          <cell r="C17180" t="str">
            <v>MDC UTIL VAL CD NEGOC ALM EST           3NC</v>
          </cell>
        </row>
        <row r="17181">
          <cell r="B17181" t="str">
            <v>38010300000208</v>
          </cell>
          <cell r="C17181" t="str">
            <v>MDC VAL GAN BONOS SOB DPV ALM ESTRA     3NC</v>
          </cell>
        </row>
        <row r="17182">
          <cell r="B17182" t="str">
            <v>38010300000209</v>
          </cell>
          <cell r="C17182" t="str">
            <v>MDC VAL GAN BONOS SOB DPV DVP ESTRA     3NC</v>
          </cell>
        </row>
        <row r="17183">
          <cell r="B17183" t="str">
            <v>38010300000210</v>
          </cell>
          <cell r="C17183" t="str">
            <v>MDC VAL GAN BONOS SOB DPV BANKING BOOK  3NC</v>
          </cell>
        </row>
        <row r="17184">
          <cell r="B17184" t="str">
            <v>38010300000211</v>
          </cell>
          <cell r="C17184" t="str">
            <v>RES NO REALIZADOS CDBCRP DPVESTRAT      3NC</v>
          </cell>
        </row>
        <row r="17185">
          <cell r="B17185" t="str">
            <v>38010300000212</v>
          </cell>
          <cell r="C17185" t="str">
            <v>UTIL VAL CD ION ALM EST                 3 C</v>
          </cell>
        </row>
        <row r="17186">
          <cell r="B17186" t="str">
            <v>38010300000213</v>
          </cell>
          <cell r="C17186" t="str">
            <v>UTIL VAL CERTIFICADOS DEPÃ“SITO TASA VAR3NC</v>
          </cell>
        </row>
        <row r="17187">
          <cell r="B17187" t="str">
            <v>38010300000214</v>
          </cell>
          <cell r="C17187" t="str">
            <v>UTIL VAL CERTIFICADOS DEPÃ“SITO         3NC</v>
          </cell>
        </row>
        <row r="17188">
          <cell r="B17188" t="str">
            <v>38010300000215</v>
          </cell>
          <cell r="C17188" t="str">
            <v>MDC  UTIL VALORIZACION CDR ALMESTRAT    3NC</v>
          </cell>
        </row>
        <row r="17189">
          <cell r="B17189" t="str">
            <v>38010300000216</v>
          </cell>
          <cell r="C17189" t="str">
            <v>MDC UTIL VALORIZ CDBCRP TRADING MESA    3NC</v>
          </cell>
        </row>
        <row r="17190">
          <cell r="B17190" t="str">
            <v>38010300000217</v>
          </cell>
          <cell r="C17190" t="str">
            <v>MDC UTIL VALORIZ BONOS GLOB PERUANOS RES3 C</v>
          </cell>
        </row>
        <row r="17191">
          <cell r="B17191" t="str">
            <v>38010300000218</v>
          </cell>
          <cell r="C17191" t="str">
            <v>GAN NO REALIZADA BONO SUBORDINADO DPV FI3NC</v>
          </cell>
        </row>
        <row r="17192">
          <cell r="B17192" t="str">
            <v>38010300000801</v>
          </cell>
          <cell r="C17192" t="str">
            <v>GAN FLUCTUACION VALOR IFS-PANAMA        3NC</v>
          </cell>
        </row>
        <row r="17193">
          <cell r="B17193" t="str">
            <v>38010300000802</v>
          </cell>
          <cell r="C17193" t="str">
            <v>GAN FLUCTUACION VALOR NOTAS CREDIT SUISS3NC</v>
          </cell>
        </row>
        <row r="17194">
          <cell r="B17194" t="str">
            <v>38010300000803</v>
          </cell>
          <cell r="C17194" t="str">
            <v>PAN BONOS GLOBALES PERUANOS             3NC</v>
          </cell>
        </row>
        <row r="17195">
          <cell r="B17195" t="str">
            <v>38010300000804</v>
          </cell>
          <cell r="C17195" t="str">
            <v>PAN BONOS GLOBALES BRASIL               3NC</v>
          </cell>
        </row>
        <row r="17196">
          <cell r="B17196" t="str">
            <v>38010300000805</v>
          </cell>
          <cell r="C17196" t="str">
            <v>GAN FLUCTUACION VALOR NOTAS CREDIT SUISS3NC</v>
          </cell>
        </row>
        <row r="17197">
          <cell r="B17197" t="str">
            <v>38010300000806</v>
          </cell>
          <cell r="C17197" t="str">
            <v>PAN VAL ACCIONES RPI                    3NC</v>
          </cell>
        </row>
        <row r="17198">
          <cell r="B17198" t="str">
            <v>38010300000807</v>
          </cell>
          <cell r="C17198" t="str">
            <v>PAN VAL ACCIONES RPS                    3NC</v>
          </cell>
        </row>
        <row r="17199">
          <cell r="B17199" t="str">
            <v>38010400000101</v>
          </cell>
          <cell r="C17199" t="str">
            <v>GANANA. PART. PATR. INV. DEDU. DEL PA   3NC</v>
          </cell>
        </row>
        <row r="17200">
          <cell r="B17200" t="str">
            <v>38010400000102</v>
          </cell>
          <cell r="C17200" t="str">
            <v>GANANCIA BONOS SOBERANOS A VENCIMIENTO  3NC</v>
          </cell>
        </row>
        <row r="17201">
          <cell r="B17201" t="str">
            <v>38010400000103</v>
          </cell>
          <cell r="C17201" t="str">
            <v>GAN NO Â REALIZADOS BONO CORPORATIVO ORG3NC</v>
          </cell>
        </row>
        <row r="17202">
          <cell r="B17202" t="str">
            <v>38010500000101</v>
          </cell>
          <cell r="C17202" t="str">
            <v>GANAN PART PATR INV NO DEDUC P.EFECTI   3NC</v>
          </cell>
        </row>
        <row r="17203">
          <cell r="B17203" t="str">
            <v>38010500000801</v>
          </cell>
          <cell r="C17203" t="str">
            <v>GANAN PART PATR INV NO DEDUC P.EFECTI   3NC</v>
          </cell>
        </row>
        <row r="17204">
          <cell r="B17204" t="str">
            <v>38020100000101</v>
          </cell>
          <cell r="C17204" t="str">
            <v>(PERDIDA ACUMULADA)                     3NC</v>
          </cell>
        </row>
        <row r="17205">
          <cell r="B17205" t="str">
            <v>38020100000801</v>
          </cell>
          <cell r="C17205" t="str">
            <v>PAN PERDIDAS ACUMULADAS DE PERIODOS ANTE3NC</v>
          </cell>
        </row>
        <row r="17206">
          <cell r="B17206" t="str">
            <v>38020203060101</v>
          </cell>
          <cell r="C17206" t="str">
            <v>PROV.FLUCT.ACCIONES - EMP.ASEGURADORA   3NC</v>
          </cell>
        </row>
        <row r="17207">
          <cell r="B17207" t="str">
            <v>38020203070101</v>
          </cell>
          <cell r="C17207" t="str">
            <v>PROV.FLUCT.ACCIONES - SOC.NO FINANCIE   3NC</v>
          </cell>
        </row>
        <row r="17208">
          <cell r="B17208" t="str">
            <v>38020203190101</v>
          </cell>
          <cell r="C17208" t="str">
            <v>PROV FLUCTUAC. VALORES OTRAS INV.       3NC</v>
          </cell>
        </row>
        <row r="17209">
          <cell r="B17209" t="str">
            <v>38020204010101</v>
          </cell>
          <cell r="C17209" t="str">
            <v>PERDIDA FLUCT BONOS GLOBALES DISP VTA   3NC</v>
          </cell>
        </row>
        <row r="17210">
          <cell r="B17210" t="str">
            <v>38020204020101</v>
          </cell>
          <cell r="C17210" t="str">
            <v>PROV. BANCOS CENTRALES                  3NC</v>
          </cell>
        </row>
        <row r="17211">
          <cell r="B17211" t="str">
            <v>38020204030101</v>
          </cell>
          <cell r="C17211" t="str">
            <v>PROV. COFIDE                            3NC</v>
          </cell>
        </row>
        <row r="17212">
          <cell r="B17212" t="str">
            <v>38020204030102</v>
          </cell>
          <cell r="C17212" t="str">
            <v>PROV. ORGA FINANCIEROS INTERNACIONALE   3NC</v>
          </cell>
        </row>
        <row r="17213">
          <cell r="B17213" t="str">
            <v>38020204050101</v>
          </cell>
          <cell r="C17213" t="str">
            <v>PROV. EMI ESF BONOS ORDINARIOS          3NC</v>
          </cell>
        </row>
        <row r="17214">
          <cell r="B17214" t="str">
            <v>38020204050102</v>
          </cell>
          <cell r="C17214" t="str">
            <v>PROV. BONOS DE A. FINANCIERO            3NC</v>
          </cell>
        </row>
        <row r="17215">
          <cell r="B17215" t="str">
            <v>38020204050104</v>
          </cell>
          <cell r="C17215" t="str">
            <v>PROV. BONOS HIPOTECARIOS                3NC</v>
          </cell>
        </row>
        <row r="17216">
          <cell r="B17216" t="str">
            <v>38020204050105</v>
          </cell>
          <cell r="C17216" t="str">
            <v>PROV. CERTIFICADOS BANCARIOS            3NC</v>
          </cell>
        </row>
        <row r="17217">
          <cell r="B17217" t="str">
            <v>38020204070101</v>
          </cell>
          <cell r="C17217" t="str">
            <v>PROV.FLUCT.BONOS - SOC.NO FINANCIERAS   3NC</v>
          </cell>
        </row>
        <row r="17218">
          <cell r="B17218" t="str">
            <v>38020204180101</v>
          </cell>
          <cell r="C17218" t="str">
            <v>PROV. VALORE Y TITULOS CON PACTO DE     3NC</v>
          </cell>
        </row>
        <row r="17219">
          <cell r="B17219" t="str">
            <v>38020204190101</v>
          </cell>
          <cell r="C17219" t="str">
            <v>IMPUESTO DIFERIDO-P‚RDIDA POR FLUCTUA   3NC</v>
          </cell>
        </row>
        <row r="17220">
          <cell r="B17220" t="str">
            <v>38020300000101</v>
          </cell>
          <cell r="C17220" t="str">
            <v>380203000001010000                      3NC</v>
          </cell>
        </row>
        <row r="17221">
          <cell r="B17221" t="str">
            <v>38020300000102</v>
          </cell>
          <cell r="C17221" t="str">
            <v>RES NO REALIZADO INVERS ETF DPV         3NC</v>
          </cell>
        </row>
        <row r="17222">
          <cell r="B17222" t="str">
            <v>38020400000101</v>
          </cell>
          <cell r="C17222" t="str">
            <v>PER NO REALIZADOS ACC - EMP.ASEGURADO   3NC</v>
          </cell>
        </row>
        <row r="17223">
          <cell r="B17223" t="str">
            <v>38020400000102</v>
          </cell>
          <cell r="C17223" t="str">
            <v>PER NO REALIZADOS ACC - SOC.NO          3NC</v>
          </cell>
        </row>
        <row r="17224">
          <cell r="B17224" t="str">
            <v>38020400000103</v>
          </cell>
          <cell r="C17224" t="str">
            <v>PER NO REALIZADOS PARTICI. F MUTUOS     3NC</v>
          </cell>
        </row>
        <row r="17225">
          <cell r="B17225" t="str">
            <v>38020400000104</v>
          </cell>
          <cell r="C17225" t="str">
            <v>PER NO REALIZADOS OTRAS INV.            3NC</v>
          </cell>
        </row>
        <row r="17226">
          <cell r="B17226" t="str">
            <v>38020400000105</v>
          </cell>
          <cell r="C17226" t="str">
            <v>PER NO REALIZADOS B GLOBALES DPV        3NC</v>
          </cell>
        </row>
        <row r="17227">
          <cell r="B17227" t="str">
            <v>38020400000106</v>
          </cell>
          <cell r="C17227" t="str">
            <v>PER NO REALIZADOS BANCOS CENTR          3NC</v>
          </cell>
        </row>
        <row r="17228">
          <cell r="B17228" t="str">
            <v>38020400000107</v>
          </cell>
          <cell r="C17228" t="str">
            <v>MDC PER NO REALIZADOS COFIDE            3NC</v>
          </cell>
        </row>
        <row r="17229">
          <cell r="B17229" t="str">
            <v>38020400000108</v>
          </cell>
          <cell r="C17229" t="str">
            <v>PER NO REALIZADOS ORGA FINAN I          3NC</v>
          </cell>
        </row>
        <row r="17230">
          <cell r="B17230" t="str">
            <v>38020400000109</v>
          </cell>
          <cell r="C17230" t="str">
            <v>PER NO REALIZADOS EMI ESF B ORDINARIO   3NC</v>
          </cell>
        </row>
        <row r="17231">
          <cell r="B17231" t="str">
            <v>38020400000110</v>
          </cell>
          <cell r="C17231" t="str">
            <v>MDC PER NO REALIZADOS BAF               3NC</v>
          </cell>
        </row>
        <row r="17232">
          <cell r="B17232" t="str">
            <v>38020400000111</v>
          </cell>
          <cell r="C17232" t="str">
            <v>PER NO REALIZADOS EMI OTRAS SOC- B OR   3NC</v>
          </cell>
        </row>
        <row r="17233">
          <cell r="B17233" t="str">
            <v>38020400000113</v>
          </cell>
          <cell r="C17233" t="str">
            <v>PER NO REALIZADOS B TITULIZADOSÂ Â Â Â Â3NC</v>
          </cell>
        </row>
        <row r="17234">
          <cell r="B17234" t="str">
            <v>38020400000114</v>
          </cell>
          <cell r="C17234" t="str">
            <v>PER NO REALIZADOS B ESTRUCTURADOS       3NC</v>
          </cell>
        </row>
        <row r="17235">
          <cell r="B17235" t="str">
            <v>38020400000115</v>
          </cell>
          <cell r="C17235" t="str">
            <v>PER NO REALIZADOS B SUBORDINAD $  1210383NC</v>
          </cell>
        </row>
        <row r="17236">
          <cell r="B17236" t="str">
            <v>38020400000116</v>
          </cell>
          <cell r="C17236" t="str">
            <v>PER NO REALIZADOS B HIPOTECARIOSÂ Â Â Â 3NC</v>
          </cell>
        </row>
        <row r="17237">
          <cell r="B17237" t="str">
            <v>38020400000117</v>
          </cell>
          <cell r="C17237" t="str">
            <v>PER NO REALIZADOS CERTIF BANCARIOS      3NC</v>
          </cell>
        </row>
        <row r="17238">
          <cell r="B17238" t="str">
            <v>38020400000119</v>
          </cell>
          <cell r="C17238" t="str">
            <v>PER NO REALIZADOS ACC - EMP.FINANCIERAS 3NC</v>
          </cell>
        </row>
        <row r="17239">
          <cell r="B17239" t="str">
            <v>38020400000120</v>
          </cell>
          <cell r="C17239" t="str">
            <v>PER NO REALIZADOS B SOBERANOS           3NC</v>
          </cell>
        </row>
        <row r="17240">
          <cell r="B17240" t="str">
            <v>38020400000121</v>
          </cell>
          <cell r="C17240" t="str">
            <v>PERD NO REALIZADA BONOS GLOBALES BRASIL 3NC</v>
          </cell>
        </row>
        <row r="17241">
          <cell r="B17241" t="str">
            <v>38020400000122</v>
          </cell>
          <cell r="C17241" t="str">
            <v>MDC PERD NO REALIZADA FDO INV SIGMA     3NC</v>
          </cell>
        </row>
        <row r="17242">
          <cell r="B17242" t="str">
            <v>38020400000123</v>
          </cell>
          <cell r="C17242" t="str">
            <v>PER RES NO REALZ B SOBERANO             3NC</v>
          </cell>
        </row>
        <row r="17243">
          <cell r="B17243" t="str">
            <v>38020400000124</v>
          </cell>
          <cell r="C17243" t="str">
            <v>PERD NO REALIZADA BONOS GLOBALES BRASIL 3NC</v>
          </cell>
        </row>
        <row r="17244">
          <cell r="B17244" t="str">
            <v>38020400000125</v>
          </cell>
          <cell r="C17244" t="str">
            <v>RES NO REALIZADOS B GLOBALES DPV        3NC</v>
          </cell>
        </row>
        <row r="17245">
          <cell r="B17245" t="str">
            <v>38020400000126</v>
          </cell>
          <cell r="C17245" t="str">
            <v>PER NO REALIZADA GLOBALES RESTR PACTO   3NC</v>
          </cell>
        </row>
        <row r="17246">
          <cell r="B17246" t="str">
            <v>38020400000127</v>
          </cell>
          <cell r="C17246" t="str">
            <v>PER NO REALIZADA BONOS HIPOTECARIOS     3NC</v>
          </cell>
        </row>
        <row r="17247">
          <cell r="B17247" t="str">
            <v>38020400000128</v>
          </cell>
          <cell r="C17247" t="str">
            <v>PER FLUCT VALOR IFS                     3NC</v>
          </cell>
        </row>
        <row r="17248">
          <cell r="B17248" t="str">
            <v>38020400000129</v>
          </cell>
          <cell r="C17248" t="str">
            <v>PER FLUCT VALOR BONOS TESORO AMERICANO  3NC</v>
          </cell>
        </row>
        <row r="17249">
          <cell r="B17249" t="str">
            <v>38020400000130</v>
          </cell>
          <cell r="C17249" t="str">
            <v>RES NO REALIZ B GLOBALES DPV ESPECIAL   3NC</v>
          </cell>
        </row>
        <row r="17250">
          <cell r="B17250" t="str">
            <v>38020400000131</v>
          </cell>
          <cell r="C17250" t="str">
            <v>RES NO REALIZ B SOBERANOS DPV ESPECIAL  3NC</v>
          </cell>
        </row>
        <row r="17251">
          <cell r="B17251" t="str">
            <v>38020400000132</v>
          </cell>
          <cell r="C17251" t="str">
            <v>PERD NO REALIZADA BONOS GLOBALES BRASIL 3NC</v>
          </cell>
        </row>
        <row r="17252">
          <cell r="B17252" t="str">
            <v>38020400000133</v>
          </cell>
          <cell r="C17252" t="str">
            <v>CERTIFICADO DEPTASA VAR PROVISION DE VAL3NC</v>
          </cell>
        </row>
        <row r="17253">
          <cell r="B17253" t="str">
            <v>38020400000134</v>
          </cell>
          <cell r="C17253" t="str">
            <v>FLUCT VALOR US TREASURIES DPV ESP       3NC</v>
          </cell>
        </row>
        <row r="17254">
          <cell r="B17254" t="str">
            <v>38020400000135</v>
          </cell>
          <cell r="C17254" t="str">
            <v>FLUCT VALOR US TREASURIES DPV EST       3NC</v>
          </cell>
        </row>
        <row r="17255">
          <cell r="B17255" t="str">
            <v>38020400000136</v>
          </cell>
          <cell r="C17255" t="str">
            <v>FLUCT VALOR BONOS CORP SIST FIN DPV EST 3NC</v>
          </cell>
        </row>
        <row r="17256">
          <cell r="B17256" t="str">
            <v>38020400000137</v>
          </cell>
          <cell r="C17256" t="str">
            <v>FLUCT VALOR BONOS CORP SIST FIN DVP ESP 3NC</v>
          </cell>
        </row>
        <row r="17257">
          <cell r="B17257" t="str">
            <v>38020400000138</v>
          </cell>
          <cell r="C17257" t="str">
            <v>FLUCT VALOR BONOS CORP DPV EST          3NC</v>
          </cell>
        </row>
        <row r="17258">
          <cell r="B17258" t="str">
            <v>38020400000139</v>
          </cell>
          <cell r="C17258" t="str">
            <v>VALORIZ BONOS GOB COLOMBIA DPV MESA     3NC</v>
          </cell>
        </row>
        <row r="17259">
          <cell r="B17259" t="str">
            <v>38020400000140</v>
          </cell>
          <cell r="C17259" t="str">
            <v>VALORIZ BONOS GOB COLOMBIA DPV EST      3NC</v>
          </cell>
        </row>
        <row r="17260">
          <cell r="B17260" t="str">
            <v>38020400000141</v>
          </cell>
          <cell r="C17260" t="str">
            <v>VALORIZ BONOS CORP SIST FIN COLOMBIA DPV3NC</v>
          </cell>
        </row>
        <row r="17261">
          <cell r="B17261" t="str">
            <v>38020400000142</v>
          </cell>
          <cell r="C17261" t="str">
            <v>VALORIZ BONOS CORP SIST FIN COLOMBIA DPV3NC</v>
          </cell>
        </row>
        <row r="17262">
          <cell r="B17262" t="str">
            <v>38020400000143</v>
          </cell>
          <cell r="C17262" t="str">
            <v>VALORIZ BONOS GOB MEXICO DPV MESA       3NC</v>
          </cell>
        </row>
        <row r="17263">
          <cell r="B17263" t="str">
            <v>38020400000144</v>
          </cell>
          <cell r="C17263" t="str">
            <v>VALORIZ BONOS GOB MEXICO DPV EST        3NC</v>
          </cell>
        </row>
        <row r="17264">
          <cell r="B17264" t="str">
            <v>38020400000145</v>
          </cell>
          <cell r="C17264" t="str">
            <v>VALORIZ CDBCRP DPV ESP                  3NC</v>
          </cell>
        </row>
        <row r="17265">
          <cell r="B17265" t="str">
            <v>38020400000146</v>
          </cell>
          <cell r="C17265" t="str">
            <v>VALORIZ BONOS SOBERANOS CARTERA RESTRING3NC</v>
          </cell>
        </row>
        <row r="17266">
          <cell r="B17266" t="str">
            <v>38020400000147</v>
          </cell>
          <cell r="C17266" t="str">
            <v>PERD VALORIZ BONOS COFIDE DPV ESP       3NC</v>
          </cell>
        </row>
        <row r="17267">
          <cell r="B17267" t="str">
            <v>38020400000148</v>
          </cell>
          <cell r="C17267" t="str">
            <v>PERD VALORIZ BONOS ORD SOC NO FIN DPV ES3NC</v>
          </cell>
        </row>
        <row r="17268">
          <cell r="B17268" t="str">
            <v>38020400000149</v>
          </cell>
          <cell r="C17268" t="str">
            <v>PERD VALORIZ FONDOS MUTUOS DPV ESP      3NC</v>
          </cell>
        </row>
        <row r="17269">
          <cell r="B17269" t="str">
            <v>38020400000150</v>
          </cell>
          <cell r="C17269" t="str">
            <v>RES NO REALIZADOS TITUL DVP EST         3NC</v>
          </cell>
        </row>
        <row r="17270">
          <cell r="B17270" t="str">
            <v>38020400000151</v>
          </cell>
          <cell r="C17270" t="str">
            <v>PERD VAL BONOS COFIDE DPV EST           3NC</v>
          </cell>
        </row>
        <row r="17271">
          <cell r="B17271" t="str">
            <v>38020400000152</v>
          </cell>
          <cell r="C17271" t="str">
            <v>PERD VAL ACC COM HOLDING ESTRATEGICO    3NC</v>
          </cell>
        </row>
        <row r="17272">
          <cell r="B17272" t="str">
            <v>38020400000153</v>
          </cell>
          <cell r="C17272" t="str">
            <v>PNR  CERTIFICADO DE DEPOSITO A VENCIMIEN3NC</v>
          </cell>
        </row>
        <row r="17273">
          <cell r="B17273" t="str">
            <v>38020400000154</v>
          </cell>
          <cell r="C17273" t="str">
            <v>PERD VALORIZ GLOB COLOMBIA DISPO VENTA  3NC</v>
          </cell>
        </row>
        <row r="17274">
          <cell r="B17274" t="str">
            <v>38020400000155</v>
          </cell>
          <cell r="C17274" t="str">
            <v>PERD VALORIZ GLOB COLOMBIA DPV ESPECIAL 3NC</v>
          </cell>
        </row>
        <row r="17275">
          <cell r="B17275" t="str">
            <v>38020400000156</v>
          </cell>
          <cell r="C17275" t="str">
            <v>PERD VALORIZ GLOB COLOMBIA DPV ESTRATEGI3NC</v>
          </cell>
        </row>
        <row r="17276">
          <cell r="B17276" t="str">
            <v>38020400000157</v>
          </cell>
          <cell r="C17276" t="str">
            <v>PERD VALORIZ GLOB MEXICO DISPO VENTA    3NC</v>
          </cell>
        </row>
        <row r="17277">
          <cell r="B17277" t="str">
            <v>38020400000158</v>
          </cell>
          <cell r="C17277" t="str">
            <v>PERD VALORIZ GLOB MEXICO DPV ESPECIAL   3NC</v>
          </cell>
        </row>
        <row r="17278">
          <cell r="B17278" t="str">
            <v>38020400000159</v>
          </cell>
          <cell r="C17278" t="str">
            <v>PERD VALORIZ GLOB MEXICO DPV ESTRATEGICO3NC</v>
          </cell>
        </row>
        <row r="17279">
          <cell r="B17279" t="str">
            <v>38020400000160</v>
          </cell>
          <cell r="C17279" t="str">
            <v>PERD VALORIZ GLOB CHILE DISPO VENTA     3NC</v>
          </cell>
        </row>
        <row r="17280">
          <cell r="B17280" t="str">
            <v>38020400000161</v>
          </cell>
          <cell r="C17280" t="str">
            <v>PERD VALORIZ GLOB CHILE DPV ESPECIAL    3NC</v>
          </cell>
        </row>
        <row r="17281">
          <cell r="B17281" t="str">
            <v>38020400000162</v>
          </cell>
          <cell r="C17281" t="str">
            <v>PERD VALORIZ GLOB CHILE DPV ESTRATEGICO 3NC</v>
          </cell>
        </row>
        <row r="17282">
          <cell r="B17282" t="str">
            <v>38020400000163</v>
          </cell>
          <cell r="C17282" t="str">
            <v>PERD VALORIZ CDBCRP ALM DPV ESTRATEGICO 3NC</v>
          </cell>
        </row>
        <row r="17283">
          <cell r="B17283" t="str">
            <v>38020400000164</v>
          </cell>
          <cell r="C17283" t="str">
            <v>PERD VALORIZ BONOS SOB ALM DPV ESTRATEGI3NC</v>
          </cell>
        </row>
        <row r="17284">
          <cell r="B17284" t="str">
            <v>38020400000165</v>
          </cell>
          <cell r="C17284" t="str">
            <v>PERD VALORIZ BONOS TESORO US ALM DPV EST3NC</v>
          </cell>
        </row>
        <row r="17285">
          <cell r="B17285" t="str">
            <v>38020400000166</v>
          </cell>
          <cell r="C17285" t="str">
            <v>PERD VALORIZ BONOS GLOB PERU ALM DPV EST3NC</v>
          </cell>
        </row>
        <row r="17286">
          <cell r="B17286" t="str">
            <v>38020400000167</v>
          </cell>
          <cell r="C17286" t="str">
            <v>PERD VALORIZ GLOB COLOMBIA ALM DPV ESTRA3NC</v>
          </cell>
        </row>
        <row r="17287">
          <cell r="B17287" t="str">
            <v>38020400000168</v>
          </cell>
          <cell r="C17287" t="str">
            <v>PERD VALORIZ GLOB MEXICO ALM DPV ESTRATE3NC</v>
          </cell>
        </row>
        <row r="17288">
          <cell r="B17288" t="str">
            <v>38020400000169</v>
          </cell>
          <cell r="C17288" t="str">
            <v>PERD VALORIZ GLOB CHILE ALM DPV ESTRATET3NC</v>
          </cell>
        </row>
        <row r="17289">
          <cell r="B17289" t="str">
            <v>38020400000170</v>
          </cell>
          <cell r="C17289" t="str">
            <v>PERD VALORIZ GLOB BRASIL ALM DPV ESTRATE3NC</v>
          </cell>
        </row>
        <row r="17290">
          <cell r="B17290" t="str">
            <v>38020400000171</v>
          </cell>
          <cell r="C17290" t="str">
            <v>PERDIDA VALORIZACION FFMM ESTRATEGICO   3NC</v>
          </cell>
        </row>
        <row r="17291">
          <cell r="B17291" t="str">
            <v>38020400000172</v>
          </cell>
          <cell r="C17291" t="str">
            <v>PERD VALORIZ GLOB COLOMBIA IB-RESTRINGID3NC</v>
          </cell>
        </row>
        <row r="17292">
          <cell r="B17292" t="str">
            <v>38020400000173</v>
          </cell>
          <cell r="C17292" t="str">
            <v>PERDIDA BONOS SOBERANOS A VENCIMIENTO   3NC</v>
          </cell>
        </row>
        <row r="17293">
          <cell r="B17293" t="str">
            <v>38020400000174</v>
          </cell>
          <cell r="C17293" t="str">
            <v>PER NO REALIZADOS Bono Corporativo Org F3NC</v>
          </cell>
        </row>
        <row r="17294">
          <cell r="B17294" t="str">
            <v>38020400000176</v>
          </cell>
          <cell r="C17294" t="str">
            <v>PERD VAL CD YANKEE DIS VENTA            3NC</v>
          </cell>
        </row>
        <row r="17295">
          <cell r="B17295" t="str">
            <v>38020400000177</v>
          </cell>
          <cell r="C17295" t="str">
            <v>PERDIDA BONOS SOBERANOS A VENCIMIENTO   3NC</v>
          </cell>
        </row>
        <row r="17296">
          <cell r="B17296" t="str">
            <v>38020400000178</v>
          </cell>
          <cell r="C17296" t="str">
            <v>IMPUESTO DIFERIDO PERDIDA POR FLUCTU    3NC</v>
          </cell>
        </row>
        <row r="17297">
          <cell r="B17297" t="str">
            <v>38020400000179</v>
          </cell>
          <cell r="C17297" t="str">
            <v>PERD VAL LETRAS MEF ALM ESTRAT          3NC</v>
          </cell>
        </row>
        <row r="17298">
          <cell r="B17298" t="str">
            <v>38020400000180</v>
          </cell>
          <cell r="C17298" t="str">
            <v>RES NO REALIZADOS CDBLD                 3NC</v>
          </cell>
        </row>
        <row r="17299">
          <cell r="B17299" t="str">
            <v>38020400000181</v>
          </cell>
          <cell r="C17299" t="str">
            <v>RES NO REALIZADOS B GLOBALES DPV  PLUS P3NC</v>
          </cell>
        </row>
        <row r="17300">
          <cell r="B17300" t="str">
            <v>38020400000182</v>
          </cell>
          <cell r="C17300" t="str">
            <v>RES NO REALIZADOS BONOS SOBERANOS DPV PL3NC</v>
          </cell>
        </row>
        <row r="17301">
          <cell r="B17301" t="str">
            <v>38020400000183</v>
          </cell>
          <cell r="C17301" t="str">
            <v>RES NO REALIZADOS BONOS DEL TESORO USA D3NC</v>
          </cell>
        </row>
        <row r="17302">
          <cell r="B17302" t="str">
            <v>38020400000184</v>
          </cell>
          <cell r="C17302" t="str">
            <v>FLUCT Negativa BONOS CORP SIST FIN ALM E3NC</v>
          </cell>
        </row>
        <row r="17303">
          <cell r="B17303" t="str">
            <v>38020400000185</v>
          </cell>
          <cell r="C17303" t="str">
            <v>FLUCT Negativa BONOS CORP ORD ALM EST   3NC</v>
          </cell>
        </row>
        <row r="17304">
          <cell r="B17304" t="str">
            <v>38020400000186</v>
          </cell>
          <cell r="C17304" t="str">
            <v>RES NO REALIZADOS CORP EMP FIN DPLUS    3NC</v>
          </cell>
        </row>
        <row r="17305">
          <cell r="B17305" t="str">
            <v>38020400000187</v>
          </cell>
          <cell r="C17305" t="str">
            <v>RES NO REALIZADOS CORP SOC NO FIN DPLUS 3NC</v>
          </cell>
        </row>
        <row r="17306">
          <cell r="B17306" t="str">
            <v>38020400000188</v>
          </cell>
          <cell r="C17306" t="str">
            <v>PERD VALORIZ BONOS SOB DPV BANKING BOOK 3NC</v>
          </cell>
        </row>
        <row r="17307">
          <cell r="B17307" t="str">
            <v>38020400000189</v>
          </cell>
          <cell r="C17307" t="str">
            <v>MDC PERD VAL LETRAS GLOBALES DPV ESPECIA3NC</v>
          </cell>
        </row>
        <row r="17308">
          <cell r="B17308" t="str">
            <v>38020400000191</v>
          </cell>
          <cell r="C17308" t="str">
            <v>MDC PERD VAL CD NEGOC ALM EST           3NC</v>
          </cell>
        </row>
        <row r="17309">
          <cell r="B17309" t="str">
            <v>38020400000192</v>
          </cell>
          <cell r="C17309" t="str">
            <v>MDC VAL PERD BONOS SOB DPV ALM ESTRA    3NC</v>
          </cell>
        </row>
        <row r="17310">
          <cell r="B17310" t="str">
            <v>38020400000193</v>
          </cell>
          <cell r="C17310" t="str">
            <v>MDC VAL PERD BONOS SOB DPV DVP ESTRA    3NC</v>
          </cell>
        </row>
        <row r="17311">
          <cell r="B17311" t="str">
            <v>38020400000194</v>
          </cell>
          <cell r="C17311" t="str">
            <v>MDC VAL PERD BONOS SOB DPV BANKING BOOK 3NC</v>
          </cell>
        </row>
        <row r="17312">
          <cell r="B17312" t="str">
            <v>38020400000195</v>
          </cell>
          <cell r="C17312" t="str">
            <v>RES NO REALIZADOS CDBCRP DPVESTRAT      3NC</v>
          </cell>
        </row>
        <row r="17313">
          <cell r="B17313" t="str">
            <v>38020400000196</v>
          </cell>
          <cell r="C17313" t="str">
            <v>PERD VAL CD ION ALM EST                 3 C</v>
          </cell>
        </row>
        <row r="17314">
          <cell r="B17314" t="str">
            <v>38020400000197</v>
          </cell>
          <cell r="C17314" t="str">
            <v>PERD VAL CERTIFICADOS DEPÃ“SITO TASA VAR3NC</v>
          </cell>
        </row>
        <row r="17315">
          <cell r="B17315" t="str">
            <v>38020400000198</v>
          </cell>
          <cell r="C17315" t="str">
            <v>PERD VAL CERTIFICADOS DEPÃ“SITO         3NC</v>
          </cell>
        </row>
        <row r="17316">
          <cell r="B17316" t="str">
            <v>38020400000199</v>
          </cell>
          <cell r="C17316" t="str">
            <v>MDC  PERD VALORIZACION CDR ALMESTRAT    3NC</v>
          </cell>
        </row>
        <row r="17317">
          <cell r="B17317" t="str">
            <v>38020400000200</v>
          </cell>
          <cell r="C17317" t="str">
            <v>MDC PERD VALORIZ CDBCRP TRADING MESA    3NC</v>
          </cell>
        </row>
        <row r="17318">
          <cell r="B17318" t="str">
            <v>38020400000201</v>
          </cell>
          <cell r="C17318" t="str">
            <v>MDC GANANCIA BONOS SOBERANOS A VENCIMIEN3NC</v>
          </cell>
        </row>
        <row r="17319">
          <cell r="B17319" t="str">
            <v>38020400000202</v>
          </cell>
          <cell r="C17319" t="str">
            <v>MDC PERD VALO BONOS GLOBA PERUANOS REST 3 C</v>
          </cell>
        </row>
        <row r="17320">
          <cell r="B17320" t="str">
            <v>38020400000203</v>
          </cell>
          <cell r="C17320" t="str">
            <v>IMPUESTO DIFE. PERDIDA INSTRUMENTOS DE P3NC</v>
          </cell>
        </row>
        <row r="17321">
          <cell r="B17321" t="str">
            <v>38020400000204</v>
          </cell>
          <cell r="C17321" t="str">
            <v>PERD NO REALIZADA BONO SUBORDINADO DPV F3NC</v>
          </cell>
        </row>
        <row r="17322">
          <cell r="B17322" t="str">
            <v>38020400000205</v>
          </cell>
          <cell r="C17322" t="str">
            <v>IMP DIF PERDIDA INSTRUMENTOS DE PATRIMON3 C</v>
          </cell>
        </row>
        <row r="17323">
          <cell r="B17323" t="str">
            <v>38020500000101</v>
          </cell>
          <cell r="C17323" t="str">
            <v>PERDIDA METODO PART.PATRIM.INVER.DEDUC.P3NC</v>
          </cell>
        </row>
        <row r="17324">
          <cell r="B17324" t="str">
            <v>38020500000102</v>
          </cell>
          <cell r="C17324" t="str">
            <v>PERDIDA PART INV NO DEDUC P.EFECTI      3NC</v>
          </cell>
        </row>
        <row r="17325">
          <cell r="B17325" t="str">
            <v>38020600000101</v>
          </cell>
          <cell r="C17325" t="str">
            <v>PERDIDA PART PATR INV NO DEDUC P.EFECTI 3NC</v>
          </cell>
        </row>
        <row r="17326">
          <cell r="B17326" t="str">
            <v>38070000000101</v>
          </cell>
          <cell r="C17326" t="str">
            <v>METODO DE PARTICIPACIÀN PATRIMONIAL     3NC</v>
          </cell>
        </row>
        <row r="17327">
          <cell r="B17327" t="str">
            <v>39010100000190</v>
          </cell>
          <cell r="C17327" t="str">
            <v>UTILIDAD DEL EJERCICIO - ANUAL          3NC</v>
          </cell>
        </row>
        <row r="17328">
          <cell r="B17328" t="str">
            <v>39010100000191</v>
          </cell>
          <cell r="C17328" t="str">
            <v>UTILIDAD DEL EJERCICIO - DIARIOS        3NC</v>
          </cell>
        </row>
        <row r="17329">
          <cell r="B17329" t="str">
            <v>39010100000192</v>
          </cell>
          <cell r="C17329" t="str">
            <v>Utilidad neta del ejercicio con acuerdo 3NC</v>
          </cell>
        </row>
        <row r="17330">
          <cell r="B17330" t="str">
            <v>39010100000193</v>
          </cell>
          <cell r="C17330" t="str">
            <v>(nueva usada para crear libros) UTILIDAD3NC</v>
          </cell>
        </row>
        <row r="17331">
          <cell r="B17331" t="str">
            <v>39010100000194</v>
          </cell>
          <cell r="C17331" t="str">
            <v>Utilidad del Ejercicio                  3NC</v>
          </cell>
        </row>
        <row r="17332">
          <cell r="B17332" t="str">
            <v>39010100000801</v>
          </cell>
          <cell r="C17332" t="str">
            <v>PAN UTILIDADES TRANSFERIDAS A CASA MATRI3NC</v>
          </cell>
        </row>
        <row r="17333">
          <cell r="B17333" t="str">
            <v>39010300000100</v>
          </cell>
          <cell r="C17333" t="str">
            <v>UTILIDAD NETA DEL EJERCICIO             3NC</v>
          </cell>
        </row>
        <row r="17334">
          <cell r="B17334" t="str">
            <v>39020100000801</v>
          </cell>
          <cell r="C17334" t="str">
            <v>PAN PERDIDAS TRANSFERIDAS A CASA MATRIZ 3NC</v>
          </cell>
        </row>
        <row r="17335">
          <cell r="B17335" t="str">
            <v>41010101000101</v>
          </cell>
          <cell r="C17335" t="str">
            <v>DEPOSITOS CTA CTE PN                    5ND</v>
          </cell>
        </row>
        <row r="17336">
          <cell r="B17336" t="str">
            <v>41010101000103</v>
          </cell>
          <cell r="C17336" t="str">
            <v>DEPOSITOS CTA CTE PJ S/F LUCRO          5ND</v>
          </cell>
        </row>
        <row r="17337">
          <cell r="B17337" t="str">
            <v>41010101000201</v>
          </cell>
          <cell r="C17337" t="str">
            <v>DEPOSITOS CTA CTE PJ                    5ND</v>
          </cell>
        </row>
        <row r="17338">
          <cell r="B17338" t="str">
            <v>41010101000203</v>
          </cell>
          <cell r="C17338" t="str">
            <v>DEPOSITOS A LA VISTA - OTROS            5ND</v>
          </cell>
        </row>
        <row r="17339">
          <cell r="B17339" t="str">
            <v>41010103000101</v>
          </cell>
          <cell r="C17339" t="str">
            <v>INT.CHEQUES CERTIFICADOS REMUNERADOS    5ND</v>
          </cell>
        </row>
        <row r="17340">
          <cell r="B17340" t="str">
            <v>41010104000101</v>
          </cell>
          <cell r="C17340" t="str">
            <v>CHEQUES DE GERENCIA                     5ND</v>
          </cell>
        </row>
        <row r="17341">
          <cell r="B17341" t="str">
            <v>41010201000102</v>
          </cell>
          <cell r="C17341" t="str">
            <v>AHORROS MESA INTERESES PN               5ND</v>
          </cell>
        </row>
        <row r="17342">
          <cell r="B17342" t="str">
            <v>41010201000103</v>
          </cell>
          <cell r="C17342" t="str">
            <v>INT.AH CTA MILL.ACT PN Y PJ PRIV.S/F LU 5ND</v>
          </cell>
        </row>
        <row r="17343">
          <cell r="B17343" t="str">
            <v>41010201000104</v>
          </cell>
          <cell r="C17343" t="str">
            <v>PREMIOS CUENTA MILLONARIA               5ND</v>
          </cell>
        </row>
        <row r="17344">
          <cell r="B17344" t="str">
            <v>41010201000106</v>
          </cell>
          <cell r="C17344" t="str">
            <v>AH CTA ALCANCIA VIRTUAL ACT PN          5ND</v>
          </cell>
        </row>
        <row r="17345">
          <cell r="B17345" t="str">
            <v>41010201000111</v>
          </cell>
          <cell r="C17345" t="str">
            <v>AHORROS CAPITAL ACTIVO INTERESES PN     5ND</v>
          </cell>
        </row>
        <row r="17346">
          <cell r="B17346" t="str">
            <v>41010201000112</v>
          </cell>
          <cell r="C17346" t="str">
            <v>AHORROS CAPITAL ACTIVO INTERESES PJSL   5ND</v>
          </cell>
        </row>
        <row r="17347">
          <cell r="B17347" t="str">
            <v>41010201000202</v>
          </cell>
          <cell r="C17347" t="str">
            <v>INT.AHORROS ESP.ACTIVOS - OTRAS PJ      5ND</v>
          </cell>
        </row>
        <row r="17348">
          <cell r="B17348" t="str">
            <v>41010201000207</v>
          </cell>
          <cell r="C17348" t="str">
            <v>AHORROS CAPITAL ACTIVO INTERESES PJFL   5ND</v>
          </cell>
        </row>
        <row r="17349">
          <cell r="B17349" t="str">
            <v>41010201000208</v>
          </cell>
          <cell r="C17349" t="str">
            <v>BOG AHORROS CAPITAL ACTIVO INTERESES PN 5ND</v>
          </cell>
        </row>
        <row r="17350">
          <cell r="B17350" t="str">
            <v>41010202000103</v>
          </cell>
          <cell r="C17350" t="str">
            <v>AHORROS MESA PJSL                       5ND</v>
          </cell>
        </row>
        <row r="17351">
          <cell r="B17351" t="str">
            <v>41010202000104</v>
          </cell>
          <cell r="C17351" t="str">
            <v>AHORROS CAPITAL PARALIZ INTERESES PN    5ND</v>
          </cell>
        </row>
        <row r="17352">
          <cell r="B17352" t="str">
            <v>41010202000105</v>
          </cell>
          <cell r="C17352" t="str">
            <v>AHORROS CAP PARALIZ INT PJSL            5ND</v>
          </cell>
        </row>
        <row r="17353">
          <cell r="B17353" t="str">
            <v>41010202000106</v>
          </cell>
          <cell r="C17353" t="str">
            <v>AH CTA.ALCANCIA VIRTUAL CAP.PARALIZ INT.5ND</v>
          </cell>
        </row>
        <row r="17354">
          <cell r="B17354" t="str">
            <v>41010202000203</v>
          </cell>
          <cell r="C17354" t="str">
            <v>AHORROS CAP PARALIZ INT PJFL            5ND</v>
          </cell>
        </row>
        <row r="17355">
          <cell r="B17355" t="str">
            <v>41010202000204</v>
          </cell>
          <cell r="C17355" t="str">
            <v>BOG AHORROS CAPITAL PARALIZ INTERESES PN5ND</v>
          </cell>
        </row>
        <row r="17356">
          <cell r="B17356" t="str">
            <v>41010301000201</v>
          </cell>
          <cell r="C17356" t="str">
            <v>INT.CDN ESPECIAL - OTRAS PJ             5ND</v>
          </cell>
        </row>
        <row r="17357">
          <cell r="B17357" t="str">
            <v>41010301000204</v>
          </cell>
          <cell r="C17357" t="str">
            <v>GASTO INT CDN MESA PJFL                 5ND</v>
          </cell>
        </row>
        <row r="17358">
          <cell r="B17358" t="str">
            <v>41010302000102</v>
          </cell>
          <cell r="C17358" t="str">
            <v>CBME MESA INTERESES PN                  5ND</v>
          </cell>
        </row>
        <row r="17359">
          <cell r="B17359" t="str">
            <v>41010302000103</v>
          </cell>
          <cell r="C17359" t="str">
            <v>CBME MESA INTERESES PJSL                5ND</v>
          </cell>
        </row>
        <row r="17360">
          <cell r="B17360" t="str">
            <v>41010302000109</v>
          </cell>
          <cell r="C17360" t="str">
            <v>CBMN INTERESES PN                       5ND</v>
          </cell>
        </row>
        <row r="17361">
          <cell r="B17361" t="str">
            <v>41010302000110</v>
          </cell>
          <cell r="C17361" t="str">
            <v>CBME INTERESES PJSL                     5ND</v>
          </cell>
        </row>
        <row r="17362">
          <cell r="B17362" t="str">
            <v>41010302000201</v>
          </cell>
          <cell r="C17362" t="str">
            <v>INT.CB ORDINARIO                        5ND</v>
          </cell>
        </row>
        <row r="17363">
          <cell r="B17363" t="str">
            <v>41010302000202</v>
          </cell>
          <cell r="C17363" t="str">
            <v>INT.CB ESPECIAL                         5ND</v>
          </cell>
        </row>
        <row r="17364">
          <cell r="B17364" t="str">
            <v>41010302000205</v>
          </cell>
          <cell r="C17364" t="str">
            <v>INT CBME MESA PN                        5ND</v>
          </cell>
        </row>
        <row r="17365">
          <cell r="B17365" t="str">
            <v>41010302000206</v>
          </cell>
          <cell r="C17365" t="str">
            <v>INT CBME MESA PJSL                      5ND</v>
          </cell>
        </row>
        <row r="17366">
          <cell r="B17366" t="str">
            <v>41010302000207</v>
          </cell>
          <cell r="C17366" t="str">
            <v>INT CBME MESA PJFL                      5ND</v>
          </cell>
        </row>
        <row r="17367">
          <cell r="B17367" t="str">
            <v>41010303000102</v>
          </cell>
          <cell r="C17367" t="str">
            <v>INT.CTAS PZO ESP. PN Y PJ PRIV.S/F LUCRO5ND</v>
          </cell>
        </row>
        <row r="17368">
          <cell r="B17368" t="str">
            <v>41010303000105</v>
          </cell>
          <cell r="C17368" t="str">
            <v>DEP PLAZO MESA INTERESES PJSL           5ND</v>
          </cell>
        </row>
        <row r="17369">
          <cell r="B17369" t="str">
            <v>41010303000106</v>
          </cell>
          <cell r="C17369" t="str">
            <v>INT DEP PZO MESA PN                     5ND</v>
          </cell>
        </row>
        <row r="17370">
          <cell r="B17370" t="str">
            <v>41010303000107</v>
          </cell>
          <cell r="C17370" t="str">
            <v>INT DEP PZO MESA PJSL                   5ND</v>
          </cell>
        </row>
        <row r="17371">
          <cell r="B17371" t="str">
            <v>41010303000108</v>
          </cell>
          <cell r="C17371" t="str">
            <v>DEP PLAZO INTERESES PN                  5ND</v>
          </cell>
        </row>
        <row r="17372">
          <cell r="B17372" t="str">
            <v>41010303000109</v>
          </cell>
          <cell r="C17372" t="str">
            <v>DEP PLAZO INTERESES PJSL                5ND</v>
          </cell>
        </row>
        <row r="17373">
          <cell r="B17373" t="str">
            <v>41010303000110</v>
          </cell>
          <cell r="C17373" t="str">
            <v>INT DEP PZO MESA PJFL                   5ND</v>
          </cell>
        </row>
        <row r="17374">
          <cell r="B17374" t="str">
            <v>41010303000111</v>
          </cell>
          <cell r="C17374" t="str">
            <v>MDC INT DEP ESTRUCTURADO MESA PJFL      5ND</v>
          </cell>
        </row>
        <row r="17375">
          <cell r="B17375" t="str">
            <v>41010303000112</v>
          </cell>
          <cell r="C17375" t="str">
            <v>MDC INT DEP ESTRUCTURADO MESA PJSL      5ND</v>
          </cell>
        </row>
        <row r="17376">
          <cell r="B17376" t="str">
            <v>41010303000113</v>
          </cell>
          <cell r="C17376" t="str">
            <v>MDC INT DEP ESTRUCTURADO MESA PN        5ND</v>
          </cell>
        </row>
        <row r="17377">
          <cell r="B17377" t="str">
            <v>41010303000114</v>
          </cell>
          <cell r="C17377" t="str">
            <v>MDC INT DEP DIVISAS  MESA PJFL          5ND</v>
          </cell>
        </row>
        <row r="17378">
          <cell r="B17378" t="str">
            <v>41010303000115</v>
          </cell>
          <cell r="C17378" t="str">
            <v>MDC INT DEP DIVISAS  MESA PJSL          5ND</v>
          </cell>
        </row>
        <row r="17379">
          <cell r="B17379" t="str">
            <v>41010303000116</v>
          </cell>
          <cell r="C17379" t="str">
            <v>MDC INT DEP DIVISAS MESA PN             5ND</v>
          </cell>
        </row>
        <row r="17380">
          <cell r="B17380" t="str">
            <v>41010303000117</v>
          </cell>
          <cell r="C17380" t="str">
            <v>MDC INT DEP PLAZO VAC - PSFL            5ND</v>
          </cell>
        </row>
        <row r="17381">
          <cell r="B17381" t="str">
            <v>41010303000118</v>
          </cell>
          <cell r="C17381" t="str">
            <v>MDC INT DEP PLAZO VAC - PJFL            5ND</v>
          </cell>
        </row>
        <row r="17382">
          <cell r="B17382" t="str">
            <v>41010303000202</v>
          </cell>
          <cell r="C17382" t="str">
            <v>DEP PLAZO MESA INTERESES PJFL           5ND</v>
          </cell>
        </row>
        <row r="17383">
          <cell r="B17383" t="str">
            <v>41010303000205</v>
          </cell>
          <cell r="C17383" t="str">
            <v>DEP PLAZO INTERESES PJFL                5ND</v>
          </cell>
        </row>
        <row r="17384">
          <cell r="B17384" t="str">
            <v>41010303000208</v>
          </cell>
          <cell r="C17384" t="str">
            <v>MDC GASTO INT DEPO PLAZO MESA ESTRUCTURA5 D</v>
          </cell>
        </row>
        <row r="17385">
          <cell r="B17385" t="str">
            <v>41010303000209</v>
          </cell>
          <cell r="C17385" t="str">
            <v>MDC GASTO INT DEPO PLAZO MESA ESTRUCTURA5 D</v>
          </cell>
        </row>
        <row r="17386">
          <cell r="B17386" t="str">
            <v>41010303000801</v>
          </cell>
          <cell r="C17386" t="str">
            <v>PANAM GTO INTERES DPF                   5ND</v>
          </cell>
        </row>
        <row r="17387">
          <cell r="B17387" t="str">
            <v>41010305000101</v>
          </cell>
          <cell r="C17387" t="str">
            <v>INT.-CTS ORDINARIA                      5ND</v>
          </cell>
        </row>
        <row r="17388">
          <cell r="B17388" t="str">
            <v>41010305000102</v>
          </cell>
          <cell r="C17388" t="str">
            <v>INT.-CTS CONVENIO                       5ND</v>
          </cell>
        </row>
        <row r="17389">
          <cell r="B17389" t="str">
            <v>41010306000101</v>
          </cell>
          <cell r="C17389" t="str">
            <v>MDC DEP  A PLAZO GASTO DERIV SWAPS      5ND</v>
          </cell>
        </row>
        <row r="17390">
          <cell r="B17390" t="str">
            <v>41010309000201</v>
          </cell>
          <cell r="C17390" t="str">
            <v>INT.FONDO DE GARANTIA                   5ND</v>
          </cell>
        </row>
        <row r="17391">
          <cell r="B17391" t="str">
            <v>41010503010108</v>
          </cell>
          <cell r="C17391" t="str">
            <v>INT BONOS GLOBALES VCTO PACTO RECOM     5ND</v>
          </cell>
        </row>
        <row r="17392">
          <cell r="B17392" t="str">
            <v>41010704000101</v>
          </cell>
          <cell r="C17392" t="str">
            <v>AHORROS MILLONARIA GTIA INTERESES PN    5ND</v>
          </cell>
        </row>
        <row r="17393">
          <cell r="B17393" t="str">
            <v>41010704000102</v>
          </cell>
          <cell r="C17393" t="str">
            <v>INT.AH GTIA.CRED PJ S/F LUCRO           5ND</v>
          </cell>
        </row>
        <row r="17394">
          <cell r="B17394" t="str">
            <v>41010704000303</v>
          </cell>
          <cell r="C17394" t="str">
            <v>INT.CTA PZO GTIA.CRED PN PJ PRIV.S/F LUC5ND</v>
          </cell>
        </row>
        <row r="17395">
          <cell r="B17395" t="str">
            <v>41010704000305</v>
          </cell>
          <cell r="C17395" t="str">
            <v>INT.CTA PZO GTIA.CRED PJ S/F LUCRO      5ND</v>
          </cell>
        </row>
        <row r="17396">
          <cell r="B17396" t="str">
            <v>41010704000403</v>
          </cell>
          <cell r="C17396" t="str">
            <v>DEP PLAZO GTIA INTERESES PJFL           5ND</v>
          </cell>
        </row>
        <row r="17397">
          <cell r="B17397" t="str">
            <v>41010704000505</v>
          </cell>
          <cell r="C17397" t="str">
            <v>AHORROS GTIA INTERESES PN               5ND</v>
          </cell>
        </row>
        <row r="17398">
          <cell r="B17398" t="str">
            <v>41010704000506</v>
          </cell>
          <cell r="C17398" t="str">
            <v>AHORROS GTIA INTERESES PJSL             5ND</v>
          </cell>
        </row>
        <row r="17399">
          <cell r="B17399" t="str">
            <v>41010704000507</v>
          </cell>
          <cell r="C17399" t="str">
            <v>AHORROS GTIA INTERES PJFL               5ND</v>
          </cell>
        </row>
        <row r="17400">
          <cell r="B17400" t="str">
            <v>41010704000703</v>
          </cell>
          <cell r="C17400" t="str">
            <v>DEP PLAZO GTIA INTERESES PN             5ND</v>
          </cell>
        </row>
        <row r="17401">
          <cell r="B17401" t="str">
            <v>41010704000710</v>
          </cell>
          <cell r="C17401" t="str">
            <v>ST CBME MN GTIA INTERESES PN            5ND</v>
          </cell>
        </row>
        <row r="17402">
          <cell r="B17402" t="str">
            <v>41010704000711</v>
          </cell>
          <cell r="C17402" t="str">
            <v>CBME GTIA INTERESES PJSL                5ND</v>
          </cell>
        </row>
        <row r="17403">
          <cell r="B17403" t="str">
            <v>41010704000802</v>
          </cell>
          <cell r="C17403" t="str">
            <v>INT.CB GTIA.CREDITOS - OTRAS PJ         5ND</v>
          </cell>
        </row>
        <row r="17404">
          <cell r="B17404" t="str">
            <v>41010704000901</v>
          </cell>
          <cell r="C17404" t="str">
            <v>INT.CTAS.CTES GTIA - OTRAS PJ           5ND</v>
          </cell>
        </row>
        <row r="17405">
          <cell r="B17405" t="str">
            <v>41010704001001</v>
          </cell>
          <cell r="C17405" t="str">
            <v>DEPOSITOS EN GARANTIA                   5ND</v>
          </cell>
        </row>
        <row r="17406">
          <cell r="B17406" t="str">
            <v>41010709000101</v>
          </cell>
          <cell r="C17406" t="str">
            <v>MDC INT MC THE BANK OF NOVA SCOTIA      5ND</v>
          </cell>
        </row>
        <row r="17407">
          <cell r="B17407" t="str">
            <v>41010709000102</v>
          </cell>
          <cell r="C17407" t="str">
            <v>MDC INT MC JP MORGAN                    5ND</v>
          </cell>
        </row>
        <row r="17408">
          <cell r="B17408" t="str">
            <v>41010709000103</v>
          </cell>
          <cell r="C17408" t="str">
            <v>MDC INT MC DEUTSCHE BANK AG             5ND</v>
          </cell>
        </row>
        <row r="17409">
          <cell r="B17409" t="str">
            <v>41010709000104</v>
          </cell>
          <cell r="C17409" t="str">
            <v>MDC INT MC MORGAN STANLEY CAPITAL SERVIC5ND</v>
          </cell>
        </row>
        <row r="17410">
          <cell r="B17410" t="str">
            <v>41010709000105</v>
          </cell>
          <cell r="C17410" t="str">
            <v>MDC INT MC CITIBANK                     5ND</v>
          </cell>
        </row>
        <row r="17411">
          <cell r="B17411" t="str">
            <v>41010709000106</v>
          </cell>
          <cell r="C17411" t="str">
            <v>MDC INT MC BANK OF AMERICA              5ND</v>
          </cell>
        </row>
        <row r="17412">
          <cell r="B17412" t="str">
            <v>41010709000107</v>
          </cell>
          <cell r="C17412" t="str">
            <v>MDC INT MC STANDARD CHARTERED BANK      5ND</v>
          </cell>
        </row>
        <row r="17413">
          <cell r="B17413" t="str">
            <v>41010709000108</v>
          </cell>
          <cell r="C17413" t="str">
            <v>MDC INT MC BNP PARIBAS                  5ND</v>
          </cell>
        </row>
        <row r="17414">
          <cell r="B17414" t="str">
            <v>41010709000109</v>
          </cell>
          <cell r="C17414" t="str">
            <v>MDC INT MC GOLDMAN SACHS INTERNATIONAL  5ND</v>
          </cell>
        </row>
        <row r="17415">
          <cell r="B17415" t="str">
            <v>41010709000110</v>
          </cell>
          <cell r="C17415" t="str">
            <v>MDC INT MC BANCO SANTANDER ORIGINAL CSA 5ND</v>
          </cell>
        </row>
        <row r="17416">
          <cell r="B17416" t="str">
            <v>41010709000111</v>
          </cell>
          <cell r="C17416" t="str">
            <v>MDC INT MC BANK OF MONTREAL             5ND</v>
          </cell>
        </row>
        <row r="17417">
          <cell r="B17417" t="str">
            <v>41010709000112</v>
          </cell>
          <cell r="C17417" t="str">
            <v>MDC INT MC BANCO SANTANDER NEW CSA      5ND</v>
          </cell>
        </row>
        <row r="17418">
          <cell r="B17418" t="str">
            <v>41010709000113</v>
          </cell>
          <cell r="C17418" t="str">
            <v>MDC INT MC STANDARD CHARTERED NEW CSA   5ND</v>
          </cell>
        </row>
        <row r="17419">
          <cell r="B17419" t="str">
            <v>41010709000114</v>
          </cell>
          <cell r="C17419" t="str">
            <v>MDC INT MC ING BANK                     5ND</v>
          </cell>
        </row>
        <row r="17420">
          <cell r="B17420" t="str">
            <v>41010709000115</v>
          </cell>
          <cell r="C17420" t="str">
            <v>MDC INT MC HSBC BANK USA                5ND</v>
          </cell>
        </row>
        <row r="17421">
          <cell r="B17421" t="str">
            <v>41010709000116</v>
          </cell>
          <cell r="C17421" t="str">
            <v>MDC INT MC BARCLAYS BANK PLC            5ND</v>
          </cell>
        </row>
        <row r="17422">
          <cell r="B17422" t="str">
            <v>41010709000117</v>
          </cell>
          <cell r="C17422" t="str">
            <v>MDC INT MC DOMINION BANK TORONTO        5ND</v>
          </cell>
        </row>
        <row r="17423">
          <cell r="B17423" t="str">
            <v>41010709000118</v>
          </cell>
          <cell r="C17423" t="str">
            <v>MDC INT MC UBS AG ZURICH                5ND</v>
          </cell>
        </row>
        <row r="17424">
          <cell r="B17424" t="str">
            <v>41010709000119</v>
          </cell>
          <cell r="C17424" t="str">
            <v>MDC INT MC ROYAL BANK OF CANADA         5ND</v>
          </cell>
        </row>
        <row r="17425">
          <cell r="B17425" t="str">
            <v>41010709000120</v>
          </cell>
          <cell r="C17425" t="str">
            <v>MDC INT MC NATIXIS                      5ND</v>
          </cell>
        </row>
        <row r="17426">
          <cell r="B17426" t="str">
            <v>41010709000121</v>
          </cell>
          <cell r="C17426" t="str">
            <v>MDC INT MC WELLS FARGO BANK             5ND</v>
          </cell>
        </row>
        <row r="17427">
          <cell r="B17427" t="str">
            <v>41010709000122</v>
          </cell>
          <cell r="C17427" t="str">
            <v>MDC GTO MC BANCO BILBAO VIZCAYA ARGENTAR5ND</v>
          </cell>
        </row>
        <row r="17428">
          <cell r="B17428" t="str">
            <v>41020102000101</v>
          </cell>
          <cell r="C17428" t="str">
            <v>INT FONDOS INTERB - BCO DE LA NACIÃ“N   5ND</v>
          </cell>
        </row>
        <row r="17429">
          <cell r="B17429" t="str">
            <v>41020103000101</v>
          </cell>
          <cell r="C17429" t="str">
            <v>INT FONDOS INTERB - BCO DE CRÃ‰DITO     5ND</v>
          </cell>
        </row>
        <row r="17430">
          <cell r="B17430" t="str">
            <v>41020105000101</v>
          </cell>
          <cell r="C17430" t="str">
            <v>INT FONDOS INTERB - SCOTIABANK          5ND</v>
          </cell>
        </row>
        <row r="17431">
          <cell r="B17431" t="str">
            <v>41020106000101</v>
          </cell>
          <cell r="C17431" t="str">
            <v>INT FONDOS INTERB - BCO CONTINENTAL     5ND</v>
          </cell>
        </row>
        <row r="17432">
          <cell r="B17432" t="str">
            <v>41020108000101</v>
          </cell>
          <cell r="C17432" t="str">
            <v>INT FONDOS INTERB - BCO COMERCIO        5ND</v>
          </cell>
        </row>
        <row r="17433">
          <cell r="B17433" t="str">
            <v>41020109000101</v>
          </cell>
          <cell r="C17433" t="str">
            <v>INT FONDOS INTERB - BCO FINANCIERO      5ND</v>
          </cell>
        </row>
        <row r="17434">
          <cell r="B17434" t="str">
            <v>41020116000101</v>
          </cell>
          <cell r="C17434" t="str">
            <v>INT FONDOS INTERB - CITIBANK            5ND</v>
          </cell>
        </row>
        <row r="17435">
          <cell r="B17435" t="str">
            <v>41020121000101</v>
          </cell>
          <cell r="C17435" t="str">
            <v>INT FONDOS INTERB - BCO INTERAMER DE FIN5ND</v>
          </cell>
        </row>
        <row r="17436">
          <cell r="B17436" t="str">
            <v>41020128000101</v>
          </cell>
          <cell r="C17436" t="str">
            <v>INT FONDOS INTERB - COFIDE              5ND</v>
          </cell>
        </row>
        <row r="17437">
          <cell r="B17437" t="str">
            <v>41020129000101</v>
          </cell>
          <cell r="C17437" t="str">
            <v>INT FONDOS INTERB - MIBANCO             5ND</v>
          </cell>
        </row>
        <row r="17438">
          <cell r="B17438" t="str">
            <v>41020131000101</v>
          </cell>
          <cell r="C17438" t="str">
            <v>INT FONDOS INTERB - AGROBANCO           5ND</v>
          </cell>
        </row>
        <row r="17439">
          <cell r="B17439" t="str">
            <v>41020132000101</v>
          </cell>
          <cell r="C17439" t="str">
            <v>GST FONDOS INTERB - GNB PERÃš           5ND</v>
          </cell>
        </row>
        <row r="17440">
          <cell r="B17440" t="str">
            <v>41020133000101</v>
          </cell>
          <cell r="C17440" t="str">
            <v>INT FONDOS INTERB - BCO FALABELLA       5ND</v>
          </cell>
        </row>
        <row r="17441">
          <cell r="B17441" t="str">
            <v>41020134000101</v>
          </cell>
          <cell r="C17441" t="str">
            <v>INT FONDOS INTERB - BCO SANTANDER       5ND</v>
          </cell>
        </row>
        <row r="17442">
          <cell r="B17442" t="str">
            <v>41020135000101</v>
          </cell>
          <cell r="C17442" t="str">
            <v>INT FONDOS INTERB - BCO RIPLEY          5ND</v>
          </cell>
        </row>
        <row r="17443">
          <cell r="B17443" t="str">
            <v>41020136000101</v>
          </cell>
          <cell r="C17443" t="str">
            <v>GST FONDOS INTERB - ALFIN BANCO         5ND</v>
          </cell>
        </row>
        <row r="17444">
          <cell r="B17444" t="str">
            <v>41020137000101</v>
          </cell>
          <cell r="C17444" t="str">
            <v>INT FONDOS INTERB - BCO DEUSTCHE        5ND</v>
          </cell>
        </row>
        <row r="17445">
          <cell r="B17445" t="str">
            <v>41020138000101</v>
          </cell>
          <cell r="C17445" t="str">
            <v>INT FONDOS INTERB - BCO CENCOSUD        5ND</v>
          </cell>
        </row>
        <row r="17446">
          <cell r="B17446" t="str">
            <v>41020139000101</v>
          </cell>
          <cell r="C17446" t="str">
            <v>INT FONDOS INTERB - ICBC PERU           5ND</v>
          </cell>
        </row>
        <row r="17447">
          <cell r="B17447" t="str">
            <v>41020140000101</v>
          </cell>
          <cell r="C17447" t="str">
            <v>MDC BANK OF CHINA PERU SA               5ND</v>
          </cell>
        </row>
        <row r="17448">
          <cell r="B17448" t="str">
            <v>41020141000100</v>
          </cell>
          <cell r="C17448" t="str">
            <v>BANCO BCI PERU                          5ND</v>
          </cell>
        </row>
        <row r="17449">
          <cell r="B17449" t="str">
            <v>41020143000001</v>
          </cell>
          <cell r="C17449" t="str">
            <v>INT FONDOS INTERB - SANTANDER CONSUMER B5 D</v>
          </cell>
        </row>
        <row r="17450">
          <cell r="B17450" t="str">
            <v>41020199000101</v>
          </cell>
          <cell r="C17450" t="str">
            <v>INT FONDOS INTERB - BCO EN LIQUIDACIÃ“N 5ND</v>
          </cell>
        </row>
        <row r="17451">
          <cell r="B17451" t="str">
            <v>41020208000102</v>
          </cell>
          <cell r="C17451" t="str">
            <v>INT FONDOS INTERB - FINANCIERA TFC      5ND</v>
          </cell>
        </row>
        <row r="17452">
          <cell r="B17452" t="str">
            <v>41020208000103</v>
          </cell>
          <cell r="C17452" t="str">
            <v>INT FONDOS INTERB - EMP FINANCIERA EDYFI5ND</v>
          </cell>
        </row>
        <row r="17453">
          <cell r="B17453" t="str">
            <v>41020208000104</v>
          </cell>
          <cell r="C17453" t="str">
            <v>INT FONDOS INTERB - FINANCIERA CONFIANZA5ND</v>
          </cell>
        </row>
        <row r="17454">
          <cell r="B17454" t="str">
            <v>41020209000101</v>
          </cell>
          <cell r="C17454" t="str">
            <v>MDC INT FONDOS INTERB EMP FINANCIERA EDY5ND</v>
          </cell>
        </row>
        <row r="17455">
          <cell r="B17455" t="str">
            <v>41020210000101</v>
          </cell>
          <cell r="C17455" t="str">
            <v>INT FONDOS INTERB - FINANCIERA CREDISCOT5ND</v>
          </cell>
        </row>
        <row r="17456">
          <cell r="B17456" t="str">
            <v>41020212010101</v>
          </cell>
          <cell r="C17456" t="str">
            <v>INT FONDOS INTERB - FINANCIERA CONFIANZA5ND</v>
          </cell>
        </row>
        <row r="17457">
          <cell r="B17457" t="str">
            <v>41020219000101</v>
          </cell>
          <cell r="C17457" t="str">
            <v>INT FONDOS INTERB -FINANCIERA CREDINKA  5ND</v>
          </cell>
        </row>
        <row r="17458">
          <cell r="B17458" t="str">
            <v>41020301000101</v>
          </cell>
          <cell r="C17458" t="str">
            <v>INT FONDOS INTERBÂ  - CAJA MUNI SULLANA 5ND</v>
          </cell>
        </row>
        <row r="17459">
          <cell r="B17459" t="str">
            <v>41020304000101</v>
          </cell>
          <cell r="C17459" t="str">
            <v>INT FONDOS INTERB-Â CAJA MUN AHO Y CRED 5ND</v>
          </cell>
        </row>
        <row r="17460">
          <cell r="B17460" t="str">
            <v>41020400000101</v>
          </cell>
          <cell r="C17460" t="str">
            <v>INT FONDOS INTERB - CAJA RURAL DE AH Y C5ND</v>
          </cell>
        </row>
        <row r="17461">
          <cell r="B17461" t="str">
            <v>41020400000102</v>
          </cell>
          <cell r="C17461" t="str">
            <v>INT FONDOS INTERB  - CAJA SULLANA       5ND</v>
          </cell>
        </row>
        <row r="17462">
          <cell r="B17462" t="str">
            <v>41020418000101</v>
          </cell>
          <cell r="C17462" t="str">
            <v>INT FONDOS INTERB CRAC CENCOSUD SCOTIA P5ND</v>
          </cell>
        </row>
        <row r="17463">
          <cell r="B17463" t="str">
            <v>41020900000101</v>
          </cell>
          <cell r="C17463" t="str">
            <v>MDC INT de Repo Inter Banco Continental 5ND</v>
          </cell>
        </row>
        <row r="17464">
          <cell r="B17464" t="str">
            <v>41021801000101</v>
          </cell>
          <cell r="C17464" t="str">
            <v>INT FONDOS INTERB  - BCO JP MORGAN      5ND</v>
          </cell>
        </row>
        <row r="17465">
          <cell r="B17465" t="str">
            <v>41030102000101</v>
          </cell>
          <cell r="C17465" t="str">
            <v>INT. INSTIT. FINANCIERAS DEL EXTERIOR   5ND</v>
          </cell>
        </row>
        <row r="17466">
          <cell r="B17466" t="str">
            <v>41030301013501</v>
          </cell>
          <cell r="C17466" t="str">
            <v>BANCO RIPLEY S.A.Â Â Â                  5ND</v>
          </cell>
        </row>
        <row r="17467">
          <cell r="B17467" t="str">
            <v>41030303000101</v>
          </cell>
          <cell r="C17467" t="str">
            <v>INTERESES POR DEP PLAZO OFICINAÂ  MATRIZ5ND</v>
          </cell>
        </row>
        <row r="17468">
          <cell r="B17468" t="str">
            <v>41040103000101</v>
          </cell>
          <cell r="C17468" t="str">
            <v>INT.CERTIFICADO DE DEPÃ“SITO-BCR: PACTO 5ND</v>
          </cell>
        </row>
        <row r="17469">
          <cell r="B17469" t="str">
            <v>41040104000101</v>
          </cell>
          <cell r="C17469" t="str">
            <v>INT POR ADEUDOS CON BCRP: PACTO RECOMPRA5ND</v>
          </cell>
        </row>
        <row r="17470">
          <cell r="B17470" t="str">
            <v>41040104000102</v>
          </cell>
          <cell r="C17470" t="str">
            <v>BCRP ADEUDADO Y OBLIG GASTO - OP EXPANSI5ND</v>
          </cell>
        </row>
        <row r="17471">
          <cell r="B17471" t="str">
            <v>41040104000103</v>
          </cell>
          <cell r="C17471" t="str">
            <v>BCRP ADEUDADO Y OBLIG GASTO - OP SUSTITU5ND</v>
          </cell>
        </row>
        <row r="17472">
          <cell r="B17472" t="str">
            <v>41040202000101</v>
          </cell>
          <cell r="C17472" t="str">
            <v>INT POR PRESTAMOS ORDINARIOS            5ND</v>
          </cell>
        </row>
        <row r="17473">
          <cell r="B17473" t="str">
            <v>41040202000102</v>
          </cell>
          <cell r="C17473" t="str">
            <v>INTERESES POR ADEUDADOS COFIDE          5ND</v>
          </cell>
        </row>
        <row r="17474">
          <cell r="B17474" t="str">
            <v>41040202000104</v>
          </cell>
          <cell r="C17474" t="str">
            <v>CHI INT MI VIVIENDA                     5ND</v>
          </cell>
        </row>
        <row r="17475">
          <cell r="B17475" t="str">
            <v>41040202000106</v>
          </cell>
          <cell r="C17475" t="str">
            <v>CHI INT TECH PROP ADEUDADO              5ND</v>
          </cell>
        </row>
        <row r="17476">
          <cell r="B17476" t="str">
            <v>41040202000109</v>
          </cell>
          <cell r="C17476" t="str">
            <v>HPC ADEUD. INT MI VIV COFIDE            5ND</v>
          </cell>
        </row>
        <row r="17477">
          <cell r="B17477" t="str">
            <v>41040202000110</v>
          </cell>
          <cell r="C17477" t="str">
            <v>HPC ADEUD INT TECHO PROP COFIDE         5ND</v>
          </cell>
        </row>
        <row r="17478">
          <cell r="B17478" t="str">
            <v>41040202000111</v>
          </cell>
          <cell r="C17478" t="str">
            <v>CHI INTERES ADEUDADO MI HOGAR           5ND</v>
          </cell>
        </row>
        <row r="17479">
          <cell r="B17479" t="str">
            <v>41040202000112</v>
          </cell>
          <cell r="C17479" t="str">
            <v>CHI INT ADEUD COFIDE BT MI VIVIENDA     5ND</v>
          </cell>
        </row>
        <row r="17480">
          <cell r="B17480" t="str">
            <v>41040202000113</v>
          </cell>
          <cell r="C17480" t="str">
            <v>HPC ADEUD INT MIHOG COFIDE              5ND</v>
          </cell>
        </row>
        <row r="17481">
          <cell r="B17481" t="str">
            <v>41040202000114</v>
          </cell>
          <cell r="C17481" t="str">
            <v>HPC ADEUD. INT MI VIV COFIDE JUD        5ND</v>
          </cell>
        </row>
        <row r="17482">
          <cell r="B17482" t="str">
            <v>41040202000115</v>
          </cell>
          <cell r="C17482" t="str">
            <v>HPC ADEUD. INT TECHO PROP COFIDE JUD    5ND</v>
          </cell>
        </row>
        <row r="17483">
          <cell r="B17483" t="str">
            <v>41040202000116</v>
          </cell>
          <cell r="C17483" t="str">
            <v>HPC ADEUD.INT MI HOG COFIDE JUD         5ND</v>
          </cell>
        </row>
        <row r="17484">
          <cell r="B17484" t="str">
            <v>41040202000117</v>
          </cell>
          <cell r="C17484" t="str">
            <v>HPC ADEUDADO INTERES .JUD.TECHO.PROPIO  5ND</v>
          </cell>
        </row>
        <row r="17485">
          <cell r="B17485" t="str">
            <v>41040202000118</v>
          </cell>
          <cell r="C17485" t="str">
            <v>HPC ADEUDADO INTERES .JUD.MIHOGAR       5ND</v>
          </cell>
        </row>
        <row r="17486">
          <cell r="B17486" t="str">
            <v>41040202000119</v>
          </cell>
          <cell r="C17486" t="str">
            <v>HPC ADEUDADO INTERES .JUD.MIVIVENDA IB-B5ND</v>
          </cell>
        </row>
        <row r="17487">
          <cell r="B17487" t="str">
            <v>41040202000120</v>
          </cell>
          <cell r="C17487" t="str">
            <v>HPC ADEUD INT NUEVO MVV COFIDE          5ND</v>
          </cell>
        </row>
        <row r="17488">
          <cell r="B17488" t="str">
            <v>41040202000121</v>
          </cell>
          <cell r="C17488" t="str">
            <v>HPC ADEUD.INT NUEVO MVV COFIDE JUD      5ND</v>
          </cell>
        </row>
        <row r="17489">
          <cell r="B17489" t="str">
            <v>41040202000122</v>
          </cell>
          <cell r="C17489" t="str">
            <v>HPC ADEUDADO INTERES .JUD.NUEVO MVV COFI5ND</v>
          </cell>
        </row>
        <row r="17490">
          <cell r="B17490" t="str">
            <v>41040202000301</v>
          </cell>
          <cell r="C17490" t="str">
            <v>LPC INTERESES ADEUDADO COFIDE CP        5ND</v>
          </cell>
        </row>
        <row r="17491">
          <cell r="B17491" t="str">
            <v>41040202000302</v>
          </cell>
          <cell r="C17491" t="str">
            <v>LPC INTERESES ADEUDADO COFIDE LP        5ND</v>
          </cell>
        </row>
        <row r="17492">
          <cell r="B17492" t="str">
            <v>41040202000401</v>
          </cell>
          <cell r="C17492" t="str">
            <v>PR INTERESES ADEUDADO COFIDE CP         5ND</v>
          </cell>
        </row>
        <row r="17493">
          <cell r="B17493" t="str">
            <v>41040202000402</v>
          </cell>
          <cell r="C17493" t="str">
            <v>PR INTERESES ADEUDADO COFIDE LP         5ND</v>
          </cell>
        </row>
        <row r="17494">
          <cell r="B17494" t="str">
            <v>41040202000501</v>
          </cell>
          <cell r="C17494" t="str">
            <v>CL INT.AD CAPITAL DE TRABAJO PROD 184 LP5ND</v>
          </cell>
        </row>
        <row r="17495">
          <cell r="B17495" t="str">
            <v>41040202000502</v>
          </cell>
          <cell r="C17495" t="str">
            <v>CL COFIDE INT. LS CORTO PLAZO           5ND</v>
          </cell>
        </row>
        <row r="17496">
          <cell r="B17496" t="str">
            <v>41040202000801</v>
          </cell>
          <cell r="C17496" t="str">
            <v>CASA MATRIZ                             5ND</v>
          </cell>
        </row>
        <row r="17497">
          <cell r="B17497" t="str">
            <v>41040401000101</v>
          </cell>
          <cell r="C17497" t="str">
            <v>INT POR AD ORDINARIOS CON INST FINAN EXT5ND</v>
          </cell>
        </row>
        <row r="17498">
          <cell r="B17498" t="str">
            <v>41040401000103</v>
          </cell>
          <cell r="C17498" t="str">
            <v>INTXPAG AD EXT CORT?PLAZ 1%             5ND</v>
          </cell>
        </row>
        <row r="17499">
          <cell r="B17499" t="str">
            <v>41040401000105</v>
          </cell>
          <cell r="C17499" t="str">
            <v>INT X PAG AD CP - SUC PANAMA            5ND</v>
          </cell>
        </row>
        <row r="17500">
          <cell r="B17500" t="str">
            <v>41040402000102</v>
          </cell>
          <cell r="C17500" t="str">
            <v>INT PRESTAMO CREDIT SUISSE ISLAS CAYM   5ND</v>
          </cell>
        </row>
        <row r="17501">
          <cell r="B17501" t="str">
            <v>41040402000103</v>
          </cell>
          <cell r="C17501" t="str">
            <v>CL INTXPAG ADEUDADOS EXTERIOR           5ND</v>
          </cell>
        </row>
        <row r="17502">
          <cell r="B17502" t="str">
            <v>41040402000104</v>
          </cell>
          <cell r="C17502" t="str">
            <v>INT PRESTAMO DEUTSCHE BANK              5ND</v>
          </cell>
        </row>
        <row r="17503">
          <cell r="B17503" t="str">
            <v>41040402000105</v>
          </cell>
          <cell r="C17503" t="str">
            <v>INT X PAG AD LP - SUC PANAMA            5ND</v>
          </cell>
        </row>
        <row r="17504">
          <cell r="B17504" t="str">
            <v>41040402000106</v>
          </cell>
          <cell r="C17504" t="str">
            <v>CL INT.CHINA DEVELOPBANK HEBEI BRANCH LP5ND</v>
          </cell>
        </row>
        <row r="17505">
          <cell r="B17505" t="str">
            <v>41040402000107</v>
          </cell>
          <cell r="C17505" t="str">
            <v>CL INTERES ADEUDADO SINDICADOS          5ND</v>
          </cell>
        </row>
        <row r="17506">
          <cell r="B17506" t="str">
            <v>41040402000801</v>
          </cell>
          <cell r="C17506" t="str">
            <v>PAN SOBRE FINANCIAMIENTOS               5ND</v>
          </cell>
        </row>
        <row r="17507">
          <cell r="B17507" t="str">
            <v>41040402000802</v>
          </cell>
          <cell r="C17507" t="str">
            <v>PAN FINANCIAMIENTO LARGO PLAZO          5ND</v>
          </cell>
        </row>
        <row r="17508">
          <cell r="B17508" t="str">
            <v>41040409000104</v>
          </cell>
          <cell r="C17508" t="str">
            <v>INTERESES POR ADEUDADOS JP MORGAN       5ND</v>
          </cell>
        </row>
        <row r="17509">
          <cell r="B17509" t="str">
            <v>41040409000105</v>
          </cell>
          <cell r="C17509" t="str">
            <v>INTERESES POR ADEUDADOS WELLS FARGO     5ND</v>
          </cell>
        </row>
        <row r="17510">
          <cell r="B17510" t="str">
            <v>41040501000001</v>
          </cell>
          <cell r="C17510" t="str">
            <v>MDC INT POR AD CON ORG. FINANC. INTERNAC5ND</v>
          </cell>
        </row>
        <row r="17511">
          <cell r="B17511" t="str">
            <v>41050101000102</v>
          </cell>
          <cell r="C17511" t="str">
            <v>INTERESES POR CPP BIENES EN AF ATM      5ND</v>
          </cell>
        </row>
        <row r="17512">
          <cell r="B17512" t="str">
            <v>41050101000201</v>
          </cell>
          <cell r="C17512" t="str">
            <v>INT POR ADEUDOS CON BCRP: PACTO RECOMPRA5ND</v>
          </cell>
        </row>
        <row r="17513">
          <cell r="B17513" t="str">
            <v>41050101000202</v>
          </cell>
          <cell r="C17513" t="str">
            <v>BCRP ADEUDADO Y OBLIG GASTO - OP EXPANSI5ND</v>
          </cell>
        </row>
        <row r="17514">
          <cell r="B17514" t="str">
            <v>41050101000203</v>
          </cell>
          <cell r="C17514" t="str">
            <v>BCRP ADEUDADO Y OBLIG GASTO - OP SUSTITU5ND</v>
          </cell>
        </row>
        <row r="17515">
          <cell r="B17515" t="str">
            <v>41050101000204</v>
          </cell>
          <cell r="C17515" t="str">
            <v>OBLIG.CDN BCRP - PACTOS DE RECOMPRA     5ND</v>
          </cell>
        </row>
        <row r="17516">
          <cell r="B17516" t="str">
            <v>41050101000301</v>
          </cell>
          <cell r="C17516" t="str">
            <v>MDC INT DE REPO INTERBANCARIO ENAJENANTE5ND</v>
          </cell>
        </row>
        <row r="17517">
          <cell r="B17517" t="str">
            <v>41050101000302</v>
          </cell>
          <cell r="C17517" t="str">
            <v>MDC BCRP ADEUDADO CARTERA C             5ND</v>
          </cell>
        </row>
        <row r="17518">
          <cell r="B17518" t="str">
            <v>41050101000303</v>
          </cell>
          <cell r="C17518" t="str">
            <v>GASTO INT REPOÂ  GARANTIA CARTERA DE CRE5 D</v>
          </cell>
        </row>
        <row r="17519">
          <cell r="B17519" t="str">
            <v>41050101000304</v>
          </cell>
          <cell r="C17519" t="str">
            <v>GASTO INT GARANTÂ  REPO CARTERA DE CRED 5 D</v>
          </cell>
        </row>
        <row r="17520">
          <cell r="B17520" t="str">
            <v>41050101000305</v>
          </cell>
          <cell r="C17520" t="str">
            <v>MDC GAST DE REPO INTERBANCARIO ENAJENANT5ND</v>
          </cell>
        </row>
        <row r="17521">
          <cell r="B17521" t="str">
            <v>41050109000102</v>
          </cell>
          <cell r="C17521" t="str">
            <v>INTERESES POR CPP BIENES EN AF ATM      5ND</v>
          </cell>
        </row>
        <row r="17522">
          <cell r="B17522" t="str">
            <v>41050109000103</v>
          </cell>
          <cell r="C17522" t="str">
            <v>FDO SIGMA-PERD                          5ND</v>
          </cell>
        </row>
        <row r="17523">
          <cell r="B17523" t="str">
            <v>41050109000104</v>
          </cell>
          <cell r="C17523" t="str">
            <v>INTERESES POR CPP BIENES EN ARRENDAMIENT5ND</v>
          </cell>
        </row>
        <row r="17524">
          <cell r="B17524" t="str">
            <v>41050109000109</v>
          </cell>
          <cell r="C17524" t="str">
            <v>INTERESES POR CPP BIENES EN AF DATA CENT5ND</v>
          </cell>
        </row>
        <row r="17525">
          <cell r="B17525" t="str">
            <v>41050109000110</v>
          </cell>
          <cell r="C17525" t="str">
            <v>INTERESES POR CPP BIENES EN ARREND. EMBO5ND</v>
          </cell>
        </row>
        <row r="17526">
          <cell r="B17526" t="str">
            <v>41050109000111</v>
          </cell>
          <cell r="C17526" t="str">
            <v>EQUIPO DE RED INALAMBRICO - INTERES     5ND</v>
          </cell>
        </row>
        <row r="17527">
          <cell r="B17527" t="str">
            <v>41060101000101</v>
          </cell>
          <cell r="C17527" t="str">
            <v>IR INTERESES BONOS SENIOR               5ND</v>
          </cell>
        </row>
        <row r="17528">
          <cell r="B17528" t="str">
            <v>41060101000102</v>
          </cell>
          <cell r="C17528" t="str">
            <v>GASTOS BONOS SENIOR                     5ND</v>
          </cell>
        </row>
        <row r="17529">
          <cell r="B17529" t="str">
            <v>41060101000103</v>
          </cell>
          <cell r="C17529" t="str">
            <v>GASTOS BONOS SENIOR 2DA EMISION         5ND</v>
          </cell>
        </row>
        <row r="17530">
          <cell r="B17530" t="str">
            <v>41060101000104</v>
          </cell>
          <cell r="C17530" t="str">
            <v>GASTOS BONOS SUBORDINADOS 2DA EMISION   5ND</v>
          </cell>
        </row>
        <row r="17531">
          <cell r="B17531" t="str">
            <v>41060101000105</v>
          </cell>
          <cell r="C17531" t="str">
            <v>GASTOS PRESTAMO SINDICADO               5ND</v>
          </cell>
        </row>
        <row r="17532">
          <cell r="B17532" t="str">
            <v>41060101000106</v>
          </cell>
          <cell r="C17532" t="str">
            <v>GASTOS BONOS SENIOR UNSECURED 2023      5ND</v>
          </cell>
        </row>
        <row r="17533">
          <cell r="B17533" t="str">
            <v>41060101000107</v>
          </cell>
          <cell r="C17533" t="str">
            <v>GASTOS Exchange BONOS SENIOR 2023       5ND</v>
          </cell>
        </row>
        <row r="17534">
          <cell r="B17534" t="str">
            <v>41060101000108</v>
          </cell>
          <cell r="C17534" t="str">
            <v>DIFERIDOS BONO 2023                     5ND</v>
          </cell>
        </row>
        <row r="17535">
          <cell r="B17535" t="str">
            <v>41060101000109</v>
          </cell>
          <cell r="C17535" t="str">
            <v>INT BONOS 2DO PROG 5TA EMISION SERIE A  5ND</v>
          </cell>
        </row>
        <row r="17536">
          <cell r="B17536" t="str">
            <v>41060101000110</v>
          </cell>
          <cell r="C17536" t="str">
            <v>GASTO PRIMA EMISION CDN                 5ND</v>
          </cell>
        </row>
        <row r="17537">
          <cell r="B17537" t="str">
            <v>41060101000111</v>
          </cell>
          <cell r="C17537" t="str">
            <v>GASTO BONO CORPORATIVO 5TA EMISION      5ND</v>
          </cell>
        </row>
        <row r="17538">
          <cell r="B17538" t="str">
            <v>41060101000112</v>
          </cell>
          <cell r="C17538" t="str">
            <v>GASTO CERTIFICADO DE DEPOSITO DE NEGOCIO5ND</v>
          </cell>
        </row>
        <row r="17539">
          <cell r="B17539" t="str">
            <v>41060101000113</v>
          </cell>
          <cell r="C17539" t="str">
            <v>INT BONO CORPORATIVO SOLES 2026         5ND</v>
          </cell>
        </row>
        <row r="17540">
          <cell r="B17540" t="str">
            <v>41060101000114</v>
          </cell>
          <cell r="C17540" t="str">
            <v>DIF BONO CORPORATIVO SOLES 2026         5ND</v>
          </cell>
        </row>
        <row r="17541">
          <cell r="B17541" t="str">
            <v>41060101000115</v>
          </cell>
          <cell r="C17541" t="str">
            <v>INT BONO CORPORATIVO US.D 2026          5ND</v>
          </cell>
        </row>
        <row r="17542">
          <cell r="B17542" t="str">
            <v>41060101000116</v>
          </cell>
          <cell r="C17542" t="str">
            <v>DIF BONO CORPORATIVO US.D 2026          5ND</v>
          </cell>
        </row>
        <row r="17543">
          <cell r="B17543" t="str">
            <v>41060101000117</v>
          </cell>
          <cell r="C17543" t="str">
            <v>GASTO PRIMA BONO 2026                   5ND</v>
          </cell>
        </row>
        <row r="17544">
          <cell r="B17544" t="str">
            <v>41060101000118</v>
          </cell>
          <cell r="C17544" t="str">
            <v>IR BONO SENIOR UNSECURED 2026           5ND</v>
          </cell>
        </row>
        <row r="17545">
          <cell r="B17545" t="str">
            <v>41060101000119</v>
          </cell>
          <cell r="C17545" t="str">
            <v>MDC. GASTO BONO BONO CORPORATIVO 2030   5 D</v>
          </cell>
        </row>
        <row r="17546">
          <cell r="B17546" t="str">
            <v>41060101000120</v>
          </cell>
          <cell r="C17546" t="str">
            <v>DIF BONO CORPORATIVO 2030               5 D</v>
          </cell>
        </row>
        <row r="17547">
          <cell r="B17547" t="str">
            <v>41060101000122</v>
          </cell>
          <cell r="C17547" t="str">
            <v>GASTO PRIMA BONO 2031                   5 D</v>
          </cell>
        </row>
        <row r="17548">
          <cell r="B17548" t="str">
            <v>41060101000801</v>
          </cell>
          <cell r="C17548" t="str">
            <v>PAN BONOS SENIOR                        5ND</v>
          </cell>
        </row>
        <row r="17549">
          <cell r="B17549" t="str">
            <v>41060101000802</v>
          </cell>
          <cell r="C17549" t="str">
            <v>PAN COMIS BONOS SENIOR                  5ND</v>
          </cell>
        </row>
        <row r="17550">
          <cell r="B17550" t="str">
            <v>41060101000803</v>
          </cell>
          <cell r="C17550" t="str">
            <v>PAN GASTOS BONOS SENIOR                 5ND</v>
          </cell>
        </row>
        <row r="17551">
          <cell r="B17551" t="str">
            <v>41060101000804</v>
          </cell>
          <cell r="C17551" t="str">
            <v>PAN OTROS BONOS SENIOR                  5ND</v>
          </cell>
        </row>
        <row r="17552">
          <cell r="B17552" t="str">
            <v>41060101000805</v>
          </cell>
          <cell r="C17552" t="str">
            <v>PAN GTOS EMIS BONOS SENIOR              5ND</v>
          </cell>
        </row>
        <row r="17553">
          <cell r="B17553" t="str">
            <v>41060101000806</v>
          </cell>
          <cell r="C17553" t="str">
            <v>PAN BONOS SENIOR OTROS GTOS             5ND</v>
          </cell>
        </row>
        <row r="17554">
          <cell r="B17554" t="str">
            <v>41060101000807</v>
          </cell>
          <cell r="C17554" t="str">
            <v>PAN BONOS SENIOR 2DA EMISION            5ND</v>
          </cell>
        </row>
        <row r="17555">
          <cell r="B17555" t="str">
            <v>41060101000808</v>
          </cell>
          <cell r="C17555" t="str">
            <v>PAN GTOS EMIS BONOS SENIOR 2DA EMISION  5ND</v>
          </cell>
        </row>
        <row r="17556">
          <cell r="B17556" t="str">
            <v>41060201000102</v>
          </cell>
          <cell r="C17556" t="str">
            <v>PRIMER PROGRAMA B. SUBORDINADOS 2DA E   5ND</v>
          </cell>
        </row>
        <row r="17557">
          <cell r="B17557" t="str">
            <v>41060202000102</v>
          </cell>
          <cell r="C17557" t="str">
            <v>INT BONOS SUBORD REDIMIB 1RA EMISION    5ND</v>
          </cell>
        </row>
        <row r="17558">
          <cell r="B17558" t="str">
            <v>41060202000104</v>
          </cell>
          <cell r="C17558" t="str">
            <v>INT BONOS SUBORDINADOS 5TA EMISION      5ND</v>
          </cell>
        </row>
        <row r="17559">
          <cell r="B17559" t="str">
            <v>41060202000105</v>
          </cell>
          <cell r="C17559" t="str">
            <v>GASTOS POR INTERESES INTER1BS3A         5ND</v>
          </cell>
        </row>
        <row r="17560">
          <cell r="B17560" t="str">
            <v>41060202000107</v>
          </cell>
          <cell r="C17560" t="str">
            <v>BONOS SUBORDINADOS 5TA Y 6TA EMISION    5ND</v>
          </cell>
        </row>
        <row r="17561">
          <cell r="B17561" t="str">
            <v>41060202000108</v>
          </cell>
          <cell r="C17561" t="str">
            <v>PRIMER PROGRAMA B. SUBORDINADOS 2DA E   5ND</v>
          </cell>
        </row>
        <row r="17562">
          <cell r="B17562" t="str">
            <v>41060202000109</v>
          </cell>
          <cell r="C17562" t="str">
            <v>INTERES DE BONO SUBORDINADO COMPUTABLE  5ND</v>
          </cell>
        </row>
        <row r="17563">
          <cell r="B17563" t="str">
            <v>41060202000110</v>
          </cell>
          <cell r="C17563" t="str">
            <v>GASTOS BONOS HIBRIDOS                   5ND</v>
          </cell>
        </row>
        <row r="17564">
          <cell r="B17564" t="str">
            <v>41060202000111</v>
          </cell>
          <cell r="C17564" t="str">
            <v>IR INTERESES BONOS ND                   5ND</v>
          </cell>
        </row>
        <row r="17565">
          <cell r="B17565" t="str">
            <v>41060202000112</v>
          </cell>
          <cell r="C17565" t="str">
            <v>GASTO BONOS SUBORDINADOS - SENIOR       5ND</v>
          </cell>
        </row>
        <row r="17566">
          <cell r="B17566" t="str">
            <v>41060202000113</v>
          </cell>
          <cell r="C17566" t="str">
            <v>BONOS SUBORDINADOS 8VA EMIS GASTO       5ND</v>
          </cell>
        </row>
        <row r="17567">
          <cell r="B17567" t="str">
            <v>41060202000114</v>
          </cell>
          <cell r="C17567" t="str">
            <v>INT BONOS SUBORD 2DO PROG 2DA EM SERIE A5ND</v>
          </cell>
        </row>
        <row r="17568">
          <cell r="B17568" t="str">
            <v>41060202000115</v>
          </cell>
          <cell r="C17568" t="str">
            <v>INT BONOS SUBORDINADOS SEG PROG TERCERA 5ND</v>
          </cell>
        </row>
        <row r="17569">
          <cell r="B17569" t="str">
            <v>41060202000116</v>
          </cell>
          <cell r="C17569" t="str">
            <v>INT BONOS SUBORDINADOS REDIMIBLES 6.625%5ND</v>
          </cell>
        </row>
        <row r="17570">
          <cell r="B17570" t="str">
            <v>41060202000117</v>
          </cell>
          <cell r="C17570" t="str">
            <v>GASTOS BONOS SUB REDIMIBLES 6.625%      5ND</v>
          </cell>
        </row>
        <row r="17571">
          <cell r="B17571" t="str">
            <v>41060202000118</v>
          </cell>
          <cell r="C17571" t="str">
            <v>IR INTERESES BONOS SUBORDINADOS INTERNAC5ND</v>
          </cell>
        </row>
        <row r="17572">
          <cell r="B17572" t="str">
            <v>41060202000119</v>
          </cell>
          <cell r="C17572" t="str">
            <v>DIFERIDO BONO SUB 2029 USD 300MM        5ND</v>
          </cell>
        </row>
        <row r="17573">
          <cell r="B17573" t="str">
            <v>41060202000120</v>
          </cell>
          <cell r="C17573" t="str">
            <v>DIFERIDO BONO SUBORDINADO REDIMIBLE 20205ND</v>
          </cell>
        </row>
        <row r="17574">
          <cell r="B17574" t="str">
            <v>41060202000121</v>
          </cell>
          <cell r="C17574" t="str">
            <v>INTERESES BONO SUB RED 2020 USD 300MM   5ND</v>
          </cell>
        </row>
        <row r="17575">
          <cell r="B17575" t="str">
            <v>41060202000122</v>
          </cell>
          <cell r="C17575" t="str">
            <v>IR INTERESES BONOS SUB. INTERN. 2030    5ND</v>
          </cell>
        </row>
        <row r="17576">
          <cell r="B17576" t="str">
            <v>41060202000123</v>
          </cell>
          <cell r="C17576" t="str">
            <v>INTERESES POR BONOS SUBORDINADOS REDIMIB5ND</v>
          </cell>
        </row>
        <row r="17577">
          <cell r="B17577" t="str">
            <v>41060202000124</v>
          </cell>
          <cell r="C17577" t="str">
            <v>DIFERIDO GASTOS DE BONO SUBORDINADO 20345ND</v>
          </cell>
        </row>
        <row r="17578">
          <cell r="B17578" t="str">
            <v>41060202000125</v>
          </cell>
          <cell r="C17578" t="str">
            <v>IR INTERESES BONO SUBORDINADO 2034      5ND</v>
          </cell>
        </row>
        <row r="17579">
          <cell r="B17579" t="str">
            <v>41060202000126</v>
          </cell>
          <cell r="C17579" t="str">
            <v>DIFERIDO GASTOS DE BONO SUBORDINADO 20355ND</v>
          </cell>
        </row>
        <row r="17580">
          <cell r="B17580" t="str">
            <v>41060202000127</v>
          </cell>
          <cell r="C17580" t="str">
            <v>MDC. GASTO BONO SUBORDINADO 2035        5ND</v>
          </cell>
        </row>
        <row r="17581">
          <cell r="B17581" t="str">
            <v>41060202000128</v>
          </cell>
          <cell r="C17581" t="str">
            <v>IR INTERESES BONO SUBORDINADO 2035      5ND</v>
          </cell>
        </row>
        <row r="17582">
          <cell r="B17582" t="str">
            <v>41060202000801</v>
          </cell>
          <cell r="C17582" t="str">
            <v>PAN BONOS HIBRIDOS                      5ND</v>
          </cell>
        </row>
        <row r="17583">
          <cell r="B17583" t="str">
            <v>41060202000802</v>
          </cell>
          <cell r="C17583" t="str">
            <v>PAN COMIS BONOS HIBRIDOS                5ND</v>
          </cell>
        </row>
        <row r="17584">
          <cell r="B17584" t="str">
            <v>41060202000803</v>
          </cell>
          <cell r="C17584" t="str">
            <v>PAN GASTOS BONOS HIBRIDOS               5ND</v>
          </cell>
        </row>
        <row r="17585">
          <cell r="B17585" t="str">
            <v>41060202000804</v>
          </cell>
          <cell r="C17585" t="str">
            <v>PAN OTROS BONOS HIBRIDOS                5ND</v>
          </cell>
        </row>
        <row r="17586">
          <cell r="B17586" t="str">
            <v>41060202000805</v>
          </cell>
          <cell r="C17586" t="str">
            <v>PAN GTOS EMIS BONOS HIBRIDOS            5ND</v>
          </cell>
        </row>
        <row r="17587">
          <cell r="B17587" t="str">
            <v>41060202000806</v>
          </cell>
          <cell r="C17587" t="str">
            <v>PAN BONOS HIBRIDOS OTROS GTOS           5ND</v>
          </cell>
        </row>
        <row r="17588">
          <cell r="B17588" t="str">
            <v>41060203000101</v>
          </cell>
          <cell r="C17588" t="str">
            <v>INTERESES POR BONOS SUB NO REDIMIBLES US5ND</v>
          </cell>
        </row>
        <row r="17589">
          <cell r="B17589" t="str">
            <v>41060203000107</v>
          </cell>
          <cell r="C17589" t="str">
            <v>BONOS SUBORDINADOS 5TA Y 6TA EMISION    5ND</v>
          </cell>
        </row>
        <row r="17590">
          <cell r="B17590" t="str">
            <v>41060203000113</v>
          </cell>
          <cell r="C17590" t="str">
            <v>BONOS SUBORDINADOS 8VA EMIS GASTO       5ND</v>
          </cell>
        </row>
        <row r="17591">
          <cell r="B17591" t="str">
            <v>41060203000114</v>
          </cell>
          <cell r="C17591" t="str">
            <v>INT BONOS SUBORD 2DO PROG 2DA EM SERIE A5ND</v>
          </cell>
        </row>
        <row r="17592">
          <cell r="B17592" t="str">
            <v>41060203000115</v>
          </cell>
          <cell r="C17592" t="str">
            <v>INT BONOS SUBORDINADOS SEG PROG TERCERA 5ND</v>
          </cell>
        </row>
        <row r="17593">
          <cell r="B17593" t="str">
            <v>41060400000103</v>
          </cell>
          <cell r="C17593" t="str">
            <v>2DO PROGRAMA BAF                        5ND</v>
          </cell>
        </row>
        <row r="17594">
          <cell r="B17594" t="str">
            <v>41060501000101</v>
          </cell>
          <cell r="C17594" t="str">
            <v>INT BONOS HIPOTECARIOS-PRIMERA EMISIO   5ND</v>
          </cell>
        </row>
        <row r="17595">
          <cell r="B17595" t="str">
            <v>41060501000102</v>
          </cell>
          <cell r="C17595" t="str">
            <v>INT BONOS HIPOTECAR-SEGUNDA EMISION     5ND</v>
          </cell>
        </row>
        <row r="17596">
          <cell r="B17596" t="str">
            <v>41060700000101</v>
          </cell>
          <cell r="C17596" t="str">
            <v>INT.CDBCRP AL DESCTO ALM ESTRAT         5ND</v>
          </cell>
        </row>
        <row r="17597">
          <cell r="B17597" t="str">
            <v>41060709000101</v>
          </cell>
          <cell r="C17597" t="str">
            <v>INT CERT DEPÃ“SITO 1ER PROG 1ERA EMISION5ND</v>
          </cell>
        </row>
        <row r="17598">
          <cell r="B17598" t="str">
            <v>41060709000102</v>
          </cell>
          <cell r="C17598" t="str">
            <v>MDC.INT CDN 2DO PROG 1ERA EMISION       5ND</v>
          </cell>
        </row>
        <row r="17599">
          <cell r="B17599" t="str">
            <v>41060709000103</v>
          </cell>
          <cell r="C17599" t="str">
            <v>DIFERIDO GASTOS 1ERA EMISIÃ“N DEL 2DO PR5ND</v>
          </cell>
        </row>
        <row r="17600">
          <cell r="B17600" t="str">
            <v>41060709000104</v>
          </cell>
          <cell r="C17600" t="str">
            <v>MDC.INT CDN 2DO PROG 2DA EMISION        5ND</v>
          </cell>
        </row>
        <row r="17601">
          <cell r="B17601" t="str">
            <v>41060709000105</v>
          </cell>
          <cell r="C17601" t="str">
            <v>INTERESES POR OTROS INSTRUMENTOS REPRESE5ND</v>
          </cell>
        </row>
        <row r="17602">
          <cell r="B17602" t="str">
            <v>41060709000106</v>
          </cell>
          <cell r="C17602" t="str">
            <v>DIFERIDO GASTOS SERIE C DEL 2DO PROGRAMA5 D</v>
          </cell>
        </row>
        <row r="17603">
          <cell r="B17603" t="str">
            <v>41060709000107</v>
          </cell>
          <cell r="C17603" t="str">
            <v>MDC.INT CDN 2DO PROG 3RA EMISION        5 D</v>
          </cell>
        </row>
        <row r="17604">
          <cell r="B17604" t="str">
            <v>41060709000108</v>
          </cell>
          <cell r="C17604" t="str">
            <v>MDC.INT CDN 2DO PROG 4TA EMISION        5ND</v>
          </cell>
        </row>
        <row r="17605">
          <cell r="B17605" t="str">
            <v>41060709000109</v>
          </cell>
          <cell r="C17605" t="str">
            <v>DIFERIDO GASTOS SERIE D DEL 2DO PROGRAMA5ND</v>
          </cell>
        </row>
        <row r="17606">
          <cell r="B17606" t="str">
            <v>41060709000110</v>
          </cell>
          <cell r="C17606" t="str">
            <v>DIFERIDO GASTOS SERIE E DEL 2DO PROGRAMA5 D</v>
          </cell>
        </row>
        <row r="17607">
          <cell r="B17607" t="str">
            <v>41060709000111</v>
          </cell>
          <cell r="C17607" t="str">
            <v>MDC INT CDN 2DO PROG 5TA EMISION        5 D</v>
          </cell>
        </row>
        <row r="17608">
          <cell r="B17608" t="str">
            <v>41070100000101</v>
          </cell>
          <cell r="C17608" t="str">
            <v>SOBREGIROS EN CUENTA CORRIENTE          5ND</v>
          </cell>
        </row>
        <row r="17609">
          <cell r="B17609" t="str">
            <v>41070300000202</v>
          </cell>
          <cell r="C17609" t="str">
            <v>CHI ADM COFIDE MI VIVIENDA              5ND</v>
          </cell>
        </row>
        <row r="17610">
          <cell r="B17610" t="str">
            <v>41070300000205</v>
          </cell>
          <cell r="C17610" t="str">
            <v>CHI COM TECH PROP ADEUDADO              5ND</v>
          </cell>
        </row>
        <row r="17611">
          <cell r="B17611" t="str">
            <v>41070300000209</v>
          </cell>
          <cell r="C17611" t="str">
            <v>HPC COM ADM MI VIV COFIDE               5ND</v>
          </cell>
        </row>
        <row r="17612">
          <cell r="B17612" t="str">
            <v>41070300000210</v>
          </cell>
          <cell r="C17612" t="str">
            <v>HPC COM FLAT MI VIV COFIDE              5ND</v>
          </cell>
        </row>
        <row r="17613">
          <cell r="B17613" t="str">
            <v>41070300000211</v>
          </cell>
          <cell r="C17613" t="str">
            <v>HPC COM ADM TECHO PROP COFIDE           5ND</v>
          </cell>
        </row>
        <row r="17614">
          <cell r="B17614" t="str">
            <v>41070300000212</v>
          </cell>
          <cell r="C17614" t="str">
            <v>HPC COM FLAT TECHO PROP COFIDE          5ND</v>
          </cell>
        </row>
        <row r="17615">
          <cell r="B17615" t="str">
            <v>41070300000214</v>
          </cell>
          <cell r="C17615" t="str">
            <v>CHI COM ADM ADEUDADO MI HOGAR           5ND</v>
          </cell>
        </row>
        <row r="17616">
          <cell r="B17616" t="str">
            <v>41070300000215</v>
          </cell>
          <cell r="C17616" t="str">
            <v>CHI COM FLAT ADEUD BT MI VIVIENDA       5ND</v>
          </cell>
        </row>
        <row r="17617">
          <cell r="B17617" t="str">
            <v>41070300000216</v>
          </cell>
          <cell r="C17617" t="str">
            <v>CHI COM ADM ADEUD BT MI VIVIENDA        5ND</v>
          </cell>
        </row>
        <row r="17618">
          <cell r="B17618" t="str">
            <v>41070300000217</v>
          </cell>
          <cell r="C17618" t="str">
            <v>HPC COM ADM MIHOG COFIDE                5ND</v>
          </cell>
        </row>
        <row r="17619">
          <cell r="B17619" t="str">
            <v>41070300000218</v>
          </cell>
          <cell r="C17619" t="str">
            <v>HPC COM FLAT MI HOG COFIDE              5ND</v>
          </cell>
        </row>
        <row r="17620">
          <cell r="B17620" t="str">
            <v>41070300000219</v>
          </cell>
          <cell r="C17620" t="str">
            <v>COM ADM ADEUDADO COFIDE                 5ND</v>
          </cell>
        </row>
        <row r="17621">
          <cell r="B17621" t="str">
            <v>41070300000220</v>
          </cell>
          <cell r="C17621" t="str">
            <v>IC CTA GASTOS COMISION E ITF COFIDE     5ND</v>
          </cell>
        </row>
        <row r="17622">
          <cell r="B17622" t="str">
            <v>41070300000221</v>
          </cell>
          <cell r="C17622" t="str">
            <v>HPC COM ADM    NUEVO MVV COFIDE         5ND</v>
          </cell>
        </row>
        <row r="17623">
          <cell r="B17623" t="str">
            <v>41070300000222</v>
          </cell>
          <cell r="C17623" t="str">
            <v>HPC COM FLAT NUEVO MVV COFIDE           5ND</v>
          </cell>
        </row>
        <row r="17624">
          <cell r="B17624" t="str">
            <v>41070300000401</v>
          </cell>
          <cell r="C17624" t="str">
            <v>COM INST FINANC EXT.                    5ND</v>
          </cell>
        </row>
        <row r="17625">
          <cell r="B17625" t="str">
            <v>41070300000601</v>
          </cell>
          <cell r="C17625" t="str">
            <v>GASTOS POR ADEUDADO CREDIT SUISSE       5ND</v>
          </cell>
        </row>
        <row r="17626">
          <cell r="B17626" t="str">
            <v>41070300000602</v>
          </cell>
          <cell r="C17626" t="str">
            <v>GASTOS POR ADEUDADO DEUTSCHE BANK       5ND</v>
          </cell>
        </row>
        <row r="17627">
          <cell r="B17627" t="str">
            <v>41070300000603</v>
          </cell>
          <cell r="C17627" t="str">
            <v>GASTOS BONOS HIBRIDOS                   5ND</v>
          </cell>
        </row>
        <row r="17628">
          <cell r="B17628" t="str">
            <v>41070300000801</v>
          </cell>
          <cell r="C17628" t="str">
            <v>PAN CHEQUES CERTIFICADOS                5ND</v>
          </cell>
        </row>
        <row r="17629">
          <cell r="B17629" t="str">
            <v>41070300000802</v>
          </cell>
          <cell r="C17629" t="str">
            <v>PAN MANTENIMIENTO DE CUENTAS            5ND</v>
          </cell>
        </row>
        <row r="17630">
          <cell r="B17630" t="str">
            <v>41070900000101</v>
          </cell>
          <cell r="C17630" t="str">
            <v>COM EMISION BONOS SUBORDINADOS          5ND</v>
          </cell>
        </row>
        <row r="17631">
          <cell r="B17631" t="str">
            <v>41070900000201</v>
          </cell>
          <cell r="C17631" t="str">
            <v>MDC GASTOSÂ  DE FONDOS EN GARANTÃA OP C5ND</v>
          </cell>
        </row>
        <row r="17632">
          <cell r="B17632" t="str">
            <v>41070900000801</v>
          </cell>
          <cell r="C17632" t="str">
            <v>PAN OTRAS                               5ND</v>
          </cell>
        </row>
        <row r="17633">
          <cell r="B17633" t="str">
            <v>41080100000101</v>
          </cell>
          <cell r="C17633" t="str">
            <v>DIF.CAMBIO - OFERTA Y DEMANDA           5ND</v>
          </cell>
        </row>
        <row r="17634">
          <cell r="B17634" t="str">
            <v>41080100000102</v>
          </cell>
          <cell r="C17634" t="str">
            <v>DIF.CAMBIO - ARBITRAJE                  5ND</v>
          </cell>
        </row>
        <row r="17635">
          <cell r="B17635" t="str">
            <v>41080100000103</v>
          </cell>
          <cell r="C17635" t="str">
            <v>DIF.CAMBIO - OFERTA Y DEMANDA CAPITAL   5ND</v>
          </cell>
        </row>
        <row r="17636">
          <cell r="B17636" t="str">
            <v>41080100000105</v>
          </cell>
          <cell r="C17636" t="str">
            <v>DIF.CAMBIO - OP. A FUTURO               5ND</v>
          </cell>
        </row>
        <row r="17637">
          <cell r="B17637" t="str">
            <v>41080100000106</v>
          </cell>
          <cell r="C17637" t="str">
            <v>DIF.CAMBIO - SPOT                       5ND</v>
          </cell>
        </row>
        <row r="17638">
          <cell r="B17638" t="str">
            <v>41080100000107</v>
          </cell>
          <cell r="C17638" t="str">
            <v>DIF.CAMBIO - SWAP DE COBERTURA          5ND</v>
          </cell>
        </row>
        <row r="17639">
          <cell r="B17639" t="str">
            <v>41080100000108</v>
          </cell>
          <cell r="C17639" t="str">
            <v>DIF.CAMBIO - OP. COBERTURA SWAP - SCCS  5ND</v>
          </cell>
        </row>
        <row r="17640">
          <cell r="B17640" t="str">
            <v>41080100000109</v>
          </cell>
          <cell r="C17640" t="str">
            <v>DIF CAMBIO - POSICION SPOT SWAP BCR     5ND</v>
          </cell>
        </row>
        <row r="17641">
          <cell r="B17641" t="str">
            <v>41080100000111</v>
          </cell>
          <cell r="C17641" t="str">
            <v>DIF EN CAMBIO SPOT FWD OTRAS MONEDAS    5ND</v>
          </cell>
        </row>
        <row r="17642">
          <cell r="B17642" t="str">
            <v>41080100000112</v>
          </cell>
          <cell r="C17642" t="str">
            <v>DIF.CAMBIO - OPERACIONES CON PROVEEDORES5ND</v>
          </cell>
        </row>
        <row r="17643">
          <cell r="B17643" t="str">
            <v>41080100000115</v>
          </cell>
          <cell r="C17643" t="str">
            <v>PERDIDA DIF.CAMBIO - OP. COBERTURA OPCIO5ND</v>
          </cell>
        </row>
        <row r="17644">
          <cell r="B17644" t="str">
            <v>41080100000116</v>
          </cell>
          <cell r="C17644" t="str">
            <v>DIF.CAMBIO - OP.SPOT FWD OTRAS MONEDAS  5ND</v>
          </cell>
        </row>
        <row r="17645">
          <cell r="B17645" t="str">
            <v>41080100000117</v>
          </cell>
          <cell r="C17645" t="str">
            <v>DIF.CAMBIO - POSIC OPCION OTRAS MONEDAS 5ND</v>
          </cell>
        </row>
        <row r="17646">
          <cell r="B17646" t="str">
            <v>41080100000118</v>
          </cell>
          <cell r="C17646" t="str">
            <v>PERDIDA  DIF.CAMBIO - POSICION SPTX     5ND</v>
          </cell>
        </row>
        <row r="17647">
          <cell r="B17647" t="str">
            <v>41080100000119</v>
          </cell>
          <cell r="C17647" t="str">
            <v>DIFERENCIA EN CAMBIO CCS                5ND</v>
          </cell>
        </row>
        <row r="17648">
          <cell r="B17648" t="str">
            <v>41080100000120</v>
          </cell>
          <cell r="C17648" t="str">
            <v>PERDIDA DIF.CAMBIO - IRS                5ND</v>
          </cell>
        </row>
        <row r="17649">
          <cell r="B17649" t="str">
            <v>41080100000121</v>
          </cell>
          <cell r="C17649" t="str">
            <v>PERDIDA DIF.CAMBIO - SPOT Estra         5ND</v>
          </cell>
        </row>
        <row r="17650">
          <cell r="B17650" t="str">
            <v>41080100000122</v>
          </cell>
          <cell r="C17650" t="str">
            <v>PERDIDA DIF.CAMBIO - SWAP COMPRA COB    5ND</v>
          </cell>
        </row>
        <row r="17651">
          <cell r="B17651" t="str">
            <v>41080100000123</v>
          </cell>
          <cell r="C17651" t="str">
            <v>PERDIDA DIF.CAMBIO -  OPC DIVISA        5ND</v>
          </cell>
        </row>
        <row r="17652">
          <cell r="B17652" t="str">
            <v>41080100000124</v>
          </cell>
          <cell r="C17652" t="str">
            <v>Gasto Spot Fwd Opciones                 5ND</v>
          </cell>
        </row>
        <row r="17653">
          <cell r="B17653" t="str">
            <v>41080100000125</v>
          </cell>
          <cell r="C17653" t="str">
            <v>Gasto Spot Fwd Op Divisas               5ND</v>
          </cell>
        </row>
        <row r="17654">
          <cell r="B17654" t="str">
            <v>41080100000126</v>
          </cell>
          <cell r="C17654" t="str">
            <v>PERDIDA DIF.CAMBIO -  SWAP CAMBIARIO    5ND</v>
          </cell>
        </row>
        <row r="17655">
          <cell r="B17655" t="str">
            <v>41080100000127</v>
          </cell>
          <cell r="C17655" t="str">
            <v>PERDIDA CAMBIARIO POSICIÃ“N  SWAP  (SBCR5ND</v>
          </cell>
        </row>
        <row r="17656">
          <cell r="B17656" t="str">
            <v>41080100000128</v>
          </cell>
          <cell r="C17656" t="str">
            <v>Perdida  Derivados PosiciÃ³n Neg Finanza5ND</v>
          </cell>
        </row>
        <row r="17657">
          <cell r="B17657" t="str">
            <v>41080100000129</v>
          </cell>
          <cell r="C17657" t="str">
            <v>PERD POSICIÃ“N DE DIVISAS ESTRATEGICAS  5ND</v>
          </cell>
        </row>
        <row r="17658">
          <cell r="B17658" t="str">
            <v>41080100000130</v>
          </cell>
          <cell r="C17658" t="str">
            <v>MDC GASTO COBERTURAS CDR                5ND</v>
          </cell>
        </row>
        <row r="17659">
          <cell r="B17659" t="str">
            <v>41080100000201</v>
          </cell>
          <cell r="C17659" t="str">
            <v>DIF.CAMBIO - OPERACIONES TARJETA DE CRED5ND</v>
          </cell>
        </row>
        <row r="17660">
          <cell r="B17660" t="str">
            <v>41080100000202</v>
          </cell>
          <cell r="C17660" t="str">
            <v>POSICION SPOT UW                        5 D</v>
          </cell>
        </row>
        <row r="17661">
          <cell r="B17661" t="str">
            <v>41080100000203</v>
          </cell>
          <cell r="C17661" t="str">
            <v>MRX SPOT COBERTURA CCS ESTRATEGICO      5ND</v>
          </cell>
        </row>
        <row r="17662">
          <cell r="B17662" t="str">
            <v>41080100000204</v>
          </cell>
          <cell r="C17662" t="str">
            <v>MRX GAST POSICION NEGOCIACION CCS ESTRAT5ND</v>
          </cell>
        </row>
        <row r="17663">
          <cell r="B17663" t="str">
            <v>41080100000205</v>
          </cell>
          <cell r="C17663" t="str">
            <v>MRX GAST POSICION FWD TESORERIA         5ND</v>
          </cell>
        </row>
        <row r="17664">
          <cell r="B17664" t="str">
            <v>41080100000206</v>
          </cell>
          <cell r="C17664" t="str">
            <v>GAST OPCIONES ESTRATEGICO MERCADO LIBRE 5ND</v>
          </cell>
        </row>
        <row r="17665">
          <cell r="B17665" t="str">
            <v>41080100000207</v>
          </cell>
          <cell r="C17665" t="str">
            <v>GAST OPCIONES ESTRATEGICO ARBITRAJE     5ND</v>
          </cell>
        </row>
        <row r="17666">
          <cell r="B17666" t="str">
            <v>41080100000210</v>
          </cell>
          <cell r="C17666" t="str">
            <v>MDC PERDIDA FX SPOTS MERCADO LIBRE      5 D</v>
          </cell>
        </row>
        <row r="17667">
          <cell r="B17667" t="str">
            <v>41080100000211</v>
          </cell>
          <cell r="C17667" t="str">
            <v>MDC PERDIDA FX SPOTS ARBITRAJE          5 D</v>
          </cell>
        </row>
        <row r="17668">
          <cell r="B17668" t="str">
            <v>41080100000212</v>
          </cell>
          <cell r="C17668" t="str">
            <v>MDC PERDIDA FWD SPOT HEGDE MERCADO LIBRE5 D</v>
          </cell>
        </row>
        <row r="17669">
          <cell r="B17669" t="str">
            <v>41080100000213</v>
          </cell>
          <cell r="C17669" t="str">
            <v>MDC PERDIDA FWD SPOT HEGDE ARBITRAJE    5 D</v>
          </cell>
        </row>
        <row r="17670">
          <cell r="B17670" t="str">
            <v>41080100000214</v>
          </cell>
          <cell r="C17670" t="str">
            <v>MDC PERDIDA INVERSIONES CCS MERCADO LIBR5 D</v>
          </cell>
        </row>
        <row r="17671">
          <cell r="B17671" t="str">
            <v>41080100000215</v>
          </cell>
          <cell r="C17671" t="str">
            <v>MDC PERDIDA MESA INVERSIONES (GDN BIMONE5 D</v>
          </cell>
        </row>
        <row r="17672">
          <cell r="B17672" t="str">
            <v>41080100000216</v>
          </cell>
          <cell r="C17672" t="str">
            <v>MDC PERDIDA MESA FX OPCIONES ARBITRAJE  5ND</v>
          </cell>
        </row>
        <row r="17673">
          <cell r="B17673" t="str">
            <v>41080100000217</v>
          </cell>
          <cell r="C17673" t="str">
            <v>MDC PERDIDA MESA FX OPCIONES MERCADO LIB5ND</v>
          </cell>
        </row>
        <row r="17674">
          <cell r="B17674" t="str">
            <v>41080100000218</v>
          </cell>
          <cell r="C17674" t="str">
            <v>MDC PERDIDA MESA DRV FWD ARBITRAJE      5ND</v>
          </cell>
        </row>
        <row r="17675">
          <cell r="B17675" t="str">
            <v>41080201000202</v>
          </cell>
          <cell r="C17675" t="str">
            <v>VENTAS A FUTURO-SWAPS INT (NEGOCIACIO   5ND</v>
          </cell>
        </row>
        <row r="17676">
          <cell r="B17676" t="str">
            <v>41080201000302</v>
          </cell>
          <cell r="C17676" t="str">
            <v>COMPRAS A FUTURO - SWAP                 5ND</v>
          </cell>
        </row>
        <row r="17677">
          <cell r="B17677" t="str">
            <v>41080202000101</v>
          </cell>
          <cell r="C17677" t="str">
            <v>COMPRAS A FUT-FWD.DELIVERY ESPEC ME     5ND</v>
          </cell>
        </row>
        <row r="17678">
          <cell r="B17678" t="str">
            <v>41080202000102</v>
          </cell>
          <cell r="C17678" t="str">
            <v>COMPRAS A FUT-FWD. NON DELIVERY ME      5ND</v>
          </cell>
        </row>
        <row r="17679">
          <cell r="B17679" t="str">
            <v>41080202000103</v>
          </cell>
          <cell r="C17679" t="str">
            <v>PERD DIFERENCIAL FORWARD TASA PAG FIJO  5ND</v>
          </cell>
        </row>
        <row r="17680">
          <cell r="B17680" t="str">
            <v>41080202000104</v>
          </cell>
          <cell r="C17680" t="str">
            <v>PERD DIF. FORWARD TASA PAG FLOTANTE     5ND</v>
          </cell>
        </row>
        <row r="17681">
          <cell r="B17681" t="str">
            <v>41080202000105</v>
          </cell>
          <cell r="C17681" t="str">
            <v>FWD NDF PÉRDIDA COBERTURA COMPRA OPCIONE5ND</v>
          </cell>
        </row>
        <row r="17682">
          <cell r="B17682" t="str">
            <v>41080202000106</v>
          </cell>
          <cell r="C17682" t="str">
            <v>GASTO POR COBERTURA VENTA OPCIONES      5ND</v>
          </cell>
        </row>
        <row r="17683">
          <cell r="B17683" t="str">
            <v>41080202000107</v>
          </cell>
          <cell r="C17683" t="str">
            <v>FWD NDF PERDIDA COBERTURA ENTREGA COMPRA5ND</v>
          </cell>
        </row>
        <row r="17684">
          <cell r="B17684" t="str">
            <v>41080202000108</v>
          </cell>
          <cell r="C17684" t="str">
            <v>FWD NDF PERDIDA COBERTURA ENTREGA VENTA 5ND</v>
          </cell>
        </row>
        <row r="17685">
          <cell r="B17685" t="str">
            <v>41080202000109</v>
          </cell>
          <cell r="C17685" t="str">
            <v>FWD NDF Pérdida cobertura compra swaps  5ND</v>
          </cell>
        </row>
        <row r="17686">
          <cell r="B17686" t="str">
            <v>41080202000110</v>
          </cell>
          <cell r="C17686" t="str">
            <v>Gasto por cobertura venta swaps         5ND</v>
          </cell>
        </row>
        <row r="17687">
          <cell r="B17687" t="str">
            <v>41080202000111</v>
          </cell>
          <cell r="C17687" t="str">
            <v>FWD NDF perdida cobertura entrega compra5ND</v>
          </cell>
        </row>
        <row r="17688">
          <cell r="B17688" t="str">
            <v>41080202000112</v>
          </cell>
          <cell r="C17688" t="str">
            <v>FWD NDF perdida cobertura entrega venta 5ND</v>
          </cell>
        </row>
        <row r="17689">
          <cell r="B17689" t="str">
            <v>41080202000201</v>
          </cell>
          <cell r="C17689" t="str">
            <v>VENTAS A FUTURO - FWD.DELIVERY ESPECU   5ND</v>
          </cell>
        </row>
        <row r="17690">
          <cell r="B17690" t="str">
            <v>41080202000202</v>
          </cell>
          <cell r="C17690" t="str">
            <v>VENTAS A FUTURO - FWD.NON DELIVERY ES   5ND</v>
          </cell>
        </row>
        <row r="17691">
          <cell r="B17691" t="str">
            <v>41080205000101</v>
          </cell>
          <cell r="C17691" t="str">
            <v>DERIVAD PERDIDA OPC COMPRAS CALL AMERICA5ND</v>
          </cell>
        </row>
        <row r="17692">
          <cell r="B17692" t="str">
            <v>41080205000102</v>
          </cell>
          <cell r="C17692" t="str">
            <v>DERIVAD PERDIDA OPC DEUD VTA CALL AMERIC5ND</v>
          </cell>
        </row>
        <row r="17693">
          <cell r="B17693" t="str">
            <v>41080205000103</v>
          </cell>
          <cell r="C17693" t="str">
            <v>DERIVAD PERDIDA OPC COMPRAS PUTS AMERICA5ND</v>
          </cell>
        </row>
        <row r="17694">
          <cell r="B17694" t="str">
            <v>41080205000104</v>
          </cell>
          <cell r="C17694" t="str">
            <v>DERIVAD PERDIDA OPC VENTAS PUTS AMERICAN5ND</v>
          </cell>
        </row>
        <row r="17695">
          <cell r="B17695" t="str">
            <v>41080205000201</v>
          </cell>
          <cell r="C17695" t="str">
            <v>DERIVAD PERDIDA OPC COMPRAS CALL EUROPEO5ND</v>
          </cell>
        </row>
        <row r="17696">
          <cell r="B17696" t="str">
            <v>41080205000202</v>
          </cell>
          <cell r="C17696" t="str">
            <v>DERIVAD PERDIDA OPC DEUD VTA CALL EUROPE5ND</v>
          </cell>
        </row>
        <row r="17697">
          <cell r="B17697" t="str">
            <v>41080205000203</v>
          </cell>
          <cell r="C17697" t="str">
            <v>DERIVAD PERDIDA OPC COMPRAS PUTS EUROPEO5ND</v>
          </cell>
        </row>
        <row r="17698">
          <cell r="B17698" t="str">
            <v>41080205000204</v>
          </cell>
          <cell r="C17698" t="str">
            <v>DERIVAD PERDIDA OPC VENTAS PUTS EUROPEO 5ND</v>
          </cell>
        </row>
        <row r="17699">
          <cell r="B17699" t="str">
            <v>41080301020103</v>
          </cell>
          <cell r="C17699" t="str">
            <v>DIFERENCIA DE CAMBIO CCS                5ND</v>
          </cell>
        </row>
        <row r="17700">
          <cell r="B17700" t="str">
            <v>41080409000101</v>
          </cell>
          <cell r="C17700" t="str">
            <v>AJUSTE POR DIFERENCIA DE CAMBIO         5ND</v>
          </cell>
        </row>
        <row r="17701">
          <cell r="B17701" t="str">
            <v>41080409000102</v>
          </cell>
          <cell r="C17701" t="str">
            <v>AJUSTE ACTVOS.VARIACION TIPO DE CAMBI   5ND</v>
          </cell>
        </row>
        <row r="17702">
          <cell r="B17702" t="str">
            <v>41080409000103</v>
          </cell>
          <cell r="C17702" t="str">
            <v>DIFERENCIA DE CAMBIO RECLAMOS TARJETA   5ND</v>
          </cell>
        </row>
        <row r="17703">
          <cell r="B17703" t="str">
            <v>41080900000103</v>
          </cell>
          <cell r="C17703" t="str">
            <v>AJUSTE POR DIF. DE CAMBIO-PROVEEDORES LP5ND</v>
          </cell>
        </row>
        <row r="17704">
          <cell r="B17704" t="str">
            <v>41090100000203</v>
          </cell>
          <cell r="C17704" t="str">
            <v>REAJ.POR INDEX.1ER PROG. SUBOR 3RA EM   5ND</v>
          </cell>
        </row>
        <row r="17705">
          <cell r="B17705" t="str">
            <v>41090100000301</v>
          </cell>
          <cell r="C17705" t="str">
            <v>CHI COM RJ INDX MI VIVIENDA .NCO        5ND</v>
          </cell>
        </row>
        <row r="17706">
          <cell r="B17706" t="str">
            <v>41090100000302</v>
          </cell>
          <cell r="C17706" t="str">
            <v>CHI REAJ INDX MI VIVIENDA .NCO          5ND</v>
          </cell>
        </row>
        <row r="17707">
          <cell r="B17707" t="str">
            <v>41090100000306</v>
          </cell>
          <cell r="C17707" t="str">
            <v>CHI RJ INDX INT PAG COFIDE PH MV .NCO   5ND</v>
          </cell>
        </row>
        <row r="17708">
          <cell r="B17708" t="str">
            <v>41090100000320</v>
          </cell>
          <cell r="C17708" t="str">
            <v>REAJ INDEX CAPITAL PH MV COB JUD        5ND</v>
          </cell>
        </row>
        <row r="17709">
          <cell r="B17709" t="str">
            <v>41090100000501</v>
          </cell>
          <cell r="C17709" t="str">
            <v>CHI REAJ INDEX CAP VIG BT MIVIV VAC     5ND</v>
          </cell>
        </row>
        <row r="17710">
          <cell r="B17710" t="str">
            <v>41090100000502</v>
          </cell>
          <cell r="C17710" t="str">
            <v>CHI ADEUD INDEX BT MI VIVIENDA COFIDE   5ND</v>
          </cell>
        </row>
        <row r="17711">
          <cell r="B17711" t="str">
            <v>41090100000503</v>
          </cell>
          <cell r="C17711" t="str">
            <v>CHI INT PAG INDEX BT MVV COFIDE         5ND</v>
          </cell>
        </row>
        <row r="17712">
          <cell r="B17712" t="str">
            <v>41090100000504</v>
          </cell>
          <cell r="C17712" t="str">
            <v>CHI COM PAG INDEX BT MVV COFIDE         5ND</v>
          </cell>
        </row>
        <row r="17713">
          <cell r="B17713" t="str">
            <v>41090100000506</v>
          </cell>
          <cell r="C17713" t="str">
            <v>HPC REAJ INDX CAP VIG MIVIV             5ND</v>
          </cell>
        </row>
        <row r="17714">
          <cell r="B17714" t="str">
            <v>41090100000507</v>
          </cell>
          <cell r="C17714" t="str">
            <v>HPC REAJ INDX INT VIG MIVIV             5ND</v>
          </cell>
        </row>
        <row r="17715">
          <cell r="B17715" t="str">
            <v>41090100000508</v>
          </cell>
          <cell r="C17715" t="str">
            <v>HPC REAJ INT INDX VENC MI VIVIENDA      5ND</v>
          </cell>
        </row>
        <row r="17716">
          <cell r="B17716" t="str">
            <v>41090100000509</v>
          </cell>
          <cell r="C17716" t="str">
            <v>HPC ADEUD INT  INDX  MIVIVIENDA         5ND</v>
          </cell>
        </row>
        <row r="17717">
          <cell r="B17717" t="str">
            <v>41090100000510</v>
          </cell>
          <cell r="C17717" t="str">
            <v>HPC ADEUD COM ADMÂ  INDX MIVIVIENDA     5ND</v>
          </cell>
        </row>
        <row r="17718">
          <cell r="B17718" t="str">
            <v>41090100000511</v>
          </cell>
          <cell r="C17718" t="str">
            <v>HPC ADEUD INT  INDX MIVIVIENDA  JUD  COB5ND</v>
          </cell>
        </row>
        <row r="17719">
          <cell r="B17719" t="str">
            <v>41090100000512</v>
          </cell>
          <cell r="C17719" t="str">
            <v>HPC ADEUD INT JUD  INDX MIVIVIENDA      5ND</v>
          </cell>
        </row>
        <row r="17720">
          <cell r="B17720" t="str">
            <v>41090100000513</v>
          </cell>
          <cell r="C17720" t="str">
            <v>HPC  CAP  IDX  ADEUD  MI VIVIENDA       5ND</v>
          </cell>
        </row>
        <row r="17721">
          <cell r="B17721" t="str">
            <v>41090100000601</v>
          </cell>
          <cell r="C17721" t="str">
            <v>REAJ.POR INDEX DEPOSITO A PLAZO         5ND</v>
          </cell>
        </row>
        <row r="17722">
          <cell r="B17722" t="str">
            <v>41090100000602</v>
          </cell>
          <cell r="C17722" t="str">
            <v>REAJ.POR INDEX.BONOS 2DO PROG 5TA EMISIO5ND</v>
          </cell>
        </row>
        <row r="17723">
          <cell r="B17723" t="str">
            <v>41090100000603</v>
          </cell>
          <cell r="C17723" t="str">
            <v>REAJ.POR INDEX DEPOSITO A PLAZO PJSL    5ND</v>
          </cell>
        </row>
        <row r="17724">
          <cell r="B17724" t="str">
            <v>41090300000206</v>
          </cell>
          <cell r="C17724" t="str">
            <v>COMPRVTA BONOS SOBERANOS TRADING        5ND</v>
          </cell>
        </row>
        <row r="17725">
          <cell r="B17725" t="str">
            <v>41090300000402</v>
          </cell>
          <cell r="C17725" t="str">
            <v>COMPRAVENTA CDN BCRP AL DSCTO.          5ND</v>
          </cell>
        </row>
        <row r="17726">
          <cell r="B17726" t="str">
            <v>41090300000403</v>
          </cell>
          <cell r="C17726" t="str">
            <v>COMPRAVENTA BONOS SOC.NO FINANCIERAS    5ND</v>
          </cell>
        </row>
        <row r="17727">
          <cell r="B17727" t="str">
            <v>41090300000404</v>
          </cell>
          <cell r="C17727" t="str">
            <v>COMPRAVENTA BONOS GLOBALES              5ND</v>
          </cell>
        </row>
        <row r="17728">
          <cell r="B17728" t="str">
            <v>41090300000409</v>
          </cell>
          <cell r="C17728" t="str">
            <v>COMPRVTA BONOS SOBERANOS PAIS           5ND</v>
          </cell>
        </row>
        <row r="17729">
          <cell r="B17729" t="str">
            <v>41090300000414</v>
          </cell>
          <cell r="C17729" t="str">
            <v>COMPRA VENTA BONOS ORG FINANCIEROS      5ND</v>
          </cell>
        </row>
        <row r="17730">
          <cell r="B17730" t="str">
            <v>41090300000415</v>
          </cell>
          <cell r="C17730" t="str">
            <v>COMPRA VENTA BONOS BONOS BAF IB         5ND</v>
          </cell>
        </row>
        <row r="17731">
          <cell r="B17731" t="str">
            <v>41090300000416</v>
          </cell>
          <cell r="C17731" t="str">
            <v>COMPRVTA BONOS SOBERANOS VENCIMIENTO    5ND</v>
          </cell>
        </row>
        <row r="17732">
          <cell r="B17732" t="str">
            <v>41090400000101</v>
          </cell>
          <cell r="C17732" t="str">
            <v>PERDIDA EN INVERSIONES EN SUBSIDIARIA   5ND</v>
          </cell>
        </row>
        <row r="17733">
          <cell r="B17733" t="str">
            <v>41090400000102</v>
          </cell>
          <cell r="C17733" t="str">
            <v>PERDIDA EN INVERSIONES EN OTRAS INV.P   5ND</v>
          </cell>
        </row>
        <row r="17734">
          <cell r="B17734" t="str">
            <v>41090400000901</v>
          </cell>
          <cell r="C17734" t="str">
            <v>VALORIZACION INVERSION OR BRASIL        5ND</v>
          </cell>
        </row>
        <row r="17735">
          <cell r="B17735" t="str">
            <v>41090401010101</v>
          </cell>
          <cell r="C17735" t="str">
            <v>VALORIZACION EMPRESAS SUBSIDIARIAS      5ND</v>
          </cell>
        </row>
        <row r="17736">
          <cell r="B17736" t="str">
            <v>41090401010801</v>
          </cell>
          <cell r="C17736" t="str">
            <v>PANAM - IFS                             5ND</v>
          </cell>
        </row>
        <row r="17737">
          <cell r="B17737" t="str">
            <v>41090401090101</v>
          </cell>
          <cell r="C17737" t="str">
            <v>VALORIZACION EMPRESAS ASOCIADAS         5ND</v>
          </cell>
        </row>
        <row r="17738">
          <cell r="B17738" t="str">
            <v>41090402090101</v>
          </cell>
          <cell r="C17738" t="str">
            <v>VALORIZACION INVERSION OR BRASILVALOR   5ND</v>
          </cell>
        </row>
        <row r="17739">
          <cell r="B17739" t="str">
            <v>41090403000101</v>
          </cell>
          <cell r="C17739" t="str">
            <v>PAGOS DIGITALES PERUANOS                5ND</v>
          </cell>
        </row>
        <row r="17740">
          <cell r="B17740" t="str">
            <v>41090500000101</v>
          </cell>
          <cell r="C17740" t="str">
            <v>PRIMAS FONDO DE SEGURO DE DEPOSITO      5ND</v>
          </cell>
        </row>
        <row r="17741">
          <cell r="B17741" t="str">
            <v>41091107050102</v>
          </cell>
          <cell r="C17741" t="str">
            <v>VALORIZ CTAS DE PART FDO INV SIGMA      5ND</v>
          </cell>
        </row>
        <row r="17742">
          <cell r="B17742" t="str">
            <v>41091201010106</v>
          </cell>
          <cell r="C17742" t="str">
            <v>PERDIDA REALIZADA BONOS SOBERANOS TRADIN5ND</v>
          </cell>
        </row>
        <row r="17743">
          <cell r="B17743" t="str">
            <v>41091201010107</v>
          </cell>
          <cell r="C17743" t="str">
            <v>PERDIDA REALIZADA BONOS GLOBALES PERU TR5ND</v>
          </cell>
        </row>
        <row r="17744">
          <cell r="B17744" t="str">
            <v>41091201010108</v>
          </cell>
          <cell r="C17744" t="str">
            <v>PERDIDA REALIZADA BONOS GLOBALES PERU TR5ND</v>
          </cell>
        </row>
        <row r="17745">
          <cell r="B17745" t="str">
            <v>41091201010109</v>
          </cell>
          <cell r="C17745" t="str">
            <v>PERDIDA REALIZADA BONOS SOBERANOS TRADIN5ND</v>
          </cell>
        </row>
        <row r="17746">
          <cell r="B17746" t="str">
            <v>41091201010110</v>
          </cell>
          <cell r="C17746" t="str">
            <v>PERDIDA VALORIZACION B GLOB G INV       5ND</v>
          </cell>
        </row>
        <row r="17747">
          <cell r="B17747" t="str">
            <v>41091201010111</v>
          </cell>
          <cell r="C17747" t="str">
            <v>PERDIDA REALIZADA US TREASURY TRADING   5ND</v>
          </cell>
        </row>
        <row r="17748">
          <cell r="B17748" t="str">
            <v>41091201010112</v>
          </cell>
          <cell r="C17748" t="str">
            <v>VALORIZ BONOS SOB TRADING MESA          5ND</v>
          </cell>
        </row>
        <row r="17749">
          <cell r="B17749" t="str">
            <v>41091201010113</v>
          </cell>
          <cell r="C17749" t="str">
            <v>VALORIZACION BONOS SOBERANOS TRADING ESP5ND</v>
          </cell>
        </row>
        <row r="17750">
          <cell r="B17750" t="str">
            <v>41091201010114</v>
          </cell>
          <cell r="C17750" t="str">
            <v>PERD VAL BONOS GLOBALES TRAD MESA       5ND</v>
          </cell>
        </row>
        <row r="17751">
          <cell r="B17751" t="str">
            <v>41091201010115</v>
          </cell>
          <cell r="C17751" t="str">
            <v>PERD VAL US TREASURIES TRAD MESA        5ND</v>
          </cell>
        </row>
        <row r="17752">
          <cell r="B17752" t="str">
            <v>41091201010116</v>
          </cell>
          <cell r="C17752" t="str">
            <v>VALORIZACION BONOS GLOBALES TRAD ESP    5ND</v>
          </cell>
        </row>
        <row r="17753">
          <cell r="B17753" t="str">
            <v>41091201010117</v>
          </cell>
          <cell r="C17753" t="str">
            <v>VALORIZACION US TREASURIES TRADING ESP  5ND</v>
          </cell>
        </row>
        <row r="17754">
          <cell r="B17754" t="str">
            <v>41091201010118</v>
          </cell>
          <cell r="C17754" t="str">
            <v>PER VTA US TREASURIES TRADING ESP       5ND</v>
          </cell>
        </row>
        <row r="17755">
          <cell r="B17755" t="str">
            <v>41091201010119</v>
          </cell>
          <cell r="C17755" t="str">
            <v>GASTOS LIQ EXTEMPORANEA US TREASURIES   5ND</v>
          </cell>
        </row>
        <row r="17756">
          <cell r="B17756" t="str">
            <v>41091201010120</v>
          </cell>
          <cell r="C17756" t="str">
            <v>VALORIZ BONOS GOB COLOMBIA TRADING MESA 5ND</v>
          </cell>
        </row>
        <row r="17757">
          <cell r="B17757" t="str">
            <v>41091201010121</v>
          </cell>
          <cell r="C17757" t="str">
            <v>PER BONOS GOB COLOMBIA TRADING MESA     5ND</v>
          </cell>
        </row>
        <row r="17758">
          <cell r="B17758" t="str">
            <v>41091201010122</v>
          </cell>
          <cell r="C17758" t="str">
            <v>VALORIZ BONOS GOB COLOMBIA TRADING ESP  5ND</v>
          </cell>
        </row>
        <row r="17759">
          <cell r="B17759" t="str">
            <v>41091201010123</v>
          </cell>
          <cell r="C17759" t="str">
            <v>PER BONOS GOB COLOMBIA TRADING ESP      5ND</v>
          </cell>
        </row>
        <row r="17760">
          <cell r="B17760" t="str">
            <v>41091201010124</v>
          </cell>
          <cell r="C17760" t="str">
            <v>VALORIZ BONOS GOB MEXICO TRADING MESA   5ND</v>
          </cell>
        </row>
        <row r="17761">
          <cell r="B17761" t="str">
            <v>41091201010125</v>
          </cell>
          <cell r="C17761" t="str">
            <v>PER BONOS GOB MEXICO TRADING MESA       5ND</v>
          </cell>
        </row>
        <row r="17762">
          <cell r="B17762" t="str">
            <v>41091201010126</v>
          </cell>
          <cell r="C17762" t="str">
            <v>VALORIZ BONOS GOB MEXICO TRADING ESP    5ND</v>
          </cell>
        </row>
        <row r="17763">
          <cell r="B17763" t="str">
            <v>41091201010127</v>
          </cell>
          <cell r="C17763" t="str">
            <v>PER BONOS GOB MEXICO TRADING ESP        5ND</v>
          </cell>
        </row>
        <row r="17764">
          <cell r="B17764" t="str">
            <v>41091201010201</v>
          </cell>
          <cell r="C17764" t="str">
            <v>PERD VALORIZ BONOS GLOB BRASIL TRADING M5ND</v>
          </cell>
        </row>
        <row r="17765">
          <cell r="B17765" t="str">
            <v>41091201010202</v>
          </cell>
          <cell r="C17765" t="str">
            <v>PERD VALORIZ GLOB COLOMBIA TRAD ESPECIAL5ND</v>
          </cell>
        </row>
        <row r="17766">
          <cell r="B17766" t="str">
            <v>41091201010203</v>
          </cell>
          <cell r="C17766" t="str">
            <v>PERD VALORIZ GLOB COLOMBIA TRADING MESA 5ND</v>
          </cell>
        </row>
        <row r="17767">
          <cell r="B17767" t="str">
            <v>41091201010204</v>
          </cell>
          <cell r="C17767" t="str">
            <v>PERD VALORIZ GLOB MEXICO TRAD ESPECIAL  5ND</v>
          </cell>
        </row>
        <row r="17768">
          <cell r="B17768" t="str">
            <v>41091201010205</v>
          </cell>
          <cell r="C17768" t="str">
            <v>PERD VALORIZ GLOB MEXICO TRADING MESA   5ND</v>
          </cell>
        </row>
        <row r="17769">
          <cell r="B17769" t="str">
            <v>41091201010206</v>
          </cell>
          <cell r="C17769" t="str">
            <v>PERD VALORIZ GLOB CHILE TRAD ESPECIAL   5ND</v>
          </cell>
        </row>
        <row r="17770">
          <cell r="B17770" t="str">
            <v>41091201010207</v>
          </cell>
          <cell r="C17770" t="str">
            <v>PERD VALORIZ GLOB CHILE TRADING MESA    5ND</v>
          </cell>
        </row>
        <row r="17771">
          <cell r="B17771" t="str">
            <v>41091201010208</v>
          </cell>
          <cell r="C17771" t="str">
            <v>PERD VAL BONOS SOBERANOS TRADING PLUS   5ND</v>
          </cell>
        </row>
        <row r="17772">
          <cell r="B17772" t="str">
            <v>41091201010209</v>
          </cell>
          <cell r="C17772" t="str">
            <v>PERD VAL BONOS GLOBALES TRAD PLUS       5ND</v>
          </cell>
        </row>
        <row r="17773">
          <cell r="B17773" t="str">
            <v>41091201010301</v>
          </cell>
          <cell r="C17773" t="str">
            <v>PERD REALIZADA BONOS GLOB BRASIL TRADING5ND</v>
          </cell>
        </row>
        <row r="17774">
          <cell r="B17774" t="str">
            <v>41091201010302</v>
          </cell>
          <cell r="C17774" t="str">
            <v>PERD REALIZADA GLOB COLOMBIA TRAD ESPECI5ND</v>
          </cell>
        </row>
        <row r="17775">
          <cell r="B17775" t="str">
            <v>41091201010303</v>
          </cell>
          <cell r="C17775" t="str">
            <v>PERD REALIZADA GLOB COLOMBIA TRADING MES5ND</v>
          </cell>
        </row>
        <row r="17776">
          <cell r="B17776" t="str">
            <v>41091201010304</v>
          </cell>
          <cell r="C17776" t="str">
            <v>PERD REALIZADA GLOB MEXICO TRAD ESPECIAL5ND</v>
          </cell>
        </row>
        <row r="17777">
          <cell r="B17777" t="str">
            <v>41091201010305</v>
          </cell>
          <cell r="C17777" t="str">
            <v>PERD REALIZADA GLOB MEXICO TRADING MESA 5ND</v>
          </cell>
        </row>
        <row r="17778">
          <cell r="B17778" t="str">
            <v>41091201010306</v>
          </cell>
          <cell r="C17778" t="str">
            <v>PERD REALIZADA GLOB CHILE TRAD ESPECIAL 5ND</v>
          </cell>
        </row>
        <row r="17779">
          <cell r="B17779" t="str">
            <v>41091201010307</v>
          </cell>
          <cell r="C17779" t="str">
            <v>PERD REALIZADA GLOB CHILE TRADING MESA  5ND</v>
          </cell>
        </row>
        <row r="17780">
          <cell r="B17780" t="str">
            <v>41091201010308</v>
          </cell>
          <cell r="C17780" t="str">
            <v>PER VTA BONOS SOBERANOS TRADING PLUS    5ND</v>
          </cell>
        </row>
        <row r="17781">
          <cell r="B17781" t="str">
            <v>41091201010309</v>
          </cell>
          <cell r="C17781" t="str">
            <v>PER VTA BONOS GLOBALES TRADING PLUS     5ND</v>
          </cell>
        </row>
        <row r="17782">
          <cell r="B17782" t="str">
            <v>41091201090101</v>
          </cell>
          <cell r="C17782" t="str">
            <v>PERD VAL US TREASURIES TRADING PLUS     5ND</v>
          </cell>
        </row>
        <row r="17783">
          <cell r="B17783" t="str">
            <v>41091201090201</v>
          </cell>
          <cell r="C17783" t="str">
            <v>PER VTA US TREASURIES TRADING PLUS      5ND</v>
          </cell>
        </row>
        <row r="17784">
          <cell r="B17784" t="str">
            <v>41091202000101</v>
          </cell>
          <cell r="C17784" t="str">
            <v>VALORIZ CDBCRP TRADING ESP              5ND</v>
          </cell>
        </row>
        <row r="17785">
          <cell r="B17785" t="str">
            <v>41091202000201</v>
          </cell>
          <cell r="C17785" t="str">
            <v>PERD CDBCRP TRADING ESP                 5ND</v>
          </cell>
        </row>
        <row r="17786">
          <cell r="B17786" t="str">
            <v>41091202010101</v>
          </cell>
          <cell r="C17786" t="str">
            <v>VALORIZ CDBCRP TRADING ESP              5ND</v>
          </cell>
        </row>
        <row r="17787">
          <cell r="B17787" t="str">
            <v>41091202010102</v>
          </cell>
          <cell r="C17787" t="str">
            <v>MDC  PERD VALORIZACION CDR TRADING ESP  5ND</v>
          </cell>
        </row>
        <row r="17788">
          <cell r="B17788" t="str">
            <v>41091202010103</v>
          </cell>
          <cell r="C17788" t="str">
            <v>MDC  PERD REALIZADA CDR TRADING ESP  BCR5ND</v>
          </cell>
        </row>
        <row r="17789">
          <cell r="B17789" t="str">
            <v>41091202010104</v>
          </cell>
          <cell r="C17789" t="str">
            <v>MRX PERD REALIZADA CDRBCR TRADING ESP   5ND</v>
          </cell>
        </row>
        <row r="17790">
          <cell r="B17790" t="str">
            <v>41091203190101</v>
          </cell>
          <cell r="C17790" t="str">
            <v>PERD VALORIZ BONOS COFIDE TRD ESP       5ND</v>
          </cell>
        </row>
        <row r="17791">
          <cell r="B17791" t="str">
            <v>41091203190102</v>
          </cell>
          <cell r="C17791" t="str">
            <v>PERD REALIZADA BONOS COFIDE TRD ESP     5ND</v>
          </cell>
        </row>
        <row r="17792">
          <cell r="B17792" t="str">
            <v>41091205080101</v>
          </cell>
          <cell r="C17792" t="str">
            <v>VALORIZ BONOS CORP EMP FIN TRADING ESP  5ND</v>
          </cell>
        </row>
        <row r="17793">
          <cell r="B17793" t="str">
            <v>41091205080102</v>
          </cell>
          <cell r="C17793" t="str">
            <v>PER BONOS CORP EMP FIN TRADING ESP      5ND</v>
          </cell>
        </row>
        <row r="17794">
          <cell r="B17794" t="str">
            <v>41091205080103</v>
          </cell>
          <cell r="C17794" t="str">
            <v>VALORIZ BONOS CORP EMP FIN TRADING MESA 5ND</v>
          </cell>
        </row>
        <row r="17795">
          <cell r="B17795" t="str">
            <v>41091205080104</v>
          </cell>
          <cell r="C17795" t="str">
            <v>PER BONOS CORP EMP FIN TRADING MESA     5ND</v>
          </cell>
        </row>
        <row r="17796">
          <cell r="B17796" t="str">
            <v>41091205080105</v>
          </cell>
          <cell r="C17796" t="str">
            <v>VALORIZ BONOS CORP SIST FIN COLOMBIA TRA5ND</v>
          </cell>
        </row>
        <row r="17797">
          <cell r="B17797" t="str">
            <v>41091205080106</v>
          </cell>
          <cell r="C17797" t="str">
            <v>PER BONOS CORP SIST FIN COLOMBIA TRADING5ND</v>
          </cell>
        </row>
        <row r="17798">
          <cell r="B17798" t="str">
            <v>41091205080107</v>
          </cell>
          <cell r="C17798" t="str">
            <v>VALORIZ BONOS CORP SIST FIN COLOMBIA TRA5ND</v>
          </cell>
        </row>
        <row r="17799">
          <cell r="B17799" t="str">
            <v>41091205080108</v>
          </cell>
          <cell r="C17799" t="str">
            <v>PER BONOS CORP SIST FIN COLOMBIA TRADING5ND</v>
          </cell>
        </row>
        <row r="17800">
          <cell r="B17800" t="str">
            <v>41091205080201</v>
          </cell>
          <cell r="C17800" t="str">
            <v>PERD VALORIZ CORP EMP FIN TRADING MESA  5ND</v>
          </cell>
        </row>
        <row r="17801">
          <cell r="B17801" t="str">
            <v>41091205080301</v>
          </cell>
          <cell r="C17801" t="str">
            <v>PERD REALIZADA CORP EMP FIN TRADING MESA5ND</v>
          </cell>
        </row>
        <row r="17802">
          <cell r="B17802" t="str">
            <v>41091205080302</v>
          </cell>
          <cell r="C17802" t="str">
            <v>PERD VAL BONOS CORP EMP FIN TRAD PLUS   5ND</v>
          </cell>
        </row>
        <row r="17803">
          <cell r="B17803" t="str">
            <v>41091205080303</v>
          </cell>
          <cell r="C17803" t="str">
            <v>PER BONOS CORP EMP FIN TRAD PLUS        5ND</v>
          </cell>
        </row>
        <row r="17804">
          <cell r="B17804" t="str">
            <v>41091205190801</v>
          </cell>
          <cell r="C17804" t="str">
            <v>PAN OTROS VALORES                       5ND</v>
          </cell>
        </row>
        <row r="17805">
          <cell r="B17805" t="str">
            <v>41091207080102</v>
          </cell>
          <cell r="C17805" t="str">
            <v>VALORIZ INT BONOS ORD. SOC.NO FINANC. TR5ND</v>
          </cell>
        </row>
        <row r="17806">
          <cell r="B17806" t="str">
            <v>41091207080103</v>
          </cell>
          <cell r="C17806" t="str">
            <v>PER BONOS ORD. SOC.NO FINANC. TRADING ME5ND</v>
          </cell>
        </row>
        <row r="17807">
          <cell r="B17807" t="str">
            <v>41091207080104</v>
          </cell>
          <cell r="C17807" t="str">
            <v>PERD VALORIZ BONOS ORD SOC NO FIN TRADIN5ND</v>
          </cell>
        </row>
        <row r="17808">
          <cell r="B17808" t="str">
            <v>41091207080105</v>
          </cell>
          <cell r="C17808" t="str">
            <v>PERD REALIZADA BONOS ORD SOC NO FIN TRAD5ND</v>
          </cell>
        </row>
        <row r="17809">
          <cell r="B17809" t="str">
            <v>41091207080106</v>
          </cell>
          <cell r="C17809" t="str">
            <v>FLUCT B CORP SOC NO FIN TRAD PLUS       5ND</v>
          </cell>
        </row>
        <row r="17810">
          <cell r="B17810" t="str">
            <v>41091207080107</v>
          </cell>
          <cell r="C17810" t="str">
            <v>PER BONOS CORP SOC NO FIN TRAD PLUS     5ND</v>
          </cell>
        </row>
        <row r="17811">
          <cell r="B17811" t="str">
            <v>41091301010101</v>
          </cell>
          <cell r="C17811" t="str">
            <v>PRIMA-BONOS SOBERANOS                   5ND</v>
          </cell>
        </row>
        <row r="17812">
          <cell r="B17812" t="str">
            <v>41091301010102</v>
          </cell>
          <cell r="C17812" t="str">
            <v>PRIMA-BONOS GLOBALES DISPONIBLES        5ND</v>
          </cell>
        </row>
        <row r="17813">
          <cell r="B17813" t="str">
            <v>41091303000101</v>
          </cell>
          <cell r="C17813" t="str">
            <v>PRIMA-BONOS ORGANISMOS FINANCIEROS      5ND</v>
          </cell>
        </row>
        <row r="17814">
          <cell r="B17814" t="str">
            <v>41091305010800</v>
          </cell>
          <cell r="C17814" t="str">
            <v>PAN ACCIONES COMUNES SF                 5ND</v>
          </cell>
        </row>
        <row r="17815">
          <cell r="B17815" t="str">
            <v>41091305060101</v>
          </cell>
          <cell r="C17815" t="str">
            <v>PRIMA-BONOS HIPOTECARIOS                5ND</v>
          </cell>
        </row>
        <row r="17816">
          <cell r="B17816" t="str">
            <v>41091305070102</v>
          </cell>
          <cell r="C17816" t="str">
            <v>PRIMA-BONOS DE ARRENDAMIENTO FINANCIE   5ND</v>
          </cell>
        </row>
        <row r="17817">
          <cell r="B17817" t="str">
            <v>41091305080101</v>
          </cell>
          <cell r="C17817" t="str">
            <v>PRIMA-BONOS ORDINARIOS SOC. FINANCIER   5ND</v>
          </cell>
        </row>
        <row r="17818">
          <cell r="B17818" t="str">
            <v>41091305100101</v>
          </cell>
          <cell r="C17818" t="str">
            <v>PRIMA-BONOS SUBORDINADOS                5ND</v>
          </cell>
        </row>
        <row r="17819">
          <cell r="B17819" t="str">
            <v>41091307050101</v>
          </cell>
          <cell r="C17819" t="str">
            <v>PERD REALIZADA FONDOS MUTUOS DPV ESP    5ND</v>
          </cell>
        </row>
        <row r="17820">
          <cell r="B17820" t="str">
            <v>41091307050102</v>
          </cell>
          <cell r="C17820" t="str">
            <v>PERDIDA REALIZADA FFMM ESTRATEGICO      5ND</v>
          </cell>
        </row>
        <row r="17821">
          <cell r="B17821" t="str">
            <v>41091307080101</v>
          </cell>
          <cell r="C17821" t="str">
            <v>PRIMA FINANC.BONOS ORD.-SOC.NO FINANC   5ND</v>
          </cell>
        </row>
        <row r="17822">
          <cell r="B17822" t="str">
            <v>41091309010102</v>
          </cell>
          <cell r="C17822" t="str">
            <v>PERD CAPITAL ACC COM HOLDING ESTRATEGICO5ND</v>
          </cell>
        </row>
        <row r="17823">
          <cell r="B17823" t="str">
            <v>41091319000101</v>
          </cell>
          <cell r="C17823" t="str">
            <v>PERD VALORIZ INVERS ETF DPV             5ND</v>
          </cell>
        </row>
        <row r="17824">
          <cell r="B17824" t="str">
            <v>41091401010101</v>
          </cell>
          <cell r="C17824" t="str">
            <v>PERDIDA REALIZADA BONOS SOBERANOS DPV ME5ND</v>
          </cell>
        </row>
        <row r="17825">
          <cell r="B17825" t="str">
            <v>41091401010102</v>
          </cell>
          <cell r="C17825" t="str">
            <v>PERDIDA REALIZADA BONOS GLOBALES PERU DP5ND</v>
          </cell>
        </row>
        <row r="17826">
          <cell r="B17826" t="str">
            <v>41091401010103</v>
          </cell>
          <cell r="C17826" t="str">
            <v>PERD REALIZADA BONOS GLOB BRASIL DPV MES5ND</v>
          </cell>
        </row>
        <row r="17827">
          <cell r="B17827" t="str">
            <v>41091401010104</v>
          </cell>
          <cell r="C17827" t="str">
            <v>PERDIDA REALIZADA BONOS SOBERANOS DPV ES5ND</v>
          </cell>
        </row>
        <row r="17828">
          <cell r="B17828" t="str">
            <v>41091401010105</v>
          </cell>
          <cell r="C17828" t="str">
            <v>PERD REALIZADA BONOS GLOB BRASIL DPV EST5ND</v>
          </cell>
        </row>
        <row r="17829">
          <cell r="B17829" t="str">
            <v>41091401010106</v>
          </cell>
          <cell r="C17829" t="str">
            <v>PERDIDA REALIZADA BONOS GLOBALES PERU DP5ND</v>
          </cell>
        </row>
        <row r="17830">
          <cell r="B17830" t="str">
            <v>41091401010107</v>
          </cell>
          <cell r="C17830" t="str">
            <v>PER VTA BONOS TESORO AMERICANO          5ND</v>
          </cell>
        </row>
        <row r="17831">
          <cell r="B17831" t="str">
            <v>41091401010108</v>
          </cell>
          <cell r="C17831" t="str">
            <v>PERDIDA REALIZADA BONOS GLOBALES DPV ESP5ND</v>
          </cell>
        </row>
        <row r="17832">
          <cell r="B17832" t="str">
            <v>41091401010109</v>
          </cell>
          <cell r="C17832" t="str">
            <v>PERDIDA REALIZADA BONOS SOBERANOS DPV ES5ND</v>
          </cell>
        </row>
        <row r="17833">
          <cell r="B17833" t="str">
            <v>41091401010110</v>
          </cell>
          <cell r="C17833" t="str">
            <v>PERD REALIZADA BONOS GLOB BRASIL DPV ESP5ND</v>
          </cell>
        </row>
        <row r="17834">
          <cell r="B17834" t="str">
            <v>41091401010111</v>
          </cell>
          <cell r="C17834" t="str">
            <v>PERD US TREASURIES DPV ESP              5ND</v>
          </cell>
        </row>
        <row r="17835">
          <cell r="B17835" t="str">
            <v>41091401010112</v>
          </cell>
          <cell r="C17835" t="str">
            <v>PERD US TREASURIES DPV EST              5ND</v>
          </cell>
        </row>
        <row r="17836">
          <cell r="B17836" t="str">
            <v>41091401010113</v>
          </cell>
          <cell r="C17836" t="str">
            <v>PER BONOS GOB COLOMBIA DPV MESA         5ND</v>
          </cell>
        </row>
        <row r="17837">
          <cell r="B17837" t="str">
            <v>41091401010114</v>
          </cell>
          <cell r="C17837" t="str">
            <v>PER BONOS GOB COLOMBIA DPV EST          5ND</v>
          </cell>
        </row>
        <row r="17838">
          <cell r="B17838" t="str">
            <v>41091401010115</v>
          </cell>
          <cell r="C17838" t="str">
            <v>PER BONOS GOB MEXICO DPV MESA           5ND</v>
          </cell>
        </row>
        <row r="17839">
          <cell r="B17839" t="str">
            <v>41091401010116</v>
          </cell>
          <cell r="C17839" t="str">
            <v>PER BONOS GOB MEXICO DPV EST            5ND</v>
          </cell>
        </row>
        <row r="17840">
          <cell r="B17840" t="str">
            <v>41091401010117</v>
          </cell>
          <cell r="C17840" t="str">
            <v>PERD BONOS SOBERANOS CARTERA RESTRINGIDA5ND</v>
          </cell>
        </row>
        <row r="17841">
          <cell r="B17841" t="str">
            <v>41091401010118</v>
          </cell>
          <cell r="C17841" t="str">
            <v>PERD REALIZADA GLOB COLOMBIA DISPO VENTA5ND</v>
          </cell>
        </row>
        <row r="17842">
          <cell r="B17842" t="str">
            <v>41091401010119</v>
          </cell>
          <cell r="C17842" t="str">
            <v>PERD REALIZADA GLOB COLOMBIA DPV ESPECIA5ND</v>
          </cell>
        </row>
        <row r="17843">
          <cell r="B17843" t="str">
            <v>41091401010120</v>
          </cell>
          <cell r="C17843" t="str">
            <v>PERD REALIZADA GLOB COLOMBIA DPV ESTRATE5ND</v>
          </cell>
        </row>
        <row r="17844">
          <cell r="B17844" t="str">
            <v>41091401010121</v>
          </cell>
          <cell r="C17844" t="str">
            <v>PERD REALIZADA GLOB MEXICO DISPO VENTA  5ND</v>
          </cell>
        </row>
        <row r="17845">
          <cell r="B17845" t="str">
            <v>41091401010122</v>
          </cell>
          <cell r="C17845" t="str">
            <v>PERD REALIZADA GLOB MEXICO DPV ESPECIAL 5ND</v>
          </cell>
        </row>
        <row r="17846">
          <cell r="B17846" t="str">
            <v>41091401010123</v>
          </cell>
          <cell r="C17846" t="str">
            <v>PERD REALIZADA GLOB MEXICO DPV ESTRATEGI5ND</v>
          </cell>
        </row>
        <row r="17847">
          <cell r="B17847" t="str">
            <v>41091401010124</v>
          </cell>
          <cell r="C17847" t="str">
            <v>PERD REALIZADA GLOB CHILE DISPO VENTA   5ND</v>
          </cell>
        </row>
        <row r="17848">
          <cell r="B17848" t="str">
            <v>41091401010125</v>
          </cell>
          <cell r="C17848" t="str">
            <v>PERD REALIZADA GLOB CHILE DPV ESPECIAL  5ND</v>
          </cell>
        </row>
        <row r="17849">
          <cell r="B17849" t="str">
            <v>41091401010126</v>
          </cell>
          <cell r="C17849" t="str">
            <v>PERD REALIZADA GLOB CHILE DPV ESTRATEGIC5ND</v>
          </cell>
        </row>
        <row r="17850">
          <cell r="B17850" t="str">
            <v>41091401010127</v>
          </cell>
          <cell r="C17850" t="str">
            <v>PERD REALIZADA BONOS SOB ALM DPV ESTRATE5ND</v>
          </cell>
        </row>
        <row r="17851">
          <cell r="B17851" t="str">
            <v>41091401010128</v>
          </cell>
          <cell r="C17851" t="str">
            <v>PERD REALIZADA BONOS TESORO US ALM DPV E5ND</v>
          </cell>
        </row>
        <row r="17852">
          <cell r="B17852" t="str">
            <v>41091401010129</v>
          </cell>
          <cell r="C17852" t="str">
            <v>PERD REALIZADA BONOS GLOB PERU ALM DPV E5ND</v>
          </cell>
        </row>
        <row r="17853">
          <cell r="B17853" t="str">
            <v>41091401010130</v>
          </cell>
          <cell r="C17853" t="str">
            <v>PERD REALIZADA GLOB COLOMBIA ALM DPV EST5ND</v>
          </cell>
        </row>
        <row r="17854">
          <cell r="B17854" t="str">
            <v>41091401010131</v>
          </cell>
          <cell r="C17854" t="str">
            <v>PERD REALIZADA GLOB MEXICO ALM DPV ESTRA5ND</v>
          </cell>
        </row>
        <row r="17855">
          <cell r="B17855" t="str">
            <v>41091401010132</v>
          </cell>
          <cell r="C17855" t="str">
            <v>PERD REALIZADA GLOB CHILE ALM DPV ESTRAT5ND</v>
          </cell>
        </row>
        <row r="17856">
          <cell r="B17856" t="str">
            <v>41091401010133</v>
          </cell>
          <cell r="C17856" t="str">
            <v>PERD REALIZADA GLOB BRASIL ALM DPV ESTRA5ND</v>
          </cell>
        </row>
        <row r="17857">
          <cell r="B17857" t="str">
            <v>41091401010134</v>
          </cell>
          <cell r="C17857" t="str">
            <v>PERD REALIZADA GLOB COLOMBIA IB-RESTRING5ND</v>
          </cell>
        </row>
        <row r="17858">
          <cell r="B17858" t="str">
            <v>41091401010135</v>
          </cell>
          <cell r="C17858" t="str">
            <v>PERDIDA REALIZADA BONOS SOBERANOS VENCIM5ND</v>
          </cell>
        </row>
        <row r="17859">
          <cell r="B17859" t="str">
            <v>41091401010136</v>
          </cell>
          <cell r="C17859" t="str">
            <v>PERDIDAÂ Â  LETRAS MEF ALM ESTRAT       5ND</v>
          </cell>
        </row>
        <row r="17860">
          <cell r="B17860" t="str">
            <v>41091401010137</v>
          </cell>
          <cell r="C17860" t="str">
            <v>VALORIZ PERDIDA DPV GLOBALES DPV PLUS   5ND</v>
          </cell>
        </row>
        <row r="17861">
          <cell r="B17861" t="str">
            <v>41091401010138</v>
          </cell>
          <cell r="C17861" t="str">
            <v>VALORIZ PERDIDA BONOS SOBERANOS DPV PLUS5ND</v>
          </cell>
        </row>
        <row r="17862">
          <cell r="B17862" t="str">
            <v>41091401010139</v>
          </cell>
          <cell r="C17862" t="str">
            <v>VALORIZ PERDIDA BONOS DEL TESORO USA DVT5ND</v>
          </cell>
        </row>
        <row r="17863">
          <cell r="B17863" t="str">
            <v>41091401010140</v>
          </cell>
          <cell r="C17863" t="str">
            <v>PERD REALIZADA BONOS SOB DPV BANKING BOO5ND</v>
          </cell>
        </row>
        <row r="17864">
          <cell r="B17864" t="str">
            <v>41091401010141</v>
          </cell>
          <cell r="C17864" t="str">
            <v>MDC PERDIDAÂ Â  LETRAS GLOBALES DPV ESPE5ND</v>
          </cell>
        </row>
        <row r="17865">
          <cell r="B17865" t="str">
            <v>41091401010142</v>
          </cell>
          <cell r="C17865" t="str">
            <v>PERD  TREASURIES CSDR                   5ND</v>
          </cell>
        </row>
        <row r="17866">
          <cell r="B17866" t="str">
            <v>41091402000101</v>
          </cell>
          <cell r="C17866" t="str">
            <v>PERDIDA REALIZADA CDBCRP DPV MESA CDN BC5ND</v>
          </cell>
        </row>
        <row r="17867">
          <cell r="B17867" t="str">
            <v>41091402000102</v>
          </cell>
          <cell r="C17867" t="str">
            <v>CERTIFICADO DEP TASA VAR  PERDIDA EN VEN5ND</v>
          </cell>
        </row>
        <row r="17868">
          <cell r="B17868" t="str">
            <v>41091402000103</v>
          </cell>
          <cell r="C17868" t="str">
            <v>PERD CDBCRP DPV ESP                     5ND</v>
          </cell>
        </row>
        <row r="17869">
          <cell r="B17869" t="str">
            <v>41091402000104</v>
          </cell>
          <cell r="C17869" t="str">
            <v>PERD REALIZADA CDBCRP ALM DPV ESTRATEGIC5ND</v>
          </cell>
        </row>
        <row r="17870">
          <cell r="B17870" t="str">
            <v>41091402000105</v>
          </cell>
          <cell r="C17870" t="str">
            <v>INT CDBCRP AL DSCTO ALM ESTRAT          5ND</v>
          </cell>
        </row>
        <row r="17871">
          <cell r="B17871" t="str">
            <v>41091402000106</v>
          </cell>
          <cell r="C17871" t="str">
            <v>PERD CDLD ALMESTRATEGICO                5ND</v>
          </cell>
        </row>
        <row r="17872">
          <cell r="B17872" t="str">
            <v>41091402000107</v>
          </cell>
          <cell r="C17872" t="str">
            <v>PERD CDBCRP  DPVESTRAT                  5ND</v>
          </cell>
        </row>
        <row r="17873">
          <cell r="B17873" t="str">
            <v>41091402000108</v>
          </cell>
          <cell r="C17873" t="str">
            <v>PER VTA CD ION ALM EST                  5 D</v>
          </cell>
        </row>
        <row r="17874">
          <cell r="B17874" t="str">
            <v>41091402000109</v>
          </cell>
          <cell r="C17874" t="str">
            <v>PERD VAL CERTIFICADOS DEPÃ“SITO TASA VAR5ND</v>
          </cell>
        </row>
        <row r="17875">
          <cell r="B17875" t="str">
            <v>41091402000110</v>
          </cell>
          <cell r="C17875" t="str">
            <v>UTIL VAL CERTIFICADOS DEPÃ“SITO         5ND</v>
          </cell>
        </row>
        <row r="17876">
          <cell r="B17876" t="str">
            <v>41091402000111</v>
          </cell>
          <cell r="C17876" t="str">
            <v>MDC  PERD REALIZADA CDR ALM ESTRAT  BCRP5ND</v>
          </cell>
        </row>
        <row r="17877">
          <cell r="B17877" t="str">
            <v>41091402000112</v>
          </cell>
          <cell r="C17877" t="str">
            <v>MDC PERD REALIZADA CDBCRP TRADING MESA  5ND</v>
          </cell>
        </row>
        <row r="17878">
          <cell r="B17878" t="str">
            <v>41091403000101</v>
          </cell>
          <cell r="C17878" t="str">
            <v>PERDIDA REALIZADA BONOS CORP COFIDE DISP5ND</v>
          </cell>
        </row>
        <row r="17879">
          <cell r="B17879" t="str">
            <v>41091403000102</v>
          </cell>
          <cell r="C17879" t="str">
            <v>PERD REALIZADA BONOS CAF                5ND</v>
          </cell>
        </row>
        <row r="17880">
          <cell r="B17880" t="str">
            <v>41091403000103</v>
          </cell>
          <cell r="C17880" t="str">
            <v>PERD REALIZADA BONOS COFIDE DPV ESP     5ND</v>
          </cell>
        </row>
        <row r="17881">
          <cell r="B17881" t="str">
            <v>41091403000104</v>
          </cell>
          <cell r="C17881" t="str">
            <v>PERD BONOS COFIDE DPV EST               5ND</v>
          </cell>
        </row>
        <row r="17882">
          <cell r="B17882" t="str">
            <v>41091403000105</v>
          </cell>
          <cell r="C17882" t="str">
            <v>PERD CERTIFICADO DE DEPOSITO A VCTO     5ND</v>
          </cell>
        </row>
        <row r="17883">
          <cell r="B17883" t="str">
            <v>41091403000106</v>
          </cell>
          <cell r="C17883" t="str">
            <v>PER VTA CD YANKEE DIS VENTA             5ND</v>
          </cell>
        </row>
        <row r="17884">
          <cell r="B17884" t="str">
            <v>41091405070101</v>
          </cell>
          <cell r="C17884" t="str">
            <v>BONOS DE ARRENDAMIENTO FINANCIERO       5ND</v>
          </cell>
        </row>
        <row r="17885">
          <cell r="B17885" t="str">
            <v>41091405080101</v>
          </cell>
          <cell r="C17885" t="str">
            <v>PERDIDA REALIZADA BONOS CORP ORG FIN DIS5ND</v>
          </cell>
        </row>
        <row r="17886">
          <cell r="B17886" t="str">
            <v>41091405080102</v>
          </cell>
          <cell r="C17886" t="str">
            <v>PERDIDA REALIZADA BONOS CORP ORG FIN DPV5ND</v>
          </cell>
        </row>
        <row r="17887">
          <cell r="B17887" t="str">
            <v>41091405080103</v>
          </cell>
          <cell r="C17887" t="str">
            <v>PERDIDA REALIZADA BONOS CORP ORG FIN DPV5ND</v>
          </cell>
        </row>
        <row r="17888">
          <cell r="B17888" t="str">
            <v>41091405080104</v>
          </cell>
          <cell r="C17888" t="str">
            <v>PER BONOS CORP SIST FIN COLOMBIA DPV MES5ND</v>
          </cell>
        </row>
        <row r="17889">
          <cell r="B17889" t="str">
            <v>41091405080105</v>
          </cell>
          <cell r="C17889" t="str">
            <v>PER BONOS CORP SIST FIN COLOMBIA DPV EST5ND</v>
          </cell>
        </row>
        <row r="17890">
          <cell r="B17890" t="str">
            <v>41091405080106</v>
          </cell>
          <cell r="C17890" t="str">
            <v>PERD BONOS CORP SIST FIN ALM EST        5ND</v>
          </cell>
        </row>
        <row r="17891">
          <cell r="B17891" t="str">
            <v>41091405080107</v>
          </cell>
          <cell r="C17891" t="str">
            <v>PERD REALIZ CORP EMP FIN DPLUS          5ND</v>
          </cell>
        </row>
        <row r="17892">
          <cell r="B17892" t="str">
            <v>41091405090101</v>
          </cell>
          <cell r="C17892" t="str">
            <v>PERDIDA REALIZADA NOTAS CREDIT SUISSE   5ND</v>
          </cell>
        </row>
        <row r="17893">
          <cell r="B17893" t="str">
            <v>41091405100101</v>
          </cell>
          <cell r="C17893" t="str">
            <v>VALORIZ DPV B SUBORDINADOS SOC FINAN    5ND</v>
          </cell>
        </row>
        <row r="17894">
          <cell r="B17894" t="str">
            <v>41091405100102</v>
          </cell>
          <cell r="C17894" t="str">
            <v>VALORIZ PERD BONO SUBORDINADO DPV FINANZ5ND</v>
          </cell>
        </row>
        <row r="17895">
          <cell r="B17895" t="str">
            <v>41091405190101</v>
          </cell>
          <cell r="C17895" t="str">
            <v>VALORIZ DPV B TITULIZADOS SOC FINAN     5ND</v>
          </cell>
        </row>
        <row r="17896">
          <cell r="B17896" t="str">
            <v>41091405190103</v>
          </cell>
          <cell r="C17896" t="str">
            <v>PERD REALIZADA BONOS TITUL SOC FIN DPV E5ND</v>
          </cell>
        </row>
        <row r="17897">
          <cell r="B17897" t="str">
            <v>41091405190105</v>
          </cell>
          <cell r="C17897" t="str">
            <v>MDC PER VTA CD NEGOC ALM EST            5ND</v>
          </cell>
        </row>
        <row r="17898">
          <cell r="B17898" t="str">
            <v>41091407080101</v>
          </cell>
          <cell r="C17898" t="str">
            <v>PERDIDA REALIZADA BONOS CORP ORG NO FIN 5ND</v>
          </cell>
        </row>
        <row r="17899">
          <cell r="B17899" t="str">
            <v>41091407080102</v>
          </cell>
          <cell r="C17899" t="str">
            <v>PERDIDA REALIZADA BONOS CORP ORG NO FIN 5ND</v>
          </cell>
        </row>
        <row r="17900">
          <cell r="B17900" t="str">
            <v>41091407080104</v>
          </cell>
          <cell r="C17900" t="str">
            <v>PERD REALIZADA BONOS ORD SOC NO FIN DPV 5ND</v>
          </cell>
        </row>
        <row r="17901">
          <cell r="B17901" t="str">
            <v>41091407080105</v>
          </cell>
          <cell r="C17901" t="str">
            <v>PERD BONOS CORP ORD ALM Â EST           5ND</v>
          </cell>
        </row>
        <row r="17902">
          <cell r="B17902" t="str">
            <v>41091407080106</v>
          </cell>
          <cell r="C17902" t="str">
            <v>PERD REALIZ CORP SOC.NO FINANCIERAS DPL 5ND</v>
          </cell>
        </row>
        <row r="17903">
          <cell r="B17903" t="str">
            <v>41091601010103</v>
          </cell>
          <cell r="C17903" t="str">
            <v>PERD VALRZ SWAPS MONEDAS ESPECULATIVO   5ND</v>
          </cell>
        </row>
        <row r="17904">
          <cell r="B17904" t="str">
            <v>41091601010104</v>
          </cell>
          <cell r="C17904" t="str">
            <v>INTERESE SWAPS MONEDAS ESPECULATIVO     5ND</v>
          </cell>
        </row>
        <row r="17905">
          <cell r="B17905" t="str">
            <v>41091601010105</v>
          </cell>
          <cell r="C17905" t="str">
            <v>PERD VALRZ SWAPS MONEDAS ESPECULATIVO   5ND</v>
          </cell>
        </row>
        <row r="17906">
          <cell r="B17906" t="str">
            <v>41091601010106</v>
          </cell>
          <cell r="C17906" t="str">
            <v>INT SWAPS MONEDAS ESPECULATIVO VTA      5ND</v>
          </cell>
        </row>
        <row r="17907">
          <cell r="B17907" t="str">
            <v>41091601010107</v>
          </cell>
          <cell r="C17907" t="str">
            <v>INT SWAP CURVA SOBERANA                 5ND</v>
          </cell>
        </row>
        <row r="17908">
          <cell r="B17908" t="str">
            <v>41091601010108</v>
          </cell>
          <cell r="C17908" t="str">
            <v>VAL SWAP CURVA SOBERANA                 5ND</v>
          </cell>
        </row>
        <row r="17909">
          <cell r="B17909" t="str">
            <v>41091601010109</v>
          </cell>
          <cell r="C17909" t="str">
            <v>GASTO POR VALORIZACIÃ“N CCS-CITI        5ND</v>
          </cell>
        </row>
        <row r="17910">
          <cell r="B17910" t="str">
            <v>41091601010110</v>
          </cell>
          <cell r="C17910" t="str">
            <v>INTERESES SWAPS MONEDASÂ  COMPRA        5ND</v>
          </cell>
        </row>
        <row r="17911">
          <cell r="B17911" t="str">
            <v>41091601010201</v>
          </cell>
          <cell r="C17911" t="str">
            <v>VENTAS A FUTURO SWAPS DE NEGOCIACION    5ND</v>
          </cell>
        </row>
        <row r="17912">
          <cell r="B17912" t="str">
            <v>41091601010202</v>
          </cell>
          <cell r="C17912" t="str">
            <v>VENTAS A FUTURO-SWAPS INT(NEGOCIACION   5ND</v>
          </cell>
        </row>
        <row r="17913">
          <cell r="B17913" t="str">
            <v>41091601010301</v>
          </cell>
          <cell r="C17913" t="str">
            <v>PERD VALRZ SWAPS CAMBIARIO              5ND</v>
          </cell>
        </row>
        <row r="17914">
          <cell r="B17914" t="str">
            <v>41091601010302</v>
          </cell>
          <cell r="C17914" t="str">
            <v>PERD VALRZ SWAPS MONEDA NEG             5ND</v>
          </cell>
        </row>
        <row r="17915">
          <cell r="B17915" t="str">
            <v>41091601010303</v>
          </cell>
          <cell r="C17915" t="str">
            <v>PERD VALRZ SWAPS MONEDASÂ  COMPRA       5ND</v>
          </cell>
        </row>
        <row r="17916">
          <cell r="B17916" t="str">
            <v>41091601010401</v>
          </cell>
          <cell r="C17916" t="str">
            <v>GAST INTERES SWAPS CAMBIARIO            5ND</v>
          </cell>
        </row>
        <row r="17917">
          <cell r="B17917" t="str">
            <v>41091601010402</v>
          </cell>
          <cell r="C17917" t="str">
            <v>GAST INTERES SWAPS MON NEG              5ND</v>
          </cell>
        </row>
        <row r="17918">
          <cell r="B17918" t="str">
            <v>41091601010403</v>
          </cell>
          <cell r="C17918" t="str">
            <v>MDC  Perdida Swaps de Monedas Vta NEGO F5ND</v>
          </cell>
        </row>
        <row r="17919">
          <cell r="B17919" t="str">
            <v>41091601010404</v>
          </cell>
          <cell r="C17919" t="str">
            <v>MDC  Gast Swaps de Monedas Vta NEGO FINA5ND</v>
          </cell>
        </row>
        <row r="17920">
          <cell r="B17920" t="str">
            <v>41091601010405</v>
          </cell>
          <cell r="C17920" t="str">
            <v>MDC  Perdida Swaps de Monedas COMP NEGO 5ND</v>
          </cell>
        </row>
        <row r="17921">
          <cell r="B17921" t="str">
            <v>41091601010406</v>
          </cell>
          <cell r="C17921" t="str">
            <v>MDC  Gast Swaps de Monedas COMP NEGO FIN5ND</v>
          </cell>
        </row>
        <row r="17922">
          <cell r="B17922" t="str">
            <v>41091601010407</v>
          </cell>
          <cell r="C17922" t="str">
            <v>PERDIDA SWAPS CCS BONO 2020             5ND</v>
          </cell>
        </row>
        <row r="17923">
          <cell r="B17923" t="str">
            <v>41091601010408</v>
          </cell>
          <cell r="C17923" t="str">
            <v>MRX GAST SWAPS MONEDAS ESPECULATIVO_UW  5 D</v>
          </cell>
        </row>
        <row r="17924">
          <cell r="B17924" t="str">
            <v>41091601010409</v>
          </cell>
          <cell r="C17924" t="str">
            <v>MRX GAST INTERES SWAPS CAMBIARIO VTA    5ND</v>
          </cell>
        </row>
        <row r="17925">
          <cell r="B17925" t="str">
            <v>41091601010410</v>
          </cell>
          <cell r="C17925" t="str">
            <v>MRX PERD VAL SWAPS CAMBIARIO VTA        5ND</v>
          </cell>
        </row>
        <row r="17926">
          <cell r="B17926" t="str">
            <v>41091601010411</v>
          </cell>
          <cell r="C17926" t="str">
            <v>MRX GAST SWAPS  CAMBIARIO_UW            5ND</v>
          </cell>
        </row>
        <row r="17927">
          <cell r="B17927" t="str">
            <v>41091601090101</v>
          </cell>
          <cell r="C17927" t="str">
            <v>VALORIZACION OPC COMPRAS CALL AMERICANO 5ND</v>
          </cell>
        </row>
        <row r="17928">
          <cell r="B17928" t="str">
            <v>41091601090102</v>
          </cell>
          <cell r="C17928" t="str">
            <v>VALORIZACION OPC DEUD VTA CALL AMERICANO5ND</v>
          </cell>
        </row>
        <row r="17929">
          <cell r="B17929" t="str">
            <v>41091601090103</v>
          </cell>
          <cell r="C17929" t="str">
            <v>VALORIZACION OPC COMPRAS PUTS AMERICANO 5ND</v>
          </cell>
        </row>
        <row r="17930">
          <cell r="B17930" t="str">
            <v>41091601090104</v>
          </cell>
          <cell r="C17930" t="str">
            <v>VALORIZACION OPC VENTAS PUTS AMERICANO  5ND</v>
          </cell>
        </row>
        <row r="17931">
          <cell r="B17931" t="str">
            <v>41091601090105</v>
          </cell>
          <cell r="C17931" t="str">
            <v>PERDIDA OPC COMPRAS CALL AMERICANO      5ND</v>
          </cell>
        </row>
        <row r="17932">
          <cell r="B17932" t="str">
            <v>41091601090106</v>
          </cell>
          <cell r="C17932" t="str">
            <v>PERDIDA OPC DEUD VTA CALL AMERICANO     5ND</v>
          </cell>
        </row>
        <row r="17933">
          <cell r="B17933" t="str">
            <v>41091601090107</v>
          </cell>
          <cell r="C17933" t="str">
            <v>PERDIDA OPC COMPRAS PUTS AMERICANO      5ND</v>
          </cell>
        </row>
        <row r="17934">
          <cell r="B17934" t="str">
            <v>41091601090108</v>
          </cell>
          <cell r="C17934" t="str">
            <v>PERDIDA OPC VENTAS PUTS AMERiCANO       5ND</v>
          </cell>
        </row>
        <row r="17935">
          <cell r="B17935" t="str">
            <v>41091601090109</v>
          </cell>
          <cell r="C17935" t="str">
            <v>MDC GTOS OPC COMP CALL EUR  DEP DIV     5ND</v>
          </cell>
        </row>
        <row r="17936">
          <cell r="B17936" t="str">
            <v>41091601090110</v>
          </cell>
          <cell r="C17936" t="str">
            <v>MDC PERDIDA OPC COMP CALL EUR  DEP DIV  5ND</v>
          </cell>
        </row>
        <row r="17937">
          <cell r="B17937" t="str">
            <v>41091601090111</v>
          </cell>
          <cell r="C17937" t="str">
            <v>MDC GTOS OPC VENT CALL EUR  DEP DIV     5ND</v>
          </cell>
        </row>
        <row r="17938">
          <cell r="B17938" t="str">
            <v>41091601090112</v>
          </cell>
          <cell r="C17938" t="str">
            <v>MDC PERDIDA OPC VENT CALL EUR  DEP DIV  5ND</v>
          </cell>
        </row>
        <row r="17939">
          <cell r="B17939" t="str">
            <v>41091601090113</v>
          </cell>
          <cell r="C17939" t="str">
            <v>MDC GTOS OPC COMP PUT EUR  DEP DIV      5ND</v>
          </cell>
        </row>
        <row r="17940">
          <cell r="B17940" t="str">
            <v>41091601090114</v>
          </cell>
          <cell r="C17940" t="str">
            <v>MDC PERDIDA OPC COMP PUT EUR  DEP DIV   5ND</v>
          </cell>
        </row>
        <row r="17941">
          <cell r="B17941" t="str">
            <v>41091601090115</v>
          </cell>
          <cell r="C17941" t="str">
            <v>MDC GTOS OPC VENT PUT EUR  DEP DIV      5ND</v>
          </cell>
        </row>
        <row r="17942">
          <cell r="B17942" t="str">
            <v>41091601090116</v>
          </cell>
          <cell r="C17942" t="str">
            <v>MDC PERDIDA OPC VENT PUT EUR  DEP DIV   5ND</v>
          </cell>
        </row>
        <row r="17943">
          <cell r="B17943" t="str">
            <v>41091601090117</v>
          </cell>
          <cell r="C17943" t="str">
            <v>MDC GTOS OPC COMP CALL  OPC DIV         5ND</v>
          </cell>
        </row>
        <row r="17944">
          <cell r="B17944" t="str">
            <v>41091601090118</v>
          </cell>
          <cell r="C17944" t="str">
            <v>MDC PERDIDA OPC COMP CALL  OPC DIV      5ND</v>
          </cell>
        </row>
        <row r="17945">
          <cell r="B17945" t="str">
            <v>41091601090119</v>
          </cell>
          <cell r="C17945" t="str">
            <v>MDC GTOS OPC VENT CALL  OPC DIV         5ND</v>
          </cell>
        </row>
        <row r="17946">
          <cell r="B17946" t="str">
            <v>41091601090120</v>
          </cell>
          <cell r="C17946" t="str">
            <v>MDC PERDIDA OPC VENT CALL  OPC DIV      5ND</v>
          </cell>
        </row>
        <row r="17947">
          <cell r="B17947" t="str">
            <v>41091601090121</v>
          </cell>
          <cell r="C17947" t="str">
            <v>MDC GTOS OPC COMP PUT  OPC DIV          5ND</v>
          </cell>
        </row>
        <row r="17948">
          <cell r="B17948" t="str">
            <v>41091601090122</v>
          </cell>
          <cell r="C17948" t="str">
            <v>MDC PERDIDA OPC COMP PUT  OPC DIV       5ND</v>
          </cell>
        </row>
        <row r="17949">
          <cell r="B17949" t="str">
            <v>41091601090123</v>
          </cell>
          <cell r="C17949" t="str">
            <v>MDC GTOS OPC VENT PUT  OPC DIV          5ND</v>
          </cell>
        </row>
        <row r="17950">
          <cell r="B17950" t="str">
            <v>41091601090124</v>
          </cell>
          <cell r="C17950" t="str">
            <v>MDC PERDIDA OPC VENT PUT  OPC DIV       5ND</v>
          </cell>
        </row>
        <row r="17951">
          <cell r="B17951" t="str">
            <v>41091601090125</v>
          </cell>
          <cell r="C17951" t="str">
            <v>Gast Val FWD Vta OPC NDF                5ND</v>
          </cell>
        </row>
        <row r="17952">
          <cell r="B17952" t="str">
            <v>41091601090126</v>
          </cell>
          <cell r="C17952" t="str">
            <v>Gast Val FWD Vta OPC Full               5ND</v>
          </cell>
        </row>
        <row r="17953">
          <cell r="B17953" t="str">
            <v>41091601090127</v>
          </cell>
          <cell r="C17953" t="str">
            <v>Gast Val FWD Comp OPC NDF               5ND</v>
          </cell>
        </row>
        <row r="17954">
          <cell r="B17954" t="str">
            <v>41091601090128</v>
          </cell>
          <cell r="C17954" t="str">
            <v>Gast Val FWD Comp OPC FULL              5ND</v>
          </cell>
        </row>
        <row r="17955">
          <cell r="B17955" t="str">
            <v>41091601090201</v>
          </cell>
          <cell r="C17955" t="str">
            <v>VALORIZACION OPC COMPRAS CALL EUROPEO   5ND</v>
          </cell>
        </row>
        <row r="17956">
          <cell r="B17956" t="str">
            <v>41091601090202</v>
          </cell>
          <cell r="C17956" t="str">
            <v>VALORIZACION OPC DEUD VTA CALL EUROPEO  5ND</v>
          </cell>
        </row>
        <row r="17957">
          <cell r="B17957" t="str">
            <v>41091601090203</v>
          </cell>
          <cell r="C17957" t="str">
            <v>VALORIZACION OPC COMPRAS PUTS EUROPEO   5ND</v>
          </cell>
        </row>
        <row r="17958">
          <cell r="B17958" t="str">
            <v>41091601090204</v>
          </cell>
          <cell r="C17958" t="str">
            <v>VALORIZACION OPC VENTAS PUTS EUROPEO    5ND</v>
          </cell>
        </row>
        <row r="17959">
          <cell r="B17959" t="str">
            <v>41091601090205</v>
          </cell>
          <cell r="C17959" t="str">
            <v>PERDIDA OPC COMPRAS CALL EUROPEO        5ND</v>
          </cell>
        </row>
        <row r="17960">
          <cell r="B17960" t="str">
            <v>41091601090206</v>
          </cell>
          <cell r="C17960" t="str">
            <v>PERDIDA OPC DEUD VTA CALL EUROPEO       5ND</v>
          </cell>
        </row>
        <row r="17961">
          <cell r="B17961" t="str">
            <v>41091601090207</v>
          </cell>
          <cell r="C17961" t="str">
            <v>PERDIDA OPC COMPRAS PUTS EUROPEO        5ND</v>
          </cell>
        </row>
        <row r="17962">
          <cell r="B17962" t="str">
            <v>41091601090208</v>
          </cell>
          <cell r="C17962" t="str">
            <v>PERDIDA OPC VENTA PUTS EUROPEO          5ND</v>
          </cell>
        </row>
        <row r="17963">
          <cell r="B17963" t="str">
            <v>41091601090209</v>
          </cell>
          <cell r="C17963" t="str">
            <v>MDC GTOS OPC COMP CALL EUR - DEP ESTRUCT5ND</v>
          </cell>
        </row>
        <row r="17964">
          <cell r="B17964" t="str">
            <v>41091601090210</v>
          </cell>
          <cell r="C17964" t="str">
            <v>MDC PERDIDA OPC COMP CALL EUR - DEP ESTR5ND</v>
          </cell>
        </row>
        <row r="17965">
          <cell r="B17965" t="str">
            <v>41091601090211</v>
          </cell>
          <cell r="C17965" t="str">
            <v>MDC GTOS OPC DEUD VTA CALL EUR - DEP EST5ND</v>
          </cell>
        </row>
        <row r="17966">
          <cell r="B17966" t="str">
            <v>41091601090212</v>
          </cell>
          <cell r="C17966" t="str">
            <v>MDC PERDIDA OPC DEUD VTA CALL EUR - DEP 5ND</v>
          </cell>
        </row>
        <row r="17967">
          <cell r="B17967" t="str">
            <v>41091601090213</v>
          </cell>
          <cell r="C17967" t="str">
            <v>MDC GTOS OPC COMP PUTS EUR - DEP ESTRUCT5ND</v>
          </cell>
        </row>
        <row r="17968">
          <cell r="B17968" t="str">
            <v>41091601090214</v>
          </cell>
          <cell r="C17968" t="str">
            <v>MDC PERDIDA OPC COMP PUTS EUR - DEP ESTR5ND</v>
          </cell>
        </row>
        <row r="17969">
          <cell r="B17969" t="str">
            <v>41091601090215</v>
          </cell>
          <cell r="C17969" t="str">
            <v>MDC GASTOS OPC VENTAS PUTS EUR - DEP EST5ND</v>
          </cell>
        </row>
        <row r="17970">
          <cell r="B17970" t="str">
            <v>41091601090216</v>
          </cell>
          <cell r="C17970" t="str">
            <v>MDC PERDIDA OPC VENTAS PUTS EUR - DEP ES5ND</v>
          </cell>
        </row>
        <row r="17971">
          <cell r="B17971" t="str">
            <v>41091601090217</v>
          </cell>
          <cell r="C17971" t="str">
            <v>DIF.CAMBIOCOMPRAS A FUT-FWD.DELIVERY ESP5ND</v>
          </cell>
        </row>
        <row r="17972">
          <cell r="B17972" t="str">
            <v>41091601090218</v>
          </cell>
          <cell r="C17972" t="str">
            <v>DIF.CAMBIOCOMPRAS A FUT-FWD. NON DELIVER5ND</v>
          </cell>
        </row>
        <row r="17973">
          <cell r="B17973" t="str">
            <v>41091601090219</v>
          </cell>
          <cell r="C17973" t="str">
            <v>DIF.CAMBIOVENTAS A FUTURO - FWD.DELIVERY5ND</v>
          </cell>
        </row>
        <row r="17974">
          <cell r="B17974" t="str">
            <v>41091601090220</v>
          </cell>
          <cell r="C17974" t="str">
            <v>DIF.CAMBIOVENTAS A FUTURO - FWD.NON DELI5ND</v>
          </cell>
        </row>
        <row r="17975">
          <cell r="B17975" t="str">
            <v>41091601090221</v>
          </cell>
          <cell r="C17975" t="str">
            <v>MDC GTOS OPC COMP CALL EUR - FWD LIMITAD5ND</v>
          </cell>
        </row>
        <row r="17976">
          <cell r="B17976" t="str">
            <v>41091601090222</v>
          </cell>
          <cell r="C17976" t="str">
            <v>MDC PERDIDA OPC COMP CALL EUR - FWD LIMI5ND</v>
          </cell>
        </row>
        <row r="17977">
          <cell r="B17977" t="str">
            <v>41091601090223</v>
          </cell>
          <cell r="C17977" t="str">
            <v>MDC GTOS OPC DEUD VTA CALL EUR - FWD ACO5ND</v>
          </cell>
        </row>
        <row r="17978">
          <cell r="B17978" t="str">
            <v>41091601090224</v>
          </cell>
          <cell r="C17978" t="str">
            <v>MDC PERDIDA OPC DEUD VTA CALL EUR - FWD 5ND</v>
          </cell>
        </row>
        <row r="17979">
          <cell r="B17979" t="str">
            <v>41091601090225</v>
          </cell>
          <cell r="C17979" t="str">
            <v>MDC GTOS OPC COMP PUTS EUR - FWD ACOT   5ND</v>
          </cell>
        </row>
        <row r="17980">
          <cell r="B17980" t="str">
            <v>41091601090226</v>
          </cell>
          <cell r="C17980" t="str">
            <v>MDC PERDIDA OPC COMP PUTS EUR - FWD ACOT5ND</v>
          </cell>
        </row>
        <row r="17981">
          <cell r="B17981" t="str">
            <v>41091601090227</v>
          </cell>
          <cell r="C17981" t="str">
            <v>MDC GASTOS OPC VENTAS PUTS EUR - FWD ACO5ND</v>
          </cell>
        </row>
        <row r="17982">
          <cell r="B17982" t="str">
            <v>41091601090228</v>
          </cell>
          <cell r="C17982" t="str">
            <v>MDC PERDIDA OPC VENTAS PUTS EUR - FWD AC5ND</v>
          </cell>
        </row>
        <row r="17983">
          <cell r="B17983" t="str">
            <v>41091601090229</v>
          </cell>
          <cell r="C17983" t="str">
            <v>MDC GASTO FWD ACOT- COMPRA              5ND</v>
          </cell>
        </row>
        <row r="17984">
          <cell r="B17984" t="str">
            <v>41091601090230</v>
          </cell>
          <cell r="C17984" t="str">
            <v>MDC GASTO FWD LIMITADO- VENTA           5ND</v>
          </cell>
        </row>
        <row r="17985">
          <cell r="B17985" t="str">
            <v>41091601090231</v>
          </cell>
          <cell r="C17985" t="str">
            <v>PRIMA OPCION GASTO                      5ND</v>
          </cell>
        </row>
        <row r="17986">
          <cell r="B17986" t="str">
            <v>41091601090232</v>
          </cell>
          <cell r="C17986" t="str">
            <v>GASTOS FWD DB                           5ND</v>
          </cell>
        </row>
        <row r="17987">
          <cell r="B17987" t="str">
            <v>41091601090233</v>
          </cell>
          <cell r="C17987" t="str">
            <v>MDC  Perdida Forward de Monedas COMP NEG5ND</v>
          </cell>
        </row>
        <row r="17988">
          <cell r="B17988" t="str">
            <v>41091601090234</v>
          </cell>
          <cell r="C17988" t="str">
            <v>MDC  Perdida Forward de Monedas Vta NEGO5ND</v>
          </cell>
        </row>
        <row r="17989">
          <cell r="B17989" t="str">
            <v>41091601090235</v>
          </cell>
          <cell r="C17989" t="str">
            <v>DIF.CAMBIOVENTAS A FUTURO - FWD.DIVISAS 5 D</v>
          </cell>
        </row>
        <row r="17990">
          <cell r="B17990" t="str">
            <v>41091601090236</v>
          </cell>
          <cell r="C17990" t="str">
            <v>DIF.CAMBIOCOMPRAS A FUT-FWD.DIVISAS TESO5 D</v>
          </cell>
        </row>
        <row r="17991">
          <cell r="B17991" t="str">
            <v>41091601090239</v>
          </cell>
          <cell r="C17991" t="str">
            <v>MRX  PERDIDA FORWARD DE MONEDAS COMPRA N5ND</v>
          </cell>
        </row>
        <row r="17992">
          <cell r="B17992" t="str">
            <v>41091601090240</v>
          </cell>
          <cell r="C17992" t="str">
            <v>GASTO FORWARD UNWIND NEGOCIACION        5ND</v>
          </cell>
        </row>
        <row r="17993">
          <cell r="B17993" t="str">
            <v>41091602010301</v>
          </cell>
          <cell r="C17993" t="str">
            <v>SWAPS TASA DE INTERES NEGOCIACION       5ND</v>
          </cell>
        </row>
        <row r="17994">
          <cell r="B17994" t="str">
            <v>41091602010302</v>
          </cell>
          <cell r="C17994" t="str">
            <v>SWAPS TASA DE INTERES-NEG(INT)          5ND</v>
          </cell>
        </row>
        <row r="17995">
          <cell r="B17995" t="str">
            <v>41091602010303</v>
          </cell>
          <cell r="C17995" t="str">
            <v>GAST INT OVERNIGHT INTEREST SWAP        5ND</v>
          </cell>
        </row>
        <row r="17996">
          <cell r="B17996" t="str">
            <v>41091602010304</v>
          </cell>
          <cell r="C17996" t="str">
            <v>GAST VAL OVERNIGHT INTEREST SWAP        5ND</v>
          </cell>
        </row>
        <row r="17997">
          <cell r="B17997" t="str">
            <v>41091602010305</v>
          </cell>
          <cell r="C17997" t="str">
            <v>MRX GAST SWAPS TASA INTERES NEG_UW      5 D</v>
          </cell>
        </row>
        <row r="17998">
          <cell r="B17998" t="str">
            <v>41091602010306</v>
          </cell>
          <cell r="C17998" t="str">
            <v>MRX GAST SWAPS TASA INTERES NEG_FIN_UW  5 D</v>
          </cell>
        </row>
        <row r="17999">
          <cell r="B17999" t="str">
            <v>41091602020101</v>
          </cell>
          <cell r="C17999" t="str">
            <v>GASTOS VALORIZAC FWD TASA PAGO FIJO     5ND</v>
          </cell>
        </row>
        <row r="18000">
          <cell r="B18000" t="str">
            <v>41091602020102</v>
          </cell>
          <cell r="C18000" t="str">
            <v>GASTOS VALORIZAC FWD TASA PAGO FLOTANTE 5ND</v>
          </cell>
        </row>
        <row r="18001">
          <cell r="B18001" t="str">
            <v>41091702010103</v>
          </cell>
          <cell r="C18001" t="str">
            <v>PÃ‰RDIDA  COMPRA SWAP MONEDAS           5ND</v>
          </cell>
        </row>
        <row r="18002">
          <cell r="B18002" t="str">
            <v>41091702010201</v>
          </cell>
          <cell r="C18002" t="str">
            <v>VENTAS A FUTURO-SWAP(CFC)               5ND</v>
          </cell>
        </row>
        <row r="18003">
          <cell r="B18003" t="str">
            <v>41091702010202</v>
          </cell>
          <cell r="C18003" t="str">
            <v>VENTAS A FUTURO-SWAP INT(CFC)           5ND</v>
          </cell>
        </row>
        <row r="18004">
          <cell r="B18004" t="str">
            <v>41091702010203</v>
          </cell>
          <cell r="C18004" t="str">
            <v>GAST INT COMPRAS SWAPS MON COB-2020     5ND</v>
          </cell>
        </row>
        <row r="18005">
          <cell r="B18005" t="str">
            <v>41091702010204</v>
          </cell>
          <cell r="C18005" t="str">
            <v>GASTO POR INTERESES CCS BONO 2020       5ND</v>
          </cell>
        </row>
        <row r="18006">
          <cell r="B18006" t="str">
            <v>41091702010205</v>
          </cell>
          <cell r="C18006" t="str">
            <v>GASTO POR INTERESES CCS BONO 2023       5ND</v>
          </cell>
        </row>
        <row r="18007">
          <cell r="B18007" t="str">
            <v>41091702010206</v>
          </cell>
          <cell r="C18007" t="str">
            <v>GAST INT COMPRAS SWAPS MON COB-2023     5ND</v>
          </cell>
        </row>
        <row r="18008">
          <cell r="B18008" t="str">
            <v>41091702010207</v>
          </cell>
          <cell r="C18008" t="str">
            <v>MRX GAST SWAPS MONEDAS COB_UW           5 D</v>
          </cell>
        </row>
        <row r="18009">
          <cell r="B18009" t="str">
            <v>41091702010208</v>
          </cell>
          <cell r="C18009" t="str">
            <v>MRX GAST SWAPS MONEDAS COB_UW           5 D</v>
          </cell>
        </row>
        <row r="18010">
          <cell r="B18010" t="str">
            <v>41091702010209</v>
          </cell>
          <cell r="C18010" t="str">
            <v>MRX GAST SWAPS MONEDAS COB              5 D</v>
          </cell>
        </row>
        <row r="18011">
          <cell r="B18011" t="str">
            <v>41091702010210</v>
          </cell>
          <cell r="C18011" t="str">
            <v>GAST POR COBRAR CCS COBERTURA MESA COMPR5ND</v>
          </cell>
        </row>
        <row r="18012">
          <cell r="B18012" t="str">
            <v>41091702010211</v>
          </cell>
          <cell r="C18012" t="str">
            <v>GAST POR COBRAR CCS COBERTURA MESA VENTA5ND</v>
          </cell>
        </row>
        <row r="18013">
          <cell r="B18013" t="str">
            <v>41091702010212</v>
          </cell>
          <cell r="C18013" t="str">
            <v>GAST SWAPS MONEDAS COB GDL MESA_UW      5ND</v>
          </cell>
        </row>
        <row r="18014">
          <cell r="B18014" t="str">
            <v>41091702010213</v>
          </cell>
          <cell r="C18014" t="str">
            <v>GAST FORWARD  TRADING_UW                5ND</v>
          </cell>
        </row>
        <row r="18015">
          <cell r="B18015" t="str">
            <v>41091702010214</v>
          </cell>
          <cell r="C18015" t="str">
            <v>GAST FORWARD  FINANZAS_UW               5ND</v>
          </cell>
        </row>
        <row r="18016">
          <cell r="B18016" t="str">
            <v>41091702010215</v>
          </cell>
          <cell r="C18016" t="str">
            <v>GAST OPCIONES_UW                        5ND</v>
          </cell>
        </row>
        <row r="18017">
          <cell r="B18017" t="str">
            <v>41091702020101</v>
          </cell>
          <cell r="C18017" t="str">
            <v>CONTR FUT DE TASAS INT - SWAP COBERT    5ND</v>
          </cell>
        </row>
        <row r="18018">
          <cell r="B18018" t="str">
            <v>41091702020103</v>
          </cell>
          <cell r="C18018" t="str">
            <v>INT SWAPS DE TASAS DE INT ASOC. A DPRS  5ND</v>
          </cell>
        </row>
        <row r="18019">
          <cell r="B18019" t="str">
            <v>41091702020104</v>
          </cell>
          <cell r="C18019" t="str">
            <v>FORWARDS - TASA DE INTERESES            5ND</v>
          </cell>
        </row>
        <row r="18020">
          <cell r="B18020" t="str">
            <v>41091702020105</v>
          </cell>
          <cell r="C18020" t="str">
            <v>MRX GAST SWAPS TASA INTERES COB_FIN_UW  5 D</v>
          </cell>
        </row>
        <row r="18021">
          <cell r="B18021" t="str">
            <v>41091900000101</v>
          </cell>
          <cell r="C18021" t="str">
            <v>DESCTO.PRONTO PAG-BCOS EXTERIOR         5ND</v>
          </cell>
        </row>
        <row r="18022">
          <cell r="B18022" t="str">
            <v>41091900000105</v>
          </cell>
          <cell r="C18022" t="str">
            <v>HPC COM. RIESGO CRED. MI VIV.           5ND</v>
          </cell>
        </row>
        <row r="18023">
          <cell r="B18023" t="str">
            <v>41091900000106</v>
          </cell>
          <cell r="C18023" t="str">
            <v>HPC COM PREMIO BUEN PAG MI VIV          5ND</v>
          </cell>
        </row>
        <row r="18024">
          <cell r="B18024" t="str">
            <v>41091900000107</v>
          </cell>
          <cell r="C18024" t="str">
            <v>HPC CAP. CUOTA GRATIS HIP RP            5ND</v>
          </cell>
        </row>
        <row r="18025">
          <cell r="B18025" t="str">
            <v>41091900000202</v>
          </cell>
          <cell r="C18025" t="str">
            <v>RETIRO CIRCULAC.MONEDAS-BCR             5ND</v>
          </cell>
        </row>
        <row r="18026">
          <cell r="B18026" t="str">
            <v>41091900000203</v>
          </cell>
          <cell r="C18026" t="str">
            <v>AMORTIZACION PRIMA BANCOLOMBIA          5ND</v>
          </cell>
        </row>
        <row r="18027">
          <cell r="B18027" t="str">
            <v>41091900000204</v>
          </cell>
          <cell r="C18027" t="str">
            <v>AMORTIZACION PRIMA ITAU-CENTENARIO      5ND</v>
          </cell>
        </row>
        <row r="18028">
          <cell r="B18028" t="str">
            <v>41091900000205</v>
          </cell>
          <cell r="C18028" t="str">
            <v>AMORTIZACION PRIMA SURA                 5ND</v>
          </cell>
        </row>
        <row r="18029">
          <cell r="B18029" t="str">
            <v>41091900000206</v>
          </cell>
          <cell r="C18029" t="str">
            <v>COMISIONES INTELIGO                     5ND</v>
          </cell>
        </row>
        <row r="18030">
          <cell r="B18030" t="str">
            <v>41092200000101</v>
          </cell>
          <cell r="C18030" t="str">
            <v>HPC COMIS CRED HIP FMV REC PROP         5ND</v>
          </cell>
        </row>
        <row r="18031">
          <cell r="B18031" t="str">
            <v>41092300000101</v>
          </cell>
          <cell r="C18031" t="str">
            <v>TITULO DE LA CTA C                      5ND</v>
          </cell>
        </row>
        <row r="18032">
          <cell r="B18032" t="str">
            <v>41092600000101</v>
          </cell>
          <cell r="C18032" t="str">
            <v>PERD CARTERA CREDITICIA - CRED          5ND</v>
          </cell>
        </row>
        <row r="18033">
          <cell r="B18033" t="str">
            <v>42010300000101</v>
          </cell>
          <cell r="C18033" t="str">
            <v>GASTO POR EMISION CARTAS DE CREDITO     5ND</v>
          </cell>
        </row>
        <row r="18034">
          <cell r="B18034" t="str">
            <v>42010300000102</v>
          </cell>
          <cell r="C18034" t="str">
            <v>C/C STAND BY-TARJETA DE CREDITO         5ND</v>
          </cell>
        </row>
        <row r="18035">
          <cell r="B18035" t="str">
            <v>42020200000101</v>
          </cell>
          <cell r="C18035" t="str">
            <v>SERVICIO DE COBRANZA CONVENIOS          5ND</v>
          </cell>
        </row>
        <row r="18036">
          <cell r="B18036" t="str">
            <v>42020200000102</v>
          </cell>
          <cell r="C18036" t="str">
            <v>SERVICIO DE COBRANZA CONVENIOS NO DEDUCI5ND</v>
          </cell>
        </row>
        <row r="18037">
          <cell r="B18037" t="str">
            <v>42020200000103</v>
          </cell>
          <cell r="C18037" t="str">
            <v>PASARELA DE PAGOS - APP IBK             5ND</v>
          </cell>
        </row>
        <row r="18038">
          <cell r="B18038" t="str">
            <v>42020200000104</v>
          </cell>
          <cell r="C18038" t="str">
            <v>HONORARIOS COBRANZAS REACTIVA BPE       5ND</v>
          </cell>
        </row>
        <row r="18039">
          <cell r="B18039" t="str">
            <v>42020200000105</v>
          </cell>
          <cell r="C18039" t="str">
            <v>HONORARIOS COBRANZAS CRECER BPE         5ND</v>
          </cell>
        </row>
        <row r="18040">
          <cell r="B18040" t="str">
            <v>42020600000101</v>
          </cell>
          <cell r="C18040" t="str">
            <v>TARJETA RECUPERADA                      5ND</v>
          </cell>
        </row>
        <row r="18041">
          <cell r="B18041" t="str">
            <v>42020600000102</v>
          </cell>
          <cell r="C18041" t="str">
            <v>TC COBRO DE REGALIAS                    5ND</v>
          </cell>
        </row>
        <row r="18042">
          <cell r="B18042" t="str">
            <v>42020600000104</v>
          </cell>
          <cell r="C18042" t="str">
            <v>SEG. DESGRAV TC IB                      5ND</v>
          </cell>
        </row>
        <row r="18043">
          <cell r="B18043" t="str">
            <v>42020600000105</v>
          </cell>
          <cell r="C18043" t="str">
            <v>PUNTOS VEA - CASHBACK                   5ND</v>
          </cell>
        </row>
        <row r="18044">
          <cell r="B18044" t="str">
            <v>42020600000107</v>
          </cell>
          <cell r="C18044" t="str">
            <v>RECLAMOS TC 50 NUEVOS SOLES             5ND</v>
          </cell>
        </row>
        <row r="18045">
          <cell r="B18045" t="str">
            <v>42020600000109</v>
          </cell>
          <cell r="C18045" t="str">
            <v>COBRO AUTORIZACION TC                   5ND</v>
          </cell>
        </row>
        <row r="18046">
          <cell r="B18046" t="str">
            <v>42020600000110</v>
          </cell>
          <cell r="C18046" t="str">
            <v>COPIA AUTOMATICA TARJETA VISA INTERNC   5ND</v>
          </cell>
        </row>
        <row r="18047">
          <cell r="B18047" t="str">
            <v>42020600000112</v>
          </cell>
          <cell r="C18047" t="str">
            <v>COBRO USO DE EQUIPOS TC                 5ND</v>
          </cell>
        </row>
        <row r="18048">
          <cell r="B18048" t="str">
            <v>42020600000116</v>
          </cell>
          <cell r="C18048" t="str">
            <v>COBRO TARJETAS ACTIVAS TC CLARO IBK     5ND</v>
          </cell>
        </row>
        <row r="18049">
          <cell r="B18049" t="str">
            <v>42020600000120</v>
          </cell>
          <cell r="C18049" t="str">
            <v>COMISIONES ATM FORANEOS                 5ND</v>
          </cell>
        </row>
        <row r="18050">
          <cell r="B18050" t="str">
            <v>42020600000121</v>
          </cell>
          <cell r="C18050" t="str">
            <v>COBROS PROCESAMIENTO INCOMING-OUTGOING  5ND</v>
          </cell>
        </row>
        <row r="18051">
          <cell r="B18051" t="str">
            <v>42020600000128</v>
          </cell>
          <cell r="C18051" t="str">
            <v>COBRO POR PAGO TC VEA                   5ND</v>
          </cell>
        </row>
        <row r="18052">
          <cell r="B18052" t="str">
            <v>42020600000132</v>
          </cell>
          <cell r="C18052" t="str">
            <v>GASTOS DE FRAUDE TD                     5ND</v>
          </cell>
        </row>
        <row r="18053">
          <cell r="B18053" t="str">
            <v>42020600000133</v>
          </cell>
          <cell r="C18053" t="str">
            <v>POLIZAS FRAUDE TC                       5ND</v>
          </cell>
        </row>
        <row r="18054">
          <cell r="B18054" t="str">
            <v>42020600000134</v>
          </cell>
          <cell r="C18054" t="str">
            <v>POLIZAS FRAUDE TD                       5ND</v>
          </cell>
        </row>
        <row r="18055">
          <cell r="B18055" t="str">
            <v>42020600000136</v>
          </cell>
          <cell r="C18055" t="str">
            <v>GASTO DE FRAUDE ATM ADQUIRENTE          5ND</v>
          </cell>
        </row>
        <row r="18056">
          <cell r="B18056" t="str">
            <v>42020600000137</v>
          </cell>
          <cell r="C18056" t="str">
            <v>PAGOS FONDO COOPERATIVO AMEX            5ND</v>
          </cell>
        </row>
        <row r="18057">
          <cell r="B18057" t="str">
            <v>42020600000138</v>
          </cell>
          <cell r="C18057" t="str">
            <v>PAGO VOLUMEN VISA II                    5ND</v>
          </cell>
        </row>
        <row r="18058">
          <cell r="B18058" t="str">
            <v>42020600000139</v>
          </cell>
          <cell r="C18058" t="str">
            <v>IMPTO A LA RENTA ASUMIDO-NO DOMICILIADO-5ND</v>
          </cell>
        </row>
        <row r="18059">
          <cell r="B18059" t="str">
            <v>42020600000140</v>
          </cell>
          <cell r="C18059" t="str">
            <v>COMISIONES PLAN SINPLE                  5ND</v>
          </cell>
        </row>
        <row r="18060">
          <cell r="B18060" t="str">
            <v>42020600000309</v>
          </cell>
          <cell r="C18060" t="str">
            <v>TC SEG DESGRAVAMEN CONSUMO AMEX         5ND</v>
          </cell>
        </row>
        <row r="18061">
          <cell r="B18061" t="str">
            <v>42020600000314</v>
          </cell>
          <cell r="C18061" t="str">
            <v>BL TC SEG DESGRAV CONSUMO MP MC         5ND</v>
          </cell>
        </row>
        <row r="18062">
          <cell r="B18062" t="str">
            <v>42020600000315</v>
          </cell>
          <cell r="C18062" t="str">
            <v>COBROS LIQUIDACION TC                   5ND</v>
          </cell>
        </row>
        <row r="18063">
          <cell r="B18063" t="str">
            <v>42020600000316</v>
          </cell>
          <cell r="C18063" t="str">
            <v>GASTOS MONEX                            5ND</v>
          </cell>
        </row>
        <row r="18064">
          <cell r="B18064" t="str">
            <v>42020600000317</v>
          </cell>
          <cell r="C18064" t="str">
            <v>CDO COM INTERCAMBIO BOGOTA              5ND</v>
          </cell>
        </row>
        <row r="18065">
          <cell r="B18065" t="str">
            <v>42020600000318</v>
          </cell>
          <cell r="C18065" t="str">
            <v>BTC COMISION ATM FORANEOS RAPPI         5ND</v>
          </cell>
        </row>
        <row r="18066">
          <cell r="B18066" t="str">
            <v>42020600000320</v>
          </cell>
          <cell r="C18066" t="str">
            <v>CDO LIQ TUNKI_COM ISA CONVERSION MONEDA 5ND</v>
          </cell>
        </row>
        <row r="18067">
          <cell r="B18067" t="str">
            <v>42020600000321</v>
          </cell>
          <cell r="C18067" t="str">
            <v>CDO LIQ TUNKI_COM USO OTRA RED          5ND</v>
          </cell>
        </row>
        <row r="18068">
          <cell r="B18068" t="str">
            <v>42020600000322</v>
          </cell>
          <cell r="C18068" t="str">
            <v>BTC_COM USO OTRA RED                    5ND</v>
          </cell>
        </row>
        <row r="18069">
          <cell r="B18069" t="str">
            <v>42020600000323</v>
          </cell>
          <cell r="C18069" t="str">
            <v>CDO COBROS LIQUIDACION TC ISA           5 D</v>
          </cell>
        </row>
        <row r="18070">
          <cell r="B18070" t="str">
            <v>42020700000801</v>
          </cell>
          <cell r="C18070" t="str">
            <v>PAN POR MANEJO DE GIROS Y REMESAS       5ND</v>
          </cell>
        </row>
        <row r="18071">
          <cell r="B18071" t="str">
            <v>42020800000101</v>
          </cell>
          <cell r="C18071" t="str">
            <v>COM POR TRANSFERENCIAS                  5ND</v>
          </cell>
        </row>
        <row r="18072">
          <cell r="B18072" t="str">
            <v>42020800000102</v>
          </cell>
          <cell r="C18072" t="str">
            <v>COM TIB PAGOS OTROS BANCOS              5ND</v>
          </cell>
        </row>
        <row r="18073">
          <cell r="B18073" t="str">
            <v>42020800000103</v>
          </cell>
          <cell r="C18073" t="str">
            <v>REMESAS AL EXTERIOR                     5ND</v>
          </cell>
        </row>
        <row r="18074">
          <cell r="B18074" t="str">
            <v>42020800000104</v>
          </cell>
          <cell r="C18074" t="str">
            <v>GTOS OUR EUROS OUTGOING                 5ND</v>
          </cell>
        </row>
        <row r="18075">
          <cell r="B18075" t="str">
            <v>42020800000105</v>
          </cell>
          <cell r="C18075" t="str">
            <v>COMISIONES RIA ENVIA                    5ND</v>
          </cell>
        </row>
        <row r="18076">
          <cell r="B18076" t="str">
            <v>42020800000106</v>
          </cell>
          <cell r="C18076" t="str">
            <v>GASTOS DEL EXTERIOR TX OUTGOING         5ND</v>
          </cell>
        </row>
        <row r="18077">
          <cell r="B18077" t="str">
            <v>42020800000107</v>
          </cell>
          <cell r="C18077" t="str">
            <v>GASTOS DEL EXTERIOR TX OUTGOING         5ND</v>
          </cell>
        </row>
        <row r="18078">
          <cell r="B18078" t="str">
            <v>42020800000108</v>
          </cell>
          <cell r="C18078" t="str">
            <v>COM TIB PAGOS OTROS BANCOS BOG          5ND</v>
          </cell>
        </row>
        <row r="18079">
          <cell r="B18079" t="str">
            <v>42020800000111</v>
          </cell>
          <cell r="C18079" t="str">
            <v>COM TIB PAGOS OTROS BANCOS PJ           5ND</v>
          </cell>
        </row>
        <row r="18080">
          <cell r="B18080" t="str">
            <v>42020800000112</v>
          </cell>
          <cell r="C18080" t="str">
            <v>COMISION TRANSFERENCIA PAYPAL           5ND</v>
          </cell>
        </row>
        <row r="18081">
          <cell r="B18081" t="str">
            <v>42020800000113</v>
          </cell>
          <cell r="C18081" t="str">
            <v>COMISIÃ“N TRANSFERENCIA PAYPAL PERSONAS 5ND</v>
          </cell>
        </row>
        <row r="18082">
          <cell r="B18082" t="str">
            <v>42020800000801</v>
          </cell>
          <cell r="C18082" t="str">
            <v>PAN TRANSFERENCIAS                      5ND</v>
          </cell>
        </row>
        <row r="18083">
          <cell r="B18083" t="str">
            <v>42020900000101</v>
          </cell>
          <cell r="C18083" t="str">
            <v>COMISIONES - COMPRAVENTA DE VALORES     5ND</v>
          </cell>
        </row>
        <row r="18084">
          <cell r="B18084" t="str">
            <v>42020900000102</v>
          </cell>
          <cell r="C18084" t="str">
            <v>COMISION OPERACIONES CON NO RESIDENTE   5ND</v>
          </cell>
        </row>
        <row r="18085">
          <cell r="B18085" t="str">
            <v>42022900000103</v>
          </cell>
          <cell r="C18085" t="str">
            <v>COM.DIVERSAS - BANQUEROS                5ND</v>
          </cell>
        </row>
        <row r="18086">
          <cell r="B18086" t="str">
            <v>42022900000105</v>
          </cell>
          <cell r="C18086" t="str">
            <v>COM.POR SERVICIOS BCOS LOCALES          5ND</v>
          </cell>
        </row>
        <row r="18087">
          <cell r="B18087" t="str">
            <v>42022900000107</v>
          </cell>
          <cell r="C18087" t="str">
            <v>COMISION IMPO/EXPO DIVISAS              5ND</v>
          </cell>
        </row>
        <row r="18088">
          <cell r="B18088" t="str">
            <v>42022900000108</v>
          </cell>
          <cell r="C18088" t="str">
            <v>COM SERVICIOS BCA CORP                  5ND</v>
          </cell>
        </row>
        <row r="18089">
          <cell r="B18089" t="str">
            <v>42022900000109</v>
          </cell>
          <cell r="C18089" t="str">
            <v>COMISIONES VARIAS                       5ND</v>
          </cell>
        </row>
        <row r="18090">
          <cell r="B18090" t="str">
            <v>42022900000111</v>
          </cell>
          <cell r="C18090" t="str">
            <v>COM CARTA FIANZA EMITIDA X OTROS BCOS   5ND</v>
          </cell>
        </row>
        <row r="18091">
          <cell r="B18091" t="str">
            <v>42022900000112</v>
          </cell>
          <cell r="C18091" t="str">
            <v>COM. AVISO/CONFIR CARTA DE CREDITO      5ND</v>
          </cell>
        </row>
        <row r="18092">
          <cell r="B18092" t="str">
            <v>42022900000113</v>
          </cell>
          <cell r="C18092" t="str">
            <v>AJUSTES AUTOMATICOS CAJA-GASTOS         5ND</v>
          </cell>
        </row>
        <row r="18093">
          <cell r="B18093" t="str">
            <v>42022900000114</v>
          </cell>
          <cell r="C18093" t="str">
            <v>GASTOS POR DIF ATMS                     5ND</v>
          </cell>
        </row>
        <row r="18094">
          <cell r="B18094" t="str">
            <v>42022900000115</v>
          </cell>
          <cell r="C18094" t="str">
            <v>IMPORTACION Y EXPORTACION DE BILLETES   5ND</v>
          </cell>
        </row>
        <row r="18095">
          <cell r="B18095" t="str">
            <v>42022900000116</v>
          </cell>
          <cell r="C18095" t="str">
            <v>COMISION LAP                            5ND</v>
          </cell>
        </row>
        <row r="18096">
          <cell r="B18096" t="str">
            <v>42022900000117</v>
          </cell>
          <cell r="C18096" t="str">
            <v>COMISION CANAL DE ESTABLECIMIENTO       5ND</v>
          </cell>
        </row>
        <row r="18097">
          <cell r="B18097" t="str">
            <v>42022900000118</v>
          </cell>
          <cell r="C18097" t="str">
            <v>COMIS. POR REFERENCIACION DE CLIENT.    5ND</v>
          </cell>
        </row>
        <row r="18098">
          <cell r="B18098" t="str">
            <v>42022900000119</v>
          </cell>
          <cell r="C18098" t="str">
            <v>COMISIÃ“N REFERENCIACIÃ“N - FACTORING   5ND</v>
          </cell>
        </row>
        <row r="18099">
          <cell r="B18099" t="str">
            <v>42022900000120</v>
          </cell>
          <cell r="C18099" t="str">
            <v>OTROS GASTOS DE CANAL IB DIRECTO        5ND</v>
          </cell>
        </row>
        <row r="18100">
          <cell r="B18100" t="str">
            <v>42022900000122</v>
          </cell>
          <cell r="C18100" t="str">
            <v>MYP SEGURO CONTRA INCENDIOS             5ND</v>
          </cell>
        </row>
        <row r="18101">
          <cell r="B18101" t="str">
            <v>42022900000124</v>
          </cell>
          <cell r="C18101" t="str">
            <v>COMISION CARTA FIANZAS EMITIDAS-OTRAS   5ND</v>
          </cell>
        </row>
        <row r="18102">
          <cell r="B18102" t="str">
            <v>42022900000125</v>
          </cell>
          <cell r="C18102" t="str">
            <v>CONSUMO GASTOS PROMOC CTS               5ND</v>
          </cell>
        </row>
        <row r="18103">
          <cell r="B18103" t="str">
            <v>42022900000126</v>
          </cell>
          <cell r="C18103" t="str">
            <v>CONVERSION GDN A BONOS LOCALES          5ND</v>
          </cell>
        </row>
        <row r="18104">
          <cell r="B18104" t="str">
            <v>42022900000127</v>
          </cell>
          <cell r="C18104" t="str">
            <v>GASTOS POR SEGUROS ARRENDAMIENTO FIN    5ND</v>
          </cell>
        </row>
        <row r="18105">
          <cell r="B18105" t="str">
            <v>42022900000128</v>
          </cell>
          <cell r="C18105" t="str">
            <v>GASTO SEGURO DESGRAVAMEN CONVENIO       5ND</v>
          </cell>
        </row>
        <row r="18106">
          <cell r="B18106" t="str">
            <v>42022900000129</v>
          </cell>
          <cell r="C18106" t="str">
            <v>GASTO SEGURO DESGRAVAMEN HIPOTECARIO    5ND</v>
          </cell>
        </row>
        <row r="18107">
          <cell r="B18107" t="str">
            <v>42022900000130</v>
          </cell>
          <cell r="C18107" t="str">
            <v>GASTO SEGURO DESGRAVAMEN VEHICULAR      5ND</v>
          </cell>
        </row>
        <row r="18108">
          <cell r="B18108" t="str">
            <v>42022900000131</v>
          </cell>
          <cell r="C18108" t="str">
            <v>GASTO SEGURO DESGRAVAMEN EFECTIVO       5ND</v>
          </cell>
        </row>
        <row r="18109">
          <cell r="B18109" t="str">
            <v>42022900000132</v>
          </cell>
          <cell r="C18109" t="str">
            <v>GASTO SEGURO DESGRAV OTROS REFINANCIADO 5ND</v>
          </cell>
        </row>
        <row r="18110">
          <cell r="B18110" t="str">
            <v>42022900000133</v>
          </cell>
          <cell r="C18110" t="str">
            <v>GASTO SEGURO DESGRAVAMEN BPE            5ND</v>
          </cell>
        </row>
        <row r="18111">
          <cell r="B18111" t="str">
            <v>42022900000134</v>
          </cell>
          <cell r="C18111" t="str">
            <v>GASTO SEGURO DEL BIEN CREDITO HIPOTECARI5ND</v>
          </cell>
        </row>
        <row r="18112">
          <cell r="B18112" t="str">
            <v>42022900000135</v>
          </cell>
          <cell r="C18112" t="str">
            <v>GASTO SEGURO MULTIRIESGO - HIPOTECAS BPE5ND</v>
          </cell>
        </row>
        <row r="18113">
          <cell r="B18113" t="str">
            <v>42022900000136</v>
          </cell>
          <cell r="C18113" t="str">
            <v>IMPUESTOS MUNICIPALES BIENES LEA        5ND</v>
          </cell>
        </row>
        <row r="18114">
          <cell r="B18114" t="str">
            <v>42022900000137</v>
          </cell>
          <cell r="C18114" t="str">
            <v>GASTOS RELACIONADOS COMISIONES DE CON   5ND</v>
          </cell>
        </row>
        <row r="18115">
          <cell r="B18115" t="str">
            <v>42022900000138</v>
          </cell>
          <cell r="C18115" t="str">
            <v>GASTO RELACIONADO CON FIDEICOMI         5ND</v>
          </cell>
        </row>
        <row r="18116">
          <cell r="B18116" t="str">
            <v>42022900000139</v>
          </cell>
          <cell r="C18116" t="str">
            <v>TASACIONES CREDITOS HIPOTECARI          5ND</v>
          </cell>
        </row>
        <row r="18117">
          <cell r="B18117" t="str">
            <v>42022900000140</v>
          </cell>
          <cell r="C18117" t="str">
            <v>NOTARIAL Y REGISTR CRED HIPOTECARIOS    5ND</v>
          </cell>
        </row>
        <row r="18118">
          <cell r="B18118" t="str">
            <v>42022900000141</v>
          </cell>
          <cell r="C18118" t="str">
            <v>GASTOS POR SEGUROS RECUPERACIO          5ND</v>
          </cell>
        </row>
        <row r="18119">
          <cell r="B18119" t="str">
            <v>42022900000142</v>
          </cell>
          <cell r="C18119" t="str">
            <v>GASTO SEGURO DESGRAV LEASING            5ND</v>
          </cell>
        </row>
        <row r="18120">
          <cell r="B18120" t="str">
            <v>42022900000143</v>
          </cell>
          <cell r="C18120" t="str">
            <v>BKT GASTO COMISIONES FACTORES           5ND</v>
          </cell>
        </row>
        <row r="18121">
          <cell r="B18121" t="str">
            <v>42022900000144</v>
          </cell>
          <cell r="C18121" t="str">
            <v>LIC CAMPAÃ‘A CUOTA GRATIS 365 DIAS      5ND</v>
          </cell>
        </row>
        <row r="18122">
          <cell r="B18122" t="str">
            <v>42022900000145</v>
          </cell>
          <cell r="C18122" t="str">
            <v>SEGURO TARJETA DEBITO CHIP ORO          5ND</v>
          </cell>
        </row>
        <row r="18123">
          <cell r="B18123" t="str">
            <v>42022900000146</v>
          </cell>
          <cell r="C18123" t="str">
            <v>GASTOS NACIONALES TRANSPORTE DE DINERO  5ND</v>
          </cell>
        </row>
        <row r="18124">
          <cell r="B18124" t="str">
            <v>42022900000147</v>
          </cell>
          <cell r="C18124" t="str">
            <v>LPC GASTO PAPELETAS INFRACCIONES DE TRAN5ND</v>
          </cell>
        </row>
        <row r="18125">
          <cell r="B18125" t="str">
            <v>42022900000148</v>
          </cell>
          <cell r="C18125" t="str">
            <v>LPC GASTO IPV IMPUESTO PATRIMONIO VEHICU5ND</v>
          </cell>
        </row>
        <row r="18126">
          <cell r="B18126" t="str">
            <v>42022900000149</v>
          </cell>
          <cell r="C18126" t="str">
            <v>LPC GASTO IPM IMPUESTO PATRIMONIO MUNICI5ND</v>
          </cell>
        </row>
        <row r="18127">
          <cell r="B18127" t="str">
            <v>42022900000150</v>
          </cell>
          <cell r="C18127" t="str">
            <v>Exoneraciones por servicio al cliente   5ND</v>
          </cell>
        </row>
        <row r="18128">
          <cell r="B18128" t="str">
            <v>42022900000151</v>
          </cell>
          <cell r="C18128" t="str">
            <v>COMISIÃ“N INTEROPERABILIDAD BILLETERA EL5ND</v>
          </cell>
        </row>
        <row r="18129">
          <cell r="B18129" t="str">
            <v>42022900000152</v>
          </cell>
          <cell r="C18129" t="str">
            <v>GASTO POR SEGURO DEL BIEN VEHICULAR     5ND</v>
          </cell>
        </row>
        <row r="18130">
          <cell r="B18130" t="str">
            <v>42022900000153</v>
          </cell>
          <cell r="C18130" t="str">
            <v>GASTO POR SEGURO DEL BIEN COMERCIAL     5ND</v>
          </cell>
        </row>
        <row r="18131">
          <cell r="B18131" t="str">
            <v>42022900000154</v>
          </cell>
          <cell r="C18131" t="str">
            <v>GASTO SEGUROS INMOBILIARIO              5ND</v>
          </cell>
        </row>
        <row r="18132">
          <cell r="B18132" t="str">
            <v>42022900000201</v>
          </cell>
          <cell r="C18132" t="str">
            <v>GASTOS PROMOCION CTAS                   5ND</v>
          </cell>
        </row>
        <row r="18133">
          <cell r="B18133" t="str">
            <v>42022900000203</v>
          </cell>
          <cell r="C18133" t="str">
            <v>TC COBRO REGALIAS TEBCA                 5ND</v>
          </cell>
        </row>
        <row r="18134">
          <cell r="B18134" t="str">
            <v>42022900000204</v>
          </cell>
          <cell r="C18134" t="str">
            <v>TC COBROS LIQUIDACIÃ€N TEBCA            5ND</v>
          </cell>
        </row>
        <row r="18135">
          <cell r="B18135" t="str">
            <v>42022900000206</v>
          </cell>
          <cell r="C18135" t="str">
            <v>TC COM.ESTABLECIMIENTO TEBCA            5ND</v>
          </cell>
        </row>
        <row r="18136">
          <cell r="B18136" t="str">
            <v>42022900000207</v>
          </cell>
          <cell r="C18136" t="str">
            <v>SERVICIOS CORPORATIVOS DE TI            5ND</v>
          </cell>
        </row>
        <row r="18137">
          <cell r="B18137" t="str">
            <v>42022900000208</v>
          </cell>
          <cell r="C18137" t="str">
            <v>GASTO COFIDE                            5ND</v>
          </cell>
        </row>
        <row r="18138">
          <cell r="B18138" t="str">
            <v>42022900000301</v>
          </cell>
          <cell r="C18138" t="str">
            <v>NOTARIAL Y REGISTRAL CRED. VEHICULAR    5ND</v>
          </cell>
        </row>
        <row r="18139">
          <cell r="B18139" t="str">
            <v>42022900000302</v>
          </cell>
          <cell r="C18139" t="str">
            <v>NOTARIAL Y REGISTRAL LEASING            5ND</v>
          </cell>
        </row>
        <row r="18140">
          <cell r="B18140" t="str">
            <v>42022900000303</v>
          </cell>
          <cell r="C18140" t="str">
            <v>COMISIONES DE SERVICIOS COFIDE          5ND</v>
          </cell>
        </row>
        <row r="18141">
          <cell r="B18141" t="str">
            <v>42022900000304</v>
          </cell>
          <cell r="C18141" t="str">
            <v>SEGUROS PATRIMONIAL - Cyber Risk        5ND</v>
          </cell>
        </row>
        <row r="18142">
          <cell r="B18142" t="str">
            <v>42022900000305</v>
          </cell>
          <cell r="C18142" t="str">
            <v>FINCORP COFIDE                          5ND</v>
          </cell>
        </row>
        <row r="18143">
          <cell r="B18143" t="str">
            <v>42022900000306</v>
          </cell>
          <cell r="C18143" t="str">
            <v>OPERACIONES FINANCIERAS BROCKERS        5ND</v>
          </cell>
        </row>
        <row r="18144">
          <cell r="B18144" t="str">
            <v>42022900000307</v>
          </cell>
          <cell r="C18144" t="str">
            <v>REBATES                                 5ND</v>
          </cell>
        </row>
        <row r="18145">
          <cell r="B18145" t="str">
            <v>42022900000308</v>
          </cell>
          <cell r="C18145" t="str">
            <v>PREMIOS PRODUCTOS ? PREMIA SOCIOS       5ND</v>
          </cell>
        </row>
        <row r="18146">
          <cell r="B18146" t="str">
            <v>42022900000309</v>
          </cell>
          <cell r="C18146" t="str">
            <v>COMISIONES PLIN                         5ND</v>
          </cell>
        </row>
        <row r="18147">
          <cell r="B18147" t="str">
            <v>42022900000310</v>
          </cell>
          <cell r="C18147" t="str">
            <v>LPC PAGO COM PRE CANCEL/AMORT_ REACTIVA 5ND</v>
          </cell>
        </row>
        <row r="18148">
          <cell r="B18148" t="str">
            <v>42022900000311</v>
          </cell>
          <cell r="C18148" t="str">
            <v>LPC PAGO COMISION ANUAL REACTIVA - COFID5ND</v>
          </cell>
        </row>
        <row r="18149">
          <cell r="B18149" t="str">
            <v>42022900000312</v>
          </cell>
          <cell r="C18149" t="str">
            <v>MYP PAGO COM PRE CANCE/AMORT REACTIVA - 5ND</v>
          </cell>
        </row>
        <row r="18150">
          <cell r="B18150" t="str">
            <v>42022900000313</v>
          </cell>
          <cell r="C18150" t="str">
            <v>MYP PAGO COMISION ANUAL REACTIVA - COFID5ND</v>
          </cell>
        </row>
        <row r="18151">
          <cell r="B18151" t="str">
            <v>42022900000314</v>
          </cell>
          <cell r="C18151" t="str">
            <v>CDO  COMISIONES PAGOLINK                5ND</v>
          </cell>
        </row>
        <row r="18152">
          <cell r="B18152" t="str">
            <v>42022900000315</v>
          </cell>
          <cell r="C18152" t="str">
            <v>COMISION INTEROPERABILIDAD DINERO ELECTR5ND</v>
          </cell>
        </row>
        <row r="18153">
          <cell r="B18153" t="str">
            <v>42022900000316</v>
          </cell>
          <cell r="C18153" t="str">
            <v>HPC BUSQUEDA REGISTRAL                  5ND</v>
          </cell>
        </row>
        <row r="18154">
          <cell r="B18154" t="str">
            <v>42022900000317</v>
          </cell>
          <cell r="C18154" t="str">
            <v>COM BANQUERO                            5ND</v>
          </cell>
        </row>
        <row r="18155">
          <cell r="B18155" t="str">
            <v>42022900000318</v>
          </cell>
          <cell r="C18155" t="str">
            <v>BTC SEGURO DE DESGRAVAMEN               5ND</v>
          </cell>
        </row>
        <row r="18156">
          <cell r="B18156" t="str">
            <v>42022900000319</v>
          </cell>
          <cell r="C18156" t="str">
            <v>BTC SEGURO DE DESGRAVAMEN               5ND</v>
          </cell>
        </row>
        <row r="18157">
          <cell r="B18157" t="str">
            <v>42022900000321</v>
          </cell>
          <cell r="C18157" t="str">
            <v>PAGO DE REBATES TRANSACCIONES DE RECAUDA5ND</v>
          </cell>
        </row>
        <row r="18158">
          <cell r="B18158" t="str">
            <v>42022900000322</v>
          </cell>
          <cell r="C18158" t="str">
            <v>COMISIONES TD RAPPIBANK                 5 D</v>
          </cell>
        </row>
        <row r="18159">
          <cell r="B18159" t="str">
            <v>42022900000323</v>
          </cell>
          <cell r="C18159" t="str">
            <v>COMISIONES TC RAPPIBANK                 5 D</v>
          </cell>
        </row>
        <row r="18160">
          <cell r="B18160" t="str">
            <v>42022900000324</v>
          </cell>
          <cell r="C18160" t="str">
            <v>COMISIONES  PE RAPPIBANK                5 D</v>
          </cell>
        </row>
        <row r="18161">
          <cell r="B18161" t="str">
            <v>42022900000325</v>
          </cell>
          <cell r="C18161" t="str">
            <v>COMISION PASARELA RAPPI                 5 D</v>
          </cell>
        </row>
        <row r="18162">
          <cell r="B18162" t="str">
            <v>42022900000326</v>
          </cell>
          <cell r="C18162" t="str">
            <v>LIC GASTO SEGURO DE DESGRAVAMEN         5ND</v>
          </cell>
        </row>
        <row r="18163">
          <cell r="B18163" t="str">
            <v>42022900000327</v>
          </cell>
          <cell r="C18163" t="str">
            <v>BTC COMISION DE PAGOS - OTROS BANCOS    5ND</v>
          </cell>
        </row>
        <row r="18164">
          <cell r="B18164" t="str">
            <v>42022900000328</v>
          </cell>
          <cell r="C18164" t="str">
            <v>CDO COMISIONES NO PROCESADOS TARJETA DEB5ND</v>
          </cell>
        </row>
        <row r="18165">
          <cell r="B18165" t="str">
            <v>42022900000329</v>
          </cell>
          <cell r="C18165" t="str">
            <v>COMISIONES PASARELA IZIPAY              5ND</v>
          </cell>
        </row>
        <row r="18166">
          <cell r="B18166" t="str">
            <v>42022900000330</v>
          </cell>
          <cell r="C18166" t="str">
            <v>CDO GASTO SEGURO DE DESGRAVAMEN         5ND</v>
          </cell>
        </row>
        <row r="18167">
          <cell r="B18167" t="str">
            <v>42022900000332</v>
          </cell>
          <cell r="C18167" t="str">
            <v>MDC COMISION BROKERAGE BONOS CORPORATIVO5ND</v>
          </cell>
        </row>
        <row r="18168">
          <cell r="B18168" t="str">
            <v>42022900000333</v>
          </cell>
          <cell r="C18168" t="str">
            <v>CDO GASTO DESGRAVAMEN VISA ACCESS       5ND</v>
          </cell>
        </row>
        <row r="18169">
          <cell r="B18169" t="str">
            <v>42022900000335</v>
          </cell>
          <cell r="C18169" t="str">
            <v>CDO GASTO DESGRAVAMEN - RECLAMOS        5ND</v>
          </cell>
        </row>
        <row r="18170">
          <cell r="B18170" t="str">
            <v>42022900000338</v>
          </cell>
          <cell r="C18170" t="str">
            <v>COMISIONES CASH IN _ IZIPAY             5ND</v>
          </cell>
        </row>
        <row r="18171">
          <cell r="B18171" t="str">
            <v>42022900000339</v>
          </cell>
          <cell r="C18171" t="str">
            <v>COFIDE_MYPERÃš BPE                      5ND</v>
          </cell>
        </row>
        <row r="18172">
          <cell r="B18172" t="str">
            <v>42022900000340</v>
          </cell>
          <cell r="C18172" t="str">
            <v>COFIDE MYPERÃš BANCA EMPRESA            5ND</v>
          </cell>
        </row>
        <row r="18173">
          <cell r="B18173" t="str">
            <v>42022900000341</v>
          </cell>
          <cell r="C18173" t="str">
            <v>NOTIFICACIONES DESCUENTOS DE LETRAS     5ND</v>
          </cell>
        </row>
        <row r="18174">
          <cell r="B18174" t="str">
            <v>42022900000342</v>
          </cell>
          <cell r="C18174" t="str">
            <v>NOTIFICACIONES COBRANZA DE LETRAS       5ND</v>
          </cell>
        </row>
        <row r="18175">
          <cell r="B18175" t="str">
            <v>42022900000346</v>
          </cell>
          <cell r="C18175" t="str">
            <v>PGAR-GASTOS RELACIONADOS CREDITO        5ND</v>
          </cell>
        </row>
        <row r="18176">
          <cell r="B18176" t="str">
            <v>42022900000347</v>
          </cell>
          <cell r="C18176" t="str">
            <v>GASTO DE PUBLICIDAD-PROMOCIONES BN      5ND</v>
          </cell>
        </row>
        <row r="18177">
          <cell r="B18177" t="str">
            <v>42022900000348</v>
          </cell>
          <cell r="C18177" t="str">
            <v>FIES COFIDE                             5 D</v>
          </cell>
        </row>
        <row r="18178">
          <cell r="B18178" t="str">
            <v>42022900000349</v>
          </cell>
          <cell r="C18178" t="str">
            <v>MYP PAGO DE DESEMBOLSO CRECER - COFIDE -5 D</v>
          </cell>
        </row>
        <row r="18179">
          <cell r="B18179" t="str">
            <v>42022900000350</v>
          </cell>
          <cell r="C18179" t="str">
            <v>LPC PAGO DE DESEMBOLSO CRECER - COFIDE -5 D</v>
          </cell>
        </row>
        <row r="18180">
          <cell r="B18180" t="str">
            <v>42022900000801</v>
          </cell>
          <cell r="C18180" t="str">
            <v>COMISIONES VALORES PANAMA               5ND</v>
          </cell>
        </row>
        <row r="18181">
          <cell r="B18181" t="str">
            <v>42022900000802</v>
          </cell>
          <cell r="C18181" t="str">
            <v>COM.SERV. MANAGEMENT FEE                5ND</v>
          </cell>
        </row>
        <row r="18182">
          <cell r="B18182" t="str">
            <v>43010100000111</v>
          </cell>
          <cell r="C18182" t="str">
            <v>GQPRUEBA                                5ND</v>
          </cell>
        </row>
        <row r="18183">
          <cell r="B18183" t="str">
            <v>43010103060101</v>
          </cell>
          <cell r="C18183" t="str">
            <v>PROV.FLUCT.ACCIONES - EMP.ASEGURADORAS  5ND</v>
          </cell>
        </row>
        <row r="18184">
          <cell r="B18184" t="str">
            <v>43010103070101</v>
          </cell>
          <cell r="C18184" t="str">
            <v>PROV.FLUCT.ACCIONES - SOC.NO FINANCIERAS5ND</v>
          </cell>
        </row>
        <row r="18185">
          <cell r="B18185" t="str">
            <v>43010104070103</v>
          </cell>
          <cell r="C18185" t="str">
            <v>PROV. AJEPER                            5ND</v>
          </cell>
        </row>
        <row r="18186">
          <cell r="B18186" t="str">
            <v>43010107000101</v>
          </cell>
          <cell r="C18186" t="str">
            <v>INVERSION EN ASOCIADAS Y SUBSIDIARIAS   5ND</v>
          </cell>
        </row>
        <row r="18187">
          <cell r="B18187" t="str">
            <v>43020101010101</v>
          </cell>
          <cell r="C18187" t="str">
            <v>PRESTAMOS VIGENTES                      5ND</v>
          </cell>
        </row>
        <row r="18188">
          <cell r="B18188" t="str">
            <v>43020102010101</v>
          </cell>
          <cell r="C18188" t="str">
            <v>PROV GENERICA COMERCIAL (FIJO)          5ND</v>
          </cell>
        </row>
        <row r="18189">
          <cell r="B18189" t="str">
            <v>43020102020201</v>
          </cell>
          <cell r="C18189" t="str">
            <v>PROV.GEN. OBLIG. PROCICLICA COMERCIAL   5ND</v>
          </cell>
        </row>
        <row r="18190">
          <cell r="B18190" t="str">
            <v>43020201000101</v>
          </cell>
          <cell r="C18190" t="str">
            <v>PROV. ESP. OBLI RIE CRED DEU DIR        5ND</v>
          </cell>
        </row>
        <row r="18191">
          <cell r="B18191" t="str">
            <v>43020201000701</v>
          </cell>
          <cell r="C18191" t="str">
            <v>IFRS - AJUSTE DE PROVISIONES BPE        5ND</v>
          </cell>
        </row>
        <row r="18192">
          <cell r="B18192" t="str">
            <v>43020201010101</v>
          </cell>
          <cell r="C18192" t="str">
            <v>PROV ESPECIFICA MES                     5ND</v>
          </cell>
        </row>
        <row r="18193">
          <cell r="B18193" t="str">
            <v>43020202010101</v>
          </cell>
          <cell r="C18193" t="str">
            <v>PROV GENERICA MES                       5ND</v>
          </cell>
        </row>
        <row r="18194">
          <cell r="B18194" t="str">
            <v>43020202010201</v>
          </cell>
          <cell r="C18194" t="str">
            <v>PROVISION GEN OBLIG RIES CRED DEU DIR - 5ND</v>
          </cell>
        </row>
        <row r="18195">
          <cell r="B18195" t="str">
            <v>43020202020201</v>
          </cell>
          <cell r="C18195" t="str">
            <v>PROV. GEN OBLIG PROCICLICA MES          5ND</v>
          </cell>
        </row>
        <row r="18196">
          <cell r="B18196" t="str">
            <v>43020203000101</v>
          </cell>
          <cell r="C18196" t="str">
            <v>PROV GENER.VOLUNT. - MES                5ND</v>
          </cell>
        </row>
        <row r="18197">
          <cell r="B18197" t="str">
            <v>43020205000101</v>
          </cell>
          <cell r="C18197" t="str">
            <v>PROVISION GEN OBLIG RIES CAMB DEU DIR- M5ND</v>
          </cell>
        </row>
        <row r="18198">
          <cell r="B18198" t="str">
            <v>43020206000101</v>
          </cell>
          <cell r="C18198" t="str">
            <v>PROVISION GEN OBLIG RIES SOBREEND DEU DI5ND</v>
          </cell>
        </row>
        <row r="18199">
          <cell r="B18199" t="str">
            <v>43020207010100</v>
          </cell>
          <cell r="C18199" t="str">
            <v>PROV ESP REPROG COVID-19 - MICROEMPRESA 5ND</v>
          </cell>
        </row>
        <row r="18200">
          <cell r="B18200" t="str">
            <v>43020207020100</v>
          </cell>
          <cell r="C18200" t="str">
            <v>PROV ESP REPROG COVID-19 - MICROEMPRESA 5ND</v>
          </cell>
        </row>
        <row r="18201">
          <cell r="B18201" t="str">
            <v>43020301000101</v>
          </cell>
          <cell r="C18201" t="str">
            <v>PROVISION ESP OBLIG RIES CRED  - CONSUMO5ND</v>
          </cell>
        </row>
        <row r="18202">
          <cell r="B18202" t="str">
            <v>43020301000702</v>
          </cell>
          <cell r="C18202" t="str">
            <v>IFRS - AJUSTE DE PROVISIONES CONSUMO - T5ND</v>
          </cell>
        </row>
        <row r="18203">
          <cell r="B18203" t="str">
            <v>43020301000703</v>
          </cell>
          <cell r="C18203" t="str">
            <v>IFRS - AJUSTE DE PROVISIONES CONSUMO - C5ND</v>
          </cell>
        </row>
        <row r="18204">
          <cell r="B18204" t="str">
            <v>43020301000704</v>
          </cell>
          <cell r="C18204" t="str">
            <v>IFRS - AJUSTE DE PROVISIONES CONSUMO - C5ND</v>
          </cell>
        </row>
        <row r="18205">
          <cell r="B18205" t="str">
            <v>43020301000705</v>
          </cell>
          <cell r="C18205" t="str">
            <v>IFRS - AJUSTE DE PROVISIONES CONSUMO - C5ND</v>
          </cell>
        </row>
        <row r="18206">
          <cell r="B18206" t="str">
            <v>43020301000706</v>
          </cell>
          <cell r="C18206" t="str">
            <v>IFRS - AJUSTE DE PROVISIONES CONSUMO - O5ND</v>
          </cell>
        </row>
        <row r="18207">
          <cell r="B18207" t="str">
            <v>43020301010101</v>
          </cell>
          <cell r="C18207" t="str">
            <v>PROV CRED CONSUMO                       5ND</v>
          </cell>
        </row>
        <row r="18208">
          <cell r="B18208" t="str">
            <v>43020302010101</v>
          </cell>
          <cell r="C18208" t="str">
            <v>PROV GENERICA CONSUMO(FIJO)             5ND</v>
          </cell>
        </row>
        <row r="18209">
          <cell r="B18209" t="str">
            <v>43020302010201</v>
          </cell>
          <cell r="C18209" t="str">
            <v>PROVISION GEN OBLIG RIES CRED  - CONSUMO5ND</v>
          </cell>
        </row>
        <row r="18210">
          <cell r="B18210" t="str">
            <v>43020302020101</v>
          </cell>
          <cell r="C18210" t="str">
            <v>PROVISION GEN OBLIG PROCICLICA - CONSUMO5ND</v>
          </cell>
        </row>
        <row r="18211">
          <cell r="B18211" t="str">
            <v>43020302020201</v>
          </cell>
          <cell r="C18211" t="str">
            <v>PROV. GEN OBLIG PROCICLICA CONSUMO      5ND</v>
          </cell>
        </row>
        <row r="18212">
          <cell r="B18212" t="str">
            <v>43020303000101</v>
          </cell>
          <cell r="C18212" t="str">
            <v>PROV GENER.VOLUNT. - CONSUMO            5ND</v>
          </cell>
        </row>
        <row r="18213">
          <cell r="B18213" t="str">
            <v>43020306000101</v>
          </cell>
          <cell r="C18213" t="str">
            <v>PROVISION GEN OBLIG RIES SOBREEND DEU - 5ND</v>
          </cell>
        </row>
        <row r="18214">
          <cell r="B18214" t="str">
            <v>43020307010100</v>
          </cell>
          <cell r="C18214" t="str">
            <v>PROV ESP REPROG COVID-19 - CONSUMO CAPIT5ND</v>
          </cell>
        </row>
        <row r="18215">
          <cell r="B18215" t="str">
            <v>43020307020100</v>
          </cell>
          <cell r="C18215" t="str">
            <v>PROV ESP REPROG COVID-19 - CONSUMO INTER5ND</v>
          </cell>
        </row>
        <row r="18216">
          <cell r="B18216" t="str">
            <v>43020401000101</v>
          </cell>
          <cell r="C18216" t="str">
            <v>PROVISION ESP OBLIG RIES CRED  - HIPOTEC5ND</v>
          </cell>
        </row>
        <row r="18217">
          <cell r="B18217" t="str">
            <v>43020401000701</v>
          </cell>
          <cell r="C18217" t="str">
            <v>IFRS - AJUSTE DE PROVISIONES HIPOTECARIO5ND</v>
          </cell>
        </row>
        <row r="18218">
          <cell r="B18218" t="str">
            <v>43020401010101</v>
          </cell>
          <cell r="C18218" t="str">
            <v>PROV CRED HIPOTECARIO (FIJO)            5ND</v>
          </cell>
        </row>
        <row r="18219">
          <cell r="B18219" t="str">
            <v>43020402010101</v>
          </cell>
          <cell r="C18219" t="str">
            <v>PROV GENERICA HIPOTECARIA               5ND</v>
          </cell>
        </row>
        <row r="18220">
          <cell r="B18220" t="str">
            <v>43020402020101</v>
          </cell>
          <cell r="C18220" t="str">
            <v>PROVISION GEN OBLIG PROCICLICA - HIPOTEC5ND</v>
          </cell>
        </row>
        <row r="18221">
          <cell r="B18221" t="str">
            <v>43020402020201</v>
          </cell>
          <cell r="C18221" t="str">
            <v>PROV. GEN OBLIG PROCICLICA HIPOTECARI   5ND</v>
          </cell>
        </row>
        <row r="18222">
          <cell r="B18222" t="str">
            <v>43020403000101</v>
          </cell>
          <cell r="C18222" t="str">
            <v>PROV GENER.VOLUNT. - HIPOTECARIO        5ND</v>
          </cell>
        </row>
        <row r="18223">
          <cell r="B18223" t="str">
            <v>43020405000101</v>
          </cell>
          <cell r="C18223" t="str">
            <v>PROVISION GEN OBLIG RIES CAMB - HIPOTECA5ND</v>
          </cell>
        </row>
        <row r="18224">
          <cell r="B18224" t="str">
            <v>43020405000102</v>
          </cell>
          <cell r="C18224" t="str">
            <v>PROVISION GEN OBLIG RIES CAMB - CONSUMO 5ND</v>
          </cell>
        </row>
        <row r="18225">
          <cell r="B18225" t="str">
            <v>43020501000101</v>
          </cell>
          <cell r="C18225" t="str">
            <v>PROVISION ESP OBLIG RIES CRED  DEU DIR- 5ND</v>
          </cell>
        </row>
        <row r="18226">
          <cell r="B18226" t="str">
            <v>43020502010101</v>
          </cell>
          <cell r="C18226" t="str">
            <v>PROVISION GEN OBLIG RIES CRED  DEU DIR- 5ND</v>
          </cell>
        </row>
        <row r="18227">
          <cell r="B18227" t="str">
            <v>43020502020101</v>
          </cell>
          <cell r="C18227" t="str">
            <v>PROVISION GEN OBLIG PROCICLICA - DEU DIR5ND</v>
          </cell>
        </row>
        <row r="18228">
          <cell r="B18228" t="str">
            <v>43020505000101</v>
          </cell>
          <cell r="C18228" t="str">
            <v>PROVISION GEN OBLIG RIES CAMB - DEU DIR 5ND</v>
          </cell>
        </row>
        <row r="18229">
          <cell r="B18229" t="str">
            <v>43020601000101</v>
          </cell>
          <cell r="C18229" t="str">
            <v>PROVISION ESP OBLIG RIES CRED  DEU DIR- 5ND</v>
          </cell>
        </row>
        <row r="18230">
          <cell r="B18230" t="str">
            <v>43020602010101</v>
          </cell>
          <cell r="C18230" t="str">
            <v>PROVISION GEN OBLIG RIES CRED  DEU DIR- 5ND</v>
          </cell>
        </row>
        <row r="18231">
          <cell r="B18231" t="str">
            <v>43020602020101</v>
          </cell>
          <cell r="C18231" t="str">
            <v>PROVISION GEN OBLIG PROCICLICA - DEU DIR5ND</v>
          </cell>
        </row>
        <row r="18232">
          <cell r="B18232" t="str">
            <v>43020605000101</v>
          </cell>
          <cell r="C18232" t="str">
            <v>PROVISION GEN OBLIG RIES CAMB - DEU DIR 5ND</v>
          </cell>
        </row>
        <row r="18233">
          <cell r="B18233" t="str">
            <v>43020701000101</v>
          </cell>
          <cell r="C18233" t="str">
            <v>PROVISION ESP OBLIG RIES CRED  DEU DIR- 5ND</v>
          </cell>
        </row>
        <row r="18234">
          <cell r="B18234" t="str">
            <v>43020702010101</v>
          </cell>
          <cell r="C18234" t="str">
            <v>PROVISION GEN OBLIG RIES CRED  DEU DIR- 5ND</v>
          </cell>
        </row>
        <row r="18235">
          <cell r="B18235" t="str">
            <v>43020702010801</v>
          </cell>
          <cell r="C18235" t="str">
            <v>PAN CREDITOS ESPECIALES SECTOR PUBLICO  5ND</v>
          </cell>
        </row>
        <row r="18236">
          <cell r="B18236" t="str">
            <v>43020702020101</v>
          </cell>
          <cell r="C18236" t="str">
            <v>PROVISION GEN OBLIG PROCICLICA - DEU DIR5ND</v>
          </cell>
        </row>
        <row r="18237">
          <cell r="B18237" t="str">
            <v>43020705000101</v>
          </cell>
          <cell r="C18237" t="str">
            <v>PROVISION GEN OBLIG RIES CAMB - DEU DIR 5ND</v>
          </cell>
        </row>
        <row r="18238">
          <cell r="B18238" t="str">
            <v>43020801000101</v>
          </cell>
          <cell r="C18238" t="str">
            <v>PROVISION ESP OBLIG RIES CRED  DEU DIR- 5ND</v>
          </cell>
        </row>
        <row r="18239">
          <cell r="B18239" t="str">
            <v>43020802010101</v>
          </cell>
          <cell r="C18239" t="str">
            <v>PROVISION GEN OBLIG RIES CRED  DEU DIR- 5ND</v>
          </cell>
        </row>
        <row r="18240">
          <cell r="B18240" t="str">
            <v>43020802020101</v>
          </cell>
          <cell r="C18240" t="str">
            <v>PROVISION GEN OBLIG PROCICLICA - DEU DIR5ND</v>
          </cell>
        </row>
        <row r="18241">
          <cell r="B18241" t="str">
            <v>43020805000101</v>
          </cell>
          <cell r="C18241" t="str">
            <v>PROVISION GEN OBLIG RIES CAMB - DEU DIR 5ND</v>
          </cell>
        </row>
        <row r="18242">
          <cell r="B18242" t="str">
            <v>43020901000101</v>
          </cell>
          <cell r="C18242" t="str">
            <v>PROVISION ESP OBLIG RIES CRED  DEU DIR- 5ND</v>
          </cell>
        </row>
        <row r="18243">
          <cell r="B18243" t="str">
            <v>43020902010101</v>
          </cell>
          <cell r="C18243" t="str">
            <v>PROVISION GEN OBLIG RIES CRED  DEU DIR- 5ND</v>
          </cell>
        </row>
        <row r="18244">
          <cell r="B18244" t="str">
            <v>43020902010801</v>
          </cell>
          <cell r="C18244" t="str">
            <v>PAN CREDITOS EMP SISTEMA FINANCIERO     5ND</v>
          </cell>
        </row>
        <row r="18245">
          <cell r="B18245" t="str">
            <v>43020902020101</v>
          </cell>
          <cell r="C18245" t="str">
            <v>PROVISION GEN OBLIG PROCICLICA - DEU DIR5ND</v>
          </cell>
        </row>
        <row r="18246">
          <cell r="B18246" t="str">
            <v>43020905000101</v>
          </cell>
          <cell r="C18246" t="str">
            <v>PROVISION GEN OBLIG RIES CAMB - DEU DIR 5ND</v>
          </cell>
        </row>
        <row r="18247">
          <cell r="B18247" t="str">
            <v>43021001000101</v>
          </cell>
          <cell r="C18247" t="str">
            <v>PROVISION ESP OBLIG RIES CRED  DEU DIR- 5ND</v>
          </cell>
        </row>
        <row r="18248">
          <cell r="B18248" t="str">
            <v>43021001000701</v>
          </cell>
          <cell r="C18248" t="str">
            <v>IFRS - AJUSTE DE PROVISIONES BANCA COMER5ND</v>
          </cell>
        </row>
        <row r="18249">
          <cell r="B18249" t="str">
            <v>43021002010101</v>
          </cell>
          <cell r="C18249" t="str">
            <v>PROVISION GEN OBLIG RIES CRED  DEU DIR- 5ND</v>
          </cell>
        </row>
        <row r="18250">
          <cell r="B18250" t="str">
            <v>43021002010801</v>
          </cell>
          <cell r="C18250" t="str">
            <v>PAN CREDITOS CORPORATIVOS               5ND</v>
          </cell>
        </row>
        <row r="18251">
          <cell r="B18251" t="str">
            <v>43021002020101</v>
          </cell>
          <cell r="C18251" t="str">
            <v>PROVISION GEN OBLIG PROCICLICA - DEU DIR5ND</v>
          </cell>
        </row>
        <row r="18252">
          <cell r="B18252" t="str">
            <v>43021002020801</v>
          </cell>
          <cell r="C18252" t="str">
            <v>PAN PROCICLICA - CCOR                   5ND</v>
          </cell>
        </row>
        <row r="18253">
          <cell r="B18253" t="str">
            <v>43021003000101</v>
          </cell>
          <cell r="C18253" t="str">
            <v>PROV GENERICA VOLUNTARIA CORPORATIVA PAG5ND</v>
          </cell>
        </row>
        <row r="18254">
          <cell r="B18254" t="str">
            <v>43021005000101</v>
          </cell>
          <cell r="C18254" t="str">
            <v>PROVISION GEN OBLIG RIES CAMB - DEU DIR 5ND</v>
          </cell>
        </row>
        <row r="18255">
          <cell r="B18255" t="str">
            <v>43021101000101</v>
          </cell>
          <cell r="C18255" t="str">
            <v>PROVISION ESP OBLIG RIES CRED  DEU DIR- 5ND</v>
          </cell>
        </row>
        <row r="18256">
          <cell r="B18256" t="str">
            <v>43021102010101</v>
          </cell>
          <cell r="C18256" t="str">
            <v>PROVISION GEN OBLIG RIES CRED  DEU DIR- 5ND</v>
          </cell>
        </row>
        <row r="18257">
          <cell r="B18257" t="str">
            <v>43021102010801</v>
          </cell>
          <cell r="C18257" t="str">
            <v>PAN CREDITOS GRANDES EMPRESAS           5ND</v>
          </cell>
        </row>
        <row r="18258">
          <cell r="B18258" t="str">
            <v>43021102020101</v>
          </cell>
          <cell r="C18258" t="str">
            <v>PROVISION GEN OBLIG PROCICLICA - DEU DIR5ND</v>
          </cell>
        </row>
        <row r="18259">
          <cell r="B18259" t="str">
            <v>43021102020801</v>
          </cell>
          <cell r="C18259" t="str">
            <v>PANAM PROCICLICA - CREDITOS CGEM        5ND</v>
          </cell>
        </row>
        <row r="18260">
          <cell r="B18260" t="str">
            <v>43021103000101</v>
          </cell>
          <cell r="C18260" t="str">
            <v>PROV GEN GRAN EMPRESA                   5ND</v>
          </cell>
        </row>
        <row r="18261">
          <cell r="B18261" t="str">
            <v>43021105000101</v>
          </cell>
          <cell r="C18261" t="str">
            <v>PROVISION GEN OBLIG RIES CAMB - DEU DIR 5ND</v>
          </cell>
        </row>
        <row r="18262">
          <cell r="B18262" t="str">
            <v>43021201000101</v>
          </cell>
          <cell r="C18262" t="str">
            <v>PROVISION ESP OBLIG RIES CRED  DEU DIR- 5ND</v>
          </cell>
        </row>
        <row r="18263">
          <cell r="B18263" t="str">
            <v>43021201010101</v>
          </cell>
          <cell r="C18263" t="str">
            <v>PROV ESP DE CREDITO MEDIANA EMP         5ND</v>
          </cell>
        </row>
        <row r="18264">
          <cell r="B18264" t="str">
            <v>43021202010101</v>
          </cell>
          <cell r="C18264" t="str">
            <v>PROVISION GEN OBLIG RIES CRED  DEU DIR- 5ND</v>
          </cell>
        </row>
        <row r="18265">
          <cell r="B18265" t="str">
            <v>43021202010801</v>
          </cell>
          <cell r="C18265" t="str">
            <v>PAN CREDITOS MEDIANAS EMPRESAS          5ND</v>
          </cell>
        </row>
        <row r="18266">
          <cell r="B18266" t="str">
            <v>43021202020101</v>
          </cell>
          <cell r="C18266" t="str">
            <v>PROVISION GEN OBLIG PROCICLICA - DEU DIR5ND</v>
          </cell>
        </row>
        <row r="18267">
          <cell r="B18267" t="str">
            <v>43021202020801</v>
          </cell>
          <cell r="C18267" t="str">
            <v>PAN PROCICLICA - CMED                   5ND</v>
          </cell>
        </row>
        <row r="18268">
          <cell r="B18268" t="str">
            <v>43021203000101</v>
          </cell>
          <cell r="C18268" t="str">
            <v>PROV. GEN. VOLUNTARIA - MED EMP         5ND</v>
          </cell>
        </row>
        <row r="18269">
          <cell r="B18269" t="str">
            <v>43021205000101</v>
          </cell>
          <cell r="C18269" t="str">
            <v>PROVISION GEN OBLIG RIES CAMB - DEU DIR 5ND</v>
          </cell>
        </row>
        <row r="18270">
          <cell r="B18270" t="str">
            <v>43021207010100</v>
          </cell>
          <cell r="C18270" t="str">
            <v>PRO PROVIS ESPECIF REPROG COVID CAPITAL 5 D</v>
          </cell>
        </row>
        <row r="18271">
          <cell r="B18271" t="str">
            <v>43021207020100</v>
          </cell>
          <cell r="C18271" t="str">
            <v>PRO PROVIS ESPECIF REPROG COVID INTERES 5 D</v>
          </cell>
        </row>
        <row r="18272">
          <cell r="B18272" t="str">
            <v>43021301000101</v>
          </cell>
          <cell r="C18272" t="str">
            <v>PROVISION ESP OBLIG RIES CRED  -  DEU DI5ND</v>
          </cell>
        </row>
        <row r="18273">
          <cell r="B18273" t="str">
            <v>43021301010101</v>
          </cell>
          <cell r="C18273" t="str">
            <v>PROV ESP DE CREDITO PEQUEÃ‘A EMP        5ND</v>
          </cell>
        </row>
        <row r="18274">
          <cell r="B18274" t="str">
            <v>43021302010101</v>
          </cell>
          <cell r="C18274" t="str">
            <v>PROVISION GEN OBLIG RIES CRED  - DEU DIR5ND</v>
          </cell>
        </row>
        <row r="18275">
          <cell r="B18275" t="str">
            <v>43021302020101</v>
          </cell>
          <cell r="C18275" t="str">
            <v>PROVISION GEN OBLIG PROCICLICA - DEU DIR5ND</v>
          </cell>
        </row>
        <row r="18276">
          <cell r="B18276" t="str">
            <v>43021303000101</v>
          </cell>
          <cell r="C18276" t="str">
            <v>PROV GENER.VOLUNT. - PEQ EMP            5ND</v>
          </cell>
        </row>
        <row r="18277">
          <cell r="B18277" t="str">
            <v>43021305000101</v>
          </cell>
          <cell r="C18277" t="str">
            <v>PROVISION GEN OBLIG RIES CAMB DEU DIR - 5ND</v>
          </cell>
        </row>
        <row r="18278">
          <cell r="B18278" t="str">
            <v>43021306000101</v>
          </cell>
          <cell r="C18278" t="str">
            <v>PROVISION GEN OBLIG RIES SOBREEND DEU DI5ND</v>
          </cell>
        </row>
        <row r="18279">
          <cell r="B18279" t="str">
            <v>43021307010100</v>
          </cell>
          <cell r="C18279" t="str">
            <v>PROV ESP REPROG COVID-19 - PEQ. EMPRESA 5ND</v>
          </cell>
        </row>
        <row r="18280">
          <cell r="B18280" t="str">
            <v>43021307020100</v>
          </cell>
          <cell r="C18280" t="str">
            <v>PROV ESP REPROG COVID-19 - PEQ. EMPRESA 5ND</v>
          </cell>
        </row>
        <row r="18281">
          <cell r="B18281" t="str">
            <v>43030101090101</v>
          </cell>
          <cell r="C18281" t="str">
            <v>HPC PROVISION GTO.SEG.DESG.CRED.VEH     5ND</v>
          </cell>
        </row>
        <row r="18282">
          <cell r="B18282" t="str">
            <v>43030101090102</v>
          </cell>
          <cell r="C18282" t="str">
            <v>HPC PROVISION GTO.SEG.DESG.CRED.PERS    5ND</v>
          </cell>
        </row>
        <row r="18283">
          <cell r="B18283" t="str">
            <v>43030101090103</v>
          </cell>
          <cell r="C18283" t="str">
            <v>HPC PROVISION GTO.SEG.DESG.CRED.EFECT   5ND</v>
          </cell>
        </row>
        <row r="18284">
          <cell r="B18284" t="str">
            <v>43030101090104</v>
          </cell>
          <cell r="C18284" t="str">
            <v>HPC PROVISION GTO.SEG.DESG.CRED.REF     5ND</v>
          </cell>
        </row>
        <row r="18285">
          <cell r="B18285" t="str">
            <v>43030101090105</v>
          </cell>
          <cell r="C18285" t="str">
            <v>HPC PROVISION GTO.SEG.DESG.CRED.HIP     5ND</v>
          </cell>
        </row>
        <row r="18286">
          <cell r="B18286" t="str">
            <v>43030109000101</v>
          </cell>
          <cell r="C18286" t="str">
            <v>PROV. CTAS POR COBRAR DIVERSAS          5ND</v>
          </cell>
        </row>
        <row r="18287">
          <cell r="B18287" t="str">
            <v>43030109000103</v>
          </cell>
          <cell r="C18287" t="str">
            <v>PROV OTRAS LSG RESUELTOS PTES RECUPE    5ND</v>
          </cell>
        </row>
        <row r="18288">
          <cell r="B18288" t="str">
            <v>43030109000105</v>
          </cell>
          <cell r="C18288" t="str">
            <v>PROVISION CTAS X COBRAR - CASTIGOS OP   5ND</v>
          </cell>
        </row>
        <row r="18289">
          <cell r="B18289" t="str">
            <v>43030109000106</v>
          </cell>
          <cell r="C18289" t="str">
            <v>PROVISION SUBSIDIO                      5ND</v>
          </cell>
        </row>
        <row r="18290">
          <cell r="B18290" t="str">
            <v>43030109000201</v>
          </cell>
          <cell r="C18290" t="str">
            <v>PROVISION CXC FDO SIGMA                 5ND</v>
          </cell>
        </row>
        <row r="18291">
          <cell r="B18291" t="str">
            <v>43030109000202</v>
          </cell>
          <cell r="C18291" t="str">
            <v>PROVISION DE EJERCICIOS ANTERIORES FDO S5ND</v>
          </cell>
        </row>
        <row r="18292">
          <cell r="B18292" t="str">
            <v>43030109000203</v>
          </cell>
          <cell r="C18292" t="str">
            <v>HPC PROVISION GTO.SEG.DESG.CRED.HIP     5 D</v>
          </cell>
        </row>
        <row r="18293">
          <cell r="B18293" t="str">
            <v>43030109000204</v>
          </cell>
          <cell r="C18293" t="str">
            <v>HPC PROVISION GTO.SEG.DESG.CRED.EFECT   5 D</v>
          </cell>
        </row>
        <row r="18294">
          <cell r="B18294" t="str">
            <v>43030109000205</v>
          </cell>
          <cell r="C18294" t="str">
            <v>HPC PROVISION GTO.SEG.DESG.CRED.VEH     5 D</v>
          </cell>
        </row>
        <row r="18295">
          <cell r="B18295" t="str">
            <v>43030109000206</v>
          </cell>
          <cell r="C18295" t="str">
            <v>HPC PROVISION GTO.SEG.DESG.CRED.PERS    5 D</v>
          </cell>
        </row>
        <row r="18296">
          <cell r="B18296" t="str">
            <v>43030109000207</v>
          </cell>
          <cell r="C18296" t="str">
            <v>HPC PROVISION GTO.SEG.DESG.CRED.REF     5 D</v>
          </cell>
        </row>
        <row r="18297">
          <cell r="B18297" t="str">
            <v>43030109000208</v>
          </cell>
          <cell r="C18297" t="str">
            <v>HPC PROVISION GTO.SEG.DESG.CONV         5ND</v>
          </cell>
        </row>
        <row r="18298">
          <cell r="B18298" t="str">
            <v>43030109000209</v>
          </cell>
          <cell r="C18298" t="str">
            <v>LIC PROVISION GTO.SEG.DESG.CONVENIO     5ND</v>
          </cell>
        </row>
        <row r="18299">
          <cell r="B18299" t="str">
            <v>43030109000210</v>
          </cell>
          <cell r="C18299" t="str">
            <v>HPC MICROPRESTAMOS GTO PROV SEG DESG NOR5 D</v>
          </cell>
        </row>
        <row r="18300">
          <cell r="B18300" t="str">
            <v>43030109000211</v>
          </cell>
          <cell r="C18300" t="str">
            <v>HPC MICROPRESTAMOS GTO PROV SEG DESG DUP5 D</v>
          </cell>
        </row>
        <row r="18301">
          <cell r="B18301" t="str">
            <v>43030109000212</v>
          </cell>
          <cell r="C18301" t="str">
            <v>HPC PROVISION GTO.SEG.DESG.CONV GRUPO IB5 D</v>
          </cell>
        </row>
        <row r="18302">
          <cell r="B18302" t="str">
            <v>43040101020101</v>
          </cell>
          <cell r="C18302" t="str">
            <v>PROVISION PARA BIENES REALIZABLES       5ND</v>
          </cell>
        </row>
        <row r="18303">
          <cell r="B18303" t="str">
            <v>43040201010101</v>
          </cell>
          <cell r="C18303" t="str">
            <v>PROV BS REC EN PAGO Y ADJUDICADOS       5ND</v>
          </cell>
        </row>
        <row r="18304">
          <cell r="B18304" t="str">
            <v>43050102000101</v>
          </cell>
          <cell r="C18304" t="str">
            <v>PROVISION ESP OBLIG RIES CRED  DEU IND- 5ND</v>
          </cell>
        </row>
        <row r="18305">
          <cell r="B18305" t="str">
            <v>43050102000701</v>
          </cell>
          <cell r="C18305" t="str">
            <v>IFRS - AJUSTE DE PROVISIONES BPE        5ND</v>
          </cell>
        </row>
        <row r="18306">
          <cell r="B18306" t="str">
            <v>43050105000101</v>
          </cell>
          <cell r="C18306" t="str">
            <v>PROVISION ESP OBLIG RIES CRED  DEU INDS-5ND</v>
          </cell>
        </row>
        <row r="18307">
          <cell r="B18307" t="str">
            <v>43050106000101</v>
          </cell>
          <cell r="C18307" t="str">
            <v>PROVISION ESP OBLIG RIES CRED  DEU INDS-5ND</v>
          </cell>
        </row>
        <row r="18308">
          <cell r="B18308" t="str">
            <v>43050107000101</v>
          </cell>
          <cell r="C18308" t="str">
            <v>PROVISION ESP OBLIG RIES CRED  DEU INDS-5ND</v>
          </cell>
        </row>
        <row r="18309">
          <cell r="B18309" t="str">
            <v>43050108000101</v>
          </cell>
          <cell r="C18309" t="str">
            <v>PROVISION ESP OBLIG RIES CRED  DEU INDS-5ND</v>
          </cell>
        </row>
        <row r="18310">
          <cell r="B18310" t="str">
            <v>43050109000101</v>
          </cell>
          <cell r="C18310" t="str">
            <v>PROVISION ESP OBLIG RIES CRED  DEU INDS-5ND</v>
          </cell>
        </row>
        <row r="18311">
          <cell r="B18311" t="str">
            <v>43050110000101</v>
          </cell>
          <cell r="C18311" t="str">
            <v>PROVISION ESP OBLIG RIES CRED  DEU INDS-5ND</v>
          </cell>
        </row>
        <row r="18312">
          <cell r="B18312" t="str">
            <v>43050110000701</v>
          </cell>
          <cell r="C18312" t="str">
            <v>IFRS - AJUSTE DE PROVISIONES BANCA COMER5ND</v>
          </cell>
        </row>
        <row r="18313">
          <cell r="B18313" t="str">
            <v>43050111000101</v>
          </cell>
          <cell r="C18313" t="str">
            <v>PROVISION ESP OBLIG RIES CRED  DEU INDS-5ND</v>
          </cell>
        </row>
        <row r="18314">
          <cell r="B18314" t="str">
            <v>43050112000101</v>
          </cell>
          <cell r="C18314" t="str">
            <v>PROVISION ESP OBLIG RIES CRED  DEU INDS-5ND</v>
          </cell>
        </row>
        <row r="18315">
          <cell r="B18315" t="str">
            <v>43050113000101</v>
          </cell>
          <cell r="C18315" t="str">
            <v>PROVISION ESP OBLIG RIES CRED  - DEU IND5ND</v>
          </cell>
        </row>
        <row r="18316">
          <cell r="B18316" t="str">
            <v>43050201020101</v>
          </cell>
          <cell r="C18316" t="str">
            <v>PROVISION GEN OBLIG RIES CRED DEU IND - 5ND</v>
          </cell>
        </row>
        <row r="18317">
          <cell r="B18317" t="str">
            <v>43050201020102</v>
          </cell>
          <cell r="C18317" t="str">
            <v>PRO GEN RIE CRE DEU IND -MES            5ND</v>
          </cell>
        </row>
        <row r="18318">
          <cell r="B18318" t="str">
            <v>43050201050101</v>
          </cell>
          <cell r="C18318" t="str">
            <v>PRO GEN RIE CRE DEU IND -BMD            5ND</v>
          </cell>
        </row>
        <row r="18319">
          <cell r="B18319" t="str">
            <v>43050201060101</v>
          </cell>
          <cell r="C18319" t="str">
            <v>PRO GEN RIE CRE DEU IND -SOBER.         5ND</v>
          </cell>
        </row>
        <row r="18320">
          <cell r="B18320" t="str">
            <v>43050201070101</v>
          </cell>
          <cell r="C18320" t="str">
            <v>PRO GEN RIE CRE DEU IND - S. PUB.       5ND</v>
          </cell>
        </row>
        <row r="18321">
          <cell r="B18321" t="str">
            <v>43050201080101</v>
          </cell>
          <cell r="C18321" t="str">
            <v>PRO GEN RIE CRE DEU IND - INT VAL.      5ND</v>
          </cell>
        </row>
        <row r="18322">
          <cell r="B18322" t="str">
            <v>43050201090101</v>
          </cell>
          <cell r="C18322" t="str">
            <v>PRO GEN RIE CRE DEU IND - S. FINAN.     5ND</v>
          </cell>
        </row>
        <row r="18323">
          <cell r="B18323" t="str">
            <v>43050201100101</v>
          </cell>
          <cell r="C18323" t="str">
            <v>PRO GEN RIE CRE DEU IND - CORPORATIVO   5ND</v>
          </cell>
        </row>
        <row r="18324">
          <cell r="B18324" t="str">
            <v>43050201100801</v>
          </cell>
          <cell r="C18324" t="str">
            <v>PANAM PRO GEN RIE CRE DEU IND - C. DE CR5ND</v>
          </cell>
        </row>
        <row r="18325">
          <cell r="B18325" t="str">
            <v>43050201110101</v>
          </cell>
          <cell r="C18325" t="str">
            <v>PRO GEN RIE CRE DEU IND - GRAND EMP     5ND</v>
          </cell>
        </row>
        <row r="18326">
          <cell r="B18326" t="str">
            <v>43050201110801</v>
          </cell>
          <cell r="C18326" t="str">
            <v>PANAM PRO GEN RIE CRE DEU IND - CORPORAT5ND</v>
          </cell>
        </row>
        <row r="18327">
          <cell r="B18327" t="str">
            <v>43050201120101</v>
          </cell>
          <cell r="C18327" t="str">
            <v>PRO GEN RIE CRE DEU IND - MED EMPRESA   5ND</v>
          </cell>
        </row>
        <row r="18328">
          <cell r="B18328" t="str">
            <v>43050201120801</v>
          </cell>
          <cell r="C18328" t="str">
            <v>PANAM PRO GEN RIE CRE DEU IND - MED EMP 5ND</v>
          </cell>
        </row>
        <row r="18329">
          <cell r="B18329" t="str">
            <v>43050201130101</v>
          </cell>
          <cell r="C18329" t="str">
            <v>PRO GEN RIE CRE DEU IND -PEQ EMP        5ND</v>
          </cell>
        </row>
        <row r="18330">
          <cell r="B18330" t="str">
            <v>43050202020101</v>
          </cell>
          <cell r="C18330" t="str">
            <v>PROVISION GEN OBLIG PROCICLICA DEU IND- 5ND</v>
          </cell>
        </row>
        <row r="18331">
          <cell r="B18331" t="str">
            <v>43050202050101</v>
          </cell>
          <cell r="C18331" t="str">
            <v>PROVISION GEN OBLIG PROCICLICA - DEU IND5ND</v>
          </cell>
        </row>
        <row r="18332">
          <cell r="B18332" t="str">
            <v>43050202060101</v>
          </cell>
          <cell r="C18332" t="str">
            <v>PROVISION GEN OBLIG PROCICLICA - DEU IND5ND</v>
          </cell>
        </row>
        <row r="18333">
          <cell r="B18333" t="str">
            <v>43050202070101</v>
          </cell>
          <cell r="C18333" t="str">
            <v>PROVISION GEN OBLIG PROCICLICA - DEU IND5ND</v>
          </cell>
        </row>
        <row r="18334">
          <cell r="B18334" t="str">
            <v>43050202080101</v>
          </cell>
          <cell r="C18334" t="str">
            <v>PROVISION GEN OBLIG PROCICLICA - DEU IND5ND</v>
          </cell>
        </row>
        <row r="18335">
          <cell r="B18335" t="str">
            <v>43050202090101</v>
          </cell>
          <cell r="C18335" t="str">
            <v>PROVISION GEN OBLIG PROCICLICA - DEU IND5ND</v>
          </cell>
        </row>
        <row r="18336">
          <cell r="B18336" t="str">
            <v>43050202100101</v>
          </cell>
          <cell r="C18336" t="str">
            <v>PROVISION GEN OBLIG PROCICLICA - DEU IND5ND</v>
          </cell>
        </row>
        <row r="18337">
          <cell r="B18337" t="str">
            <v>43050202100801</v>
          </cell>
          <cell r="C18337" t="str">
            <v>PANAM PROVISION GENERICA PROCICLICA DEU 5ND</v>
          </cell>
        </row>
        <row r="18338">
          <cell r="B18338" t="str">
            <v>43050202110101</v>
          </cell>
          <cell r="C18338" t="str">
            <v>PROVISION GEN OBLIG PROCICLICA - DEU IND5ND</v>
          </cell>
        </row>
        <row r="18339">
          <cell r="B18339" t="str">
            <v>43050202110801</v>
          </cell>
          <cell r="C18339" t="str">
            <v>PANAM PROVISION GENERICA PROCICLICA DEU 5ND</v>
          </cell>
        </row>
        <row r="18340">
          <cell r="B18340" t="str">
            <v>43050202120101</v>
          </cell>
          <cell r="C18340" t="str">
            <v>PROVISION GEN OBLIG PROCICLICA - DEU IND5ND</v>
          </cell>
        </row>
        <row r="18341">
          <cell r="B18341" t="str">
            <v>43050202120801</v>
          </cell>
          <cell r="C18341" t="str">
            <v>PANAM PROVISION GENERICA PROCICLICA DEU 5ND</v>
          </cell>
        </row>
        <row r="18342">
          <cell r="B18342" t="str">
            <v>43050202130101</v>
          </cell>
          <cell r="C18342" t="str">
            <v>PROVISION GEN OBLIG PROCICLICA - DEU IND5ND</v>
          </cell>
        </row>
        <row r="18343">
          <cell r="B18343" t="str">
            <v>43050400000101</v>
          </cell>
          <cell r="C18343" t="str">
            <v>PROVISION LITIGIOS                      5ND</v>
          </cell>
        </row>
        <row r="18344">
          <cell r="B18344" t="str">
            <v>43050400000102</v>
          </cell>
          <cell r="C18344" t="str">
            <v>PROVISION LITIGIOS DEDUCIBLES           5ND</v>
          </cell>
        </row>
        <row r="18345">
          <cell r="B18345" t="str">
            <v>43050501000101</v>
          </cell>
          <cell r="C18345" t="str">
            <v>DEPOSITOS EN EL EXTERIOR                5ND</v>
          </cell>
        </row>
        <row r="18346">
          <cell r="B18346" t="str">
            <v>43050504010101</v>
          </cell>
          <cell r="C18346" t="str">
            <v>CREDITOS DIRECTOS                       5ND</v>
          </cell>
        </row>
        <row r="18347">
          <cell r="B18347" t="str">
            <v>43050504010102</v>
          </cell>
          <cell r="C18347" t="str">
            <v>CRÃ‰DITOS DIRECTOS MYPE                 5ND</v>
          </cell>
        </row>
        <row r="18348">
          <cell r="B18348" t="str">
            <v>43050504010103</v>
          </cell>
          <cell r="C18348" t="str">
            <v>CRÃ‰DITOS DIRECTOS COMERCIAL            5ND</v>
          </cell>
        </row>
        <row r="18349">
          <cell r="B18349" t="str">
            <v>43050504010104</v>
          </cell>
          <cell r="C18349" t="str">
            <v>CRÃ‰DITOS DIRECTOS CONSUMO              5ND</v>
          </cell>
        </row>
        <row r="18350">
          <cell r="B18350" t="str">
            <v>43050504010105</v>
          </cell>
          <cell r="C18350" t="str">
            <v>CRÃ‰DITOS DIRECTOS HIPOTECARIO          5ND</v>
          </cell>
        </row>
        <row r="18351">
          <cell r="B18351" t="str">
            <v>43050504020101</v>
          </cell>
          <cell r="C18351" t="str">
            <v>CREDITOS INDIRECTOS                     5ND</v>
          </cell>
        </row>
        <row r="18352">
          <cell r="B18352" t="str">
            <v>43050504020102</v>
          </cell>
          <cell r="C18352" t="str">
            <v>CRÃ‰DITOS INDIRECTOS MYPE               5ND</v>
          </cell>
        </row>
        <row r="18353">
          <cell r="B18353" t="str">
            <v>43050504020103</v>
          </cell>
          <cell r="C18353" t="str">
            <v>CRÃ‰DITOS INDIRECTOS COMERCIAL          5ND</v>
          </cell>
        </row>
        <row r="18354">
          <cell r="B18354" t="str">
            <v>43050504020104</v>
          </cell>
          <cell r="C18354" t="str">
            <v>CRÃ‰DITOS INDIRECTOS CONSUMO            5ND</v>
          </cell>
        </row>
        <row r="18355">
          <cell r="B18355" t="str">
            <v>43050504020105</v>
          </cell>
          <cell r="C18355" t="str">
            <v>CRÃ‰DITOS INDIRECTOS HIPOTECARIO        5ND</v>
          </cell>
        </row>
        <row r="18356">
          <cell r="B18356" t="str">
            <v>43050505000101</v>
          </cell>
          <cell r="C18356" t="str">
            <v>CUENTAS POR COBRAR                      5ND</v>
          </cell>
        </row>
        <row r="18357">
          <cell r="B18357" t="str">
            <v>43050507000101</v>
          </cell>
          <cell r="C18357" t="str">
            <v>INVERSIONES PERMANENTES                 5ND</v>
          </cell>
        </row>
        <row r="18358">
          <cell r="B18358" t="str">
            <v>43050600000101</v>
          </cell>
          <cell r="C18358" t="str">
            <v>PROV.CRED.CON ESPECIFICA CRE REVOL      5ND</v>
          </cell>
        </row>
        <row r="18359">
          <cell r="B18359" t="str">
            <v>43050600000102</v>
          </cell>
          <cell r="C18359" t="str">
            <v>PROV.CRED.CON GENERICA CRE REVOL        5ND</v>
          </cell>
        </row>
        <row r="18360">
          <cell r="B18360" t="str">
            <v>43050602000101</v>
          </cell>
          <cell r="C18360" t="str">
            <v>PROVISION GEN OBLIG SOBREEND LINEAS - ME5ND</v>
          </cell>
        </row>
        <row r="18361">
          <cell r="B18361" t="str">
            <v>43050602000102</v>
          </cell>
          <cell r="C18361" t="str">
            <v>PROVISION ESP OBLIG SOBREEND LINEAS - ME5ND</v>
          </cell>
        </row>
        <row r="18362">
          <cell r="B18362" t="str">
            <v>43050603000101</v>
          </cell>
          <cell r="C18362" t="str">
            <v>PROVISION GEN OBLIG SOBREEND LINEAS - CO5ND</v>
          </cell>
        </row>
        <row r="18363">
          <cell r="B18363" t="str">
            <v>43050603000102</v>
          </cell>
          <cell r="C18363" t="str">
            <v>PROVISION ESP OBLIG SOBREEND LINEAS - CO5ND</v>
          </cell>
        </row>
        <row r="18364">
          <cell r="B18364" t="str">
            <v>43050613000101</v>
          </cell>
          <cell r="C18364" t="str">
            <v>PROVISION GEN OBLIG SOBREEND LINEAS - PE5ND</v>
          </cell>
        </row>
        <row r="18365">
          <cell r="B18365" t="str">
            <v>43050613000102</v>
          </cell>
          <cell r="C18365" t="str">
            <v>PROVISION ESP OBLIG SOBREEND LINEAS - PE5ND</v>
          </cell>
        </row>
        <row r="18366">
          <cell r="B18366" t="str">
            <v>43050900000101</v>
          </cell>
          <cell r="C18366" t="str">
            <v>OTRAS PROVISIONES                       5ND</v>
          </cell>
        </row>
        <row r="18367">
          <cell r="B18367" t="str">
            <v>43050900000102</v>
          </cell>
          <cell r="C18367" t="str">
            <v>PROVISIONES DIVERSAS                    5ND</v>
          </cell>
        </row>
        <row r="18368">
          <cell r="B18368" t="str">
            <v>43050900000103</v>
          </cell>
          <cell r="C18368" t="str">
            <v>PR.CONT LEGALES LABORALES Y TRIBUTARI   5ND</v>
          </cell>
        </row>
        <row r="18369">
          <cell r="B18369" t="str">
            <v>43050900000104</v>
          </cell>
          <cell r="C18369" t="str">
            <v>PROVISION POR GASTOS NO LIQUIDADOS      5ND</v>
          </cell>
        </row>
        <row r="18370">
          <cell r="B18370" t="str">
            <v>43050900000105</v>
          </cell>
          <cell r="C18370" t="str">
            <v>PROVISIÃ€N GASTOS NO LIQUIDADOS-C.GASTOS5ND</v>
          </cell>
        </row>
        <row r="18371">
          <cell r="B18371" t="str">
            <v>43050900000108</v>
          </cell>
          <cell r="C18371" t="str">
            <v>PROV. CONTINGENCIAS TRIBUTARIAS         5ND</v>
          </cell>
        </row>
        <row r="18372">
          <cell r="B18372" t="str">
            <v>44010200000101</v>
          </cell>
          <cell r="C18372" t="str">
            <v>EDIFICIOS-USO DEL BANCO                 5ND</v>
          </cell>
        </row>
        <row r="18373">
          <cell r="B18373" t="str">
            <v>44010200000102</v>
          </cell>
          <cell r="C18373" t="str">
            <v>EDIFICIOS-USO TEMPORAL TERCEROS         5ND</v>
          </cell>
        </row>
        <row r="18374">
          <cell r="B18374" t="str">
            <v>44010200000105</v>
          </cell>
          <cell r="C18374" t="str">
            <v>DEPRECIACIÃ“N - REVAL. EDIFICIOS        5ND</v>
          </cell>
        </row>
        <row r="18375">
          <cell r="B18375" t="str">
            <v>44010200000118</v>
          </cell>
          <cell r="C18375" t="str">
            <v>Techos-Edif. Terceros                   5ND</v>
          </cell>
        </row>
        <row r="18376">
          <cell r="B18376" t="str">
            <v>44010200000119</v>
          </cell>
          <cell r="C18376" t="str">
            <v>Pisos-Edif. Terceros                    5ND</v>
          </cell>
        </row>
        <row r="18377">
          <cell r="B18377" t="str">
            <v>44010200000120</v>
          </cell>
          <cell r="C18377" t="str">
            <v>Puertas y Ventanas-Edif. Terceros       5ND</v>
          </cell>
        </row>
        <row r="18378">
          <cell r="B18378" t="str">
            <v>44010200000121</v>
          </cell>
          <cell r="C18378" t="str">
            <v>Revestimientos-Edif. Terceros           5ND</v>
          </cell>
        </row>
        <row r="18379">
          <cell r="B18379" t="str">
            <v>44010200000122</v>
          </cell>
          <cell r="C18379" t="str">
            <v>BaÃ±os-Edif. Terceros                   5ND</v>
          </cell>
        </row>
        <row r="18380">
          <cell r="B18380" t="str">
            <v>44010200000123</v>
          </cell>
          <cell r="C18380" t="str">
            <v>Instalaciones -Edif. Terceros           5ND</v>
          </cell>
        </row>
        <row r="18381">
          <cell r="B18381" t="str">
            <v>44010200000124</v>
          </cell>
          <cell r="C18381" t="str">
            <v>Obras Complementarias-Edif. Terceros    5ND</v>
          </cell>
        </row>
        <row r="18382">
          <cell r="B18382" t="str">
            <v>44010200000125</v>
          </cell>
          <cell r="C18382" t="str">
            <v>Instalaciones Fijas-Edif. Terceros      5ND</v>
          </cell>
        </row>
        <row r="18383">
          <cell r="B18383" t="str">
            <v>44010200000126</v>
          </cell>
          <cell r="C18383" t="str">
            <v>Areas Comunes-Edif. Terceros            5ND</v>
          </cell>
        </row>
        <row r="18384">
          <cell r="B18384" t="str">
            <v>44010200000127</v>
          </cell>
          <cell r="C18384" t="str">
            <v>Gasto Dep.Acum - Terrenos               5ND</v>
          </cell>
        </row>
        <row r="18385">
          <cell r="B18385" t="str">
            <v>44010200000201</v>
          </cell>
          <cell r="C18385" t="str">
            <v>INSTALACIONES FIJAS                     5ND</v>
          </cell>
        </row>
        <row r="18386">
          <cell r="B18386" t="str">
            <v>44010200000701</v>
          </cell>
          <cell r="C18386" t="str">
            <v>IFRS-MUROS Y COLUMNAS-GTO.DEP.EDIF.PROP.5ND</v>
          </cell>
        </row>
        <row r="18387">
          <cell r="B18387" t="str">
            <v>44010200000702</v>
          </cell>
          <cell r="C18387" t="str">
            <v>IFRS-TECHOS-GTO.DEP.EDIF.PROP.          5ND</v>
          </cell>
        </row>
        <row r="18388">
          <cell r="B18388" t="str">
            <v>44010200000703</v>
          </cell>
          <cell r="C18388" t="str">
            <v>IFRS-PISOS-GTO.DEP.EDIF.PROP.           5ND</v>
          </cell>
        </row>
        <row r="18389">
          <cell r="B18389" t="str">
            <v>44010200000704</v>
          </cell>
          <cell r="C18389" t="str">
            <v>IFRS-PUERTAS Y VENTANAS-GTO.DEP.EDIF.PRO5ND</v>
          </cell>
        </row>
        <row r="18390">
          <cell r="B18390" t="str">
            <v>44010200000705</v>
          </cell>
          <cell r="C18390" t="str">
            <v>IFRS-REVESTIMIENTOS-GTO.DEP.EDIF.PROP.  5ND</v>
          </cell>
        </row>
        <row r="18391">
          <cell r="B18391" t="str">
            <v>44010200000706</v>
          </cell>
          <cell r="C18391" t="str">
            <v>IFRS-BAÃ‘OS-GTO.DEP.EDIF.PROP.          5ND</v>
          </cell>
        </row>
        <row r="18392">
          <cell r="B18392" t="str">
            <v>44010200000707</v>
          </cell>
          <cell r="C18392" t="str">
            <v>IFRS-INSTALACIONES-GTO.DEP.EDIF.PROP.   5ND</v>
          </cell>
        </row>
        <row r="18393">
          <cell r="B18393" t="str">
            <v>44010200000708</v>
          </cell>
          <cell r="C18393" t="str">
            <v>IFRS-OBRAS COMPLEMENTARIAS-GTO.DEP.EDIF.5ND</v>
          </cell>
        </row>
        <row r="18394">
          <cell r="B18394" t="str">
            <v>44010200000709</v>
          </cell>
          <cell r="C18394" t="str">
            <v>IFRS-INSTALACIONES FIJAS-GTO.DEP.EDIF.PR5ND</v>
          </cell>
        </row>
        <row r="18395">
          <cell r="B18395" t="str">
            <v>44010200000710</v>
          </cell>
          <cell r="C18395" t="str">
            <v>IFRS-AREAS COMUNES-GTO.DEP.EDIF.PROP.   5ND</v>
          </cell>
        </row>
        <row r="18396">
          <cell r="B18396" t="str">
            <v>44010200000711</v>
          </cell>
          <cell r="C18396" t="str">
            <v>IFRS-MUROS Y COLUMNAS-GTO.DEP.EDIF.TERC.5ND</v>
          </cell>
        </row>
        <row r="18397">
          <cell r="B18397" t="str">
            <v>44010200000721</v>
          </cell>
          <cell r="C18397" t="str">
            <v>IFRS-MUROS Y COLUMNAS-GTO.DEP.INST.     5ND</v>
          </cell>
        </row>
        <row r="18398">
          <cell r="B18398" t="str">
            <v>44010200000722</v>
          </cell>
          <cell r="C18398" t="str">
            <v>IFRS-TECHOS-GTO.DEP.INST.               5ND</v>
          </cell>
        </row>
        <row r="18399">
          <cell r="B18399" t="str">
            <v>44010200000723</v>
          </cell>
          <cell r="C18399" t="str">
            <v>IFRS-PISOS-GTO.DEP.INST.                5ND</v>
          </cell>
        </row>
        <row r="18400">
          <cell r="B18400" t="str">
            <v>44010200000724</v>
          </cell>
          <cell r="C18400" t="str">
            <v>IFRS-PUERTAS Y VENTANAS-GTO.DEP.INST.   5ND</v>
          </cell>
        </row>
        <row r="18401">
          <cell r="B18401" t="str">
            <v>44010200000725</v>
          </cell>
          <cell r="C18401" t="str">
            <v>IFRS-REVESTIMIENTOS-GTO.DEP.INST.       5ND</v>
          </cell>
        </row>
        <row r="18402">
          <cell r="B18402" t="str">
            <v>44010200000726</v>
          </cell>
          <cell r="C18402" t="str">
            <v>IFRS-BAÃ‘OS-GTO.DEP.INST.               5ND</v>
          </cell>
        </row>
        <row r="18403">
          <cell r="B18403" t="str">
            <v>44010200000727</v>
          </cell>
          <cell r="C18403" t="str">
            <v>IFRS-INSTALACIONES-GTO.DEP.INST.        5ND</v>
          </cell>
        </row>
        <row r="18404">
          <cell r="B18404" t="str">
            <v>44010200000728</v>
          </cell>
          <cell r="C18404" t="str">
            <v>IFRS-OBRAS COMPLEMENTARIAS-GTO.DEP.INST.5ND</v>
          </cell>
        </row>
        <row r="18405">
          <cell r="B18405" t="str">
            <v>44010200000729</v>
          </cell>
          <cell r="C18405" t="str">
            <v>IFRS-INSTALACIONES FIJAS-GTO.DEP.INST.  5ND</v>
          </cell>
        </row>
        <row r="18406">
          <cell r="B18406" t="str">
            <v>44010200000730</v>
          </cell>
          <cell r="C18406" t="str">
            <v>IFRS-AREAS COMUNES-GTO.DEP.INST.        5ND</v>
          </cell>
        </row>
        <row r="18407">
          <cell r="B18407" t="str">
            <v>44010200000731</v>
          </cell>
          <cell r="C18407" t="str">
            <v>IFRS-MUROS Y COLUMNAS-REVALUACION       5ND</v>
          </cell>
        </row>
        <row r="18408">
          <cell r="B18408" t="str">
            <v>44010200000732</v>
          </cell>
          <cell r="C18408" t="str">
            <v>IFRS-TECHOS-REVALUACION                 5ND</v>
          </cell>
        </row>
        <row r="18409">
          <cell r="B18409" t="str">
            <v>44010200000733</v>
          </cell>
          <cell r="C18409" t="str">
            <v>IFRS-PISOS-REVALUACION                  5ND</v>
          </cell>
        </row>
        <row r="18410">
          <cell r="B18410" t="str">
            <v>44010200000734</v>
          </cell>
          <cell r="C18410" t="str">
            <v>IFRS-PUERTAS Y VENTANAS-REVALUACION     5ND</v>
          </cell>
        </row>
        <row r="18411">
          <cell r="B18411" t="str">
            <v>44010200000735</v>
          </cell>
          <cell r="C18411" t="str">
            <v>IFRS-REVESTIMIENTOS-REVALUACION         5ND</v>
          </cell>
        </row>
        <row r="18412">
          <cell r="B18412" t="str">
            <v>44010200000736</v>
          </cell>
          <cell r="C18412" t="str">
            <v>IFRS-BAÃ‘OS-REVALUACION                 5ND</v>
          </cell>
        </row>
        <row r="18413">
          <cell r="B18413" t="str">
            <v>44010200000737</v>
          </cell>
          <cell r="C18413" t="str">
            <v>IFRS-INSTALACIONES-REVALUACION          5ND</v>
          </cell>
        </row>
        <row r="18414">
          <cell r="B18414" t="str">
            <v>44010200000738</v>
          </cell>
          <cell r="C18414" t="str">
            <v>IFRS-OBRAS COMPLEMENTARIAS-REVALUACION  5ND</v>
          </cell>
        </row>
        <row r="18415">
          <cell r="B18415" t="str">
            <v>44010200000739</v>
          </cell>
          <cell r="C18415" t="str">
            <v>IFRS-INSTALACIONES FIJAS-REVALUACION    5ND</v>
          </cell>
        </row>
        <row r="18416">
          <cell r="B18416" t="str">
            <v>44010200000740</v>
          </cell>
          <cell r="C18416" t="str">
            <v>IFRS-AREAS COMUNES-REVALUACION          5ND</v>
          </cell>
        </row>
        <row r="18417">
          <cell r="B18417" t="str">
            <v>44010200000801</v>
          </cell>
          <cell r="C18417" t="str">
            <v>PAN AMORT.MEJORAS/ PROP. ARRENDAD       5ND</v>
          </cell>
        </row>
        <row r="18418">
          <cell r="B18418" t="str">
            <v>44010300000101</v>
          </cell>
          <cell r="C18418" t="str">
            <v>MOBILIARIO                              5ND</v>
          </cell>
        </row>
        <row r="18419">
          <cell r="B18419" t="str">
            <v>44010300000201</v>
          </cell>
          <cell r="C18419" t="str">
            <v>EQUIPOS DE COMPUTACION                  5ND</v>
          </cell>
        </row>
        <row r="18420">
          <cell r="B18420" t="str">
            <v>44010300000202</v>
          </cell>
          <cell r="C18420" t="str">
            <v>DEPREC. TARJETA CÃ“MPUTO Y COMUNICACIONE5ND</v>
          </cell>
        </row>
        <row r="18421">
          <cell r="B18421" t="str">
            <v>44010300000301</v>
          </cell>
          <cell r="C18421" t="str">
            <v>EQUIPOS DE COMUNICACION                 5ND</v>
          </cell>
        </row>
        <row r="18422">
          <cell r="B18422" t="str">
            <v>44010300000302</v>
          </cell>
          <cell r="C18422" t="str">
            <v>AIRE ACONDICIONADO                      5ND</v>
          </cell>
        </row>
        <row r="18423">
          <cell r="B18423" t="str">
            <v>44010300000303</v>
          </cell>
          <cell r="C18423" t="str">
            <v>EQUIPO ELECTRÃ“GENO                     5ND</v>
          </cell>
        </row>
        <row r="18424">
          <cell r="B18424" t="str">
            <v>44010300000304</v>
          </cell>
          <cell r="C18424" t="str">
            <v>BL DEPRECIACIÃ“N EQUIPOS DIVERSOS       5ND</v>
          </cell>
        </row>
        <row r="18425">
          <cell r="B18425" t="str">
            <v>44010300000309</v>
          </cell>
          <cell r="C18425" t="str">
            <v>EQUIPOS DIVERSOS                        5ND</v>
          </cell>
        </row>
        <row r="18426">
          <cell r="B18426" t="str">
            <v>44010300000401</v>
          </cell>
          <cell r="C18426" t="str">
            <v>EQUIPOS DE COMPUTACION - SERVICIOS CORPO5ND</v>
          </cell>
        </row>
        <row r="18427">
          <cell r="B18427" t="str">
            <v>44010300000402</v>
          </cell>
          <cell r="C18427" t="str">
            <v>EQUIPO PARA EL RECONOCIMIENTO Y CONTEO D5ND</v>
          </cell>
        </row>
        <row r="18428">
          <cell r="B18428" t="str">
            <v>44010300000801</v>
          </cell>
          <cell r="C18428" t="str">
            <v>PAN DEPRECIACION MOBILIARIO Y ENSERES   5ND</v>
          </cell>
        </row>
        <row r="18429">
          <cell r="B18429" t="str">
            <v>44010300000802</v>
          </cell>
          <cell r="C18429" t="str">
            <v>PAN DEPRECIACION EQUIPO DE COMPUTO      5ND</v>
          </cell>
        </row>
        <row r="18430">
          <cell r="B18430" t="str">
            <v>44010300000803</v>
          </cell>
          <cell r="C18430" t="str">
            <v>PAN DEPRECIACION DE EQUIPO DE OFICINA   5ND</v>
          </cell>
        </row>
        <row r="18431">
          <cell r="B18431" t="str">
            <v>44010400000101</v>
          </cell>
          <cell r="C18431" t="str">
            <v>DEP.EQUIPOS DE TRANSPORTE               5ND</v>
          </cell>
        </row>
        <row r="18432">
          <cell r="B18432" t="str">
            <v>44010500000101</v>
          </cell>
          <cell r="C18432" t="str">
            <v>GASTO DEPRECIACION LEASING OPERATIVO    5ND</v>
          </cell>
        </row>
        <row r="18433">
          <cell r="B18433" t="str">
            <v>44010500000109</v>
          </cell>
          <cell r="C18433" t="str">
            <v>GASTO DEPRECIACION LEASING DATA CENTER  5ND</v>
          </cell>
        </row>
        <row r="18434">
          <cell r="B18434" t="str">
            <v>44010500000110</v>
          </cell>
          <cell r="C18434" t="str">
            <v>GASTO DEPRECIACION ARRENDAMIENTO PC     5ND</v>
          </cell>
        </row>
        <row r="18435">
          <cell r="B18435" t="str">
            <v>44010500000111</v>
          </cell>
          <cell r="C18435" t="str">
            <v>GASTO DEPRECIACION ARREND. EMBOZADORAS  5ND</v>
          </cell>
        </row>
        <row r="18436">
          <cell r="B18436" t="str">
            <v>44010500000112</v>
          </cell>
          <cell r="C18436" t="str">
            <v>GASTO DEPRECIACION EQUIPO DE RED INALAMB5ND</v>
          </cell>
        </row>
        <row r="18437">
          <cell r="B18437" t="str">
            <v>44010700000101</v>
          </cell>
          <cell r="C18437" t="str">
            <v>DEPRECIACIÃ“N POR INSTALACIONES Y MEJORA5ND</v>
          </cell>
        </row>
        <row r="18438">
          <cell r="B18438" t="str">
            <v>44010700000102</v>
          </cell>
          <cell r="C18438" t="str">
            <v>BL DEPRECIACION MEJORAS                 5ND</v>
          </cell>
        </row>
        <row r="18439">
          <cell r="B18439" t="str">
            <v>44030100000101</v>
          </cell>
          <cell r="C18439" t="str">
            <v>440301000001010000                      5ND</v>
          </cell>
        </row>
        <row r="18440">
          <cell r="B18440" t="str">
            <v>44030300000101</v>
          </cell>
          <cell r="C18440" t="str">
            <v>AMORTIZACION SOFTWARE                   5ND</v>
          </cell>
        </row>
        <row r="18441">
          <cell r="B18441" t="str">
            <v>44030300000102</v>
          </cell>
          <cell r="C18441" t="str">
            <v>AMORTIZACION SOFTWARE SISTEMAS          5ND</v>
          </cell>
        </row>
        <row r="18442">
          <cell r="B18442" t="str">
            <v>44030300000103</v>
          </cell>
          <cell r="C18442" t="str">
            <v>BL AMORTIZACION SOFTWARE                5ND</v>
          </cell>
        </row>
        <row r="18443">
          <cell r="B18443" t="str">
            <v>44030300000104</v>
          </cell>
          <cell r="C18443" t="str">
            <v>AMORTIZAC.NUEVOS CAJEROS AUTOMATICOS    5ND</v>
          </cell>
        </row>
        <row r="18444">
          <cell r="B18444" t="str">
            <v>44030300000105</v>
          </cell>
          <cell r="C18444" t="str">
            <v>AMORTIZAC.TARJETA DE CREDITO            5ND</v>
          </cell>
        </row>
        <row r="18445">
          <cell r="B18445" t="str">
            <v>44030300000106</v>
          </cell>
          <cell r="C18445" t="str">
            <v>AMORTIZAC.PROYECTO ANO 2000             5ND</v>
          </cell>
        </row>
        <row r="18446">
          <cell r="B18446" t="str">
            <v>44030300000107</v>
          </cell>
          <cell r="C18446" t="str">
            <v>AMORTIZAC.PROYEC SOFTWARE INTEGRAL      5ND</v>
          </cell>
        </row>
        <row r="18447">
          <cell r="B18447" t="str">
            <v>44030300000111</v>
          </cell>
          <cell r="C18447" t="str">
            <v>AMORTIZACION SOFTWARE DATA CENTER       5ND</v>
          </cell>
        </row>
        <row r="18448">
          <cell r="B18448" t="str">
            <v>44030300000801</v>
          </cell>
          <cell r="C18448" t="str">
            <v>PAN DEPRECIACION SOFTWARE               5ND</v>
          </cell>
        </row>
        <row r="18449">
          <cell r="B18449" t="str">
            <v>44030700000101</v>
          </cell>
          <cell r="C18449" t="str">
            <v>AMORTIZACION GOODWILL                   5ND</v>
          </cell>
        </row>
        <row r="18450">
          <cell r="B18450" t="str">
            <v>44030800000101</v>
          </cell>
          <cell r="C18450" t="str">
            <v>AMORTIZACION BASE DE DATOS TC           5ND</v>
          </cell>
        </row>
        <row r="18451">
          <cell r="B18451" t="str">
            <v>44030800000102</v>
          </cell>
          <cell r="C18451" t="str">
            <v>PRIMA POR INTERESES BT                  5ND</v>
          </cell>
        </row>
        <row r="18452">
          <cell r="B18452" t="str">
            <v>44030800000103</v>
          </cell>
          <cell r="C18452" t="str">
            <v>PRIMA CARTERA SURA                      5ND</v>
          </cell>
        </row>
        <row r="18453">
          <cell r="B18453" t="str">
            <v>44030800000104</v>
          </cell>
          <cell r="C18453" t="str">
            <v>PRIMA CARTERA BANCOLOMBIA               5ND</v>
          </cell>
        </row>
        <row r="18454">
          <cell r="B18454" t="str">
            <v>44030800000105</v>
          </cell>
          <cell r="C18454" t="str">
            <v>PRIMA CARTERA ITAU-CENTENARIO           5ND</v>
          </cell>
        </row>
        <row r="18455">
          <cell r="B18455" t="str">
            <v>45010101000101</v>
          </cell>
          <cell r="C18455" t="str">
            <v>SUELDO BASICO COLABORADORES             5ND</v>
          </cell>
        </row>
        <row r="18456">
          <cell r="B18456" t="str">
            <v>45010101000801</v>
          </cell>
          <cell r="C18456" t="str">
            <v>PAN SUELDOS                             5ND</v>
          </cell>
        </row>
        <row r="18457">
          <cell r="B18457" t="str">
            <v>45010101000802</v>
          </cell>
          <cell r="C18457" t="str">
            <v>PAN DECIMO TERCER MES                   5ND</v>
          </cell>
        </row>
        <row r="18458">
          <cell r="B18458" t="str">
            <v>45010102000101</v>
          </cell>
          <cell r="C18458" t="str">
            <v>BONIFICACIONES - 10.23%                 5ND</v>
          </cell>
        </row>
        <row r="18459">
          <cell r="B18459" t="str">
            <v>45010102000102</v>
          </cell>
          <cell r="C18459" t="str">
            <v>BONIFICACIONES - 3%                     5ND</v>
          </cell>
        </row>
        <row r="18460">
          <cell r="B18460" t="str">
            <v>45010102000103</v>
          </cell>
          <cell r="C18460" t="str">
            <v>BONOS POR METAS                         5ND</v>
          </cell>
        </row>
        <row r="18461">
          <cell r="B18461" t="str">
            <v>45010102000104</v>
          </cell>
          <cell r="C18461" t="str">
            <v>INCENTIVOS POR PRODUCTOS                5ND</v>
          </cell>
        </row>
        <row r="18462">
          <cell r="B18462" t="str">
            <v>45010102000105</v>
          </cell>
          <cell r="C18462" t="str">
            <v>BONIFICACION EXTRAOR.TEMPORAL L29351-   5ND</v>
          </cell>
        </row>
        <row r="18463">
          <cell r="B18463" t="str">
            <v>45010102000106</v>
          </cell>
          <cell r="C18463" t="str">
            <v>BONO DE DESEMPEÃ‘O                      5ND</v>
          </cell>
        </row>
        <row r="18464">
          <cell r="B18464" t="str">
            <v>45010102000107</v>
          </cell>
          <cell r="C18464" t="str">
            <v>COMISIONES POR PRODUCTOS                5ND</v>
          </cell>
        </row>
        <row r="18465">
          <cell r="B18465" t="str">
            <v>45010102000108</v>
          </cell>
          <cell r="C18465" t="str">
            <v>PROVISION INCENTIVOS-REM. VARIABLE      5ND</v>
          </cell>
        </row>
        <row r="18466">
          <cell r="B18466" t="str">
            <v>45010102000109</v>
          </cell>
          <cell r="C18466" t="str">
            <v>PROVISION COMISIONES-REM. VARIABLE      5ND</v>
          </cell>
        </row>
        <row r="18467">
          <cell r="B18467" t="str">
            <v>45010102000110</v>
          </cell>
          <cell r="C18467" t="str">
            <v>BONIFICACION - VALES                    5ND</v>
          </cell>
        </row>
        <row r="18468">
          <cell r="B18468" t="str">
            <v>45010102000801</v>
          </cell>
          <cell r="C18468" t="str">
            <v>PAN INDEMNIZACIONES                     5ND</v>
          </cell>
        </row>
        <row r="18469">
          <cell r="B18469" t="str">
            <v>45010103000101</v>
          </cell>
          <cell r="C18469" t="str">
            <v>GRATIFICACIONES COLABORADORES           5ND</v>
          </cell>
        </row>
        <row r="18470">
          <cell r="B18470" t="str">
            <v>45010103000102</v>
          </cell>
          <cell r="C18470" t="str">
            <v>GRATIF EXTRAORD X TS - COLABORADORES    5ND</v>
          </cell>
        </row>
        <row r="18471">
          <cell r="B18471" t="str">
            <v>45010103000109</v>
          </cell>
          <cell r="C18471" t="str">
            <v>GRATIFICACIÃ“N EXTRAORDINARIA           5ND</v>
          </cell>
        </row>
        <row r="18472">
          <cell r="B18472" t="str">
            <v>45010103000110</v>
          </cell>
          <cell r="C18472" t="str">
            <v>BONOS POR TRASLADO  INGRESO Y OTROS     5ND</v>
          </cell>
        </row>
        <row r="18473">
          <cell r="B18473" t="str">
            <v>45010103000111</v>
          </cell>
          <cell r="C18473" t="str">
            <v>GRATIFICACIÃ“N EXTRAORDINARIA - GANT    5ND</v>
          </cell>
        </row>
        <row r="18474">
          <cell r="B18474" t="str">
            <v>45010103000112</v>
          </cell>
          <cell r="C18474" t="str">
            <v>GRATIFICACIÃ“N EXTRAORDINARIA - DIVERSAS5ND</v>
          </cell>
        </row>
        <row r="18475">
          <cell r="B18475" t="str">
            <v>45010104000101</v>
          </cell>
          <cell r="C18475" t="str">
            <v>ASIGNACION FAMILIAR                     5ND</v>
          </cell>
        </row>
        <row r="18476">
          <cell r="B18476" t="str">
            <v>45010104000102</v>
          </cell>
          <cell r="C18476" t="str">
            <v>AsignaciÃ³n extraordinaria para gastos e5ND</v>
          </cell>
        </row>
        <row r="18477">
          <cell r="B18477" t="str">
            <v>45010104000103</v>
          </cell>
          <cell r="C18477" t="str">
            <v>ASIGNACION -MOVILIDAD                   5ND</v>
          </cell>
        </row>
        <row r="18478">
          <cell r="B18478" t="str">
            <v>45010104000105</v>
          </cell>
          <cell r="C18478" t="str">
            <v>ASIGNACION REFRIGERIO                   5ND</v>
          </cell>
        </row>
        <row r="18479">
          <cell r="B18479" t="str">
            <v>45010105000101</v>
          </cell>
          <cell r="C18479" t="str">
            <v>HORAS EXTRAS                            5ND</v>
          </cell>
        </row>
        <row r="18480">
          <cell r="B18480" t="str">
            <v>45010106000101</v>
          </cell>
          <cell r="C18480" t="str">
            <v>VALES DE ALIMENTOS                      5ND</v>
          </cell>
        </row>
        <row r="18481">
          <cell r="B18481" t="str">
            <v>45010106000102</v>
          </cell>
          <cell r="C18481" t="str">
            <v>COM RECARGA PROVIS                      5ND</v>
          </cell>
        </row>
        <row r="18482">
          <cell r="B18482" t="str">
            <v>45010201000101</v>
          </cell>
          <cell r="C18482" t="str">
            <v>COMPENSACION VACACIONAL                 5ND</v>
          </cell>
        </row>
        <row r="18483">
          <cell r="B18483" t="str">
            <v>45010201000102</v>
          </cell>
          <cell r="C18483" t="str">
            <v>INDEMNIZACION VACACIONES NO GOZADAS     5ND</v>
          </cell>
        </row>
        <row r="18484">
          <cell r="B18484" t="str">
            <v>45010201000109</v>
          </cell>
          <cell r="C18484" t="str">
            <v>VACACIONES NO GOZADAS                   5ND</v>
          </cell>
        </row>
        <row r="18485">
          <cell r="B18485" t="str">
            <v>45010201000110</v>
          </cell>
          <cell r="C18485" t="str">
            <v>VACACIONES-SUELDO BASICO                5ND</v>
          </cell>
        </row>
        <row r="18486">
          <cell r="B18486" t="str">
            <v>45010201000111</v>
          </cell>
          <cell r="C18486" t="str">
            <v>VACACIONES LIQUIDADAS ? COMISIONES      5ND</v>
          </cell>
        </row>
        <row r="18487">
          <cell r="B18487" t="str">
            <v>45010201000112</v>
          </cell>
          <cell r="C18487" t="str">
            <v>VACACIONES LIQUIDADAS ? VACACIONES      5ND</v>
          </cell>
        </row>
        <row r="18488">
          <cell r="B18488" t="str">
            <v>45010201000801</v>
          </cell>
          <cell r="C18488" t="str">
            <v>PAN VACACIONES                          5ND</v>
          </cell>
        </row>
        <row r="18489">
          <cell r="B18489" t="str">
            <v>45010301000101</v>
          </cell>
          <cell r="C18489" t="str">
            <v>SEGURO DE VIDA LEY 4916                 5ND</v>
          </cell>
        </row>
        <row r="18490">
          <cell r="B18490" t="str">
            <v>45010301000801</v>
          </cell>
          <cell r="C18490" t="str">
            <v>PAN SEGURO EDUCATIVO OBRERO PATRON      5ND</v>
          </cell>
        </row>
        <row r="18491">
          <cell r="B18491" t="str">
            <v>45010301000802</v>
          </cell>
          <cell r="C18491" t="str">
            <v>PAN SEGURO DE VIDA Y HOSPITALIZACION    5ND</v>
          </cell>
        </row>
        <row r="18492">
          <cell r="B18492" t="str">
            <v>45010401000101</v>
          </cell>
          <cell r="C18492" t="str">
            <v>ESSALUD BANCO                           5ND</v>
          </cell>
        </row>
        <row r="18493">
          <cell r="B18493" t="str">
            <v>45010401000102</v>
          </cell>
          <cell r="C18493" t="str">
            <v>EPS                                     5ND</v>
          </cell>
        </row>
        <row r="18494">
          <cell r="B18494" t="str">
            <v>45010401000801</v>
          </cell>
          <cell r="C18494" t="str">
            <v>PAN SEGURO SOCIAL OBRERO PATRONAL       5ND</v>
          </cell>
        </row>
        <row r="18495">
          <cell r="B18495" t="str">
            <v>45010401000802</v>
          </cell>
          <cell r="C18495" t="str">
            <v>PAN RIESGOS PROFESIONALES               5ND</v>
          </cell>
        </row>
        <row r="18496">
          <cell r="B18496" t="str">
            <v>45010501000101</v>
          </cell>
          <cell r="C18496" t="str">
            <v>COMPENSACION POR TIEMPO DE SERVICIOS    5ND</v>
          </cell>
        </row>
        <row r="18497">
          <cell r="B18497" t="str">
            <v>45010501000801</v>
          </cell>
          <cell r="C18497" t="str">
            <v>PAN PRIMA DE ANTIGÃœEDAD                5ND</v>
          </cell>
        </row>
        <row r="18498">
          <cell r="B18498" t="str">
            <v>45010800000101</v>
          </cell>
          <cell r="C18498" t="str">
            <v>PARTICIPACION DE LOS TRABAJADORES EN UTI5ND</v>
          </cell>
        </row>
        <row r="18499">
          <cell r="B18499" t="str">
            <v>45010800000102</v>
          </cell>
          <cell r="C18499" t="str">
            <v>PARTICIPACIÃ“N ADICIONAL EN LAS UTILIDAD5ND</v>
          </cell>
        </row>
        <row r="18500">
          <cell r="B18500" t="str">
            <v>45010901000801</v>
          </cell>
          <cell r="C18500" t="str">
            <v>PAN CAFETERIA                           5ND</v>
          </cell>
        </row>
        <row r="18501">
          <cell r="B18501" t="str">
            <v>45010902000101</v>
          </cell>
          <cell r="C18501" t="str">
            <v>UNIFORMES                               5ND</v>
          </cell>
        </row>
        <row r="18502">
          <cell r="B18502" t="str">
            <v>45010902000801</v>
          </cell>
          <cell r="C18502" t="str">
            <v>PAN UNIFORMES                           5ND</v>
          </cell>
        </row>
        <row r="18503">
          <cell r="B18503" t="str">
            <v>45010903000101</v>
          </cell>
          <cell r="C18503" t="str">
            <v>ASISTENCIA MEDICA                       5ND</v>
          </cell>
        </row>
        <row r="18504">
          <cell r="B18504" t="str">
            <v>45010904000101</v>
          </cell>
          <cell r="C18504" t="str">
            <v>CAPACITACION LOCAL                      5ND</v>
          </cell>
        </row>
        <row r="18505">
          <cell r="B18505" t="str">
            <v>45010904000102</v>
          </cell>
          <cell r="C18505" t="str">
            <v>CAPACITACION EN EL EXTERIOR             5ND</v>
          </cell>
        </row>
        <row r="18506">
          <cell r="B18506" t="str">
            <v>45010904000103</v>
          </cell>
          <cell r="C18506" t="str">
            <v>CAPACITACION GRACELAND                  5ND</v>
          </cell>
        </row>
        <row r="18507">
          <cell r="B18507" t="str">
            <v>45010904000104</v>
          </cell>
          <cell r="C18507" t="str">
            <v>CAPACITACION NO DEDUCIBLE               5ND</v>
          </cell>
        </row>
        <row r="18508">
          <cell r="B18508" t="str">
            <v>45010904000105</v>
          </cell>
          <cell r="C18508" t="str">
            <v>AP  CAPACITACION MOVILIDAD PLANILLA - DE5ND</v>
          </cell>
        </row>
        <row r="18509">
          <cell r="B18509" t="str">
            <v>45010904000801</v>
          </cell>
          <cell r="C18509" t="str">
            <v>PAN CAPACITACION                        5ND</v>
          </cell>
        </row>
        <row r="18510">
          <cell r="B18510" t="str">
            <v>45010905000101</v>
          </cell>
          <cell r="C18510" t="str">
            <v>VIATICOS CAPACITACION LOCAL             5ND</v>
          </cell>
        </row>
        <row r="18511">
          <cell r="B18511" t="str">
            <v>45010905000102</v>
          </cell>
          <cell r="C18511" t="str">
            <v>VIATICOS CAPACITACION EN EL EXTERIOR    5ND</v>
          </cell>
        </row>
        <row r="18512">
          <cell r="B18512" t="str">
            <v>45010905000103</v>
          </cell>
          <cell r="C18512" t="str">
            <v>VIATICOS CAPACITACION GRACELAND         5ND</v>
          </cell>
        </row>
        <row r="18513">
          <cell r="B18513" t="str">
            <v>45010905000104</v>
          </cell>
          <cell r="C18513" t="str">
            <v>AP VIATICOS x CAPACITACION VIAJE LOCALPA5ND</v>
          </cell>
        </row>
        <row r="18514">
          <cell r="B18514" t="str">
            <v>45010905000105</v>
          </cell>
          <cell r="C18514" t="str">
            <v>AP PASAJES X CAPACITACION VIAJE LOCAL   5ND</v>
          </cell>
        </row>
        <row r="18515">
          <cell r="B18515" t="str">
            <v>45010905000106</v>
          </cell>
          <cell r="C18515" t="str">
            <v>AP ALOJAMIENTO X CAPACITACION  VIAJE LOC5ND</v>
          </cell>
        </row>
        <row r="18516">
          <cell r="B18516" t="str">
            <v>45010905000801</v>
          </cell>
          <cell r="C18516" t="str">
            <v>PAN VIATICOS                            5ND</v>
          </cell>
        </row>
        <row r="18517">
          <cell r="B18517" t="str">
            <v>45010906000801</v>
          </cell>
          <cell r="C18517" t="str">
            <v>PAN ATENCION A VISITAS                  5ND</v>
          </cell>
        </row>
        <row r="18518">
          <cell r="B18518" t="str">
            <v>45010907000101</v>
          </cell>
          <cell r="C18518" t="str">
            <v>JUBILACIONES                            5ND</v>
          </cell>
        </row>
        <row r="18519">
          <cell r="B18519" t="str">
            <v>45010909000101</v>
          </cell>
          <cell r="C18519" t="str">
            <v>SUBSIDIO ENFERMEDAD                     5ND</v>
          </cell>
        </row>
        <row r="18520">
          <cell r="B18520" t="str">
            <v>45010909000102</v>
          </cell>
          <cell r="C18520" t="str">
            <v>AGUINALDO NAVIDENO                      5ND</v>
          </cell>
        </row>
        <row r="18521">
          <cell r="B18521" t="str">
            <v>45010909000103</v>
          </cell>
          <cell r="C18521" t="str">
            <v>SEGURO DE VIDA COLABORADORES            5ND</v>
          </cell>
        </row>
        <row r="18522">
          <cell r="B18522" t="str">
            <v>45010909000105</v>
          </cell>
          <cell r="C18522" t="str">
            <v>ACTIVIDADES DE PERSONAL                 5ND</v>
          </cell>
        </row>
        <row r="18523">
          <cell r="B18523" t="str">
            <v>45010909000107</v>
          </cell>
          <cell r="C18523" t="str">
            <v>ANIVERSARIO                             5ND</v>
          </cell>
        </row>
        <row r="18524">
          <cell r="B18524" t="str">
            <v>45010909000108</v>
          </cell>
          <cell r="C18524" t="str">
            <v>PRACTICAS PROFESIONALES                 5ND</v>
          </cell>
        </row>
        <row r="18525">
          <cell r="B18525" t="str">
            <v>45010909000111</v>
          </cell>
          <cell r="C18525" t="str">
            <v>BONIFICACIÃ“N MOVILIDAD                 5ND</v>
          </cell>
        </row>
        <row r="18526">
          <cell r="B18526" t="str">
            <v>45010909000113</v>
          </cell>
          <cell r="C18526" t="str">
            <v>INDEMNIZACION POR DESPIDO               5ND</v>
          </cell>
        </row>
        <row r="18527">
          <cell r="B18527" t="str">
            <v>45010909000114</v>
          </cell>
          <cell r="C18527" t="str">
            <v>PROGRAMA DE INCENTIVOS AL PERSONAL      5ND</v>
          </cell>
        </row>
        <row r="18528">
          <cell r="B18528" t="str">
            <v>45010909000202</v>
          </cell>
          <cell r="C18528" t="str">
            <v>IR 5TA CATEGORIA ASUMIDO NO DEDUCIBLE   5ND</v>
          </cell>
        </row>
        <row r="18529">
          <cell r="B18529" t="str">
            <v>45010909000203</v>
          </cell>
          <cell r="C18529" t="str">
            <v>PASAJES POR CONTRATO LABORAL            5ND</v>
          </cell>
        </row>
        <row r="18530">
          <cell r="B18530" t="str">
            <v>45010909000204</v>
          </cell>
          <cell r="C18530" t="str">
            <v>COMISION BONIFICACION TEBCA             5ND</v>
          </cell>
        </row>
        <row r="18531">
          <cell r="B18531" t="str">
            <v>45010909000205</v>
          </cell>
          <cell r="C18531" t="str">
            <v>ACTIVIDADES DE PERSONAL 10% IGV         5ND</v>
          </cell>
        </row>
        <row r="18532">
          <cell r="B18532" t="str">
            <v>45010909000206</v>
          </cell>
          <cell r="C18532" t="str">
            <v>GESTIÃ“N DE TALENTO                     5 D</v>
          </cell>
        </row>
        <row r="18533">
          <cell r="B18533" t="str">
            <v>45010909000801</v>
          </cell>
          <cell r="C18533" t="str">
            <v>PAN OTROS BENEFICIOS AL PERSONAL        5ND</v>
          </cell>
        </row>
        <row r="18534">
          <cell r="B18534" t="str">
            <v>45020100000101</v>
          </cell>
          <cell r="C18534" t="str">
            <v>DIETAS-DIRECTORIO                       5ND</v>
          </cell>
        </row>
        <row r="18535">
          <cell r="B18535" t="str">
            <v>45030101000101</v>
          </cell>
          <cell r="C18535" t="str">
            <v>MENSAJERIA INTERNA Y ENVIOS INTERNACIONA5ND</v>
          </cell>
        </row>
        <row r="18536">
          <cell r="B18536" t="str">
            <v>45030101000102</v>
          </cell>
          <cell r="C18536" t="str">
            <v>PRODUCC. Y DISTRIB. DE DOCUMEN.CLIEN EXT5ND</v>
          </cell>
        </row>
        <row r="18537">
          <cell r="B18537" t="str">
            <v>45030101000103</v>
          </cell>
          <cell r="C18537" t="str">
            <v>TRASLADO EFECTIVO/VALORES DIV. PAIS     5ND</v>
          </cell>
        </row>
        <row r="18538">
          <cell r="B18538" t="str">
            <v>45030101000104</v>
          </cell>
          <cell r="C18538" t="str">
            <v>GASTOS DE REMESAS - ATM                 5ND</v>
          </cell>
        </row>
        <row r="18539">
          <cell r="B18539" t="str">
            <v>45030101000105</v>
          </cell>
          <cell r="C18539" t="str">
            <v>ENTREGA VALORADOS                       5ND</v>
          </cell>
        </row>
        <row r="18540">
          <cell r="B18540" t="str">
            <v>45030101000106</v>
          </cell>
          <cell r="C18540" t="str">
            <v>SERVICIO DE EMBOZADO                    5ND</v>
          </cell>
        </row>
        <row r="18541">
          <cell r="B18541" t="str">
            <v>45030101000107</v>
          </cell>
          <cell r="C18541" t="str">
            <v>SERVICIO DE TRANSPORTE DE EFECTIVO EXTRA5ND</v>
          </cell>
        </row>
        <row r="18542">
          <cell r="B18542" t="str">
            <v>45030101000108</v>
          </cell>
          <cell r="C18542" t="str">
            <v>EMBOCE DE VALORADOS                     5ND</v>
          </cell>
        </row>
        <row r="18543">
          <cell r="B18543" t="str">
            <v>45030101000109</v>
          </cell>
          <cell r="C18543" t="str">
            <v>SERVICIOS DE TOKEN                      5ND</v>
          </cell>
        </row>
        <row r="18544">
          <cell r="B18544" t="str">
            <v>45030101000801</v>
          </cell>
          <cell r="C18544" t="str">
            <v>PAN TRANSPORTE                          5ND</v>
          </cell>
        </row>
        <row r="18545">
          <cell r="B18545" t="str">
            <v>45030102000101</v>
          </cell>
          <cell r="C18545" t="str">
            <v>EQUIPOS DE COMUNICACION                 5ND</v>
          </cell>
        </row>
        <row r="18546">
          <cell r="B18546" t="str">
            <v>45030102000102</v>
          </cell>
          <cell r="C18546" t="str">
            <v>HW COMPUTADOR CENTRAL                   5ND</v>
          </cell>
        </row>
        <row r="18547">
          <cell r="B18547" t="str">
            <v>45030102000103</v>
          </cell>
          <cell r="C18547" t="str">
            <v>HW PCS                                  5ND</v>
          </cell>
        </row>
        <row r="18548">
          <cell r="B18548" t="str">
            <v>45030102000104</v>
          </cell>
          <cell r="C18548" t="str">
            <v>LIMPIEZA Y SERVICIOS LOGÃSTICOS        5ND</v>
          </cell>
        </row>
        <row r="18549">
          <cell r="B18549" t="str">
            <v>45030102000105</v>
          </cell>
          <cell r="C18549" t="str">
            <v>HW SERVIDORES                           5ND</v>
          </cell>
        </row>
        <row r="18550">
          <cell r="B18550" t="str">
            <v>45030102000106</v>
          </cell>
          <cell r="C18550" t="str">
            <v>SW PCS                                  5ND</v>
          </cell>
        </row>
        <row r="18551">
          <cell r="B18551" t="str">
            <v>45030102000107</v>
          </cell>
          <cell r="C18551" t="str">
            <v>REP.Y MANT.MUEBLES Y EQUIPOS            5ND</v>
          </cell>
        </row>
        <row r="18552">
          <cell r="B18552" t="str">
            <v>45030102000108</v>
          </cell>
          <cell r="C18552" t="str">
            <v>REP. MANT.VEHICULOS                     5ND</v>
          </cell>
        </row>
        <row r="18553">
          <cell r="B18553" t="str">
            <v>45030102000109</v>
          </cell>
          <cell r="C18553" t="str">
            <v>MANTENIMIENTO HW CANALES ELECTRÃ“NICOS  5ND</v>
          </cell>
        </row>
        <row r="18554">
          <cell r="B18554" t="str">
            <v>45030102000110</v>
          </cell>
          <cell r="C18554" t="str">
            <v>HW Y SW OTROS EQUIPOS                   5ND</v>
          </cell>
        </row>
        <row r="18555">
          <cell r="B18555" t="str">
            <v>45030102000112</v>
          </cell>
          <cell r="C18555" t="str">
            <v>SW. COMPUTADOR CENTRAL                  5ND</v>
          </cell>
        </row>
        <row r="18556">
          <cell r="B18556" t="str">
            <v>45030102000113</v>
          </cell>
          <cell r="C18556" t="str">
            <v>SW. SERVIDORES                          5ND</v>
          </cell>
        </row>
        <row r="18557">
          <cell r="B18557" t="str">
            <v>45030102000114</v>
          </cell>
          <cell r="C18557" t="str">
            <v>MANT. SW. CANALES ELECTRONICOS          5ND</v>
          </cell>
        </row>
        <row r="18558">
          <cell r="B18558" t="str">
            <v>45030102000115</v>
          </cell>
          <cell r="C18558" t="str">
            <v>MANT. IMG. CANALES ELECTRÃ“NICOS        5ND</v>
          </cell>
        </row>
        <row r="18559">
          <cell r="B18559" t="str">
            <v>45030102000116</v>
          </cell>
          <cell r="C18559" t="str">
            <v>RECEPCIÃ“N DE SEDES                     5ND</v>
          </cell>
        </row>
        <row r="18560">
          <cell r="B18560" t="str">
            <v>45030102000117</v>
          </cell>
          <cell r="C18560" t="str">
            <v>SISTEMA DE COLAS                        5ND</v>
          </cell>
        </row>
        <row r="18561">
          <cell r="B18561" t="str">
            <v>45030102000118</v>
          </cell>
          <cell r="C18561" t="str">
            <v>MANTENIMIENTO DE HW                     5ND</v>
          </cell>
        </row>
        <row r="18562">
          <cell r="B18562" t="str">
            <v>45030102000119</v>
          </cell>
          <cell r="C18562" t="str">
            <v>MANTENIMIENTO DE SW                     5ND</v>
          </cell>
        </row>
        <row r="18563">
          <cell r="B18563" t="str">
            <v>45030102000120</v>
          </cell>
          <cell r="C18563" t="str">
            <v>DESARROLLO DE SW                        5 D</v>
          </cell>
        </row>
        <row r="18564">
          <cell r="B18564" t="str">
            <v>45030102000121</v>
          </cell>
          <cell r="C18564" t="str">
            <v>TESTING                                 5 D</v>
          </cell>
        </row>
        <row r="18565">
          <cell r="B18565" t="str">
            <v>45030102000122</v>
          </cell>
          <cell r="C18565" t="str">
            <v>SOPORTE ESPECIALIZADO                   5 D</v>
          </cell>
        </row>
        <row r="18566">
          <cell r="B18566" t="str">
            <v>45030102000801</v>
          </cell>
          <cell r="C18566" t="str">
            <v>PANAM REPARACION Y MTTO                 5ND</v>
          </cell>
        </row>
        <row r="18567">
          <cell r="B18567" t="str">
            <v>45030103000101</v>
          </cell>
          <cell r="C18567" t="str">
            <v>VIGILANCIA Y PROTECCION CORRIENTE       5ND</v>
          </cell>
        </row>
        <row r="18568">
          <cell r="B18568" t="str">
            <v>45030103000102</v>
          </cell>
          <cell r="C18568" t="str">
            <v>CUSTODIA POLICIAL                       5ND</v>
          </cell>
        </row>
        <row r="18569">
          <cell r="B18569" t="str">
            <v>45030103000103</v>
          </cell>
          <cell r="C18569" t="str">
            <v>SEGURIDAD ASOCIACION DE BANCOS          5ND</v>
          </cell>
        </row>
        <row r="18570">
          <cell r="B18570" t="str">
            <v>45030103000104</v>
          </cell>
          <cell r="C18570" t="str">
            <v>VIGILANCIA Y SEGURIDAD EXTRAORDINARIA   5ND</v>
          </cell>
        </row>
        <row r="18571">
          <cell r="B18571" t="str">
            <v>45030104000104</v>
          </cell>
          <cell r="C18571" t="str">
            <v>GASTOS DE OBRAS - INFRAESTRUCTURA / MYEQ5ND</v>
          </cell>
        </row>
        <row r="18572">
          <cell r="B18572" t="str">
            <v>45030104000105</v>
          </cell>
          <cell r="C18572" t="str">
            <v>REP. Y MANTENIMIENTO DE INFRAESTRUCTURA 5ND</v>
          </cell>
        </row>
        <row r="18573">
          <cell r="B18573" t="str">
            <v>45030104000106</v>
          </cell>
          <cell r="C18573" t="str">
            <v>GASTOS VARIOS CIERRE DE TIENDAS         5ND</v>
          </cell>
        </row>
        <row r="18574">
          <cell r="B18574" t="str">
            <v>45030105000101</v>
          </cell>
          <cell r="C18574" t="str">
            <v>GASTO DE PUBLICIDAD-TELEVISION          5ND</v>
          </cell>
        </row>
        <row r="18575">
          <cell r="B18575" t="str">
            <v>45030105000102</v>
          </cell>
          <cell r="C18575" t="str">
            <v>GASTO DE PUBLICIDAD-RADIO Y CINE        5ND</v>
          </cell>
        </row>
        <row r="18576">
          <cell r="B18576" t="str">
            <v>45030105000103</v>
          </cell>
          <cell r="C18576" t="str">
            <v>GASTO DE PUBLICIDAD-PRENSA              5ND</v>
          </cell>
        </row>
        <row r="18577">
          <cell r="B18577" t="str">
            <v>45030105000104</v>
          </cell>
          <cell r="C18577" t="str">
            <v>GASTO DE PUBLICIDAD-CORREO DIRECTO      5ND</v>
          </cell>
        </row>
        <row r="18578">
          <cell r="B18578" t="str">
            <v>45030105000105</v>
          </cell>
          <cell r="C18578" t="str">
            <v>PUBLICACIONES VARIAS                    5ND</v>
          </cell>
        </row>
        <row r="18579">
          <cell r="B18579" t="str">
            <v>45030105000106</v>
          </cell>
          <cell r="C18579" t="str">
            <v>GASTO DE PUBLICIDAD-PROMOCIONES         5ND</v>
          </cell>
        </row>
        <row r="18580">
          <cell r="B18580" t="str">
            <v>45030105000107</v>
          </cell>
          <cell r="C18580" t="str">
            <v>GASTO DE PUBLICIDAD  - IMPRESIONES VARIA5ND</v>
          </cell>
        </row>
        <row r="18581">
          <cell r="B18581" t="str">
            <v>45030105000108</v>
          </cell>
          <cell r="C18581" t="str">
            <v>PUBLICIDAD NO DEDUCIBLE                 5ND</v>
          </cell>
        </row>
        <row r="18582">
          <cell r="B18582" t="str">
            <v>45030105000109</v>
          </cell>
          <cell r="C18582" t="str">
            <v>GASTO DE PUBLICIDAD-PANELES             5ND</v>
          </cell>
        </row>
        <row r="18583">
          <cell r="B18583" t="str">
            <v>45030105000111</v>
          </cell>
          <cell r="C18583" t="str">
            <v>MARKETING DIGITAL MEDIOS                5ND</v>
          </cell>
        </row>
        <row r="18584">
          <cell r="B18584" t="str">
            <v>45030105000112</v>
          </cell>
          <cell r="C18584" t="str">
            <v>MARKETING PRODUCCION                    5ND</v>
          </cell>
        </row>
        <row r="18585">
          <cell r="B18585" t="str">
            <v>45030105000113</v>
          </cell>
          <cell r="C18585" t="str">
            <v>GASTO DE PUBLICIDAD - FEE DE AGENCIAS   5ND</v>
          </cell>
        </row>
        <row r="18586">
          <cell r="B18586" t="str">
            <v>45030105000114</v>
          </cell>
          <cell r="C18586" t="str">
            <v>GASTO DE PUBLICIDAD - HERRAMIENTAS DIGIT5ND</v>
          </cell>
        </row>
        <row r="18587">
          <cell r="B18587" t="str">
            <v>45030105000115</v>
          </cell>
          <cell r="C18587" t="str">
            <v>GASTOS DE PROMOCIONES 10% IGV           5ND</v>
          </cell>
        </row>
        <row r="18588">
          <cell r="B18588" t="str">
            <v>45030105000116</v>
          </cell>
          <cell r="C18588" t="str">
            <v>GASTO FONDO DE MARKETING                5 D</v>
          </cell>
        </row>
        <row r="18589">
          <cell r="B18589" t="str">
            <v>45030105000801</v>
          </cell>
          <cell r="C18589" t="str">
            <v>PAN PUBLICACIONES Y ANUNCIOS            5ND</v>
          </cell>
        </row>
        <row r="18590">
          <cell r="B18590" t="str">
            <v>45030106000101</v>
          </cell>
          <cell r="C18590" t="str">
            <v>ENERGIA ELECTRICA                       5ND</v>
          </cell>
        </row>
        <row r="18591">
          <cell r="B18591" t="str">
            <v>45030106000102</v>
          </cell>
          <cell r="C18591" t="str">
            <v>AGUA Y DESAGUE                          5ND</v>
          </cell>
        </row>
        <row r="18592">
          <cell r="B18592" t="str">
            <v>45030106000801</v>
          </cell>
          <cell r="C18592" t="str">
            <v>PAN ENERGIA Y AGUA                      5ND</v>
          </cell>
        </row>
        <row r="18593">
          <cell r="B18593" t="str">
            <v>45030107000102</v>
          </cell>
          <cell r="C18593" t="str">
            <v>TELEFONIA                               5ND</v>
          </cell>
        </row>
        <row r="18594">
          <cell r="B18594" t="str">
            <v>45030107000103</v>
          </cell>
          <cell r="C18594" t="str">
            <v>TELEFONÃA FIJA                         5ND</v>
          </cell>
        </row>
        <row r="18595">
          <cell r="B18595" t="str">
            <v>45030107000104</v>
          </cell>
          <cell r="C18595" t="str">
            <v>TELEFONÃA MÃ“VIL                       5ND</v>
          </cell>
        </row>
        <row r="18596">
          <cell r="B18596" t="str">
            <v>45030107000801</v>
          </cell>
          <cell r="C18596" t="str">
            <v>PAN TELEFONIA                           5ND</v>
          </cell>
        </row>
        <row r="18597">
          <cell r="B18597" t="str">
            <v>45030108000101</v>
          </cell>
          <cell r="C18597" t="str">
            <v>ASESORÃA LEGAL EXTERNA - HONORARIOS.   5ND</v>
          </cell>
        </row>
        <row r="18598">
          <cell r="B18598" t="str">
            <v>45030108000102</v>
          </cell>
          <cell r="C18598" t="str">
            <v>HONORARIOS JUDICIALES                   5ND</v>
          </cell>
        </row>
        <row r="18599">
          <cell r="B18599" t="str">
            <v>45030108000103</v>
          </cell>
          <cell r="C18599" t="str">
            <v>TASACIONES CREDITOS HIPOTECARIOS        5ND</v>
          </cell>
        </row>
        <row r="18600">
          <cell r="B18600" t="str">
            <v>45030108000104</v>
          </cell>
          <cell r="C18600" t="str">
            <v>DESARROLLO DE PROYECTOS DE TECNOLOGÍA   5ND</v>
          </cell>
        </row>
        <row r="18601">
          <cell r="B18601" t="str">
            <v>45030108000105</v>
          </cell>
          <cell r="C18601" t="str">
            <v>HONORARIOS PROFESIONALES-ESPECIALES     5ND</v>
          </cell>
        </row>
        <row r="18602">
          <cell r="B18602" t="str">
            <v>45030108000106</v>
          </cell>
          <cell r="C18602" t="str">
            <v>HONORARIOS DE TASADORES                 5ND</v>
          </cell>
        </row>
        <row r="18603">
          <cell r="B18603" t="str">
            <v>45030108000801</v>
          </cell>
          <cell r="C18603" t="str">
            <v>PAN HONORARIOS PROFESIONALES            5ND</v>
          </cell>
        </row>
        <row r="18604">
          <cell r="B18604" t="str">
            <v>45030108000802</v>
          </cell>
          <cell r="C18604" t="str">
            <v>PAN SERVICIOS ESPECIALES                5ND</v>
          </cell>
        </row>
        <row r="18605">
          <cell r="B18605" t="str">
            <v>45030109000101</v>
          </cell>
          <cell r="C18605" t="str">
            <v>SEGURO VEHICULAR                        5ND</v>
          </cell>
        </row>
        <row r="18606">
          <cell r="B18606" t="str">
            <v>45030109000102</v>
          </cell>
          <cell r="C18606" t="str">
            <v>SEGURO-TODO RIESGO INM. MAQ. EQUIPO     5ND</v>
          </cell>
        </row>
        <row r="18607">
          <cell r="B18607" t="str">
            <v>45030109000103</v>
          </cell>
          <cell r="C18607" t="str">
            <v>SEGURO INTEGRAL BANCARIO                5ND</v>
          </cell>
        </row>
        <row r="18608">
          <cell r="B18608" t="str">
            <v>45030109000106</v>
          </cell>
          <cell r="C18608" t="str">
            <v>SEGUROS VARIOS                          5ND</v>
          </cell>
        </row>
        <row r="18609">
          <cell r="B18609" t="str">
            <v>45030109000107</v>
          </cell>
          <cell r="C18609" t="str">
            <v>SEGUROS LEASING RESPONSABILIDAD CIVIL   5ND</v>
          </cell>
        </row>
        <row r="18610">
          <cell r="B18610" t="str">
            <v>45030109000110</v>
          </cell>
          <cell r="C18610" t="str">
            <v>GASTOS X SEGUROS CLIENTES VARIOS        5ND</v>
          </cell>
        </row>
        <row r="18611">
          <cell r="B18611" t="str">
            <v>45030109000111</v>
          </cell>
          <cell r="C18611" t="str">
            <v>GASTOS POR SEGUROS RECUPERACIONES       5ND</v>
          </cell>
        </row>
        <row r="18612">
          <cell r="B18612" t="str">
            <v>45030109000112</v>
          </cell>
          <cell r="C18612" t="str">
            <v>GASTOS POR SEGUROS ARRENDAMIENTO FINA   5ND</v>
          </cell>
        </row>
        <row r="18613">
          <cell r="B18613" t="str">
            <v>45030109000114</v>
          </cell>
          <cell r="C18613" t="str">
            <v>SEGURO DESGRAVAMEN CONVENIO             5ND</v>
          </cell>
        </row>
        <row r="18614">
          <cell r="B18614" t="str">
            <v>45030109000115</v>
          </cell>
          <cell r="C18614" t="str">
            <v>SEGURO DESGRAVAMEN HIPOTECARIO          5ND</v>
          </cell>
        </row>
        <row r="18615">
          <cell r="B18615" t="str">
            <v>45030109000116</v>
          </cell>
          <cell r="C18615" t="str">
            <v>SEGURO DESGRAVAMEN VEHICULAR            5ND</v>
          </cell>
        </row>
        <row r="18616">
          <cell r="B18616" t="str">
            <v>45030109000117</v>
          </cell>
          <cell r="C18616" t="str">
            <v>SEGURO DESGRAVAMEN EFECTIVO             5ND</v>
          </cell>
        </row>
        <row r="18617">
          <cell r="B18617" t="str">
            <v>45030109000118</v>
          </cell>
          <cell r="C18617" t="str">
            <v>SEG DESGRAV OTROS CRED PERSONALES       5ND</v>
          </cell>
        </row>
        <row r="18618">
          <cell r="B18618" t="str">
            <v>45030109000119</v>
          </cell>
          <cell r="C18618" t="str">
            <v>SEG. DESGRAVAMEN MYPES                  5ND</v>
          </cell>
        </row>
        <row r="18619">
          <cell r="B18619" t="str">
            <v>45030109000120</v>
          </cell>
          <cell r="C18619" t="str">
            <v>SEG. BIENES GTA MYPES                   5ND</v>
          </cell>
        </row>
        <row r="18620">
          <cell r="B18620" t="str">
            <v>45030109000124</v>
          </cell>
          <cell r="C18620" t="str">
            <v>PÃ“LIZA FRAUDE TD                       5ND</v>
          </cell>
        </row>
        <row r="18621">
          <cell r="B18621" t="str">
            <v>45030109000125</v>
          </cell>
          <cell r="C18621" t="str">
            <v>PÃ“LIZA FRAUDE TC                       5ND</v>
          </cell>
        </row>
        <row r="18622">
          <cell r="B18622" t="str">
            <v>45030110000101</v>
          </cell>
          <cell r="C18622" t="str">
            <v>ALQUILER LOCAL / INSTALACIONES PARA USO 5ND</v>
          </cell>
        </row>
        <row r="18623">
          <cell r="B18623" t="str">
            <v>45030110000102</v>
          </cell>
          <cell r="C18623" t="str">
            <v>ALQUILER LOCAL / INSTALACIONES PARA USO 5ND</v>
          </cell>
        </row>
        <row r="18624">
          <cell r="B18624" t="str">
            <v>45030110000105</v>
          </cell>
          <cell r="C18624" t="str">
            <v>ALQUILERES DE OTROS MUEBLES Y EQUIPOS   5ND</v>
          </cell>
        </row>
        <row r="18625">
          <cell r="B18625" t="str">
            <v>45030110000106</v>
          </cell>
          <cell r="C18625" t="str">
            <v>ALQUILER DE VEHICULOS Y OTROS           5ND</v>
          </cell>
        </row>
        <row r="18626">
          <cell r="B18626" t="str">
            <v>45030110000107</v>
          </cell>
          <cell r="C18626" t="str">
            <v>ALQUILER HW Y SW COMPUTADOR CENTRAL     5ND</v>
          </cell>
        </row>
        <row r="18627">
          <cell r="B18627" t="str">
            <v>45030110000109</v>
          </cell>
          <cell r="C18627" t="str">
            <v>ALQUILER EQUIPOS DE COMUNICACIÃ“N Y SIMI5ND</v>
          </cell>
        </row>
        <row r="18628">
          <cell r="B18628" t="str">
            <v>45030110000110</v>
          </cell>
          <cell r="C18628" t="str">
            <v>ALQUILER HW Y SW SERVIDORES             5ND</v>
          </cell>
        </row>
        <row r="18629">
          <cell r="B18629" t="str">
            <v>45030110000112</v>
          </cell>
          <cell r="C18629" t="str">
            <v>ALQUILER HW Y SW PCS                    5ND</v>
          </cell>
        </row>
        <row r="18630">
          <cell r="B18630" t="str">
            <v>45030110000113</v>
          </cell>
          <cell r="C18630" t="str">
            <v>ALQUILER HW Y SW PERIFÃ‰RICOS           5ND</v>
          </cell>
        </row>
        <row r="18631">
          <cell r="B18631" t="str">
            <v>45030110000114</v>
          </cell>
          <cell r="C18631" t="str">
            <v>ALQUILER DE HW                          5ND</v>
          </cell>
        </row>
        <row r="18632">
          <cell r="B18632" t="str">
            <v>45030110000115</v>
          </cell>
          <cell r="C18632" t="str">
            <v>ALQUILER ATM                            5ND</v>
          </cell>
        </row>
        <row r="18633">
          <cell r="B18633" t="str">
            <v>45030110000116</v>
          </cell>
          <cell r="C18633" t="str">
            <v>ACCESORIOS PARA PCS                     5 D</v>
          </cell>
        </row>
        <row r="18634">
          <cell r="B18634" t="str">
            <v>45030110000117</v>
          </cell>
          <cell r="C18634" t="str">
            <v>ACCESORIOS PARA PERIFÃ‰RICOS            5 D</v>
          </cell>
        </row>
        <row r="18635">
          <cell r="B18635" t="str">
            <v>45030110000801</v>
          </cell>
          <cell r="C18635" t="str">
            <v>PAN ALQ EDIFICIOS                       5ND</v>
          </cell>
        </row>
        <row r="18636">
          <cell r="B18636" t="str">
            <v>45030111000101</v>
          </cell>
          <cell r="C18636" t="str">
            <v>UTILES DE ESCRITORIO                    5ND</v>
          </cell>
        </row>
        <row r="18637">
          <cell r="B18637" t="str">
            <v>45030111000102</v>
          </cell>
          <cell r="C18637" t="str">
            <v>PAPELERIA                               5ND</v>
          </cell>
        </row>
        <row r="18638">
          <cell r="B18638" t="str">
            <v>45030111000103</v>
          </cell>
          <cell r="C18638" t="str">
            <v>GASTOS EMISION DE CHEQUERAS Y GIROS     5ND</v>
          </cell>
        </row>
        <row r="18639">
          <cell r="B18639" t="str">
            <v>45030111000104</v>
          </cell>
          <cell r="C18639" t="str">
            <v>ARTICULOS Y FORMULARIOS-COMPUTADORA     5ND</v>
          </cell>
        </row>
        <row r="18640">
          <cell r="B18640" t="str">
            <v>45030111000105</v>
          </cell>
          <cell r="C18640" t="str">
            <v>IMPRESOS Y FORMULARIOS - RACIONES       5ND</v>
          </cell>
        </row>
        <row r="18641">
          <cell r="B18641" t="str">
            <v>45030111000106</v>
          </cell>
          <cell r="C18641" t="str">
            <v>SERVICIOS DE DIGITALIZACION             5ND</v>
          </cell>
        </row>
        <row r="18642">
          <cell r="B18642" t="str">
            <v>45030111000107</v>
          </cell>
          <cell r="C18642" t="str">
            <v>PLASTICO-TARJETAS DE CREDITO/ELECTRON   5ND</v>
          </cell>
        </row>
        <row r="18643">
          <cell r="B18643" t="str">
            <v>45030111000109</v>
          </cell>
          <cell r="C18643" t="str">
            <v>MATERIALES Y ENSERES VARIOS             5ND</v>
          </cell>
        </row>
        <row r="18644">
          <cell r="B18644" t="str">
            <v>45030111000111</v>
          </cell>
          <cell r="C18644" t="str">
            <v>IMPRESOS Y FORMULARIOS - EXTRAORDINARIOS5ND</v>
          </cell>
        </row>
        <row r="18645">
          <cell r="B18645" t="str">
            <v>45030111000112</v>
          </cell>
          <cell r="C18645" t="str">
            <v>FORMATERIA DE TC                        5ND</v>
          </cell>
        </row>
        <row r="18646">
          <cell r="B18646" t="str">
            <v>45030111000113</v>
          </cell>
          <cell r="C18646" t="str">
            <v>PLASTICOS INNOMINADAS TC / TD           5ND</v>
          </cell>
        </row>
        <row r="18647">
          <cell r="B18647" t="str">
            <v>45030111000801</v>
          </cell>
          <cell r="C18647" t="str">
            <v>PAN MATERIALES                          5ND</v>
          </cell>
        </row>
        <row r="18648">
          <cell r="B18648" t="str">
            <v>45030112000101</v>
          </cell>
          <cell r="C18648" t="str">
            <v>ATENCION A CLIENTES                     5ND</v>
          </cell>
        </row>
        <row r="18649">
          <cell r="B18649" t="str">
            <v>45030112000102</v>
          </cell>
          <cell r="C18649" t="str">
            <v>ATENCION A OTROS                        5ND</v>
          </cell>
        </row>
        <row r="18650">
          <cell r="B18650" t="str">
            <v>45030112000103</v>
          </cell>
          <cell r="C18650" t="str">
            <v>INAUGURACION DE OFICINAS                5ND</v>
          </cell>
        </row>
        <row r="18651">
          <cell r="B18651" t="str">
            <v>45030112000104</v>
          </cell>
          <cell r="C18651" t="str">
            <v>ATENCION A CLIENTES 10% IGV             5ND</v>
          </cell>
        </row>
        <row r="18652">
          <cell r="B18652" t="str">
            <v>45030113000101</v>
          </cell>
          <cell r="C18652" t="str">
            <v>GTOS. NOTARIALES  RR.PP. Y ADMINIST.    5ND</v>
          </cell>
        </row>
        <row r="18653">
          <cell r="B18653" t="str">
            <v>45030113000102</v>
          </cell>
          <cell r="C18653" t="str">
            <v>HONORARIOS PROCESALES                   5ND</v>
          </cell>
        </row>
        <row r="18654">
          <cell r="B18654" t="str">
            <v>45030113000103</v>
          </cell>
          <cell r="C18654" t="str">
            <v>GASTOS INDECOPI - RECUPERACIONES        5ND</v>
          </cell>
        </row>
        <row r="18655">
          <cell r="B18655" t="str">
            <v>45030113000104</v>
          </cell>
          <cell r="C18655" t="str">
            <v>NOTARIAL Y REGISTR CRED HIPOTECARIOS    5ND</v>
          </cell>
        </row>
        <row r="18656">
          <cell r="B18656" t="str">
            <v>45030114000101</v>
          </cell>
          <cell r="C18656" t="str">
            <v>GASTOS PROCESALES                       5ND</v>
          </cell>
        </row>
        <row r="18657">
          <cell r="B18657" t="str">
            <v>45030114000102</v>
          </cell>
          <cell r="C18657" t="str">
            <v>GASTOS JUDICIALES-RECUPERACIONES        5ND</v>
          </cell>
        </row>
        <row r="18658">
          <cell r="B18658" t="str">
            <v>45030114000103</v>
          </cell>
          <cell r="C18658" t="str">
            <v>GASTOS LEGALES NO DEDUCIBLES            5ND</v>
          </cell>
        </row>
        <row r="18659">
          <cell r="B18659" t="str">
            <v>45030114000104</v>
          </cell>
          <cell r="C18659" t="str">
            <v>GASTOS DE RECUPERACIONES NO DEDUCIBLE   5ND</v>
          </cell>
        </row>
        <row r="18660">
          <cell r="B18660" t="str">
            <v>45030114000106</v>
          </cell>
          <cell r="C18660" t="str">
            <v>CASTIGOS - HONORARIOS JUDICIALES        5ND</v>
          </cell>
        </row>
        <row r="18661">
          <cell r="B18661" t="str">
            <v>45030114000107</v>
          </cell>
          <cell r="C18661" t="str">
            <v>CASTIGOS-GASTOS JUDICIALES              5ND</v>
          </cell>
        </row>
        <row r="18662">
          <cell r="B18662" t="str">
            <v>45030114000108</v>
          </cell>
          <cell r="C18662" t="str">
            <v>GASTOS JUDICIALES CRED. REACTIVA - RECUP5ND</v>
          </cell>
        </row>
        <row r="18663">
          <cell r="B18663" t="str">
            <v>45030114000109</v>
          </cell>
          <cell r="C18663" t="str">
            <v>GASTOS JUDICIALES CRED. CRECER - RECUPER5ND</v>
          </cell>
        </row>
        <row r="18664">
          <cell r="B18664" t="str">
            <v>45030115000101</v>
          </cell>
          <cell r="C18664" t="str">
            <v>SUSCRIPCCION-LIBROS DIARIOS Y REVISTAS  5ND</v>
          </cell>
        </row>
        <row r="18665">
          <cell r="B18665" t="str">
            <v>45030115000102</v>
          </cell>
          <cell r="C18665" t="str">
            <v>COTIZACIÃ“N-ASOCIACIÃ“N DE BANCOS       5ND</v>
          </cell>
        </row>
        <row r="18666">
          <cell r="B18666" t="str">
            <v>45030115000103</v>
          </cell>
          <cell r="C18666" t="str">
            <v>COTIZACION-OTRAS INSTITUCIONES          5ND</v>
          </cell>
        </row>
        <row r="18667">
          <cell r="B18667" t="str">
            <v>45030115000801</v>
          </cell>
          <cell r="C18667" t="str">
            <v>PAN CUOTAS E INSCRIPCIONES              5ND</v>
          </cell>
        </row>
        <row r="18668">
          <cell r="B18668" t="str">
            <v>45030116000101</v>
          </cell>
          <cell r="C18668" t="str">
            <v>450301160001010000                      5ND</v>
          </cell>
        </row>
        <row r="18669">
          <cell r="B18669" t="str">
            <v>45030116000102</v>
          </cell>
          <cell r="C18669" t="str">
            <v>DONACIONES NO DEDUCIBLES                5ND</v>
          </cell>
        </row>
        <row r="18670">
          <cell r="B18670" t="str">
            <v>45030116000801</v>
          </cell>
          <cell r="C18670" t="str">
            <v>PAN DONACIONES Y CONTRIBUCIONES         5ND</v>
          </cell>
        </row>
        <row r="18671">
          <cell r="B18671" t="str">
            <v>45030117000801</v>
          </cell>
          <cell r="C18671" t="str">
            <v>PAN ASEO Y LIMPIEZA                     5ND</v>
          </cell>
        </row>
        <row r="18672">
          <cell r="B18672" t="str">
            <v>45030119000101</v>
          </cell>
          <cell r="C18672" t="str">
            <v>EVENTOS Y AUSPICIOS                     5ND</v>
          </cell>
        </row>
        <row r="18673">
          <cell r="B18673" t="str">
            <v>45030119000102</v>
          </cell>
          <cell r="C18673" t="str">
            <v>CONVENCIONES Y FERIAS                   5ND</v>
          </cell>
        </row>
        <row r="18674">
          <cell r="B18674" t="str">
            <v>45030119000103</v>
          </cell>
          <cell r="C18674" t="str">
            <v>ACCIONES COMERCIAL                      5ND</v>
          </cell>
        </row>
        <row r="18675">
          <cell r="B18675" t="str">
            <v>45030119000104</v>
          </cell>
          <cell r="C18675" t="str">
            <v>ACTIVACIÃ“N                             5ND</v>
          </cell>
        </row>
        <row r="18676">
          <cell r="B18676" t="str">
            <v>45030119000105</v>
          </cell>
          <cell r="C18676" t="str">
            <v>EVENTOS INTERNOS                        5ND</v>
          </cell>
        </row>
        <row r="18677">
          <cell r="B18677" t="str">
            <v>45030119000106</v>
          </cell>
          <cell r="C18677" t="str">
            <v>ENTRENAMIENTO                           5ND</v>
          </cell>
        </row>
        <row r="18678">
          <cell r="B18678" t="str">
            <v>45030119000107</v>
          </cell>
          <cell r="C18678" t="str">
            <v>AUSPICIOS                               5ND</v>
          </cell>
        </row>
        <row r="18679">
          <cell r="B18679" t="str">
            <v>45030119000108</v>
          </cell>
          <cell r="C18679" t="str">
            <v>PATROCINIOS                             5ND</v>
          </cell>
        </row>
        <row r="18680">
          <cell r="B18680" t="str">
            <v>45030119000801</v>
          </cell>
          <cell r="C18680" t="str">
            <v>PAN RELACIONES PUBLICAS Y ATENCIONES    5ND</v>
          </cell>
        </row>
        <row r="18681">
          <cell r="B18681" t="str">
            <v>45030120000101</v>
          </cell>
          <cell r="C18681" t="str">
            <v>VIAJES/PASAJES Y VIATICOS - PAIS        5ND</v>
          </cell>
        </row>
        <row r="18682">
          <cell r="B18682" t="str">
            <v>45030120000102</v>
          </cell>
          <cell r="C18682" t="str">
            <v>VIAJES/PASAJES Y VIATICOS - NO DEDUCIBLE5ND</v>
          </cell>
        </row>
        <row r="18683">
          <cell r="B18683" t="str">
            <v>45030120000103</v>
          </cell>
          <cell r="C18683" t="str">
            <v>VIAJES/PASAJES Y VIATICOS-EXTERIOR      5ND</v>
          </cell>
        </row>
        <row r="18684">
          <cell r="B18684" t="str">
            <v>45030120000104</v>
          </cell>
          <cell r="C18684" t="str">
            <v>AP VIATICOS POR VIAJE  PAIS             5ND</v>
          </cell>
        </row>
        <row r="18685">
          <cell r="B18685" t="str">
            <v>45030120000105</v>
          </cell>
          <cell r="C18685" t="str">
            <v>AP PASAJES POR VIAJE PAIS               5ND</v>
          </cell>
        </row>
        <row r="18686">
          <cell r="B18686" t="str">
            <v>45030120000106</v>
          </cell>
          <cell r="C18686" t="str">
            <v>AP ALOJAMIENTO POR VIAJE PAIS           5ND</v>
          </cell>
        </row>
        <row r="18687">
          <cell r="B18687" t="str">
            <v>45030120000801</v>
          </cell>
          <cell r="C18687" t="str">
            <v>PAN GASTOS DE VIAJE                     5ND</v>
          </cell>
        </row>
        <row r="18688">
          <cell r="B18688" t="str">
            <v>45030121000101</v>
          </cell>
          <cell r="C18688" t="str">
            <v>INVESTIGACION-ESTUDIO DE MCDO           5ND</v>
          </cell>
        </row>
        <row r="18689">
          <cell r="B18689" t="str">
            <v>45030122000101</v>
          </cell>
          <cell r="C18689" t="str">
            <v>SERVICIOS DE CONSULTORÃA CONTRACTUALES 5ND</v>
          </cell>
        </row>
        <row r="18690">
          <cell r="B18690" t="str">
            <v>45030122000102</v>
          </cell>
          <cell r="C18690" t="str">
            <v>SERVICIOS DE CONSULTORÃA NO CONTRACTUAL5ND</v>
          </cell>
        </row>
        <row r="18691">
          <cell r="B18691" t="str">
            <v>45030122000801</v>
          </cell>
          <cell r="C18691" t="str">
            <v>PAN CONSULTORIAS                        5ND</v>
          </cell>
        </row>
        <row r="18692">
          <cell r="B18692" t="str">
            <v>45030123000101</v>
          </cell>
          <cell r="C18692" t="str">
            <v>HONORARIOS A SOCIEDADES DE AUDITORIA    5ND</v>
          </cell>
        </row>
        <row r="18693">
          <cell r="B18693" t="str">
            <v>45030123000801</v>
          </cell>
          <cell r="C18693" t="str">
            <v>PAN SOCIEDADES DE AUDITORIA             5ND</v>
          </cell>
        </row>
        <row r="18694">
          <cell r="B18694" t="str">
            <v>45030124000101</v>
          </cell>
          <cell r="C18694" t="str">
            <v>TRANSMISION DE DATOS                    5ND</v>
          </cell>
        </row>
        <row r="18695">
          <cell r="B18695" t="str">
            <v>45030124000102</v>
          </cell>
          <cell r="C18695" t="str">
            <v>SWIFT                                   5ND</v>
          </cell>
        </row>
        <row r="18696">
          <cell r="B18696" t="str">
            <v>45030124000103</v>
          </cell>
          <cell r="C18696" t="str">
            <v>CÃMARA DE COMPENSACIÃ“N ELECTRÃ“NICA   5ND</v>
          </cell>
        </row>
        <row r="18697">
          <cell r="B18697" t="str">
            <v>45030129000101</v>
          </cell>
          <cell r="C18697" t="str">
            <v>SERVICIOS DE OTRAS EMPRESAS             5ND</v>
          </cell>
        </row>
        <row r="18698">
          <cell r="B18698" t="str">
            <v>45030129000102</v>
          </cell>
          <cell r="C18698" t="str">
            <v>CALIFICADORAS DE RIESGOS                5ND</v>
          </cell>
        </row>
        <row r="18699">
          <cell r="B18699" t="str">
            <v>45030129000103</v>
          </cell>
          <cell r="C18699" t="str">
            <v>GASTOS DE TRASLADO Y MUDANZA            5ND</v>
          </cell>
        </row>
        <row r="18700">
          <cell r="B18700" t="str">
            <v>45030129000104</v>
          </cell>
          <cell r="C18700" t="str">
            <v>INSTALACIÃ“N Y MANTENIMIENTO EQUIPOS TEL5ND</v>
          </cell>
        </row>
        <row r="18701">
          <cell r="B18701" t="str">
            <v>45030129000105</v>
          </cell>
          <cell r="C18701" t="str">
            <v>SERVICIO DE IMPRESION                   5ND</v>
          </cell>
        </row>
        <row r="18702">
          <cell r="B18702" t="str">
            <v>45030129000106</v>
          </cell>
          <cell r="C18702" t="str">
            <v>GASTOS DE ARCHIVO                       5ND</v>
          </cell>
        </row>
        <row r="18703">
          <cell r="B18703" t="str">
            <v>45030129000107</v>
          </cell>
          <cell r="C18703" t="str">
            <v>INSTALACION Y REUBICACION PCS           5ND</v>
          </cell>
        </row>
        <row r="18704">
          <cell r="B18704" t="str">
            <v>45030129000108</v>
          </cell>
          <cell r="C18704" t="str">
            <v>LIBROS DIARIOS Y REVISTAS               5ND</v>
          </cell>
        </row>
        <row r="18705">
          <cell r="B18705" t="str">
            <v>45030129000109</v>
          </cell>
          <cell r="C18705" t="str">
            <v>GASTOS NO DEDUCIBLES                    5ND</v>
          </cell>
        </row>
        <row r="18706">
          <cell r="B18706" t="str">
            <v>45030129000110</v>
          </cell>
          <cell r="C18706" t="str">
            <v>MOVILIDAD LOCAL                         5ND</v>
          </cell>
        </row>
        <row r="18707">
          <cell r="B18707" t="str">
            <v>45030129000111</v>
          </cell>
          <cell r="C18707" t="str">
            <v>MOVILIDAD LOCAL VARIOS                  5ND</v>
          </cell>
        </row>
        <row r="18708">
          <cell r="B18708" t="str">
            <v>45030129000112</v>
          </cell>
          <cell r="C18708" t="str">
            <v>EQUIPOS MENORES - SISTEMAS              5ND</v>
          </cell>
        </row>
        <row r="18709">
          <cell r="B18709" t="str">
            <v>45030129000113</v>
          </cell>
          <cell r="C18709" t="str">
            <v>REEMBOLSO ALMUERZOS Y COMIDAS           5ND</v>
          </cell>
        </row>
        <row r="18710">
          <cell r="B18710" t="str">
            <v>45030129000114</v>
          </cell>
          <cell r="C18710" t="str">
            <v>GASTOS DE PROTESTO                      5ND</v>
          </cell>
        </row>
        <row r="18711">
          <cell r="B18711" t="str">
            <v>45030129000117</v>
          </cell>
          <cell r="C18711" t="str">
            <v>CUOTA ADMINISTRACION DE LOCAL           5ND</v>
          </cell>
        </row>
        <row r="18712">
          <cell r="B18712" t="str">
            <v>45030129000118</v>
          </cell>
          <cell r="C18712" t="str">
            <v>GTOS.GASOL.PETROL.Y OTROS               5ND</v>
          </cell>
        </row>
        <row r="18713">
          <cell r="B18713" t="str">
            <v>45030129000119</v>
          </cell>
          <cell r="C18713" t="str">
            <v>INSTALACIÃ“N Y REUBICACIÃ“N DE CANALES E5ND</v>
          </cell>
        </row>
        <row r="18714">
          <cell r="B18714" t="str">
            <v>45030129000123</v>
          </cell>
          <cell r="C18714" t="str">
            <v>AJUSTE POR DIFERENCIA DE CAMBIO         5ND</v>
          </cell>
        </row>
        <row r="18715">
          <cell r="B18715" t="str">
            <v>45030129000124</v>
          </cell>
          <cell r="C18715" t="str">
            <v>GASTOS VARIOS NO CLIENTES               5ND</v>
          </cell>
        </row>
        <row r="18716">
          <cell r="B18716" t="str">
            <v>45030129000125</v>
          </cell>
          <cell r="C18716" t="str">
            <v>OTROS SERVICIOS VARIOS                  5ND</v>
          </cell>
        </row>
        <row r="18717">
          <cell r="B18717" t="str">
            <v>45030129000126</v>
          </cell>
          <cell r="C18717" t="str">
            <v>PREST.HIPOTECARIO 12VA.CUOTA            5ND</v>
          </cell>
        </row>
        <row r="18718">
          <cell r="B18718" t="str">
            <v>45030129000128</v>
          </cell>
          <cell r="C18718" t="str">
            <v>PREMIOS MILLAS BENEFIT                  5ND</v>
          </cell>
        </row>
        <row r="18719">
          <cell r="B18719" t="str">
            <v>45030129000129</v>
          </cell>
          <cell r="C18719" t="str">
            <v>AJUSTE POR VARIACIÃ“N TIPO DE CAMBIO    5ND</v>
          </cell>
        </row>
        <row r="18720">
          <cell r="B18720" t="str">
            <v>45030129000130</v>
          </cell>
          <cell r="C18720" t="str">
            <v>GASTOS RELACIONADOS CON CONVENIOS       5ND</v>
          </cell>
        </row>
        <row r="18721">
          <cell r="B18721" t="str">
            <v>45030129000131</v>
          </cell>
          <cell r="C18721" t="str">
            <v>GASTOS RELACIONADOS CON CONVENIOS NO DED5ND</v>
          </cell>
        </row>
        <row r="18722">
          <cell r="B18722" t="str">
            <v>45030129000133</v>
          </cell>
          <cell r="C18722" t="str">
            <v>PREMIOS TC CLARO-IBK                    5ND</v>
          </cell>
        </row>
        <row r="18723">
          <cell r="B18723" t="str">
            <v>45030129000136</v>
          </cell>
          <cell r="C18723" t="str">
            <v>VENTAS PRODUCTOS IBK                    5ND</v>
          </cell>
        </row>
        <row r="18724">
          <cell r="B18724" t="str">
            <v>45030129000137</v>
          </cell>
          <cell r="C18724" t="str">
            <v>IGV PRORRATA                            5ND</v>
          </cell>
        </row>
        <row r="18725">
          <cell r="B18725" t="str">
            <v>45030129000138</v>
          </cell>
          <cell r="C18725" t="str">
            <v>PREMIOS PRODUCTOS IBK                   5ND</v>
          </cell>
        </row>
        <row r="18726">
          <cell r="B18726" t="str">
            <v>45030129000139</v>
          </cell>
          <cell r="C18726" t="str">
            <v>GASTO RELACIONADO CON FIDEICOMI         5ND</v>
          </cell>
        </row>
        <row r="18727">
          <cell r="B18727" t="str">
            <v>45030129000140</v>
          </cell>
          <cell r="C18727" t="str">
            <v>PREMIOS MILLAS EXPRESS                  5ND</v>
          </cell>
        </row>
        <row r="18728">
          <cell r="B18728" t="str">
            <v>45030129000141</v>
          </cell>
          <cell r="C18728" t="str">
            <v>SERVICIOS TI                            5ND</v>
          </cell>
        </row>
        <row r="18729">
          <cell r="B18729" t="str">
            <v>45030129000142</v>
          </cell>
          <cell r="C18729" t="str">
            <v>GASTOS POR COMISIONES - DERCO           5ND</v>
          </cell>
        </row>
        <row r="18730">
          <cell r="B18730" t="str">
            <v>45030129000143</v>
          </cell>
          <cell r="C18730" t="str">
            <v>COMISIONES DE CONFIANZA                 5ND</v>
          </cell>
        </row>
        <row r="18731">
          <cell r="B18731" t="str">
            <v>45030129000144</v>
          </cell>
          <cell r="C18731" t="str">
            <v>GASTOS DE RECLUTAMIENTO Y SELECCIÃ“N    5ND</v>
          </cell>
        </row>
        <row r="18732">
          <cell r="B18732" t="str">
            <v>45030129000145</v>
          </cell>
          <cell r="C18732" t="str">
            <v>COBRO TC CLARO-IBK                      5ND</v>
          </cell>
        </row>
        <row r="18733">
          <cell r="B18733" t="str">
            <v>45030129000146</v>
          </cell>
          <cell r="C18733" t="str">
            <v>COBRO TC CLARO-IBK Incentivos           5ND</v>
          </cell>
        </row>
        <row r="18734">
          <cell r="B18734" t="str">
            <v>45030129000147</v>
          </cell>
          <cell r="C18734" t="str">
            <v>TARJETA RECUPERADA                      5ND</v>
          </cell>
        </row>
        <row r="18735">
          <cell r="B18735" t="str">
            <v>45030129000148</v>
          </cell>
          <cell r="C18735" t="str">
            <v>TC COBRO DE REGALIAS                    5ND</v>
          </cell>
        </row>
        <row r="18736">
          <cell r="B18736" t="str">
            <v>45030129000149</v>
          </cell>
          <cell r="C18736" t="str">
            <v>COBROS LIQUIDACIÃ“N                     5ND</v>
          </cell>
        </row>
        <row r="18737">
          <cell r="B18737" t="str">
            <v>45030129000150</v>
          </cell>
          <cell r="C18737" t="str">
            <v>COBROS LIQUIDACION TC                   5ND</v>
          </cell>
        </row>
        <row r="18738">
          <cell r="B18738" t="str">
            <v>45030129000151</v>
          </cell>
          <cell r="C18738" t="str">
            <v>COBRO POR PAGO TC VEA                   5ND</v>
          </cell>
        </row>
        <row r="18739">
          <cell r="B18739" t="str">
            <v>45030129000152</v>
          </cell>
          <cell r="C18739" t="str">
            <v>DEVOLUCION CASHBACK 5%                  5ND</v>
          </cell>
        </row>
        <row r="18740">
          <cell r="B18740" t="str">
            <v>45030129000153</v>
          </cell>
          <cell r="C18740" t="str">
            <v>COPIA AUTOMATICA TARJETA VISA INTERNC   5ND</v>
          </cell>
        </row>
        <row r="18741">
          <cell r="B18741" t="str">
            <v>45030129000154</v>
          </cell>
          <cell r="C18741" t="str">
            <v>COBRO USO DE EQUIPOS TC                 5ND</v>
          </cell>
        </row>
        <row r="18742">
          <cell r="B18742" t="str">
            <v>45030129000155</v>
          </cell>
          <cell r="C18742" t="str">
            <v>RECLAMOS TC 50 NUEVOS SOLES             5ND</v>
          </cell>
        </row>
        <row r="18743">
          <cell r="B18743" t="str">
            <v>45030129000156</v>
          </cell>
          <cell r="C18743" t="str">
            <v>GTOS LEGAL NOTARIAL Y OTROS-ADJUDICAD   5ND</v>
          </cell>
        </row>
        <row r="18744">
          <cell r="B18744" t="str">
            <v>45030129000157</v>
          </cell>
          <cell r="C18744" t="str">
            <v>GTOS MANT  ALMACEN Y SEG-ADJ            5ND</v>
          </cell>
        </row>
        <row r="18745">
          <cell r="B18745" t="str">
            <v>45030129000158</v>
          </cell>
          <cell r="C18745" t="str">
            <v>SERV.PUB  IMPTOS Y CONTRIB - ADJUDICA   5ND</v>
          </cell>
        </row>
        <row r="18746">
          <cell r="B18746" t="str">
            <v>45030129000159</v>
          </cell>
          <cell r="C18746" t="str">
            <v>OTR GTOS.RELAC CON ADJUDICADOS          5ND</v>
          </cell>
        </row>
        <row r="18747">
          <cell r="B18747" t="str">
            <v>45030129000160</v>
          </cell>
          <cell r="C18747" t="str">
            <v>COBRO TARJETAS ACTIVAS TC CLARO Â¿ IBK  5ND</v>
          </cell>
        </row>
        <row r="18748">
          <cell r="B18748" t="str">
            <v>45030129000161</v>
          </cell>
          <cell r="C18748" t="str">
            <v>TC DEVOLUCION TC CASHBACK               5ND</v>
          </cell>
        </row>
        <row r="18749">
          <cell r="B18749" t="str">
            <v>45030129000162</v>
          </cell>
          <cell r="C18749" t="str">
            <v>DEVOLUCION CASHBACK 1%                  5ND</v>
          </cell>
        </row>
        <row r="18750">
          <cell r="B18750" t="str">
            <v>45030129000164</v>
          </cell>
          <cell r="C18750" t="str">
            <v>GASTOS SERVICIOS TI                     5ND</v>
          </cell>
        </row>
        <row r="18751">
          <cell r="B18751" t="str">
            <v>45030129000165</v>
          </cell>
          <cell r="C18751" t="str">
            <v>REGISTROS DE PREMIOS MILLAS BENEFIT     5ND</v>
          </cell>
        </row>
        <row r="18752">
          <cell r="B18752" t="str">
            <v>45030129000166</v>
          </cell>
          <cell r="C18752" t="str">
            <v>REGISTROS DE PREMIOS MEMBERSHIP REWARDS 5ND</v>
          </cell>
        </row>
        <row r="18753">
          <cell r="B18753" t="str">
            <v>45030129000167</v>
          </cell>
          <cell r="C18753" t="str">
            <v>OTROS SERVICIOS DE EJERCICIOS ANTERIORES5ND</v>
          </cell>
        </row>
        <row r="18754">
          <cell r="B18754" t="str">
            <v>45030129000168</v>
          </cell>
          <cell r="C18754" t="str">
            <v>REGISTROS DE PREMIOS TC CLARO-IBK       5ND</v>
          </cell>
        </row>
        <row r="18755">
          <cell r="B18755" t="str">
            <v>45030129000169</v>
          </cell>
          <cell r="C18755" t="str">
            <v>SERVICIOS DE INFORMACION                5ND</v>
          </cell>
        </row>
        <row r="18756">
          <cell r="B18756" t="str">
            <v>45030129000170</v>
          </cell>
          <cell r="C18756" t="str">
            <v>SERVICIOS PRIORITY PASS                 5ND</v>
          </cell>
        </row>
        <row r="18757">
          <cell r="B18757" t="str">
            <v>45030129000171</v>
          </cell>
          <cell r="C18757" t="str">
            <v>COMISIONES VENTA LEASING                5ND</v>
          </cell>
        </row>
        <row r="18758">
          <cell r="B18758" t="str">
            <v>45030129000172</v>
          </cell>
          <cell r="C18758" t="str">
            <v>GASTOS DE LOCATARIOS                    5ND</v>
          </cell>
        </row>
        <row r="18759">
          <cell r="B18759" t="str">
            <v>45030129000173</v>
          </cell>
          <cell r="C18759" t="str">
            <v>AP MOVILIDAD PLANILLA - DEDUCIBLE       5ND</v>
          </cell>
        </row>
        <row r="18760">
          <cell r="B18760" t="str">
            <v>45030129000174</v>
          </cell>
          <cell r="C18760" t="str">
            <v>GASTOS RELACIONADOS AL SALÃ“N DEL AUTOMÃ5ND</v>
          </cell>
        </row>
        <row r="18761">
          <cell r="B18761" t="str">
            <v>45030129000175</v>
          </cell>
          <cell r="C18761" t="str">
            <v>OTROS SERVICIOS VALET PARKING           5ND</v>
          </cell>
        </row>
        <row r="18762">
          <cell r="B18762" t="str">
            <v>45030129000176</v>
          </cell>
          <cell r="C18762" t="str">
            <v>OTROS SERVICIOS - SOCIOS VEA Y MEGAPLAZA5ND</v>
          </cell>
        </row>
        <row r="18763">
          <cell r="B18763" t="str">
            <v>45030129000177</v>
          </cell>
          <cell r="C18763" t="str">
            <v>GASTOS SUSTENTADOS CON FACTURAS DE VENTA5ND</v>
          </cell>
        </row>
        <row r="18764">
          <cell r="B18764" t="str">
            <v>45030129000178</v>
          </cell>
          <cell r="C18764" t="str">
            <v>PREMIOS PUNTOS MEMBERSHIP REWARDS       5ND</v>
          </cell>
        </row>
        <row r="18765">
          <cell r="B18765" t="str">
            <v>45030129000179</v>
          </cell>
          <cell r="C18765" t="str">
            <v>LIQUIDACION LIFEMILES                   5ND</v>
          </cell>
        </row>
        <row r="18766">
          <cell r="B18766" t="str">
            <v>45030129000180</v>
          </cell>
          <cell r="C18766" t="str">
            <v>COMPRA PREMIOS IBK Y MR                 5ND</v>
          </cell>
        </row>
        <row r="18767">
          <cell r="B18767" t="str">
            <v>45030129000181</v>
          </cell>
          <cell r="C18767" t="str">
            <v>PAGOS FONDO COOP VISA                   5ND</v>
          </cell>
        </row>
        <row r="18768">
          <cell r="B18768" t="str">
            <v>45030129000182</v>
          </cell>
          <cell r="C18768" t="str">
            <v>COMISION AGENTES BIM BOLETA             5ND</v>
          </cell>
        </row>
        <row r="18769">
          <cell r="B18769" t="str">
            <v>45030129000183</v>
          </cell>
          <cell r="C18769" t="str">
            <v>COMISIÃ“N AGENTES BIM FACTURA           5ND</v>
          </cell>
        </row>
        <row r="18770">
          <cell r="B18770" t="str">
            <v>45030129000184</v>
          </cell>
          <cell r="C18770" t="str">
            <v>GASTOS SUSTENTADOS CON BOLETAS DE VENTA 5ND</v>
          </cell>
        </row>
        <row r="18771">
          <cell r="B18771" t="str">
            <v>45030129000185</v>
          </cell>
          <cell r="C18771" t="str">
            <v>COMISIÃ“N INTEROPERABILIDAD BILLETERA EL5ND</v>
          </cell>
        </row>
        <row r="18772">
          <cell r="B18772" t="str">
            <v>45030129000186</v>
          </cell>
          <cell r="C18772" t="str">
            <v>SERVICIOS DE GESTIONES TIENDA TODO TERRE5ND</v>
          </cell>
        </row>
        <row r="18773">
          <cell r="B18773" t="str">
            <v>45030129000187</v>
          </cell>
          <cell r="C18773" t="str">
            <v>SERVICIO DE GESTIONES SANEAMIENTO/LICENC5ND</v>
          </cell>
        </row>
        <row r="18774">
          <cell r="B18774" t="str">
            <v>45030129000188</v>
          </cell>
          <cell r="C18774" t="str">
            <v>SERVICIO DE GESTIONES MUNICIPALES/CERTIF5ND</v>
          </cell>
        </row>
        <row r="18775">
          <cell r="B18775" t="str">
            <v>45030129000189</v>
          </cell>
          <cell r="C18775" t="str">
            <v>COMISION GASTO DINERO ELECTR. FEES      5ND</v>
          </cell>
        </row>
        <row r="18776">
          <cell r="B18776" t="str">
            <v>45030129000190</v>
          </cell>
          <cell r="C18776" t="str">
            <v>GASTOS OPERATIVOS DINERO ELECTRONICO    5ND</v>
          </cell>
        </row>
        <row r="18777">
          <cell r="B18777" t="str">
            <v>45030129000191</v>
          </cell>
          <cell r="C18777" t="str">
            <v>DATA CENTER SERVICIOS TERCERIZADOS      5ND</v>
          </cell>
        </row>
        <row r="18778">
          <cell r="B18778" t="str">
            <v>45030129000192</v>
          </cell>
          <cell r="C18778" t="str">
            <v>INFRASEGURO Â¿ CRÃ‰DITO HIPOTECARIO.    5ND</v>
          </cell>
        </row>
        <row r="18779">
          <cell r="B18779" t="str">
            <v>45030129000193</v>
          </cell>
          <cell r="C18779" t="str">
            <v>PAGOS FONDO COOPERATIVO AMEX            5ND</v>
          </cell>
        </row>
        <row r="18780">
          <cell r="B18780" t="str">
            <v>45030129000194</v>
          </cell>
          <cell r="C18780" t="str">
            <v>OTROS RECLAMOS DE TD                    5ND</v>
          </cell>
        </row>
        <row r="18781">
          <cell r="B18781" t="str">
            <v>45030129000195</v>
          </cell>
          <cell r="C18781" t="str">
            <v>SERVICIOS MILLAS BENEFIT                5ND</v>
          </cell>
        </row>
        <row r="18782">
          <cell r="B18782" t="str">
            <v>45030129000196</v>
          </cell>
          <cell r="C18782" t="str">
            <v>TERC. DE SERV. DE GEST. DE ALMACENES E I5ND</v>
          </cell>
        </row>
        <row r="18783">
          <cell r="B18783" t="str">
            <v>45030129000197</v>
          </cell>
          <cell r="C18783" t="str">
            <v>TERC. DE SERV. DE GEST. DE Ã“RD. DE COMP5ND</v>
          </cell>
        </row>
        <row r="18784">
          <cell r="B18784" t="str">
            <v>45030129000198</v>
          </cell>
          <cell r="C18784" t="str">
            <v>SERV. DE VERIF. DE INFO. PERSONAL       5ND</v>
          </cell>
        </row>
        <row r="18785">
          <cell r="B18785" t="str">
            <v>45030129000199</v>
          </cell>
          <cell r="C18785" t="str">
            <v>SERV. DE INFO. PARA GEST. DE RIESGOS    5ND</v>
          </cell>
        </row>
        <row r="18786">
          <cell r="B18786" t="str">
            <v>45030129000201</v>
          </cell>
          <cell r="C18786" t="str">
            <v>SERV. DE INFO. ECO. Y FINAN.            5ND</v>
          </cell>
        </row>
        <row r="18787">
          <cell r="B18787" t="str">
            <v>45030129000202</v>
          </cell>
          <cell r="C18787" t="str">
            <v>GESTIÃ“N COLABORADORES                  5ND</v>
          </cell>
        </row>
        <row r="18788">
          <cell r="B18788" t="str">
            <v>45030129000203</v>
          </cell>
          <cell r="C18788" t="str">
            <v>TERCERIZAC. PERS. TEMP.                 5ND</v>
          </cell>
        </row>
        <row r="18789">
          <cell r="B18789" t="str">
            <v>45030129000204</v>
          </cell>
          <cell r="C18789" t="str">
            <v>LOGÃSTICA DE VALORES Y GESTIÃ“N DE EFEC5ND</v>
          </cell>
        </row>
        <row r="18790">
          <cell r="B18790" t="str">
            <v>45030129000205</v>
          </cell>
          <cell r="C18790" t="str">
            <v>OPERACIONES FINANCIERAS-BROCKERS        5ND</v>
          </cell>
        </row>
        <row r="18791">
          <cell r="B18791" t="str">
            <v>45030129000206</v>
          </cell>
          <cell r="C18791" t="str">
            <v>COMPRA Y PROCESAMIENTO DE DATOS         5ND</v>
          </cell>
        </row>
        <row r="18792">
          <cell r="B18792" t="str">
            <v>45030129000207</v>
          </cell>
          <cell r="C18792" t="str">
            <v>SERVICIOS RELACIONADOS CON SEGUROS      5ND</v>
          </cell>
        </row>
        <row r="18793">
          <cell r="B18793" t="str">
            <v>45030129000208</v>
          </cell>
          <cell r="C18793" t="str">
            <v>SERVICIOS RELACIONADOS CON CANALES ALTER5ND</v>
          </cell>
        </row>
        <row r="18794">
          <cell r="B18794" t="str">
            <v>45030129000209</v>
          </cell>
          <cell r="C18794" t="str">
            <v>SERVICIOS DE CONTAC CENTER              5ND</v>
          </cell>
        </row>
        <row r="18795">
          <cell r="B18795" t="str">
            <v>45030129000210</v>
          </cell>
          <cell r="C18795" t="str">
            <v>SERVICIOS DE INFORMACIÃ“N PARA PRODUCTOS5ND</v>
          </cell>
        </row>
        <row r="18796">
          <cell r="B18796" t="str">
            <v>45030129000211</v>
          </cell>
          <cell r="C18796" t="str">
            <v>SERVICIOS SOPORTE ON SITE               5ND</v>
          </cell>
        </row>
        <row r="18797">
          <cell r="B18797" t="str">
            <v>45030129000212</v>
          </cell>
          <cell r="C18797" t="str">
            <v>OTROS SERVICIOS TI                      5ND</v>
          </cell>
        </row>
        <row r="18798">
          <cell r="B18798" t="str">
            <v>45030129000213</v>
          </cell>
          <cell r="C18798" t="str">
            <v>SERVICIOS CLOUD                         5ND</v>
          </cell>
        </row>
        <row r="18799">
          <cell r="B18799" t="str">
            <v>45030129000214</v>
          </cell>
          <cell r="C18799" t="str">
            <v>SUSCRIPCIONES CLOUD                     5ND</v>
          </cell>
        </row>
        <row r="18800">
          <cell r="B18800" t="str">
            <v>45030129000215</v>
          </cell>
          <cell r="C18800" t="str">
            <v>MESA DE AYUDA                           5ND</v>
          </cell>
        </row>
        <row r="18801">
          <cell r="B18801" t="str">
            <v>45030129000216</v>
          </cell>
          <cell r="C18801" t="str">
            <v>SEGURIDAD ATMÂ´S                        5ND</v>
          </cell>
        </row>
        <row r="18802">
          <cell r="B18802" t="str">
            <v>45030129000217</v>
          </cell>
          <cell r="C18802" t="str">
            <v>SEGURIDAD PCÂ´S                         5ND</v>
          </cell>
        </row>
        <row r="18803">
          <cell r="B18803" t="str">
            <v>45030129000218</v>
          </cell>
          <cell r="C18803" t="str">
            <v>SEGURIDAD PERIMETRAL                    5ND</v>
          </cell>
        </row>
        <row r="18804">
          <cell r="B18804" t="str">
            <v>45030129000219</v>
          </cell>
          <cell r="C18804" t="str">
            <v>TERCERIZACION DE CANJE                  5ND</v>
          </cell>
        </row>
        <row r="18805">
          <cell r="B18805" t="str">
            <v>45030129000220</v>
          </cell>
          <cell r="C18805" t="str">
            <v>SERVICIOS Y CONSULTORIAS DE TERCEROS    5ND</v>
          </cell>
        </row>
        <row r="18806">
          <cell r="B18806" t="str">
            <v>45030129000221</v>
          </cell>
          <cell r="C18806" t="str">
            <v>PRESTACIÃ“N DE SERVICIOS DE SEGUROS DE I5ND</v>
          </cell>
        </row>
        <row r="18807">
          <cell r="B18807" t="str">
            <v>45030129000222</v>
          </cell>
          <cell r="C18807" t="str">
            <v>CASHBACK RAPPI                          5 D</v>
          </cell>
        </row>
        <row r="18808">
          <cell r="B18808" t="str">
            <v>45030129000223</v>
          </cell>
          <cell r="C18808" t="str">
            <v>RECL IMP. MENOR BCA.TELEF               5 D</v>
          </cell>
        </row>
        <row r="18809">
          <cell r="B18809" t="str">
            <v>45030129000227</v>
          </cell>
          <cell r="C18809" t="str">
            <v>GASTOS RELACIONADOS CON CONVENIOS 10% IG5ND</v>
          </cell>
        </row>
        <row r="18810">
          <cell r="B18810" t="str">
            <v>45030129000232</v>
          </cell>
          <cell r="C18810" t="str">
            <v>PASES AÃ‰REOS Y TERRESTRES              5 D</v>
          </cell>
        </row>
        <row r="18811">
          <cell r="B18811" t="str">
            <v>45030129000233</v>
          </cell>
          <cell r="C18811" t="str">
            <v>CUSTODIA DE EFECTIVO                    5 D</v>
          </cell>
        </row>
        <row r="18812">
          <cell r="B18812" t="str">
            <v>45030129000234</v>
          </cell>
          <cell r="C18812" t="str">
            <v>FUERZA DE VENTAS EXTERNA                5 D</v>
          </cell>
        </row>
        <row r="18813">
          <cell r="B18813" t="str">
            <v>45030129000235</v>
          </cell>
          <cell r="C18813" t="str">
            <v>GASTOS POR CANJEO DE CODIGO PLIN        5ND</v>
          </cell>
        </row>
        <row r="18814">
          <cell r="B18814" t="str">
            <v>45030129000236</v>
          </cell>
          <cell r="C18814" t="str">
            <v>SERVICIOS TERCERIZADOS RELACIONADOS A SE5 D</v>
          </cell>
        </row>
        <row r="18815">
          <cell r="B18815" t="str">
            <v>45030129000238</v>
          </cell>
          <cell r="C18815" t="str">
            <v>DA TALENT VPO NO DEDUCIBLE              5ND</v>
          </cell>
        </row>
        <row r="18816">
          <cell r="B18816" t="str">
            <v>45030129000239</v>
          </cell>
          <cell r="C18816" t="str">
            <v>DESARROLLO DE SOFTWARE DATA TERCEROS    5ND</v>
          </cell>
        </row>
        <row r="18817">
          <cell r="B18817" t="str">
            <v>45030129000240</v>
          </cell>
          <cell r="C18817" t="str">
            <v>SERVICIOS TERCERIZADOS DE OPERACIONES   5 D</v>
          </cell>
        </row>
        <row r="18818">
          <cell r="B18818" t="str">
            <v>45030129000801</v>
          </cell>
          <cell r="C18818" t="str">
            <v>PAN INSPECCION BANCARIA                 5ND</v>
          </cell>
        </row>
        <row r="18819">
          <cell r="B18819" t="str">
            <v>45030129000802</v>
          </cell>
          <cell r="C18819" t="str">
            <v>PAN GASTOS CULTURALES                   5ND</v>
          </cell>
        </row>
        <row r="18820">
          <cell r="B18820" t="str">
            <v>45030129000803</v>
          </cell>
          <cell r="C18820" t="str">
            <v>PAN GASTOS VARIOS                       5ND</v>
          </cell>
        </row>
        <row r="18821">
          <cell r="B18821" t="str">
            <v>45030129000804</v>
          </cell>
          <cell r="C18821" t="str">
            <v>PAN COURIER Y CORREO POSTAL             5ND</v>
          </cell>
        </row>
        <row r="18822">
          <cell r="B18822" t="str">
            <v>45030201000801</v>
          </cell>
          <cell r="C18822" t="str">
            <v>PAN TRANSPORTE                          5ND</v>
          </cell>
        </row>
        <row r="18823">
          <cell r="B18823" t="str">
            <v>45030205000801</v>
          </cell>
          <cell r="C18823" t="str">
            <v>PAN PUBLICACIONES Y ANUNCIOS            5ND</v>
          </cell>
        </row>
        <row r="18824">
          <cell r="B18824" t="str">
            <v>45030206000801</v>
          </cell>
          <cell r="C18824" t="str">
            <v>PAN LUZ Y AGUA                          5ND</v>
          </cell>
        </row>
        <row r="18825">
          <cell r="B18825" t="str">
            <v>45030207000801</v>
          </cell>
          <cell r="C18825" t="str">
            <v>PAN TELEFONIA                           5ND</v>
          </cell>
        </row>
        <row r="18826">
          <cell r="B18826" t="str">
            <v>45030208000801</v>
          </cell>
          <cell r="C18826" t="str">
            <v>PAN HONORARIOS PROFESIONALES            5ND</v>
          </cell>
        </row>
        <row r="18827">
          <cell r="B18827" t="str">
            <v>45030208000802</v>
          </cell>
          <cell r="C18827" t="str">
            <v>PAN SERVICIOS ESPECIALES                5ND</v>
          </cell>
        </row>
        <row r="18828">
          <cell r="B18828" t="str">
            <v>45030210000801</v>
          </cell>
          <cell r="C18828" t="str">
            <v>PAN EDIFICIOS                           5ND</v>
          </cell>
        </row>
        <row r="18829">
          <cell r="B18829" t="str">
            <v>45030211000801</v>
          </cell>
          <cell r="C18829" t="str">
            <v>PAN MATERIALES                          5ND</v>
          </cell>
        </row>
        <row r="18830">
          <cell r="B18830" t="str">
            <v>45030215000801</v>
          </cell>
          <cell r="C18830" t="str">
            <v>PAN CUOTAS E INSCRIPCIONES              5ND</v>
          </cell>
        </row>
        <row r="18831">
          <cell r="B18831" t="str">
            <v>45030216000801</v>
          </cell>
          <cell r="C18831" t="str">
            <v>PAN DONACIONES Y CONTRIBUCIONES         5ND</v>
          </cell>
        </row>
        <row r="18832">
          <cell r="B18832" t="str">
            <v>45030217000801</v>
          </cell>
          <cell r="C18832" t="str">
            <v>PAN ASEO Y LIMPIEZA                     5ND</v>
          </cell>
        </row>
        <row r="18833">
          <cell r="B18833" t="str">
            <v>45030219000801</v>
          </cell>
          <cell r="C18833" t="str">
            <v>PAN RELACIONES PUBLICAS Y ATENCIONES    5ND</v>
          </cell>
        </row>
        <row r="18834">
          <cell r="B18834" t="str">
            <v>45030220000801</v>
          </cell>
          <cell r="C18834" t="str">
            <v>PAN GASTOS DE VIAJE                     5ND</v>
          </cell>
        </row>
        <row r="18835">
          <cell r="B18835" t="str">
            <v>45030223000801</v>
          </cell>
          <cell r="C18835" t="str">
            <v>PAN AUDITORES                           5ND</v>
          </cell>
        </row>
        <row r="18836">
          <cell r="B18836" t="str">
            <v>45030229000101</v>
          </cell>
          <cell r="C18836" t="str">
            <v>GASTOS DE LOCATARIOS                    5ND</v>
          </cell>
        </row>
        <row r="18837">
          <cell r="B18837" t="str">
            <v>45030229000801</v>
          </cell>
          <cell r="C18837" t="str">
            <v>PAN INSPECCION BANCARIA                 5ND</v>
          </cell>
        </row>
        <row r="18838">
          <cell r="B18838" t="str">
            <v>45030229000802</v>
          </cell>
          <cell r="C18838" t="str">
            <v>PAN GASTOS CULTURALES                   5ND</v>
          </cell>
        </row>
        <row r="18839">
          <cell r="B18839" t="str">
            <v>45030229000803</v>
          </cell>
          <cell r="C18839" t="str">
            <v>PAN GASTOS VARIOS                       5ND</v>
          </cell>
        </row>
        <row r="18840">
          <cell r="B18840" t="str">
            <v>45030229000804</v>
          </cell>
          <cell r="C18840" t="str">
            <v>PAN COURIER Y CORREO POSTAL             5ND</v>
          </cell>
        </row>
        <row r="18841">
          <cell r="B18841" t="str">
            <v>45040300000101</v>
          </cell>
          <cell r="C18841" t="str">
            <v>IMPTO.LICENCIA MUN.DE FUNCIONAMIENTO    5ND</v>
          </cell>
        </row>
        <row r="18842">
          <cell r="B18842" t="str">
            <v>45040300000102</v>
          </cell>
          <cell r="C18842" t="str">
            <v>GEST. TRÃM. MUN.  EXPED. DE ANUNCIOS Y 5ND</v>
          </cell>
        </row>
        <row r="18843">
          <cell r="B18843" t="str">
            <v>45040300000201</v>
          </cell>
          <cell r="C18843" t="str">
            <v>IMPTO AL VALOR DEL PATRIM.PREDIAL       5ND</v>
          </cell>
        </row>
        <row r="18844">
          <cell r="B18844" t="str">
            <v>45040300000301</v>
          </cell>
          <cell r="C18844" t="str">
            <v>IMPTO AL VALOR PROPIEDAD VEHICULAR      5ND</v>
          </cell>
        </row>
        <row r="18845">
          <cell r="B18845" t="str">
            <v>45040300000401</v>
          </cell>
          <cell r="C18845" t="str">
            <v>ARBITRIOS Y OTRAS CONTRIBUC. MUNICIPA   5ND</v>
          </cell>
        </row>
        <row r="18846">
          <cell r="B18846" t="str">
            <v>45040300000402</v>
          </cell>
          <cell r="C18846" t="str">
            <v>IMPUESTOS MUNICIPALES BIENES LEA        5ND</v>
          </cell>
        </row>
        <row r="18847">
          <cell r="B18847" t="str">
            <v>45040400000101</v>
          </cell>
          <cell r="C18847" t="str">
            <v>SUPERINTENDENCIA DE BANCA Y SEGUROS     5ND</v>
          </cell>
        </row>
        <row r="18848">
          <cell r="B18848" t="str">
            <v>45040400000801</v>
          </cell>
          <cell r="C18848" t="str">
            <v>PAN TASA DE REGULACION BANCARIA         5ND</v>
          </cell>
        </row>
        <row r="18849">
          <cell r="B18849" t="str">
            <v>45040400000802</v>
          </cell>
          <cell r="C18849" t="str">
            <v>PAN IMPUESTO BANCARIO                   5ND</v>
          </cell>
        </row>
        <row r="18850">
          <cell r="B18850" t="str">
            <v>45040900000101</v>
          </cell>
          <cell r="C18850" t="str">
            <v>IGV PREMIOS NO DEDUCIBLE                5ND</v>
          </cell>
        </row>
        <row r="18851">
          <cell r="B18851" t="str">
            <v>45040900000102</v>
          </cell>
          <cell r="C18851" t="str">
            <v>IMPTO A LA RENTA ASUMIDO-NO DOMICILIADO-5ND</v>
          </cell>
        </row>
        <row r="18852">
          <cell r="B18852" t="str">
            <v>45040900000105</v>
          </cell>
          <cell r="C18852" t="str">
            <v>IGV PREMIOS-PROMOCIONES NO DEDUCIBLE    5ND</v>
          </cell>
        </row>
        <row r="18853">
          <cell r="B18853" t="str">
            <v>45040900000106</v>
          </cell>
          <cell r="C18853" t="str">
            <v>ITF POR CUENTA PROPIA                   5ND</v>
          </cell>
        </row>
        <row r="18854">
          <cell r="B18854" t="str">
            <v>45040900000109</v>
          </cell>
          <cell r="C18854" t="str">
            <v>OTROS TRIBUTOS                          5ND</v>
          </cell>
        </row>
        <row r="18855">
          <cell r="B18855" t="str">
            <v>45040900000202</v>
          </cell>
          <cell r="C18855" t="str">
            <v>IR ASUMIDO POR TERCEROS-DEDUCIBLE       5ND</v>
          </cell>
        </row>
        <row r="18856">
          <cell r="B18856" t="str">
            <v>45040900000301</v>
          </cell>
          <cell r="C18856" t="str">
            <v>IGV EVENTOS y AUSPICIOS-NO DEDUCIBLE    5ND</v>
          </cell>
        </row>
        <row r="18857">
          <cell r="B18857" t="str">
            <v>45040900000801</v>
          </cell>
          <cell r="C18857" t="str">
            <v>PAN OTROS IMPUESTOS                     5ND</v>
          </cell>
        </row>
        <row r="18858">
          <cell r="B18858" t="str">
            <v>45040900000802</v>
          </cell>
          <cell r="C18858" t="str">
            <v>PAN TIMBRES NACIONALES                  5ND</v>
          </cell>
        </row>
        <row r="18859">
          <cell r="B18859" t="str">
            <v>45040900000803</v>
          </cell>
          <cell r="C18859" t="str">
            <v>PAN TASA UNICA                          5ND</v>
          </cell>
        </row>
        <row r="18860">
          <cell r="B18860" t="str">
            <v>45040900000804</v>
          </cell>
          <cell r="C18860" t="str">
            <v>PAN IMP ROTULOS Y ANUNCIOS              5ND</v>
          </cell>
        </row>
        <row r="18861">
          <cell r="B18861" t="str">
            <v>46010000000101</v>
          </cell>
          <cell r="C18861" t="str">
            <v>COSTO DE VENTA-BIENES FUERA DE USO      5ND</v>
          </cell>
        </row>
        <row r="18862">
          <cell r="B18862" t="str">
            <v>46020100000101</v>
          </cell>
          <cell r="C18862" t="str">
            <v>PERDIDA EN VENTA DE BIENES ADJUDICADO   5ND</v>
          </cell>
        </row>
        <row r="18863">
          <cell r="B18863" t="str">
            <v>46020100000102</v>
          </cell>
          <cell r="C18863" t="str">
            <v>PERDIDA EN VENTA DE BIENES REALIZABLE   5ND</v>
          </cell>
        </row>
        <row r="18864">
          <cell r="B18864" t="str">
            <v>46020100000103</v>
          </cell>
          <cell r="C18864" t="str">
            <v>GASTO POR BIENES ADJUDICADOS INUBICABLES5ND</v>
          </cell>
        </row>
        <row r="18865">
          <cell r="B18865" t="str">
            <v>46020100000104</v>
          </cell>
          <cell r="C18865" t="str">
            <v>GASTO POR BIENES RECUPERADOS INUBICABLES5ND</v>
          </cell>
        </row>
        <row r="18866">
          <cell r="B18866" t="str">
            <v>46020200000101</v>
          </cell>
          <cell r="C18866" t="str">
            <v>GTOS LEGAL NOTARIAL Y OTROS-ADJUDICAD   5ND</v>
          </cell>
        </row>
        <row r="18867">
          <cell r="B18867" t="str">
            <v>46020200000102</v>
          </cell>
          <cell r="C18867" t="str">
            <v>GTOS.MANTENMTO ALMACENAMNTO Y SEGURID - 5ND</v>
          </cell>
        </row>
        <row r="18868">
          <cell r="B18868" t="str">
            <v>46020200000103</v>
          </cell>
          <cell r="C18868" t="str">
            <v>IMPTOS Y CONTRIBUC - ADJUDICADOS        5ND</v>
          </cell>
        </row>
        <row r="18869">
          <cell r="B18869" t="str">
            <v>46020200000104</v>
          </cell>
          <cell r="C18869" t="str">
            <v>OTR GTOS.RELAC CON ADJUDICADOS          5ND</v>
          </cell>
        </row>
        <row r="18870">
          <cell r="B18870" t="str">
            <v>46020200000105</v>
          </cell>
          <cell r="C18870" t="str">
            <v>GASTOS DE ADJUDICADOS-NO DEDUCIBLES     5ND</v>
          </cell>
        </row>
        <row r="18871">
          <cell r="B18871" t="str">
            <v>46050000000102</v>
          </cell>
          <cell r="C18871" t="str">
            <v>SANCIONES ADMIN Y FISCALES-MUNICIP.     5ND</v>
          </cell>
        </row>
        <row r="18872">
          <cell r="B18872" t="str">
            <v>46050000000104</v>
          </cell>
          <cell r="C18872" t="str">
            <v>INDEM. CLIENTES INFRACC. EN LA REGULACIÃ5ND</v>
          </cell>
        </row>
        <row r="18873">
          <cell r="B18873" t="str">
            <v>46050000000105</v>
          </cell>
          <cell r="C18873" t="str">
            <v>SANC. ADMINIST. Y JUD.INDECOPI SBS JUZGA5ND</v>
          </cell>
        </row>
        <row r="18874">
          <cell r="B18874" t="str">
            <v>46050000000106</v>
          </cell>
          <cell r="C18874" t="str">
            <v>INTERESES MULTAS - SUNAT AFP            5ND</v>
          </cell>
        </row>
        <row r="18875">
          <cell r="B18875" t="str">
            <v>46050000000108</v>
          </cell>
          <cell r="C18875" t="str">
            <v>SANCIONES ADMIN Y FISCALES Â¿ MINTRA    5ND</v>
          </cell>
        </row>
        <row r="18876">
          <cell r="B18876" t="str">
            <v>46060000000101</v>
          </cell>
          <cell r="C18876" t="str">
            <v>SINIESTRO DE ACTIVOS                    5ND</v>
          </cell>
        </row>
        <row r="18877">
          <cell r="B18877" t="str">
            <v>46070000000101</v>
          </cell>
          <cell r="C18877" t="str">
            <v>DONACIONES DEDUCIBLES                   5ND</v>
          </cell>
        </row>
        <row r="18878">
          <cell r="B18878" t="str">
            <v>46070000000102</v>
          </cell>
          <cell r="C18878" t="str">
            <v>DONACIONES NO DEDUCIBLES                5ND</v>
          </cell>
        </row>
        <row r="18879">
          <cell r="B18879" t="str">
            <v>46070000000103</v>
          </cell>
          <cell r="C18879" t="str">
            <v>DONACION DE ACTIVOS                     5ND</v>
          </cell>
        </row>
        <row r="18880">
          <cell r="B18880" t="str">
            <v>46070000000801</v>
          </cell>
          <cell r="C18880" t="str">
            <v>PAN DONACIONES Y CONTRIBUCIONES         5ND</v>
          </cell>
        </row>
        <row r="18881">
          <cell r="B18881" t="str">
            <v>46090000000101</v>
          </cell>
          <cell r="C18881" t="str">
            <v>FALTANTE DE EFECTIVO                    5ND</v>
          </cell>
        </row>
        <row r="18882">
          <cell r="B18882" t="str">
            <v>46090000000102</v>
          </cell>
          <cell r="C18882" t="str">
            <v>GASTOS DE CAJEROS                       5ND</v>
          </cell>
        </row>
        <row r="18883">
          <cell r="B18883" t="str">
            <v>46090000000103</v>
          </cell>
          <cell r="C18883" t="str">
            <v>GASTOS EXTRAORDINARIOS DIVERSOS         5ND</v>
          </cell>
        </row>
        <row r="18884">
          <cell r="B18884" t="str">
            <v>46090000000104</v>
          </cell>
          <cell r="C18884" t="str">
            <v>PROGRAMA INCENTIVOS DEL PERSONAL        5ND</v>
          </cell>
        </row>
        <row r="18885">
          <cell r="B18885" t="str">
            <v>46090000000106</v>
          </cell>
          <cell r="C18885" t="str">
            <v>GASTOS EXTRAORDINARIOS DIVERSOS DEDUCIBL5ND</v>
          </cell>
        </row>
        <row r="18886">
          <cell r="B18886" t="str">
            <v>46090000000107</v>
          </cell>
          <cell r="C18886" t="str">
            <v>GASTOS MONEDEROS                        5ND</v>
          </cell>
        </row>
        <row r="18887">
          <cell r="B18887" t="str">
            <v>46090000000108</v>
          </cell>
          <cell r="C18887" t="str">
            <v>CTA. GASTOS ATM RECLAMOS NO DISPENDIÃ“  5ND</v>
          </cell>
        </row>
        <row r="18888">
          <cell r="B18888" t="str">
            <v>46090000000109</v>
          </cell>
          <cell r="C18888" t="str">
            <v>ITF ASUMIDO POR CTA TERCEROS            5ND</v>
          </cell>
        </row>
        <row r="18889">
          <cell r="B18889" t="str">
            <v>46090000000110</v>
          </cell>
          <cell r="C18889" t="str">
            <v>RECLAMO BANCA SEGUROS                   5ND</v>
          </cell>
        </row>
        <row r="18890">
          <cell r="B18890" t="str">
            <v>46090000000111</v>
          </cell>
          <cell r="C18890" t="str">
            <v>ERRORES OPERATIVOS                      5ND</v>
          </cell>
        </row>
        <row r="18891">
          <cell r="B18891" t="str">
            <v>46090000000113</v>
          </cell>
          <cell r="C18891" t="str">
            <v>GASTOS DE CAJEROS CUADRE FINAL PY ATM   5ND</v>
          </cell>
        </row>
        <row r="18892">
          <cell r="B18892" t="str">
            <v>46090000000114</v>
          </cell>
          <cell r="C18892" t="str">
            <v>GASTOS MON CUADRE FINAL PY ATM          5ND</v>
          </cell>
        </row>
        <row r="18893">
          <cell r="B18893" t="str">
            <v>46090000000115</v>
          </cell>
          <cell r="C18893" t="str">
            <v>PACMAN GASTO FINAL                      5ND</v>
          </cell>
        </row>
        <row r="18894">
          <cell r="B18894" t="str">
            <v>46090000000116</v>
          </cell>
          <cell r="C18894" t="str">
            <v>PACMAN GASTO FINAL                      5ND</v>
          </cell>
        </row>
        <row r="18895">
          <cell r="B18895" t="str">
            <v>46090000000117</v>
          </cell>
          <cell r="C18895" t="str">
            <v>RECLAMO POR RIESGO ENTIDAD REGULATORIA  5ND</v>
          </cell>
        </row>
        <row r="18896">
          <cell r="B18896" t="str">
            <v>46090000000122</v>
          </cell>
          <cell r="C18896" t="str">
            <v>FALLAS EN LA EJEC.  ENTREGA Y GEST.DE PR5ND</v>
          </cell>
        </row>
        <row r="18897">
          <cell r="B18897" t="str">
            <v>46090000000123</v>
          </cell>
          <cell r="C18897" t="str">
            <v>FALTANTE DE EFECTIVO                    5ND</v>
          </cell>
        </row>
        <row r="18898">
          <cell r="B18898" t="str">
            <v>46090000000126</v>
          </cell>
          <cell r="C18898" t="str">
            <v>DAÃ‘O DE ACTIVOS  ROBOS  ATAQUES INFORMÃ5ND</v>
          </cell>
        </row>
        <row r="18899">
          <cell r="B18899" t="str">
            <v>46090000000130</v>
          </cell>
          <cell r="C18899" t="str">
            <v>OPERAC. NO AUT. CON PÃ‰RDIDAS PECUNIARIA5ND</v>
          </cell>
        </row>
        <row r="18900">
          <cell r="B18900" t="str">
            <v>46090000000135</v>
          </cell>
          <cell r="C18900" t="str">
            <v>PÃ‰RD. POR ACCIDENT EN GRAL (SINIESTROS)5ND</v>
          </cell>
        </row>
        <row r="18901">
          <cell r="B18901" t="str">
            <v>46090000000136</v>
          </cell>
          <cell r="C18901" t="str">
            <v>GASTOS x FALLAS DE HARD  SOFT Y TELECOM 5ND</v>
          </cell>
        </row>
        <row r="18902">
          <cell r="B18902" t="str">
            <v>46090000000139</v>
          </cell>
          <cell r="C18902" t="str">
            <v>GASTOS FALLAS DE HARD (DIF. A CAJ.  MONE5ND</v>
          </cell>
        </row>
        <row r="18903">
          <cell r="B18903" t="str">
            <v>46090000000142</v>
          </cell>
          <cell r="C18903" t="str">
            <v>OTROS GASTOS DE EJERCICIOS ANTERIORES   5ND</v>
          </cell>
        </row>
        <row r="18904">
          <cell r="B18904" t="str">
            <v>46090000000143</v>
          </cell>
          <cell r="C18904" t="str">
            <v>OTROS GASTOS DE EJERCICIOS ANTERIORES IN5ND</v>
          </cell>
        </row>
        <row r="18905">
          <cell r="B18905" t="str">
            <v>46090000000146</v>
          </cell>
          <cell r="C18905" t="str">
            <v>DGPF-FRAUDE INTERNO - OTROS PRODUCTOS BA5ND</v>
          </cell>
        </row>
        <row r="18906">
          <cell r="B18906" t="str">
            <v>46090000000147</v>
          </cell>
          <cell r="C18906" t="str">
            <v>DGPF-FRAUDE EXTERNO - OTROS PRODUCTOS BA5ND</v>
          </cell>
        </row>
        <row r="18907">
          <cell r="B18907" t="str">
            <v>46090000000148</v>
          </cell>
          <cell r="C18907" t="str">
            <v>OTROS GASTOS DE EJERCICIOS ANTERIORES IN5ND</v>
          </cell>
        </row>
        <row r="18908">
          <cell r="B18908" t="str">
            <v>46090000000149</v>
          </cell>
          <cell r="C18908" t="str">
            <v>OTROS GASTOS DE EJERCICIOS ANTERIORES CO5ND</v>
          </cell>
        </row>
        <row r="18909">
          <cell r="B18909" t="str">
            <v>46090000000150</v>
          </cell>
          <cell r="C18909" t="str">
            <v>RECLAMOS ACEPTADOS POR RIESGO INDECOPI  5ND</v>
          </cell>
        </row>
        <row r="18910">
          <cell r="B18910" t="str">
            <v>46090000000151</v>
          </cell>
          <cell r="C18910" t="str">
            <v>GASTOS CONDONADOS CRED. JUDICIALES      5ND</v>
          </cell>
        </row>
        <row r="18911">
          <cell r="B18911" t="str">
            <v>46090000000152</v>
          </cell>
          <cell r="C18911" t="str">
            <v>GASTOS POR FRAUDES NO DEDUCIBLES        5ND</v>
          </cell>
        </row>
        <row r="18912">
          <cell r="B18912" t="str">
            <v>46090000000153</v>
          </cell>
          <cell r="C18912" t="str">
            <v>CASTIGOS OPERATIVOS                     5ND</v>
          </cell>
        </row>
        <row r="18913">
          <cell r="B18913" t="str">
            <v>46090000000154</v>
          </cell>
          <cell r="C18913" t="str">
            <v>TC RECLAMOS SEG DESGRAVAMEN             5ND</v>
          </cell>
        </row>
        <row r="18914">
          <cell r="B18914" t="str">
            <v>46090000000155</v>
          </cell>
          <cell r="C18914" t="str">
            <v>CANCELACION ANTICIPADA EXTRACASH        5ND</v>
          </cell>
        </row>
        <row r="18915">
          <cell r="B18915" t="str">
            <v>46090000000156</v>
          </cell>
          <cell r="C18915" t="str">
            <v>PENALIDADES ALQUILERES                  5ND</v>
          </cell>
        </row>
        <row r="18916">
          <cell r="B18916" t="str">
            <v>46090000000157</v>
          </cell>
          <cell r="C18916" t="str">
            <v>OBSOLESCENCIA DE ACTIVOS                5ND</v>
          </cell>
        </row>
        <row r="18917">
          <cell r="B18917" t="str">
            <v>46090000000158</v>
          </cell>
          <cell r="C18917" t="str">
            <v>GASTO EXTRAORDINARIO INVENTARIO         5ND</v>
          </cell>
        </row>
        <row r="18918">
          <cell r="B18918" t="str">
            <v>46090000000159</v>
          </cell>
          <cell r="C18918" t="str">
            <v>HPC GASTOS POR ABONOS MINIMOS           5ND</v>
          </cell>
        </row>
        <row r="18919">
          <cell r="B18919" t="str">
            <v>46090000000160</v>
          </cell>
          <cell r="C18919" t="str">
            <v>HPC GASTOS NO CUBIERTOS POR SEGUROS     5ND</v>
          </cell>
        </row>
        <row r="18920">
          <cell r="B18920" t="str">
            <v>46090000000161</v>
          </cell>
          <cell r="C18920" t="str">
            <v>ITF RAPPIBANK - ASUMIDO                 5 D</v>
          </cell>
        </row>
        <row r="18921">
          <cell r="B18921" t="str">
            <v>46090000000162</v>
          </cell>
          <cell r="C18921" t="str">
            <v>GASTOS EMISION BONOS NO REALIZADA       5ND</v>
          </cell>
        </row>
        <row r="18922">
          <cell r="B18922" t="str">
            <v>46090000000166</v>
          </cell>
          <cell r="C18922" t="str">
            <v>CASTIGO OPERATIVO                       5ND</v>
          </cell>
        </row>
        <row r="18923">
          <cell r="B18923" t="str">
            <v>46090000000167</v>
          </cell>
          <cell r="C18923" t="str">
            <v>AUTONOMIAS PLIN                         5ND</v>
          </cell>
        </row>
        <row r="18924">
          <cell r="B18924" t="str">
            <v>46090000000169</v>
          </cell>
          <cell r="C18924" t="str">
            <v>TDA INCOMING NO APLICADAS               5ND</v>
          </cell>
        </row>
        <row r="18925">
          <cell r="B18925" t="str">
            <v>46090000000170</v>
          </cell>
          <cell r="C18925" t="str">
            <v>RECLAMOS OPERATIVOS TRX AMEX MENORES A $5ND</v>
          </cell>
        </row>
        <row r="18926">
          <cell r="B18926" t="str">
            <v>46090000000171</v>
          </cell>
          <cell r="C18926" t="str">
            <v>CASTIGOS OPERATIVOS HPC - LIC           5 D</v>
          </cell>
        </row>
        <row r="18927">
          <cell r="B18927" t="str">
            <v>49010000000101</v>
          </cell>
          <cell r="C18927" t="str">
            <v>COSTO DE VENTA DE BIENES                5ND</v>
          </cell>
        </row>
        <row r="18928">
          <cell r="B18928" t="str">
            <v>49010000000102</v>
          </cell>
          <cell r="C18928" t="str">
            <v>CV PROYECTO DE INV REGIONAL             5ND</v>
          </cell>
        </row>
        <row r="18929">
          <cell r="B18929" t="str">
            <v>49010000000103</v>
          </cell>
          <cell r="C18929" t="str">
            <v>COSTO DE VENTA - BIENES LEASING         5ND</v>
          </cell>
        </row>
        <row r="18930">
          <cell r="B18930" t="str">
            <v>49020000000101</v>
          </cell>
          <cell r="C18930" t="str">
            <v>COSTO DE VENTAS POR SERVICIOS           5ND</v>
          </cell>
        </row>
        <row r="18931">
          <cell r="B18931" t="str">
            <v>51010201000101</v>
          </cell>
          <cell r="C18931" t="str">
            <v>INT POR FONDOS DE ENCAJE                4NC</v>
          </cell>
        </row>
        <row r="18932">
          <cell r="B18932" t="str">
            <v>51010204000101</v>
          </cell>
          <cell r="C18932" t="str">
            <v>INT. POR DEP OVERNIGHT ME-BCR           4NC</v>
          </cell>
        </row>
        <row r="18933">
          <cell r="B18933" t="str">
            <v>51010209000101</v>
          </cell>
          <cell r="C18933" t="str">
            <v>INTERESES DEP OVERNIGHT MN              4NC</v>
          </cell>
        </row>
        <row r="18934">
          <cell r="B18934" t="str">
            <v>51010209000102</v>
          </cell>
          <cell r="C18934" t="str">
            <v>BCR INTER DEP A PLAZO MN                4NC</v>
          </cell>
        </row>
        <row r="18935">
          <cell r="B18935" t="str">
            <v>51010300002202</v>
          </cell>
          <cell r="C18935" t="str">
            <v>INT DEP PLAZO BCO SUDAMERICANO          4NC</v>
          </cell>
        </row>
        <row r="18936">
          <cell r="B18936" t="str">
            <v>51010301280101</v>
          </cell>
          <cell r="C18936" t="str">
            <v>INT CORP.FINANC DESARROLLO COFIDE       4NC</v>
          </cell>
        </row>
        <row r="18937">
          <cell r="B18937" t="str">
            <v>51010301330101</v>
          </cell>
          <cell r="C18937" t="str">
            <v>INT DEP PLAZO SAGA FALABELA             4NC</v>
          </cell>
        </row>
        <row r="18938">
          <cell r="B18938" t="str">
            <v>51010309000102</v>
          </cell>
          <cell r="C18938" t="str">
            <v>INT. DEP PLAZO COFIDE                   4NC</v>
          </cell>
        </row>
        <row r="18939">
          <cell r="B18939" t="str">
            <v>51010401000102</v>
          </cell>
          <cell r="C18939" t="str">
            <v>INT POR DEPOSITOS OVERNIGHT-BCOS EXT    4NC</v>
          </cell>
        </row>
        <row r="18940">
          <cell r="B18940" t="str">
            <v>51010401000103</v>
          </cell>
          <cell r="C18940" t="str">
            <v>INT.DEPOSITOS MARGIN CALL               4NC</v>
          </cell>
        </row>
        <row r="18941">
          <cell r="B18941" t="str">
            <v>51010401000104</v>
          </cell>
          <cell r="C18941" t="str">
            <v>INT DEPOSITO A PLAZO-EXTERIOR           4NC</v>
          </cell>
        </row>
        <row r="18942">
          <cell r="B18942" t="str">
            <v>51010401000105</v>
          </cell>
          <cell r="C18942" t="str">
            <v>INT DEP MARGIN CALL MORGAN JPMORGAN     4NC</v>
          </cell>
        </row>
        <row r="18943">
          <cell r="B18943" t="str">
            <v>51010401000801</v>
          </cell>
          <cell r="C18943" t="str">
            <v>PAN OTROS BANCOS                        4NC</v>
          </cell>
        </row>
        <row r="18944">
          <cell r="B18944" t="str">
            <v>51010403000101</v>
          </cell>
          <cell r="C18944" t="str">
            <v>INTELIGO  BANK  - DEP. A PLAZO EN EL EXT4NC</v>
          </cell>
        </row>
        <row r="18945">
          <cell r="B18945" t="str">
            <v>51010406000801</v>
          </cell>
          <cell r="C18945" t="str">
            <v>PAN SUCURSAL INT DEP PLAZO              4NC</v>
          </cell>
        </row>
        <row r="18946">
          <cell r="B18946" t="str">
            <v>51010702000201</v>
          </cell>
          <cell r="C18946" t="str">
            <v>MDC INGRESOS DE FONDOS EN GARANTÃA OP C4NC</v>
          </cell>
        </row>
        <row r="18947">
          <cell r="B18947" t="str">
            <v>51020100000101</v>
          </cell>
          <cell r="C18947" t="str">
            <v>INT FONDOS INTERBANCARIOS               4NC</v>
          </cell>
        </row>
        <row r="18948">
          <cell r="B18948" t="str">
            <v>51020102000101</v>
          </cell>
          <cell r="C18948" t="str">
            <v>INT BANCO DE LA NACION                  4NC</v>
          </cell>
        </row>
        <row r="18949">
          <cell r="B18949" t="str">
            <v>51020103000101</v>
          </cell>
          <cell r="C18949" t="str">
            <v>ING INTERBANCARIO B CREDITO DEL PERU    4NC</v>
          </cell>
        </row>
        <row r="18950">
          <cell r="B18950" t="str">
            <v>51020105000101</v>
          </cell>
          <cell r="C18950" t="str">
            <v>ING INTERBANCARIO SCOTIABANK            4NC</v>
          </cell>
        </row>
        <row r="18951">
          <cell r="B18951" t="str">
            <v>51020106000101</v>
          </cell>
          <cell r="C18951" t="str">
            <v>ING INTERBANCARIO B CONTINENTAL         4NC</v>
          </cell>
        </row>
        <row r="18952">
          <cell r="B18952" t="str">
            <v>51020108000101</v>
          </cell>
          <cell r="C18952" t="str">
            <v>ING INTERBANCARIO B COMERCIO            4NC</v>
          </cell>
        </row>
        <row r="18953">
          <cell r="B18953" t="str">
            <v>51020109000101</v>
          </cell>
          <cell r="C18953" t="str">
            <v>ING INTERBANCARIO B FINANCIERO DEL PE   4NC</v>
          </cell>
        </row>
        <row r="18954">
          <cell r="B18954" t="str">
            <v>51020116000101</v>
          </cell>
          <cell r="C18954" t="str">
            <v>ING INTERBANCARIO CITIBANK N.A SUC P    4NC</v>
          </cell>
        </row>
        <row r="18955">
          <cell r="B18955" t="str">
            <v>51020121000101</v>
          </cell>
          <cell r="C18955" t="str">
            <v>ING INTERBANCARIO B INTERAMERICANO D    4NC</v>
          </cell>
        </row>
        <row r="18956">
          <cell r="B18956" t="str">
            <v>51020129000101</v>
          </cell>
          <cell r="C18956" t="str">
            <v>ING INTERBANCARIO MIBANCO               4NC</v>
          </cell>
        </row>
        <row r="18957">
          <cell r="B18957" t="str">
            <v>51020132000101</v>
          </cell>
          <cell r="C18957" t="str">
            <v>ING INTERBANCARIO GNB PERU              4NC</v>
          </cell>
        </row>
        <row r="18958">
          <cell r="B18958" t="str">
            <v>51020133000101</v>
          </cell>
          <cell r="C18958" t="str">
            <v>ING INTERBANCARIO B FALABELLA DEL PERU  4NC</v>
          </cell>
        </row>
        <row r="18959">
          <cell r="B18959" t="str">
            <v>51020134000101</v>
          </cell>
          <cell r="C18959" t="str">
            <v>ING INTERBANCARIO B SANTANDER PERU      4NC</v>
          </cell>
        </row>
        <row r="18960">
          <cell r="B18960" t="str">
            <v>51020135000101</v>
          </cell>
          <cell r="C18960" t="str">
            <v>INGRESO INTERBANCARIO BCO RIPLEY        4NC</v>
          </cell>
        </row>
        <row r="18961">
          <cell r="B18961" t="str">
            <v>51020136000101</v>
          </cell>
          <cell r="C18961" t="str">
            <v>ING INTERBANCARIO ALFIN BANCO           4NC</v>
          </cell>
        </row>
        <row r="18962">
          <cell r="B18962" t="str">
            <v>51020137000101</v>
          </cell>
          <cell r="C18962" t="str">
            <v>ING INTERBANCARIO DEUSTCHE BANK         4NC</v>
          </cell>
        </row>
        <row r="18963">
          <cell r="B18963" t="str">
            <v>51020138000101</v>
          </cell>
          <cell r="C18963" t="str">
            <v>ING INTERBANCARIO - BCO CENCOSUD        4NC</v>
          </cell>
        </row>
        <row r="18964">
          <cell r="B18964" t="str">
            <v>51020139000101</v>
          </cell>
          <cell r="C18964" t="str">
            <v>ING INTERBANCARIO ICBC PERU             4NC</v>
          </cell>
        </row>
        <row r="18965">
          <cell r="B18965" t="str">
            <v>51020141000100</v>
          </cell>
          <cell r="C18965" t="str">
            <v>BANCO BCI PERU INTERBANCARIO OTORGADO   4NC</v>
          </cell>
        </row>
        <row r="18966">
          <cell r="B18966" t="str">
            <v>51020143000001</v>
          </cell>
          <cell r="C18966" t="str">
            <v>SANTANDER CONSUMER BANK S.A ING         4 C</v>
          </cell>
        </row>
        <row r="18967">
          <cell r="B18967" t="str">
            <v>51020209000101</v>
          </cell>
          <cell r="C18967" t="str">
            <v>FINANCIERA EDYFICAR INT GANADO          4NC</v>
          </cell>
        </row>
        <row r="18968">
          <cell r="B18968" t="str">
            <v>51020210000101</v>
          </cell>
          <cell r="C18968" t="str">
            <v>ING CREDISCOTIA FINANCIERA              4NC</v>
          </cell>
        </row>
        <row r="18969">
          <cell r="B18969" t="str">
            <v>51020219000101</v>
          </cell>
          <cell r="C18969" t="str">
            <v>ING INTERBANCARIO-FINANCIERA CREDINKA   4NC</v>
          </cell>
        </row>
        <row r="18970">
          <cell r="B18970" t="str">
            <v>51020301000101</v>
          </cell>
          <cell r="C18970" t="str">
            <v>ING INTERBANCARIO - CAJA MUNI SULLANA   4NC</v>
          </cell>
        </row>
        <row r="18971">
          <cell r="B18971" t="str">
            <v>51020304000101</v>
          </cell>
          <cell r="C18971" t="str">
            <v>ING FONDOS INTERB-Â CAJA MUN AHO Y CRED 4NC</v>
          </cell>
        </row>
        <row r="18972">
          <cell r="B18972" t="str">
            <v>51021801000101</v>
          </cell>
          <cell r="C18972" t="str">
            <v>ING INTERBANCARIO - BCO JP MORGAN       4NC</v>
          </cell>
        </row>
        <row r="18973">
          <cell r="B18973" t="str">
            <v>51030107050101</v>
          </cell>
          <cell r="C18973" t="str">
            <v>ING CTA PART SIGMA                      4NC</v>
          </cell>
        </row>
        <row r="18974">
          <cell r="B18974" t="str">
            <v>51030201010106</v>
          </cell>
          <cell r="C18974" t="str">
            <v>INT BONOS SOBERANOS TRADING             4NC</v>
          </cell>
        </row>
        <row r="18975">
          <cell r="B18975" t="str">
            <v>51030201010107</v>
          </cell>
          <cell r="C18975" t="str">
            <v>INTERESES BONOS GLOBALES TRADING        4NC</v>
          </cell>
        </row>
        <row r="18976">
          <cell r="B18976" t="str">
            <v>51030201010108</v>
          </cell>
          <cell r="C18976" t="str">
            <v>INTERESES BONOS GLOBALES TRADING        4NC</v>
          </cell>
        </row>
        <row r="18977">
          <cell r="B18977" t="str">
            <v>51030201010109</v>
          </cell>
          <cell r="C18977" t="str">
            <v>INT BONOS SOBERANOS TRADING             4NC</v>
          </cell>
        </row>
        <row r="18978">
          <cell r="B18978" t="str">
            <v>51030201010110</v>
          </cell>
          <cell r="C18978" t="str">
            <v>INTERESES BONOS GLOB G INV TRD          4NC</v>
          </cell>
        </row>
        <row r="18979">
          <cell r="B18979" t="str">
            <v>51030201010111</v>
          </cell>
          <cell r="C18979" t="str">
            <v>INT CORRIDOS US TREASURY TRADING        4NC</v>
          </cell>
        </row>
        <row r="18980">
          <cell r="B18980" t="str">
            <v>51030201010112</v>
          </cell>
          <cell r="C18980" t="str">
            <v>REND US TREASURIES TRADING ESP          4NC</v>
          </cell>
        </row>
        <row r="18981">
          <cell r="B18981" t="str">
            <v>51030201010113</v>
          </cell>
          <cell r="C18981" t="str">
            <v>INT BONOS GOB COLOMBIA TRADING MESA     4NC</v>
          </cell>
        </row>
        <row r="18982">
          <cell r="B18982" t="str">
            <v>51030201010114</v>
          </cell>
          <cell r="C18982" t="str">
            <v>INT BONOS GOB COLOMBIA TRADING ESP      4NC</v>
          </cell>
        </row>
        <row r="18983">
          <cell r="B18983" t="str">
            <v>51030201010115</v>
          </cell>
          <cell r="C18983" t="str">
            <v>INT BONOS GOB MEXICO TRADING MESA       4NC</v>
          </cell>
        </row>
        <row r="18984">
          <cell r="B18984" t="str">
            <v>51030201010116</v>
          </cell>
          <cell r="C18984" t="str">
            <v>INT BONOS GOB MEXICO TRADING ESP        4NC</v>
          </cell>
        </row>
        <row r="18985">
          <cell r="B18985" t="str">
            <v>51030201010117</v>
          </cell>
          <cell r="C18985" t="str">
            <v>INT BONOS GLOB BRASIL TRADING MESA      4NC</v>
          </cell>
        </row>
        <row r="18986">
          <cell r="B18986" t="str">
            <v>51030201010118</v>
          </cell>
          <cell r="C18986" t="str">
            <v>REND BONOS GLOB COLOMBIA TRAD ESPECIAL  4NC</v>
          </cell>
        </row>
        <row r="18987">
          <cell r="B18987" t="str">
            <v>51030201010119</v>
          </cell>
          <cell r="C18987" t="str">
            <v>REND BONOS GLOB COLOMBIA TRADING MESA   4NC</v>
          </cell>
        </row>
        <row r="18988">
          <cell r="B18988" t="str">
            <v>51030201010120</v>
          </cell>
          <cell r="C18988" t="str">
            <v>REND BONOS GLOB MEXICO TRAD ESPECIAL    4NC</v>
          </cell>
        </row>
        <row r="18989">
          <cell r="B18989" t="str">
            <v>51030201010121</v>
          </cell>
          <cell r="C18989" t="str">
            <v>REND BONOS GLOB MEXICO TRADING MESA     4NC</v>
          </cell>
        </row>
        <row r="18990">
          <cell r="B18990" t="str">
            <v>51030201010122</v>
          </cell>
          <cell r="C18990" t="str">
            <v>REND BONOS GLOB CHILE TRAD ESPECIAL     4NC</v>
          </cell>
        </row>
        <row r="18991">
          <cell r="B18991" t="str">
            <v>51030201010123</v>
          </cell>
          <cell r="C18991" t="str">
            <v>REND BONOS GLOB CHILE TRADING MESA      4NC</v>
          </cell>
        </row>
        <row r="18992">
          <cell r="B18992" t="str">
            <v>51030201010124</v>
          </cell>
          <cell r="C18992" t="str">
            <v>REND BONOS SOBERANOS TRADING PLUS       4NC</v>
          </cell>
        </row>
        <row r="18993">
          <cell r="B18993" t="str">
            <v>51030201010125</v>
          </cell>
          <cell r="C18993" t="str">
            <v>REND BONOS GLOBALES TRADING PLUS        4NC</v>
          </cell>
        </row>
        <row r="18994">
          <cell r="B18994" t="str">
            <v>51030201010126</v>
          </cell>
          <cell r="C18994" t="str">
            <v>REND US TREASURIES TRADING PLUS         4NC</v>
          </cell>
        </row>
        <row r="18995">
          <cell r="B18995" t="str">
            <v>51030201010127</v>
          </cell>
          <cell r="C18995" t="str">
            <v>INT BONOS SOBERANOS SHORT               4NC</v>
          </cell>
        </row>
        <row r="18996">
          <cell r="B18996" t="str">
            <v>51030201010128</v>
          </cell>
          <cell r="C18996" t="str">
            <v>UTIL VTA BONOS SOBERANOS TRADING ESP    4 C</v>
          </cell>
        </row>
        <row r="18997">
          <cell r="B18997" t="str">
            <v>51030202000101</v>
          </cell>
          <cell r="C18997" t="str">
            <v>REND CDBCRP TRADING ESP                 4NC</v>
          </cell>
        </row>
        <row r="18998">
          <cell r="B18998" t="str">
            <v>51030202000102</v>
          </cell>
          <cell r="C18998" t="str">
            <v>MDC  INT.CDR BCRP TRADING ESP           4NC</v>
          </cell>
        </row>
        <row r="18999">
          <cell r="B18999" t="str">
            <v>51030203000101</v>
          </cell>
          <cell r="C18999" t="str">
            <v>REND BONOS COFIDE TRD ESP               4NC</v>
          </cell>
        </row>
        <row r="19000">
          <cell r="B19000" t="str">
            <v>51030205080101</v>
          </cell>
          <cell r="C19000" t="str">
            <v>INT BONOS CORP EMP FIN TRADING ESP      4NC</v>
          </cell>
        </row>
        <row r="19001">
          <cell r="B19001" t="str">
            <v>51030205080102</v>
          </cell>
          <cell r="C19001" t="str">
            <v>INT BONOS CORP EMP FIN TRADING MESA     4NC</v>
          </cell>
        </row>
        <row r="19002">
          <cell r="B19002" t="str">
            <v>51030205080103</v>
          </cell>
          <cell r="C19002" t="str">
            <v>INT BONOS CORP SIST FIN COLOMBIA TRADING4NC</v>
          </cell>
        </row>
        <row r="19003">
          <cell r="B19003" t="str">
            <v>51030205080104</v>
          </cell>
          <cell r="C19003" t="str">
            <v>INT BONOS CORP SIST FIN COLOMBIA TRADING4NC</v>
          </cell>
        </row>
        <row r="19004">
          <cell r="B19004" t="str">
            <v>51030205080201</v>
          </cell>
          <cell r="C19004" t="str">
            <v>REND BONOS CORP EMP FIN TRADING MESA    4NC</v>
          </cell>
        </row>
        <row r="19005">
          <cell r="B19005" t="str">
            <v>51030205080202</v>
          </cell>
          <cell r="C19005" t="str">
            <v>INT BONOS CORP ORD EMP FIN TRAD PLUS    4NC</v>
          </cell>
        </row>
        <row r="19006">
          <cell r="B19006" t="str">
            <v>51030207080102</v>
          </cell>
          <cell r="C19006" t="str">
            <v>INT BONOS ORD. SOC.NO FINANC. TRADING ME4NC</v>
          </cell>
        </row>
        <row r="19007">
          <cell r="B19007" t="str">
            <v>51030207080103</v>
          </cell>
          <cell r="C19007" t="str">
            <v>REND BONOS ORD SOC NO FIN TRADIN ESP    4NC</v>
          </cell>
        </row>
        <row r="19008">
          <cell r="B19008" t="str">
            <v>51030207080104</v>
          </cell>
          <cell r="C19008" t="str">
            <v>INT BONOS CORP SOC NO FIN TRAD PLUS     4NC</v>
          </cell>
        </row>
        <row r="19009">
          <cell r="B19009" t="str">
            <v>51030305010101</v>
          </cell>
          <cell r="C19009" t="str">
            <v>DIVIDENDOS ACC COM EMP FINANCIERAS DP   4NC</v>
          </cell>
        </row>
        <row r="19010">
          <cell r="B19010" t="str">
            <v>51030305010801</v>
          </cell>
          <cell r="C19010" t="str">
            <v>PAN ACCIONES COMUNES SF                 4NC</v>
          </cell>
        </row>
        <row r="19011">
          <cell r="B19011" t="str">
            <v>51030306000101</v>
          </cell>
          <cell r="C19011" t="str">
            <v>DIVIDENDOS EFECTIVO EMPR.ASEGURADORAS   4NC</v>
          </cell>
        </row>
        <row r="19012">
          <cell r="B19012" t="str">
            <v>51030306190101</v>
          </cell>
          <cell r="C19012" t="str">
            <v>DIVIDENDO EFECTIVO EMPR. ASEGURADORAS   4NC</v>
          </cell>
        </row>
        <row r="19013">
          <cell r="B19013" t="str">
            <v>51030307010101</v>
          </cell>
          <cell r="C19013" t="str">
            <v>PERC EN EFECTIVO - ACC.COM SOC.NO FINANC4NC</v>
          </cell>
        </row>
        <row r="19014">
          <cell r="B19014" t="str">
            <v>51030307010102</v>
          </cell>
          <cell r="C19014" t="str">
            <v>DIVIDENDO ACC COM PJ DEL EXTERIOR DPV   4NC</v>
          </cell>
        </row>
        <row r="19015">
          <cell r="B19015" t="str">
            <v>51030307190101</v>
          </cell>
          <cell r="C19015" t="str">
            <v>DPV ROYALTY PHARMA                      4NC</v>
          </cell>
        </row>
        <row r="19016">
          <cell r="B19016" t="str">
            <v>51030307190801</v>
          </cell>
          <cell r="C19016" t="str">
            <v>PAN DIV ACCIONES RPI                    4NC</v>
          </cell>
        </row>
        <row r="19017">
          <cell r="B19017" t="str">
            <v>51030307190802</v>
          </cell>
          <cell r="C19017" t="str">
            <v>PAN ING ROYALTY PHARMA                  4NC</v>
          </cell>
        </row>
        <row r="19018">
          <cell r="B19018" t="str">
            <v>51030307190803</v>
          </cell>
          <cell r="C19018" t="str">
            <v>PANAM DIV ACCIONES RPS                  4NC</v>
          </cell>
        </row>
        <row r="19019">
          <cell r="B19019" t="str">
            <v>51030308000101</v>
          </cell>
          <cell r="C19019" t="str">
            <v>ACCIONES EN TESORERIA                   4NC</v>
          </cell>
        </row>
        <row r="19020">
          <cell r="B19020" t="str">
            <v>51030309010101</v>
          </cell>
          <cell r="C19020" t="str">
            <v>DIVIDENDO ACC COM HOLDING MATRIZ Y SU   4NC</v>
          </cell>
        </row>
        <row r="19021">
          <cell r="B19021" t="str">
            <v>51030309010102</v>
          </cell>
          <cell r="C19021" t="str">
            <v>DIVIDENDO ACC COM HOLDING ESTRATEGICO   4NC</v>
          </cell>
        </row>
        <row r="19022">
          <cell r="B19022" t="str">
            <v>51030309010801</v>
          </cell>
          <cell r="C19022" t="str">
            <v>PANAM ACCIONES COMUNES IFS              4NC</v>
          </cell>
        </row>
        <row r="19023">
          <cell r="B19023" t="str">
            <v>51030401010104</v>
          </cell>
          <cell r="C19023" t="str">
            <v>REND BONOS GLOBALES DISP PARA LA VTA    4NC</v>
          </cell>
        </row>
        <row r="19024">
          <cell r="B19024" t="str">
            <v>51030401010105</v>
          </cell>
          <cell r="C19024" t="str">
            <v>REND BONOS SOBERANOS PAIS               4NC</v>
          </cell>
        </row>
        <row r="19025">
          <cell r="B19025" t="str">
            <v>51030401010106</v>
          </cell>
          <cell r="C19025" t="str">
            <v>INT BONOS GLOBALES BRASIL DPV MESA      4NC</v>
          </cell>
        </row>
        <row r="19026">
          <cell r="B19026" t="str">
            <v>51030401010107</v>
          </cell>
          <cell r="C19026" t="str">
            <v>REDEN. BONOS SOBERANOS                  4NC</v>
          </cell>
        </row>
        <row r="19027">
          <cell r="B19027" t="str">
            <v>51030401010108</v>
          </cell>
          <cell r="C19027" t="str">
            <v>INT BONOS GLOBALES BRASIL DPV ESTRATEGIC4NC</v>
          </cell>
        </row>
        <row r="19028">
          <cell r="B19028" t="str">
            <v>51030401010109</v>
          </cell>
          <cell r="C19028" t="str">
            <v>REND BONOS GLOBALES DISP PARA LA VTA    4NC</v>
          </cell>
        </row>
        <row r="19029">
          <cell r="B19029" t="str">
            <v>51030401010110</v>
          </cell>
          <cell r="C19029" t="str">
            <v>REND BONOS GLOBALES RESTRING PACTO      4NC</v>
          </cell>
        </row>
        <row r="19030">
          <cell r="B19030" t="str">
            <v>51030401010111</v>
          </cell>
          <cell r="C19030" t="str">
            <v>INT BONOS DEL TESORO AMERICANO          4NC</v>
          </cell>
        </row>
        <row r="19031">
          <cell r="B19031" t="str">
            <v>51030401010112</v>
          </cell>
          <cell r="C19031" t="str">
            <v>REND BONOS GLOB DPV ESPECIAL            4NC</v>
          </cell>
        </row>
        <row r="19032">
          <cell r="B19032" t="str">
            <v>51030401010113</v>
          </cell>
          <cell r="C19032" t="str">
            <v>REND BONOS SOBERA DPV ESPECIAL          4NC</v>
          </cell>
        </row>
        <row r="19033">
          <cell r="B19033" t="str">
            <v>51030401010114</v>
          </cell>
          <cell r="C19033" t="str">
            <v>INT BONOS GLOBALES BRASIL DPV ESPECIAL  4NC</v>
          </cell>
        </row>
        <row r="19034">
          <cell r="B19034" t="str">
            <v>51030401010115</v>
          </cell>
          <cell r="C19034" t="str">
            <v>INT CORRIDOS US TREASURIES DPV ESP      4NC</v>
          </cell>
        </row>
        <row r="19035">
          <cell r="B19035" t="str">
            <v>51030401010116</v>
          </cell>
          <cell r="C19035" t="str">
            <v>INT CORRIDOS US TREASURIES DPV EST      4NC</v>
          </cell>
        </row>
        <row r="19036">
          <cell r="B19036" t="str">
            <v>51030401010117</v>
          </cell>
          <cell r="C19036" t="str">
            <v>INT BONOS GOB COLOMBIA DPV MESA         4NC</v>
          </cell>
        </row>
        <row r="19037">
          <cell r="B19037" t="str">
            <v>51030401010118</v>
          </cell>
          <cell r="C19037" t="str">
            <v>INT BONOS GOB COLOMBIA DPV EST          4NC</v>
          </cell>
        </row>
        <row r="19038">
          <cell r="B19038" t="str">
            <v>51030401010119</v>
          </cell>
          <cell r="C19038" t="str">
            <v>INT BONOS GOB MEXICO DPV MESA           4NC</v>
          </cell>
        </row>
        <row r="19039">
          <cell r="B19039" t="str">
            <v>51030401010120</v>
          </cell>
          <cell r="C19039" t="str">
            <v>INT BONOS GOB MEXICO DPV EST            4NC</v>
          </cell>
        </row>
        <row r="19040">
          <cell r="B19040" t="str">
            <v>51030401010121</v>
          </cell>
          <cell r="C19040" t="str">
            <v>REND BONOS SOBERANOS CARTERA RESTRINGIDA4NC</v>
          </cell>
        </row>
        <row r="19041">
          <cell r="B19041" t="str">
            <v>51030401010122</v>
          </cell>
          <cell r="C19041" t="str">
            <v>ING AJUSTE VAC BONOS SOB ESTRAT         4NC</v>
          </cell>
        </row>
        <row r="19042">
          <cell r="B19042" t="str">
            <v>51030401010124</v>
          </cell>
          <cell r="C19042" t="str">
            <v>REND BONOS GLOB COLOMBIA DISPO VENTA    4NC</v>
          </cell>
        </row>
        <row r="19043">
          <cell r="B19043" t="str">
            <v>51030401010125</v>
          </cell>
          <cell r="C19043" t="str">
            <v>REND BONOS GLOB COLOMBIA DPV ESPECIAL   4NC</v>
          </cell>
        </row>
        <row r="19044">
          <cell r="B19044" t="str">
            <v>51030401010126</v>
          </cell>
          <cell r="C19044" t="str">
            <v>REND BONOS GLOB COLOMBIA DPV ESTRATEGICO4NC</v>
          </cell>
        </row>
        <row r="19045">
          <cell r="B19045" t="str">
            <v>51030401010127</v>
          </cell>
          <cell r="C19045" t="str">
            <v>REND BONOS GLOB MEXICO DISPO VENTA      4NC</v>
          </cell>
        </row>
        <row r="19046">
          <cell r="B19046" t="str">
            <v>51030401010128</v>
          </cell>
          <cell r="C19046" t="str">
            <v>REND BONOS GLOB MEXICO DPV ESPECIAL     4NC</v>
          </cell>
        </row>
        <row r="19047">
          <cell r="B19047" t="str">
            <v>51030401010129</v>
          </cell>
          <cell r="C19047" t="str">
            <v>REND BONOS GLOB MEXICO DPV ESTRATEGICO  4NC</v>
          </cell>
        </row>
        <row r="19048">
          <cell r="B19048" t="str">
            <v>51030401010130</v>
          </cell>
          <cell r="C19048" t="str">
            <v>REND BONOS GLOB CHILE DISPO VENTA       4NC</v>
          </cell>
        </row>
        <row r="19049">
          <cell r="B19049" t="str">
            <v>51030401010131</v>
          </cell>
          <cell r="C19049" t="str">
            <v>REND BONOS GLOB CHILE DPV ESPECIAL      4NC</v>
          </cell>
        </row>
        <row r="19050">
          <cell r="B19050" t="str">
            <v>51030401010132</v>
          </cell>
          <cell r="C19050" t="str">
            <v>REND BONOS GLOB CHILE DPV ESTRATEGICO   4NC</v>
          </cell>
        </row>
        <row r="19051">
          <cell r="B19051" t="str">
            <v>51030401010133</v>
          </cell>
          <cell r="C19051" t="str">
            <v>REND BONOS SOB ALM DPV ESTRATEGICO      4NC</v>
          </cell>
        </row>
        <row r="19052">
          <cell r="B19052" t="str">
            <v>51030401010134</v>
          </cell>
          <cell r="C19052" t="str">
            <v>REND BONOS TESORO US ALM DPV ESTRATEGICO4NC</v>
          </cell>
        </row>
        <row r="19053">
          <cell r="B19053" t="str">
            <v>51030401010135</v>
          </cell>
          <cell r="C19053" t="str">
            <v>REND BONOS GLOB PERU ALM DPV ESTRATEGICO4NC</v>
          </cell>
        </row>
        <row r="19054">
          <cell r="B19054" t="str">
            <v>51030401010136</v>
          </cell>
          <cell r="C19054" t="str">
            <v>REND BONOS GLOB COLOMBIA ALM DPV ESTRATE4NC</v>
          </cell>
        </row>
        <row r="19055">
          <cell r="B19055" t="str">
            <v>51030401010137</v>
          </cell>
          <cell r="C19055" t="str">
            <v>REND BONOS GLOB MEXICO ALM DPV ESTRATETI4NC</v>
          </cell>
        </row>
        <row r="19056">
          <cell r="B19056" t="str">
            <v>51030401010138</v>
          </cell>
          <cell r="C19056" t="str">
            <v>REND BONOS GLOB CHILE ALM DPV ESTRATETIC4NC</v>
          </cell>
        </row>
        <row r="19057">
          <cell r="B19057" t="str">
            <v>51030401010139</v>
          </cell>
          <cell r="C19057" t="str">
            <v>REND BONOS GLOB BRASIL ALM DPV ESTRATETI4NC</v>
          </cell>
        </row>
        <row r="19058">
          <cell r="B19058" t="str">
            <v>51030401010140</v>
          </cell>
          <cell r="C19058" t="str">
            <v>REND BONOS GLOB COLOMBIA IB-RESTRINGIDO 4NC</v>
          </cell>
        </row>
        <row r="19059">
          <cell r="B19059" t="str">
            <v>51030401010141</v>
          </cell>
          <cell r="C19059" t="str">
            <v>INT LETRAS MEF ALM ESTRAT               4NC</v>
          </cell>
        </row>
        <row r="19060">
          <cell r="B19060" t="str">
            <v>51030401010142</v>
          </cell>
          <cell r="C19060" t="str">
            <v>RENDIMIENTO BONOS GLOBALES DISP VTA PLUS4NC</v>
          </cell>
        </row>
        <row r="19061">
          <cell r="B19061" t="str">
            <v>51030401010143</v>
          </cell>
          <cell r="C19061" t="str">
            <v>RENDIMIENTO BONOS SOBERANOS DPV PLUS    4NC</v>
          </cell>
        </row>
        <row r="19062">
          <cell r="B19062" t="str">
            <v>51030401010144</v>
          </cell>
          <cell r="C19062" t="str">
            <v>RENDIMIENTO BONOS DEL TESORO USA DVTA PL4NC</v>
          </cell>
        </row>
        <row r="19063">
          <cell r="B19063" t="str">
            <v>51030401010145</v>
          </cell>
          <cell r="C19063" t="str">
            <v>REND BONOS SOB DPV BANKING BOOK         4NC</v>
          </cell>
        </row>
        <row r="19064">
          <cell r="B19064" t="str">
            <v>51030401010146</v>
          </cell>
          <cell r="C19064" t="str">
            <v>MDC INT LETRAS GLOBALES DPV ESPECIAL    4NC</v>
          </cell>
        </row>
        <row r="19065">
          <cell r="B19065" t="str">
            <v>51030401010801</v>
          </cell>
          <cell r="C19065" t="str">
            <v>PAN BONOS GLOBALES PERUANOS             4NC</v>
          </cell>
        </row>
        <row r="19066">
          <cell r="B19066" t="str">
            <v>51030401010802</v>
          </cell>
          <cell r="C19066" t="str">
            <v>PAN BONOS GLOBALES BRASIL               4NC</v>
          </cell>
        </row>
        <row r="19067">
          <cell r="B19067" t="str">
            <v>51030401090101</v>
          </cell>
          <cell r="C19067" t="str">
            <v>INT BONOS DE REACTIVACION- FOPE         4NC</v>
          </cell>
        </row>
        <row r="19068">
          <cell r="B19068" t="str">
            <v>51030401090103</v>
          </cell>
          <cell r="C19068" t="str">
            <v>REND BONOS DE REACTIVACION-RFA          4NC</v>
          </cell>
        </row>
        <row r="19069">
          <cell r="B19069" t="str">
            <v>51030402000102</v>
          </cell>
          <cell r="C19069" t="str">
            <v>INT.CDN BCRP AL DESCUENTO               4NC</v>
          </cell>
        </row>
        <row r="19070">
          <cell r="B19070" t="str">
            <v>51030402000103</v>
          </cell>
          <cell r="C19070" t="str">
            <v>REND FINANC.CD BCRP NR AL DESCUENTO     4NC</v>
          </cell>
        </row>
        <row r="19071">
          <cell r="B19071" t="str">
            <v>51030402000105</v>
          </cell>
          <cell r="C19071" t="str">
            <v>REND CDN BCRP-OPERAC.REPORTE            4NC</v>
          </cell>
        </row>
        <row r="19072">
          <cell r="B19072" t="str">
            <v>51030402000106</v>
          </cell>
          <cell r="C19072" t="str">
            <v>REND CD BCRP NR OPERAC.REPORTE          4NC</v>
          </cell>
        </row>
        <row r="19073">
          <cell r="B19073" t="str">
            <v>51030402000109</v>
          </cell>
          <cell r="C19073" t="str">
            <v>CERTIFICADO DEP TASA VAR INGRESO DEL REN4NC</v>
          </cell>
        </row>
        <row r="19074">
          <cell r="B19074" t="str">
            <v>51030402000110</v>
          </cell>
          <cell r="C19074" t="str">
            <v>REND CDBCRP DPV ESP                     4NC</v>
          </cell>
        </row>
        <row r="19075">
          <cell r="B19075" t="str">
            <v>51030402000111</v>
          </cell>
          <cell r="C19075" t="str">
            <v>INT.CDR BCRP AL DESCUENTO               4NC</v>
          </cell>
        </row>
        <row r="19076">
          <cell r="B19076" t="str">
            <v>51030402000112</v>
          </cell>
          <cell r="C19076" t="str">
            <v>REND CDBCRP ALM DPV ESTRATEGICO         4NC</v>
          </cell>
        </row>
        <row r="19077">
          <cell r="B19077" t="str">
            <v>51030402000113</v>
          </cell>
          <cell r="C19077" t="str">
            <v>INT AL DESCTO CD BCRP                   4NC</v>
          </cell>
        </row>
        <row r="19078">
          <cell r="B19078" t="str">
            <v>51030402000114</v>
          </cell>
          <cell r="C19078" t="str">
            <v>INT.CDBCRP AL DESCTO DPVESTRAT          4NC</v>
          </cell>
        </row>
        <row r="19079">
          <cell r="B19079" t="str">
            <v>51030402000115</v>
          </cell>
          <cell r="C19079" t="str">
            <v>BCR INT CD ION ALM EST                  4 C</v>
          </cell>
        </row>
        <row r="19080">
          <cell r="B19080" t="str">
            <v>51030402000116</v>
          </cell>
          <cell r="C19080" t="str">
            <v>INT CERTIFICADOS DEPÃ“SITO TASA VARIABLE4NC</v>
          </cell>
        </row>
        <row r="19081">
          <cell r="B19081" t="str">
            <v>51030402000117</v>
          </cell>
          <cell r="C19081" t="str">
            <v>INT CERTIFICADOS DEPÃ“SITO              4NC</v>
          </cell>
        </row>
        <row r="19082">
          <cell r="B19082" t="str">
            <v>51030402000118</v>
          </cell>
          <cell r="C19082" t="str">
            <v>MDC  INT.CDR BCRP ALM ESTRAT            4NC</v>
          </cell>
        </row>
        <row r="19083">
          <cell r="B19083" t="str">
            <v>51030402000119</v>
          </cell>
          <cell r="C19083" t="str">
            <v>MDC RENDIMIENTO CDBCRP TRADING MESA     4NC</v>
          </cell>
        </row>
        <row r="19084">
          <cell r="B19084" t="str">
            <v>51030403000101</v>
          </cell>
          <cell r="C19084" t="str">
            <v>RENDIMIENTOS BONOS COFIDE               4NC</v>
          </cell>
        </row>
        <row r="19085">
          <cell r="B19085" t="str">
            <v>51030403000102</v>
          </cell>
          <cell r="C19085" t="str">
            <v>INT BONOS CAF                           4NC</v>
          </cell>
        </row>
        <row r="19086">
          <cell r="B19086" t="str">
            <v>51030403000103</v>
          </cell>
          <cell r="C19086" t="str">
            <v>REND BONOS COFIDE DPV ESP               4NC</v>
          </cell>
        </row>
        <row r="19087">
          <cell r="B19087" t="str">
            <v>51030403000104</v>
          </cell>
          <cell r="C19087" t="str">
            <v>INT BONOS COFIDE DPV EST                4NC</v>
          </cell>
        </row>
        <row r="19088">
          <cell r="B19088" t="str">
            <v>51030403000105</v>
          </cell>
          <cell r="C19088" t="str">
            <v>INT CERTIFICADO DE DEPOSITO A VCTO      4NC</v>
          </cell>
        </row>
        <row r="19089">
          <cell r="B19089" t="str">
            <v>51030403000106</v>
          </cell>
          <cell r="C19089" t="str">
            <v>INT CD YANKEE DISÂ  VENTA               4NC</v>
          </cell>
        </row>
        <row r="19090">
          <cell r="B19090" t="str">
            <v>51030403000301</v>
          </cell>
          <cell r="C19090" t="str">
            <v>RENDIMIENTO DEV BONOS CAF               4NC</v>
          </cell>
        </row>
        <row r="19091">
          <cell r="B19091" t="str">
            <v>51030403000302</v>
          </cell>
          <cell r="C19091" t="str">
            <v>RENDIMIENTO BONOS BLADEX                4NC</v>
          </cell>
        </row>
        <row r="19092">
          <cell r="B19092" t="str">
            <v>51030405060101</v>
          </cell>
          <cell r="C19092" t="str">
            <v>REND BONOS HIPOTECARIOS IB              4NC</v>
          </cell>
        </row>
        <row r="19093">
          <cell r="B19093" t="str">
            <v>51030405060102</v>
          </cell>
          <cell r="C19093" t="str">
            <v>REND BONOS HIPOTECARIOS                 4NC</v>
          </cell>
        </row>
        <row r="19094">
          <cell r="B19094" t="str">
            <v>51030405070101</v>
          </cell>
          <cell r="C19094" t="str">
            <v>INT BAF EMPRESAS SISTEMA FINANC         4NC</v>
          </cell>
        </row>
        <row r="19095">
          <cell r="B19095" t="str">
            <v>51030405080101</v>
          </cell>
          <cell r="C19095" t="str">
            <v>REND BONOS CORPORATIVOS EMP SIST FINA   4NC</v>
          </cell>
        </row>
        <row r="19096">
          <cell r="B19096" t="str">
            <v>51030405080102</v>
          </cell>
          <cell r="C19096" t="str">
            <v>INT CORRIDOS BONOS CORP SIST FIN DPV EST4NC</v>
          </cell>
        </row>
        <row r="19097">
          <cell r="B19097" t="str">
            <v>51030405080103</v>
          </cell>
          <cell r="C19097" t="str">
            <v>INT CORRIDOS BONOS CORP SIST FIN DVP ESP4NC</v>
          </cell>
        </row>
        <row r="19098">
          <cell r="B19098" t="str">
            <v>51030405080104</v>
          </cell>
          <cell r="C19098" t="str">
            <v>INT BONOS CORP SIST FIN COLOMBIA DPV MES4NC</v>
          </cell>
        </row>
        <row r="19099">
          <cell r="B19099" t="str">
            <v>51030405080105</v>
          </cell>
          <cell r="C19099" t="str">
            <v>INT BONOS CORP SIST FIN COLOMBIA DPV EST4NC</v>
          </cell>
        </row>
        <row r="19100">
          <cell r="B19100" t="str">
            <v>51030405080106</v>
          </cell>
          <cell r="C19100" t="str">
            <v>INT BONOS CORP SIST FIN ALM EST         4NC</v>
          </cell>
        </row>
        <row r="19101">
          <cell r="B19101" t="str">
            <v>51030405080107</v>
          </cell>
          <cell r="C19101" t="str">
            <v>REND BONOS CORPORATIVOS EMP FIN DPLUS   4NC</v>
          </cell>
        </row>
        <row r="19102">
          <cell r="B19102" t="str">
            <v>51030405090101</v>
          </cell>
          <cell r="C19102" t="str">
            <v>RENDIMIENTO BONOS ESTRUCTURADOS         4NC</v>
          </cell>
        </row>
        <row r="19103">
          <cell r="B19103" t="str">
            <v>51030405090102</v>
          </cell>
          <cell r="C19103" t="str">
            <v>BONOS ESTRUCTURADO Â¿CS                 4NC</v>
          </cell>
        </row>
        <row r="19104">
          <cell r="B19104" t="str">
            <v>51030405090801</v>
          </cell>
          <cell r="C19104" t="str">
            <v>PAN NOTAS ESTRUCTURADAS                 4NC</v>
          </cell>
        </row>
        <row r="19105">
          <cell r="B19105" t="str">
            <v>51030405100101</v>
          </cell>
          <cell r="C19105" t="str">
            <v>REND DEV BONOS SUBORDINADOS             4NC</v>
          </cell>
        </row>
        <row r="19106">
          <cell r="B19106" t="str">
            <v>51030405100102</v>
          </cell>
          <cell r="C19106" t="str">
            <v>REND DEV BONO SUBORDINADO DPV FINANZAS  4NC</v>
          </cell>
        </row>
        <row r="19107">
          <cell r="B19107" t="str">
            <v>51030405190101</v>
          </cell>
          <cell r="C19107" t="str">
            <v>REND DEV BONOS DE TITULIZACION          4NC</v>
          </cell>
        </row>
        <row r="19108">
          <cell r="B19108" t="str">
            <v>51030405190102</v>
          </cell>
          <cell r="C19108" t="str">
            <v>REND DEV CDN EMP SIST FINANCIERO        4NC</v>
          </cell>
        </row>
        <row r="19109">
          <cell r="B19109" t="str">
            <v>51030405190103</v>
          </cell>
          <cell r="C19109" t="str">
            <v>INT BONOS TITUL SOC FIN DPV EST         4NC</v>
          </cell>
        </row>
        <row r="19110">
          <cell r="B19110" t="str">
            <v>51030405190104</v>
          </cell>
          <cell r="C19110" t="str">
            <v>MDC INT CD NEGOC ALM EST                4NC</v>
          </cell>
        </row>
        <row r="19111">
          <cell r="B19111" t="str">
            <v>51030407080101</v>
          </cell>
          <cell r="C19111" t="str">
            <v>INT.BONOS ORD.- SOC.NO FINANCIERAS      4NC</v>
          </cell>
        </row>
        <row r="19112">
          <cell r="B19112" t="str">
            <v>51030407080102</v>
          </cell>
          <cell r="C19112" t="str">
            <v>INT BONOS CORP DPV EST                  4NC</v>
          </cell>
        </row>
        <row r="19113">
          <cell r="B19113" t="str">
            <v>51030407080103</v>
          </cell>
          <cell r="C19113" t="str">
            <v>REND BONOS ORD SOC NO FIN DPV ESP       4NC</v>
          </cell>
        </row>
        <row r="19114">
          <cell r="B19114" t="str">
            <v>51030407080104</v>
          </cell>
          <cell r="C19114" t="str">
            <v>RENDIMIENTO BONOS ORD DPV PLUS          4NC</v>
          </cell>
        </row>
        <row r="19115">
          <cell r="B19115" t="str">
            <v>51030407080105</v>
          </cell>
          <cell r="C19115" t="str">
            <v>REND BONOS CORPORATIVOS SOC NO FIN DPLUS4NC</v>
          </cell>
        </row>
        <row r="19116">
          <cell r="B19116" t="str">
            <v>51030418010100</v>
          </cell>
          <cell r="C19116" t="str">
            <v>MDC REPO INT BONOS SOB ORD ALM ESTRA    4NC</v>
          </cell>
        </row>
        <row r="19117">
          <cell r="B19117" t="str">
            <v>51030418010101</v>
          </cell>
          <cell r="C19117" t="str">
            <v>MDC REPO INT BONOS SOB ORD DVP ESTRA    4NC</v>
          </cell>
        </row>
        <row r="19118">
          <cell r="B19118" t="str">
            <v>51030418010102</v>
          </cell>
          <cell r="C19118" t="str">
            <v>MDC REPO INT BONOS SOB ORD BANKING BOOK 4NC</v>
          </cell>
        </row>
        <row r="19119">
          <cell r="B19119" t="str">
            <v>51030418010103</v>
          </cell>
          <cell r="C19119" t="str">
            <v>MDC REND BONO GLOBA PERUANOS RESTRINGIDO4 C</v>
          </cell>
        </row>
        <row r="19120">
          <cell r="B19120" t="str">
            <v>51030501010103</v>
          </cell>
          <cell r="C19120" t="str">
            <v>REND BONOS GLOBALES A VCTO              4NC</v>
          </cell>
        </row>
        <row r="19121">
          <cell r="B19121" t="str">
            <v>51030501010104</v>
          </cell>
          <cell r="C19121" t="str">
            <v>REND BONOS SOBERANOS INV A VENCIMIENTO  4NC</v>
          </cell>
        </row>
        <row r="19122">
          <cell r="B19122" t="str">
            <v>51030501010105</v>
          </cell>
          <cell r="C19122" t="str">
            <v>INT BONOS SOB ORD A VENCIMIENTO         4NC</v>
          </cell>
        </row>
        <row r="19123">
          <cell r="B19123" t="str">
            <v>51030501010106</v>
          </cell>
          <cell r="C19123" t="str">
            <v>MDC REPO INT BONOS SOB ORD ALM ESTRA    4NC</v>
          </cell>
        </row>
        <row r="19124">
          <cell r="B19124" t="str">
            <v>51030501010107</v>
          </cell>
          <cell r="C19124" t="str">
            <v>MDC REPO INT BONOS SOB ORD DVP ESTRA    4NC</v>
          </cell>
        </row>
        <row r="19125">
          <cell r="B19125" t="str">
            <v>51030501010108</v>
          </cell>
          <cell r="C19125" t="str">
            <v>MDC REPO INT BONOS SOB ORD BANKING BOOK 4NC</v>
          </cell>
        </row>
        <row r="19126">
          <cell r="B19126" t="str">
            <v>51040101010101</v>
          </cell>
          <cell r="C19126" t="str">
            <v>INT AVANCES EN CTA CTE CONTRATADOS      4NC</v>
          </cell>
        </row>
        <row r="19127">
          <cell r="B19127" t="str">
            <v>51040101010103</v>
          </cell>
          <cell r="C19127" t="str">
            <v>LPC INT GAN AVANCE CTACTE COMER         4NC</v>
          </cell>
        </row>
        <row r="19128">
          <cell r="B19128" t="str">
            <v>51040101020101</v>
          </cell>
          <cell r="C19128" t="str">
            <v>INT X COB TC- COMERCIAL                 4NC</v>
          </cell>
        </row>
        <row r="19129">
          <cell r="B19129" t="str">
            <v>51040101020103</v>
          </cell>
          <cell r="C19129" t="str">
            <v>BL INT X COB TC- COMERCIAL MC           4NC</v>
          </cell>
        </row>
        <row r="19130">
          <cell r="B19130" t="str">
            <v>51040101050101</v>
          </cell>
          <cell r="C19130" t="str">
            <v>PR LETR./FACT.DSCTO.INT.GAN             4NC</v>
          </cell>
        </row>
        <row r="19131">
          <cell r="B19131" t="str">
            <v>51040101050102</v>
          </cell>
          <cell r="C19131" t="str">
            <v>CL PAG.TASA DSCTA.INT.X GAN             4NC</v>
          </cell>
        </row>
        <row r="19132">
          <cell r="B19132" t="str">
            <v>51040101050105</v>
          </cell>
          <cell r="C19132" t="str">
            <v>INT GAN PAG DSCTO CALIF DUDOSACL        4NC</v>
          </cell>
        </row>
        <row r="19133">
          <cell r="B19133" t="str">
            <v>51040101050107</v>
          </cell>
          <cell r="C19133" t="str">
            <v>PR DSCTO ELECTR SM PERUAN I.VIG         4NC</v>
          </cell>
        </row>
        <row r="19134">
          <cell r="B19134" t="str">
            <v>51040101060101</v>
          </cell>
          <cell r="C19134" t="str">
            <v>CL PAG.TASA VENC.INT.GANADO             4NC</v>
          </cell>
        </row>
        <row r="19135">
          <cell r="B19135" t="str">
            <v>51040101060102</v>
          </cell>
          <cell r="C19135" t="str">
            <v>CL P.T.VENCIDA COFIDE INT.GAN           4NC</v>
          </cell>
        </row>
        <row r="19136">
          <cell r="B19136" t="str">
            <v>51040101060104</v>
          </cell>
          <cell r="C19136" t="str">
            <v>INT RP EXP PRE EMB CL                   4NC</v>
          </cell>
        </row>
        <row r="19137">
          <cell r="B19137" t="str">
            <v>51040101060105</v>
          </cell>
          <cell r="C19137" t="str">
            <v>INT  RP EXP POST EMB CL                 4NC</v>
          </cell>
        </row>
        <row r="19138">
          <cell r="B19138" t="str">
            <v>51040101060107</v>
          </cell>
          <cell r="C19138" t="str">
            <v>MYP INT.GANAD.VIG FIN.IMPORT CAP TRAB CO4NC</v>
          </cell>
        </row>
        <row r="19139">
          <cell r="B19139" t="str">
            <v>51040101060108</v>
          </cell>
          <cell r="C19139" t="str">
            <v>MYP INT.GANAD.VIG FIN.IMPORT ACTIVO F   4NC</v>
          </cell>
        </row>
        <row r="19140">
          <cell r="B19140" t="str">
            <v>51040101060132</v>
          </cell>
          <cell r="C19140" t="str">
            <v>CL D/P PAG.TSA.VENC.INT.GANAD           4NC</v>
          </cell>
        </row>
        <row r="19141">
          <cell r="B19141" t="str">
            <v>51040101060139</v>
          </cell>
          <cell r="C19141" t="str">
            <v>LPC PAG.TASA VENCIDA INT.GAN.VEN        4NC</v>
          </cell>
        </row>
        <row r="19142">
          <cell r="B19142" t="str">
            <v>51040101060140</v>
          </cell>
          <cell r="C19142" t="str">
            <v>LPC P.TASA VENC. D/P INT.VIG            4NC</v>
          </cell>
        </row>
        <row r="19143">
          <cell r="B19143" t="str">
            <v>51040101060141</v>
          </cell>
          <cell r="C19143" t="str">
            <v>PTV  CAP COFIDE  SBS - LPC              4NC</v>
          </cell>
        </row>
        <row r="19144">
          <cell r="B19144" t="str">
            <v>51040101060144</v>
          </cell>
          <cell r="C19144" t="str">
            <v>CL PAG.TASA VENC.INT.GAN.DIF            4NC</v>
          </cell>
        </row>
        <row r="19145">
          <cell r="B19145" t="str">
            <v>51040101060157</v>
          </cell>
          <cell r="C19145" t="str">
            <v>CL INT.GAN PAG.TV NEG.INMOB VIG         4NC</v>
          </cell>
        </row>
        <row r="19146">
          <cell r="B19146" t="str">
            <v>51040101060162</v>
          </cell>
          <cell r="C19146" t="str">
            <v>MYP C INT.GAN.VIG FIN.CAP.TRAB          4NC</v>
          </cell>
        </row>
        <row r="19147">
          <cell r="B19147" t="str">
            <v>51040101060163</v>
          </cell>
          <cell r="C19147" t="str">
            <v>MYP D/P C GAN.INT.VIG FIN.CAP.TRAB      4NC</v>
          </cell>
        </row>
        <row r="19148">
          <cell r="B19148" t="str">
            <v>51040101060164</v>
          </cell>
          <cell r="C19148" t="str">
            <v>MYP C INT.GAN.VIG FIN.COMPRA. AF        4NC</v>
          </cell>
        </row>
        <row r="19149">
          <cell r="B19149" t="str">
            <v>51040101060165</v>
          </cell>
          <cell r="C19149" t="str">
            <v>MYP D/P C GAN.INT.VIG FIN.COMPRA. AF    4NC</v>
          </cell>
        </row>
        <row r="19150">
          <cell r="B19150" t="str">
            <v>51040101060166</v>
          </cell>
          <cell r="C19150" t="str">
            <v>MYP C INT.GAN.VIG FIN.CRED. PARA        4NC</v>
          </cell>
        </row>
        <row r="19151">
          <cell r="B19151" t="str">
            <v>51040101060168</v>
          </cell>
          <cell r="C19151" t="str">
            <v>MYP INT.GAN.VIG FIN. COMPRA DE DEUDA    4NC</v>
          </cell>
        </row>
        <row r="19152">
          <cell r="B19152" t="str">
            <v>51040101060170</v>
          </cell>
          <cell r="C19152" t="str">
            <v>MYP C INT.GAN.VIG LINEA REVOLVENTE      4NC</v>
          </cell>
        </row>
        <row r="19153">
          <cell r="B19153" t="str">
            <v>51040101060171</v>
          </cell>
          <cell r="C19153" t="str">
            <v>MYP D/P C GAN.INT.VIG LINEA REVO        4NC</v>
          </cell>
        </row>
        <row r="19154">
          <cell r="B19154" t="str">
            <v>51040101060172</v>
          </cell>
          <cell r="C19154" t="str">
            <v>MYP C INT.GAN.VIG TRANSP PUBLICO C      4NC</v>
          </cell>
        </row>
        <row r="19155">
          <cell r="B19155" t="str">
            <v>51040101060173</v>
          </cell>
          <cell r="C19155" t="str">
            <v>MYP D/P C GAN.INT.VIG TRANSP PUBLI      4NC</v>
          </cell>
        </row>
        <row r="19156">
          <cell r="B19156" t="str">
            <v>51040101060175</v>
          </cell>
          <cell r="C19156" t="str">
            <v>MYP E.R.C INT.GAN.VIG FIN.CAP.TR        4NC</v>
          </cell>
        </row>
        <row r="19157">
          <cell r="B19157" t="str">
            <v>51040101060201</v>
          </cell>
          <cell r="C19157" t="str">
            <v>LPC INT.GAN PAG.TV NEG.INMOB VIG        4NC</v>
          </cell>
        </row>
        <row r="19158">
          <cell r="B19158" t="str">
            <v>51040101100101</v>
          </cell>
          <cell r="C19158" t="str">
            <v>PR LET.FACTO.DIF.GAN                    4NC</v>
          </cell>
        </row>
        <row r="19159">
          <cell r="B19159" t="str">
            <v>51040101100102</v>
          </cell>
          <cell r="C19159" t="str">
            <v>PR FACTORING FACTU.INT.DIF.GAN          4NC</v>
          </cell>
        </row>
        <row r="19160">
          <cell r="B19160" t="str">
            <v>51040101100103</v>
          </cell>
          <cell r="C19160" t="str">
            <v>PR LET.FACTOR.SUSP.COMP.GAN             4NC</v>
          </cell>
        </row>
        <row r="19161">
          <cell r="B19161" t="str">
            <v>51040101100104</v>
          </cell>
          <cell r="C19161" t="str">
            <v>PR FACTORING FACTU.INT.COMP.GAN         4NC</v>
          </cell>
        </row>
        <row r="19162">
          <cell r="B19162" t="str">
            <v>51040101100111</v>
          </cell>
          <cell r="C19162" t="str">
            <v>PR FACT ELECTR LET/FACT I.DIF           4NC</v>
          </cell>
        </row>
        <row r="19163">
          <cell r="B19163" t="str">
            <v>51040101100112</v>
          </cell>
          <cell r="C19163" t="str">
            <v>PR FACT ELECTR LET/FACT I.DIF           4NC</v>
          </cell>
        </row>
        <row r="19164">
          <cell r="B19164" t="str">
            <v>51040101100113</v>
          </cell>
          <cell r="C19164" t="str">
            <v>PR FACTORING INTL INT VIG               4NC</v>
          </cell>
        </row>
        <row r="19165">
          <cell r="B19165" t="str">
            <v>51040101110107</v>
          </cell>
          <cell r="C19165" t="str">
            <v>LPC IDL LS BIEN RP INT.GAN VIG          4NC</v>
          </cell>
        </row>
        <row r="19166">
          <cell r="B19166" t="str">
            <v>51040101110108</v>
          </cell>
          <cell r="C19166" t="str">
            <v>LPC ISG LS BIEN RP CIA SEG INT          4NC</v>
          </cell>
        </row>
        <row r="19167">
          <cell r="B19167" t="str">
            <v>51040101110109</v>
          </cell>
          <cell r="C19167" t="str">
            <v>LPC IDS LS BIEN RP GAN SEG              4NC</v>
          </cell>
        </row>
        <row r="19168">
          <cell r="B19168" t="str">
            <v>51040101110110</v>
          </cell>
          <cell r="C19168" t="str">
            <v>INT VIG LEASING BIEN D/P RP LPC         4NC</v>
          </cell>
        </row>
        <row r="19169">
          <cell r="B19169" t="str">
            <v>51040101110111</v>
          </cell>
          <cell r="C19169" t="str">
            <v>LPC ISG LS BIEN D/P CIA.SEG VIG         4NC</v>
          </cell>
        </row>
        <row r="19170">
          <cell r="B19170" t="str">
            <v>51040101110112</v>
          </cell>
          <cell r="C19170" t="str">
            <v>INT VIG LEASING SEG D/P RP LPC          4NC</v>
          </cell>
        </row>
        <row r="19171">
          <cell r="B19171" t="str">
            <v>51040101110120</v>
          </cell>
          <cell r="C19171" t="str">
            <v>LPC IDL LS BIEN ADJU.INT.DIF VIG        4NC</v>
          </cell>
        </row>
        <row r="19172">
          <cell r="B19172" t="str">
            <v>51040101110121</v>
          </cell>
          <cell r="C19172" t="str">
            <v>LPC IDS LS BIEN ADJU.DIF.SEG VIG        4NC</v>
          </cell>
        </row>
        <row r="19173">
          <cell r="B19173" t="str">
            <v>51040101110122</v>
          </cell>
          <cell r="C19173" t="str">
            <v>LPC CIA SEG LSG ADJ. RP V-S             4NC</v>
          </cell>
        </row>
        <row r="19174">
          <cell r="B19174" t="str">
            <v>51040101110204</v>
          </cell>
          <cell r="C19174" t="str">
            <v>LPC SISM ISG LSG IN GAN PRI SEG         4NC</v>
          </cell>
        </row>
        <row r="19175">
          <cell r="B19175" t="str">
            <v>51040101110205</v>
          </cell>
          <cell r="C19175" t="str">
            <v>LPC LS EN PROC.BPE INT.PRE CUOT.        4NC</v>
          </cell>
        </row>
        <row r="19176">
          <cell r="B19176" t="str">
            <v>51040101110206</v>
          </cell>
          <cell r="C19176" t="str">
            <v>LPC IDL LS BIEN BPE INT.GAN VIG         4NC</v>
          </cell>
        </row>
        <row r="19177">
          <cell r="B19177" t="str">
            <v>51040101110207</v>
          </cell>
          <cell r="C19177" t="str">
            <v>LPC ISG LS BIEN BPE CIA SEG INT         4NC</v>
          </cell>
        </row>
        <row r="19178">
          <cell r="B19178" t="str">
            <v>51040101110208</v>
          </cell>
          <cell r="C19178" t="str">
            <v>LPC IDS LS BIEN BPE GAN SEG             4NC</v>
          </cell>
        </row>
        <row r="19179">
          <cell r="B19179" t="str">
            <v>51040101110209</v>
          </cell>
          <cell r="C19179" t="str">
            <v>LPC INT VIG LEASING BIEN D/P BPE        4NC</v>
          </cell>
        </row>
        <row r="19180">
          <cell r="B19180" t="str">
            <v>51040101110210</v>
          </cell>
          <cell r="C19180" t="str">
            <v>LPC ISG LS B.D/P CIA.SEG VIG BPE        4NC</v>
          </cell>
        </row>
        <row r="19181">
          <cell r="B19181" t="str">
            <v>51040101110211</v>
          </cell>
          <cell r="C19181" t="str">
            <v>LPC INT VIG LS SEG D/P BPE              4NC</v>
          </cell>
        </row>
        <row r="19182">
          <cell r="B19182" t="str">
            <v>51040101120101</v>
          </cell>
          <cell r="C19182" t="str">
            <v>LPC IDL LSBACK BIEN INT.DIF.VIG         4NC</v>
          </cell>
        </row>
        <row r="19183">
          <cell r="B19183" t="str">
            <v>51040101120102</v>
          </cell>
          <cell r="C19183" t="str">
            <v>LPC ISG LSBACK BIEN CIA.SEG             4NC</v>
          </cell>
        </row>
        <row r="19184">
          <cell r="B19184" t="str">
            <v>51040101120103</v>
          </cell>
          <cell r="C19184" t="str">
            <v>LPC IDS LSBACK BIEN DIF.SEG VIG         4NC</v>
          </cell>
        </row>
        <row r="19185">
          <cell r="B19185" t="str">
            <v>51040101120104</v>
          </cell>
          <cell r="C19185" t="str">
            <v>INT VIG LEASEBACK BIEN D/P RP LPC       4NC</v>
          </cell>
        </row>
        <row r="19186">
          <cell r="B19186" t="str">
            <v>51040101140102</v>
          </cell>
          <cell r="C19186" t="str">
            <v>INT DEUDORES VTA CARTERA-DUDOSA CL      4NC</v>
          </cell>
        </row>
        <row r="19187">
          <cell r="B19187" t="str">
            <v>51040101140104</v>
          </cell>
          <cell r="C19187" t="str">
            <v>CL INT.GAN.DEUD.VTA.CART.VIG            4NC</v>
          </cell>
        </row>
        <row r="19188">
          <cell r="B19188" t="str">
            <v>51040101160101</v>
          </cell>
          <cell r="C19188" t="str">
            <v>BANCO CENTRAL DE RESERVA DEL PERU       4NC</v>
          </cell>
        </row>
        <row r="19189">
          <cell r="B19189" t="str">
            <v>51040101160102</v>
          </cell>
          <cell r="C19189" t="str">
            <v>BANCO DE LA NACIÓN                      4NC</v>
          </cell>
        </row>
        <row r="19190">
          <cell r="B19190" t="str">
            <v>51040101160103</v>
          </cell>
          <cell r="C19190" t="str">
            <v>BANCODE CREDITO DEL PERU                4NC</v>
          </cell>
        </row>
        <row r="19191">
          <cell r="B19191" t="str">
            <v>51040101160104</v>
          </cell>
          <cell r="C19191" t="str">
            <v>BANCO INTERNACIONAL DEL PERU - INTERBANK4NC</v>
          </cell>
        </row>
        <row r="19192">
          <cell r="B19192" t="str">
            <v>51040101160105</v>
          </cell>
          <cell r="C19192" t="str">
            <v>SCOTIABANK PERU S. A. A.                4NC</v>
          </cell>
        </row>
        <row r="19193">
          <cell r="B19193" t="str">
            <v>51040101160106</v>
          </cell>
          <cell r="C19193" t="str">
            <v>BANCO CONTINENTAL                       4NC</v>
          </cell>
        </row>
        <row r="19194">
          <cell r="B19194" t="str">
            <v>51040101160108</v>
          </cell>
          <cell r="C19194" t="str">
            <v>BANCO DE COMERCIO                       4NC</v>
          </cell>
        </row>
        <row r="19195">
          <cell r="B19195" t="str">
            <v>51040101160109</v>
          </cell>
          <cell r="C19195" t="str">
            <v>BANCO FINANCIERO DEL PERU               4NC</v>
          </cell>
        </row>
        <row r="19196">
          <cell r="B19196" t="str">
            <v>51040101160116</v>
          </cell>
          <cell r="C19196" t="str">
            <v>CITIBANK N. A. , SUCURSAL EN EL PERU DEL4NC</v>
          </cell>
        </row>
        <row r="19197">
          <cell r="B19197" t="str">
            <v>51040101160121</v>
          </cell>
          <cell r="C19197" t="str">
            <v>BANCO INTERAMERICANO DE FINANZAS - S. A.4NC</v>
          </cell>
        </row>
        <row r="19198">
          <cell r="B19198" t="str">
            <v>51040101160128</v>
          </cell>
          <cell r="C19198" t="str">
            <v>LPC CORP.FINANC.DESAR.-COFIDE           4 C</v>
          </cell>
        </row>
        <row r="19199">
          <cell r="B19199" t="str">
            <v>51040101160129</v>
          </cell>
          <cell r="C19199" t="str">
            <v>LPC MI BANCO INVIGENTES                 4NC</v>
          </cell>
        </row>
        <row r="19200">
          <cell r="B19200" t="str">
            <v>51040101160131</v>
          </cell>
          <cell r="C19200" t="str">
            <v>LPC BANCO AGROPECUARIO VIG              4 C</v>
          </cell>
        </row>
        <row r="19201">
          <cell r="B19201" t="str">
            <v>51040101160132</v>
          </cell>
          <cell r="C19201" t="str">
            <v>HSBC BANK PERU S. A.                    4NC</v>
          </cell>
        </row>
        <row r="19202">
          <cell r="B19202" t="str">
            <v>51040101160133</v>
          </cell>
          <cell r="C19202" t="str">
            <v>LPC INT.GAN.PAG.EMP.SIS.FIN.PAIS-FALA   4NC</v>
          </cell>
        </row>
        <row r="19203">
          <cell r="B19203" t="str">
            <v>51040101160134</v>
          </cell>
          <cell r="C19203" t="str">
            <v>BANCO SANTANDER PERU S. A.              4NC</v>
          </cell>
        </row>
        <row r="19204">
          <cell r="B19204" t="str">
            <v>51040101160135</v>
          </cell>
          <cell r="C19204" t="str">
            <v>LPC INT GAN BANCO RIPLEY VIGENTE        4NC</v>
          </cell>
        </row>
        <row r="19205">
          <cell r="B19205" t="str">
            <v>51040101160136</v>
          </cell>
          <cell r="C19205" t="str">
            <v>BANCO AZTECA DEL PERU S. A.             4NC</v>
          </cell>
        </row>
        <row r="19206">
          <cell r="B19206" t="str">
            <v>51040101160137</v>
          </cell>
          <cell r="C19206" t="str">
            <v>DEUTSCHE BANK (PERU) S. A.              4NC</v>
          </cell>
        </row>
        <row r="19207">
          <cell r="B19207" t="str">
            <v>51040101160199</v>
          </cell>
          <cell r="C19207" t="str">
            <v>BANCOS EN LIQUIDACIÓN                   4NC</v>
          </cell>
        </row>
        <row r="19208">
          <cell r="B19208" t="str">
            <v>51040101160203</v>
          </cell>
          <cell r="C19208" t="str">
            <v>SOLUCIÓN FINANCIERADE CREDITO DEL PERU  4NC</v>
          </cell>
        </row>
        <row r="19209">
          <cell r="B19209" t="str">
            <v>51040101160207</v>
          </cell>
          <cell r="C19209" t="str">
            <v>LPC FINANCIERA TFC (VOLVO FINANCE DEL PE4 C</v>
          </cell>
        </row>
        <row r="19210">
          <cell r="B19210" t="str">
            <v>51040101160208</v>
          </cell>
          <cell r="C19210" t="str">
            <v>LPC FINANCIERA CORDILLERA VIGENTE       4NC</v>
          </cell>
        </row>
        <row r="19211">
          <cell r="B19211" t="str">
            <v>51040101160209</v>
          </cell>
          <cell r="C19211" t="str">
            <v>FINANCIERA EDYFICAR S.A                 4NC</v>
          </cell>
        </row>
        <row r="19212">
          <cell r="B19212" t="str">
            <v>51040101160210</v>
          </cell>
          <cell r="C19212" t="str">
            <v>CREDISCOTIA FINANCIERA S. A.            4NC</v>
          </cell>
        </row>
        <row r="19213">
          <cell r="B19213" t="str">
            <v>51040101160211</v>
          </cell>
          <cell r="C19213" t="str">
            <v>FINANCIERA CREAR                        4 C</v>
          </cell>
        </row>
        <row r="19214">
          <cell r="B19214" t="str">
            <v>51040101160212</v>
          </cell>
          <cell r="C19214" t="str">
            <v>FINANCIERA CONFIANZA S.A.               4 C</v>
          </cell>
        </row>
        <row r="19215">
          <cell r="B19215" t="str">
            <v>51040101160213</v>
          </cell>
          <cell r="C19215" t="str">
            <v>FINANCIERA UNIVERSAL S. A.              4NC</v>
          </cell>
        </row>
        <row r="19216">
          <cell r="B19216" t="str">
            <v>51040101160214</v>
          </cell>
          <cell r="C19216" t="str">
            <v>FINANCIERA UNO S. A.                    4NC</v>
          </cell>
        </row>
        <row r="19217">
          <cell r="B19217" t="str">
            <v>51040101160215</v>
          </cell>
          <cell r="C19217" t="str">
            <v>LPC FINANCIERA EFECTIVA S.A VIG         4NC</v>
          </cell>
        </row>
        <row r="19218">
          <cell r="B19218" t="str">
            <v>51040101160216</v>
          </cell>
          <cell r="C19218" t="str">
            <v>LPC AMERIKA FINANCIERA S.A VIG          4NC</v>
          </cell>
        </row>
        <row r="19219">
          <cell r="B19219" t="str">
            <v>51040101160299</v>
          </cell>
          <cell r="C19219" t="str">
            <v>FINANCIERAS EN LIQUIDACIÓN              4NC</v>
          </cell>
        </row>
        <row r="19220">
          <cell r="B19220" t="str">
            <v>51040101160301</v>
          </cell>
          <cell r="C19220" t="str">
            <v>LPC CAJA MUNICIPAL DE AHORRO Y CRED     4NC</v>
          </cell>
        </row>
        <row r="19221">
          <cell r="B19221" t="str">
            <v>51040101160302</v>
          </cell>
          <cell r="C19221" t="str">
            <v>CAJA MUNICIPALDE CREDITO POPULAR DE LIMA4NC</v>
          </cell>
        </row>
        <row r="19222">
          <cell r="B19222" t="str">
            <v>51040101160303</v>
          </cell>
          <cell r="C19222" t="str">
            <v>CAJA MUNICIPAL DE AHORRO YCREDITO DE PIU4NC</v>
          </cell>
        </row>
        <row r="19223">
          <cell r="B19223" t="str">
            <v>51040101160304</v>
          </cell>
          <cell r="C19223" t="str">
            <v>CAJA MUNICIPAL DE AHORRO YCREDITO DE ARE4NC</v>
          </cell>
        </row>
        <row r="19224">
          <cell r="B19224" t="str">
            <v>51040101160305</v>
          </cell>
          <cell r="C19224" t="str">
            <v>CAJA MUNICIPAL DE AHORRO YCREDITO DE HUA4NC</v>
          </cell>
        </row>
        <row r="19225">
          <cell r="B19225" t="str">
            <v>51040101160306</v>
          </cell>
          <cell r="C19225" t="str">
            <v>CAJA MUNICIPAL DE AHORRO YCREDITO CUSCO 4NC</v>
          </cell>
        </row>
        <row r="19226">
          <cell r="B19226" t="str">
            <v>51040101160307</v>
          </cell>
          <cell r="C19226" t="str">
            <v>LPC CAJA MUNICIPAL DE AHORRO Y CRED. MAY4 C</v>
          </cell>
        </row>
        <row r="19227">
          <cell r="B19227" t="str">
            <v>51040101160308</v>
          </cell>
          <cell r="C19227" t="str">
            <v>CAJA MUNICIPAL DE AHORRO YCREDITO DE ICA4NC</v>
          </cell>
        </row>
        <row r="19228">
          <cell r="B19228" t="str">
            <v>51040101160309</v>
          </cell>
          <cell r="C19228" t="str">
            <v>CAJA MUNICIPAL DE AHORRO YCREDITO DE PAI4NC</v>
          </cell>
        </row>
        <row r="19229">
          <cell r="B19229" t="str">
            <v>51040101160310</v>
          </cell>
          <cell r="C19229" t="str">
            <v>CAJA MUNICIPAL DE AHORRO YCREDITO DEL SA4NC</v>
          </cell>
        </row>
        <row r="19230">
          <cell r="B19230" t="str">
            <v>51040101160311</v>
          </cell>
          <cell r="C19230" t="str">
            <v>CAJA MUNICIPAL DE AHORRO YCREDITO DE TRU4NC</v>
          </cell>
        </row>
        <row r="19231">
          <cell r="B19231" t="str">
            <v>51040101160312</v>
          </cell>
          <cell r="C19231" t="str">
            <v>LPC CAJA MUNICIPAL DE AHORRO Y CRED. TAC4 C</v>
          </cell>
        </row>
        <row r="19232">
          <cell r="B19232" t="str">
            <v>51040101160313</v>
          </cell>
          <cell r="C19232" t="str">
            <v>CAJA MUNICIPAL DE AHORRO YCREDITO DE PIS4NC</v>
          </cell>
        </row>
        <row r="19233">
          <cell r="B19233" t="str">
            <v>51040101160399</v>
          </cell>
          <cell r="C19233" t="str">
            <v>CAJAS MUNICIPALES DE AHORRO YCREDITO EN 4NC</v>
          </cell>
        </row>
        <row r="19234">
          <cell r="B19234" t="str">
            <v>51040101160403</v>
          </cell>
          <cell r="C19234" t="str">
            <v>CAJA RURAL DE AHORRO YCREDITO QUILLABAMB4NC</v>
          </cell>
        </row>
        <row r="19235">
          <cell r="B19235" t="str">
            <v>51040101160405</v>
          </cell>
          <cell r="C19235" t="str">
            <v>CAJA RURAL DE AHORRO YCREDITO LOS LIBERT4NC</v>
          </cell>
        </row>
        <row r="19236">
          <cell r="B19236" t="str">
            <v>51040101160406</v>
          </cell>
          <cell r="C19236" t="str">
            <v>CAJA RURAL DE AHORRO YCREDITO SEÑOR DE L4NC</v>
          </cell>
        </row>
        <row r="19237">
          <cell r="B19237" t="str">
            <v>51040101160407</v>
          </cell>
          <cell r="C19237" t="str">
            <v>LPC CJA.RUR.AH.Y CRED.CHAVIN VIG        4 C</v>
          </cell>
        </row>
        <row r="19238">
          <cell r="B19238" t="str">
            <v>51040101160408</v>
          </cell>
          <cell r="C19238" t="str">
            <v>CAJA RURAL DE AHORRO YCREDITO NUESTRA GE4NC</v>
          </cell>
        </row>
        <row r="19239">
          <cell r="B19239" t="str">
            <v>51040101160409</v>
          </cell>
          <cell r="C19239" t="str">
            <v>CAJA RURAL DE AHORRO YCREDITO CAJAMARCA 4NC</v>
          </cell>
        </row>
        <row r="19240">
          <cell r="B19240" t="str">
            <v>51040101160410</v>
          </cell>
          <cell r="C19240" t="str">
            <v>LPC CJA.RUR.AH.YCRED.PROFINANZAS        4 C</v>
          </cell>
        </row>
        <row r="19241">
          <cell r="B19241" t="str">
            <v>51040101160412</v>
          </cell>
          <cell r="C19241" t="str">
            <v>CAJA RURAL DE AHORRO YCREDITO SIPÁN S. A4NC</v>
          </cell>
        </row>
        <row r="19242">
          <cell r="B19242" t="str">
            <v>51040101160414</v>
          </cell>
          <cell r="C19242" t="str">
            <v>CAJA RURAL DE AHORRO YCREDITO PRYMERA S.4NC</v>
          </cell>
        </row>
        <row r="19243">
          <cell r="B19243" t="str">
            <v>51040101160415</v>
          </cell>
          <cell r="C19243" t="str">
            <v>CAJA RURAL DE AHORRO YCREDITO LOS ANDES 4NC</v>
          </cell>
        </row>
        <row r="19244">
          <cell r="B19244" t="str">
            <v>51040101160499</v>
          </cell>
          <cell r="C19244" t="str">
            <v>CAJAS RURALES DE AHORRO YCREDITO EN LIQU4NC</v>
          </cell>
        </row>
        <row r="19245">
          <cell r="B19245" t="str">
            <v>51040101160503</v>
          </cell>
          <cell r="C19245" t="str">
            <v>PROEMPRESA S. A.                        4NC</v>
          </cell>
        </row>
        <row r="19246">
          <cell r="B19246" t="str">
            <v>51040101160505</v>
          </cell>
          <cell r="C19246" t="str">
            <v>LPC EDPYME CREDITOS AREQUIPA VIGENTE    4NC</v>
          </cell>
        </row>
        <row r="19247">
          <cell r="B19247" t="str">
            <v>51040101160506</v>
          </cell>
          <cell r="C19247" t="str">
            <v>NUEVA VISIÓN S. A.                      4NC</v>
          </cell>
        </row>
        <row r="19248">
          <cell r="B19248" t="str">
            <v>51040101160507</v>
          </cell>
          <cell r="C19248" t="str">
            <v>LPC EDPYME CONFIANZA S.A. VIG           4NC</v>
          </cell>
        </row>
        <row r="19249">
          <cell r="B19249" t="str">
            <v>51040101160508</v>
          </cell>
          <cell r="C19249" t="str">
            <v>RAIZ S. A.                              4NC</v>
          </cell>
        </row>
        <row r="19250">
          <cell r="B19250" t="str">
            <v>51040101160510</v>
          </cell>
          <cell r="C19250" t="str">
            <v>LPC EDPYME SOLIDARIDAD S.A VIG          4 C</v>
          </cell>
        </row>
        <row r="19251">
          <cell r="B19251" t="str">
            <v>51040101160511</v>
          </cell>
          <cell r="C19251" t="str">
            <v>CREDIVISIÓN S. A.                       4NC</v>
          </cell>
        </row>
        <row r="19252">
          <cell r="B19252" t="str">
            <v>51040101160512</v>
          </cell>
          <cell r="C19252" t="str">
            <v>ACCESO CREDITICIO S. A.                 4NC</v>
          </cell>
        </row>
        <row r="19253">
          <cell r="B19253" t="str">
            <v>51040101160513</v>
          </cell>
          <cell r="C19253" t="str">
            <v>LPC EDPY.EFECTIVA/CAMCO PIURA VIGENTE   4NC</v>
          </cell>
        </row>
        <row r="19254">
          <cell r="B19254" t="str">
            <v>51040101160514</v>
          </cell>
          <cell r="C19254" t="str">
            <v>LPC EDPYME ALTERNATIVA VIG              4NC</v>
          </cell>
        </row>
        <row r="19255">
          <cell r="B19255" t="str">
            <v>51040101160515</v>
          </cell>
          <cell r="C19255" t="str">
            <v>PRONEGOCIOS S. A.                       4NC</v>
          </cell>
        </row>
        <row r="19256">
          <cell r="B19256" t="str">
            <v>51040101160516</v>
          </cell>
          <cell r="C19256" t="str">
            <v>MICASITA S. A.                          4NC</v>
          </cell>
        </row>
        <row r="19257">
          <cell r="B19257" t="str">
            <v>51040101160517</v>
          </cell>
          <cell r="C19257" t="str">
            <v>CREDIJET DEL PERU S. A.                 4NC</v>
          </cell>
        </row>
        <row r="19258">
          <cell r="B19258" t="str">
            <v>51040101160599</v>
          </cell>
          <cell r="C19258" t="str">
            <v>EDPYMES EN LIQUIDACIÓN                  4NC</v>
          </cell>
        </row>
        <row r="19259">
          <cell r="B19259" t="str">
            <v>51040101160601</v>
          </cell>
          <cell r="C19259" t="str">
            <v>LPC INT.GAN.PG.COOP.AHO./CRE.VIG        4NC</v>
          </cell>
        </row>
        <row r="19260">
          <cell r="B19260" t="str">
            <v>51040101160705</v>
          </cell>
          <cell r="C19260" t="str">
            <v>LPC AMERICAN LEASING S.A VIG            4NC</v>
          </cell>
        </row>
        <row r="19261">
          <cell r="B19261" t="str">
            <v>51040101160710</v>
          </cell>
          <cell r="C19261" t="str">
            <v>LEASING TOTAL S. A.                     4NC</v>
          </cell>
        </row>
        <row r="19262">
          <cell r="B19262" t="str">
            <v>51040101160711</v>
          </cell>
          <cell r="C19262" t="str">
            <v>MITSUI - MASA LEASING S. A.             4NC</v>
          </cell>
        </row>
        <row r="19263">
          <cell r="B19263" t="str">
            <v>51040101160799</v>
          </cell>
          <cell r="C19263" t="str">
            <v>LEASING EN LIQUIDACIÓN                  4NC</v>
          </cell>
        </row>
        <row r="19264">
          <cell r="B19264" t="str">
            <v>51040101160801</v>
          </cell>
          <cell r="C19264" t="str">
            <v>FONDO DE GARANTÍA PARA PRSTAMOS A LA PEQ4NC</v>
          </cell>
        </row>
        <row r="19265">
          <cell r="B19265" t="str">
            <v>51040101160901</v>
          </cell>
          <cell r="C19265" t="str">
            <v>ALMACENERA DEL PERU S. A. ALMA - PERU   4NC</v>
          </cell>
        </row>
        <row r="19266">
          <cell r="B19266" t="str">
            <v>51040101160902</v>
          </cell>
          <cell r="C19266" t="str">
            <v>DEPÓSITOS S. A.                         4NC</v>
          </cell>
        </row>
        <row r="19267">
          <cell r="B19267" t="str">
            <v>51040101160903</v>
          </cell>
          <cell r="C19267" t="str">
            <v>COMPAÑÍA ALMACENERA S. A. CASA          4NC</v>
          </cell>
        </row>
        <row r="19268">
          <cell r="B19268" t="str">
            <v>51040101160904</v>
          </cell>
          <cell r="C19268" t="str">
            <v>ALMACENES FINANCIEROS S. A.             4NC</v>
          </cell>
        </row>
        <row r="19269">
          <cell r="B19269" t="str">
            <v>51040101160999</v>
          </cell>
          <cell r="C19269" t="str">
            <v>ALMACENES EN LIQUIDACIÓN                4NC</v>
          </cell>
        </row>
        <row r="19270">
          <cell r="B19270" t="str">
            <v>51040101161001</v>
          </cell>
          <cell r="C19270" t="str">
            <v>RÍMAC INTERNACIONAL COMPAÑÍA DE SEGUROS 4NC</v>
          </cell>
        </row>
        <row r="19271">
          <cell r="B19271" t="str">
            <v>51040101161004</v>
          </cell>
          <cell r="C19271" t="str">
            <v>PACÍFICO PERUANO SUIZA COMPAÑÍA DE SEGUR4NC</v>
          </cell>
        </row>
        <row r="19272">
          <cell r="B19272" t="str">
            <v>51040101161005</v>
          </cell>
          <cell r="C19272" t="str">
            <v>LA POSITIVA COMPAÑÍA DE SEGUROS         4NC</v>
          </cell>
        </row>
        <row r="19273">
          <cell r="B19273" t="str">
            <v>51040101161009</v>
          </cell>
          <cell r="C19273" t="str">
            <v>SECREX COMPAÑÍA DE SEGUROS DE  Y GARANTÍ4NC</v>
          </cell>
        </row>
        <row r="19274">
          <cell r="B19274" t="str">
            <v>51040101161012</v>
          </cell>
          <cell r="C19274" t="str">
            <v>LPC MAPFRE PERU CIA SEG Y REAS          4 C</v>
          </cell>
        </row>
        <row r="19275">
          <cell r="B19275" t="str">
            <v>51040101161013</v>
          </cell>
          <cell r="C19275" t="str">
            <v>EL PACÍFICO VIDA COMPAÑÍA DE SEGUROS Y R4NC</v>
          </cell>
        </row>
        <row r="19276">
          <cell r="B19276" t="str">
            <v>51040101161015</v>
          </cell>
          <cell r="C19276" t="str">
            <v>INTERSEGURO COMPAÑÍA DE SEGUROS S. A.   4NC</v>
          </cell>
        </row>
        <row r="19277">
          <cell r="B19277" t="str">
            <v>51040101161016</v>
          </cell>
          <cell r="C19277" t="str">
            <v>MAPFRE PERU VIDA COMPAÑÍA DE SEGUROS    4NC</v>
          </cell>
        </row>
        <row r="19278">
          <cell r="B19278" t="str">
            <v>51040101161017</v>
          </cell>
          <cell r="C19278" t="str">
            <v>ACE SEGUROS S. A.                       4NC</v>
          </cell>
        </row>
        <row r="19279">
          <cell r="B19279" t="str">
            <v>51040101161018</v>
          </cell>
          <cell r="C19279" t="str">
            <v>INVITA SEGUROS DE VIDA                  4NC</v>
          </cell>
        </row>
        <row r="19280">
          <cell r="B19280" t="str">
            <v>51040101161020</v>
          </cell>
          <cell r="C19280" t="str">
            <v>LA POSITIVA VIDA SEGUROS Y REASEUROS S. 4NC</v>
          </cell>
        </row>
        <row r="19281">
          <cell r="B19281" t="str">
            <v>51040101161021</v>
          </cell>
          <cell r="C19281" t="str">
            <v>CARDIF DEL PERU S. A. COMPAÑÍA DE SEGURO4NC</v>
          </cell>
        </row>
        <row r="19282">
          <cell r="B19282" t="str">
            <v>51040101161022</v>
          </cell>
          <cell r="C19282" t="str">
            <v>INSUR COMPAÑÍA DE SEGUROS S. A.         4NC</v>
          </cell>
        </row>
        <row r="19283">
          <cell r="B19283" t="str">
            <v>51040101161023</v>
          </cell>
          <cell r="C19283" t="str">
            <v>PROTECTA COMPAÑÍA DE SEGUROS Y REASEGURO4NC</v>
          </cell>
        </row>
        <row r="19284">
          <cell r="B19284" t="str">
            <v>51040101161099</v>
          </cell>
          <cell r="C19284" t="str">
            <v>SEGUROS EN LIQUIDACIÓN                  4NC</v>
          </cell>
        </row>
        <row r="19285">
          <cell r="B19285" t="str">
            <v>51040101161301</v>
          </cell>
          <cell r="C19285" t="str">
            <v>LA FIDUCIARIA S. A.                     4NC</v>
          </cell>
        </row>
        <row r="19286">
          <cell r="B19286" t="str">
            <v>51040101161401</v>
          </cell>
          <cell r="C19286" t="str">
            <v>FONDO MIVIVIENDA S. A.                  4NC</v>
          </cell>
        </row>
        <row r="19287">
          <cell r="B19287" t="str">
            <v>51040101161501</v>
          </cell>
          <cell r="C19287" t="str">
            <v>AMRICA FACTORING S. A.                  4NC</v>
          </cell>
        </row>
        <row r="19288">
          <cell r="B19288" t="str">
            <v>51040101161601</v>
          </cell>
          <cell r="C19288" t="str">
            <v>INCASA S. A.                            4NC</v>
          </cell>
        </row>
        <row r="19289">
          <cell r="B19289" t="str">
            <v>51040101210101</v>
          </cell>
          <cell r="C19289" t="str">
            <v>UCL CXL CC AVAL X ACEPT INT GAN         4NC</v>
          </cell>
        </row>
        <row r="19290">
          <cell r="B19290" t="str">
            <v>51040101260101</v>
          </cell>
          <cell r="C19290" t="str">
            <v>INT GANADO VIG EX PRE EMB               4NC</v>
          </cell>
        </row>
        <row r="19291">
          <cell r="B19291" t="str">
            <v>51040101260102</v>
          </cell>
          <cell r="C19291" t="str">
            <v>CL P.EXP.POST EMB RP INT.GAN            4NC</v>
          </cell>
        </row>
        <row r="19292">
          <cell r="B19292" t="str">
            <v>51040101260103</v>
          </cell>
          <cell r="C19292" t="str">
            <v>CL PAGARE IMPOR RP INT.GAN              4NC</v>
          </cell>
        </row>
        <row r="19293">
          <cell r="B19293" t="str">
            <v>51040101260108</v>
          </cell>
          <cell r="C19293" t="str">
            <v>CL INT.GAN VIG WORKING CAP. EXPORT      4NC</v>
          </cell>
        </row>
        <row r="19294">
          <cell r="B19294" t="str">
            <v>51040101260201</v>
          </cell>
          <cell r="C19294" t="str">
            <v>UCL EX FORFAITING INT.GAN               4NC</v>
          </cell>
        </row>
        <row r="19295">
          <cell r="B19295" t="str">
            <v>51040101260301</v>
          </cell>
          <cell r="C19295" t="str">
            <v>LPC INT GAN VIG IMPORT                  4NC</v>
          </cell>
        </row>
        <row r="19296">
          <cell r="B19296" t="str">
            <v>51040101260302</v>
          </cell>
          <cell r="C19296" t="str">
            <v>LPC INT GAN VIG IMPORT RP D/P           4NC</v>
          </cell>
        </row>
        <row r="19297">
          <cell r="B19297" t="str">
            <v>51040102010101</v>
          </cell>
          <cell r="C19297" t="str">
            <v>INT AVANCE CTA CTE PJ S/F LUCRO MES     4NC</v>
          </cell>
        </row>
        <row r="19298">
          <cell r="B19298" t="str">
            <v>51040102010102</v>
          </cell>
          <cell r="C19298" t="str">
            <v>INTAVANCECTACTEPJMES140102010102        4NC</v>
          </cell>
        </row>
        <row r="19299">
          <cell r="B19299" t="str">
            <v>51040102010106</v>
          </cell>
          <cell r="C19299" t="str">
            <v>LPC AVA CUENT  INT GAN NORM CMIE        4NC</v>
          </cell>
        </row>
        <row r="19300">
          <cell r="B19300" t="str">
            <v>51040102010107</v>
          </cell>
          <cell r="C19300" t="str">
            <v>LPC AVA CUENT  INT GAN DUPE CMIE        4NC</v>
          </cell>
        </row>
        <row r="19301">
          <cell r="B19301" t="str">
            <v>51040102010108</v>
          </cell>
          <cell r="C19301" t="str">
            <v>IM INT AVANCE CTA CTE CMIE              4NC</v>
          </cell>
        </row>
        <row r="19302">
          <cell r="B19302" t="str">
            <v>51040102020101</v>
          </cell>
          <cell r="C19302" t="str">
            <v>TC INT CDEUDA PAR AMEX CMIE             4NC</v>
          </cell>
        </row>
        <row r="19303">
          <cell r="B19303" t="str">
            <v>51040102020102</v>
          </cell>
          <cell r="C19303" t="str">
            <v>TC INT CDEUDA REV AMEX CMIE             4NC</v>
          </cell>
        </row>
        <row r="19304">
          <cell r="B19304" t="str">
            <v>51040102020103</v>
          </cell>
          <cell r="C19304" t="str">
            <v>TC INT CUOTAS AMEX CMIE                 4NC</v>
          </cell>
        </row>
        <row r="19305">
          <cell r="B19305" t="str">
            <v>51040102020104</v>
          </cell>
          <cell r="C19305" t="str">
            <v>TC INT EXTRACASH AMEX CMIE              4NC</v>
          </cell>
        </row>
        <row r="19306">
          <cell r="B19306" t="str">
            <v>51040102020105</v>
          </cell>
          <cell r="C19306" t="str">
            <v>TC INT REPROG PAR AMEX CMIE             4NC</v>
          </cell>
        </row>
        <row r="19307">
          <cell r="B19307" t="str">
            <v>51040102020106</v>
          </cell>
          <cell r="C19307" t="str">
            <v>TC INT REPROG REV AMEX CMIE             4NC</v>
          </cell>
        </row>
        <row r="19308">
          <cell r="B19308" t="str">
            <v>51040102020107</v>
          </cell>
          <cell r="C19308" t="str">
            <v>TC INT REV AMEX CMIE                    4NC</v>
          </cell>
        </row>
        <row r="19309">
          <cell r="B19309" t="str">
            <v>51040102020108</v>
          </cell>
          <cell r="C19309" t="str">
            <v>TC INT CDEUDA PAR MC CMIE               4NC</v>
          </cell>
        </row>
        <row r="19310">
          <cell r="B19310" t="str">
            <v>51040102020109</v>
          </cell>
          <cell r="C19310" t="str">
            <v>TC INT CDEUDA REV MC CMIE               4NC</v>
          </cell>
        </row>
        <row r="19311">
          <cell r="B19311" t="str">
            <v>51040102020110</v>
          </cell>
          <cell r="C19311" t="str">
            <v>TC INT CUOTAS MC CMIE                   4NC</v>
          </cell>
        </row>
        <row r="19312">
          <cell r="B19312" t="str">
            <v>51040102020111</v>
          </cell>
          <cell r="C19312" t="str">
            <v>TC INT EXTRACASH MC CMIE                4NC</v>
          </cell>
        </row>
        <row r="19313">
          <cell r="B19313" t="str">
            <v>51040102020112</v>
          </cell>
          <cell r="C19313" t="str">
            <v>TC INT REPROG PAR MC CMIE               4NC</v>
          </cell>
        </row>
        <row r="19314">
          <cell r="B19314" t="str">
            <v>51040102020113</v>
          </cell>
          <cell r="C19314" t="str">
            <v>TC INT REPROG REV MC CMIE               4NC</v>
          </cell>
        </row>
        <row r="19315">
          <cell r="B19315" t="str">
            <v>51040102020114</v>
          </cell>
          <cell r="C19315" t="str">
            <v>TC INT REV MC CMIE                      4NC</v>
          </cell>
        </row>
        <row r="19316">
          <cell r="B19316" t="str">
            <v>51040102020115</v>
          </cell>
          <cell r="C19316" t="str">
            <v>TC INT CDEUDA PAR VISA CMIE             4NC</v>
          </cell>
        </row>
        <row r="19317">
          <cell r="B19317" t="str">
            <v>51040102020116</v>
          </cell>
          <cell r="C19317" t="str">
            <v>TC INT CDEUDA PAR VISA MEGAPLAZA CMIE   4NC</v>
          </cell>
        </row>
        <row r="19318">
          <cell r="B19318" t="str">
            <v>51040102020117</v>
          </cell>
          <cell r="C19318" t="str">
            <v>TC INT CDEUDA PAR VISA VEA CMIE         4NC</v>
          </cell>
        </row>
        <row r="19319">
          <cell r="B19319" t="str">
            <v>51040102020118</v>
          </cell>
          <cell r="C19319" t="str">
            <v>TC INT CDEUDA REV VISA CMIE             4NC</v>
          </cell>
        </row>
        <row r="19320">
          <cell r="B19320" t="str">
            <v>51040102020119</v>
          </cell>
          <cell r="C19320" t="str">
            <v>TC INT CDEUDA REV VISA MEGAPLAZA CMIE   4NC</v>
          </cell>
        </row>
        <row r="19321">
          <cell r="B19321" t="str">
            <v>51040102020120</v>
          </cell>
          <cell r="C19321" t="str">
            <v>TC INT CDEUDA REV VISA VEA CMIE         4NC</v>
          </cell>
        </row>
        <row r="19322">
          <cell r="B19322" t="str">
            <v>51040102020121</v>
          </cell>
          <cell r="C19322" t="str">
            <v>TC INT CUOTAS VISA CMIE                 4NC</v>
          </cell>
        </row>
        <row r="19323">
          <cell r="B19323" t="str">
            <v>51040102020122</v>
          </cell>
          <cell r="C19323" t="str">
            <v>TC INT CUOTAS VISA MEGAPLAZA CMIE       4NC</v>
          </cell>
        </row>
        <row r="19324">
          <cell r="B19324" t="str">
            <v>51040102020123</v>
          </cell>
          <cell r="C19324" t="str">
            <v>TC INT CUOTAS VISA VEA CMIE             4NC</v>
          </cell>
        </row>
        <row r="19325">
          <cell r="B19325" t="str">
            <v>51040102020124</v>
          </cell>
          <cell r="C19325" t="str">
            <v>TC INT EXTRACASH VISA CMIE              4NC</v>
          </cell>
        </row>
        <row r="19326">
          <cell r="B19326" t="str">
            <v>51040102020125</v>
          </cell>
          <cell r="C19326" t="str">
            <v>TC INT EXTRACASH VISA MEGAPLAZA CMIE    4NC</v>
          </cell>
        </row>
        <row r="19327">
          <cell r="B19327" t="str">
            <v>51040102020126</v>
          </cell>
          <cell r="C19327" t="str">
            <v>TC INT EXTRACASH VISA VEA CMIE          4NC</v>
          </cell>
        </row>
        <row r="19328">
          <cell r="B19328" t="str">
            <v>51040102020127</v>
          </cell>
          <cell r="C19328" t="str">
            <v>TC INT REPROG PAR VISA CMIE             4NC</v>
          </cell>
        </row>
        <row r="19329">
          <cell r="B19329" t="str">
            <v>51040102020128</v>
          </cell>
          <cell r="C19329" t="str">
            <v>TC INT REPROG PAR VISA MEGAPLAZA CMIE   4NC</v>
          </cell>
        </row>
        <row r="19330">
          <cell r="B19330" t="str">
            <v>51040102020129</v>
          </cell>
          <cell r="C19330" t="str">
            <v>TC INT REPROG PAR VISA VEA CMIE         4NC</v>
          </cell>
        </row>
        <row r="19331">
          <cell r="B19331" t="str">
            <v>51040102020130</v>
          </cell>
          <cell r="C19331" t="str">
            <v>TC INT REPROG REV VISA CMIE             4NC</v>
          </cell>
        </row>
        <row r="19332">
          <cell r="B19332" t="str">
            <v>51040102020131</v>
          </cell>
          <cell r="C19332" t="str">
            <v>TC INT REPROG REV VISA MEGAPLAZA CMIE   4NC</v>
          </cell>
        </row>
        <row r="19333">
          <cell r="B19333" t="str">
            <v>51040102020132</v>
          </cell>
          <cell r="C19333" t="str">
            <v>TC INT REPROG REV VISA VEA CMIE         4NC</v>
          </cell>
        </row>
        <row r="19334">
          <cell r="B19334" t="str">
            <v>51040102020133</v>
          </cell>
          <cell r="C19334" t="str">
            <v>TC INT REV VISA CMIE                    4NC</v>
          </cell>
        </row>
        <row r="19335">
          <cell r="B19335" t="str">
            <v>51040102020134</v>
          </cell>
          <cell r="C19335" t="str">
            <v>TC INT REV VISA MEGAPLAZA CMIE          4NC</v>
          </cell>
        </row>
        <row r="19336">
          <cell r="B19336" t="str">
            <v>51040102020135</v>
          </cell>
          <cell r="C19336" t="str">
            <v>TC INT REV VISA VEA CMIE                4NC</v>
          </cell>
        </row>
        <row r="19337">
          <cell r="B19337" t="str">
            <v>51040102040101</v>
          </cell>
          <cell r="C19337" t="str">
            <v>INTSOBREGCTACTEPJS.FLUCR02040101        4NC</v>
          </cell>
        </row>
        <row r="19338">
          <cell r="B19338" t="str">
            <v>51040102040102</v>
          </cell>
          <cell r="C19338" t="str">
            <v>INTSOBREGIROCTACTEPJMES102040102        4NC</v>
          </cell>
        </row>
        <row r="19339">
          <cell r="B19339" t="str">
            <v>51040102050101</v>
          </cell>
          <cell r="C19339" t="str">
            <v>CL PAG.DSCTO MES INT.GAN                4NC</v>
          </cell>
        </row>
        <row r="19340">
          <cell r="B19340" t="str">
            <v>51040102050102</v>
          </cell>
          <cell r="C19340" t="str">
            <v>CL INT GAN PAG DSCTO CALIF DUDOSACL MES 4NC</v>
          </cell>
        </row>
        <row r="19341">
          <cell r="B19341" t="str">
            <v>51040102050103</v>
          </cell>
          <cell r="C19341" t="str">
            <v>FCD INT GANAD VIG LETRAS DSCTO MES      4NC</v>
          </cell>
        </row>
        <row r="19342">
          <cell r="B19342" t="str">
            <v>51040102050104</v>
          </cell>
          <cell r="C19342" t="str">
            <v>PR DSCTO ELECTR SM PERUAN I.VIG MES     4NC</v>
          </cell>
        </row>
        <row r="19343">
          <cell r="B19343" t="str">
            <v>51040102050105</v>
          </cell>
          <cell r="C19343" t="str">
            <v>PR INT GANA VIG LETRAS T. DSCTOÂ  CMIE  4NC</v>
          </cell>
        </row>
        <row r="19344">
          <cell r="B19344" t="str">
            <v>51040102050106</v>
          </cell>
          <cell r="C19344" t="str">
            <v>FCD INT. GAN DSCTO ELECTR VIG DUD CMIE  4NC</v>
          </cell>
        </row>
        <row r="19345">
          <cell r="B19345" t="str">
            <v>51040102050107</v>
          </cell>
          <cell r="C19345" t="str">
            <v>FCD DESC. LET. I. VIG. CMIE DUPE        4NC</v>
          </cell>
        </row>
        <row r="19346">
          <cell r="B19346" t="str">
            <v>51040102050108</v>
          </cell>
          <cell r="C19346" t="str">
            <v>FCD DESC. FACT. I. VIG. CMIE DUPE       4NC</v>
          </cell>
        </row>
        <row r="19347">
          <cell r="B19347" t="str">
            <v>51040102050109</v>
          </cell>
          <cell r="C19347" t="str">
            <v>FCD DESC. VIRTUAL I. VIG. CMIE DUPE     4NC</v>
          </cell>
        </row>
        <row r="19348">
          <cell r="B19348" t="str">
            <v>51040102050110</v>
          </cell>
          <cell r="C19348" t="str">
            <v>FCD DESC. FACT. NEG. I. VIG. CMIE DUPE  4NC</v>
          </cell>
        </row>
        <row r="19349">
          <cell r="B19349" t="str">
            <v>51040102050111</v>
          </cell>
          <cell r="C19349" t="str">
            <v>FCD DESC. VIRTUAL I. VIG. CMIE NORMAL   4NC</v>
          </cell>
        </row>
        <row r="19350">
          <cell r="B19350" t="str">
            <v>51040102050112</v>
          </cell>
          <cell r="C19350" t="str">
            <v>LPC INT GAN PAG DSCTO VIGC CMIE         4NC</v>
          </cell>
        </row>
        <row r="19351">
          <cell r="B19351" t="str">
            <v>51040102050113</v>
          </cell>
          <cell r="C19351" t="str">
            <v>LPC INT GAN PAG DSCTO D/P VIGC CMIE     4NC</v>
          </cell>
        </row>
        <row r="19352">
          <cell r="B19352" t="str">
            <v>51040102060101</v>
          </cell>
          <cell r="C19352" t="str">
            <v>CL INT GANAD TASA VENC CL MES           4NC</v>
          </cell>
        </row>
        <row r="19353">
          <cell r="B19353" t="str">
            <v>51040102060103</v>
          </cell>
          <cell r="C19353" t="str">
            <v>CL INT GAN VENC T VENC CALIF DUDOSA CL M4NC</v>
          </cell>
        </row>
        <row r="19354">
          <cell r="B19354" t="str">
            <v>51040102060107</v>
          </cell>
          <cell r="C19354" t="str">
            <v>CL P.TV REC.COFIDE MES INT.GAN          4NC</v>
          </cell>
        </row>
        <row r="19355">
          <cell r="B19355" t="str">
            <v>51040102060111</v>
          </cell>
          <cell r="C19355" t="str">
            <v>CL INT GANADO FINANC DIFERIDO MES       4NC</v>
          </cell>
        </row>
        <row r="19356">
          <cell r="B19356" t="str">
            <v>51040102060112</v>
          </cell>
          <cell r="C19356" t="str">
            <v>LPC INT GAN PAGARE TASA VENC MES        4NC</v>
          </cell>
        </row>
        <row r="19357">
          <cell r="B19357" t="str">
            <v>51040102060113</v>
          </cell>
          <cell r="C19357" t="str">
            <v>LPC INT GAN VIG PAG TASA VENCIDA  D/P   4NC</v>
          </cell>
        </row>
        <row r="19358">
          <cell r="B19358" t="str">
            <v>51040102060122</v>
          </cell>
          <cell r="C19358" t="str">
            <v>MYP INT.GAN.VIG FIN.CAP.TRAB            4NC</v>
          </cell>
        </row>
        <row r="19359">
          <cell r="B19359" t="str">
            <v>51040102060123</v>
          </cell>
          <cell r="C19359" t="str">
            <v>MYP D/P GAN.INT.VIG FIN.CAP.TRAB        4NC</v>
          </cell>
        </row>
        <row r="19360">
          <cell r="B19360" t="str">
            <v>51040102060124</v>
          </cell>
          <cell r="C19360" t="str">
            <v>MYP INT.GAN.VIG FIN.COMPRA. AF          4NC</v>
          </cell>
        </row>
        <row r="19361">
          <cell r="B19361" t="str">
            <v>51040102060125</v>
          </cell>
          <cell r="C19361" t="str">
            <v>MYP D/P GAN.INT.VIG FIN.COMPRA. AF      4NC</v>
          </cell>
        </row>
        <row r="19362">
          <cell r="B19362" t="str">
            <v>51040102060126</v>
          </cell>
          <cell r="C19362" t="str">
            <v>MYP INT.GAN.VIG FIN.CRED. PARAL         4NC</v>
          </cell>
        </row>
        <row r="19363">
          <cell r="B19363" t="str">
            <v>51040102060127</v>
          </cell>
          <cell r="C19363" t="str">
            <v>MYP D/P GAN.INT.VIG FIN.CRED. PARAL     4NC</v>
          </cell>
        </row>
        <row r="19364">
          <cell r="B19364" t="str">
            <v>51040102060132</v>
          </cell>
          <cell r="C19364" t="str">
            <v>MYP INT.GAN.VIG FIN. COMPRA DE DEUD     4NC</v>
          </cell>
        </row>
        <row r="19365">
          <cell r="B19365" t="str">
            <v>51040102060133</v>
          </cell>
          <cell r="C19365" t="str">
            <v>MYP D/P GAN.INT.VIG FIN. COMPRA DE      4NC</v>
          </cell>
        </row>
        <row r="19366">
          <cell r="B19366" t="str">
            <v>51040102060134</v>
          </cell>
          <cell r="C19366" t="str">
            <v>MYP INT.GAN.VIG LINEA REVOLVENTE        4NC</v>
          </cell>
        </row>
        <row r="19367">
          <cell r="B19367" t="str">
            <v>51040102060135</v>
          </cell>
          <cell r="C19367" t="str">
            <v>MYP D/P GAN.INT.VIG LINEA REVOLV        4NC</v>
          </cell>
        </row>
        <row r="19368">
          <cell r="B19368" t="str">
            <v>51040102060136</v>
          </cell>
          <cell r="C19368" t="str">
            <v>MYP INT.GAN.VIG TRANSP PUBLICO CAP      4NC</v>
          </cell>
        </row>
        <row r="19369">
          <cell r="B19369" t="str">
            <v>51040102060137</v>
          </cell>
          <cell r="C19369" t="str">
            <v>MYP D/P GAN.INT.VIG TRANSP PUBLICO CAP T4NC</v>
          </cell>
        </row>
        <row r="19370">
          <cell r="B19370" t="str">
            <v>51040102060138</v>
          </cell>
          <cell r="C19370" t="str">
            <v>MYP INT.GANAD.VIG FIN.IMPORT CAP TRAB ME4NC</v>
          </cell>
        </row>
        <row r="19371">
          <cell r="B19371" t="str">
            <v>51040102060139</v>
          </cell>
          <cell r="C19371" t="str">
            <v>MYP INT.GANAD.VIG FIN.IMPORT ACTIVO FIJO4NC</v>
          </cell>
        </row>
        <row r="19372">
          <cell r="B19372" t="str">
            <v>51040102060140</v>
          </cell>
          <cell r="C19372" t="str">
            <v>MYP D/P GAN.INT.VIG IMP. CAP DE TRABÂ  C4NC</v>
          </cell>
        </row>
        <row r="19373">
          <cell r="B19373" t="str">
            <v>51040102060141</v>
          </cell>
          <cell r="C19373" t="str">
            <v>MYP D/P GAN.INT.VIG FIN IMPOR AF CPEM   4NC</v>
          </cell>
        </row>
        <row r="19374">
          <cell r="B19374" t="str">
            <v>51040102060142</v>
          </cell>
          <cell r="C19374" t="str">
            <v>MYP E.R.INT.GAN.VIG FIN.CAP.T.          4NC</v>
          </cell>
        </row>
        <row r="19375">
          <cell r="B19375" t="str">
            <v>51040102060143</v>
          </cell>
          <cell r="C19375" t="str">
            <v>MYP E.R.INT.GAN.VIG FIN CAP TRA DUPE CMI4NC</v>
          </cell>
        </row>
        <row r="19376">
          <cell r="B19376" t="str">
            <v>51040102060144</v>
          </cell>
          <cell r="C19376" t="str">
            <v>MYP INTGANVIG CAPTRABPROVREFCMIE        4NC</v>
          </cell>
        </row>
        <row r="19377">
          <cell r="B19377" t="str">
            <v>51040102060145</v>
          </cell>
          <cell r="C19377" t="str">
            <v>MYP INTGANVIG LIN REVOL PROVREFCMIE     4NC</v>
          </cell>
        </row>
        <row r="19378">
          <cell r="B19378" t="str">
            <v>51040102060146</v>
          </cell>
          <cell r="C19378" t="str">
            <v>MYP INT.GAN.VIG .CAP.TRAB.REUT.CMIE     4NC</v>
          </cell>
        </row>
        <row r="19379">
          <cell r="B19379" t="str">
            <v>51040102060147</v>
          </cell>
          <cell r="C19379" t="str">
            <v>MYP INT.GAN.VIG LIN REVOL REUT.CMIE     4NC</v>
          </cell>
        </row>
        <row r="19380">
          <cell r="B19380" t="str">
            <v>51040102060201</v>
          </cell>
          <cell r="C19380" t="str">
            <v>LPC INT GAN PAG TV MED PLZ CMIE         4NC</v>
          </cell>
        </row>
        <row r="19381">
          <cell r="B19381" t="str">
            <v>51040102060202</v>
          </cell>
          <cell r="C19381" t="str">
            <v>LPC INT GAN PAG TV MED PLZ D/P CMIE     4NC</v>
          </cell>
        </row>
        <row r="19382">
          <cell r="B19382" t="str">
            <v>51040102060203</v>
          </cell>
          <cell r="C19382" t="str">
            <v>LPC INT GAN PAG TV INMOBILIARIO CMIE    4NC</v>
          </cell>
        </row>
        <row r="19383">
          <cell r="B19383" t="str">
            <v>51040102060204</v>
          </cell>
          <cell r="C19383" t="str">
            <v>LPC INT GAN PAG TV INMOBILIARIO D/P CMIE4NC</v>
          </cell>
        </row>
        <row r="19384">
          <cell r="B19384" t="str">
            <v>51040102060205</v>
          </cell>
          <cell r="C19384" t="str">
            <v>LPC PTV  CAP COFIDE  SBS CMIE           4NC</v>
          </cell>
        </row>
        <row r="19385">
          <cell r="B19385" t="str">
            <v>51040102060206</v>
          </cell>
          <cell r="C19385" t="str">
            <v>LPC INT GAN VIG PAGTV  COFIDE - D/P CMIE4NC</v>
          </cell>
        </row>
        <row r="19386">
          <cell r="B19386" t="str">
            <v>51040102060207</v>
          </cell>
          <cell r="C19386" t="str">
            <v>LPC INT GAN PAG REPROGRAMADO            4NC</v>
          </cell>
        </row>
        <row r="19387">
          <cell r="B19387" t="str">
            <v>51040102060208</v>
          </cell>
          <cell r="C19387" t="str">
            <v>LPC INT GAN PAG REPROGRAMADO NO REVOL D/4NC</v>
          </cell>
        </row>
        <row r="19388">
          <cell r="B19388" t="str">
            <v>51040102060209</v>
          </cell>
          <cell r="C19388" t="str">
            <v>MYP GAN.INT.VIG CAP.TRAB CIMA NOR/DUPE C4NC</v>
          </cell>
        </row>
        <row r="19389">
          <cell r="B19389" t="str">
            <v>51040102060210</v>
          </cell>
          <cell r="C19389" t="str">
            <v>MYP CODIFE FONDO CRECER VIG CMIE\DUPE   4NC</v>
          </cell>
        </row>
        <row r="19390">
          <cell r="B19390" t="str">
            <v>51040102060211</v>
          </cell>
          <cell r="C19390" t="str">
            <v>MYP CODIFE FONDO CRECER VIG CMIE\NORM   4NC</v>
          </cell>
        </row>
        <row r="19391">
          <cell r="B19391" t="str">
            <v>51040102060212</v>
          </cell>
          <cell r="C19391" t="str">
            <v>MYP CODIFE REACTIVA PERU VIG CMIE\DUPE  4NC</v>
          </cell>
        </row>
        <row r="19392">
          <cell r="B19392" t="str">
            <v>51040102060213</v>
          </cell>
          <cell r="C19392" t="str">
            <v>MYP CODIFE REACTIVA PERU VIG CMIE\NORM  4NC</v>
          </cell>
        </row>
        <row r="19393">
          <cell r="B19393" t="str">
            <v>51040102060222</v>
          </cell>
          <cell r="C19393" t="str">
            <v>LPC REACTIVA PERU VIG CMIE\NORM         4NC</v>
          </cell>
        </row>
        <row r="19394">
          <cell r="B19394" t="str">
            <v>51040102060223</v>
          </cell>
          <cell r="C19394" t="str">
            <v>LPC REACTIVA PERU VIG CMIE\DUPE         4NC</v>
          </cell>
        </row>
        <row r="19395">
          <cell r="B19395" t="str">
            <v>51040102060224</v>
          </cell>
          <cell r="C19395" t="str">
            <v>LPC COFIDE FONDOS PERU VIG CMIE\NORM    4NC</v>
          </cell>
        </row>
        <row r="19396">
          <cell r="B19396" t="str">
            <v>51040102060225</v>
          </cell>
          <cell r="C19396" t="str">
            <v>LPC COFIDE FONDOS PERU VIG CMIE\DUPE    4NC</v>
          </cell>
        </row>
        <row r="19397">
          <cell r="B19397" t="str">
            <v>51040102060226</v>
          </cell>
          <cell r="C19397" t="str">
            <v>LPC COFIDE FONDO CRECER VIG CMIE\DUPE   4NC</v>
          </cell>
        </row>
        <row r="19398">
          <cell r="B19398" t="str">
            <v>51040102060227</v>
          </cell>
          <cell r="C19398" t="str">
            <v>LPC COFIDE FONDO CRECER VIG CMIE\NORM   4NC</v>
          </cell>
        </row>
        <row r="19399">
          <cell r="B19399" t="str">
            <v>51040102060228</v>
          </cell>
          <cell r="C19399" t="str">
            <v>LPC REACTIVA PERU VIG CMIE\DUPE         4NC</v>
          </cell>
        </row>
        <row r="19400">
          <cell r="B19400" t="str">
            <v>51040102060229</v>
          </cell>
          <cell r="C19400" t="str">
            <v>LPC REACTIVA PERU VIG CMIE\NORM         4NC</v>
          </cell>
        </row>
        <row r="19401">
          <cell r="B19401" t="str">
            <v>51040102060230</v>
          </cell>
          <cell r="C19401" t="str">
            <v>MYP CODIFE REACTIVA REPRO PERU VIG CMIE 4 C</v>
          </cell>
        </row>
        <row r="19402">
          <cell r="B19402" t="str">
            <v>51040102060231</v>
          </cell>
          <cell r="C19402" t="str">
            <v>LPC REPROG REACTIVA DIFE CMIE VIG       4 C</v>
          </cell>
        </row>
        <row r="19403">
          <cell r="B19403" t="str">
            <v>51040102060232</v>
          </cell>
          <cell r="C19403" t="str">
            <v>LPC REPROG REACTIVA DS.011-2022 CMIE NOR4 C</v>
          </cell>
        </row>
        <row r="19404">
          <cell r="B19404" t="str">
            <v>51040102060233</v>
          </cell>
          <cell r="C19404" t="str">
            <v>LPC REPROG REACTIVA DS.011-2022 CMIE DUP4 C</v>
          </cell>
        </row>
        <row r="19405">
          <cell r="B19405" t="str">
            <v>51040102060234</v>
          </cell>
          <cell r="C19405" t="str">
            <v>MYP REPROG REACTIVA DS.011-2022 CMIE NOR4 C</v>
          </cell>
        </row>
        <row r="19406">
          <cell r="B19406" t="str">
            <v>51040102060235</v>
          </cell>
          <cell r="C19406" t="str">
            <v>MYP REPROG REACTIVA DS.011-2022 CMIE DUP4 C</v>
          </cell>
        </row>
        <row r="19407">
          <cell r="B19407" t="str">
            <v>51040102060240</v>
          </cell>
          <cell r="C19407" t="str">
            <v>MYP INT.GAN. CAP_TRAB_CIMA CMIE VIG NORM4 C</v>
          </cell>
        </row>
        <row r="19408">
          <cell r="B19408" t="str">
            <v>51040102060242</v>
          </cell>
          <cell r="C19408" t="str">
            <v>MYP REPROGRAMADO CIMA CMIE VIG NORM     4 C</v>
          </cell>
        </row>
        <row r="19409">
          <cell r="B19409" t="str">
            <v>51040102060243</v>
          </cell>
          <cell r="C19409" t="str">
            <v>MYP REPROGRAMADO CIMA CMIE VIG DUPE     4 C</v>
          </cell>
        </row>
        <row r="19410">
          <cell r="B19410" t="str">
            <v>51040102060247</v>
          </cell>
          <cell r="C19410" t="str">
            <v>MYP INT.GAN. CAP_TRAB_CIMA CMIE VIG DUPE4 C</v>
          </cell>
        </row>
        <row r="19411">
          <cell r="B19411" t="str">
            <v>51040102060248</v>
          </cell>
          <cell r="C19411" t="str">
            <v>MYP REPROG REACTIVA 2023 CMIE NORM VIG  4 C</v>
          </cell>
        </row>
        <row r="19412">
          <cell r="B19412" t="str">
            <v>51040102060249</v>
          </cell>
          <cell r="C19412" t="str">
            <v>MYP REPROG REACTIVA 2023 CMIE DUPE VIG  4 C</v>
          </cell>
        </row>
        <row r="19413">
          <cell r="B19413" t="str">
            <v>51040102060250</v>
          </cell>
          <cell r="C19413" t="str">
            <v>LPC REPROG REACTIVA 2023 VIG CMIE NORM  4 C</v>
          </cell>
        </row>
        <row r="19414">
          <cell r="B19414" t="str">
            <v>51040102060251</v>
          </cell>
          <cell r="C19414" t="str">
            <v>LPC REPROG REACTIVA 2023 VIG CMIE DUPE  4 C</v>
          </cell>
        </row>
        <row r="19415">
          <cell r="B19415" t="str">
            <v>51040102060252</v>
          </cell>
          <cell r="C19415" t="str">
            <v>MYP CAP. TRAB - PAGARE DIGITAL_CMIE NORM4 C</v>
          </cell>
        </row>
        <row r="19416">
          <cell r="B19416" t="str">
            <v>51040102060253</v>
          </cell>
          <cell r="C19416" t="str">
            <v>MYP CAP. TRAB - PAGARE DIGITAL_CMIE DUPE4 C</v>
          </cell>
        </row>
        <row r="19417">
          <cell r="B19417" t="str">
            <v>51040102060254</v>
          </cell>
          <cell r="C19417" t="str">
            <v>MYP IMPULSO MYPERU VIG CMIE NORM        4 C</v>
          </cell>
        </row>
        <row r="19418">
          <cell r="B19418" t="str">
            <v>51040102060255</v>
          </cell>
          <cell r="C19418" t="str">
            <v>MYP IMPULSO MYPERU VIG CMIE DUPE        4 C</v>
          </cell>
        </row>
        <row r="19419">
          <cell r="B19419" t="str">
            <v>51040102060256</v>
          </cell>
          <cell r="C19419" t="str">
            <v>LPC INT VIG IMPULSO MYPERU CORTO PLAZO C4 C</v>
          </cell>
        </row>
        <row r="19420">
          <cell r="B19420" t="str">
            <v>51040102060257</v>
          </cell>
          <cell r="C19420" t="str">
            <v>LPC INT VIG IMPULSO MYPERU MEDIANO PLAZO4 C</v>
          </cell>
        </row>
        <row r="19421">
          <cell r="B19421" t="str">
            <v>51040102060258</v>
          </cell>
          <cell r="C19421" t="str">
            <v>MYP CAPITAL DE TRAB CIMA REU DIF INT VIG4 C</v>
          </cell>
        </row>
        <row r="19422">
          <cell r="B19422" t="str">
            <v>51040102060259</v>
          </cell>
          <cell r="C19422" t="str">
            <v>MYP LINEA REVOLV CIMA INT GAN VIG NORM C4 C</v>
          </cell>
        </row>
        <row r="19423">
          <cell r="B19423" t="str">
            <v>51040102060260</v>
          </cell>
          <cell r="C19423" t="str">
            <v>MYP LINEA REVOLV CIMA INT GAN VIG DUPE C4 C</v>
          </cell>
        </row>
        <row r="19424">
          <cell r="B19424" t="str">
            <v>51040102060261</v>
          </cell>
          <cell r="C19424" t="str">
            <v>MYP CAP TRAB PER GRACIA PARCIAL INT VIG 4 C</v>
          </cell>
        </row>
        <row r="19425">
          <cell r="B19425" t="str">
            <v>51040102060262</v>
          </cell>
          <cell r="C19425" t="str">
            <v>MYP CAP TRAB PER GRACIA PARCIAL INT VIG 4 C</v>
          </cell>
        </row>
        <row r="19426">
          <cell r="B19426" t="str">
            <v>51040102060263</v>
          </cell>
          <cell r="C19426" t="str">
            <v>MYP REPROG PERIODO GRACIA PARCIAL VIG CM4 C</v>
          </cell>
        </row>
        <row r="19427">
          <cell r="B19427" t="str">
            <v>51040102060264</v>
          </cell>
          <cell r="C19427" t="str">
            <v>MYP REPROG PERIODO GRACIA PARCIAL VIG CM4 C</v>
          </cell>
        </row>
        <row r="19428">
          <cell r="B19428" t="str">
            <v>51040102060265</v>
          </cell>
          <cell r="C19428" t="str">
            <v>CCD-BPE CAPITAL DE TRABAJO_CMIE VIG NORM4 C</v>
          </cell>
        </row>
        <row r="19429">
          <cell r="B19429" t="str">
            <v>51040102060266</v>
          </cell>
          <cell r="C19429" t="str">
            <v>CCD-BPE CAPITAL DE TRABAJO_CMIE VIG DUPE4 C</v>
          </cell>
        </row>
        <row r="19430">
          <cell r="B19430" t="str">
            <v>51040102060267</v>
          </cell>
          <cell r="C19430" t="str">
            <v>CCD-BPE LINEA REVOLVENTE_CMIE VIG NORM I4 C</v>
          </cell>
        </row>
        <row r="19431">
          <cell r="B19431" t="str">
            <v>51040102060268</v>
          </cell>
          <cell r="C19431" t="str">
            <v>CCD-BPE LINEA REVOLVENTE_CMIE VIG DUPE I4 C</v>
          </cell>
        </row>
        <row r="19432">
          <cell r="B19432" t="str">
            <v>51040102060269</v>
          </cell>
          <cell r="C19432" t="str">
            <v>CCD-BPE CAP DE TRAB REPROG_CMIE VIG NORM4 C</v>
          </cell>
        </row>
        <row r="19433">
          <cell r="B19433" t="str">
            <v>51040102060270</v>
          </cell>
          <cell r="C19433" t="str">
            <v>CCD-BPE CAP DE TRAB REPROG_CMIE VIG DUPE4 C</v>
          </cell>
        </row>
        <row r="19434">
          <cell r="B19434" t="str">
            <v>51040102060271</v>
          </cell>
          <cell r="C19434" t="str">
            <v>CCD-BPE CAP DE TRAB_CMIE_VIG            4 C</v>
          </cell>
        </row>
        <row r="19435">
          <cell r="B19435" t="str">
            <v>51040102100101</v>
          </cell>
          <cell r="C19435" t="str">
            <v>PR LETRAS FACTO.MES GAN.DIF             4NC</v>
          </cell>
        </row>
        <row r="19436">
          <cell r="B19436" t="str">
            <v>51040102100102</v>
          </cell>
          <cell r="C19436" t="str">
            <v>PR INT GAN FACTORING-FACTURAS DIFERIDO M4NC</v>
          </cell>
        </row>
        <row r="19437">
          <cell r="B19437" t="str">
            <v>51040102100103</v>
          </cell>
          <cell r="C19437" t="str">
            <v>PR LETRAS FACTO.MES GAN.COMP.           4NC</v>
          </cell>
        </row>
        <row r="19438">
          <cell r="B19438" t="str">
            <v>51040102100104</v>
          </cell>
          <cell r="C19438" t="str">
            <v>PR FACTORING FACTU.MES GAN.COMP         4NC</v>
          </cell>
        </row>
        <row r="19439">
          <cell r="B19439" t="str">
            <v>51040102100109</v>
          </cell>
          <cell r="C19439" t="str">
            <v>$PR FACT ELECTR LET/FACT I.COMP MES     4NC</v>
          </cell>
        </row>
        <row r="19440">
          <cell r="B19440" t="str">
            <v>51040102100110</v>
          </cell>
          <cell r="C19440" t="str">
            <v>PR FACT ELECTR LET/FACT I.DIF MES       4NC</v>
          </cell>
        </row>
        <row r="19441">
          <cell r="B19441" t="str">
            <v>51040102100111</v>
          </cell>
          <cell r="C19441" t="str">
            <v>PR PERU FACTORING INT.COMPENS MES       4NC</v>
          </cell>
        </row>
        <row r="19442">
          <cell r="B19442" t="str">
            <v>51040102100112</v>
          </cell>
          <cell r="C19442" t="str">
            <v>PR PERU FACTORING INT.DIF MES           4NC</v>
          </cell>
        </row>
        <row r="19443">
          <cell r="B19443" t="str">
            <v>51040102100113</v>
          </cell>
          <cell r="C19443" t="str">
            <v>PR FORFAITING EXPORT.INT GANA VIG CMIE  4NC</v>
          </cell>
        </row>
        <row r="19444">
          <cell r="B19444" t="str">
            <v>51040102100114</v>
          </cell>
          <cell r="C19444" t="str">
            <v>PR FACTORING INTER. INT GAN VIG CMIE    4NC</v>
          </cell>
        </row>
        <row r="19445">
          <cell r="B19445" t="str">
            <v>51040102100115</v>
          </cell>
          <cell r="C19445" t="str">
            <v>FCD FAC. FIS. LET. I. VIG. CMIE DUPE    4NC</v>
          </cell>
        </row>
        <row r="19446">
          <cell r="B19446" t="str">
            <v>51040102100116</v>
          </cell>
          <cell r="C19446" t="str">
            <v>FCD FAC. FIS. FAC.. I. VIG. CMIE DUPE   4NC</v>
          </cell>
        </row>
        <row r="19447">
          <cell r="B19447" t="str">
            <v>51040102100117</v>
          </cell>
          <cell r="C19447" t="str">
            <v>FACT INTER IMPORT  VIG. CMIE DUPE       4NC</v>
          </cell>
        </row>
        <row r="19448">
          <cell r="B19448" t="str">
            <v>51040102100118</v>
          </cell>
          <cell r="C19448" t="str">
            <v>FACT INTER IMPORT   VIG. CMIE NORMAL    4NC</v>
          </cell>
        </row>
        <row r="19449">
          <cell r="B19449" t="str">
            <v>51040102100119</v>
          </cell>
          <cell r="C19449" t="str">
            <v>FCD FACT INTER EXPO. INT GAN.VIG NORM CM4NC</v>
          </cell>
        </row>
        <row r="19450">
          <cell r="B19450" t="str">
            <v>51040102100120</v>
          </cell>
          <cell r="C19450" t="str">
            <v>FCD FACT INTER EXPO. INT GAN VIG DUPE CM4NC</v>
          </cell>
        </row>
        <row r="19451">
          <cell r="B19451" t="str">
            <v>51040102100121</v>
          </cell>
          <cell r="C19451" t="str">
            <v>FCD FORFAITING EXPO INT GANA VIG NORMÂ  4NC</v>
          </cell>
        </row>
        <row r="19452">
          <cell r="B19452" t="str">
            <v>51040102100122</v>
          </cell>
          <cell r="C19452" t="str">
            <v>FCD FORFAITING EXPO INT GANA VIG DUPEÂ  4NC</v>
          </cell>
        </row>
        <row r="19453">
          <cell r="B19453" t="str">
            <v>51040102100201</v>
          </cell>
          <cell r="C19453" t="str">
            <v>FCD INT CRED VIG MICROEMP               4NC</v>
          </cell>
        </row>
        <row r="19454">
          <cell r="B19454" t="str">
            <v>51040102100202</v>
          </cell>
          <cell r="C19454" t="str">
            <v>FCD FACT INTER EXPO VIG NORM CMIE       4NC</v>
          </cell>
        </row>
        <row r="19455">
          <cell r="B19455" t="str">
            <v>51040102100203</v>
          </cell>
          <cell r="C19455" t="str">
            <v>FCD FACT INTER EXPO VIG DUPE CMIE       4NC</v>
          </cell>
        </row>
        <row r="19456">
          <cell r="B19456" t="str">
            <v>51040102110101</v>
          </cell>
          <cell r="C19456" t="str">
            <v>LPC INT LEASING PRE CUOTAS CMIE         4NC</v>
          </cell>
        </row>
        <row r="19457">
          <cell r="B19457" t="str">
            <v>51040102110102</v>
          </cell>
          <cell r="C19457" t="str">
            <v>LPC INT VIG LEASING BIEN RP ME          4NC</v>
          </cell>
        </row>
        <row r="19458">
          <cell r="B19458" t="str">
            <v>51040102110103</v>
          </cell>
          <cell r="C19458" t="str">
            <v>LPC CIA SEGURO LEASING RP MES           4NC</v>
          </cell>
        </row>
        <row r="19459">
          <cell r="B19459" t="str">
            <v>51040102110104</v>
          </cell>
          <cell r="C19459" t="str">
            <v>LPC INT VIG LEASING SEG RP MES          4NC</v>
          </cell>
        </row>
        <row r="19460">
          <cell r="B19460" t="str">
            <v>51040102110105</v>
          </cell>
          <cell r="C19460" t="str">
            <v>LPC INT VIG LEASING BIEN D/P RP MES     4NC</v>
          </cell>
        </row>
        <row r="19461">
          <cell r="B19461" t="str">
            <v>51040102110106</v>
          </cell>
          <cell r="C19461" t="str">
            <v>LPC CIA SEGURO LEASING D/P RP MES       4NC</v>
          </cell>
        </row>
        <row r="19462">
          <cell r="B19462" t="str">
            <v>51040102110107</v>
          </cell>
          <cell r="C19462" t="str">
            <v>LPC INT VIG LEASING SEG D/P RP MES      4NC</v>
          </cell>
        </row>
        <row r="19463">
          <cell r="B19463" t="str">
            <v>51040102110111</v>
          </cell>
          <cell r="C19463" t="str">
            <v>LPC INT VIG LSG ADJ. BIEN D/P MES RP    4NC</v>
          </cell>
        </row>
        <row r="19464">
          <cell r="B19464" t="str">
            <v>51040102110112</v>
          </cell>
          <cell r="C19464" t="str">
            <v>LPC INT VIG LSG ADJ. SEG D/P MES RP     4NC</v>
          </cell>
        </row>
        <row r="19465">
          <cell r="B19465" t="str">
            <v>51040102110113</v>
          </cell>
          <cell r="C19465" t="str">
            <v>LPC CIA SEGURO LSG ADJ. D/P MES RP      4NC</v>
          </cell>
        </row>
        <row r="19466">
          <cell r="B19466" t="str">
            <v>51040102110114</v>
          </cell>
          <cell r="C19466" t="str">
            <v>LPC INT. LS PRE CUOTAS BPE MES          4NC</v>
          </cell>
        </row>
        <row r="19467">
          <cell r="B19467" t="str">
            <v>51040102110115</v>
          </cell>
          <cell r="C19467" t="str">
            <v>LPC IDL MYP INT GAN LEASING CMIE        4NC</v>
          </cell>
        </row>
        <row r="19468">
          <cell r="B19468" t="str">
            <v>51040102110116</v>
          </cell>
          <cell r="C19468" t="str">
            <v>LPC MYP ISG CIA SEG LEASING CMIE        4NC</v>
          </cell>
        </row>
        <row r="19469">
          <cell r="B19469" t="str">
            <v>51040102110117</v>
          </cell>
          <cell r="C19469" t="str">
            <v>LPC IDS MYP INT GAN LEASING CMIE        4NC</v>
          </cell>
        </row>
        <row r="19470">
          <cell r="B19470" t="str">
            <v>51040102110118</v>
          </cell>
          <cell r="C19470" t="str">
            <v>LPC IDL MYP INT GAN LEASING D/P CMIE    4NC</v>
          </cell>
        </row>
        <row r="19471">
          <cell r="B19471" t="str">
            <v>51040102110119</v>
          </cell>
          <cell r="C19471" t="str">
            <v>LPC ISG MYP CIA SEG D/P CMIE            4NC</v>
          </cell>
        </row>
        <row r="19472">
          <cell r="B19472" t="str">
            <v>51040102110120</v>
          </cell>
          <cell r="C19472" t="str">
            <v>LPC IDS MYP INT GAN LEASING D/P CMIE    4NC</v>
          </cell>
        </row>
        <row r="19473">
          <cell r="B19473" t="str">
            <v>51040102110201</v>
          </cell>
          <cell r="C19473" t="str">
            <v>LPC INT VIG LEASING COFIDE IDL CMIE     4NC</v>
          </cell>
        </row>
        <row r="19474">
          <cell r="B19474" t="str">
            <v>51040102110202</v>
          </cell>
          <cell r="C19474" t="str">
            <v>LPC INT VIG LEASING COFIDE SEG IDS CMIE 4NC</v>
          </cell>
        </row>
        <row r="19475">
          <cell r="B19475" t="str">
            <v>51040102110203</v>
          </cell>
          <cell r="C19475" t="str">
            <v>LPC CIA SEGURO LEASING COFIDE ISG CMIE  4NC</v>
          </cell>
        </row>
        <row r="19476">
          <cell r="B19476" t="str">
            <v>51040102110204</v>
          </cell>
          <cell r="C19476" t="str">
            <v>LPC INT VIG LS COFIDE D/P IDL CMIE      4NC</v>
          </cell>
        </row>
        <row r="19477">
          <cell r="B19477" t="str">
            <v>51040102110205</v>
          </cell>
          <cell r="C19477" t="str">
            <v>LPC INT VIG LS COFIDE D/P IDS CMIE      4NC</v>
          </cell>
        </row>
        <row r="19478">
          <cell r="B19478" t="str">
            <v>51040102110206</v>
          </cell>
          <cell r="C19478" t="str">
            <v>LPC CIA SEGURO LS COFIDE D/P ISG CMIE   4NC</v>
          </cell>
        </row>
        <row r="19479">
          <cell r="B19479" t="str">
            <v>51040102120101</v>
          </cell>
          <cell r="C19479" t="str">
            <v>LPC INT VIG LEASEBACK BIEN RP MES       4NC</v>
          </cell>
        </row>
        <row r="19480">
          <cell r="B19480" t="str">
            <v>51040102120102</v>
          </cell>
          <cell r="C19480" t="str">
            <v>REND DEV BONOS TITULIZADOS              4NC</v>
          </cell>
        </row>
        <row r="19481">
          <cell r="B19481" t="str">
            <v>51040102120103</v>
          </cell>
          <cell r="C19481" t="str">
            <v>LPC INT VIG LEASEBACK SEG RP MES        4NC</v>
          </cell>
        </row>
        <row r="19482">
          <cell r="B19482" t="str">
            <v>51040102120104</v>
          </cell>
          <cell r="C19482" t="str">
            <v>LPC INT VIG LSBACK BIEN D/P RP CMIE     4NC</v>
          </cell>
        </row>
        <row r="19483">
          <cell r="B19483" t="str">
            <v>51040102120105</v>
          </cell>
          <cell r="C19483" t="str">
            <v>LPC CIA SEGURO LSBACK D/P RP CMIE       4NC</v>
          </cell>
        </row>
        <row r="19484">
          <cell r="B19484" t="str">
            <v>51040102120106</v>
          </cell>
          <cell r="C19484" t="str">
            <v>LPC INT VIG LSBACK SEG D/P RP CMIE      4NC</v>
          </cell>
        </row>
        <row r="19485">
          <cell r="B19485" t="str">
            <v>51040102210101</v>
          </cell>
          <cell r="C19485" t="str">
            <v>CL INT.GN.CXL AVA.X ACEP-VIG-MES        4NC</v>
          </cell>
        </row>
        <row r="19486">
          <cell r="B19486" t="str">
            <v>51040102210102</v>
          </cell>
          <cell r="C19486" t="str">
            <v>CL INT.GAN.VIG.CRED.POR LIQ. CARTA FIANZ4NC</v>
          </cell>
        </row>
        <row r="19487">
          <cell r="B19487" t="str">
            <v>51040102260101</v>
          </cell>
          <cell r="C19487" t="str">
            <v>CL P.EXP PRE EM.RP MES INT.GAN          4NC</v>
          </cell>
        </row>
        <row r="19488">
          <cell r="B19488" t="str">
            <v>51040102260102</v>
          </cell>
          <cell r="C19488" t="str">
            <v>CL INT GANADO VIG EX PRE EMB MES        4NC</v>
          </cell>
        </row>
        <row r="19489">
          <cell r="B19489" t="str">
            <v>51040102260103</v>
          </cell>
          <cell r="C19489" t="str">
            <v>CL INT GAN. VIG EX POST EMB RP MES      4NC</v>
          </cell>
        </row>
        <row r="19490">
          <cell r="B19490" t="str">
            <v>51040102260105</v>
          </cell>
          <cell r="C19490" t="str">
            <v>CL PAG. IMPOR RP MES INT.GAN            4NC</v>
          </cell>
        </row>
        <row r="19491">
          <cell r="B19491" t="str">
            <v>51040102260108</v>
          </cell>
          <cell r="C19491" t="str">
            <v>MYP IMPORT RP INT GANAD MES VIG         4NC</v>
          </cell>
        </row>
        <row r="19492">
          <cell r="B19492" t="str">
            <v>51040102260109</v>
          </cell>
          <cell r="C19492" t="str">
            <v>MYP D/P IMPOR RP INT GANAD MES VIG      4NC</v>
          </cell>
        </row>
        <row r="19493">
          <cell r="B19493" t="str">
            <v>51040102260110</v>
          </cell>
          <cell r="C19493" t="str">
            <v>MYP EXPORT.POST EMBARQ INT GAN MES VIG C4NC</v>
          </cell>
        </row>
        <row r="19494">
          <cell r="B19494" t="str">
            <v>51040102260111</v>
          </cell>
          <cell r="C19494" t="str">
            <v>MYP D/P EXPORT.POST EMB INT GANAD VIG CP4NC</v>
          </cell>
        </row>
        <row r="19495">
          <cell r="B19495" t="str">
            <v>51040102260112</v>
          </cell>
          <cell r="C19495" t="str">
            <v>MYP EXPORT.PRE EMBARQUE RP INT G        4NC</v>
          </cell>
        </row>
        <row r="19496">
          <cell r="B19496" t="str">
            <v>51040102260113</v>
          </cell>
          <cell r="C19496" t="str">
            <v>MYP D/P EXPORT.PRE EMB INT GANAD VIG CPE4NC</v>
          </cell>
        </row>
        <row r="19497">
          <cell r="B19497" t="str">
            <v>51040102260201</v>
          </cell>
          <cell r="C19497" t="str">
            <v>LPC INT GAN VIG IMPORT RP MES           4NC</v>
          </cell>
        </row>
        <row r="19498">
          <cell r="B19498" t="str">
            <v>51040102260202</v>
          </cell>
          <cell r="C19498" t="str">
            <v>LPC INT GAN VIG IMPORT RP MES D/P       4NC</v>
          </cell>
        </row>
        <row r="19499">
          <cell r="B19499" t="str">
            <v>51040102260203</v>
          </cell>
          <cell r="C19499" t="str">
            <v>LPC INT GAN FINAN PRE EMBARQUE-SEPYMEX C4NC</v>
          </cell>
        </row>
        <row r="19500">
          <cell r="B19500" t="str">
            <v>51040102260204</v>
          </cell>
          <cell r="C19500" t="str">
            <v>LPC INT GAN FINAN PRE EMBARQUE D/P-SEPYM4NC</v>
          </cell>
        </row>
        <row r="19501">
          <cell r="B19501" t="str">
            <v>51040102260205</v>
          </cell>
          <cell r="C19501" t="str">
            <v>LPC INT GAN PRE EMBARQUE VIG.NORM CMIE  4NC</v>
          </cell>
        </row>
        <row r="19502">
          <cell r="B19502" t="str">
            <v>51040102260206</v>
          </cell>
          <cell r="C19502" t="str">
            <v>LPC INT GAN PRE EMBARQUE VIG.DUPE CMIE  4NC</v>
          </cell>
        </row>
        <row r="19503">
          <cell r="B19503" t="str">
            <v>51040102260207</v>
          </cell>
          <cell r="C19503" t="str">
            <v>LPC INT GAN POST EMBARQUE VIG.NORM CMIE 4NC</v>
          </cell>
        </row>
        <row r="19504">
          <cell r="B19504" t="str">
            <v>51040102260208</v>
          </cell>
          <cell r="C19504" t="str">
            <v>LPC INT GAN POST EMBARQUE VIG.DUPE CMIE 4NC</v>
          </cell>
        </row>
        <row r="19505">
          <cell r="B19505" t="str">
            <v>51040102260209</v>
          </cell>
          <cell r="C19505" t="str">
            <v>LPC INT GAN IMPORT. CARTA CREDITO  VIG.N4NC</v>
          </cell>
        </row>
        <row r="19506">
          <cell r="B19506" t="str">
            <v>51040102260210</v>
          </cell>
          <cell r="C19506" t="str">
            <v>LPC INT GAN IMPORT. CARTA CREDITO  VIG.D4NC</v>
          </cell>
        </row>
        <row r="19507">
          <cell r="B19507" t="str">
            <v>51040102260211</v>
          </cell>
          <cell r="C19507" t="str">
            <v>LPC INT GAN IMPORT.  VIG.NORM CMIE      4NC</v>
          </cell>
        </row>
        <row r="19508">
          <cell r="B19508" t="str">
            <v>51040102260212</v>
          </cell>
          <cell r="C19508" t="str">
            <v>LPC INT GAN IMPORT.  VIG.DUPE CMIE      4NC</v>
          </cell>
        </row>
        <row r="19509">
          <cell r="B19509" t="str">
            <v>51040103010401</v>
          </cell>
          <cell r="C19509" t="str">
            <v>INT POR SOBREGIRO CTAS CTES PN          4NC</v>
          </cell>
        </row>
        <row r="19510">
          <cell r="B19510" t="str">
            <v>51040103010403</v>
          </cell>
          <cell r="C19510" t="str">
            <v>INT SOBREG AVANCE CTAS CTES PJ S/F L    4NC</v>
          </cell>
        </row>
        <row r="19511">
          <cell r="B19511" t="str">
            <v>51040103010404</v>
          </cell>
          <cell r="C19511" t="str">
            <v>IM INT AVANCE CTA CTE CCRV              4NC</v>
          </cell>
        </row>
        <row r="19512">
          <cell r="B19512" t="str">
            <v>51040103020101</v>
          </cell>
          <cell r="C19512" t="str">
            <v>INT X COB TC CONSUMO                    4NC</v>
          </cell>
        </row>
        <row r="19513">
          <cell r="B19513" t="str">
            <v>51040103020102</v>
          </cell>
          <cell r="C19513" t="str">
            <v>INT GAN TC CONSUMO WONG VISA            4NC</v>
          </cell>
        </row>
        <row r="19514">
          <cell r="B19514" t="str">
            <v>51040103020103</v>
          </cell>
          <cell r="C19514" t="str">
            <v>INT GAN TC CONSUMO AMEX                 4NC</v>
          </cell>
        </row>
        <row r="19515">
          <cell r="B19515" t="str">
            <v>51040103020106</v>
          </cell>
          <cell r="C19515" t="str">
            <v>BL INT X COB TC CONSUMO MC              4NC</v>
          </cell>
        </row>
        <row r="19516">
          <cell r="B19516" t="str">
            <v>51040103020108</v>
          </cell>
          <cell r="C19516" t="str">
            <v>INTERESES GANADOS VISACUOTAS            4NC</v>
          </cell>
        </row>
        <row r="19517">
          <cell r="B19517" t="str">
            <v>51040103020109</v>
          </cell>
          <cell r="C19517" t="str">
            <v>INT TC EXTRACREDITO CONSUMO AVAL        4NC</v>
          </cell>
        </row>
        <row r="19518">
          <cell r="B19518" t="str">
            <v>51040103020111</v>
          </cell>
          <cell r="C19518" t="str">
            <v>INT X COB TC INTRACASH VISA             4NC</v>
          </cell>
        </row>
        <row r="19519">
          <cell r="B19519" t="str">
            <v>51040103020113</v>
          </cell>
          <cell r="C19519" t="str">
            <v>INT X COB TC EXTRACASH AMEX             4NC</v>
          </cell>
        </row>
        <row r="19520">
          <cell r="B19520" t="str">
            <v>51040103020114</v>
          </cell>
          <cell r="C19520" t="str">
            <v>INT X COB TC EXTRACASH MC               4NC</v>
          </cell>
        </row>
        <row r="19521">
          <cell r="B19521" t="str">
            <v>51040103020115</v>
          </cell>
          <cell r="C19521" t="str">
            <v>INT X COB TC MASTERCARD CUOTAS          4NC</v>
          </cell>
        </row>
        <row r="19522">
          <cell r="B19522" t="str">
            <v>51040103020117</v>
          </cell>
          <cell r="C19522" t="str">
            <v>INT TC CONSUMO AVAL                     4NC</v>
          </cell>
        </row>
        <row r="19523">
          <cell r="B19523" t="str">
            <v>51040103020118</v>
          </cell>
          <cell r="C19523" t="str">
            <v>INT X COB TC CUOTAS MEGAPLAZA           4NC</v>
          </cell>
        </row>
        <row r="19524">
          <cell r="B19524" t="str">
            <v>51040103020119</v>
          </cell>
          <cell r="C19524" t="str">
            <v>INT X COBRAR X COMPRA DE DEUDA          4NC</v>
          </cell>
        </row>
        <row r="19525">
          <cell r="B19525" t="str">
            <v>51040103020120</v>
          </cell>
          <cell r="C19525" t="str">
            <v>INT X COB TC MEGAPLAZA                  4NC</v>
          </cell>
        </row>
        <row r="19526">
          <cell r="B19526" t="str">
            <v>51040103020121</v>
          </cell>
          <cell r="C19526" t="str">
            <v>INT GANADOS TC VEA                      4NC</v>
          </cell>
        </row>
        <row r="19527">
          <cell r="B19527" t="str">
            <v>51040103020122</v>
          </cell>
          <cell r="C19527" t="str">
            <v>INT GANADOS TC VEA VISA                 4NC</v>
          </cell>
        </row>
        <row r="19528">
          <cell r="B19528" t="str">
            <v>51040103020123</v>
          </cell>
          <cell r="C19528" t="str">
            <v>INT GANADOS TC VEA CUOTAS               4NC</v>
          </cell>
        </row>
        <row r="19529">
          <cell r="B19529" t="str">
            <v>51040103020124</v>
          </cell>
          <cell r="C19529" t="str">
            <v>INT GANADOS TC VEA VISA CUOTAS          4NC</v>
          </cell>
        </row>
        <row r="19530">
          <cell r="B19530" t="str">
            <v>51040103020125</v>
          </cell>
          <cell r="C19530" t="str">
            <v>INT TC EXTRACASH VEA VIGENTE            4NC</v>
          </cell>
        </row>
        <row r="19531">
          <cell r="B19531" t="str">
            <v>51040103020126</v>
          </cell>
          <cell r="C19531" t="str">
            <v>INT TC COMPRA DE DEUDA VEA VIGENTE      4NC</v>
          </cell>
        </row>
        <row r="19532">
          <cell r="B19532" t="str">
            <v>51040103020128</v>
          </cell>
          <cell r="C19532" t="str">
            <v>INT TC AMEX CUOTAS                      4NC</v>
          </cell>
        </row>
        <row r="19533">
          <cell r="B19533" t="str">
            <v>51040103020129</v>
          </cell>
          <cell r="C19533" t="str">
            <v>TC INTERESES COMPRA DEUDA INTERNA       4NC</v>
          </cell>
        </row>
        <row r="19534">
          <cell r="B19534" t="str">
            <v>51040103020130</v>
          </cell>
          <cell r="C19534" t="str">
            <v>TC INT REV VISA MEGAPLAZA CCRV          4NC</v>
          </cell>
        </row>
        <row r="19535">
          <cell r="B19535" t="str">
            <v>51040103020131</v>
          </cell>
          <cell r="C19535" t="str">
            <v>TC INT REV VISA VEA CCRV                4NC</v>
          </cell>
        </row>
        <row r="19536">
          <cell r="B19536" t="str">
            <v>51040103020132</v>
          </cell>
          <cell r="C19536" t="str">
            <v>TC INT CUOTAS VISA MEGAPLAZA CCRV       4NC</v>
          </cell>
        </row>
        <row r="19537">
          <cell r="B19537" t="str">
            <v>51040103020133</v>
          </cell>
          <cell r="C19537" t="str">
            <v>TC INT CUOTAS VISA VEA CCRV             4NC</v>
          </cell>
        </row>
        <row r="19538">
          <cell r="B19538" t="str">
            <v>51040103020134</v>
          </cell>
          <cell r="C19538" t="str">
            <v>TC INT EXTRACASH VISA MEGAPLAZA CCNR    4NC</v>
          </cell>
        </row>
        <row r="19539">
          <cell r="B19539" t="str">
            <v>51040103020135</v>
          </cell>
          <cell r="C19539" t="str">
            <v>TC INT EXTRACASH VISA VEA CCNR          4NC</v>
          </cell>
        </row>
        <row r="19540">
          <cell r="B19540" t="str">
            <v>51040103020136</v>
          </cell>
          <cell r="C19540" t="str">
            <v>TC INT CDEUDA REV VISA MEGAPLAZA CCRV   4NC</v>
          </cell>
        </row>
        <row r="19541">
          <cell r="B19541" t="str">
            <v>51040103020137</v>
          </cell>
          <cell r="C19541" t="str">
            <v>TC INT CDEUDA REV VISA VEA CCRV         4NC</v>
          </cell>
        </row>
        <row r="19542">
          <cell r="B19542" t="str">
            <v>51040103020138</v>
          </cell>
          <cell r="C19542" t="str">
            <v>TC INT CDEUDA PAR VISA MEGAPLAZA CCNR   4NC</v>
          </cell>
        </row>
        <row r="19543">
          <cell r="B19543" t="str">
            <v>51040103020139</v>
          </cell>
          <cell r="C19543" t="str">
            <v>TC INT CDEUDA PAR VISA VEA CCNR         4NC</v>
          </cell>
        </row>
        <row r="19544">
          <cell r="B19544" t="str">
            <v>51040103020140</v>
          </cell>
          <cell r="C19544" t="str">
            <v>TC INT CDEUDA PAR AMEX CCNR             4NC</v>
          </cell>
        </row>
        <row r="19545">
          <cell r="B19545" t="str">
            <v>51040103020141</v>
          </cell>
          <cell r="C19545" t="str">
            <v>TC INT CDEUDA REV AMEX CCRV             4NC</v>
          </cell>
        </row>
        <row r="19546">
          <cell r="B19546" t="str">
            <v>51040103020142</v>
          </cell>
          <cell r="C19546" t="str">
            <v>TC INT CUOTAS AMEX CCRV                 4NC</v>
          </cell>
        </row>
        <row r="19547">
          <cell r="B19547" t="str">
            <v>51040103020143</v>
          </cell>
          <cell r="C19547" t="str">
            <v>TC INT EXTRACASH AMEX CCNR              4NC</v>
          </cell>
        </row>
        <row r="19548">
          <cell r="B19548" t="str">
            <v>51040103020144</v>
          </cell>
          <cell r="C19548" t="str">
            <v>TC INT REPROG PAR AMEX CCNR             4NC</v>
          </cell>
        </row>
        <row r="19549">
          <cell r="B19549" t="str">
            <v>51040103020145</v>
          </cell>
          <cell r="C19549" t="str">
            <v>TC INT REPROG REV AMEX CCRV             4NC</v>
          </cell>
        </row>
        <row r="19550">
          <cell r="B19550" t="str">
            <v>51040103020146</v>
          </cell>
          <cell r="C19550" t="str">
            <v>TC INT REV AMEX CCRV                    4NC</v>
          </cell>
        </row>
        <row r="19551">
          <cell r="B19551" t="str">
            <v>51040103020147</v>
          </cell>
          <cell r="C19551" t="str">
            <v>TC INT CDEUDA PAR MC CCNR               4NC</v>
          </cell>
        </row>
        <row r="19552">
          <cell r="B19552" t="str">
            <v>51040103020148</v>
          </cell>
          <cell r="C19552" t="str">
            <v>TC INT CDEUDA REV MC CCRV               4NC</v>
          </cell>
        </row>
        <row r="19553">
          <cell r="B19553" t="str">
            <v>51040103020149</v>
          </cell>
          <cell r="C19553" t="str">
            <v>TC INT CUOTAS MC CCRV                   4NC</v>
          </cell>
        </row>
        <row r="19554">
          <cell r="B19554" t="str">
            <v>51040103020150</v>
          </cell>
          <cell r="C19554" t="str">
            <v>TC INT EXTRACASH MC CCNR                4NC</v>
          </cell>
        </row>
        <row r="19555">
          <cell r="B19555" t="str">
            <v>51040103020151</v>
          </cell>
          <cell r="C19555" t="str">
            <v>TC INT REPROG PAR MC CCNR               4NC</v>
          </cell>
        </row>
        <row r="19556">
          <cell r="B19556" t="str">
            <v>51040103020152</v>
          </cell>
          <cell r="C19556" t="str">
            <v>TC INT REPROG REV MC CCRV               4NC</v>
          </cell>
        </row>
        <row r="19557">
          <cell r="B19557" t="str">
            <v>51040103020153</v>
          </cell>
          <cell r="C19557" t="str">
            <v>TC INT REV MC CCRV                      4NC</v>
          </cell>
        </row>
        <row r="19558">
          <cell r="B19558" t="str">
            <v>51040103020154</v>
          </cell>
          <cell r="C19558" t="str">
            <v>TC INT CDEUDA PAR VISA CCNR             4NC</v>
          </cell>
        </row>
        <row r="19559">
          <cell r="B19559" t="str">
            <v>51040103020155</v>
          </cell>
          <cell r="C19559" t="str">
            <v>TC INT CDEUDA REV VISA CCRV             4NC</v>
          </cell>
        </row>
        <row r="19560">
          <cell r="B19560" t="str">
            <v>51040103020156</v>
          </cell>
          <cell r="C19560" t="str">
            <v>TC INT CUOTAS VISA CCRV                 4NC</v>
          </cell>
        </row>
        <row r="19561">
          <cell r="B19561" t="str">
            <v>51040103020157</v>
          </cell>
          <cell r="C19561" t="str">
            <v>TC INT EXTRACASH VISA CCNR              4NC</v>
          </cell>
        </row>
        <row r="19562">
          <cell r="B19562" t="str">
            <v>51040103020158</v>
          </cell>
          <cell r="C19562" t="str">
            <v>TC INT REPROG PAR VISA CCNR             4NC</v>
          </cell>
        </row>
        <row r="19563">
          <cell r="B19563" t="str">
            <v>51040103020159</v>
          </cell>
          <cell r="C19563" t="str">
            <v>TC INT REPROG PAR VISA MEGAPLAZA CCNR   4NC</v>
          </cell>
        </row>
        <row r="19564">
          <cell r="B19564" t="str">
            <v>51040103020160</v>
          </cell>
          <cell r="C19564" t="str">
            <v>TC INT REPROG PAR VISA VEA CCNR         4NC</v>
          </cell>
        </row>
        <row r="19565">
          <cell r="B19565" t="str">
            <v>51040103020161</v>
          </cell>
          <cell r="C19565" t="str">
            <v>TC INT REPROG REV VISA CCRV             4NC</v>
          </cell>
        </row>
        <row r="19566">
          <cell r="B19566" t="str">
            <v>51040103020162</v>
          </cell>
          <cell r="C19566" t="str">
            <v>TC INT REPROG REV VISA MEGAPLAZA CCRV   4NC</v>
          </cell>
        </row>
        <row r="19567">
          <cell r="B19567" t="str">
            <v>51040103020163</v>
          </cell>
          <cell r="C19567" t="str">
            <v>TC INT REPROG REV VISA VEA CCRV         4NC</v>
          </cell>
        </row>
        <row r="19568">
          <cell r="B19568" t="str">
            <v>51040103020164</v>
          </cell>
          <cell r="C19568" t="str">
            <v>TC INT REV VISA CCRV                    4NC</v>
          </cell>
        </row>
        <row r="19569">
          <cell r="B19569" t="str">
            <v>51040103020165</v>
          </cell>
          <cell r="C19569" t="str">
            <v>HPC INT.GAN.VIG TC FINAN.PROV.REFIN     4NC</v>
          </cell>
        </row>
        <row r="19570">
          <cell r="B19570" t="str">
            <v>51040103020166</v>
          </cell>
          <cell r="C19570" t="str">
            <v>HPC DP INT.GAN.VIG TC FINAN.PROV.REFIN  4NC</v>
          </cell>
        </row>
        <row r="19571">
          <cell r="B19571" t="str">
            <v>51040103021711</v>
          </cell>
          <cell r="C19571" t="str">
            <v>TC DIEF INT CUOTAS AMEX CCRV            4NC</v>
          </cell>
        </row>
        <row r="19572">
          <cell r="B19572" t="str">
            <v>51040103021712</v>
          </cell>
          <cell r="C19572" t="str">
            <v>TC DIEF INT CUOTAS VISA CCRV            4NC</v>
          </cell>
        </row>
        <row r="19573">
          <cell r="B19573" t="str">
            <v>51040103021713</v>
          </cell>
          <cell r="C19573" t="str">
            <v>TC DIEF INT CUOTAS VISA MEGAPLAZA CCRV  4NC</v>
          </cell>
        </row>
        <row r="19574">
          <cell r="B19574" t="str">
            <v>51040103021714</v>
          </cell>
          <cell r="C19574" t="str">
            <v>TC DIEF INT CUOTAS VISA VEA CCRV        4NC</v>
          </cell>
        </row>
        <row r="19575">
          <cell r="B19575" t="str">
            <v>51040103021715</v>
          </cell>
          <cell r="C19575" t="str">
            <v>TC DIEF INT CUOTAS MC CCRV              4NC</v>
          </cell>
        </row>
        <row r="19576">
          <cell r="B19576" t="str">
            <v>51040103021721</v>
          </cell>
          <cell r="C19576" t="str">
            <v>TC DIEF INT REV AMEX CCRV               4NC</v>
          </cell>
        </row>
        <row r="19577">
          <cell r="B19577" t="str">
            <v>51040103021722</v>
          </cell>
          <cell r="C19577" t="str">
            <v>TC DIEF INT REV VISA CCRV               4NC</v>
          </cell>
        </row>
        <row r="19578">
          <cell r="B19578" t="str">
            <v>51040103021723</v>
          </cell>
          <cell r="C19578" t="str">
            <v>TC DIEF INT REV VISA MEGAPLAZA CCRV     4NC</v>
          </cell>
        </row>
        <row r="19579">
          <cell r="B19579" t="str">
            <v>51040103021724</v>
          </cell>
          <cell r="C19579" t="str">
            <v>TC DIEF INT REV VISA VEA CCRV           4NC</v>
          </cell>
        </row>
        <row r="19580">
          <cell r="B19580" t="str">
            <v>51040103021725</v>
          </cell>
          <cell r="C19580" t="str">
            <v>TC DIEF INT REV MC CCRV                 4NC</v>
          </cell>
        </row>
        <row r="19581">
          <cell r="B19581" t="str">
            <v>51040103021726</v>
          </cell>
          <cell r="C19581" t="str">
            <v>TC INT REV VIG VISA CESF                4NC</v>
          </cell>
        </row>
        <row r="19582">
          <cell r="B19582" t="str">
            <v>51040103021727</v>
          </cell>
          <cell r="C19582" t="str">
            <v>TC INT REV VIG MC CESF                  4NC</v>
          </cell>
        </row>
        <row r="19583">
          <cell r="B19583" t="str">
            <v>51040103021728</v>
          </cell>
          <cell r="C19583" t="str">
            <v>TC INT REV VIG AMEX CESF                4NC</v>
          </cell>
        </row>
        <row r="19584">
          <cell r="B19584" t="str">
            <v>51040103021729</v>
          </cell>
          <cell r="C19584" t="str">
            <v>CDO MAC CENTER                          4NC</v>
          </cell>
        </row>
        <row r="19585">
          <cell r="B19585" t="str">
            <v>51040103021730</v>
          </cell>
          <cell r="C19585" t="str">
            <v>BTC INT CUOTAS VISA CCRV                4NC</v>
          </cell>
        </row>
        <row r="19586">
          <cell r="B19586" t="str">
            <v>51040103021731</v>
          </cell>
          <cell r="C19586" t="str">
            <v>BTC INT EXTRACASH VISA CCNR             4NC</v>
          </cell>
        </row>
        <row r="19587">
          <cell r="B19587" t="str">
            <v>51040103021732</v>
          </cell>
          <cell r="C19587" t="str">
            <v>BTC INT REV VISA CCRV                   4NC</v>
          </cell>
        </row>
        <row r="19588">
          <cell r="B19588" t="str">
            <v>51040103040101</v>
          </cell>
          <cell r="C19588" t="str">
            <v>INT.POR SOBREGIROS CTA CTE PN           4NC</v>
          </cell>
        </row>
        <row r="19589">
          <cell r="B19589" t="str">
            <v>51040103040102</v>
          </cell>
          <cell r="C19589" t="str">
            <v>INT POR SOBREGIROS CTA CTE PJ S/FL      4NC</v>
          </cell>
        </row>
        <row r="19590">
          <cell r="B19590" t="str">
            <v>51040103040104</v>
          </cell>
          <cell r="C19590" t="str">
            <v>INTERESES EN SOBREGIRO EN CTA CTE       4NC</v>
          </cell>
        </row>
        <row r="19591">
          <cell r="B19591" t="str">
            <v>51040103060102</v>
          </cell>
          <cell r="C19591" t="str">
            <v>IC INT GAN CRED PERS EFECT VIG          4NC</v>
          </cell>
        </row>
        <row r="19592">
          <cell r="B19592" t="str">
            <v>51040103060103</v>
          </cell>
          <cell r="C19592" t="str">
            <v>INT PREST PERSONAL VEHICULAR            4NC</v>
          </cell>
        </row>
        <row r="19593">
          <cell r="B19593" t="str">
            <v>51040103060104</v>
          </cell>
          <cell r="C19593" t="str">
            <v>IC INT GAN VIG CRED CONVENIO            4NC</v>
          </cell>
        </row>
        <row r="19594">
          <cell r="B19594" t="str">
            <v>51040103060113</v>
          </cell>
          <cell r="C19594" t="str">
            <v>LIC INT GAN CREDXCONVENIO VIG           4NC</v>
          </cell>
        </row>
        <row r="19595">
          <cell r="B19595" t="str">
            <v>51040103060114</v>
          </cell>
          <cell r="C19595" t="str">
            <v>LIC INT GAN CREDXCONVENIO D/P VIG       4NC</v>
          </cell>
        </row>
        <row r="19596">
          <cell r="B19596" t="str">
            <v>51040103060125</v>
          </cell>
          <cell r="C19596" t="str">
            <v>HPC INT.GAN.VIG EFEC C/GARANT. H        4NC</v>
          </cell>
        </row>
        <row r="19597">
          <cell r="B19597" t="str">
            <v>51040103060126</v>
          </cell>
          <cell r="C19597" t="str">
            <v>HPC D/P GAN.INT.VIG EFEC C/GAR          4NC</v>
          </cell>
        </row>
        <row r="19598">
          <cell r="B19598" t="str">
            <v>51040103060127</v>
          </cell>
          <cell r="C19598" t="str">
            <v>HPC INT.GAN.VIG EFEC REGULAR.           4NC</v>
          </cell>
        </row>
        <row r="19599">
          <cell r="B19599" t="str">
            <v>51040103060128</v>
          </cell>
          <cell r="C19599" t="str">
            <v>HPC D/P GAN.INT.VIG  EFEC REGULAR       4NC</v>
          </cell>
        </row>
        <row r="19600">
          <cell r="B19600" t="str">
            <v>51040103060129</v>
          </cell>
          <cell r="C19600" t="str">
            <v>HPC REF GAN.INT.VIG EFEC C/GAR          4NC</v>
          </cell>
        </row>
        <row r="19601">
          <cell r="B19601" t="str">
            <v>51040103060130</v>
          </cell>
          <cell r="C19601" t="str">
            <v>HPC  REF GAN.INT.VIG  PREST.PERS.       4NC</v>
          </cell>
        </row>
        <row r="19602">
          <cell r="B19602" t="str">
            <v>51040103060136</v>
          </cell>
          <cell r="C19602" t="str">
            <v>HPC INT.GAN.VIG EFEC C/GARANT.HIP       4NC</v>
          </cell>
        </row>
        <row r="19603">
          <cell r="B19603" t="str">
            <v>51040103060137</v>
          </cell>
          <cell r="C19603" t="str">
            <v>HPC D/P  INT.GAN.VIG EFEC C/GARAN       4NC</v>
          </cell>
        </row>
        <row r="19604">
          <cell r="B19604" t="str">
            <v>51040103060138</v>
          </cell>
          <cell r="C19604" t="str">
            <v>HPC INT.GAN.VIG .PRESTAMO PERSONA       4NC</v>
          </cell>
        </row>
        <row r="19605">
          <cell r="B19605" t="str">
            <v>51040103060139</v>
          </cell>
          <cell r="C19605" t="str">
            <v>HPC D/P  INT.GAN.VIG .PRESTAMO PE       4NC</v>
          </cell>
        </row>
        <row r="19606">
          <cell r="B19606" t="str">
            <v>51040103060142</v>
          </cell>
          <cell r="C19606" t="str">
            <v>INGRESO POR INTERES COMPRAMERICA CRED   4NC</v>
          </cell>
        </row>
        <row r="19607">
          <cell r="B19607" t="str">
            <v>51040103060147</v>
          </cell>
          <cell r="C19607" t="str">
            <v>LIC INT GAN CREDXCONV PREF VIG110051    4NC</v>
          </cell>
        </row>
        <row r="19608">
          <cell r="B19608" t="str">
            <v>51040103060148</v>
          </cell>
          <cell r="C19608" t="str">
            <v>LIC DP INT GAN CREDXCONV PREF           4NC</v>
          </cell>
        </row>
        <row r="19609">
          <cell r="B19609" t="str">
            <v>51040103060149</v>
          </cell>
          <cell r="C19609" t="str">
            <v>HPC INT.GAN.VIG CRED EMPLEADO EFECTIV   4NC</v>
          </cell>
        </row>
        <row r="19610">
          <cell r="B19610" t="str">
            <v>51040103060150</v>
          </cell>
          <cell r="C19610" t="str">
            <v>HPC INT.GAN.VIG EMPLEADO VEHICULAR      4NC</v>
          </cell>
        </row>
        <row r="19611">
          <cell r="B19611" t="str">
            <v>51040103060151</v>
          </cell>
          <cell r="C19611" t="str">
            <v>HPC D/P.INT.GAN.VIG EMPLEADO EFECTIVO   4NC</v>
          </cell>
        </row>
        <row r="19612">
          <cell r="B19612" t="str">
            <v>51040103060201</v>
          </cell>
          <cell r="C19612" t="str">
            <v>LIC INT GAN CONV NO REVOLV VIG          4NC</v>
          </cell>
        </row>
        <row r="19613">
          <cell r="B19613" t="str">
            <v>51040103060202</v>
          </cell>
          <cell r="C19613" t="str">
            <v>LIC DP INT GAN CONV NRV OBC VIG         4NC</v>
          </cell>
        </row>
        <row r="19614">
          <cell r="B19614" t="str">
            <v>51040103060203</v>
          </cell>
          <cell r="C19614" t="str">
            <v>LIC INT GAN PREF NRV OT BAJ C NE VIG    4NC</v>
          </cell>
        </row>
        <row r="19615">
          <cell r="B19615" t="str">
            <v>51040103060204</v>
          </cell>
          <cell r="C19615" t="str">
            <v>LIC DP INT GAN PREF NRV OT BAJ C NE VIG 4NC</v>
          </cell>
        </row>
        <row r="19616">
          <cell r="B19616" t="str">
            <v>51040103060205</v>
          </cell>
          <cell r="C19616" t="str">
            <v>HPC INT.GAN.VIG  CRED EFECTIVO          4NC</v>
          </cell>
        </row>
        <row r="19617">
          <cell r="B19617" t="str">
            <v>51040103060206</v>
          </cell>
          <cell r="C19617" t="str">
            <v>HPC INT.GAN.VIG  CRED VEHIC             4NC</v>
          </cell>
        </row>
        <row r="19618">
          <cell r="B19618" t="str">
            <v>51040103060207</v>
          </cell>
          <cell r="C19618" t="str">
            <v>HPC D/P GAN.INT.VIG EFECTIVO            4NC</v>
          </cell>
        </row>
        <row r="19619">
          <cell r="B19619" t="str">
            <v>51040103060208</v>
          </cell>
          <cell r="C19619" t="str">
            <v>HPC D/P GAN.INT.VIG VEHICULAR           4NC</v>
          </cell>
        </row>
        <row r="19620">
          <cell r="B19620" t="str">
            <v>51040103060301</v>
          </cell>
          <cell r="C19620" t="str">
            <v>HPC INT.GAN.VIG  CRED EFECTIVO          4NC</v>
          </cell>
        </row>
        <row r="19621">
          <cell r="B19621" t="str">
            <v>51040103060302</v>
          </cell>
          <cell r="C19621" t="str">
            <v>HPC INT.GAN.VIG  CRED VEHIC             4NC</v>
          </cell>
        </row>
        <row r="19622">
          <cell r="B19622" t="str">
            <v>51040103060303</v>
          </cell>
          <cell r="C19622" t="str">
            <v>HPC D/P GAN.INT.VIG EFECTIVO            4NC</v>
          </cell>
        </row>
        <row r="19623">
          <cell r="B19623" t="str">
            <v>51040103060304</v>
          </cell>
          <cell r="C19623" t="str">
            <v>HPC D/P GAN.INT.VIG VEHICULAR           4NC</v>
          </cell>
        </row>
        <row r="19624">
          <cell r="B19624" t="str">
            <v>51040103060305</v>
          </cell>
          <cell r="C19624" t="str">
            <v>HPC INT.GAN.VIG CRED EFECT FINAN.PROV.RE4NC</v>
          </cell>
        </row>
        <row r="19625">
          <cell r="B19625" t="str">
            <v>51040103060306</v>
          </cell>
          <cell r="C19625" t="str">
            <v>HPC DP INT.GAN.VIG CRED EFECT FINAN.PROV4NC</v>
          </cell>
        </row>
        <row r="19626">
          <cell r="B19626" t="str">
            <v>51040103060307</v>
          </cell>
          <cell r="C19626" t="str">
            <v>HPC INT.GAN.VIG CRED VEHIC FINAN.PROV.RE4NC</v>
          </cell>
        </row>
        <row r="19627">
          <cell r="B19627" t="str">
            <v>51040103060308</v>
          </cell>
          <cell r="C19627" t="str">
            <v>HPC DP INT.GAN.VIG CRED VEHIC FINAN.PROV4NC</v>
          </cell>
        </row>
        <row r="19628">
          <cell r="B19628" t="str">
            <v>51040103060309</v>
          </cell>
          <cell r="C19628" t="str">
            <v>HPC INT.GAN.VIG LIC CONVENIO PROV.REFIN 4NC</v>
          </cell>
        </row>
        <row r="19629">
          <cell r="B19629" t="str">
            <v>51040103060310</v>
          </cell>
          <cell r="C19629" t="str">
            <v>HPC DP INT.GAN.VIG LIC CONVENIO PROV.REF4NC</v>
          </cell>
        </row>
        <row r="19630">
          <cell r="B19630" t="str">
            <v>51040103060311</v>
          </cell>
          <cell r="C19630" t="str">
            <v>HPC INT.GAN.VIG CRED PREF CONV PROV.REFI4NC</v>
          </cell>
        </row>
        <row r="19631">
          <cell r="B19631" t="str">
            <v>51040103060312</v>
          </cell>
          <cell r="C19631" t="str">
            <v>HPC DP INT.GAN.VIG CRED PREF CONV PROV.R4NC</v>
          </cell>
        </row>
        <row r="19632">
          <cell r="B19632" t="str">
            <v>51040103060313</v>
          </cell>
          <cell r="C19632" t="str">
            <v>HPC INT.GAN.VIGÂ  CRED VEH PROV REF     4NC</v>
          </cell>
        </row>
        <row r="19633">
          <cell r="B19633" t="str">
            <v>51040103060314</v>
          </cell>
          <cell r="C19633" t="str">
            <v>HPC D/P GAN.INT.VIG VEH PROV REF        4NC</v>
          </cell>
        </row>
        <row r="19634">
          <cell r="B19634" t="str">
            <v>51040103060315</v>
          </cell>
          <cell r="C19634" t="str">
            <v>HPC INT.GAN.VIGÂ  CONV PRIVADO VIG      4NC</v>
          </cell>
        </row>
        <row r="19635">
          <cell r="B19635" t="str">
            <v>51040103060316</v>
          </cell>
          <cell r="C19635" t="str">
            <v>HPC MICROPRESTAMOS ING VIG NORM         4 C</v>
          </cell>
        </row>
        <row r="19636">
          <cell r="B19636" t="str">
            <v>51040103060317</v>
          </cell>
          <cell r="C19636" t="str">
            <v>HPC MICROPRESTAMOS ING VIG DUPE         4 C</v>
          </cell>
        </row>
        <row r="19637">
          <cell r="B19637" t="str">
            <v>51040103060318</v>
          </cell>
          <cell r="C19637" t="str">
            <v>HPC INT.GAN.VIGÂ  CONV PRIVADO VIG GRUPO4 C</v>
          </cell>
        </row>
        <row r="19638">
          <cell r="B19638" t="str">
            <v>51040103200101</v>
          </cell>
          <cell r="C19638" t="str">
            <v>INT CRED CONSUMO-EMPL                   4NC</v>
          </cell>
        </row>
        <row r="19639">
          <cell r="B19639" t="str">
            <v>51040103200102</v>
          </cell>
          <cell r="C19639" t="str">
            <v>IC INT GAN VIG CRED EMPLEAD EFECT       4NC</v>
          </cell>
        </row>
        <row r="19640">
          <cell r="B19640" t="str">
            <v>51040103200103</v>
          </cell>
          <cell r="C19640" t="str">
            <v>IC INT GAN VIG CRED EMPLEAD VEHIC       4NC</v>
          </cell>
        </row>
        <row r="19641">
          <cell r="B19641" t="str">
            <v>51040103200106</v>
          </cell>
          <cell r="C19641" t="str">
            <v>HPC INT.GAN.VIG EFEC C/GARANT.HIP.EMP   4NC</v>
          </cell>
        </row>
        <row r="19642">
          <cell r="B19642" t="str">
            <v>51040103290103</v>
          </cell>
          <cell r="C19642" t="str">
            <v>HPC INT.GAN.VIG CRED EFECT              4NC</v>
          </cell>
        </row>
        <row r="19643">
          <cell r="B19643" t="str">
            <v>51040103290104</v>
          </cell>
          <cell r="C19643" t="str">
            <v>HPC D/P GAN.INT.VIG EFECTIV             4NC</v>
          </cell>
        </row>
        <row r="19644">
          <cell r="B19644" t="str">
            <v>51040103290105</v>
          </cell>
          <cell r="C19644" t="str">
            <v>HPC INT.GAN.VIG CRED VEHIC              4NC</v>
          </cell>
        </row>
        <row r="19645">
          <cell r="B19645" t="str">
            <v>51040103290106</v>
          </cell>
          <cell r="C19645" t="str">
            <v>HPC D/P GAN.INT.VIG VEHICUL             4NC</v>
          </cell>
        </row>
        <row r="19646">
          <cell r="B19646" t="str">
            <v>51040104060101</v>
          </cell>
          <cell r="C19646" t="str">
            <v>IC INT GAN VIG CRED HIPOTECARIOS        4NC</v>
          </cell>
        </row>
        <row r="19647">
          <cell r="B19647" t="str">
            <v>51040104060106</v>
          </cell>
          <cell r="C19647" t="str">
            <v>IC INT GAN VIG CRED HIPOT BONOS         4NC</v>
          </cell>
        </row>
        <row r="19648">
          <cell r="B19648" t="str">
            <v>51040104060109</v>
          </cell>
          <cell r="C19648" t="str">
            <v>HPC INT.GAN.VIG HIPOT.RP                4NC</v>
          </cell>
        </row>
        <row r="19649">
          <cell r="B19649" t="str">
            <v>51040104060110</v>
          </cell>
          <cell r="C19649" t="str">
            <v>HPC D/P GAN.INT.VIG HIPOT.RP            4NC</v>
          </cell>
        </row>
        <row r="19650">
          <cell r="B19650" t="str">
            <v>51040104060111</v>
          </cell>
          <cell r="C19650" t="str">
            <v>HPC INT.GAN.VIG .HIP. RP. BONOS         4NC</v>
          </cell>
        </row>
        <row r="19651">
          <cell r="B19651" t="str">
            <v>51040104060112</v>
          </cell>
          <cell r="C19651" t="str">
            <v>HPC D/P GAN.INT.VIG HIP. RP. BON        4NC</v>
          </cell>
        </row>
        <row r="19652">
          <cell r="B19652" t="str">
            <v>51040104060113</v>
          </cell>
          <cell r="C19652" t="str">
            <v>HPC REF INT.GAN. VIG HIPOT.TRAD.        4NC</v>
          </cell>
        </row>
        <row r="19653">
          <cell r="B19653" t="str">
            <v>51040104060114</v>
          </cell>
          <cell r="C19653" t="str">
            <v>HPC REF INT.GAN.VIG .HIP  ADJUDIC       4NC</v>
          </cell>
        </row>
        <row r="19654">
          <cell r="B19654" t="str">
            <v>51040104060116</v>
          </cell>
          <cell r="C19654" t="str">
            <v>HPC INT.GAN.VIG HIPOT.TRAD. FINAN       4NC</v>
          </cell>
        </row>
        <row r="19655">
          <cell r="B19655" t="str">
            <v>51040104060117</v>
          </cell>
          <cell r="C19655" t="str">
            <v>HPC D/P INT.GAN.VIG HIPOT.TRAD.FI       4NC</v>
          </cell>
        </row>
        <row r="19656">
          <cell r="B19656" t="str">
            <v>51040104060118</v>
          </cell>
          <cell r="C19656" t="str">
            <v>HPC INT.GAN.VIG HIPOT.FINAN.PROV.       4NC</v>
          </cell>
        </row>
        <row r="19657">
          <cell r="B19657" t="str">
            <v>51040104060119</v>
          </cell>
          <cell r="C19657" t="str">
            <v>HPC D/P INT.GAN.VIG HIPOT.FINAN.P       4NC</v>
          </cell>
        </row>
        <row r="19658">
          <cell r="B19658" t="str">
            <v>51040104060120</v>
          </cell>
          <cell r="C19658" t="str">
            <v>HPC INT.GAN.VIG .HIP RP ADJUDIC         4NC</v>
          </cell>
        </row>
        <row r="19659">
          <cell r="B19659" t="str">
            <v>51040104060121</v>
          </cell>
          <cell r="C19659" t="str">
            <v>HPC D/P GAN.INT.VIG HIP RP ADJUDIC      4NC</v>
          </cell>
        </row>
        <row r="19660">
          <cell r="B19660" t="str">
            <v>51040104060201</v>
          </cell>
          <cell r="C19660" t="str">
            <v>HPC INT.GAN.VIG HIPOT TASA MIXTA RP     4NC</v>
          </cell>
        </row>
        <row r="19661">
          <cell r="B19661" t="str">
            <v>51040104060202</v>
          </cell>
          <cell r="C19661" t="str">
            <v>HPC D/P GAN.INT.VIG HIPOT.TASA MIXTA RP 4NC</v>
          </cell>
        </row>
        <row r="19662">
          <cell r="B19662" t="str">
            <v>51040104200101</v>
          </cell>
          <cell r="C19662" t="str">
            <v>UIC INT GAN CRED EMPLEAD HIPOTEC        4NC</v>
          </cell>
        </row>
        <row r="19663">
          <cell r="B19663" t="str">
            <v>51040104200102</v>
          </cell>
          <cell r="C19663" t="str">
            <v>CHI INT GAN VIG MIVIVIEND EMPLEAD       4NC</v>
          </cell>
        </row>
        <row r="19664">
          <cell r="B19664" t="str">
            <v>51040104200103</v>
          </cell>
          <cell r="C19664" t="str">
            <v>HPC INT.GAN.VIG .RP EMPLEAD             4NC</v>
          </cell>
        </row>
        <row r="19665">
          <cell r="B19665" t="str">
            <v>51040104200104</v>
          </cell>
          <cell r="C19665" t="str">
            <v>HPC D/P INT.GAN.VIG .RP EMPLEAD         4NC</v>
          </cell>
        </row>
        <row r="19666">
          <cell r="B19666" t="str">
            <v>51040104200108</v>
          </cell>
          <cell r="C19666" t="str">
            <v>HPC INT.GAN.VIG . MI VIV REC PROP.EMP   4NC</v>
          </cell>
        </row>
        <row r="19667">
          <cell r="B19667" t="str">
            <v>51040104230101</v>
          </cell>
          <cell r="C19667" t="str">
            <v>INTERESES FONDO PH MI VIVIENDA          4NC</v>
          </cell>
        </row>
        <row r="19668">
          <cell r="B19668" t="str">
            <v>51040104230107</v>
          </cell>
          <cell r="C19668" t="str">
            <v>CHI INT GAN TECHO PROPIO VIG            4NC</v>
          </cell>
        </row>
        <row r="19669">
          <cell r="B19669" t="str">
            <v>51040104230108</v>
          </cell>
          <cell r="C19669" t="str">
            <v>HPC INT.GAN.VIG . MI VIV COFIDE         4NC</v>
          </cell>
        </row>
        <row r="19670">
          <cell r="B19670" t="str">
            <v>51040104230109</v>
          </cell>
          <cell r="C19670" t="str">
            <v>HPC D/P GAN.INT.VIG MI VIV COFI         4NC</v>
          </cell>
        </row>
        <row r="19671">
          <cell r="B19671" t="str">
            <v>51040104230110</v>
          </cell>
          <cell r="C19671" t="str">
            <v>HPC INT.GAN.VIG .MI VIV COF EMPL        4NC</v>
          </cell>
        </row>
        <row r="19672">
          <cell r="B19672" t="str">
            <v>51040104230111</v>
          </cell>
          <cell r="C19672" t="str">
            <v>HPC D/P INT.GAN.VIG .MI VIV COF EMPL    4NC</v>
          </cell>
        </row>
        <row r="19673">
          <cell r="B19673" t="str">
            <v>51040104230112</v>
          </cell>
          <cell r="C19673" t="str">
            <v>HPC INT.GAN.VIG .TEC PROP COF           4NC</v>
          </cell>
        </row>
        <row r="19674">
          <cell r="B19674" t="str">
            <v>51040104230113</v>
          </cell>
          <cell r="C19674" t="str">
            <v>HPC D/P GAN.INT.VIG TEC PROP COF        4NC</v>
          </cell>
        </row>
        <row r="19675">
          <cell r="B19675" t="str">
            <v>51040104230114</v>
          </cell>
          <cell r="C19675" t="str">
            <v>CHI INT GAN VIG MI HOGAR                4NC</v>
          </cell>
        </row>
        <row r="19676">
          <cell r="B19676" t="str">
            <v>51040104230115</v>
          </cell>
          <cell r="C19676" t="str">
            <v>CHI INT GAN VIG BT MI VIVIENDA          4NC</v>
          </cell>
        </row>
        <row r="19677">
          <cell r="B19677" t="str">
            <v>51040104230119</v>
          </cell>
          <cell r="C19677" t="str">
            <v>HPC INT.GAN.VIG . MI HOGAR              4NC</v>
          </cell>
        </row>
        <row r="19678">
          <cell r="B19678" t="str">
            <v>51040104230120</v>
          </cell>
          <cell r="C19678" t="str">
            <v>HPC D/P GAN.INT.VIG MI HOGAR            4NC</v>
          </cell>
        </row>
        <row r="19679">
          <cell r="B19679" t="str">
            <v>51040104230301</v>
          </cell>
          <cell r="C19679" t="str">
            <v>HPC INT.GAN.VIG.NUEVO MVV COFIDE        4NC</v>
          </cell>
        </row>
        <row r="19680">
          <cell r="B19680" t="str">
            <v>51040104230302</v>
          </cell>
          <cell r="C19680" t="str">
            <v>HPC D/P GAN.INT.VIG NUEVO MVV COFIDE    4NC</v>
          </cell>
        </row>
        <row r="19681">
          <cell r="B19681" t="str">
            <v>51040104240101</v>
          </cell>
          <cell r="C19681" t="str">
            <v>CHI INT GAN VIG MIVIVIE REC PR          4NC</v>
          </cell>
        </row>
        <row r="19682">
          <cell r="B19682" t="str">
            <v>51040104240102</v>
          </cell>
          <cell r="C19682" t="str">
            <v>HPC INT.GAN.VIG . MI VIV REC PRO        4NC</v>
          </cell>
        </row>
        <row r="19683">
          <cell r="B19683" t="str">
            <v>51040104240103</v>
          </cell>
          <cell r="C19683" t="str">
            <v>HPC D/P GAN.INT.VIG MI VIV REC          4NC</v>
          </cell>
        </row>
        <row r="19684">
          <cell r="B19684" t="str">
            <v>51040104290104</v>
          </cell>
          <cell r="C19684" t="str">
            <v>HPC D/P GAN.INT.VIG HIP RP ADJUDI       4NC</v>
          </cell>
        </row>
        <row r="19685">
          <cell r="B19685" t="str">
            <v>51040105060101</v>
          </cell>
          <cell r="C19685" t="str">
            <v>LPC INT GAN PAG TV VIGEN CBMD           4NC</v>
          </cell>
        </row>
        <row r="19686">
          <cell r="B19686" t="str">
            <v>51040105060102</v>
          </cell>
          <cell r="C19686" t="str">
            <v>LPC PTV CAP COFIDE  SBS CBMD            4NC</v>
          </cell>
        </row>
        <row r="19687">
          <cell r="B19687" t="str">
            <v>51040105060103</v>
          </cell>
          <cell r="C19687" t="str">
            <v>LPC INT GAN VIG PAGTV COFIDE  D/P CBMD  4NC</v>
          </cell>
        </row>
        <row r="19688">
          <cell r="B19688" t="str">
            <v>51040105060104</v>
          </cell>
          <cell r="C19688" t="str">
            <v>LPC INT GAN PAG TV MED PLZ              4NC</v>
          </cell>
        </row>
        <row r="19689">
          <cell r="B19689" t="str">
            <v>51040105060105</v>
          </cell>
          <cell r="C19689" t="str">
            <v>LPC INT GAN PAG TV MED PLZ D/P          4NC</v>
          </cell>
        </row>
        <row r="19690">
          <cell r="B19690" t="str">
            <v>51040105060106</v>
          </cell>
          <cell r="C19690" t="str">
            <v>LPC INT GAN PAG TV INMOBILIARIO         4NC</v>
          </cell>
        </row>
        <row r="19691">
          <cell r="B19691" t="str">
            <v>51040105060107</v>
          </cell>
          <cell r="C19691" t="str">
            <v>LPC INT GAN PAG TV INMOBILIARIO D/P     4NC</v>
          </cell>
        </row>
        <row r="19692">
          <cell r="B19692" t="str">
            <v>51040105060108</v>
          </cell>
          <cell r="C19692" t="str">
            <v>LPC INT GAN PAG TV EUROS                4NC</v>
          </cell>
        </row>
        <row r="19693">
          <cell r="B19693" t="str">
            <v>51040105060109</v>
          </cell>
          <cell r="C19693" t="str">
            <v>LPC INT GAN PAG TV EUROS                4NC</v>
          </cell>
        </row>
        <row r="19694">
          <cell r="B19694" t="str">
            <v>51040105060201</v>
          </cell>
          <cell r="C19694" t="str">
            <v>CL INT GAN FINANC DIF CBMD              4NC</v>
          </cell>
        </row>
        <row r="19695">
          <cell r="B19695" t="str">
            <v>51040105060202</v>
          </cell>
          <cell r="C19695" t="str">
            <v>CL INT GANAD TV CBMD                    4NC</v>
          </cell>
        </row>
        <row r="19696">
          <cell r="B19696" t="str">
            <v>51040105060203</v>
          </cell>
          <cell r="C19696" t="str">
            <v>CL INT DIFER GAN PAG TV D/P VIG CBMD    4NC</v>
          </cell>
        </row>
        <row r="19697">
          <cell r="B19697" t="str">
            <v>51040105060204</v>
          </cell>
          <cell r="C19697" t="str">
            <v>CL INT GAN PAG TV D/P  VIG CBMD         4NC</v>
          </cell>
        </row>
        <row r="19698">
          <cell r="B19698" t="str">
            <v>51040105060205</v>
          </cell>
          <cell r="C19698" t="str">
            <v>FCD  FORFAITING EXPO INT. GAN.VIG NORM C4NC</v>
          </cell>
        </row>
        <row r="19699">
          <cell r="B19699" t="str">
            <v>51040105060210</v>
          </cell>
          <cell r="C19699" t="str">
            <v>LPC REACTIVA PERU VIG CBMD\NORM         4NC</v>
          </cell>
        </row>
        <row r="19700">
          <cell r="B19700" t="str">
            <v>51040105060211</v>
          </cell>
          <cell r="C19700" t="str">
            <v>LPC COFIDE FONDOS PERU VIG CBMD\NORM    4NC</v>
          </cell>
        </row>
        <row r="19701">
          <cell r="B19701" t="str">
            <v>51040105060212</v>
          </cell>
          <cell r="C19701" t="str">
            <v>LPC COFIDE FONDO CRECER VIG CBMD\NORM   4NC</v>
          </cell>
        </row>
        <row r="19702">
          <cell r="B19702" t="str">
            <v>51040105060213</v>
          </cell>
          <cell r="C19702" t="str">
            <v>LPC REACTIVA PERU VIG CBMD\NORM         4NC</v>
          </cell>
        </row>
        <row r="19703">
          <cell r="B19703" t="str">
            <v>51040105990101</v>
          </cell>
          <cell r="C19703" t="str">
            <v>IM INT AVANCE CTA CTE CBMD              4NC</v>
          </cell>
        </row>
        <row r="19704">
          <cell r="B19704" t="str">
            <v>51040105990401</v>
          </cell>
          <cell r="C19704" t="str">
            <v>IM INT SOBREGIRO CTA CTE CBMD           4NC</v>
          </cell>
        </row>
        <row r="19705">
          <cell r="B19705" t="str">
            <v>51040106060101</v>
          </cell>
          <cell r="C19705" t="str">
            <v>CL INT GAN FINANC DIF CSOB              4NC</v>
          </cell>
        </row>
        <row r="19706">
          <cell r="B19706" t="str">
            <v>51040106060102</v>
          </cell>
          <cell r="C19706" t="str">
            <v>CL INT GANAD TV CSOB                    4NC</v>
          </cell>
        </row>
        <row r="19707">
          <cell r="B19707" t="str">
            <v>51040106060103</v>
          </cell>
          <cell r="C19707" t="str">
            <v>CL INT DIFER GAN PAG TV D/P VIG CSOB    4NC</v>
          </cell>
        </row>
        <row r="19708">
          <cell r="B19708" t="str">
            <v>51040106060104</v>
          </cell>
          <cell r="C19708" t="str">
            <v>CL INT GAN PAG TV D/P  VIG CSOB         4NC</v>
          </cell>
        </row>
        <row r="19709">
          <cell r="B19709" t="str">
            <v>51040106060201</v>
          </cell>
          <cell r="C19709" t="str">
            <v>LPC PTV CAP COFIDE  SBS CSOB            4NC</v>
          </cell>
        </row>
        <row r="19710">
          <cell r="B19710" t="str">
            <v>51040106060202</v>
          </cell>
          <cell r="C19710" t="str">
            <v>LPC INT GAN VIG PAGTV COFIDE  D/P CSOB  4NC</v>
          </cell>
        </row>
        <row r="19711">
          <cell r="B19711" t="str">
            <v>51040106060203</v>
          </cell>
          <cell r="C19711" t="str">
            <v>LPC INT GAN PAG TV VIGEN CSOB           4NC</v>
          </cell>
        </row>
        <row r="19712">
          <cell r="B19712" t="str">
            <v>51040106060204</v>
          </cell>
          <cell r="C19712" t="str">
            <v>LPC INT GAN PAG TV MED PLZ              4NC</v>
          </cell>
        </row>
        <row r="19713">
          <cell r="B19713" t="str">
            <v>51040106060205</v>
          </cell>
          <cell r="C19713" t="str">
            <v>LPC INT GAN PAG TV MED PLZ D/P          4NC</v>
          </cell>
        </row>
        <row r="19714">
          <cell r="B19714" t="str">
            <v>51040106060206</v>
          </cell>
          <cell r="C19714" t="str">
            <v>LPC INT GAN PAG TV INMOBILIARIO         4NC</v>
          </cell>
        </row>
        <row r="19715">
          <cell r="B19715" t="str">
            <v>51040106060207</v>
          </cell>
          <cell r="C19715" t="str">
            <v>LPC INT GAN PAG TV INMOBILIARIO D/P     4NC</v>
          </cell>
        </row>
        <row r="19716">
          <cell r="B19716" t="str">
            <v>51040106060208</v>
          </cell>
          <cell r="C19716" t="str">
            <v>LPC INT GAN PAG TV EUROS                4NC</v>
          </cell>
        </row>
        <row r="19717">
          <cell r="B19717" t="str">
            <v>51040106060209</v>
          </cell>
          <cell r="C19717" t="str">
            <v>LPC INT GAN PAG TV EUROS                4NC</v>
          </cell>
        </row>
        <row r="19718">
          <cell r="B19718" t="str">
            <v>51040106060214</v>
          </cell>
          <cell r="C19718" t="str">
            <v>LPC REACTIVA PERU VIG CSOB\NORM         4NC</v>
          </cell>
        </row>
        <row r="19719">
          <cell r="B19719" t="str">
            <v>51040106060215</v>
          </cell>
          <cell r="C19719" t="str">
            <v>LPC COFIDE FONDOS PERU VIG CSOB\NORM    4NC</v>
          </cell>
        </row>
        <row r="19720">
          <cell r="B19720" t="str">
            <v>51040106060216</v>
          </cell>
          <cell r="C19720" t="str">
            <v>LPC COFIDE FONDO CRECER VIG CSOB\NORM   4NC</v>
          </cell>
        </row>
        <row r="19721">
          <cell r="B19721" t="str">
            <v>51040106060217</v>
          </cell>
          <cell r="C19721" t="str">
            <v>LPC REACTIVA PERU VIG CSOB\NORM         4NC</v>
          </cell>
        </row>
        <row r="19722">
          <cell r="B19722" t="str">
            <v>51040106990101</v>
          </cell>
          <cell r="C19722" t="str">
            <v>IM INT AVANCE CTA CTE CSOB              4NC</v>
          </cell>
        </row>
        <row r="19723">
          <cell r="B19723" t="str">
            <v>51040106990201</v>
          </cell>
          <cell r="C19723" t="str">
            <v>TC INT INGRESOS CSOB                    4NC</v>
          </cell>
        </row>
        <row r="19724">
          <cell r="B19724" t="str">
            <v>51040106990401</v>
          </cell>
          <cell r="C19724" t="str">
            <v>IM INT SOBREGIRO CTA CTE CSOB           4NC</v>
          </cell>
        </row>
        <row r="19725">
          <cell r="B19725" t="str">
            <v>51040107010101</v>
          </cell>
          <cell r="C19725" t="str">
            <v>IM INT AVANCE CTA CTE CESP              4NC</v>
          </cell>
        </row>
        <row r="19726">
          <cell r="B19726" t="str">
            <v>51040107010102</v>
          </cell>
          <cell r="C19726" t="str">
            <v>LPC AVA CUENT  INT GAN NORM CESP        4NC</v>
          </cell>
        </row>
        <row r="19727">
          <cell r="B19727" t="str">
            <v>51040107010103</v>
          </cell>
          <cell r="C19727" t="str">
            <v>LPC AVA CUENT  INT GAN DUPE CESP        4NC</v>
          </cell>
        </row>
        <row r="19728">
          <cell r="B19728" t="str">
            <v>51040107010104</v>
          </cell>
          <cell r="C19728" t="str">
            <v>IM INT AVANCE CTA CTE CESP              4NC</v>
          </cell>
        </row>
        <row r="19729">
          <cell r="B19729" t="str">
            <v>51040107010105</v>
          </cell>
          <cell r="C19729" t="str">
            <v>MYP INT.GAN.VIG .CAP.TRAB CESP.         4 C</v>
          </cell>
        </row>
        <row r="19730">
          <cell r="B19730" t="str">
            <v>51040107010106</v>
          </cell>
          <cell r="C19730" t="str">
            <v>MYP INT.GAN.VIG .CAP.TRAB CESP.         4 C</v>
          </cell>
        </row>
        <row r="19731">
          <cell r="B19731" t="str">
            <v>51040107020101</v>
          </cell>
          <cell r="C19731" t="str">
            <v>TC INT CDEUDA PAR AMEX CESP             4NC</v>
          </cell>
        </row>
        <row r="19732">
          <cell r="B19732" t="str">
            <v>51040107020102</v>
          </cell>
          <cell r="C19732" t="str">
            <v>TC INT CDEUDA REV AMEX CESP             4NC</v>
          </cell>
        </row>
        <row r="19733">
          <cell r="B19733" t="str">
            <v>51040107020103</v>
          </cell>
          <cell r="C19733" t="str">
            <v>TC INT CUOTAS AMEX CESP                 4NC</v>
          </cell>
        </row>
        <row r="19734">
          <cell r="B19734" t="str">
            <v>51040107020104</v>
          </cell>
          <cell r="C19734" t="str">
            <v>TC INT EXTRACASH AMEX CESP              4NC</v>
          </cell>
        </row>
        <row r="19735">
          <cell r="B19735" t="str">
            <v>51040107020105</v>
          </cell>
          <cell r="C19735" t="str">
            <v>TC INT REPROG PAR AMEX CESP             4NC</v>
          </cell>
        </row>
        <row r="19736">
          <cell r="B19736" t="str">
            <v>51040107020106</v>
          </cell>
          <cell r="C19736" t="str">
            <v>TC INT REPROG REV AMEX CESP             4NC</v>
          </cell>
        </row>
        <row r="19737">
          <cell r="B19737" t="str">
            <v>51040107020107</v>
          </cell>
          <cell r="C19737" t="str">
            <v>TC INT REV AMEX CESP                    4NC</v>
          </cell>
        </row>
        <row r="19738">
          <cell r="B19738" t="str">
            <v>51040107020108</v>
          </cell>
          <cell r="C19738" t="str">
            <v>TC INT CDEUDA PAR MC CESP               4NC</v>
          </cell>
        </row>
        <row r="19739">
          <cell r="B19739" t="str">
            <v>51040107020109</v>
          </cell>
          <cell r="C19739" t="str">
            <v>TC INT CDEUDA REV MC CESP               4NC</v>
          </cell>
        </row>
        <row r="19740">
          <cell r="B19740" t="str">
            <v>51040107020110</v>
          </cell>
          <cell r="C19740" t="str">
            <v>TC INT CUOTAS MC CESP                   4NC</v>
          </cell>
        </row>
        <row r="19741">
          <cell r="B19741" t="str">
            <v>51040107020111</v>
          </cell>
          <cell r="C19741" t="str">
            <v>TC INT EXTRACASH MC CESP                4NC</v>
          </cell>
        </row>
        <row r="19742">
          <cell r="B19742" t="str">
            <v>51040107020112</v>
          </cell>
          <cell r="C19742" t="str">
            <v>TC INT REPROG PAR MC CESP               4NC</v>
          </cell>
        </row>
        <row r="19743">
          <cell r="B19743" t="str">
            <v>51040107020113</v>
          </cell>
          <cell r="C19743" t="str">
            <v>TC INT REPROG REV MC CESP               4NC</v>
          </cell>
        </row>
        <row r="19744">
          <cell r="B19744" t="str">
            <v>51040107020114</v>
          </cell>
          <cell r="C19744" t="str">
            <v>TC INT REV MC CESP                      4NC</v>
          </cell>
        </row>
        <row r="19745">
          <cell r="B19745" t="str">
            <v>51040107020115</v>
          </cell>
          <cell r="C19745" t="str">
            <v>TC INT CDEUDA PAR VISA CESP             4NC</v>
          </cell>
        </row>
        <row r="19746">
          <cell r="B19746" t="str">
            <v>51040107020116</v>
          </cell>
          <cell r="C19746" t="str">
            <v>TC INT CDEUDA PAR VISA MEGAPLAZA CESP   4NC</v>
          </cell>
        </row>
        <row r="19747">
          <cell r="B19747" t="str">
            <v>51040107020117</v>
          </cell>
          <cell r="C19747" t="str">
            <v>TC INT CDEUDA PAR VISA VEA CESP         4NC</v>
          </cell>
        </row>
        <row r="19748">
          <cell r="B19748" t="str">
            <v>51040107020118</v>
          </cell>
          <cell r="C19748" t="str">
            <v>TC INT CDEUDA REV VISA CESP             4NC</v>
          </cell>
        </row>
        <row r="19749">
          <cell r="B19749" t="str">
            <v>51040107020119</v>
          </cell>
          <cell r="C19749" t="str">
            <v>TC INT CDEUDA REV VISA MEGAPLAZA CESP   4NC</v>
          </cell>
        </row>
        <row r="19750">
          <cell r="B19750" t="str">
            <v>51040107020120</v>
          </cell>
          <cell r="C19750" t="str">
            <v>TC INT CDEUDA REV VISA VEA CESP         4NC</v>
          </cell>
        </row>
        <row r="19751">
          <cell r="B19751" t="str">
            <v>51040107020121</v>
          </cell>
          <cell r="C19751" t="str">
            <v>TC INT CUOTAS VISA CESP                 4NC</v>
          </cell>
        </row>
        <row r="19752">
          <cell r="B19752" t="str">
            <v>51040107020122</v>
          </cell>
          <cell r="C19752" t="str">
            <v>TC INT CUOTAS VISA MEGAPLAZA CESP       4NC</v>
          </cell>
        </row>
        <row r="19753">
          <cell r="B19753" t="str">
            <v>51040107020123</v>
          </cell>
          <cell r="C19753" t="str">
            <v>TC INT CUOTAS VISA VEA CESP             4NC</v>
          </cell>
        </row>
        <row r="19754">
          <cell r="B19754" t="str">
            <v>51040107020124</v>
          </cell>
          <cell r="C19754" t="str">
            <v>TC INT EXTRACASH VISA CESP              4NC</v>
          </cell>
        </row>
        <row r="19755">
          <cell r="B19755" t="str">
            <v>51040107020125</v>
          </cell>
          <cell r="C19755" t="str">
            <v>TC INT EXTRACASH VISA MEGAPLAZA CESP    4NC</v>
          </cell>
        </row>
        <row r="19756">
          <cell r="B19756" t="str">
            <v>51040107020126</v>
          </cell>
          <cell r="C19756" t="str">
            <v>TC INT EXTRACASH VISA VEA CESP          4NC</v>
          </cell>
        </row>
        <row r="19757">
          <cell r="B19757" t="str">
            <v>51040107020127</v>
          </cell>
          <cell r="C19757" t="str">
            <v>TC INT REPROG PAR VISA CESP             4NC</v>
          </cell>
        </row>
        <row r="19758">
          <cell r="B19758" t="str">
            <v>51040107020128</v>
          </cell>
          <cell r="C19758" t="str">
            <v>TC INT REPROG PAR VISA MEGAPLAZA CESP   4NC</v>
          </cell>
        </row>
        <row r="19759">
          <cell r="B19759" t="str">
            <v>51040107020129</v>
          </cell>
          <cell r="C19759" t="str">
            <v>TC INT REPROG PAR VISA VEA CESP         4NC</v>
          </cell>
        </row>
        <row r="19760">
          <cell r="B19760" t="str">
            <v>51040107020130</v>
          </cell>
          <cell r="C19760" t="str">
            <v>TC INT REPROG REV VISA CESP             4NC</v>
          </cell>
        </row>
        <row r="19761">
          <cell r="B19761" t="str">
            <v>51040107020131</v>
          </cell>
          <cell r="C19761" t="str">
            <v>TC INT REPROG REV VISA MEGAPLAZA CESP   4NC</v>
          </cell>
        </row>
        <row r="19762">
          <cell r="B19762" t="str">
            <v>51040107020132</v>
          </cell>
          <cell r="C19762" t="str">
            <v>TC INT REPROG REV VISA VEA CESP         4NC</v>
          </cell>
        </row>
        <row r="19763">
          <cell r="B19763" t="str">
            <v>51040107020133</v>
          </cell>
          <cell r="C19763" t="str">
            <v>TC INT REV VISA CESP                    4NC</v>
          </cell>
        </row>
        <row r="19764">
          <cell r="B19764" t="str">
            <v>51040107020134</v>
          </cell>
          <cell r="C19764" t="str">
            <v>TC INT REV VISA MEGAPLAZA CESP          4NC</v>
          </cell>
        </row>
        <row r="19765">
          <cell r="B19765" t="str">
            <v>51040107020135</v>
          </cell>
          <cell r="C19765" t="str">
            <v>TC INT REV VISA VEA CESP                4NC</v>
          </cell>
        </row>
        <row r="19766">
          <cell r="B19766" t="str">
            <v>51040107040101</v>
          </cell>
          <cell r="C19766" t="str">
            <v>IM INT SOBREGIRO CTA CTE CESP           4NC</v>
          </cell>
        </row>
        <row r="19767">
          <cell r="B19767" t="str">
            <v>51040107050101</v>
          </cell>
          <cell r="C19767" t="str">
            <v>CL INT GANAD PAG DSCTO VIG CESP         4NC</v>
          </cell>
        </row>
        <row r="19768">
          <cell r="B19768" t="str">
            <v>51040107050102</v>
          </cell>
          <cell r="C19768" t="str">
            <v>CL INT GAN PAG DSCTO D/P VIG CESP       4NC</v>
          </cell>
        </row>
        <row r="19769">
          <cell r="B19769" t="str">
            <v>51040107050104</v>
          </cell>
          <cell r="C19769" t="str">
            <v>PR INT GANA VIG LETRAS T. DSCTOÂ  CESP  4NC</v>
          </cell>
        </row>
        <row r="19770">
          <cell r="B19770" t="str">
            <v>51040107050105</v>
          </cell>
          <cell r="C19770" t="str">
            <v>FCD INT. GAN DSCTO ELECTR VIG DUD CESP  4NC</v>
          </cell>
        </row>
        <row r="19771">
          <cell r="B19771" t="str">
            <v>51040107050106</v>
          </cell>
          <cell r="C19771" t="str">
            <v>FCD DESC. LET. I. VIG. CESP DUPE        4NC</v>
          </cell>
        </row>
        <row r="19772">
          <cell r="B19772" t="str">
            <v>51040107050107</v>
          </cell>
          <cell r="C19772" t="str">
            <v>FCD DESC. FACT. I. VIG. CESP DUPE       4NC</v>
          </cell>
        </row>
        <row r="19773">
          <cell r="B19773" t="str">
            <v>51040107050108</v>
          </cell>
          <cell r="C19773" t="str">
            <v>FCD DESC. VIRTUAL I. VIG. CESP DUPE     4NC</v>
          </cell>
        </row>
        <row r="19774">
          <cell r="B19774" t="str">
            <v>51040107050109</v>
          </cell>
          <cell r="C19774" t="str">
            <v>FCD DESC. FACT. NEG. I. VIG. CESP DUPE  4NC</v>
          </cell>
        </row>
        <row r="19775">
          <cell r="B19775" t="str">
            <v>51040107050110</v>
          </cell>
          <cell r="C19775" t="str">
            <v>FCD DESC. VIRTUAL I. VIG. CESP NORMAL   4NC</v>
          </cell>
        </row>
        <row r="19776">
          <cell r="B19776" t="str">
            <v>51040107050111</v>
          </cell>
          <cell r="C19776" t="str">
            <v>LPC INT GAN PAG DSCTO VIGC CESP         4NC</v>
          </cell>
        </row>
        <row r="19777">
          <cell r="B19777" t="str">
            <v>51040107050112</v>
          </cell>
          <cell r="C19777" t="str">
            <v>LPC INT GAN PAG DSCTO D/P VIGC CESP     4NC</v>
          </cell>
        </row>
        <row r="19778">
          <cell r="B19778" t="str">
            <v>51040107050201</v>
          </cell>
          <cell r="C19778" t="str">
            <v>PR INT GANAD VIG LETRAS DSCTO  CESP     4NC</v>
          </cell>
        </row>
        <row r="19779">
          <cell r="B19779" t="str">
            <v>51040107050202</v>
          </cell>
          <cell r="C19779" t="str">
            <v>PR DSCTO ELECTR SM PERU I.VIG CCOR      4NC</v>
          </cell>
        </row>
        <row r="19780">
          <cell r="B19780" t="str">
            <v>51040107060101</v>
          </cell>
          <cell r="C19780" t="str">
            <v>LPC INT GAN VIG PAG TV  D/P CESP        4NC</v>
          </cell>
        </row>
        <row r="19781">
          <cell r="B19781" t="str">
            <v>51040107060102</v>
          </cell>
          <cell r="C19781" t="str">
            <v>LPC INT GAN PAG TV VIGEN CESP           4NC</v>
          </cell>
        </row>
        <row r="19782">
          <cell r="B19782" t="str">
            <v>51040107060103</v>
          </cell>
          <cell r="C19782" t="str">
            <v>LPC PTV  CAP COFIDE  SBS CESP           4NC</v>
          </cell>
        </row>
        <row r="19783">
          <cell r="B19783" t="str">
            <v>51040107060104</v>
          </cell>
          <cell r="C19783" t="str">
            <v>LPC INT GAN VIG PAGTV COFIDE  D/P CESP  4NC</v>
          </cell>
        </row>
        <row r="19784">
          <cell r="B19784" t="str">
            <v>51040107060105</v>
          </cell>
          <cell r="C19784" t="str">
            <v>LPC INT GAN PAG TV MED PLZ              4NC</v>
          </cell>
        </row>
        <row r="19785">
          <cell r="B19785" t="str">
            <v>51040107060106</v>
          </cell>
          <cell r="C19785" t="str">
            <v>LPC INT GAN PAG TV MED PLZ D/P          4NC</v>
          </cell>
        </row>
        <row r="19786">
          <cell r="B19786" t="str">
            <v>51040107060107</v>
          </cell>
          <cell r="C19786" t="str">
            <v>LPC INT GAN PAG TV INMOBILIARIO         4NC</v>
          </cell>
        </row>
        <row r="19787">
          <cell r="B19787" t="str">
            <v>51040107060108</v>
          </cell>
          <cell r="C19787" t="str">
            <v>LPC INT GAN PAG TV INMOBILIARIO D/P     4NC</v>
          </cell>
        </row>
        <row r="19788">
          <cell r="B19788" t="str">
            <v>51040107060109</v>
          </cell>
          <cell r="C19788" t="str">
            <v>LPC INT GAN PAG TV EUROS                4NC</v>
          </cell>
        </row>
        <row r="19789">
          <cell r="B19789" t="str">
            <v>51040107060110</v>
          </cell>
          <cell r="C19789" t="str">
            <v>LPC INT GAN PAG TV EUROS                4NC</v>
          </cell>
        </row>
        <row r="19790">
          <cell r="B19790" t="str">
            <v>51040107060201</v>
          </cell>
          <cell r="C19790" t="str">
            <v>CL INT DIFER GAN PAG TV D/P VIG CESP    4NC</v>
          </cell>
        </row>
        <row r="19791">
          <cell r="B19791" t="str">
            <v>51040107060202</v>
          </cell>
          <cell r="C19791" t="str">
            <v>CL INT GAN PAG TV D/P  VIG CESP         4NC</v>
          </cell>
        </row>
        <row r="19792">
          <cell r="B19792" t="str">
            <v>51040107060203</v>
          </cell>
          <cell r="C19792" t="str">
            <v>CL INT GAN FINANC DIF CESP              4NC</v>
          </cell>
        </row>
        <row r="19793">
          <cell r="B19793" t="str">
            <v>51040107060204</v>
          </cell>
          <cell r="C19793" t="str">
            <v>CL INT GANAD TV CESP                    4NC</v>
          </cell>
        </row>
        <row r="19794">
          <cell r="B19794" t="str">
            <v>51040107060205</v>
          </cell>
          <cell r="C19794" t="str">
            <v>CL INT.GAN PAG.TV NEG.INMOB VIG CESP    4NC</v>
          </cell>
        </row>
        <row r="19795">
          <cell r="B19795" t="str">
            <v>51040107060206</v>
          </cell>
          <cell r="C19795" t="str">
            <v>CL INT. GAN OTROS SUSP DIF CESP         4NC</v>
          </cell>
        </row>
        <row r="19796">
          <cell r="B19796" t="str">
            <v>51040107060207</v>
          </cell>
          <cell r="C19796" t="str">
            <v>CL INT GAN OTROS SUSP VIG CESP          4NC</v>
          </cell>
        </row>
        <row r="19797">
          <cell r="B19797" t="str">
            <v>51040107060208</v>
          </cell>
          <cell r="C19797" t="str">
            <v>CL INT GANAD VIG PREST COFIDE CESP      4NC</v>
          </cell>
        </row>
        <row r="19798">
          <cell r="B19798" t="str">
            <v>51040107060215</v>
          </cell>
          <cell r="C19798" t="str">
            <v>LPC REACTIVA PERU VIG CESP\NORM         4NC</v>
          </cell>
        </row>
        <row r="19799">
          <cell r="B19799" t="str">
            <v>51040107060216</v>
          </cell>
          <cell r="C19799" t="str">
            <v>LPC REACTIVA PERU VIG CESP\DUPE         4NC</v>
          </cell>
        </row>
        <row r="19800">
          <cell r="B19800" t="str">
            <v>51040107060217</v>
          </cell>
          <cell r="C19800" t="str">
            <v>LPC COFIDE FONDOS PERU VIG CESP\NORM    4NC</v>
          </cell>
        </row>
        <row r="19801">
          <cell r="B19801" t="str">
            <v>51040107060218</v>
          </cell>
          <cell r="C19801" t="str">
            <v>LPC COFIDE FONDOS PERU VIG CESP\DUPE    4NC</v>
          </cell>
        </row>
        <row r="19802">
          <cell r="B19802" t="str">
            <v>51040107060219</v>
          </cell>
          <cell r="C19802" t="str">
            <v>LPC COFIDE FONDO CRECER VIG CESP\NORM   4NC</v>
          </cell>
        </row>
        <row r="19803">
          <cell r="B19803" t="str">
            <v>51040107060220</v>
          </cell>
          <cell r="C19803" t="str">
            <v>LPC REACTIVA PERU VIG CESP\NORM         4NC</v>
          </cell>
        </row>
        <row r="19804">
          <cell r="B19804" t="str">
            <v>51040107060221</v>
          </cell>
          <cell r="C19804" t="str">
            <v>MYP INT.GAN.VIG .CAP.TRAB CESP.         4 C</v>
          </cell>
        </row>
        <row r="19805">
          <cell r="B19805" t="str">
            <v>51040107100101</v>
          </cell>
          <cell r="C19805" t="str">
            <v>PR INT GAN COMP VIG LETRAS FACTORING CES4NC</v>
          </cell>
        </row>
        <row r="19806">
          <cell r="B19806" t="str">
            <v>51040107100102</v>
          </cell>
          <cell r="C19806" t="str">
            <v>PR FACTORING DIFERIDOS CESP             4NC</v>
          </cell>
        </row>
        <row r="19807">
          <cell r="B19807" t="str">
            <v>51040107100103</v>
          </cell>
          <cell r="C19807" t="str">
            <v>PR INT GAN COMP VIG FACT FACTORING CESP 4NC</v>
          </cell>
        </row>
        <row r="19808">
          <cell r="B19808" t="str">
            <v>51040107100104</v>
          </cell>
          <cell r="C19808" t="str">
            <v>PR INT GAN FACTORING-FACT DIF CESP      4NC</v>
          </cell>
        </row>
        <row r="19809">
          <cell r="B19809" t="str">
            <v>51040107100105</v>
          </cell>
          <cell r="C19809" t="str">
            <v>PR FACT ELECTR LET/FACT I.COMPENS CESP  4NC</v>
          </cell>
        </row>
        <row r="19810">
          <cell r="B19810" t="str">
            <v>51040107100106</v>
          </cell>
          <cell r="C19810" t="str">
            <v>PR FACT ELECTR LET/FACT I.DIF CESP      4NC</v>
          </cell>
        </row>
        <row r="19811">
          <cell r="B19811" t="str">
            <v>51040107100107</v>
          </cell>
          <cell r="C19811" t="str">
            <v>PR FACTORING INTER. INT VIG CESP        4NC</v>
          </cell>
        </row>
        <row r="19812">
          <cell r="B19812" t="str">
            <v>51040107100108</v>
          </cell>
          <cell r="C19812" t="str">
            <v>PR PERU FACTORING INT.COMPENS CESP      4NC</v>
          </cell>
        </row>
        <row r="19813">
          <cell r="B19813" t="str">
            <v>51040107100109</v>
          </cell>
          <cell r="C19813" t="str">
            <v>PR PERU FACTORING INT.DIF CESP          4NC</v>
          </cell>
        </row>
        <row r="19814">
          <cell r="B19814" t="str">
            <v>51040107100110</v>
          </cell>
          <cell r="C19814" t="str">
            <v>PR FORFAITING EXPORTACIÃ“N INT GANA VIG 4NC</v>
          </cell>
        </row>
        <row r="19815">
          <cell r="B19815" t="str">
            <v>51040107100111</v>
          </cell>
          <cell r="C19815" t="str">
            <v>FACT INTER IMPORT  VIG. CESP DUPE       4NC</v>
          </cell>
        </row>
        <row r="19816">
          <cell r="B19816" t="str">
            <v>51040107100112</v>
          </cell>
          <cell r="C19816" t="str">
            <v>FACT INTER IMPORT   VIG. CESP NORMAL    4NC</v>
          </cell>
        </row>
        <row r="19817">
          <cell r="B19817" t="str">
            <v>51040107100201</v>
          </cell>
          <cell r="C19817" t="str">
            <v>CL EX FACTORING FORFAITING INT.GAN.VIG C4NC</v>
          </cell>
        </row>
        <row r="19818">
          <cell r="B19818" t="str">
            <v>51040107100202</v>
          </cell>
          <cell r="C19818" t="str">
            <v>CL  CONFIRMING INTER INT.GAN.VIG CESP   4NC</v>
          </cell>
        </row>
        <row r="19819">
          <cell r="B19819" t="str">
            <v>51040107100301</v>
          </cell>
          <cell r="C19819" t="str">
            <v>FCD FACT ELECTR DIF. DUDOSO CESP        4NC</v>
          </cell>
        </row>
        <row r="19820">
          <cell r="B19820" t="str">
            <v>51040107100302</v>
          </cell>
          <cell r="C19820" t="str">
            <v>FCD FACT INTER EXPO. INT VIG NORM CESP  4NC</v>
          </cell>
        </row>
        <row r="19821">
          <cell r="B19821" t="str">
            <v>51040107100303</v>
          </cell>
          <cell r="C19821" t="str">
            <v>FCD FORFAITING EXPO INT GANA VIG NORM  C4NC</v>
          </cell>
        </row>
        <row r="19822">
          <cell r="B19822" t="str">
            <v>51040107100304</v>
          </cell>
          <cell r="C19822" t="str">
            <v>FCD FACT INTER EXPO. INT VIG DUPE CESP  4NC</v>
          </cell>
        </row>
        <row r="19823">
          <cell r="B19823" t="str">
            <v>51040107100305</v>
          </cell>
          <cell r="C19823" t="str">
            <v>FCD FORFAITING EXPO INT GANA VIG DUPE  C4NC</v>
          </cell>
        </row>
        <row r="19824">
          <cell r="B19824" t="str">
            <v>51040107100306</v>
          </cell>
          <cell r="C19824" t="str">
            <v>FCD CONFIRMING INTERNACIONAL. INT VIG NO4NC</v>
          </cell>
        </row>
        <row r="19825">
          <cell r="B19825" t="str">
            <v>51040107100307</v>
          </cell>
          <cell r="C19825" t="str">
            <v>FCD CONFIRMING INTERNACIONAL. INT VIG DU4NC</v>
          </cell>
        </row>
        <row r="19826">
          <cell r="B19826" t="str">
            <v>51040107100308</v>
          </cell>
          <cell r="C19826" t="str">
            <v>FCD fAC. FIS. LET. I. VIG. CESP DUPE    4NC</v>
          </cell>
        </row>
        <row r="19827">
          <cell r="B19827" t="str">
            <v>51040107100309</v>
          </cell>
          <cell r="C19827" t="str">
            <v>FCD FAC. FIS. fAC.. I. VIG. CESP DUPE   4NC</v>
          </cell>
        </row>
        <row r="19828">
          <cell r="B19828" t="str">
            <v>51040107110101</v>
          </cell>
          <cell r="C19828" t="str">
            <v>LPC INT VIG LEASING BIEN RP CESP        4NC</v>
          </cell>
        </row>
        <row r="19829">
          <cell r="B19829" t="str">
            <v>51040107110102</v>
          </cell>
          <cell r="C19829" t="str">
            <v>LPC INT VIG LEASING SEG RP CESP         4NC</v>
          </cell>
        </row>
        <row r="19830">
          <cell r="B19830" t="str">
            <v>51040107110103</v>
          </cell>
          <cell r="C19830" t="str">
            <v>LPC CIA SEGURO LEASING RP CESP          4NC</v>
          </cell>
        </row>
        <row r="19831">
          <cell r="B19831" t="str">
            <v>51040107110104</v>
          </cell>
          <cell r="C19831" t="str">
            <v>LPC INT VIG LEAS BIEN D/P RP CESP       4NC</v>
          </cell>
        </row>
        <row r="19832">
          <cell r="B19832" t="str">
            <v>51040107110105</v>
          </cell>
          <cell r="C19832" t="str">
            <v>LPC INT VIG LEASING SEG D/P RP CESP     4NC</v>
          </cell>
        </row>
        <row r="19833">
          <cell r="B19833" t="str">
            <v>51040107110106</v>
          </cell>
          <cell r="C19833" t="str">
            <v>LPC CIA SEGURO LEAS D/P RP CESP         4NC</v>
          </cell>
        </row>
        <row r="19834">
          <cell r="B19834" t="str">
            <v>51040107110201</v>
          </cell>
          <cell r="C19834" t="str">
            <v>LPC INT VIG LEASING COFIDE IDL CESP     4NC</v>
          </cell>
        </row>
        <row r="19835">
          <cell r="B19835" t="str">
            <v>51040107110202</v>
          </cell>
          <cell r="C19835" t="str">
            <v>LPC INT VIG LEASING COFIDE SEG IDS CESP 4NC</v>
          </cell>
        </row>
        <row r="19836">
          <cell r="B19836" t="str">
            <v>51040107110203</v>
          </cell>
          <cell r="C19836" t="str">
            <v>LPC CIA SEGURO LEASING COFIDE ISG CESP  4NC</v>
          </cell>
        </row>
        <row r="19837">
          <cell r="B19837" t="str">
            <v>51040107110204</v>
          </cell>
          <cell r="C19837" t="str">
            <v>LPC INT VIG LS COFIDE D/P IDL CESP      4NC</v>
          </cell>
        </row>
        <row r="19838">
          <cell r="B19838" t="str">
            <v>51040107110205</v>
          </cell>
          <cell r="C19838" t="str">
            <v>LPC INT VIG LS COFIDE D/P IDS CESP      4NC</v>
          </cell>
        </row>
        <row r="19839">
          <cell r="B19839" t="str">
            <v>51040107110206</v>
          </cell>
          <cell r="C19839" t="str">
            <v>LPC CIA SEGURO LS COFIDE D/P ISG CESP   4NC</v>
          </cell>
        </row>
        <row r="19840">
          <cell r="B19840" t="str">
            <v>51040107210301</v>
          </cell>
          <cell r="C19840" t="str">
            <v>CL CXL CC  X ACEPT INT GAN CESP         4NC</v>
          </cell>
        </row>
        <row r="19841">
          <cell r="B19841" t="str">
            <v>51040107210302</v>
          </cell>
          <cell r="C19841" t="str">
            <v>CL CXL CC AVAL X ACEPT INT GAN CESP     4NC</v>
          </cell>
        </row>
        <row r="19842">
          <cell r="B19842" t="str">
            <v>51040107210303</v>
          </cell>
          <cell r="C19842" t="str">
            <v>CL CXL CC AVAL BKT INT GAN CESP         4NC</v>
          </cell>
        </row>
        <row r="19843">
          <cell r="B19843" t="str">
            <v>51040107210304</v>
          </cell>
          <cell r="C19843" t="str">
            <v>CL INT GANAD CXL CC CAR CRED VISTA CESP 4NC</v>
          </cell>
        </row>
        <row r="19844">
          <cell r="B19844" t="str">
            <v>51040107210305</v>
          </cell>
          <cell r="C19844" t="str">
            <v>CL INT GANAD CXL  STAND BY CESP         4NC</v>
          </cell>
        </row>
        <row r="19845">
          <cell r="B19845" t="str">
            <v>51040107210306</v>
          </cell>
          <cell r="C19845" t="str">
            <v>CL INT GANAD CXL  COB AVAL CESP         4NC</v>
          </cell>
        </row>
        <row r="19846">
          <cell r="B19846" t="str">
            <v>51040107210307</v>
          </cell>
          <cell r="C19846" t="str">
            <v>CL CAR CRED VIST Int VIG CESP           4NC</v>
          </cell>
        </row>
        <row r="19847">
          <cell r="B19847" t="str">
            <v>51040107210308</v>
          </cell>
          <cell r="C19847" t="str">
            <v>CL INT.GAN.VIG.CRED.POR LIQ. CARTA FIANZ4NC</v>
          </cell>
        </row>
        <row r="19848">
          <cell r="B19848" t="str">
            <v>51040107260101</v>
          </cell>
          <cell r="C19848" t="str">
            <v>LPC INT.GAN VIG IMPORT D/P CESP         4NC</v>
          </cell>
        </row>
        <row r="19849">
          <cell r="B19849" t="str">
            <v>51040107260102</v>
          </cell>
          <cell r="C19849" t="str">
            <v>LPC INT GAN VIG EX PRE EMB  CESP        4NC</v>
          </cell>
        </row>
        <row r="19850">
          <cell r="B19850" t="str">
            <v>51040107260103</v>
          </cell>
          <cell r="C19850" t="str">
            <v>LPC INT GAN VIG EX POST EMB RP D/P CESP 4NC</v>
          </cell>
        </row>
        <row r="19851">
          <cell r="B19851" t="str">
            <v>51040107260104</v>
          </cell>
          <cell r="C19851" t="str">
            <v>LPC INT GAN VIG EX PRE EMB CESP         4NC</v>
          </cell>
        </row>
        <row r="19852">
          <cell r="B19852" t="str">
            <v>51040107260105</v>
          </cell>
          <cell r="C19852" t="str">
            <v>LPC INT GAN VIG EX POST EMB RP CESP     4NC</v>
          </cell>
        </row>
        <row r="19853">
          <cell r="B19853" t="str">
            <v>51040107260106</v>
          </cell>
          <cell r="C19853" t="str">
            <v>LPC INT.GAN VIG  WORK CAP.EX PRE EMB CES4NC</v>
          </cell>
        </row>
        <row r="19854">
          <cell r="B19854" t="str">
            <v>51040107260107</v>
          </cell>
          <cell r="C19854" t="str">
            <v>LPC INT GAN FINAN PRE EMBARQUE          4NC</v>
          </cell>
        </row>
        <row r="19855">
          <cell r="B19855" t="str">
            <v>51040107260108</v>
          </cell>
          <cell r="C19855" t="str">
            <v>LPC INT GAN FINAN PRE EMBARQUE D/P      4NC</v>
          </cell>
        </row>
        <row r="19856">
          <cell r="B19856" t="str">
            <v>51040107260109</v>
          </cell>
          <cell r="C19856" t="str">
            <v>LPC INT GAN FINAN PRE EMBARQUE-SEPYMEX C4NC</v>
          </cell>
        </row>
        <row r="19857">
          <cell r="B19857" t="str">
            <v>51040107260110</v>
          </cell>
          <cell r="C19857" t="str">
            <v>LPC INT GAN FINAN PRE EMBARQUE D/P-SEPYM4NC</v>
          </cell>
        </row>
        <row r="19858">
          <cell r="B19858" t="str">
            <v>51040107260111</v>
          </cell>
          <cell r="C19858" t="str">
            <v>LPC INT GAN PRE EMBARQUE VIG.NORM CESP  4NC</v>
          </cell>
        </row>
        <row r="19859">
          <cell r="B19859" t="str">
            <v>51040107260112</v>
          </cell>
          <cell r="C19859" t="str">
            <v>LPC INT GAN PRE EMBARQUE VIG.DUPE CESP  4NC</v>
          </cell>
        </row>
        <row r="19860">
          <cell r="B19860" t="str">
            <v>51040107260113</v>
          </cell>
          <cell r="C19860" t="str">
            <v>LPC INT GAN POST EMBARQUE VIG.NORM CESP 4NC</v>
          </cell>
        </row>
        <row r="19861">
          <cell r="B19861" t="str">
            <v>51040107260114</v>
          </cell>
          <cell r="C19861" t="str">
            <v>LPC INT GAN POST EMBARQUE VIG.DUPE CESP 4NC</v>
          </cell>
        </row>
        <row r="19862">
          <cell r="B19862" t="str">
            <v>51040107260115</v>
          </cell>
          <cell r="C19862" t="str">
            <v>LPC INT GAN IMPORT. CARTA CREDITO  VIG.N4NC</v>
          </cell>
        </row>
        <row r="19863">
          <cell r="B19863" t="str">
            <v>51040107260116</v>
          </cell>
          <cell r="C19863" t="str">
            <v>LPC INT GAN IMPORT. CARTA CREDITO  VIG.D4NC</v>
          </cell>
        </row>
        <row r="19864">
          <cell r="B19864" t="str">
            <v>51040107260117</v>
          </cell>
          <cell r="C19864" t="str">
            <v>LPC INT GAN IMPORT.  VIG.NORM CESP      4NC</v>
          </cell>
        </row>
        <row r="19865">
          <cell r="B19865" t="str">
            <v>51040107260118</v>
          </cell>
          <cell r="C19865" t="str">
            <v>LPC INT GAN IMPORT.  VIG.DUPE CESP      4NC</v>
          </cell>
        </row>
        <row r="19866">
          <cell r="B19866" t="str">
            <v>51040107260201</v>
          </cell>
          <cell r="C19866" t="str">
            <v>CL EX FORFAITING INT.GAN.VIG CESP       4NC</v>
          </cell>
        </row>
        <row r="19867">
          <cell r="B19867" t="str">
            <v>51040107260202</v>
          </cell>
          <cell r="C19867" t="str">
            <v>CL INT GAN.VIG. EX PRE EMB D/P CESP     4NC</v>
          </cell>
        </row>
        <row r="19868">
          <cell r="B19868" t="str">
            <v>51040107260203</v>
          </cell>
          <cell r="C19868" t="str">
            <v>CL EX INT VIG PAG.IMPORTAC.D/P CESP     4NC</v>
          </cell>
        </row>
        <row r="19869">
          <cell r="B19869" t="str">
            <v>51040107260204</v>
          </cell>
          <cell r="C19869" t="str">
            <v>INT X COB  TC-COMERC VEA CMIE           4NC</v>
          </cell>
        </row>
        <row r="19870">
          <cell r="B19870" t="str">
            <v>51040107260205</v>
          </cell>
          <cell r="C19870" t="str">
            <v>CL INT GAN VIG PAG IMPOR CESP           4NC</v>
          </cell>
        </row>
        <row r="19871">
          <cell r="B19871" t="str">
            <v>51040107260801</v>
          </cell>
          <cell r="C19871" t="str">
            <v>PAN CREDITOS COMERCIO EXTERIOR SP       4NC</v>
          </cell>
        </row>
        <row r="19872">
          <cell r="B19872" t="str">
            <v>51040108010101</v>
          </cell>
          <cell r="C19872" t="str">
            <v>IM INT AVANCE CTA CTE CIVA              4NC</v>
          </cell>
        </row>
        <row r="19873">
          <cell r="B19873" t="str">
            <v>51040108010102</v>
          </cell>
          <cell r="C19873" t="str">
            <v>LPC AVA CUENT  INT GAN NORM CIVA        4NC</v>
          </cell>
        </row>
        <row r="19874">
          <cell r="B19874" t="str">
            <v>51040108010103</v>
          </cell>
          <cell r="C19874" t="str">
            <v>LPC AVA CUENT  INT GAN DUPE CIVA        4NC</v>
          </cell>
        </row>
        <row r="19875">
          <cell r="B19875" t="str">
            <v>51040108010104</v>
          </cell>
          <cell r="C19875" t="str">
            <v>IM INT AVANCE CTA CTE CIVA              4NC</v>
          </cell>
        </row>
        <row r="19876">
          <cell r="B19876" t="str">
            <v>51040108020101</v>
          </cell>
          <cell r="C19876" t="str">
            <v>TC INT CDEUDA PAR AMEX CIVA             4NC</v>
          </cell>
        </row>
        <row r="19877">
          <cell r="B19877" t="str">
            <v>51040108020102</v>
          </cell>
          <cell r="C19877" t="str">
            <v>TC INT CDEUDA REV AMEX CIVA             4NC</v>
          </cell>
        </row>
        <row r="19878">
          <cell r="B19878" t="str">
            <v>51040108020103</v>
          </cell>
          <cell r="C19878" t="str">
            <v>TC INT CUOTAS AMEX CIVA                 4NC</v>
          </cell>
        </row>
        <row r="19879">
          <cell r="B19879" t="str">
            <v>51040108020104</v>
          </cell>
          <cell r="C19879" t="str">
            <v>TC INT EXTRACASH AMEX CIVA              4NC</v>
          </cell>
        </row>
        <row r="19880">
          <cell r="B19880" t="str">
            <v>51040108020105</v>
          </cell>
          <cell r="C19880" t="str">
            <v>TC INT REPROG PAR AMEX CIVA             4NC</v>
          </cell>
        </row>
        <row r="19881">
          <cell r="B19881" t="str">
            <v>51040108020106</v>
          </cell>
          <cell r="C19881" t="str">
            <v>TC INT REPROG REV AMEX CIVA             4NC</v>
          </cell>
        </row>
        <row r="19882">
          <cell r="B19882" t="str">
            <v>51040108020107</v>
          </cell>
          <cell r="C19882" t="str">
            <v>TC INT REV AMEX CIVA                    4NC</v>
          </cell>
        </row>
        <row r="19883">
          <cell r="B19883" t="str">
            <v>51040108020108</v>
          </cell>
          <cell r="C19883" t="str">
            <v>TC INT CDEUDA PAR MC CIVA               4NC</v>
          </cell>
        </row>
        <row r="19884">
          <cell r="B19884" t="str">
            <v>51040108020109</v>
          </cell>
          <cell r="C19884" t="str">
            <v>TC INT CDEUDA REV MC CIVA               4NC</v>
          </cell>
        </row>
        <row r="19885">
          <cell r="B19885" t="str">
            <v>51040108020110</v>
          </cell>
          <cell r="C19885" t="str">
            <v>TC INT CUOTAS MC CIVA                   4NC</v>
          </cell>
        </row>
        <row r="19886">
          <cell r="B19886" t="str">
            <v>51040108020111</v>
          </cell>
          <cell r="C19886" t="str">
            <v>TC INT EXTRACASH MC CIVA                4NC</v>
          </cell>
        </row>
        <row r="19887">
          <cell r="B19887" t="str">
            <v>51040108020112</v>
          </cell>
          <cell r="C19887" t="str">
            <v>TC INT REPROG PAR MC CIVA               4NC</v>
          </cell>
        </row>
        <row r="19888">
          <cell r="B19888" t="str">
            <v>51040108020113</v>
          </cell>
          <cell r="C19888" t="str">
            <v>TC INT REPROG REV MC CIVA               4NC</v>
          </cell>
        </row>
        <row r="19889">
          <cell r="B19889" t="str">
            <v>51040108020114</v>
          </cell>
          <cell r="C19889" t="str">
            <v>TC INT REV MC CIVA                      4NC</v>
          </cell>
        </row>
        <row r="19890">
          <cell r="B19890" t="str">
            <v>51040108020115</v>
          </cell>
          <cell r="C19890" t="str">
            <v>TC INT CDEUDA PAR VISA CIVA             4NC</v>
          </cell>
        </row>
        <row r="19891">
          <cell r="B19891" t="str">
            <v>51040108020116</v>
          </cell>
          <cell r="C19891" t="str">
            <v>TC INT CDEUDA PAR VISA MEGAPLAZA CIVA   4NC</v>
          </cell>
        </row>
        <row r="19892">
          <cell r="B19892" t="str">
            <v>51040108020117</v>
          </cell>
          <cell r="C19892" t="str">
            <v>TC INT CDEUDA PAR VISA VEA CIVA         4NC</v>
          </cell>
        </row>
        <row r="19893">
          <cell r="B19893" t="str">
            <v>51040108020118</v>
          </cell>
          <cell r="C19893" t="str">
            <v>TC INT CDEUDA REV VISA CIVA             4NC</v>
          </cell>
        </row>
        <row r="19894">
          <cell r="B19894" t="str">
            <v>51040108020119</v>
          </cell>
          <cell r="C19894" t="str">
            <v>TC INT CDEUDA REV VISA MEGAPLAZA CIVA   4NC</v>
          </cell>
        </row>
        <row r="19895">
          <cell r="B19895" t="str">
            <v>51040108020120</v>
          </cell>
          <cell r="C19895" t="str">
            <v>TC INT CDEUDA REV VISA VEA CIVA         4NC</v>
          </cell>
        </row>
        <row r="19896">
          <cell r="B19896" t="str">
            <v>51040108020121</v>
          </cell>
          <cell r="C19896" t="str">
            <v>TC INT CUOTAS VISA CIVA                 4NC</v>
          </cell>
        </row>
        <row r="19897">
          <cell r="B19897" t="str">
            <v>51040108020122</v>
          </cell>
          <cell r="C19897" t="str">
            <v>TC INT CUOTAS VISA MEGAPLAZA CIVA       4NC</v>
          </cell>
        </row>
        <row r="19898">
          <cell r="B19898" t="str">
            <v>51040108020123</v>
          </cell>
          <cell r="C19898" t="str">
            <v>TC INT CUOTAS VISA VEA CIVA             4NC</v>
          </cell>
        </row>
        <row r="19899">
          <cell r="B19899" t="str">
            <v>51040108020124</v>
          </cell>
          <cell r="C19899" t="str">
            <v>TC INT EXTRACASH VISA CIVA              4NC</v>
          </cell>
        </row>
        <row r="19900">
          <cell r="B19900" t="str">
            <v>51040108020125</v>
          </cell>
          <cell r="C19900" t="str">
            <v>TC INT EXTRACASH VISA MEGAPLAZA CIVA    4NC</v>
          </cell>
        </row>
        <row r="19901">
          <cell r="B19901" t="str">
            <v>51040108020126</v>
          </cell>
          <cell r="C19901" t="str">
            <v>TC INT EXTRACASH VISA VEA CIVA          4NC</v>
          </cell>
        </row>
        <row r="19902">
          <cell r="B19902" t="str">
            <v>51040108020127</v>
          </cell>
          <cell r="C19902" t="str">
            <v>TC INT REPROG PAR VISA CIVA             4NC</v>
          </cell>
        </row>
        <row r="19903">
          <cell r="B19903" t="str">
            <v>51040108020128</v>
          </cell>
          <cell r="C19903" t="str">
            <v>TC INT REPROG PAR VISA MEGAPLAZA CIVA   4NC</v>
          </cell>
        </row>
        <row r="19904">
          <cell r="B19904" t="str">
            <v>51040108020129</v>
          </cell>
          <cell r="C19904" t="str">
            <v>TC INT REPROG PAR VISA VEA CIVA         4NC</v>
          </cell>
        </row>
        <row r="19905">
          <cell r="B19905" t="str">
            <v>51040108020130</v>
          </cell>
          <cell r="C19905" t="str">
            <v>TC INT REPROG REV VISA CIVA             4NC</v>
          </cell>
        </row>
        <row r="19906">
          <cell r="B19906" t="str">
            <v>51040108020131</v>
          </cell>
          <cell r="C19906" t="str">
            <v>TC INT REPROG REV VISA MEGAPLAZA CIVA   4NC</v>
          </cell>
        </row>
        <row r="19907">
          <cell r="B19907" t="str">
            <v>51040108020132</v>
          </cell>
          <cell r="C19907" t="str">
            <v>TC INT REPROG REV VISA VEA CIVA         4NC</v>
          </cell>
        </row>
        <row r="19908">
          <cell r="B19908" t="str">
            <v>51040108020133</v>
          </cell>
          <cell r="C19908" t="str">
            <v>TC INT REV VISA CIVA                    4NC</v>
          </cell>
        </row>
        <row r="19909">
          <cell r="B19909" t="str">
            <v>51040108020134</v>
          </cell>
          <cell r="C19909" t="str">
            <v>TC INT REV VISA MEGAPLAZA CIVA          4NC</v>
          </cell>
        </row>
        <row r="19910">
          <cell r="B19910" t="str">
            <v>51040108020135</v>
          </cell>
          <cell r="C19910" t="str">
            <v>TC INT REV VISA VEA CIVA                4NC</v>
          </cell>
        </row>
        <row r="19911">
          <cell r="B19911" t="str">
            <v>51040108040101</v>
          </cell>
          <cell r="C19911" t="str">
            <v>IM INT SOBREGIRO CTA CTE CIVA           4NC</v>
          </cell>
        </row>
        <row r="19912">
          <cell r="B19912" t="str">
            <v>51040108060101</v>
          </cell>
          <cell r="C19912" t="str">
            <v>LPC INT GAN VIG PAG TV  D/P CIVA        4NC</v>
          </cell>
        </row>
        <row r="19913">
          <cell r="B19913" t="str">
            <v>51040108060102</v>
          </cell>
          <cell r="C19913" t="str">
            <v>LPC INT GAN PAG TV VIGEN CIVA           4NC</v>
          </cell>
        </row>
        <row r="19914">
          <cell r="B19914" t="str">
            <v>51040108060103</v>
          </cell>
          <cell r="C19914" t="str">
            <v>LPC PTV CAP COFIDE  SBS CIVA            4NC</v>
          </cell>
        </row>
        <row r="19915">
          <cell r="B19915" t="str">
            <v>51040108060104</v>
          </cell>
          <cell r="C19915" t="str">
            <v>LPC INT GAN VIG PAGTV COFIDE  D/P CIVA  4NC</v>
          </cell>
        </row>
        <row r="19916">
          <cell r="B19916" t="str">
            <v>51040108060105</v>
          </cell>
          <cell r="C19916" t="str">
            <v>LPC INT GAN PAG TV MED PLZ              4NC</v>
          </cell>
        </row>
        <row r="19917">
          <cell r="B19917" t="str">
            <v>51040108060106</v>
          </cell>
          <cell r="C19917" t="str">
            <v>LPC INT GAN PAG TV MED PLZ D/P          4NC</v>
          </cell>
        </row>
        <row r="19918">
          <cell r="B19918" t="str">
            <v>51040108060107</v>
          </cell>
          <cell r="C19918" t="str">
            <v>LPC INT GAN PAG TV INMOBILIARIO         4NC</v>
          </cell>
        </row>
        <row r="19919">
          <cell r="B19919" t="str">
            <v>51040108060108</v>
          </cell>
          <cell r="C19919" t="str">
            <v>LPC INT GAN PAG TV INMOBILIARIO D/P     4NC</v>
          </cell>
        </row>
        <row r="19920">
          <cell r="B19920" t="str">
            <v>51040108060109</v>
          </cell>
          <cell r="C19920" t="str">
            <v>LPC INT GAN PAG TV EUROS                4NC</v>
          </cell>
        </row>
        <row r="19921">
          <cell r="B19921" t="str">
            <v>51040108060110</v>
          </cell>
          <cell r="C19921" t="str">
            <v>LPC INT GAN PAG TV EUROS                4NC</v>
          </cell>
        </row>
        <row r="19922">
          <cell r="B19922" t="str">
            <v>51040108060201</v>
          </cell>
          <cell r="C19922" t="str">
            <v>CL INT GAN FINANC DIF CIVA              4NC</v>
          </cell>
        </row>
        <row r="19923">
          <cell r="B19923" t="str">
            <v>51040108060202</v>
          </cell>
          <cell r="C19923" t="str">
            <v>CL INT GANAD TV CIVA                    4NC</v>
          </cell>
        </row>
        <row r="19924">
          <cell r="B19924" t="str">
            <v>51040108060203</v>
          </cell>
          <cell r="C19924" t="str">
            <v>CL INT DIFER GAN PAG TV D/P VIG CIVA    4NC</v>
          </cell>
        </row>
        <row r="19925">
          <cell r="B19925" t="str">
            <v>51040108060204</v>
          </cell>
          <cell r="C19925" t="str">
            <v>CL INT GAN PAG TV D/P  VIG CIVA         4NC</v>
          </cell>
        </row>
        <row r="19926">
          <cell r="B19926" t="str">
            <v>51040108060211</v>
          </cell>
          <cell r="C19926" t="str">
            <v>LPC REACTIVA PERU VIG CIVA\NORM         4NC</v>
          </cell>
        </row>
        <row r="19927">
          <cell r="B19927" t="str">
            <v>51040108060212</v>
          </cell>
          <cell r="C19927" t="str">
            <v>LPC REACTIVA PERU VIG CIVA\DUPE         4NC</v>
          </cell>
        </row>
        <row r="19928">
          <cell r="B19928" t="str">
            <v>51040108060213</v>
          </cell>
          <cell r="C19928" t="str">
            <v>LPC COFIDE FONDOS PERU VIG CIVA\NORM    4NC</v>
          </cell>
        </row>
        <row r="19929">
          <cell r="B19929" t="str">
            <v>51040108060214</v>
          </cell>
          <cell r="C19929" t="str">
            <v>LPC COFIDE FONDOS PERU VIG CIVA\DUPE    4NC</v>
          </cell>
        </row>
        <row r="19930">
          <cell r="B19930" t="str">
            <v>51040108060215</v>
          </cell>
          <cell r="C19930" t="str">
            <v>LPC COFIDE FONDO CRECER VIG CIVA\NORM   4NC</v>
          </cell>
        </row>
        <row r="19931">
          <cell r="B19931" t="str">
            <v>51040108060216</v>
          </cell>
          <cell r="C19931" t="str">
            <v>LPC REACTIVA PERU VIG CIVA\NORM         4NC</v>
          </cell>
        </row>
        <row r="19932">
          <cell r="B19932" t="str">
            <v>51040108110101</v>
          </cell>
          <cell r="C19932" t="str">
            <v>LPC INT VIG LEASING BIEN RP CIVA        4NC</v>
          </cell>
        </row>
        <row r="19933">
          <cell r="B19933" t="str">
            <v>51040108110102</v>
          </cell>
          <cell r="C19933" t="str">
            <v>LPC INT VIG LEASING SEG RP CIVA         4NC</v>
          </cell>
        </row>
        <row r="19934">
          <cell r="B19934" t="str">
            <v>51040108110103</v>
          </cell>
          <cell r="C19934" t="str">
            <v>LPC CIA SEGURO LEASING RP CIVA          4NC</v>
          </cell>
        </row>
        <row r="19935">
          <cell r="B19935" t="str">
            <v>51040108110104</v>
          </cell>
          <cell r="C19935" t="str">
            <v>LPC INT VIG LEAS BIEN D/P RP CIVA       4NC</v>
          </cell>
        </row>
        <row r="19936">
          <cell r="B19936" t="str">
            <v>51040108110105</v>
          </cell>
          <cell r="C19936" t="str">
            <v>LPC INT VIG LEASING SEG D/P RP CIVA     4NC</v>
          </cell>
        </row>
        <row r="19937">
          <cell r="B19937" t="str">
            <v>51040108110106</v>
          </cell>
          <cell r="C19937" t="str">
            <v>LPC CIA SEGURO LEAS D/P RP CIVA         4NC</v>
          </cell>
        </row>
        <row r="19938">
          <cell r="B19938" t="str">
            <v>51040108110107</v>
          </cell>
          <cell r="C19938" t="str">
            <v>LPC INT LEASING PRE CUOTAS CIVA         4NC</v>
          </cell>
        </row>
        <row r="19939">
          <cell r="B19939" t="str">
            <v>51040108110201</v>
          </cell>
          <cell r="C19939" t="str">
            <v>LPC INT VIG LEASING COFIDE IDL CIVA     4NC</v>
          </cell>
        </row>
        <row r="19940">
          <cell r="B19940" t="str">
            <v>51040108110202</v>
          </cell>
          <cell r="C19940" t="str">
            <v>LPC INT VIG LEASING COFIDE SEG IDS CIVA 4NC</v>
          </cell>
        </row>
        <row r="19941">
          <cell r="B19941" t="str">
            <v>51040108110203</v>
          </cell>
          <cell r="C19941" t="str">
            <v>LPC CIA SEGURO LEASING COFIDE ISG CIVA  4NC</v>
          </cell>
        </row>
        <row r="19942">
          <cell r="B19942" t="str">
            <v>51040108110204</v>
          </cell>
          <cell r="C19942" t="str">
            <v>LPC INT VIG LS COFIDE D/P IDL CIVA      4NC</v>
          </cell>
        </row>
        <row r="19943">
          <cell r="B19943" t="str">
            <v>51040108110205</v>
          </cell>
          <cell r="C19943" t="str">
            <v>LPC INT VIG LS COFIDE D/P IDS CIVA      4NC</v>
          </cell>
        </row>
        <row r="19944">
          <cell r="B19944" t="str">
            <v>51040108110206</v>
          </cell>
          <cell r="C19944" t="str">
            <v>LPC CIA SEGURO LS COFIDE D/P ISG CIVA   4NC</v>
          </cell>
        </row>
        <row r="19945">
          <cell r="B19945" t="str">
            <v>51040108210101</v>
          </cell>
          <cell r="C19945" t="str">
            <v>CL CXL CC AVAL X ACEPT INT GAN CIVA     4NC</v>
          </cell>
        </row>
        <row r="19946">
          <cell r="B19946" t="str">
            <v>51040109010101</v>
          </cell>
          <cell r="C19946" t="str">
            <v>IM INT AVANCE CTA CTE CESF              4NC</v>
          </cell>
        </row>
        <row r="19947">
          <cell r="B19947" t="str">
            <v>51040109040101</v>
          </cell>
          <cell r="C19947" t="str">
            <v>IM INT SOBREGIRO CTA CTE CESF           4NC</v>
          </cell>
        </row>
        <row r="19948">
          <cell r="B19948" t="str">
            <v>51040109060101</v>
          </cell>
          <cell r="C19948" t="str">
            <v>BANCO CENTRAL DE RESERVA DEL PERU       4NC</v>
          </cell>
        </row>
        <row r="19949">
          <cell r="B19949" t="str">
            <v>51040109060102</v>
          </cell>
          <cell r="C19949" t="str">
            <v>BANCO DE LA NACIÃ“N                     4NC</v>
          </cell>
        </row>
        <row r="19950">
          <cell r="B19950" t="str">
            <v>51040109060103</v>
          </cell>
          <cell r="C19950" t="str">
            <v>LPC EDPY.EFECTIVA/CAMCO PIURA VIG CESF  4NC</v>
          </cell>
        </row>
        <row r="19951">
          <cell r="B19951" t="str">
            <v>51040109060104</v>
          </cell>
          <cell r="C19951" t="str">
            <v>LPC EDPYME CREDITOS AREQUIPA VIG CESF   4NC</v>
          </cell>
        </row>
        <row r="19952">
          <cell r="B19952" t="str">
            <v>51040109060105</v>
          </cell>
          <cell r="C19952" t="str">
            <v>LPC BANCO FALABELLA VIG CESF            4NC</v>
          </cell>
        </row>
        <row r="19953">
          <cell r="B19953" t="str">
            <v>51040109060106</v>
          </cell>
          <cell r="C19953" t="str">
            <v>LPC CAJA MUNICIPAL DE AHORRO Y CRED VIG 4NC</v>
          </cell>
        </row>
        <row r="19954">
          <cell r="B19954" t="str">
            <v>51040109060107</v>
          </cell>
          <cell r="C19954" t="str">
            <v>LPC EDPYME CONFIANZA S.A. VIG CESF      4NC</v>
          </cell>
        </row>
        <row r="19955">
          <cell r="B19955" t="str">
            <v>51040109060108</v>
          </cell>
          <cell r="C19955" t="str">
            <v>LPC EDPYME ALTERNATIVA VIG CESF         4NC</v>
          </cell>
        </row>
        <row r="19956">
          <cell r="B19956" t="str">
            <v>51040109060109</v>
          </cell>
          <cell r="C19956" t="str">
            <v>BANCO FINANCIERO DEL PERU               4NC</v>
          </cell>
        </row>
        <row r="19957">
          <cell r="B19957" t="str">
            <v>51040109060110</v>
          </cell>
          <cell r="C19957" t="str">
            <v>LPC BANCO FINANCIERO INT.GAND.VIG       4NC</v>
          </cell>
        </row>
        <row r="19958">
          <cell r="B19958" t="str">
            <v>51040109060116</v>
          </cell>
          <cell r="C19958" t="str">
            <v>CITIBANK N. A.   SUCURSAL EN EL PERU DEL4NC</v>
          </cell>
        </row>
        <row r="19959">
          <cell r="B19959" t="str">
            <v>51040109060121</v>
          </cell>
          <cell r="C19959" t="str">
            <v>BANCO INTERAMERICANO DE FINANZAS - S. A.4NC</v>
          </cell>
        </row>
        <row r="19960">
          <cell r="B19960" t="str">
            <v>51040109060128</v>
          </cell>
          <cell r="C19960" t="str">
            <v>LPC CORPORACION FINANCIERA DE DESARROLO 4NC</v>
          </cell>
        </row>
        <row r="19961">
          <cell r="B19961" t="str">
            <v>51040109060129</v>
          </cell>
          <cell r="C19961" t="str">
            <v>LPC MI BANCO                            4NC</v>
          </cell>
        </row>
        <row r="19962">
          <cell r="B19962" t="str">
            <v>51040109060131</v>
          </cell>
          <cell r="C19962" t="str">
            <v>LPC BANO AGROPECUARIO                   4NC</v>
          </cell>
        </row>
        <row r="19963">
          <cell r="B19963" t="str">
            <v>51040109060132</v>
          </cell>
          <cell r="C19963" t="str">
            <v>HSBC BANK PERU S. A.                    4NC</v>
          </cell>
        </row>
        <row r="19964">
          <cell r="B19964" t="str">
            <v>51040109060133</v>
          </cell>
          <cell r="C19964" t="str">
            <v>LPC BANCO FALABELLA VIG CESF            4NC</v>
          </cell>
        </row>
        <row r="19965">
          <cell r="B19965" t="str">
            <v>51040109060134</v>
          </cell>
          <cell r="C19965" t="str">
            <v>BANCO SANTANDER PERU S. A.              4NC</v>
          </cell>
        </row>
        <row r="19966">
          <cell r="B19966" t="str">
            <v>51040109060135</v>
          </cell>
          <cell r="C19966" t="str">
            <v>LPC BANCO RIPLEY VIG                    4NC</v>
          </cell>
        </row>
        <row r="19967">
          <cell r="B19967" t="str">
            <v>51040109060136</v>
          </cell>
          <cell r="C19967" t="str">
            <v>BANCO AZTECA DEL PERU S. A.             4NC</v>
          </cell>
        </row>
        <row r="19968">
          <cell r="B19968" t="str">
            <v>51040109060137</v>
          </cell>
          <cell r="C19968" t="str">
            <v>DEUTSCHE BANK (PERU) S. A.              4NC</v>
          </cell>
        </row>
        <row r="19969">
          <cell r="B19969" t="str">
            <v>51040109060199</v>
          </cell>
          <cell r="C19969" t="str">
            <v>BANCOS EN LIQUIDACIÃ“N                  4NC</v>
          </cell>
        </row>
        <row r="19970">
          <cell r="B19970" t="str">
            <v>51040109060203</v>
          </cell>
          <cell r="C19970" t="str">
            <v>SOLUCIÃ“N FINANCIERADE CREDITO DEL PERU 4NC</v>
          </cell>
        </row>
        <row r="19971">
          <cell r="B19971" t="str">
            <v>51040109060207</v>
          </cell>
          <cell r="C19971" t="str">
            <v>LPC FINANCIERA TFC (VOLVO FINANCE DEL PE4NC</v>
          </cell>
        </row>
        <row r="19972">
          <cell r="B19972" t="str">
            <v>51040109060209</v>
          </cell>
          <cell r="C19972" t="str">
            <v>LPC FINANCIERA EDYFICAR S.A.            4NC</v>
          </cell>
        </row>
        <row r="19973">
          <cell r="B19973" t="str">
            <v>51040109060210</v>
          </cell>
          <cell r="C19973" t="str">
            <v>CREDISCOTIA FINANCIERA S. A.            4NC</v>
          </cell>
        </row>
        <row r="19974">
          <cell r="B19974" t="str">
            <v>51040109060211</v>
          </cell>
          <cell r="C19974" t="str">
            <v>LPC FINANCIERA CREAR                    4NC</v>
          </cell>
        </row>
        <row r="19975">
          <cell r="B19975" t="str">
            <v>51040109060212</v>
          </cell>
          <cell r="C19975" t="str">
            <v>LPC FINANCIERA CONFIANZA S.A. VIG CESF  4NC</v>
          </cell>
        </row>
        <row r="19976">
          <cell r="B19976" t="str">
            <v>51040109060213</v>
          </cell>
          <cell r="C19976" t="str">
            <v>FINANCIERA UNIVERSAL S. A.              4NC</v>
          </cell>
        </row>
        <row r="19977">
          <cell r="B19977" t="str">
            <v>51040109060214</v>
          </cell>
          <cell r="C19977" t="str">
            <v>FINANCIERA UNO S. A.                    4NC</v>
          </cell>
        </row>
        <row r="19978">
          <cell r="B19978" t="str">
            <v>51040109060215</v>
          </cell>
          <cell r="C19978" t="str">
            <v>LPC FINANCIERA EFECTIVA CESF            4NC</v>
          </cell>
        </row>
        <row r="19979">
          <cell r="B19979" t="str">
            <v>51040109060216</v>
          </cell>
          <cell r="C19979" t="str">
            <v>LPC AMERIKA FINANCIERA SA.              4NC</v>
          </cell>
        </row>
        <row r="19980">
          <cell r="B19980" t="str">
            <v>51040109060217</v>
          </cell>
          <cell r="C19980" t="str">
            <v>MITSUI AUTO FINANCE PERU S.A            4NC</v>
          </cell>
        </row>
        <row r="19981">
          <cell r="B19981" t="str">
            <v>51040109060219</v>
          </cell>
          <cell r="C19981" t="str">
            <v>LPC INT GAN FINANCIERA CREDINKA VIG     4NC</v>
          </cell>
        </row>
        <row r="19982">
          <cell r="B19982" t="str">
            <v>51040109060299</v>
          </cell>
          <cell r="C19982" t="str">
            <v>FINANCIERAS EN LIQUIDACIÃ“N             4NC</v>
          </cell>
        </row>
        <row r="19983">
          <cell r="B19983" t="str">
            <v>51040109060301</v>
          </cell>
          <cell r="C19983" t="str">
            <v>LPC CAJA MUNICIPAL DE AHORRO Y CRED VIG 4NC</v>
          </cell>
        </row>
        <row r="19984">
          <cell r="B19984" t="str">
            <v>51040109060302</v>
          </cell>
          <cell r="C19984" t="str">
            <v>CAJA MUNICIPALDE CREDITO POPULAR DE LIMA4NC</v>
          </cell>
        </row>
        <row r="19985">
          <cell r="B19985" t="str">
            <v>51040109060303</v>
          </cell>
          <cell r="C19985" t="str">
            <v>CAJA MUNICIPAL DE AHORRO YCREDITO DE PIU4NC</v>
          </cell>
        </row>
        <row r="19986">
          <cell r="B19986" t="str">
            <v>51040109060304</v>
          </cell>
          <cell r="C19986" t="str">
            <v>LPC CJA MUNI.AHO.Y CRED.AREQUIPA VIG    4NC</v>
          </cell>
        </row>
        <row r="19987">
          <cell r="B19987" t="str">
            <v>51040109060305</v>
          </cell>
          <cell r="C19987" t="str">
            <v>LPC CAJA MUNICIPAL DE AHORRO Y CRED. HUA4NC</v>
          </cell>
        </row>
        <row r="19988">
          <cell r="B19988" t="str">
            <v>51040109060306</v>
          </cell>
          <cell r="C19988" t="str">
            <v>LPC CAJA MUNIC.DE AH.Y CRED.CUSCO INT.G.4NC</v>
          </cell>
        </row>
        <row r="19989">
          <cell r="B19989" t="str">
            <v>51040109060307</v>
          </cell>
          <cell r="C19989" t="str">
            <v>LPC CAJA MUNICIPAL DE AHORRO Y CRED. MAY4NC</v>
          </cell>
        </row>
        <row r="19990">
          <cell r="B19990" t="str">
            <v>51040109060308</v>
          </cell>
          <cell r="C19990" t="str">
            <v>CAJA MUNICIPAL DE AHORRO YCREDITO DE ICA4NC</v>
          </cell>
        </row>
        <row r="19991">
          <cell r="B19991" t="str">
            <v>51040109060309</v>
          </cell>
          <cell r="C19991" t="str">
            <v>CAJA MUNICIPAL DE AHORRO YCREDITO DE PAI4NC</v>
          </cell>
        </row>
        <row r="19992">
          <cell r="B19992" t="str">
            <v>51040109060310</v>
          </cell>
          <cell r="C19992" t="str">
            <v>LPC CAJA MUNIC. DE AHORRO Y CRED DEL SAN4NC</v>
          </cell>
        </row>
        <row r="19993">
          <cell r="B19993" t="str">
            <v>51040109060311</v>
          </cell>
          <cell r="C19993" t="str">
            <v>LPC CAJA MUNICIPAL DE AHORRO Y CRED. TRU4NC</v>
          </cell>
        </row>
        <row r="19994">
          <cell r="B19994" t="str">
            <v>51040109060312</v>
          </cell>
          <cell r="C19994" t="str">
            <v>LPC CAJA MUNICIPAL DE AHORRO Y CRED. TAC4NC</v>
          </cell>
        </row>
        <row r="19995">
          <cell r="B19995" t="str">
            <v>51040109060313</v>
          </cell>
          <cell r="C19995" t="str">
            <v>CAJA MUNICIPAL DE AHORRO YCREDITO DE PIS4NC</v>
          </cell>
        </row>
        <row r="19996">
          <cell r="B19996" t="str">
            <v>51040109060314</v>
          </cell>
          <cell r="C19996" t="str">
            <v>LPC CAJA MUNIC.DE CRED.POPULAR DE LIMA I4NC</v>
          </cell>
        </row>
        <row r="19997">
          <cell r="B19997" t="str">
            <v>51040109060399</v>
          </cell>
          <cell r="C19997" t="str">
            <v>CAJAS MUNICIPALES DE AHORRO YCREDITO EN 4NC</v>
          </cell>
        </row>
        <row r="19998">
          <cell r="B19998" t="str">
            <v>51040109060403</v>
          </cell>
          <cell r="C19998" t="str">
            <v>CAJA RURAL DE AHORRO YCREDITO QUILLABAMB4NC</v>
          </cell>
        </row>
        <row r="19999">
          <cell r="B19999" t="str">
            <v>51040109060405</v>
          </cell>
          <cell r="C19999" t="str">
            <v>CAJA RURAL DE AHORRO YCREDITO LOS LIBERT4NC</v>
          </cell>
        </row>
        <row r="20000">
          <cell r="B20000" t="str">
            <v>51040109060406</v>
          </cell>
          <cell r="C20000" t="str">
            <v>CAJA RURAL DE AHORRO YCREDITO SEÃ‘OR DE 4NC</v>
          </cell>
        </row>
        <row r="20001">
          <cell r="B20001" t="str">
            <v>51040109060407</v>
          </cell>
          <cell r="C20001" t="str">
            <v>LPC CAJA RURAL DE AHORRO Y CREDITO CHAVI4NC</v>
          </cell>
        </row>
        <row r="20002">
          <cell r="B20002" t="str">
            <v>51040109060408</v>
          </cell>
          <cell r="C20002" t="str">
            <v>CAJA RURAL DE AHORRO YCREDITO NUESTRA GE4NC</v>
          </cell>
        </row>
        <row r="20003">
          <cell r="B20003" t="str">
            <v>51040109060409</v>
          </cell>
          <cell r="C20003" t="str">
            <v>CAJA RURAL DE AHORRO YCREDITO CAJAMARCA 4NC</v>
          </cell>
        </row>
        <row r="20004">
          <cell r="B20004" t="str">
            <v>51040109060410</v>
          </cell>
          <cell r="C20004" t="str">
            <v>LPC CAJA RURAL DE AHORRO Y CREDITO PROFI4NC</v>
          </cell>
        </row>
        <row r="20005">
          <cell r="B20005" t="str">
            <v>51040109060412</v>
          </cell>
          <cell r="C20005" t="str">
            <v>CAJA RURAL DE AHORRO YCREDITO SIPÃN S. 4NC</v>
          </cell>
        </row>
        <row r="20006">
          <cell r="B20006" t="str">
            <v>51040109060414</v>
          </cell>
          <cell r="C20006" t="str">
            <v>CAJA RURAL DE AHORRO YCREDITO PRYMERA S.4NC</v>
          </cell>
        </row>
        <row r="20007">
          <cell r="B20007" t="str">
            <v>51040109060415</v>
          </cell>
          <cell r="C20007" t="str">
            <v>CAJA RURAL DE AHORRO YCREDITO LOS ANDES 4NC</v>
          </cell>
        </row>
        <row r="20008">
          <cell r="B20008" t="str">
            <v>51040109060499</v>
          </cell>
          <cell r="C20008" t="str">
            <v>CAJAS RURALES DE AHORRO YCREDITO EN LIQU4NC</v>
          </cell>
        </row>
        <row r="20009">
          <cell r="B20009" t="str">
            <v>51040109060503</v>
          </cell>
          <cell r="C20009" t="str">
            <v>PROEMPRESA S. A.                        4NC</v>
          </cell>
        </row>
        <row r="20010">
          <cell r="B20010" t="str">
            <v>51040109060506</v>
          </cell>
          <cell r="C20010" t="str">
            <v>NUEVA VISIÃ“N S. A.                     4NC</v>
          </cell>
        </row>
        <row r="20011">
          <cell r="B20011" t="str">
            <v>51040109060508</v>
          </cell>
          <cell r="C20011" t="str">
            <v>RAIZ S. A.                              4NC</v>
          </cell>
        </row>
        <row r="20012">
          <cell r="B20012" t="str">
            <v>51040109060510</v>
          </cell>
          <cell r="C20012" t="str">
            <v>LPC EDPYME SOLIDARIDAD                  4NC</v>
          </cell>
        </row>
        <row r="20013">
          <cell r="B20013" t="str">
            <v>51040109060511</v>
          </cell>
          <cell r="C20013" t="str">
            <v>CREDIVISIÃ“N S. A.                      4NC</v>
          </cell>
        </row>
        <row r="20014">
          <cell r="B20014" t="str">
            <v>51040109060512</v>
          </cell>
          <cell r="C20014" t="str">
            <v>ACCESO CREDITICIO S. A.                 4NC</v>
          </cell>
        </row>
        <row r="20015">
          <cell r="B20015" t="str">
            <v>51040109060514</v>
          </cell>
          <cell r="C20015" t="str">
            <v>LPC EDPYME ALTERNATIVA VIG CESF         4NC</v>
          </cell>
        </row>
        <row r="20016">
          <cell r="B20016" t="str">
            <v>51040109060515</v>
          </cell>
          <cell r="C20016" t="str">
            <v>PRONEGOCIOS S. A.                       4NC</v>
          </cell>
        </row>
        <row r="20017">
          <cell r="B20017" t="str">
            <v>51040109060516</v>
          </cell>
          <cell r="C20017" t="str">
            <v>MICASITA S. A.                          4NC</v>
          </cell>
        </row>
        <row r="20018">
          <cell r="B20018" t="str">
            <v>51040109060517</v>
          </cell>
          <cell r="C20018" t="str">
            <v>CREDIJET DEL PERU S. A.                 4NC</v>
          </cell>
        </row>
        <row r="20019">
          <cell r="B20019" t="str">
            <v>51040109060521</v>
          </cell>
          <cell r="C20019" t="str">
            <v>LPC EDPYME SANTANDER INT                4NC</v>
          </cell>
        </row>
        <row r="20020">
          <cell r="B20020" t="str">
            <v>51040109060599</v>
          </cell>
          <cell r="C20020" t="str">
            <v>EDPYMES EN LIQUIDACIÃ“N                 4NC</v>
          </cell>
        </row>
        <row r="20021">
          <cell r="B20021" t="str">
            <v>51040109060601</v>
          </cell>
          <cell r="C20021" t="str">
            <v>LPC CAJA RURAL DE AH.Y CREDITO CREDINKA 4NC</v>
          </cell>
        </row>
        <row r="20022">
          <cell r="B20022" t="str">
            <v>51040109060710</v>
          </cell>
          <cell r="C20022" t="str">
            <v>LEASING TOTAL S. A.                     4NC</v>
          </cell>
        </row>
        <row r="20023">
          <cell r="B20023" t="str">
            <v>51040109060799</v>
          </cell>
          <cell r="C20023" t="str">
            <v>LEASING EN LIQUIDACIÃ“N                 4NC</v>
          </cell>
        </row>
        <row r="20024">
          <cell r="B20024" t="str">
            <v>51040109060801</v>
          </cell>
          <cell r="C20024" t="str">
            <v>FONDO DE GARANTÃA PARA PRSTAMOS A LA PE4NC</v>
          </cell>
        </row>
        <row r="20025">
          <cell r="B20025" t="str">
            <v>51040109061012</v>
          </cell>
          <cell r="C20025" t="str">
            <v>LPC MAPFRE PERU CIA DE SEGUROS Y REASEGU4NC</v>
          </cell>
        </row>
        <row r="20026">
          <cell r="B20026" t="str">
            <v>51040109061301</v>
          </cell>
          <cell r="C20026" t="str">
            <v>LA FIDUCIARIA S. A.                     4NC</v>
          </cell>
        </row>
        <row r="20027">
          <cell r="B20027" t="str">
            <v>51040109061302</v>
          </cell>
          <cell r="C20027" t="str">
            <v>FIDUCIARIA GBC S. A.                    4NC</v>
          </cell>
        </row>
        <row r="20028">
          <cell r="B20028" t="str">
            <v>51040109061401</v>
          </cell>
          <cell r="C20028" t="str">
            <v>FONDO MIVIVIENDA S. A.                  4NC</v>
          </cell>
        </row>
        <row r="20029">
          <cell r="B20029" t="str">
            <v>51040109061501</v>
          </cell>
          <cell r="C20029" t="str">
            <v>AMRICA FACTORING S. A.                  4NC</v>
          </cell>
        </row>
        <row r="20030">
          <cell r="B20030" t="str">
            <v>51040109061601</v>
          </cell>
          <cell r="C20030" t="str">
            <v>INCASA S. A.                            4NC</v>
          </cell>
        </row>
        <row r="20031">
          <cell r="B20031" t="str">
            <v>51040109061701</v>
          </cell>
          <cell r="C20031" t="str">
            <v>BANCOS DEL EXTERIOR                     4NC</v>
          </cell>
        </row>
        <row r="20032">
          <cell r="B20032" t="str">
            <v>51040109061702</v>
          </cell>
          <cell r="C20032" t="str">
            <v>OTRAS EMPRESAS DEL SISTEMA FINANCIERO DE4NC</v>
          </cell>
        </row>
        <row r="20033">
          <cell r="B20033" t="str">
            <v>51040109061703</v>
          </cell>
          <cell r="C20033" t="str">
            <v>LPC EDPYME SANTANDER INT                4NC</v>
          </cell>
        </row>
        <row r="20034">
          <cell r="B20034" t="str">
            <v>51040109061704</v>
          </cell>
          <cell r="C20034" t="str">
            <v>LPC SURGIR SANTANDER FINANCIAMIENTO INT 4NC</v>
          </cell>
        </row>
        <row r="20035">
          <cell r="B20035" t="str">
            <v>51040109180101</v>
          </cell>
          <cell r="C20035" t="str">
            <v>BANCO CENTRAL DE RESERVA DEL PERU       4NC</v>
          </cell>
        </row>
        <row r="20036">
          <cell r="B20036" t="str">
            <v>51040109180102</v>
          </cell>
          <cell r="C20036" t="str">
            <v>BANCO DE LA NACIÃ“N                     4NC</v>
          </cell>
        </row>
        <row r="20037">
          <cell r="B20037" t="str">
            <v>51040109180103</v>
          </cell>
          <cell r="C20037" t="str">
            <v>BANCODE CREDITO DEL PERU                4NC</v>
          </cell>
        </row>
        <row r="20038">
          <cell r="B20038" t="str">
            <v>51040109180104</v>
          </cell>
          <cell r="C20038" t="str">
            <v>BANCO INTERNACIONAL DEL PERU - INTERBANK4NC</v>
          </cell>
        </row>
        <row r="20039">
          <cell r="B20039" t="str">
            <v>51040109180105</v>
          </cell>
          <cell r="C20039" t="str">
            <v>SCOTIABANK PERU S. A. A.                4NC</v>
          </cell>
        </row>
        <row r="20040">
          <cell r="B20040" t="str">
            <v>51040109180106</v>
          </cell>
          <cell r="C20040" t="str">
            <v>BANCO CONTINENTAL                       4NC</v>
          </cell>
        </row>
        <row r="20041">
          <cell r="B20041" t="str">
            <v>51040109180108</v>
          </cell>
          <cell r="C20041" t="str">
            <v>BANCO DE COMERCIO                       4NC</v>
          </cell>
        </row>
        <row r="20042">
          <cell r="B20042" t="str">
            <v>51040109180109</v>
          </cell>
          <cell r="C20042" t="str">
            <v>BANCO FINANCIERO DEL PERU               4NC</v>
          </cell>
        </row>
        <row r="20043">
          <cell r="B20043" t="str">
            <v>51040109180116</v>
          </cell>
          <cell r="C20043" t="str">
            <v>CITIBANK N. A.   SUCURSAL EN EL PERU DEL4NC</v>
          </cell>
        </row>
        <row r="20044">
          <cell r="B20044" t="str">
            <v>51040109180121</v>
          </cell>
          <cell r="C20044" t="str">
            <v>BANCO INTERAMERICANO DE FINANZAS - S. A.4NC</v>
          </cell>
        </row>
        <row r="20045">
          <cell r="B20045" t="str">
            <v>51040109180128</v>
          </cell>
          <cell r="C20045" t="str">
            <v>CORPORACIÃ“N FINANCIERA DE DESARROLLO S.4NC</v>
          </cell>
        </row>
        <row r="20046">
          <cell r="B20046" t="str">
            <v>51040109180129</v>
          </cell>
          <cell r="C20046" t="str">
            <v>MIBANCO BANCO DE LA MICROEMPRESA - MIBAN4NC</v>
          </cell>
        </row>
        <row r="20047">
          <cell r="B20047" t="str">
            <v>51040109180131</v>
          </cell>
          <cell r="C20047" t="str">
            <v>BANCO AGROPECUARIO - AGROBANCO          4NC</v>
          </cell>
        </row>
        <row r="20048">
          <cell r="B20048" t="str">
            <v>51040109180132</v>
          </cell>
          <cell r="C20048" t="str">
            <v>HSBC BANK PERU S. A.                    4NC</v>
          </cell>
        </row>
        <row r="20049">
          <cell r="B20049" t="str">
            <v>51040109180133</v>
          </cell>
          <cell r="C20049" t="str">
            <v>BANCO FALABELLA DEL PERU                4NC</v>
          </cell>
        </row>
        <row r="20050">
          <cell r="B20050" t="str">
            <v>51040109180134</v>
          </cell>
          <cell r="C20050" t="str">
            <v>BANCO SANTANDER PERU S. A.              4NC</v>
          </cell>
        </row>
        <row r="20051">
          <cell r="B20051" t="str">
            <v>51040109180135</v>
          </cell>
          <cell r="C20051" t="str">
            <v>BANCO RIPLEY S. A.                      4NC</v>
          </cell>
        </row>
        <row r="20052">
          <cell r="B20052" t="str">
            <v>51040109180136</v>
          </cell>
          <cell r="C20052" t="str">
            <v>BANCO AZTECA DEL PERU S. A.             4NC</v>
          </cell>
        </row>
        <row r="20053">
          <cell r="B20053" t="str">
            <v>51040109180137</v>
          </cell>
          <cell r="C20053" t="str">
            <v>DEUTSCHE BANK (PERU) S. A.              4NC</v>
          </cell>
        </row>
        <row r="20054">
          <cell r="B20054" t="str">
            <v>51040109180199</v>
          </cell>
          <cell r="C20054" t="str">
            <v>BANCOS EN LIQUIDACIÃ“N                  4NC</v>
          </cell>
        </row>
        <row r="20055">
          <cell r="B20055" t="str">
            <v>51040109180203</v>
          </cell>
          <cell r="C20055" t="str">
            <v>SOLUCIÃ“N FINANCIERADE CREDITO DEL PERU 4NC</v>
          </cell>
        </row>
        <row r="20056">
          <cell r="B20056" t="str">
            <v>51040109180207</v>
          </cell>
          <cell r="C20056" t="str">
            <v>FINANCIERA TFC S. A.                    4NC</v>
          </cell>
        </row>
        <row r="20057">
          <cell r="B20057" t="str">
            <v>51040109180209</v>
          </cell>
          <cell r="C20057" t="str">
            <v>FINANCIERA EDYFICAR S. A.               4NC</v>
          </cell>
        </row>
        <row r="20058">
          <cell r="B20058" t="str">
            <v>51040109180210</v>
          </cell>
          <cell r="C20058" t="str">
            <v>CREDISCOTIA FINANCIERA S. A.            4NC</v>
          </cell>
        </row>
        <row r="20059">
          <cell r="B20059" t="str">
            <v>51040109180211</v>
          </cell>
          <cell r="C20059" t="str">
            <v>FINANCIERA CREAR S. A.                  4NC</v>
          </cell>
        </row>
        <row r="20060">
          <cell r="B20060" t="str">
            <v>51040109180212</v>
          </cell>
          <cell r="C20060" t="str">
            <v>FINANCIERA CONFIANZA S. A.              4NC</v>
          </cell>
        </row>
        <row r="20061">
          <cell r="B20061" t="str">
            <v>51040109180213</v>
          </cell>
          <cell r="C20061" t="str">
            <v>FINANCIERA UNIVERSAL S. A.              4NC</v>
          </cell>
        </row>
        <row r="20062">
          <cell r="B20062" t="str">
            <v>51040109180214</v>
          </cell>
          <cell r="C20062" t="str">
            <v>FINANCIERA UNO S. A.                    4NC</v>
          </cell>
        </row>
        <row r="20063">
          <cell r="B20063" t="str">
            <v>51040109180215</v>
          </cell>
          <cell r="C20063" t="str">
            <v>FINANCIERA EFECTIVA S. A.               4NC</v>
          </cell>
        </row>
        <row r="20064">
          <cell r="B20064" t="str">
            <v>51040109180216</v>
          </cell>
          <cell r="C20064" t="str">
            <v>AMERIKA FINANCIERA S. A.                4NC</v>
          </cell>
        </row>
        <row r="20065">
          <cell r="B20065" t="str">
            <v>51040109180299</v>
          </cell>
          <cell r="C20065" t="str">
            <v>FINANCIERAS EN LIQUIDACIÃ“N             4NC</v>
          </cell>
        </row>
        <row r="20066">
          <cell r="B20066" t="str">
            <v>51040109180301</v>
          </cell>
          <cell r="C20066" t="str">
            <v>CAJA MUNICIPAL DE AHORRO YCREDITO DE SUL4NC</v>
          </cell>
        </row>
        <row r="20067">
          <cell r="B20067" t="str">
            <v>51040109180302</v>
          </cell>
          <cell r="C20067" t="str">
            <v>CAJA MUNICIPALDE CREDITO POPULAR DE LIMA4NC</v>
          </cell>
        </row>
        <row r="20068">
          <cell r="B20068" t="str">
            <v>51040109180303</v>
          </cell>
          <cell r="C20068" t="str">
            <v>CAJA MUNICIPAL DE AHORRO YCREDITO DE PIU4NC</v>
          </cell>
        </row>
        <row r="20069">
          <cell r="B20069" t="str">
            <v>51040109180304</v>
          </cell>
          <cell r="C20069" t="str">
            <v>CAJA MUNICIPAL DE AHORRO YCREDITO DE ARE4NC</v>
          </cell>
        </row>
        <row r="20070">
          <cell r="B20070" t="str">
            <v>51040109180305</v>
          </cell>
          <cell r="C20070" t="str">
            <v>CAJA MUNICIPAL DE AHORRO YCREDITO DE HUA4NC</v>
          </cell>
        </row>
        <row r="20071">
          <cell r="B20071" t="str">
            <v>51040109180306</v>
          </cell>
          <cell r="C20071" t="str">
            <v>CAJA MUNICIPAL DE AHORRO YCREDITO CUSCO 4NC</v>
          </cell>
        </row>
        <row r="20072">
          <cell r="B20072" t="str">
            <v>51040109180307</v>
          </cell>
          <cell r="C20072" t="str">
            <v>CAJA MUNICIPAL DE AHORRO YCREDITO DE MAY4NC</v>
          </cell>
        </row>
        <row r="20073">
          <cell r="B20073" t="str">
            <v>51040109180308</v>
          </cell>
          <cell r="C20073" t="str">
            <v>CAJA MUNICIPAL DE AHORRO YCREDITO DE ICA4NC</v>
          </cell>
        </row>
        <row r="20074">
          <cell r="B20074" t="str">
            <v>51040109180309</v>
          </cell>
          <cell r="C20074" t="str">
            <v>CAJA MUNICIPAL DE AHORRO YCREDITO DE PAI4NC</v>
          </cell>
        </row>
        <row r="20075">
          <cell r="B20075" t="str">
            <v>51040109180310</v>
          </cell>
          <cell r="C20075" t="str">
            <v>CAJA MUNICIPAL DE AHORRO YCREDITO DEL SA4NC</v>
          </cell>
        </row>
        <row r="20076">
          <cell r="B20076" t="str">
            <v>51040109180311</v>
          </cell>
          <cell r="C20076" t="str">
            <v>CAJA MUNICIPAL DE AHORRO YCREDITO DE TRU4NC</v>
          </cell>
        </row>
        <row r="20077">
          <cell r="B20077" t="str">
            <v>51040109180312</v>
          </cell>
          <cell r="C20077" t="str">
            <v>CAJA MUNICIPAL DE AHORRO YCREDITO DE TAC4NC</v>
          </cell>
        </row>
        <row r="20078">
          <cell r="B20078" t="str">
            <v>51040109180313</v>
          </cell>
          <cell r="C20078" t="str">
            <v>CAJA MUNICIPAL DE AHORRO YCREDITO DE PIS4NC</v>
          </cell>
        </row>
        <row r="20079">
          <cell r="B20079" t="str">
            <v>51040109180399</v>
          </cell>
          <cell r="C20079" t="str">
            <v>CAJAS MUNICIPALES DE AHORRO YCREDITO EN 4NC</v>
          </cell>
        </row>
        <row r="20080">
          <cell r="B20080" t="str">
            <v>51040109180403</v>
          </cell>
          <cell r="C20080" t="str">
            <v>CAJA RURAL DE AHORRO YCREDITO QUILLABAMB4NC</v>
          </cell>
        </row>
        <row r="20081">
          <cell r="B20081" t="str">
            <v>51040109180405</v>
          </cell>
          <cell r="C20081" t="str">
            <v>CAJA RURAL DE AHORRO YCREDITO LOS LIBERT4NC</v>
          </cell>
        </row>
        <row r="20082">
          <cell r="B20082" t="str">
            <v>51040109180406</v>
          </cell>
          <cell r="C20082" t="str">
            <v>CAJA RURAL DE AHORRO YCREDITO SEÃ‘OR DE 4NC</v>
          </cell>
        </row>
        <row r="20083">
          <cell r="B20083" t="str">
            <v>51040109180407</v>
          </cell>
          <cell r="C20083" t="str">
            <v>CAJA RURAL DE AHORRO YCREDITO CHAVÃN S.4NC</v>
          </cell>
        </row>
        <row r="20084">
          <cell r="B20084" t="str">
            <v>51040109180408</v>
          </cell>
          <cell r="C20084" t="str">
            <v>CAJA RURAL DE AHORRO YCREDITO NUESTRA GE4NC</v>
          </cell>
        </row>
        <row r="20085">
          <cell r="B20085" t="str">
            <v>51040109180409</v>
          </cell>
          <cell r="C20085" t="str">
            <v>CAJA RURAL DE AHORRO YCREDITO CAJAMARCA 4NC</v>
          </cell>
        </row>
        <row r="20086">
          <cell r="B20086" t="str">
            <v>51040109180410</v>
          </cell>
          <cell r="C20086" t="str">
            <v>CAJA RURAL DE AHORRO YCREDITO PROFINANZA4NC</v>
          </cell>
        </row>
        <row r="20087">
          <cell r="B20087" t="str">
            <v>51040109180412</v>
          </cell>
          <cell r="C20087" t="str">
            <v>CAJA RURAL DE AHORRO YCREDITO SIPÃN S. 4NC</v>
          </cell>
        </row>
        <row r="20088">
          <cell r="B20088" t="str">
            <v>51040109180414</v>
          </cell>
          <cell r="C20088" t="str">
            <v>CAJA RURAL DE AHORRO YCREDITO PRYMERA S.4NC</v>
          </cell>
        </row>
        <row r="20089">
          <cell r="B20089" t="str">
            <v>51040109180415</v>
          </cell>
          <cell r="C20089" t="str">
            <v>CAJA RURAL DE AHORRO YCREDITO LOS ANDES 4NC</v>
          </cell>
        </row>
        <row r="20090">
          <cell r="B20090" t="str">
            <v>51040109180499</v>
          </cell>
          <cell r="C20090" t="str">
            <v>CAJAS RURALES DE AHORRO YCREDITO EN LIQU4NC</v>
          </cell>
        </row>
        <row r="20091">
          <cell r="B20091" t="str">
            <v>51040109180503</v>
          </cell>
          <cell r="C20091" t="str">
            <v>PROEMPRESA S. A.                        4NC</v>
          </cell>
        </row>
        <row r="20092">
          <cell r="B20092" t="str">
            <v>51040109180506</v>
          </cell>
          <cell r="C20092" t="str">
            <v>NUEVA VISIÃ“N S. A.                     4NC</v>
          </cell>
        </row>
        <row r="20093">
          <cell r="B20093" t="str">
            <v>51040109180508</v>
          </cell>
          <cell r="C20093" t="str">
            <v>RAIZ S. A.                              4NC</v>
          </cell>
        </row>
        <row r="20094">
          <cell r="B20094" t="str">
            <v>51040109180510</v>
          </cell>
          <cell r="C20094" t="str">
            <v>SOLIDARIDAD S. A.                       4NC</v>
          </cell>
        </row>
        <row r="20095">
          <cell r="B20095" t="str">
            <v>51040109180511</v>
          </cell>
          <cell r="C20095" t="str">
            <v>CREDIVISIÃ“N S. A.                      4NC</v>
          </cell>
        </row>
        <row r="20096">
          <cell r="B20096" t="str">
            <v>51040109180512</v>
          </cell>
          <cell r="C20096" t="str">
            <v>ACCESO CREDITICIO S. A.                 4NC</v>
          </cell>
        </row>
        <row r="20097">
          <cell r="B20097" t="str">
            <v>51040109180514</v>
          </cell>
          <cell r="C20097" t="str">
            <v>ALTERNATIVA S. A.                       4NC</v>
          </cell>
        </row>
        <row r="20098">
          <cell r="B20098" t="str">
            <v>51040109180515</v>
          </cell>
          <cell r="C20098" t="str">
            <v>PRONEGOCIOS S. A.                       4NC</v>
          </cell>
        </row>
        <row r="20099">
          <cell r="B20099" t="str">
            <v>51040109180516</v>
          </cell>
          <cell r="C20099" t="str">
            <v>MICASITA S. A.                          4NC</v>
          </cell>
        </row>
        <row r="20100">
          <cell r="B20100" t="str">
            <v>51040109180517</v>
          </cell>
          <cell r="C20100" t="str">
            <v>CREDIJET DEL PERU S. A.                 4NC</v>
          </cell>
        </row>
        <row r="20101">
          <cell r="B20101" t="str">
            <v>51040109180599</v>
          </cell>
          <cell r="C20101" t="str">
            <v>EDPYMES EN LIQUIDACIÃ“N                 4NC</v>
          </cell>
        </row>
        <row r="20102">
          <cell r="B20102" t="str">
            <v>51040109180710</v>
          </cell>
          <cell r="C20102" t="str">
            <v>LEASING TOTAL S. A.                     4NC</v>
          </cell>
        </row>
        <row r="20103">
          <cell r="B20103" t="str">
            <v>51040109180711</v>
          </cell>
          <cell r="C20103" t="str">
            <v>MITSUI - MASA LEASING S. A.             4NC</v>
          </cell>
        </row>
        <row r="20104">
          <cell r="B20104" t="str">
            <v>51040109180799</v>
          </cell>
          <cell r="C20104" t="str">
            <v>LEASING EN LIQUIDACIÃ“N                 4NC</v>
          </cell>
        </row>
        <row r="20105">
          <cell r="B20105" t="str">
            <v>51040109180801</v>
          </cell>
          <cell r="C20105" t="str">
            <v>FONDO DE GARANTÃA PARA PRSTAMOS A LA PE4NC</v>
          </cell>
        </row>
        <row r="20106">
          <cell r="B20106" t="str">
            <v>51040109181301</v>
          </cell>
          <cell r="C20106" t="str">
            <v>LA FIDUCIARIA S. A.                     4NC</v>
          </cell>
        </row>
        <row r="20107">
          <cell r="B20107" t="str">
            <v>51040109181302</v>
          </cell>
          <cell r="C20107" t="str">
            <v>FIDUCIARIA GBC S. A.                    4NC</v>
          </cell>
        </row>
        <row r="20108">
          <cell r="B20108" t="str">
            <v>51040109181401</v>
          </cell>
          <cell r="C20108" t="str">
            <v>FONDO MIVIVIENDA S. A.                  4NC</v>
          </cell>
        </row>
        <row r="20109">
          <cell r="B20109" t="str">
            <v>51040109181501</v>
          </cell>
          <cell r="C20109" t="str">
            <v>AMRICA FACTORING S. A.                  4NC</v>
          </cell>
        </row>
        <row r="20110">
          <cell r="B20110" t="str">
            <v>51040109181601</v>
          </cell>
          <cell r="C20110" t="str">
            <v>INCASA S. A.                            4NC</v>
          </cell>
        </row>
        <row r="20111">
          <cell r="B20111" t="str">
            <v>51040109181701</v>
          </cell>
          <cell r="C20111" t="str">
            <v>BANCOS DEL EXTERIOR                     4NC</v>
          </cell>
        </row>
        <row r="20112">
          <cell r="B20112" t="str">
            <v>51040109181702</v>
          </cell>
          <cell r="C20112" t="str">
            <v>OTRAS EMPRESAS DEL SISTEMA FINANCIERO DE4NC</v>
          </cell>
        </row>
        <row r="20113">
          <cell r="B20113" t="str">
            <v>51040109990101</v>
          </cell>
          <cell r="C20113" t="str">
            <v>BANCO CENTRAL DE RESERVA DEL PERU       4NC</v>
          </cell>
        </row>
        <row r="20114">
          <cell r="B20114" t="str">
            <v>51040109990102</v>
          </cell>
          <cell r="C20114" t="str">
            <v>BANCO DE LA NACIÃ“N                     4NC</v>
          </cell>
        </row>
        <row r="20115">
          <cell r="B20115" t="str">
            <v>51040109990103</v>
          </cell>
          <cell r="C20115" t="str">
            <v>BANCODE CREDITO DEL PERU                4NC</v>
          </cell>
        </row>
        <row r="20116">
          <cell r="B20116" t="str">
            <v>51040109990104</v>
          </cell>
          <cell r="C20116" t="str">
            <v>BANCO INTERNACIONAL DEL PERU - INTERBANK4NC</v>
          </cell>
        </row>
        <row r="20117">
          <cell r="B20117" t="str">
            <v>51040109990105</v>
          </cell>
          <cell r="C20117" t="str">
            <v>SCOTIABANK PERU S. A. A.                4NC</v>
          </cell>
        </row>
        <row r="20118">
          <cell r="B20118" t="str">
            <v>51040109990106</v>
          </cell>
          <cell r="C20118" t="str">
            <v>BANCO CONTINENTAL                       4NC</v>
          </cell>
        </row>
        <row r="20119">
          <cell r="B20119" t="str">
            <v>51040109990108</v>
          </cell>
          <cell r="C20119" t="str">
            <v>BANCO DE COMERCIO                       4NC</v>
          </cell>
        </row>
        <row r="20120">
          <cell r="B20120" t="str">
            <v>51040109990109</v>
          </cell>
          <cell r="C20120" t="str">
            <v>IM INT AVANCE CTA BCO FINANCIERO        4NC</v>
          </cell>
        </row>
        <row r="20121">
          <cell r="B20121" t="str">
            <v>51040109990116</v>
          </cell>
          <cell r="C20121" t="str">
            <v>CITIBANK N. A.   SUCURSAL EN EL PERU DEL4NC</v>
          </cell>
        </row>
        <row r="20122">
          <cell r="B20122" t="str">
            <v>51040109990121</v>
          </cell>
          <cell r="C20122" t="str">
            <v>CL EX FACTO FORFAIT. INT GANA VIG CESF  4NC</v>
          </cell>
        </row>
        <row r="20123">
          <cell r="B20123" t="str">
            <v>51040109990128</v>
          </cell>
          <cell r="C20123" t="str">
            <v>CORPORACIÃ“N FINANCIERA DE DESARROLLO S.4NC</v>
          </cell>
        </row>
        <row r="20124">
          <cell r="B20124" t="str">
            <v>51040109990129</v>
          </cell>
          <cell r="C20124" t="str">
            <v>MIBANCO BANCO DE LA MICROEMPRESA - MIBAN4NC</v>
          </cell>
        </row>
        <row r="20125">
          <cell r="B20125" t="str">
            <v>51040109990131</v>
          </cell>
          <cell r="C20125" t="str">
            <v>BANCO AGROPECUARIO - AGROBANCO          4NC</v>
          </cell>
        </row>
        <row r="20126">
          <cell r="B20126" t="str">
            <v>51040109990132</v>
          </cell>
          <cell r="C20126" t="str">
            <v>HSBC BANK PERU S. A.                    4NC</v>
          </cell>
        </row>
        <row r="20127">
          <cell r="B20127" t="str">
            <v>51040109990133</v>
          </cell>
          <cell r="C20127" t="str">
            <v>BANCO FALABELLA DEL PERU                4NC</v>
          </cell>
        </row>
        <row r="20128">
          <cell r="B20128" t="str">
            <v>51040109990134</v>
          </cell>
          <cell r="C20128" t="str">
            <v>BANCO SANTANDER PERU S. A.              4NC</v>
          </cell>
        </row>
        <row r="20129">
          <cell r="B20129" t="str">
            <v>51040109990135</v>
          </cell>
          <cell r="C20129" t="str">
            <v>BANCO RIPLEY S. A.                      4NC</v>
          </cell>
        </row>
        <row r="20130">
          <cell r="B20130" t="str">
            <v>51040109990136</v>
          </cell>
          <cell r="C20130" t="str">
            <v>BANCO AZTECA DEL PERU S. A.             4NC</v>
          </cell>
        </row>
        <row r="20131">
          <cell r="B20131" t="str">
            <v>51040109990137</v>
          </cell>
          <cell r="C20131" t="str">
            <v>DEUTSCHE BANK (PERU) S. A.              4NC</v>
          </cell>
        </row>
        <row r="20132">
          <cell r="B20132" t="str">
            <v>51040109990199</v>
          </cell>
          <cell r="C20132" t="str">
            <v>BANCOS EN LIQUIDACIÃ“N                  4NC</v>
          </cell>
        </row>
        <row r="20133">
          <cell r="B20133" t="str">
            <v>51040109990203</v>
          </cell>
          <cell r="C20133" t="str">
            <v>SOLUCIÃ“N FINANCIERADE CREDITO DEL PERU 4NC</v>
          </cell>
        </row>
        <row r="20134">
          <cell r="B20134" t="str">
            <v>51040109990207</v>
          </cell>
          <cell r="C20134" t="str">
            <v>FINANCIERA TFC S. A.                    4NC</v>
          </cell>
        </row>
        <row r="20135">
          <cell r="B20135" t="str">
            <v>51040109990209</v>
          </cell>
          <cell r="C20135" t="str">
            <v>FINANCIERA EDYFICAR S. A.               4NC</v>
          </cell>
        </row>
        <row r="20136">
          <cell r="B20136" t="str">
            <v>51040109990210</v>
          </cell>
          <cell r="C20136" t="str">
            <v>CREDISCOTIA FINANCIERA S. A.            4NC</v>
          </cell>
        </row>
        <row r="20137">
          <cell r="B20137" t="str">
            <v>51040109990211</v>
          </cell>
          <cell r="C20137" t="str">
            <v>FINANCIERA CREAR S. A.                  4NC</v>
          </cell>
        </row>
        <row r="20138">
          <cell r="B20138" t="str">
            <v>51040109990212</v>
          </cell>
          <cell r="C20138" t="str">
            <v>FINANCIERA CONFIANZA S. A.              4NC</v>
          </cell>
        </row>
        <row r="20139">
          <cell r="B20139" t="str">
            <v>51040109990213</v>
          </cell>
          <cell r="C20139" t="str">
            <v>FINANCIERA UNIVERSAL S. A.              4NC</v>
          </cell>
        </row>
        <row r="20140">
          <cell r="B20140" t="str">
            <v>51040109990214</v>
          </cell>
          <cell r="C20140" t="str">
            <v>FINANCIERA UNO S. A.                    4NC</v>
          </cell>
        </row>
        <row r="20141">
          <cell r="B20141" t="str">
            <v>51040109990215</v>
          </cell>
          <cell r="C20141" t="str">
            <v>FINANCIERA EFECTIVA S. A.               4NC</v>
          </cell>
        </row>
        <row r="20142">
          <cell r="B20142" t="str">
            <v>51040109990216</v>
          </cell>
          <cell r="C20142" t="str">
            <v>AMERIKA FINANCIERA S. A.                4NC</v>
          </cell>
        </row>
        <row r="20143">
          <cell r="B20143" t="str">
            <v>51040109990218</v>
          </cell>
          <cell r="C20143" t="str">
            <v>FINANCIERA PROEMPRESA S.A               4NC</v>
          </cell>
        </row>
        <row r="20144">
          <cell r="B20144" t="str">
            <v>51040109990299</v>
          </cell>
          <cell r="C20144" t="str">
            <v>FINANCIERAS EN LIQUIDACIÃ“N             4NC</v>
          </cell>
        </row>
        <row r="20145">
          <cell r="B20145" t="str">
            <v>51040109990301</v>
          </cell>
          <cell r="C20145" t="str">
            <v>GARANTIA LEASING BIENES  MUEBLES        4NC</v>
          </cell>
        </row>
        <row r="20146">
          <cell r="B20146" t="str">
            <v>51040109990302</v>
          </cell>
          <cell r="C20146" t="str">
            <v>CAJA MUNICIPALDE CREDITO POPULAR DE LIMA4NC</v>
          </cell>
        </row>
        <row r="20147">
          <cell r="B20147" t="str">
            <v>51040109990303</v>
          </cell>
          <cell r="C20147" t="str">
            <v>CAJA MUNICIPAL DE AHORRO YCREDITO DE PIU4NC</v>
          </cell>
        </row>
        <row r="20148">
          <cell r="B20148" t="str">
            <v>51040109990304</v>
          </cell>
          <cell r="C20148" t="str">
            <v>CAJA MUNICIPAL DE AHORRO YCREDITO DE ARE4NC</v>
          </cell>
        </row>
        <row r="20149">
          <cell r="B20149" t="str">
            <v>51040109990305</v>
          </cell>
          <cell r="C20149" t="str">
            <v>CAJA MUNICIPAL DE AHORRO YCREDITO DE HUA4NC</v>
          </cell>
        </row>
        <row r="20150">
          <cell r="B20150" t="str">
            <v>51040109990306</v>
          </cell>
          <cell r="C20150" t="str">
            <v>CAJA MUNICIPAL DE AHORRO YCREDITO CUSCO 4NC</v>
          </cell>
        </row>
        <row r="20151">
          <cell r="B20151" t="str">
            <v>51040109990307</v>
          </cell>
          <cell r="C20151" t="str">
            <v>CAJA MUNICIPAL DE AHORRO YCREDITO DE MAY4NC</v>
          </cell>
        </row>
        <row r="20152">
          <cell r="B20152" t="str">
            <v>51040109990308</v>
          </cell>
          <cell r="C20152" t="str">
            <v>CAJA MUNICIPAL DE AHORRO YCREDITO DE ICA4NC</v>
          </cell>
        </row>
        <row r="20153">
          <cell r="B20153" t="str">
            <v>51040109990309</v>
          </cell>
          <cell r="C20153" t="str">
            <v>CAJA MUNICIPAL DE AHORRO YCREDITO DE PAI4NC</v>
          </cell>
        </row>
        <row r="20154">
          <cell r="B20154" t="str">
            <v>51040109990310</v>
          </cell>
          <cell r="C20154" t="str">
            <v>CAJA MUNICIPAL DE AHORRO YCREDITO DEL SA4NC</v>
          </cell>
        </row>
        <row r="20155">
          <cell r="B20155" t="str">
            <v>51040109990311</v>
          </cell>
          <cell r="C20155" t="str">
            <v>CAJA MUNICIPAL DE AHORRO YCREDITO DE TRU4NC</v>
          </cell>
        </row>
        <row r="20156">
          <cell r="B20156" t="str">
            <v>51040109990312</v>
          </cell>
          <cell r="C20156" t="str">
            <v>CAJA MUNICIPAL DE AHORRO YCREDITO DE TAC4NC</v>
          </cell>
        </row>
        <row r="20157">
          <cell r="B20157" t="str">
            <v>51040109990313</v>
          </cell>
          <cell r="C20157" t="str">
            <v>IM INT AVANCE CTA BCO FINANCIER0        4NC</v>
          </cell>
        </row>
        <row r="20158">
          <cell r="B20158" t="str">
            <v>51040109990399</v>
          </cell>
          <cell r="C20158" t="str">
            <v>CAJAS MUNICIPALES DE AHORRO YCREDITO EN 4NC</v>
          </cell>
        </row>
        <row r="20159">
          <cell r="B20159" t="str">
            <v>51040109990403</v>
          </cell>
          <cell r="C20159" t="str">
            <v>CAJA RURAL DE AHORRO YCREDITO QUILLABAMB4NC</v>
          </cell>
        </row>
        <row r="20160">
          <cell r="B20160" t="str">
            <v>51040109990405</v>
          </cell>
          <cell r="C20160" t="str">
            <v>CAJA RURAL DE AHORRO YCREDITO LOS LIBERT4NC</v>
          </cell>
        </row>
        <row r="20161">
          <cell r="B20161" t="str">
            <v>51040109990406</v>
          </cell>
          <cell r="C20161" t="str">
            <v>CAJA RURAL DE AHORRO YCREDITO SEÃ‘OR DE 4NC</v>
          </cell>
        </row>
        <row r="20162">
          <cell r="B20162" t="str">
            <v>51040109990407</v>
          </cell>
          <cell r="C20162" t="str">
            <v>CAJA RURAL DE AHORRO YCREDITO CHAVÃN S.4NC</v>
          </cell>
        </row>
        <row r="20163">
          <cell r="B20163" t="str">
            <v>51040109990408</v>
          </cell>
          <cell r="C20163" t="str">
            <v>CAJA RURAL DE AHORRO YCREDITO NUESTRA GE4NC</v>
          </cell>
        </row>
        <row r="20164">
          <cell r="B20164" t="str">
            <v>51040109990409</v>
          </cell>
          <cell r="C20164" t="str">
            <v>CAJA RURAL DE AHORRO YCREDITO CAJAMARCA 4NC</v>
          </cell>
        </row>
        <row r="20165">
          <cell r="B20165" t="str">
            <v>51040109990410</v>
          </cell>
          <cell r="C20165" t="str">
            <v>CAJA RURAL DE AHORRO YCREDITO PROFINANZA4NC</v>
          </cell>
        </row>
        <row r="20166">
          <cell r="B20166" t="str">
            <v>51040109990412</v>
          </cell>
          <cell r="C20166" t="str">
            <v>CAJA RURAL DE AHORRO YCREDITO SIPÃN S. 4NC</v>
          </cell>
        </row>
        <row r="20167">
          <cell r="B20167" t="str">
            <v>51040109990414</v>
          </cell>
          <cell r="C20167" t="str">
            <v>CAJA RURAL DE AHORRO YCREDITO PRYMERA S.4NC</v>
          </cell>
        </row>
        <row r="20168">
          <cell r="B20168" t="str">
            <v>51040109990415</v>
          </cell>
          <cell r="C20168" t="str">
            <v>CAJA RURAL DE AHORRO YCREDITO LOS ANDES 4NC</v>
          </cell>
        </row>
        <row r="20169">
          <cell r="B20169" t="str">
            <v>51040109990499</v>
          </cell>
          <cell r="C20169" t="str">
            <v>CAJAS RURALES DE AHORRO YCREDITO EN LIQU4NC</v>
          </cell>
        </row>
        <row r="20170">
          <cell r="B20170" t="str">
            <v>51040109990501</v>
          </cell>
          <cell r="C20170" t="str">
            <v>PR Forfaiting ExportaciÃ³n Int Gana Vig 4NC</v>
          </cell>
        </row>
        <row r="20171">
          <cell r="B20171" t="str">
            <v>51040109990503</v>
          </cell>
          <cell r="C20171" t="str">
            <v>PROEMPRESA S. A.                        4NC</v>
          </cell>
        </row>
        <row r="20172">
          <cell r="B20172" t="str">
            <v>51040109990504</v>
          </cell>
          <cell r="C20172" t="str">
            <v>FCD FACT INTER EXPO. INT VIG DUPE CESF  4NC</v>
          </cell>
        </row>
        <row r="20173">
          <cell r="B20173" t="str">
            <v>51040109990505</v>
          </cell>
          <cell r="C20173" t="str">
            <v>FCD FORFAITING EXPO INT GANA VIG DUPE  C4NC</v>
          </cell>
        </row>
        <row r="20174">
          <cell r="B20174" t="str">
            <v>51040109990506</v>
          </cell>
          <cell r="C20174" t="str">
            <v>NUEVA VISIÃ“N S. A.                     4NC</v>
          </cell>
        </row>
        <row r="20175">
          <cell r="B20175" t="str">
            <v>51040109990507</v>
          </cell>
          <cell r="C20175" t="str">
            <v>FCD CONFIRMING INTERNACIONAL. INT VIG DU4NC</v>
          </cell>
        </row>
        <row r="20176">
          <cell r="B20176" t="str">
            <v>51040109990508</v>
          </cell>
          <cell r="C20176" t="str">
            <v>RAIZ S. A.                              4NC</v>
          </cell>
        </row>
        <row r="20177">
          <cell r="B20177" t="str">
            <v>51040109990510</v>
          </cell>
          <cell r="C20177" t="str">
            <v>SOLIDARIDAD S. A.                       4NC</v>
          </cell>
        </row>
        <row r="20178">
          <cell r="B20178" t="str">
            <v>51040109990511</v>
          </cell>
          <cell r="C20178" t="str">
            <v>CREDIVISIÃ“N S. A.                      4NC</v>
          </cell>
        </row>
        <row r="20179">
          <cell r="B20179" t="str">
            <v>51040109990512</v>
          </cell>
          <cell r="C20179" t="str">
            <v>ACCESO CREDITICIO S. A.                 4NC</v>
          </cell>
        </row>
        <row r="20180">
          <cell r="B20180" t="str">
            <v>51040109990514</v>
          </cell>
          <cell r="C20180" t="str">
            <v>ALTERNATIVA S. A.                       4NC</v>
          </cell>
        </row>
        <row r="20181">
          <cell r="B20181" t="str">
            <v>51040109990515</v>
          </cell>
          <cell r="C20181" t="str">
            <v>PRONEGOCIOS S. A.                       4NC</v>
          </cell>
        </row>
        <row r="20182">
          <cell r="B20182" t="str">
            <v>51040109990516</v>
          </cell>
          <cell r="C20182" t="str">
            <v>MICASITA S. A.                          4NC</v>
          </cell>
        </row>
        <row r="20183">
          <cell r="B20183" t="str">
            <v>51040109990517</v>
          </cell>
          <cell r="C20183" t="str">
            <v>CREDIJET DEL PERU S. A.                 4NC</v>
          </cell>
        </row>
        <row r="20184">
          <cell r="B20184" t="str">
            <v>51040109990599</v>
          </cell>
          <cell r="C20184" t="str">
            <v>EDPYMES EN LIQUIDACIÃ“N                 4NC</v>
          </cell>
        </row>
        <row r="20185">
          <cell r="B20185" t="str">
            <v>51040109990710</v>
          </cell>
          <cell r="C20185" t="str">
            <v>LEASING TOTAL S. A.                     4NC</v>
          </cell>
        </row>
        <row r="20186">
          <cell r="B20186" t="str">
            <v>51040109990711</v>
          </cell>
          <cell r="C20186" t="str">
            <v>MITSUI - MASA LEASING S. A.             4NC</v>
          </cell>
        </row>
        <row r="20187">
          <cell r="B20187" t="str">
            <v>51040109990799</v>
          </cell>
          <cell r="C20187" t="str">
            <v>LEASING EN LIQUIDACIÃ“N                 4NC</v>
          </cell>
        </row>
        <row r="20188">
          <cell r="B20188" t="str">
            <v>51040109990801</v>
          </cell>
          <cell r="C20188" t="str">
            <v>FONDO DE GARANTÃA PARA PRSTAMOS A LA PE4NC</v>
          </cell>
        </row>
        <row r="20189">
          <cell r="B20189" t="str">
            <v>51040109991301</v>
          </cell>
          <cell r="C20189" t="str">
            <v>LA FIDUCIARIA S. A.                     4NC</v>
          </cell>
        </row>
        <row r="20190">
          <cell r="B20190" t="str">
            <v>51040109991302</v>
          </cell>
          <cell r="C20190" t="str">
            <v>FIDUCIARIA GBC S. A.                    4NC</v>
          </cell>
        </row>
        <row r="20191">
          <cell r="B20191" t="str">
            <v>51040109991401</v>
          </cell>
          <cell r="C20191" t="str">
            <v>FONDO MIVIVIENDA S. A.                  4NC</v>
          </cell>
        </row>
        <row r="20192">
          <cell r="B20192" t="str">
            <v>51040109991501</v>
          </cell>
          <cell r="C20192" t="str">
            <v>AMRICA FACTORING S. A.                  4NC</v>
          </cell>
        </row>
        <row r="20193">
          <cell r="B20193" t="str">
            <v>51040109991601</v>
          </cell>
          <cell r="C20193" t="str">
            <v>INCASA S. A.                            4NC</v>
          </cell>
        </row>
        <row r="20194">
          <cell r="B20194" t="str">
            <v>51040109991701</v>
          </cell>
          <cell r="C20194" t="str">
            <v>LPC INT CRÃ‰DITOS BCO DEL EXTERIOR      4NC</v>
          </cell>
        </row>
        <row r="20195">
          <cell r="B20195" t="str">
            <v>51040109991702</v>
          </cell>
          <cell r="C20195" t="str">
            <v>OTRAS EMPRESAS DEL SISTEMA FINANCIERO DE4NC</v>
          </cell>
        </row>
        <row r="20196">
          <cell r="B20196" t="str">
            <v>51040110010101</v>
          </cell>
          <cell r="C20196" t="str">
            <v>IM INT AVANCE CTA CTE CCOR              4NC</v>
          </cell>
        </row>
        <row r="20197">
          <cell r="B20197" t="str">
            <v>51040110010102</v>
          </cell>
          <cell r="C20197" t="str">
            <v>LPC AVA CUENT  INT GAN NORM CCOR        4NC</v>
          </cell>
        </row>
        <row r="20198">
          <cell r="B20198" t="str">
            <v>51040110010103</v>
          </cell>
          <cell r="C20198" t="str">
            <v>LPC AVA CUENT  INT GAN DUPE CCOR        4NC</v>
          </cell>
        </row>
        <row r="20199">
          <cell r="B20199" t="str">
            <v>51040110010104</v>
          </cell>
          <cell r="C20199" t="str">
            <v>IM INT AVANCE CTA CTE CCOR              4NC</v>
          </cell>
        </row>
        <row r="20200">
          <cell r="B20200" t="str">
            <v>51040110020101</v>
          </cell>
          <cell r="C20200" t="str">
            <v>TC INT CDEUDA PAR AMEX CCOR             4NC</v>
          </cell>
        </row>
        <row r="20201">
          <cell r="B20201" t="str">
            <v>51040110020102</v>
          </cell>
          <cell r="C20201" t="str">
            <v>TC INT CDEUDA REV AMEX CCOR             4NC</v>
          </cell>
        </row>
        <row r="20202">
          <cell r="B20202" t="str">
            <v>51040110020103</v>
          </cell>
          <cell r="C20202" t="str">
            <v>TC INT CUOTAS AMEX CCOR                 4NC</v>
          </cell>
        </row>
        <row r="20203">
          <cell r="B20203" t="str">
            <v>51040110020104</v>
          </cell>
          <cell r="C20203" t="str">
            <v>TC INT EXTRACASH AMEX CCOR              4NC</v>
          </cell>
        </row>
        <row r="20204">
          <cell r="B20204" t="str">
            <v>51040110020105</v>
          </cell>
          <cell r="C20204" t="str">
            <v>TC INT REPROG PAR AMEX CCOR             4NC</v>
          </cell>
        </row>
        <row r="20205">
          <cell r="B20205" t="str">
            <v>51040110020106</v>
          </cell>
          <cell r="C20205" t="str">
            <v>TC INT REPROG REV AMEX CCOR             4NC</v>
          </cell>
        </row>
        <row r="20206">
          <cell r="B20206" t="str">
            <v>51040110020107</v>
          </cell>
          <cell r="C20206" t="str">
            <v>TC INT REV AMEX CCOR                    4NC</v>
          </cell>
        </row>
        <row r="20207">
          <cell r="B20207" t="str">
            <v>51040110020108</v>
          </cell>
          <cell r="C20207" t="str">
            <v>TC INT CDEUDA PAR MC CCOR               4NC</v>
          </cell>
        </row>
        <row r="20208">
          <cell r="B20208" t="str">
            <v>51040110020109</v>
          </cell>
          <cell r="C20208" t="str">
            <v>TC INT CDEUDA REV MC CCOR               4NC</v>
          </cell>
        </row>
        <row r="20209">
          <cell r="B20209" t="str">
            <v>51040110020110</v>
          </cell>
          <cell r="C20209" t="str">
            <v>TC INT CUOTAS MC CCOR                   4NC</v>
          </cell>
        </row>
        <row r="20210">
          <cell r="B20210" t="str">
            <v>51040110020111</v>
          </cell>
          <cell r="C20210" t="str">
            <v>TC INT EXTRACASH MC CCOR                4NC</v>
          </cell>
        </row>
        <row r="20211">
          <cell r="B20211" t="str">
            <v>51040110020112</v>
          </cell>
          <cell r="C20211" t="str">
            <v>TC INT REPROG PAR MC CCOR               4NC</v>
          </cell>
        </row>
        <row r="20212">
          <cell r="B20212" t="str">
            <v>51040110020113</v>
          </cell>
          <cell r="C20212" t="str">
            <v>TC INT REPROG REV MC CCOR               4NC</v>
          </cell>
        </row>
        <row r="20213">
          <cell r="B20213" t="str">
            <v>51040110020114</v>
          </cell>
          <cell r="C20213" t="str">
            <v>TC INT REV MC CCOR                      4NC</v>
          </cell>
        </row>
        <row r="20214">
          <cell r="B20214" t="str">
            <v>51040110020115</v>
          </cell>
          <cell r="C20214" t="str">
            <v>TC INT CDEUDA PAR VISA CCOR             4NC</v>
          </cell>
        </row>
        <row r="20215">
          <cell r="B20215" t="str">
            <v>51040110020116</v>
          </cell>
          <cell r="C20215" t="str">
            <v>TC INT CDEUDA PAR VISA MEGAPLAZA CCOR   4NC</v>
          </cell>
        </row>
        <row r="20216">
          <cell r="B20216" t="str">
            <v>51040110020117</v>
          </cell>
          <cell r="C20216" t="str">
            <v>TC INT CDEUDA PAR VISA VEA CCOR         4NC</v>
          </cell>
        </row>
        <row r="20217">
          <cell r="B20217" t="str">
            <v>51040110020118</v>
          </cell>
          <cell r="C20217" t="str">
            <v>TC INT CDEUDA REV VISA CCOR             4NC</v>
          </cell>
        </row>
        <row r="20218">
          <cell r="B20218" t="str">
            <v>51040110020119</v>
          </cell>
          <cell r="C20218" t="str">
            <v>TC INT CDEUDA REV VISA MEGAPLAZA CCOR   4NC</v>
          </cell>
        </row>
        <row r="20219">
          <cell r="B20219" t="str">
            <v>51040110020120</v>
          </cell>
          <cell r="C20219" t="str">
            <v>TC INT CDEUDA REV VISA VEA CCOR         4NC</v>
          </cell>
        </row>
        <row r="20220">
          <cell r="B20220" t="str">
            <v>51040110020121</v>
          </cell>
          <cell r="C20220" t="str">
            <v>TC INT CUOTAS VISA CCOR                 4NC</v>
          </cell>
        </row>
        <row r="20221">
          <cell r="B20221" t="str">
            <v>51040110020122</v>
          </cell>
          <cell r="C20221" t="str">
            <v>TC INT CUOTAS VISA MEGAPLAZA CCOR       4NC</v>
          </cell>
        </row>
        <row r="20222">
          <cell r="B20222" t="str">
            <v>51040110020123</v>
          </cell>
          <cell r="C20222" t="str">
            <v>TC INT CUOTAS VISA VEA CCOR             4NC</v>
          </cell>
        </row>
        <row r="20223">
          <cell r="B20223" t="str">
            <v>51040110020124</v>
          </cell>
          <cell r="C20223" t="str">
            <v>TC INT EXTRACASH VISA CCOR              4NC</v>
          </cell>
        </row>
        <row r="20224">
          <cell r="B20224" t="str">
            <v>51040110020125</v>
          </cell>
          <cell r="C20224" t="str">
            <v>TC INT EXTRACASH VISA MEGAPLAZA CCOR    4NC</v>
          </cell>
        </row>
        <row r="20225">
          <cell r="B20225" t="str">
            <v>51040110020126</v>
          </cell>
          <cell r="C20225" t="str">
            <v>TC INT EXTRACASH VISA VEA CCOR          4NC</v>
          </cell>
        </row>
        <row r="20226">
          <cell r="B20226" t="str">
            <v>51040110020127</v>
          </cell>
          <cell r="C20226" t="str">
            <v>TC INT REPROG PAR VISA CCOR             4NC</v>
          </cell>
        </row>
        <row r="20227">
          <cell r="B20227" t="str">
            <v>51040110020128</v>
          </cell>
          <cell r="C20227" t="str">
            <v>TC INT REPROG PAR VISA MEGAPLAZA CCOR   4NC</v>
          </cell>
        </row>
        <row r="20228">
          <cell r="B20228" t="str">
            <v>51040110020129</v>
          </cell>
          <cell r="C20228" t="str">
            <v>TC INT REPROG PAR VISA VEA CCOR         4NC</v>
          </cell>
        </row>
        <row r="20229">
          <cell r="B20229" t="str">
            <v>51040110020130</v>
          </cell>
          <cell r="C20229" t="str">
            <v>TC INT REPROG REV VISA CCOR             4NC</v>
          </cell>
        </row>
        <row r="20230">
          <cell r="B20230" t="str">
            <v>51040110020131</v>
          </cell>
          <cell r="C20230" t="str">
            <v>TC INT REPROG REV VISA MEGAPLAZA CCOR   4NC</v>
          </cell>
        </row>
        <row r="20231">
          <cell r="B20231" t="str">
            <v>51040110020132</v>
          </cell>
          <cell r="C20231" t="str">
            <v>TC INT REPROG REV VISA VEA CCOR         4NC</v>
          </cell>
        </row>
        <row r="20232">
          <cell r="B20232" t="str">
            <v>51040110020133</v>
          </cell>
          <cell r="C20232" t="str">
            <v>TC INT REV VISA CCOR                    4NC</v>
          </cell>
        </row>
        <row r="20233">
          <cell r="B20233" t="str">
            <v>51040110020134</v>
          </cell>
          <cell r="C20233" t="str">
            <v>TC INT REV VISA MEGAPLAZA CCOR          4NC</v>
          </cell>
        </row>
        <row r="20234">
          <cell r="B20234" t="str">
            <v>51040110020135</v>
          </cell>
          <cell r="C20234" t="str">
            <v>TC INT REV VISA VEA CCOR                4NC</v>
          </cell>
        </row>
        <row r="20235">
          <cell r="B20235" t="str">
            <v>51040110040101</v>
          </cell>
          <cell r="C20235" t="str">
            <v>IM INT SOBREGIRO CTA CTE CCOR           4NC</v>
          </cell>
        </row>
        <row r="20236">
          <cell r="B20236" t="str">
            <v>51040110050101</v>
          </cell>
          <cell r="C20236" t="str">
            <v>CL INT GANAD PAG DSCTO VIG CCOR         4NC</v>
          </cell>
        </row>
        <row r="20237">
          <cell r="B20237" t="str">
            <v>51040110050102</v>
          </cell>
          <cell r="C20237" t="str">
            <v>CL INT GAN PAG DSCTO D/P VIG CCOR       4NC</v>
          </cell>
        </row>
        <row r="20238">
          <cell r="B20238" t="str">
            <v>51040110050104</v>
          </cell>
          <cell r="C20238" t="str">
            <v>PR INT GANA VIG LETRAS T. DSCTOÂ  CCOR  4NC</v>
          </cell>
        </row>
        <row r="20239">
          <cell r="B20239" t="str">
            <v>51040110050105</v>
          </cell>
          <cell r="C20239" t="str">
            <v>FCD INT. GAN DSCTO ELECTR VIG DUD CCOR  4NC</v>
          </cell>
        </row>
        <row r="20240">
          <cell r="B20240" t="str">
            <v>51040110050106</v>
          </cell>
          <cell r="C20240" t="str">
            <v>FCD DESC. LET. I. VIG. CCOR DUPE        4NC</v>
          </cell>
        </row>
        <row r="20241">
          <cell r="B20241" t="str">
            <v>51040110050107</v>
          </cell>
          <cell r="C20241" t="str">
            <v>FCD DESC. FACT. I. VIG. CCOR DUPE       4NC</v>
          </cell>
        </row>
        <row r="20242">
          <cell r="B20242" t="str">
            <v>51040110050108</v>
          </cell>
          <cell r="C20242" t="str">
            <v>FCD DESC. VIRTUAL I. VIG. CCOR DUPE     4NC</v>
          </cell>
        </row>
        <row r="20243">
          <cell r="B20243" t="str">
            <v>51040110050109</v>
          </cell>
          <cell r="C20243" t="str">
            <v>FCD DESC. FACT. NEG. I. VIG. CCOR DUPE  4NC</v>
          </cell>
        </row>
        <row r="20244">
          <cell r="B20244" t="str">
            <v>51040110050110</v>
          </cell>
          <cell r="C20244" t="str">
            <v>FCD DESC. VIRTUAL I. VIG. CCOR NORMAL   4NC</v>
          </cell>
        </row>
        <row r="20245">
          <cell r="B20245" t="str">
            <v>51040110050111</v>
          </cell>
          <cell r="C20245" t="str">
            <v>LPC INT GAN PAG DSCTO VIGC CCOR         4NC</v>
          </cell>
        </row>
        <row r="20246">
          <cell r="B20246" t="str">
            <v>51040110050112</v>
          </cell>
          <cell r="C20246" t="str">
            <v>LPC INT GAN PAG DSCTO D/P VIGC CCOR     4NC</v>
          </cell>
        </row>
        <row r="20247">
          <cell r="B20247" t="str">
            <v>51040110050201</v>
          </cell>
          <cell r="C20247" t="str">
            <v>FCD DSCTO ELECTR SM PERU I.VIG CCOR     4NC</v>
          </cell>
        </row>
        <row r="20248">
          <cell r="B20248" t="str">
            <v>51040110050202</v>
          </cell>
          <cell r="C20248" t="str">
            <v>FCD INT GANAD VIG LETRAS DSCTO  CCOR    4NC</v>
          </cell>
        </row>
        <row r="20249">
          <cell r="B20249" t="str">
            <v>51040110050203</v>
          </cell>
          <cell r="C20249" t="str">
            <v>PR INT GANAD VIG LTRA DSTO DP   CORP    4NC</v>
          </cell>
        </row>
        <row r="20250">
          <cell r="B20250" t="str">
            <v>51040110060101</v>
          </cell>
          <cell r="C20250" t="str">
            <v>LPC INT GAN VIG PAG TV  D/P CCOR        4NC</v>
          </cell>
        </row>
        <row r="20251">
          <cell r="B20251" t="str">
            <v>51040110060102</v>
          </cell>
          <cell r="C20251" t="str">
            <v>LPC INT GAN PAG TV VIGEN CCOR           4NC</v>
          </cell>
        </row>
        <row r="20252">
          <cell r="B20252" t="str">
            <v>51040110060103</v>
          </cell>
          <cell r="C20252" t="str">
            <v>LPC PTV  CAP COFIDE  SBS CCOR           4NC</v>
          </cell>
        </row>
        <row r="20253">
          <cell r="B20253" t="str">
            <v>51040110060104</v>
          </cell>
          <cell r="C20253" t="str">
            <v>LPC INT GAN VIG PAGTV COFIDE  D/P CCOR  4NC</v>
          </cell>
        </row>
        <row r="20254">
          <cell r="B20254" t="str">
            <v>51040110060105</v>
          </cell>
          <cell r="C20254" t="str">
            <v>LPC INT GAN PAG TV MED PLZ              4NC</v>
          </cell>
        </row>
        <row r="20255">
          <cell r="B20255" t="str">
            <v>51040110060106</v>
          </cell>
          <cell r="C20255" t="str">
            <v>LPC INT GAN PAG TV MED PLZ D/P          4NC</v>
          </cell>
        </row>
        <row r="20256">
          <cell r="B20256" t="str">
            <v>51040110060107</v>
          </cell>
          <cell r="C20256" t="str">
            <v>LPC INT GAN PAG TV INMOBILIARIO         4NC</v>
          </cell>
        </row>
        <row r="20257">
          <cell r="B20257" t="str">
            <v>51040110060108</v>
          </cell>
          <cell r="C20257" t="str">
            <v>LPC INT GAN PAG TV INMOBILIARIO D/P     4NC</v>
          </cell>
        </row>
        <row r="20258">
          <cell r="B20258" t="str">
            <v>51040110060109</v>
          </cell>
          <cell r="C20258" t="str">
            <v>LPC INT GAN PAG TV EUROS                4NC</v>
          </cell>
        </row>
        <row r="20259">
          <cell r="B20259" t="str">
            <v>51040110060110</v>
          </cell>
          <cell r="C20259" t="str">
            <v>LPC INT GAN PAG TV EUROS D/P            4NC</v>
          </cell>
        </row>
        <row r="20260">
          <cell r="B20260" t="str">
            <v>51040110060111</v>
          </cell>
          <cell r="C20260" t="str">
            <v>LPC INT GAN PAG REPROGRAMADO            4NC</v>
          </cell>
        </row>
        <row r="20261">
          <cell r="B20261" t="str">
            <v>51040110060112</v>
          </cell>
          <cell r="C20261" t="str">
            <v>LPC INT GAN PAG REPROGRAMADO NO REVOL D/4NC</v>
          </cell>
        </row>
        <row r="20262">
          <cell r="B20262" t="str">
            <v>51040110060151</v>
          </cell>
          <cell r="C20262" t="str">
            <v>LPC INT GAN PAG DERIVADOS VIG CCOR      4NC</v>
          </cell>
        </row>
        <row r="20263">
          <cell r="B20263" t="str">
            <v>51040110060152</v>
          </cell>
          <cell r="C20263" t="str">
            <v>LPC INT GAN VIG PAG DERIVADOS  D/P CCOR 4NC</v>
          </cell>
        </row>
        <row r="20264">
          <cell r="B20264" t="str">
            <v>51040110060201</v>
          </cell>
          <cell r="C20264" t="str">
            <v>CL INT DIFER GAN PAG TV D/P VIG CCOR    4NC</v>
          </cell>
        </row>
        <row r="20265">
          <cell r="B20265" t="str">
            <v>51040110060202</v>
          </cell>
          <cell r="C20265" t="str">
            <v>CL INT GAN PAG TV D/P  VIG CCOR         4NC</v>
          </cell>
        </row>
        <row r="20266">
          <cell r="B20266" t="str">
            <v>51040110060203</v>
          </cell>
          <cell r="C20266" t="str">
            <v>CL INT GAN FINANC DIF CCOR              4NC</v>
          </cell>
        </row>
        <row r="20267">
          <cell r="B20267" t="str">
            <v>51040110060204</v>
          </cell>
          <cell r="C20267" t="str">
            <v>CL INT GANAD TV CCOR                    4NC</v>
          </cell>
        </row>
        <row r="20268">
          <cell r="B20268" t="str">
            <v>51040110060205</v>
          </cell>
          <cell r="C20268" t="str">
            <v>CL INT.GAN PAG.TV NEG.INMOB VIG CCOR    4NC</v>
          </cell>
        </row>
        <row r="20269">
          <cell r="B20269" t="str">
            <v>51040110060206</v>
          </cell>
          <cell r="C20269" t="str">
            <v>CL INT. GAN OTROS SUSP DIF CCOR         4NC</v>
          </cell>
        </row>
        <row r="20270">
          <cell r="B20270" t="str">
            <v>51040110060207</v>
          </cell>
          <cell r="C20270" t="str">
            <v>CL INT GAN OTROS SUSP VIG CCOR          4NC</v>
          </cell>
        </row>
        <row r="20271">
          <cell r="B20271" t="str">
            <v>51040110060208</v>
          </cell>
          <cell r="C20271" t="str">
            <v>CL INT GANAD VIG PREST COFIDE CCOR      4NC</v>
          </cell>
        </row>
        <row r="20272">
          <cell r="B20272" t="str">
            <v>51040110060209</v>
          </cell>
          <cell r="C20272" t="str">
            <v>CL INT.GAN.DEUD.VTA.CART.VIG CCOR       4NC</v>
          </cell>
        </row>
        <row r="20273">
          <cell r="B20273" t="str">
            <v>51040110061012</v>
          </cell>
          <cell r="C20273" t="str">
            <v>LPC MAPFRE PERU CIA DE SEGUROS Y REASEGU4NC</v>
          </cell>
        </row>
        <row r="20274">
          <cell r="B20274" t="str">
            <v>51040110061019</v>
          </cell>
          <cell r="C20274" t="str">
            <v>LPC REACTIVA PERU VIG CCOR\NORM         4NC</v>
          </cell>
        </row>
        <row r="20275">
          <cell r="B20275" t="str">
            <v>51040110061020</v>
          </cell>
          <cell r="C20275" t="str">
            <v>LPC REACTIVA PERU VIG CCOR\DUPE         4NC</v>
          </cell>
        </row>
        <row r="20276">
          <cell r="B20276" t="str">
            <v>51040110061021</v>
          </cell>
          <cell r="C20276" t="str">
            <v>LPC COFIDE FONDOS PERU VIG CCOR\NORM    4NC</v>
          </cell>
        </row>
        <row r="20277">
          <cell r="B20277" t="str">
            <v>51040110061022</v>
          </cell>
          <cell r="C20277" t="str">
            <v>LPC COFIDE FONDOS PERU VIG CCOR\DUPE    4NC</v>
          </cell>
        </row>
        <row r="20278">
          <cell r="B20278" t="str">
            <v>51040110061023</v>
          </cell>
          <cell r="C20278" t="str">
            <v>LPC COFIDE FONDO CRECER VIG CCOR\NORM   4NC</v>
          </cell>
        </row>
        <row r="20279">
          <cell r="B20279" t="str">
            <v>51040110061024</v>
          </cell>
          <cell r="C20279" t="str">
            <v>LPC REACTIVA PERU VIG CCOR\NORM         4NC</v>
          </cell>
        </row>
        <row r="20280">
          <cell r="B20280" t="str">
            <v>51040110061025</v>
          </cell>
          <cell r="C20280" t="str">
            <v>LPC REACTIVA PERU VIG CCOR\DUPE         4NC</v>
          </cell>
        </row>
        <row r="20281">
          <cell r="B20281" t="str">
            <v>51040110061029</v>
          </cell>
          <cell r="C20281" t="str">
            <v>LPC PAG MEDIANO PLAZO COVID-19 CCOR     4NC</v>
          </cell>
        </row>
        <row r="20282">
          <cell r="B20282" t="str">
            <v>51040110061030</v>
          </cell>
          <cell r="C20282" t="str">
            <v>LPC REPROG REACTIVA DIFE CCOR VIG       4 C</v>
          </cell>
        </row>
        <row r="20283">
          <cell r="B20283" t="str">
            <v>51040110061031</v>
          </cell>
          <cell r="C20283" t="str">
            <v>LPC REPROG REACTIVA DS.011-2022 CCOR NOR4 C</v>
          </cell>
        </row>
        <row r="20284">
          <cell r="B20284" t="str">
            <v>51040110061032</v>
          </cell>
          <cell r="C20284" t="str">
            <v>LPC REPROG REACTIVA DS.011-2022 CCOR DUP4 C</v>
          </cell>
        </row>
        <row r="20285">
          <cell r="B20285" t="str">
            <v>51040110061034</v>
          </cell>
          <cell r="C20285" t="str">
            <v>LPC RP MED PZ PREST VERDE-SOCIAL CCOR VI4 C</v>
          </cell>
        </row>
        <row r="20286">
          <cell r="B20286" t="str">
            <v>51040110061035</v>
          </cell>
          <cell r="C20286" t="str">
            <v>LPC RP MED PZ PREST VERDE-SOCIAL CCOR VI4 C</v>
          </cell>
        </row>
        <row r="20287">
          <cell r="B20287" t="str">
            <v>51040110061036</v>
          </cell>
          <cell r="C20287" t="str">
            <v>LPC RP MED PZ PREST SOSTENIBLE CCOR VIG 4 C</v>
          </cell>
        </row>
        <row r="20288">
          <cell r="B20288" t="str">
            <v>51040110061037</v>
          </cell>
          <cell r="C20288" t="str">
            <v>LPC RP MED PZ PREST SOSTENIBLE CCOR VIG 4 C</v>
          </cell>
        </row>
        <row r="20289">
          <cell r="B20289" t="str">
            <v>51040110061038</v>
          </cell>
          <cell r="C20289" t="str">
            <v>LPC REPROG REACTIVA 2023 VIG CCOR NORM  4 C</v>
          </cell>
        </row>
        <row r="20290">
          <cell r="B20290" t="str">
            <v>51040110061039</v>
          </cell>
          <cell r="C20290" t="str">
            <v>LPC REPROG REACTIVA 2023 VIG CCOR DUPE  4 C</v>
          </cell>
        </row>
        <row r="20291">
          <cell r="B20291" t="str">
            <v>51040110061040</v>
          </cell>
          <cell r="C20291" t="str">
            <v>LPC INT VIG IMPULSO MYPERU CORTO PLAZO C4 C</v>
          </cell>
        </row>
        <row r="20292">
          <cell r="B20292" t="str">
            <v>51040110061041</v>
          </cell>
          <cell r="C20292" t="str">
            <v>LPC INT VIG IMPULSO MYPERU MEDIANO PLAZO4 C</v>
          </cell>
        </row>
        <row r="20293">
          <cell r="B20293" t="str">
            <v>51040110061042</v>
          </cell>
          <cell r="C20293" t="str">
            <v>MYP INT  LINEA REVOL REUT.VI            4 C</v>
          </cell>
        </row>
        <row r="20294">
          <cell r="B20294" t="str">
            <v>51040110061043</v>
          </cell>
          <cell r="C20294" t="str">
            <v>MYP INT  CAP.TRAB.REUT.VIG.C            4 C</v>
          </cell>
        </row>
        <row r="20295">
          <cell r="B20295" t="str">
            <v>51040110061044</v>
          </cell>
          <cell r="C20295" t="str">
            <v>MYP INT  CODIFE FONDO CRECER            4 C</v>
          </cell>
        </row>
        <row r="20296">
          <cell r="B20296" t="str">
            <v>51040110061045</v>
          </cell>
          <cell r="C20296" t="str">
            <v>MYP INT  COFIDE REACTIVA PER            4 C</v>
          </cell>
        </row>
        <row r="20297">
          <cell r="B20297" t="str">
            <v>51040110061046</v>
          </cell>
          <cell r="C20297" t="str">
            <v>MYP INT  REACTIVA REPRO PERU            4 C</v>
          </cell>
        </row>
        <row r="20298">
          <cell r="B20298" t="str">
            <v>51040110061047</v>
          </cell>
          <cell r="C20298" t="str">
            <v>MYP INT  30K REACTIVA PERU R            4 C</v>
          </cell>
        </row>
        <row r="20299">
          <cell r="B20299" t="str">
            <v>51040110061048</v>
          </cell>
          <cell r="C20299" t="str">
            <v>MYP INT  CAPITAL DE TRABAJO             4 C</v>
          </cell>
        </row>
        <row r="20300">
          <cell r="B20300" t="str">
            <v>51040110061049</v>
          </cell>
          <cell r="C20300" t="str">
            <v>MYP INT  CAP.VIG CAP. TRAB.             4 C</v>
          </cell>
        </row>
        <row r="20301">
          <cell r="B20301" t="str">
            <v>51040110061050</v>
          </cell>
          <cell r="C20301" t="str">
            <v>LPC PAG PAPERLESS DERIVADOS REV/NR INT C4NC</v>
          </cell>
        </row>
        <row r="20302">
          <cell r="B20302" t="str">
            <v>51040110061051</v>
          </cell>
          <cell r="C20302" t="str">
            <v>LPC PAG PAPERLESS DERIVADOS REV/NR INT C4NC</v>
          </cell>
        </row>
        <row r="20303">
          <cell r="B20303" t="str">
            <v>51040110061052</v>
          </cell>
          <cell r="C20303" t="str">
            <v>CCD-BPE CAPITAL DE TRABAJO_CCOR VIG NORM4 C</v>
          </cell>
        </row>
        <row r="20304">
          <cell r="B20304" t="str">
            <v>51040110061053</v>
          </cell>
          <cell r="C20304" t="str">
            <v>CCD-BPE LINEA REVOLVENTE_CCOR VIG NORM  4 C</v>
          </cell>
        </row>
        <row r="20305">
          <cell r="B20305" t="str">
            <v>51040110061054</v>
          </cell>
          <cell r="C20305" t="str">
            <v>CCD-BPE LINEA REVOLVENTE_CCOR VIG DUPE  4 C</v>
          </cell>
        </row>
        <row r="20306">
          <cell r="B20306" t="str">
            <v>51040110061055</v>
          </cell>
          <cell r="C20306" t="str">
            <v>CCD-BPE CAP DE TRAB_CCOR_VIG            4 C</v>
          </cell>
        </row>
        <row r="20307">
          <cell r="B20307" t="str">
            <v>51040110100101</v>
          </cell>
          <cell r="C20307" t="str">
            <v>PR INT GAN COMP VIG LETRAS FACTORING CCO4NC</v>
          </cell>
        </row>
        <row r="20308">
          <cell r="B20308" t="str">
            <v>51040110100102</v>
          </cell>
          <cell r="C20308" t="str">
            <v>PR FACTORING DIFERIDOS CCOR             4NC</v>
          </cell>
        </row>
        <row r="20309">
          <cell r="B20309" t="str">
            <v>51040110100103</v>
          </cell>
          <cell r="C20309" t="str">
            <v>PR INT GAN COMP VIG FACT FACTORING CCOR 4NC</v>
          </cell>
        </row>
        <row r="20310">
          <cell r="B20310" t="str">
            <v>51040110100104</v>
          </cell>
          <cell r="C20310" t="str">
            <v>PR INT GAN FACTORING-FACT DIF CCOR      4NC</v>
          </cell>
        </row>
        <row r="20311">
          <cell r="B20311" t="str">
            <v>51040110100105</v>
          </cell>
          <cell r="C20311" t="str">
            <v>PR FACT ELECTR LET/FACT I.COMPENS CCOR  4NC</v>
          </cell>
        </row>
        <row r="20312">
          <cell r="B20312" t="str">
            <v>51040110100106</v>
          </cell>
          <cell r="C20312" t="str">
            <v>FCD FACT ELECTR LET/FACT I.DIF CCOR     4NC</v>
          </cell>
        </row>
        <row r="20313">
          <cell r="B20313" t="str">
            <v>51040110100107</v>
          </cell>
          <cell r="C20313" t="str">
            <v>PR FACTORING INTER. INT VIG CCOR        4NC</v>
          </cell>
        </row>
        <row r="20314">
          <cell r="B20314" t="str">
            <v>51040110100108</v>
          </cell>
          <cell r="C20314" t="str">
            <v>PR PERU FACTORING INT.COMPENS CCOR      4NC</v>
          </cell>
        </row>
        <row r="20315">
          <cell r="B20315" t="str">
            <v>51040110100109</v>
          </cell>
          <cell r="C20315" t="str">
            <v>PR PERU FACTORING INT.DIF CCOR          4NC</v>
          </cell>
        </row>
        <row r="20316">
          <cell r="B20316" t="str">
            <v>51040110100110</v>
          </cell>
          <cell r="C20316" t="str">
            <v>PR FORFAITING EXPORTACIÃ“N INT GANA VIG 4NC</v>
          </cell>
        </row>
        <row r="20317">
          <cell r="B20317" t="str">
            <v>51040110100111</v>
          </cell>
          <cell r="C20317" t="str">
            <v>FACT INTER IMPORT  VIG. CCOR DUPE       4NC</v>
          </cell>
        </row>
        <row r="20318">
          <cell r="B20318" t="str">
            <v>51040110100112</v>
          </cell>
          <cell r="C20318" t="str">
            <v>FACT INTER IMPORT   VIG. CCOR NORMAL    4NC</v>
          </cell>
        </row>
        <row r="20319">
          <cell r="B20319" t="str">
            <v>51040110100201</v>
          </cell>
          <cell r="C20319" t="str">
            <v>CL EX FACTORING FORFAITING INT.GAN.VIG C4NC</v>
          </cell>
        </row>
        <row r="20320">
          <cell r="B20320" t="str">
            <v>51040110100202</v>
          </cell>
          <cell r="C20320" t="str">
            <v>CL  CONFIRMING INTER INT.GAN.VIG CCOR   4NC</v>
          </cell>
        </row>
        <row r="20321">
          <cell r="B20321" t="str">
            <v>51040110100301</v>
          </cell>
          <cell r="C20321" t="str">
            <v>FCD FACT ELECTR DIF.DUDOSO CCOR         4NC</v>
          </cell>
        </row>
        <row r="20322">
          <cell r="B20322" t="str">
            <v>51040110100302</v>
          </cell>
          <cell r="C20322" t="str">
            <v>FCD FACT INTER EXPO. INT VIG NORM CCOR  4NC</v>
          </cell>
        </row>
        <row r="20323">
          <cell r="B20323" t="str">
            <v>51040110100303</v>
          </cell>
          <cell r="C20323" t="str">
            <v>FCD FORFAITING EXPO INT GANA VIG NORM  C4NC</v>
          </cell>
        </row>
        <row r="20324">
          <cell r="B20324" t="str">
            <v>51040110100304</v>
          </cell>
          <cell r="C20324" t="str">
            <v>FCD FACT INTER EXPO. INT VIG DUPE CCOR  4NC</v>
          </cell>
        </row>
        <row r="20325">
          <cell r="B20325" t="str">
            <v>51040110100305</v>
          </cell>
          <cell r="C20325" t="str">
            <v>FCD FORFAITING EXPO INT GANA VIG DUPE  C4NC</v>
          </cell>
        </row>
        <row r="20326">
          <cell r="B20326" t="str">
            <v>51040110100306</v>
          </cell>
          <cell r="C20326" t="str">
            <v>FCD CONFIRMING INTERNACIONAL. INT VIG NO4NC</v>
          </cell>
        </row>
        <row r="20327">
          <cell r="B20327" t="str">
            <v>51040110100307</v>
          </cell>
          <cell r="C20327" t="str">
            <v>FCD CONFIRMING INTERNACIONAL. INT VIG DU4NC</v>
          </cell>
        </row>
        <row r="20328">
          <cell r="B20328" t="str">
            <v>51040110100308</v>
          </cell>
          <cell r="C20328" t="str">
            <v>FCD fAC. FIS. LET. I. VIG. CCOR DUPE    4NC</v>
          </cell>
        </row>
        <row r="20329">
          <cell r="B20329" t="str">
            <v>51040110100309</v>
          </cell>
          <cell r="C20329" t="str">
            <v>FCD FAC. FIS. fAC.. I. VIG. CCOR DUPE   4NC</v>
          </cell>
        </row>
        <row r="20330">
          <cell r="B20330" t="str">
            <v>51040110110101</v>
          </cell>
          <cell r="C20330" t="str">
            <v>LPC INT VIG LEASING BIEN RP CCOR        4NC</v>
          </cell>
        </row>
        <row r="20331">
          <cell r="B20331" t="str">
            <v>51040110110102</v>
          </cell>
          <cell r="C20331" t="str">
            <v>LPC INT VIG LEASING SEG RP CCOR         4NC</v>
          </cell>
        </row>
        <row r="20332">
          <cell r="B20332" t="str">
            <v>51040110110103</v>
          </cell>
          <cell r="C20332" t="str">
            <v>LPC CIA SEGURO LEASING RP CCOR          4NC</v>
          </cell>
        </row>
        <row r="20333">
          <cell r="B20333" t="str">
            <v>51040110110201</v>
          </cell>
          <cell r="C20333" t="str">
            <v>LPC INT VIG LEAS BIEN D/P RP CCOR       4NC</v>
          </cell>
        </row>
        <row r="20334">
          <cell r="B20334" t="str">
            <v>51040110110202</v>
          </cell>
          <cell r="C20334" t="str">
            <v>LPC INT VIG LEASING SEG D/P RP CCOR     4NC</v>
          </cell>
        </row>
        <row r="20335">
          <cell r="B20335" t="str">
            <v>51040110110203</v>
          </cell>
          <cell r="C20335" t="str">
            <v>LPC CIA SEGURO LEAS D/P RP CCOR         4NC</v>
          </cell>
        </row>
        <row r="20336">
          <cell r="B20336" t="str">
            <v>51040110110301</v>
          </cell>
          <cell r="C20336" t="str">
            <v>LPC INT LEASING PRE CUOTAS CCOR         4NC</v>
          </cell>
        </row>
        <row r="20337">
          <cell r="B20337" t="str">
            <v>51040110110302</v>
          </cell>
          <cell r="C20337" t="str">
            <v>LPC INT VIG LS  BIEN OTROS SUSP RP CCOR 4NC</v>
          </cell>
        </row>
        <row r="20338">
          <cell r="B20338" t="str">
            <v>51040110110303</v>
          </cell>
          <cell r="C20338" t="str">
            <v>LPC INT VIG LS SEG OTROS SUSP RP CCOR   4NC</v>
          </cell>
        </row>
        <row r="20339">
          <cell r="B20339" t="str">
            <v>51040110110304</v>
          </cell>
          <cell r="C20339" t="str">
            <v>LPC CIA SEGURO LPC LS OTROS SUSP RP CCOR4NC</v>
          </cell>
        </row>
        <row r="20340">
          <cell r="B20340" t="str">
            <v>51040110110501</v>
          </cell>
          <cell r="C20340" t="str">
            <v>LPC ING VIG LSG BIEN ADJ. RP CCOR       4NC</v>
          </cell>
        </row>
        <row r="20341">
          <cell r="B20341" t="str">
            <v>51040110110502</v>
          </cell>
          <cell r="C20341" t="str">
            <v>LPC INT VIG LSG SEG. ADJ.RP CCOR        4NC</v>
          </cell>
        </row>
        <row r="20342">
          <cell r="B20342" t="str">
            <v>51040110110503</v>
          </cell>
          <cell r="C20342" t="str">
            <v>LPC CIA SEG LSG ADJ. RP V-S CCOR        4NC</v>
          </cell>
        </row>
        <row r="20343">
          <cell r="B20343" t="str">
            <v>51040110110504</v>
          </cell>
          <cell r="C20343" t="str">
            <v>LPC ING VIG LSG BIEN ADJ. D/P CCOR      4NC</v>
          </cell>
        </row>
        <row r="20344">
          <cell r="B20344" t="str">
            <v>51040110110505</v>
          </cell>
          <cell r="C20344" t="str">
            <v>LPC ING VIG LSG SEG. ADJ. D/P CCOR      4NC</v>
          </cell>
        </row>
        <row r="20345">
          <cell r="B20345" t="str">
            <v>51040110110506</v>
          </cell>
          <cell r="C20345" t="str">
            <v>LPC LS CIA SEGURO  D/P ADJ. CCOR        4NC</v>
          </cell>
        </row>
        <row r="20346">
          <cell r="B20346" t="str">
            <v>51040110110601</v>
          </cell>
          <cell r="C20346" t="str">
            <v>LPC INT VIG LEASING COFIDE IDL CCOR     4NC</v>
          </cell>
        </row>
        <row r="20347">
          <cell r="B20347" t="str">
            <v>51040110110602</v>
          </cell>
          <cell r="C20347" t="str">
            <v>LPC INT VIG LEASING COFIDE SEG IDS CCOR 4NC</v>
          </cell>
        </row>
        <row r="20348">
          <cell r="B20348" t="str">
            <v>51040110110603</v>
          </cell>
          <cell r="C20348" t="str">
            <v>LPC CIA SEGURO LEASING COFIDE ISG CCOR  4NC</v>
          </cell>
        </row>
        <row r="20349">
          <cell r="B20349" t="str">
            <v>51040110110604</v>
          </cell>
          <cell r="C20349" t="str">
            <v>LPC INT VIG LS COFIDE D/P IDL CCOR      4NC</v>
          </cell>
        </row>
        <row r="20350">
          <cell r="B20350" t="str">
            <v>51040110110605</v>
          </cell>
          <cell r="C20350" t="str">
            <v>LPC INT VIG LS COFIDE D/P IDS CCOR      4NC</v>
          </cell>
        </row>
        <row r="20351">
          <cell r="B20351" t="str">
            <v>51040110110606</v>
          </cell>
          <cell r="C20351" t="str">
            <v>LPC CIA SEGURO LS COFIDE D/P ISG CCOR   4NC</v>
          </cell>
        </row>
        <row r="20352">
          <cell r="B20352" t="str">
            <v>51040110110701</v>
          </cell>
          <cell r="C20352" t="str">
            <v>LPC INT VIG LEASING DERIVADO BIEN D/P RP4NC</v>
          </cell>
        </row>
        <row r="20353">
          <cell r="B20353" t="str">
            <v>51040110110702</v>
          </cell>
          <cell r="C20353" t="str">
            <v>LPC INT VIG LEASING DERIVADO BIEN RP CCO4NC</v>
          </cell>
        </row>
        <row r="20354">
          <cell r="B20354" t="str">
            <v>51040110110703</v>
          </cell>
          <cell r="C20354" t="str">
            <v>LPC INT VIG LEASING DERIVADO SEG D/P RP 4NC</v>
          </cell>
        </row>
        <row r="20355">
          <cell r="B20355" t="str">
            <v>51040110110704</v>
          </cell>
          <cell r="C20355" t="str">
            <v>LPC INT VIG LEASING DERIVADO SEG RP CCOR4NC</v>
          </cell>
        </row>
        <row r="20356">
          <cell r="B20356" t="str">
            <v>51040110120101</v>
          </cell>
          <cell r="C20356" t="str">
            <v>LPC INT VIG LSBACK BIEN D/P RP CCOR     4NC</v>
          </cell>
        </row>
        <row r="20357">
          <cell r="B20357" t="str">
            <v>51040110120102</v>
          </cell>
          <cell r="C20357" t="str">
            <v>LPC INT VIG LSBACK SEG D/P RP CCOR      4NC</v>
          </cell>
        </row>
        <row r="20358">
          <cell r="B20358" t="str">
            <v>51040110120103</v>
          </cell>
          <cell r="C20358" t="str">
            <v>LPC CIA SEGURO LSBACK D/P RP CCOR       4NC</v>
          </cell>
        </row>
        <row r="20359">
          <cell r="B20359" t="str">
            <v>51040110120104</v>
          </cell>
          <cell r="C20359" t="str">
            <v>LPC INT VIG LEASEBACK BIEN RP CCOR      4NC</v>
          </cell>
        </row>
        <row r="20360">
          <cell r="B20360" t="str">
            <v>51040110120105</v>
          </cell>
          <cell r="C20360" t="str">
            <v>LPC INT VIG LEASEBACK SEG RP CCOR       4NC</v>
          </cell>
        </row>
        <row r="20361">
          <cell r="B20361" t="str">
            <v>51040110120106</v>
          </cell>
          <cell r="C20361" t="str">
            <v>LPC CIA SEGURO LEASEBACK RP CCOR        4NC</v>
          </cell>
        </row>
        <row r="20362">
          <cell r="B20362" t="str">
            <v>51040110120201</v>
          </cell>
          <cell r="C20362" t="str">
            <v>LPC INT VIG LSB  BIEN OTROS SUSP CCOR   4NC</v>
          </cell>
        </row>
        <row r="20363">
          <cell r="B20363" t="str">
            <v>51040110120202</v>
          </cell>
          <cell r="C20363" t="str">
            <v>LPC INT VIG LSB SEG OTROS SUSP CCOR     4NC</v>
          </cell>
        </row>
        <row r="20364">
          <cell r="B20364" t="str">
            <v>51040110120203</v>
          </cell>
          <cell r="C20364" t="str">
            <v>LPC CIA SEGURO LPC LSB OTROS SUSP CCOR  4NC</v>
          </cell>
        </row>
        <row r="20365">
          <cell r="B20365" t="str">
            <v>51040110210101</v>
          </cell>
          <cell r="C20365" t="str">
            <v>CL CXL CC  X ACEPT INT GAN CCOR         4NC</v>
          </cell>
        </row>
        <row r="20366">
          <cell r="B20366" t="str">
            <v>51040110210102</v>
          </cell>
          <cell r="C20366" t="str">
            <v>CL CXL CC AVAL X ACEPT INT GAN CCOR     4NC</v>
          </cell>
        </row>
        <row r="20367">
          <cell r="B20367" t="str">
            <v>51040110210103</v>
          </cell>
          <cell r="C20367" t="str">
            <v>CL CXL CC AVAL BKT INT GAN CPEM         4NC</v>
          </cell>
        </row>
        <row r="20368">
          <cell r="B20368" t="str">
            <v>51040110210104</v>
          </cell>
          <cell r="C20368" t="str">
            <v>CL INT GANAD CXL CC CAR CRED VISTA CCOR 4NC</v>
          </cell>
        </row>
        <row r="20369">
          <cell r="B20369" t="str">
            <v>51040110210105</v>
          </cell>
          <cell r="C20369" t="str">
            <v>CL INT GANAD CXL STAND BY CCOR          4NC</v>
          </cell>
        </row>
        <row r="20370">
          <cell r="B20370" t="str">
            <v>51040110210106</v>
          </cell>
          <cell r="C20370" t="str">
            <v>CL INT GANAD CXL  COB AVAL CORP         4NC</v>
          </cell>
        </row>
        <row r="20371">
          <cell r="B20371" t="str">
            <v>51040110210107</v>
          </cell>
          <cell r="C20371" t="str">
            <v>CL INT.GAN.VIG.CRED.POR LIQ. CARTA FIANZ4NC</v>
          </cell>
        </row>
        <row r="20372">
          <cell r="B20372" t="str">
            <v>51040110260101</v>
          </cell>
          <cell r="C20372" t="str">
            <v>LPC INT.GAN VIG IMPORT D/P CCOR         4NC</v>
          </cell>
        </row>
        <row r="20373">
          <cell r="B20373" t="str">
            <v>51040110260102</v>
          </cell>
          <cell r="C20373" t="str">
            <v>LPC INT GAN VIG EX PRE EMB  CCOR        4NC</v>
          </cell>
        </row>
        <row r="20374">
          <cell r="B20374" t="str">
            <v>51040110260103</v>
          </cell>
          <cell r="C20374" t="str">
            <v>LPC INT GAN VIG EX POST EMB RP D/P CCOR 4NC</v>
          </cell>
        </row>
        <row r="20375">
          <cell r="B20375" t="str">
            <v>51040110260104</v>
          </cell>
          <cell r="C20375" t="str">
            <v>LPC INT GAN VIG EX PRE EMB CCOR         4NC</v>
          </cell>
        </row>
        <row r="20376">
          <cell r="B20376" t="str">
            <v>51040110260105</v>
          </cell>
          <cell r="C20376" t="str">
            <v>LPC INT GAN VIG EX POST EMB RP CCOR     4NC</v>
          </cell>
        </row>
        <row r="20377">
          <cell r="B20377" t="str">
            <v>51040110260106</v>
          </cell>
          <cell r="C20377" t="str">
            <v>LPC INT GAN VIG IMPOR CCOR              4NC</v>
          </cell>
        </row>
        <row r="20378">
          <cell r="B20378" t="str">
            <v>51040110260107</v>
          </cell>
          <cell r="C20378" t="str">
            <v>LPC INT.GAN VIG  WORK CAP.EX PRE EMB CCO4NC</v>
          </cell>
        </row>
        <row r="20379">
          <cell r="B20379" t="str">
            <v>51040110260108</v>
          </cell>
          <cell r="C20379" t="str">
            <v>LPC INT GAN FINAN PRE EMBARQUE          4NC</v>
          </cell>
        </row>
        <row r="20380">
          <cell r="B20380" t="str">
            <v>51040110260109</v>
          </cell>
          <cell r="C20380" t="str">
            <v>LPC INT GAN FINAN PRE EMBARQUE D/P      4NC</v>
          </cell>
        </row>
        <row r="20381">
          <cell r="B20381" t="str">
            <v>51040110260110</v>
          </cell>
          <cell r="C20381" t="str">
            <v>LPC INT GAN FINAN PRE EMBARQUE-SEPYMEX C4NC</v>
          </cell>
        </row>
        <row r="20382">
          <cell r="B20382" t="str">
            <v>51040110260111</v>
          </cell>
          <cell r="C20382" t="str">
            <v>LPC INT GAN FINAN PRE EMBARQUE D/P-SEPYM4NC</v>
          </cell>
        </row>
        <row r="20383">
          <cell r="B20383" t="str">
            <v>51040110260112</v>
          </cell>
          <cell r="C20383" t="str">
            <v>LPC INT GAN PRE EMBARQUE VIG.NORM CCOR  4NC</v>
          </cell>
        </row>
        <row r="20384">
          <cell r="B20384" t="str">
            <v>51040110260113</v>
          </cell>
          <cell r="C20384" t="str">
            <v>LPC INT GAN PRE EMBARQUE VIG.DUPE CCOR  4NC</v>
          </cell>
        </row>
        <row r="20385">
          <cell r="B20385" t="str">
            <v>51040110260114</v>
          </cell>
          <cell r="C20385" t="str">
            <v>LPC INT GAN POST EMBARQUE VIG.NORM CCOR 4NC</v>
          </cell>
        </row>
        <row r="20386">
          <cell r="B20386" t="str">
            <v>51040110260115</v>
          </cell>
          <cell r="C20386" t="str">
            <v>LPC INT GAN POST EMBARQUE VIG.DUPE CCOR 4NC</v>
          </cell>
        </row>
        <row r="20387">
          <cell r="B20387" t="str">
            <v>51040110260116</v>
          </cell>
          <cell r="C20387" t="str">
            <v>LPC INT GAN IMPORT. CARTA CREDITO  VIG.N4NC</v>
          </cell>
        </row>
        <row r="20388">
          <cell r="B20388" t="str">
            <v>51040110260117</v>
          </cell>
          <cell r="C20388" t="str">
            <v>LPC INT GAN IMPORT. CARTA CREDITO  VIG.D4NC</v>
          </cell>
        </row>
        <row r="20389">
          <cell r="B20389" t="str">
            <v>51040110260118</v>
          </cell>
          <cell r="C20389" t="str">
            <v>LPC INT GAN IMPORT.  VIG.NORM CCOR      4NC</v>
          </cell>
        </row>
        <row r="20390">
          <cell r="B20390" t="str">
            <v>51040110260119</v>
          </cell>
          <cell r="C20390" t="str">
            <v>LPC INT GAN IMPORT.  VIG.DUPE CCOR      4NC</v>
          </cell>
        </row>
        <row r="20391">
          <cell r="B20391" t="str">
            <v>51040110260120</v>
          </cell>
          <cell r="C20391" t="str">
            <v>LPC INT GAN PAGARE FORFAITING CCOR      4NC</v>
          </cell>
        </row>
        <row r="20392">
          <cell r="B20392" t="str">
            <v>51040110260121</v>
          </cell>
          <cell r="C20392" t="str">
            <v>LPC INT GAN PAGARE FORFAITING D/P CCOR  4NC</v>
          </cell>
        </row>
        <row r="20393">
          <cell r="B20393" t="str">
            <v>51040110260201</v>
          </cell>
          <cell r="C20393" t="str">
            <v>CL EX FORFAITING INT.GAN.VIG CCOR       4NC</v>
          </cell>
        </row>
        <row r="20394">
          <cell r="B20394" t="str">
            <v>51040110260202</v>
          </cell>
          <cell r="C20394" t="str">
            <v>CL INT.GAN.POST. EX EMBAR. D/P. VIG. CCO4NC</v>
          </cell>
        </row>
        <row r="20395">
          <cell r="B20395" t="str">
            <v>51040110260203</v>
          </cell>
          <cell r="C20395" t="str">
            <v>INT VENC TC - COMERC VEA CMIE           4NC</v>
          </cell>
        </row>
        <row r="20396">
          <cell r="B20396" t="str">
            <v>51040110260204</v>
          </cell>
          <cell r="C20396" t="str">
            <v>CL EX INT VIG PAG.IMPORTAC.D/P CCOR     4NC</v>
          </cell>
        </row>
        <row r="20397">
          <cell r="B20397" t="str">
            <v>51040110260301</v>
          </cell>
          <cell r="C20397" t="str">
            <v>FCD COMEX EXPO INT GANA VIG NORM  CCOR  4NC</v>
          </cell>
        </row>
        <row r="20398">
          <cell r="B20398" t="str">
            <v>51040110260302</v>
          </cell>
          <cell r="C20398" t="str">
            <v>LPC COFIDE FONDOS CRECER CCOR  VIG\NORM 4NC</v>
          </cell>
        </row>
        <row r="20399">
          <cell r="B20399" t="str">
            <v>51040110260303</v>
          </cell>
          <cell r="C20399" t="str">
            <v>LPC COFIDE FONDOS CRECER CCOR  VIG\DUPE 4NC</v>
          </cell>
        </row>
        <row r="20400">
          <cell r="B20400" t="str">
            <v>51040110260304</v>
          </cell>
          <cell r="C20400" t="str">
            <v>LPC COFIDE FONDOS CRECER CCOR  VIG\NORM 4NC</v>
          </cell>
        </row>
        <row r="20401">
          <cell r="B20401" t="str">
            <v>51040110260305</v>
          </cell>
          <cell r="C20401" t="str">
            <v>LPC COFIDE FONDOS CRECER CCOR  VIG\DUPE 4NC</v>
          </cell>
        </row>
        <row r="20402">
          <cell r="B20402" t="str">
            <v>51040110260306</v>
          </cell>
          <cell r="C20402" t="str">
            <v>LPC REPROG EM COVID-19 PRE-EMBARQUE CCOR4NC</v>
          </cell>
        </row>
        <row r="20403">
          <cell r="B20403" t="str">
            <v>51040110260307</v>
          </cell>
          <cell r="C20403" t="str">
            <v>LPC REPROG EM COVID-19 PRE-EMBARQUE CCOR4NC</v>
          </cell>
        </row>
        <row r="20404">
          <cell r="B20404" t="str">
            <v>51040110260308</v>
          </cell>
          <cell r="C20404" t="str">
            <v>LPC REPROG EM COVID-19 POST-EMBARQUE CCO4NC</v>
          </cell>
        </row>
        <row r="20405">
          <cell r="B20405" t="str">
            <v>51040110260309</v>
          </cell>
          <cell r="C20405" t="str">
            <v>LPC REPROG EM COVID-19 POST-EMBARQUE CCO4NC</v>
          </cell>
        </row>
        <row r="20406">
          <cell r="B20406" t="str">
            <v>51040110260310</v>
          </cell>
          <cell r="C20406" t="str">
            <v>LPC REPROG EM COVID-19 FINAN.COMEX CCOR\4NC</v>
          </cell>
        </row>
        <row r="20407">
          <cell r="B20407" t="str">
            <v>51040110260311</v>
          </cell>
          <cell r="C20407" t="str">
            <v>LPC REPROG EM COVID-19 FINAN.COMEX CCOR\4NC</v>
          </cell>
        </row>
        <row r="20408">
          <cell r="B20408" t="str">
            <v>51040110260312</v>
          </cell>
          <cell r="C20408" t="str">
            <v>CCD-BPE CAPITAL DE TRABAJO_CCOR VIG DUPE4 C</v>
          </cell>
        </row>
        <row r="20409">
          <cell r="B20409" t="str">
            <v>51040110260801</v>
          </cell>
          <cell r="C20409" t="str">
            <v>PAN CREDITOS COMERCIO EXTERIOR CCOR     4NC</v>
          </cell>
        </row>
        <row r="20410">
          <cell r="B20410" t="str">
            <v>51040110260802</v>
          </cell>
          <cell r="C20410" t="str">
            <v>INT GAN VIG CREDITOS PRE EMBARQUE CCOR  4NC</v>
          </cell>
        </row>
        <row r="20411">
          <cell r="B20411" t="str">
            <v>51040110260803</v>
          </cell>
          <cell r="C20411" t="str">
            <v>INT GAN VIG CREDITOS POST EMBARQUE CCOR 4NC</v>
          </cell>
        </row>
        <row r="20412">
          <cell r="B20412" t="str">
            <v>51040110300101</v>
          </cell>
          <cell r="C20412" t="str">
            <v>LPC INT GAN FINAN PROY D/P VIG CCOR     4NC</v>
          </cell>
        </row>
        <row r="20413">
          <cell r="B20413" t="str">
            <v>51040110300102</v>
          </cell>
          <cell r="C20413" t="str">
            <v>LPC INT GAN PAG FINAN PROY  VIG CCOR    4NC</v>
          </cell>
        </row>
        <row r="20414">
          <cell r="B20414" t="str">
            <v>51040110300103</v>
          </cell>
          <cell r="C20414" t="str">
            <v>LPC INT GAN PAG. FINANC PROY COFIDE CCOR4NC</v>
          </cell>
        </row>
        <row r="20415">
          <cell r="B20415" t="str">
            <v>51040110300104</v>
          </cell>
          <cell r="C20415" t="str">
            <v>LPC INT GAN VIG  PAG. FINANC PROY COFIDE4NC</v>
          </cell>
        </row>
        <row r="20416">
          <cell r="B20416" t="str">
            <v>51040110300105</v>
          </cell>
          <cell r="C20416" t="str">
            <v>LPC PAG FINAN PROY VERDE-SOCIAL CCOR NOR4 C</v>
          </cell>
        </row>
        <row r="20417">
          <cell r="B20417" t="str">
            <v>51040110300106</v>
          </cell>
          <cell r="C20417" t="str">
            <v>LPC PAG FINAN PROY VERDE-SOCIAL CCOR DUP4 C</v>
          </cell>
        </row>
        <row r="20418">
          <cell r="B20418" t="str">
            <v>51040110300107</v>
          </cell>
          <cell r="C20418" t="str">
            <v>LPC PAG FINAN PROY VINC-SOSTENIB CCOR NO4 C</v>
          </cell>
        </row>
        <row r="20419">
          <cell r="B20419" t="str">
            <v>51040110300108</v>
          </cell>
          <cell r="C20419" t="str">
            <v>LPC PAG FINAN PROY VINC-SOSTENIB CCOR DU4 C</v>
          </cell>
        </row>
        <row r="20420">
          <cell r="B20420" t="str">
            <v>51040110300109</v>
          </cell>
          <cell r="C20420" t="str">
            <v>LPC INT LEASING FINANCIACION PROYECTO CC4 C</v>
          </cell>
        </row>
        <row r="20421">
          <cell r="B20421" t="str">
            <v>51040110330100</v>
          </cell>
          <cell r="C20421" t="str">
            <v>LPC PAG BIENES INMB RENTA VERDE-SOCIAL C4 C</v>
          </cell>
        </row>
        <row r="20422">
          <cell r="B20422" t="str">
            <v>51040110330101</v>
          </cell>
          <cell r="C20422" t="str">
            <v>LPC PAG BIENES INMB RENTA VERDE-SOCIAL C4 C</v>
          </cell>
        </row>
        <row r="20423">
          <cell r="B20423" t="str">
            <v>51040110330102</v>
          </cell>
          <cell r="C20423" t="str">
            <v>LPC PAG BIENES INMB RENTA VINC-SOSTENIB 4 C</v>
          </cell>
        </row>
        <row r="20424">
          <cell r="B20424" t="str">
            <v>51040110330103</v>
          </cell>
          <cell r="C20424" t="str">
            <v>LPC PAG BIENES INMB RENTA VINC-SOSTENIB 4 C</v>
          </cell>
        </row>
        <row r="20425">
          <cell r="B20425" t="str">
            <v>51040111010101</v>
          </cell>
          <cell r="C20425" t="str">
            <v>IM INT AVANCE CTA CTE CGEM              4NC</v>
          </cell>
        </row>
        <row r="20426">
          <cell r="B20426" t="str">
            <v>51040111010102</v>
          </cell>
          <cell r="C20426" t="str">
            <v>LPC AVA CUENT  INT GAN NORM CGEM        4NC</v>
          </cell>
        </row>
        <row r="20427">
          <cell r="B20427" t="str">
            <v>51040111010103</v>
          </cell>
          <cell r="C20427" t="str">
            <v>LPC AVA CUENT  INT GAN DUPE CGEM        4NC</v>
          </cell>
        </row>
        <row r="20428">
          <cell r="B20428" t="str">
            <v>51040111010104</v>
          </cell>
          <cell r="C20428" t="str">
            <v>IM INT AVANCE CTA CTE CGEM              4NC</v>
          </cell>
        </row>
        <row r="20429">
          <cell r="B20429" t="str">
            <v>51040111020101</v>
          </cell>
          <cell r="C20429" t="str">
            <v>TC INT CDEUDA PAR AMEX CGEM             4NC</v>
          </cell>
        </row>
        <row r="20430">
          <cell r="B20430" t="str">
            <v>51040111020102</v>
          </cell>
          <cell r="C20430" t="str">
            <v>TC INT CDEUDA REV AMEX CGEM             4NC</v>
          </cell>
        </row>
        <row r="20431">
          <cell r="B20431" t="str">
            <v>51040111020103</v>
          </cell>
          <cell r="C20431" t="str">
            <v>TC INT CUOTAS AMEX CGEM                 4NC</v>
          </cell>
        </row>
        <row r="20432">
          <cell r="B20432" t="str">
            <v>51040111020104</v>
          </cell>
          <cell r="C20432" t="str">
            <v>TC INT EXTRACASH AMEX CGEM              4NC</v>
          </cell>
        </row>
        <row r="20433">
          <cell r="B20433" t="str">
            <v>51040111020105</v>
          </cell>
          <cell r="C20433" t="str">
            <v>TC INT REPROG PAR AMEX CGEM             4NC</v>
          </cell>
        </row>
        <row r="20434">
          <cell r="B20434" t="str">
            <v>51040111020106</v>
          </cell>
          <cell r="C20434" t="str">
            <v>TC INT REPROG REV AMEX CGEM             4NC</v>
          </cell>
        </row>
        <row r="20435">
          <cell r="B20435" t="str">
            <v>51040111020107</v>
          </cell>
          <cell r="C20435" t="str">
            <v>TC INT REV AMEX CGEM                    4NC</v>
          </cell>
        </row>
        <row r="20436">
          <cell r="B20436" t="str">
            <v>51040111020108</v>
          </cell>
          <cell r="C20436" t="str">
            <v>TC INT CDEUDA PAR MC CGEM               4NC</v>
          </cell>
        </row>
        <row r="20437">
          <cell r="B20437" t="str">
            <v>51040111020109</v>
          </cell>
          <cell r="C20437" t="str">
            <v>TC INT CDEUDA REV MC CGEM               4NC</v>
          </cell>
        </row>
        <row r="20438">
          <cell r="B20438" t="str">
            <v>51040111020110</v>
          </cell>
          <cell r="C20438" t="str">
            <v>TC INT CUOTAS MC CGEM                   4NC</v>
          </cell>
        </row>
        <row r="20439">
          <cell r="B20439" t="str">
            <v>51040111020111</v>
          </cell>
          <cell r="C20439" t="str">
            <v>TC INT EXTRACASH MC CGEM                4NC</v>
          </cell>
        </row>
        <row r="20440">
          <cell r="B20440" t="str">
            <v>51040111020112</v>
          </cell>
          <cell r="C20440" t="str">
            <v>TC INT REPROG PAR MC CGEM               4NC</v>
          </cell>
        </row>
        <row r="20441">
          <cell r="B20441" t="str">
            <v>51040111020113</v>
          </cell>
          <cell r="C20441" t="str">
            <v>TC INT REPROG REV MC CGEM               4NC</v>
          </cell>
        </row>
        <row r="20442">
          <cell r="B20442" t="str">
            <v>51040111020114</v>
          </cell>
          <cell r="C20442" t="str">
            <v>TC INT REV MC CGEM                      4NC</v>
          </cell>
        </row>
        <row r="20443">
          <cell r="B20443" t="str">
            <v>51040111020115</v>
          </cell>
          <cell r="C20443" t="str">
            <v>TC INT CDEUDA PAR VISA CGEM             4NC</v>
          </cell>
        </row>
        <row r="20444">
          <cell r="B20444" t="str">
            <v>51040111020116</v>
          </cell>
          <cell r="C20444" t="str">
            <v>TC INT CDEUDA PAR VISA MEGAPLAZA CGEM   4NC</v>
          </cell>
        </row>
        <row r="20445">
          <cell r="B20445" t="str">
            <v>51040111020117</v>
          </cell>
          <cell r="C20445" t="str">
            <v>TC INT CDEUDA PAR VISA VEA CGEM         4NC</v>
          </cell>
        </row>
        <row r="20446">
          <cell r="B20446" t="str">
            <v>51040111020118</v>
          </cell>
          <cell r="C20446" t="str">
            <v>TC INT CDEUDA REV VISA CGEM             4NC</v>
          </cell>
        </row>
        <row r="20447">
          <cell r="B20447" t="str">
            <v>51040111020119</v>
          </cell>
          <cell r="C20447" t="str">
            <v>TC INT CDEUDA REV VISA MEGAPLAZA CGEM   4NC</v>
          </cell>
        </row>
        <row r="20448">
          <cell r="B20448" t="str">
            <v>51040111020120</v>
          </cell>
          <cell r="C20448" t="str">
            <v>TC INT CDEUDA REV VISA VEA CGEM         4NC</v>
          </cell>
        </row>
        <row r="20449">
          <cell r="B20449" t="str">
            <v>51040111020121</v>
          </cell>
          <cell r="C20449" t="str">
            <v>TC INT CUOTAS VISA CGEM                 4NC</v>
          </cell>
        </row>
        <row r="20450">
          <cell r="B20450" t="str">
            <v>51040111020122</v>
          </cell>
          <cell r="C20450" t="str">
            <v>TC INT CUOTAS VISA MEGAPLAZA CGEM       4NC</v>
          </cell>
        </row>
        <row r="20451">
          <cell r="B20451" t="str">
            <v>51040111020123</v>
          </cell>
          <cell r="C20451" t="str">
            <v>TC INT CUOTAS VISA VEA CGEM             4NC</v>
          </cell>
        </row>
        <row r="20452">
          <cell r="B20452" t="str">
            <v>51040111020124</v>
          </cell>
          <cell r="C20452" t="str">
            <v>TC INT EXTRACASH VISA CGEM              4NC</v>
          </cell>
        </row>
        <row r="20453">
          <cell r="B20453" t="str">
            <v>51040111020125</v>
          </cell>
          <cell r="C20453" t="str">
            <v>TC INT EXTRACASH VISA MEGAPLAZA CGEM    4NC</v>
          </cell>
        </row>
        <row r="20454">
          <cell r="B20454" t="str">
            <v>51040111020126</v>
          </cell>
          <cell r="C20454" t="str">
            <v>TC INT EXTRACASH VISA VEA CGEM          4NC</v>
          </cell>
        </row>
        <row r="20455">
          <cell r="B20455" t="str">
            <v>51040111020127</v>
          </cell>
          <cell r="C20455" t="str">
            <v>TC INT REPROG PAR VISA CGEM             4NC</v>
          </cell>
        </row>
        <row r="20456">
          <cell r="B20456" t="str">
            <v>51040111020128</v>
          </cell>
          <cell r="C20456" t="str">
            <v>TC INT REPROG PAR VISA MEGAPLAZA CGEM   4NC</v>
          </cell>
        </row>
        <row r="20457">
          <cell r="B20457" t="str">
            <v>51040111020129</v>
          </cell>
          <cell r="C20457" t="str">
            <v>TC INT REPROG PAR VISA VEA CGEM         4NC</v>
          </cell>
        </row>
        <row r="20458">
          <cell r="B20458" t="str">
            <v>51040111020130</v>
          </cell>
          <cell r="C20458" t="str">
            <v>TC INT REPROG REV VISA CGEM             4NC</v>
          </cell>
        </row>
        <row r="20459">
          <cell r="B20459" t="str">
            <v>51040111020131</v>
          </cell>
          <cell r="C20459" t="str">
            <v>TC INT REPROG REV VISA MEGAPLAZA CGEM   4NC</v>
          </cell>
        </row>
        <row r="20460">
          <cell r="B20460" t="str">
            <v>51040111020132</v>
          </cell>
          <cell r="C20460" t="str">
            <v>TC INT REPROG REV VISA VEA CGEM         4NC</v>
          </cell>
        </row>
        <row r="20461">
          <cell r="B20461" t="str">
            <v>51040111020133</v>
          </cell>
          <cell r="C20461" t="str">
            <v>TC INT REV VISA CGEM                    4NC</v>
          </cell>
        </row>
        <row r="20462">
          <cell r="B20462" t="str">
            <v>51040111020134</v>
          </cell>
          <cell r="C20462" t="str">
            <v>TC INT REV VISA MEGAPLAZA CGEM          4NC</v>
          </cell>
        </row>
        <row r="20463">
          <cell r="B20463" t="str">
            <v>51040111020135</v>
          </cell>
          <cell r="C20463" t="str">
            <v>TC INT REV VISA VEA CGEM                4NC</v>
          </cell>
        </row>
        <row r="20464">
          <cell r="B20464" t="str">
            <v>51040111040101</v>
          </cell>
          <cell r="C20464" t="str">
            <v>IM INT SOBREGIRO CTA CTE CGEM           4NC</v>
          </cell>
        </row>
        <row r="20465">
          <cell r="B20465" t="str">
            <v>51040111050101</v>
          </cell>
          <cell r="C20465" t="str">
            <v>CL INT GANAD PAG DSCTO VIG CGEM         4NC</v>
          </cell>
        </row>
        <row r="20466">
          <cell r="B20466" t="str">
            <v>51040111050102</v>
          </cell>
          <cell r="C20466" t="str">
            <v>CL INT GAN PAG DSCTO D/P VIG CGEM       4NC</v>
          </cell>
        </row>
        <row r="20467">
          <cell r="B20467" t="str">
            <v>51040111050104</v>
          </cell>
          <cell r="C20467" t="str">
            <v>PR INT GANA VIG LETRAS T. DSCTO Â CGEM  4NC</v>
          </cell>
        </row>
        <row r="20468">
          <cell r="B20468" t="str">
            <v>51040111050105</v>
          </cell>
          <cell r="C20468" t="str">
            <v>FCD INT. GAN DSCTO ELECTR VIG DUD CGEM  4NC</v>
          </cell>
        </row>
        <row r="20469">
          <cell r="B20469" t="str">
            <v>51040111050106</v>
          </cell>
          <cell r="C20469" t="str">
            <v>FCD DESC. LET. I. VIG. CGEM DUPE        4NC</v>
          </cell>
        </row>
        <row r="20470">
          <cell r="B20470" t="str">
            <v>51040111050107</v>
          </cell>
          <cell r="C20470" t="str">
            <v>FCD DESC. FACT. I. VIG. CGEM DUPE       4NC</v>
          </cell>
        </row>
        <row r="20471">
          <cell r="B20471" t="str">
            <v>51040111050108</v>
          </cell>
          <cell r="C20471" t="str">
            <v>FCD DESC. VIRTUAL I. VIG. CGEM DUPE     4NC</v>
          </cell>
        </row>
        <row r="20472">
          <cell r="B20472" t="str">
            <v>51040111050109</v>
          </cell>
          <cell r="C20472" t="str">
            <v>FCD DESC. FACT. NEG. I. VIG. CGEM DUPE  4NC</v>
          </cell>
        </row>
        <row r="20473">
          <cell r="B20473" t="str">
            <v>51040111050110</v>
          </cell>
          <cell r="C20473" t="str">
            <v>FCD DESC. VIRTUAL I. VIG. CGEM NORMAL   4NC</v>
          </cell>
        </row>
        <row r="20474">
          <cell r="B20474" t="str">
            <v>51040111050111</v>
          </cell>
          <cell r="C20474" t="str">
            <v>LPC INT GAN PAG DSCTO VIGC CGEM         4NC</v>
          </cell>
        </row>
        <row r="20475">
          <cell r="B20475" t="str">
            <v>51040111050112</v>
          </cell>
          <cell r="C20475" t="str">
            <v>LPC INT GAN PAG DSCTO D/P VIGC CGEM     4NC</v>
          </cell>
        </row>
        <row r="20476">
          <cell r="B20476" t="str">
            <v>51040111050201</v>
          </cell>
          <cell r="C20476" t="str">
            <v>FCD DSCTO ELECTR SM PERU I.VIG CGEM     4NC</v>
          </cell>
        </row>
        <row r="20477">
          <cell r="B20477" t="str">
            <v>51040111050202</v>
          </cell>
          <cell r="C20477" t="str">
            <v>FCD INT GANAD VIG LETRAS DSCTO  CGEM    4NC</v>
          </cell>
        </row>
        <row r="20478">
          <cell r="B20478" t="str">
            <v>51040111050203</v>
          </cell>
          <cell r="C20478" t="str">
            <v>PR INT GANAD VIG LTRA DSTO DP   CGEM    4NC</v>
          </cell>
        </row>
        <row r="20479">
          <cell r="B20479" t="str">
            <v>51040111060101</v>
          </cell>
          <cell r="C20479" t="str">
            <v>LPC INT GAN VIG PAG TV  D/P CGEM        4NC</v>
          </cell>
        </row>
        <row r="20480">
          <cell r="B20480" t="str">
            <v>51040111060102</v>
          </cell>
          <cell r="C20480" t="str">
            <v>LPC INT GAN PAG TV VIGEN CGEM           4NC</v>
          </cell>
        </row>
        <row r="20481">
          <cell r="B20481" t="str">
            <v>51040111060103</v>
          </cell>
          <cell r="C20481" t="str">
            <v>LPC PTV  CAP COFIDE  SBS CGEM           4NC</v>
          </cell>
        </row>
        <row r="20482">
          <cell r="B20482" t="str">
            <v>51040111060104</v>
          </cell>
          <cell r="C20482" t="str">
            <v>LPC INT GAN VIG PAGTV  COFIDE - D/P     4NC</v>
          </cell>
        </row>
        <row r="20483">
          <cell r="B20483" t="str">
            <v>51040111060105</v>
          </cell>
          <cell r="C20483" t="str">
            <v>LPC INT GAN PAG TV MED PLZ              4NC</v>
          </cell>
        </row>
        <row r="20484">
          <cell r="B20484" t="str">
            <v>51040111060106</v>
          </cell>
          <cell r="C20484" t="str">
            <v>LPC INT GAN PAG TV MED PLZ D/P          4NC</v>
          </cell>
        </row>
        <row r="20485">
          <cell r="B20485" t="str">
            <v>51040111060107</v>
          </cell>
          <cell r="C20485" t="str">
            <v>LPC INT GAN PAG TV INMOBILIARIO         4NC</v>
          </cell>
        </row>
        <row r="20486">
          <cell r="B20486" t="str">
            <v>51040111060108</v>
          </cell>
          <cell r="C20486" t="str">
            <v>LPC INT GAN PAG TV INMOBILIARIO D/P     4NC</v>
          </cell>
        </row>
        <row r="20487">
          <cell r="B20487" t="str">
            <v>51040111060109</v>
          </cell>
          <cell r="C20487" t="str">
            <v>LPC INT GAN PAG TV EUROS                4NC</v>
          </cell>
        </row>
        <row r="20488">
          <cell r="B20488" t="str">
            <v>51040111060110</v>
          </cell>
          <cell r="C20488" t="str">
            <v>LPC INT GAN PAG TV EUROS                4NC</v>
          </cell>
        </row>
        <row r="20489">
          <cell r="B20489" t="str">
            <v>51040111060111</v>
          </cell>
          <cell r="C20489" t="str">
            <v>LPC INT GAN PAG DERIVADOS VIG CGEM      4NC</v>
          </cell>
        </row>
        <row r="20490">
          <cell r="B20490" t="str">
            <v>51040111060112</v>
          </cell>
          <cell r="C20490" t="str">
            <v>LPC INT GAN VIG PAG DERIVADOS  D/P CGEM 4NC</v>
          </cell>
        </row>
        <row r="20491">
          <cell r="B20491" t="str">
            <v>51040111060113</v>
          </cell>
          <cell r="C20491" t="str">
            <v>LPC INT GAN PAG REPROGRAMADO            4NC</v>
          </cell>
        </row>
        <row r="20492">
          <cell r="B20492" t="str">
            <v>51040111060114</v>
          </cell>
          <cell r="C20492" t="str">
            <v>LPC INT GAN PAG REPROGRAMADO NO REVOL D/4NC</v>
          </cell>
        </row>
        <row r="20493">
          <cell r="B20493" t="str">
            <v>51040111060201</v>
          </cell>
          <cell r="C20493" t="str">
            <v>CL INT DIFER GAN PAG TV D/P VIG CGEM    4NC</v>
          </cell>
        </row>
        <row r="20494">
          <cell r="B20494" t="str">
            <v>51040111060202</v>
          </cell>
          <cell r="C20494" t="str">
            <v>CL INT GAN PAG TV D/P  VIG CGEM         4NC</v>
          </cell>
        </row>
        <row r="20495">
          <cell r="B20495" t="str">
            <v>51040111060203</v>
          </cell>
          <cell r="C20495" t="str">
            <v>CL INT GAN FINANC DIF CGEM              4NC</v>
          </cell>
        </row>
        <row r="20496">
          <cell r="B20496" t="str">
            <v>51040111060204</v>
          </cell>
          <cell r="C20496" t="str">
            <v>CL INT GANAD TV CGEM                    4NC</v>
          </cell>
        </row>
        <row r="20497">
          <cell r="B20497" t="str">
            <v>51040111060205</v>
          </cell>
          <cell r="C20497" t="str">
            <v>CL INT.GAN PAG.TV NEG.INMOB VIG CGEM    4NC</v>
          </cell>
        </row>
        <row r="20498">
          <cell r="B20498" t="str">
            <v>51040111060206</v>
          </cell>
          <cell r="C20498" t="str">
            <v>CL INT. GAN OTROS SUSP DIF CGEM         4NC</v>
          </cell>
        </row>
        <row r="20499">
          <cell r="B20499" t="str">
            <v>51040111060207</v>
          </cell>
          <cell r="C20499" t="str">
            <v>CL INT GAN OTROS SUSP VIG CGEM          4NC</v>
          </cell>
        </row>
        <row r="20500">
          <cell r="B20500" t="str">
            <v>51040111060208</v>
          </cell>
          <cell r="C20500" t="str">
            <v>CL INT GANAD VIG PREST COFIDE CGEM      4NC</v>
          </cell>
        </row>
        <row r="20501">
          <cell r="B20501" t="str">
            <v>51040111060209</v>
          </cell>
          <cell r="C20501" t="str">
            <v>CL INT.GAN.DEUD.VTA.CART.VIG CGEM       4NC</v>
          </cell>
        </row>
        <row r="20502">
          <cell r="B20502" t="str">
            <v>51040111060301</v>
          </cell>
          <cell r="C20502" t="str">
            <v>MYP INT.GAN.VIG .CAP.TRAB NORM CGEM.    4NC</v>
          </cell>
        </row>
        <row r="20503">
          <cell r="B20503" t="str">
            <v>51040111060302</v>
          </cell>
          <cell r="C20503" t="str">
            <v>MYP INT.GAN.COMPRA.AF NORM CGEM         4NC</v>
          </cell>
        </row>
        <row r="20504">
          <cell r="B20504" t="str">
            <v>51040111060303</v>
          </cell>
          <cell r="C20504" t="str">
            <v>MYP INT.GAN.VIG FIN.CRED PARAL NORM CGEM4NC</v>
          </cell>
        </row>
        <row r="20505">
          <cell r="B20505" t="str">
            <v>51040111060304</v>
          </cell>
          <cell r="C20505" t="str">
            <v>MYP INT.GAN.VIG LIN REVOLV NORM CGEM    4NC</v>
          </cell>
        </row>
        <row r="20506">
          <cell r="B20506" t="str">
            <v>51040111060305</v>
          </cell>
          <cell r="C20506" t="str">
            <v>MYP D/P GAN.INT.VIG IMP. CAP DE TRABÂ  C4NC</v>
          </cell>
        </row>
        <row r="20507">
          <cell r="B20507" t="str">
            <v>51040111060306</v>
          </cell>
          <cell r="C20507" t="str">
            <v>MYP D/P GAN.INT.VIG AF INMUEBLE CGEM    4NC</v>
          </cell>
        </row>
        <row r="20508">
          <cell r="B20508" t="str">
            <v>51040111060307</v>
          </cell>
          <cell r="C20508" t="str">
            <v>MYP D/P GAN.INT.VIG FIN.PARAL.CGEM      4NC</v>
          </cell>
        </row>
        <row r="20509">
          <cell r="B20509" t="str">
            <v>51040111060308</v>
          </cell>
          <cell r="C20509" t="str">
            <v>MYP D/P GAN.INT.VIG LINEA REVOL CGEM    4NC</v>
          </cell>
        </row>
        <row r="20510">
          <cell r="B20510" t="str">
            <v>51040111060309</v>
          </cell>
          <cell r="C20510" t="str">
            <v>MYP D/P INT.GAN.VIG PAG.BPE-BE COMER. CG4NC</v>
          </cell>
        </row>
        <row r="20511">
          <cell r="B20511" t="str">
            <v>51040111060310</v>
          </cell>
          <cell r="C20511" t="str">
            <v>MYP INT.GAN.VIG.PAG BPE-BE NORM COM.CGEM4NC</v>
          </cell>
        </row>
        <row r="20512">
          <cell r="B20512" t="str">
            <v>51040111060311</v>
          </cell>
          <cell r="C20512" t="str">
            <v>MYP D/P GAN.INT.VIG LIN REV.BPE-BE COM C4NC</v>
          </cell>
        </row>
        <row r="20513">
          <cell r="B20513" t="str">
            <v>51040111060312</v>
          </cell>
          <cell r="C20513" t="str">
            <v>MYP I.GAN.VIG LIN REV.BPE-BE COM NORM CG4NC</v>
          </cell>
        </row>
        <row r="20514">
          <cell r="B20514" t="str">
            <v>51040111060313</v>
          </cell>
          <cell r="C20514" t="str">
            <v>MYP INT.GAN.VIG .CAP.TRAB CIMA NOR/DP CG4NC</v>
          </cell>
        </row>
        <row r="20515">
          <cell r="B20515" t="str">
            <v>51040111060322</v>
          </cell>
          <cell r="C20515" t="str">
            <v>LPC REACTIVA PERU VIG CGEM\NORM         4NC</v>
          </cell>
        </row>
        <row r="20516">
          <cell r="B20516" t="str">
            <v>51040111060323</v>
          </cell>
          <cell r="C20516" t="str">
            <v>LPC REACTIVA PERU VIG CGEM\DUPE         4NC</v>
          </cell>
        </row>
        <row r="20517">
          <cell r="B20517" t="str">
            <v>51040111060324</v>
          </cell>
          <cell r="C20517" t="str">
            <v>LPC COFIDE FONDOS PERU VIG CGEM\NORM    4NC</v>
          </cell>
        </row>
        <row r="20518">
          <cell r="B20518" t="str">
            <v>51040111060325</v>
          </cell>
          <cell r="C20518" t="str">
            <v>LPC COFIDE FONDOS PERU VIG CGEM\DUPE    4NC</v>
          </cell>
        </row>
        <row r="20519">
          <cell r="B20519" t="str">
            <v>51040111060326</v>
          </cell>
          <cell r="C20519" t="str">
            <v>LPC COFIDE FONDO CRECER VIG CGEM\DUPE   4NC</v>
          </cell>
        </row>
        <row r="20520">
          <cell r="B20520" t="str">
            <v>51040111060327</v>
          </cell>
          <cell r="C20520" t="str">
            <v>LPC COFIDE FONDO CRECER VIG CGEM\NORM   4NC</v>
          </cell>
        </row>
        <row r="20521">
          <cell r="B20521" t="str">
            <v>51040111060328</v>
          </cell>
          <cell r="C20521" t="str">
            <v>LPC REACTIVA PERU VIG CGEM\DUPE         4NC</v>
          </cell>
        </row>
        <row r="20522">
          <cell r="B20522" t="str">
            <v>51040111060329</v>
          </cell>
          <cell r="C20522" t="str">
            <v>LPC REACTIVA PERU VIG CGEM\NORM         4NC</v>
          </cell>
        </row>
        <row r="20523">
          <cell r="B20523" t="str">
            <v>51040111060330</v>
          </cell>
          <cell r="C20523" t="str">
            <v>LPC PAG MEDIANO PLAZO COVID-19 CGEM     4NC</v>
          </cell>
        </row>
        <row r="20524">
          <cell r="B20524" t="str">
            <v>51040111060331</v>
          </cell>
          <cell r="C20524" t="str">
            <v>LPC REPROG REACTIVA DIFE CGEM VIG       4 C</v>
          </cell>
        </row>
        <row r="20525">
          <cell r="B20525" t="str">
            <v>51040111060332</v>
          </cell>
          <cell r="C20525" t="str">
            <v>LPC REPROG REACTIVA DS.011-2022 CGEM NOR4 C</v>
          </cell>
        </row>
        <row r="20526">
          <cell r="B20526" t="str">
            <v>51040111060333</v>
          </cell>
          <cell r="C20526" t="str">
            <v>LPC REPROG REACTIVA DS.011-2022 CGEM DUP4 C</v>
          </cell>
        </row>
        <row r="20527">
          <cell r="B20527" t="str">
            <v>51040111060334</v>
          </cell>
          <cell r="C20527" t="str">
            <v>MYP REPROG REACTIVA DS.011-2022 CGEM NOR4 C</v>
          </cell>
        </row>
        <row r="20528">
          <cell r="B20528" t="str">
            <v>51040111060335</v>
          </cell>
          <cell r="C20528" t="str">
            <v>MYP REPROG REACTIVA DS.011-2022 CGEM DUP4 C</v>
          </cell>
        </row>
        <row r="20529">
          <cell r="B20529" t="str">
            <v>51040111060337</v>
          </cell>
          <cell r="C20529" t="str">
            <v>LPC RP MED PZ PREST VERDE-SOCIAL CGEM VI4 C</v>
          </cell>
        </row>
        <row r="20530">
          <cell r="B20530" t="str">
            <v>51040111060338</v>
          </cell>
          <cell r="C20530" t="str">
            <v>LPC RP MED PZ PREST VERDE-SOCIAL CGEM VI4 C</v>
          </cell>
        </row>
        <row r="20531">
          <cell r="B20531" t="str">
            <v>51040111060339</v>
          </cell>
          <cell r="C20531" t="str">
            <v>LPC RP MED PZ PREST SOSTENIBLE CGEM VIG 4 C</v>
          </cell>
        </row>
        <row r="20532">
          <cell r="B20532" t="str">
            <v>51040111060340</v>
          </cell>
          <cell r="C20532" t="str">
            <v>LPC RP MED PZ PREST SOSTENIBLE CGEM VIG 4 C</v>
          </cell>
        </row>
        <row r="20533">
          <cell r="B20533" t="str">
            <v>51040111060341</v>
          </cell>
          <cell r="C20533" t="str">
            <v>LPC REPROG REACTIVA 2023 VIG CGEM NORM  4 C</v>
          </cell>
        </row>
        <row r="20534">
          <cell r="B20534" t="str">
            <v>51040111060342</v>
          </cell>
          <cell r="C20534" t="str">
            <v>LPC REPROG REACTIVA 2023 VIG CGEM DUPE  4 C</v>
          </cell>
        </row>
        <row r="20535">
          <cell r="B20535" t="str">
            <v>51040111060343</v>
          </cell>
          <cell r="C20535" t="str">
            <v>MYP CAP. TRAB - PAGARE DIGITAL_CGEM NORM4 C</v>
          </cell>
        </row>
        <row r="20536">
          <cell r="B20536" t="str">
            <v>51040111060344</v>
          </cell>
          <cell r="C20536" t="str">
            <v>MYP CAP. TRAB - PAGARE DIGITAL_CGEM DUPE4 C</v>
          </cell>
        </row>
        <row r="20537">
          <cell r="B20537" t="str">
            <v>51040111060345</v>
          </cell>
          <cell r="C20537" t="str">
            <v>LPC INT VIG IMPULSO MYPERU CORTO PLAZO C4 C</v>
          </cell>
        </row>
        <row r="20538">
          <cell r="B20538" t="str">
            <v>51040111060346</v>
          </cell>
          <cell r="C20538" t="str">
            <v>LPC INT VIG IMPULSO MYPERU MEDIANO PLAZO4 C</v>
          </cell>
        </row>
        <row r="20539">
          <cell r="B20539" t="str">
            <v>51040111060347</v>
          </cell>
          <cell r="C20539" t="str">
            <v>MYP LINEA REVOLV CIMA INT GAN VIG NORM C4 C</v>
          </cell>
        </row>
        <row r="20540">
          <cell r="B20540" t="str">
            <v>51040111060348</v>
          </cell>
          <cell r="C20540" t="str">
            <v>MYP LINEA REVOLV CIMA INT GAN VIG DUPE C4 C</v>
          </cell>
        </row>
        <row r="20541">
          <cell r="B20541" t="str">
            <v>51040111060349</v>
          </cell>
          <cell r="C20541" t="str">
            <v>MYP IMPULSO MYPERU VIG CGEM NORM        4 C</v>
          </cell>
        </row>
        <row r="20542">
          <cell r="B20542" t="str">
            <v>51040111060350</v>
          </cell>
          <cell r="C20542" t="str">
            <v>MYP IMPULSO MYPERU VIG CGEM DUPE        4 C</v>
          </cell>
        </row>
        <row r="20543">
          <cell r="B20543" t="str">
            <v>51040111060351</v>
          </cell>
          <cell r="C20543" t="str">
            <v>MYP INT  LINEA REVOL REUT.VI            4 C</v>
          </cell>
        </row>
        <row r="20544">
          <cell r="B20544" t="str">
            <v>51040111060352</v>
          </cell>
          <cell r="C20544" t="str">
            <v>MYP INT  CAP.TRAB.REUT.VIG.C            4 C</v>
          </cell>
        </row>
        <row r="20545">
          <cell r="B20545" t="str">
            <v>51040111060353</v>
          </cell>
          <cell r="C20545" t="str">
            <v>MYP INT  CODIFE FONDO CRECER            4 C</v>
          </cell>
        </row>
        <row r="20546">
          <cell r="B20546" t="str">
            <v>51040111060354</v>
          </cell>
          <cell r="C20546" t="str">
            <v>MYP INT  COFIDE REACTIVA PER            4 C</v>
          </cell>
        </row>
        <row r="20547">
          <cell r="B20547" t="str">
            <v>51040111060355</v>
          </cell>
          <cell r="C20547" t="str">
            <v>MYP INT  30K REACTIVA PERU R            4 C</v>
          </cell>
        </row>
        <row r="20548">
          <cell r="B20548" t="str">
            <v>51040111060356</v>
          </cell>
          <cell r="C20548" t="str">
            <v>MYP INT  CAPITAL DE TRABAJO             4 C</v>
          </cell>
        </row>
        <row r="20549">
          <cell r="B20549" t="str">
            <v>51040111060357</v>
          </cell>
          <cell r="C20549" t="str">
            <v>MYP REACTIVA REPROG DS.011-2022 VIG NORM4 C</v>
          </cell>
        </row>
        <row r="20550">
          <cell r="B20550" t="str">
            <v>51040111060358</v>
          </cell>
          <cell r="C20550" t="str">
            <v>MYP REACTIVA REPROG DS.011-2022 VIG DUPE4 C</v>
          </cell>
        </row>
        <row r="20551">
          <cell r="B20551" t="str">
            <v>51040111060359</v>
          </cell>
          <cell r="C20551" t="str">
            <v>LPC PAG PAPERLESS DERIVADOS REV/NR INT C4NC</v>
          </cell>
        </row>
        <row r="20552">
          <cell r="B20552" t="str">
            <v>51040111060360</v>
          </cell>
          <cell r="C20552" t="str">
            <v>LPC PAG PAPERLESS DERIVADOS REV/NR INT C4NC</v>
          </cell>
        </row>
        <row r="20553">
          <cell r="B20553" t="str">
            <v>51040111060361</v>
          </cell>
          <cell r="C20553" t="str">
            <v>CCD-BPE CAPITAL DE TRABAJO_CGEM VIG NORM4 C</v>
          </cell>
        </row>
        <row r="20554">
          <cell r="B20554" t="str">
            <v>51040111060362</v>
          </cell>
          <cell r="C20554" t="str">
            <v>CCD-BPE CAPITAL DE TRABAJO_CGEM VIG DUPE4 C</v>
          </cell>
        </row>
        <row r="20555">
          <cell r="B20555" t="str">
            <v>51040111060363</v>
          </cell>
          <cell r="C20555" t="str">
            <v>CCD-BPE LINEA REVOLVENTE_CGEM VIG NORM I4 C</v>
          </cell>
        </row>
        <row r="20556">
          <cell r="B20556" t="str">
            <v>51040111060364</v>
          </cell>
          <cell r="C20556" t="str">
            <v>CCD-BPE LINEA REVOLVENTE_CGEM VIG DUPE I4 C</v>
          </cell>
        </row>
        <row r="20557">
          <cell r="B20557" t="str">
            <v>51040111060365</v>
          </cell>
          <cell r="C20557" t="str">
            <v>CCD-BPE CAP DE TRAB REPROG_CGEM VIG NORM4 C</v>
          </cell>
        </row>
        <row r="20558">
          <cell r="B20558" t="str">
            <v>51040111060366</v>
          </cell>
          <cell r="C20558" t="str">
            <v>CCD-BPE CAP DE TRAB REPROG_CGEM VIG DUPE4 C</v>
          </cell>
        </row>
        <row r="20559">
          <cell r="B20559" t="str">
            <v>51040111060367</v>
          </cell>
          <cell r="C20559" t="str">
            <v>CCD-BPE CAP DE TRAB_CGEM_VIG            4 C</v>
          </cell>
        </row>
        <row r="20560">
          <cell r="B20560" t="str">
            <v>51040111100101</v>
          </cell>
          <cell r="C20560" t="str">
            <v>PR INT GAN COMP VIG LETRAS FACTORING CGE4NC</v>
          </cell>
        </row>
        <row r="20561">
          <cell r="B20561" t="str">
            <v>51040111100102</v>
          </cell>
          <cell r="C20561" t="str">
            <v>PR FACTORING DIFERIDOS CGEM             4NC</v>
          </cell>
        </row>
        <row r="20562">
          <cell r="B20562" t="str">
            <v>51040111100103</v>
          </cell>
          <cell r="C20562" t="str">
            <v>PR INT GAN COMP VIG FACT FACTORING CGEM 4NC</v>
          </cell>
        </row>
        <row r="20563">
          <cell r="B20563" t="str">
            <v>51040111100104</v>
          </cell>
          <cell r="C20563" t="str">
            <v>PR INT GAN FACTORING-FACT DIF CGEM      4NC</v>
          </cell>
        </row>
        <row r="20564">
          <cell r="B20564" t="str">
            <v>51040111100105</v>
          </cell>
          <cell r="C20564" t="str">
            <v>PR FACT ELECTR LET/FACT I.COMPENS CGEM  4NC</v>
          </cell>
        </row>
        <row r="20565">
          <cell r="B20565" t="str">
            <v>51040111100106</v>
          </cell>
          <cell r="C20565" t="str">
            <v>FCD FACT ELECTR LET/FACT I.DIF CGEM     4NC</v>
          </cell>
        </row>
        <row r="20566">
          <cell r="B20566" t="str">
            <v>51040111100107</v>
          </cell>
          <cell r="C20566" t="str">
            <v>PR FACTORING INTER. INT VIG CGEM        4NC</v>
          </cell>
        </row>
        <row r="20567">
          <cell r="B20567" t="str">
            <v>51040111100108</v>
          </cell>
          <cell r="C20567" t="str">
            <v>PR PERU FACTORING INT.COMPENS CGEM      4NC</v>
          </cell>
        </row>
        <row r="20568">
          <cell r="B20568" t="str">
            <v>51040111100109</v>
          </cell>
          <cell r="C20568" t="str">
            <v>PR PERU FACTORING INT.DIF CGEM          4NC</v>
          </cell>
        </row>
        <row r="20569">
          <cell r="B20569" t="str">
            <v>51040111100110</v>
          </cell>
          <cell r="C20569" t="str">
            <v>PR FORFAITING EXPORTACIÃ“N INT GANA VIG 4NC</v>
          </cell>
        </row>
        <row r="20570">
          <cell r="B20570" t="str">
            <v>51040111100111</v>
          </cell>
          <cell r="C20570" t="str">
            <v>FACT INTER IMPORT   VIG. CGEM NORMAL    4NC</v>
          </cell>
        </row>
        <row r="20571">
          <cell r="B20571" t="str">
            <v>51040111100112</v>
          </cell>
          <cell r="C20571" t="str">
            <v>FACT INTER IMPORT  VIG. CGEM DUPE       4NC</v>
          </cell>
        </row>
        <row r="20572">
          <cell r="B20572" t="str">
            <v>51040111100201</v>
          </cell>
          <cell r="C20572" t="str">
            <v>CL EX FACTORING FORFAITING INT.GAN.VIG C4NC</v>
          </cell>
        </row>
        <row r="20573">
          <cell r="B20573" t="str">
            <v>51040111100202</v>
          </cell>
          <cell r="C20573" t="str">
            <v>CL  CONFIRMING INTER INT.GAN.VIG CGEM   4NC</v>
          </cell>
        </row>
        <row r="20574">
          <cell r="B20574" t="str">
            <v>51040111100301</v>
          </cell>
          <cell r="C20574" t="str">
            <v>FCD FACT ELECTR DIF.DUDOSO CGEM         4NC</v>
          </cell>
        </row>
        <row r="20575">
          <cell r="B20575" t="str">
            <v>51040111100302</v>
          </cell>
          <cell r="C20575" t="str">
            <v>FCD FACT INTER EXPO. INT VIG NORM CGEM  4NC</v>
          </cell>
        </row>
        <row r="20576">
          <cell r="B20576" t="str">
            <v>51040111100303</v>
          </cell>
          <cell r="C20576" t="str">
            <v>FCD FORFAITING EXPO INT GANA VIG NORM  C4NC</v>
          </cell>
        </row>
        <row r="20577">
          <cell r="B20577" t="str">
            <v>51040111100304</v>
          </cell>
          <cell r="C20577" t="str">
            <v>FCD FACT INTER EXPO. INT VIG DUPE CGEM  4NC</v>
          </cell>
        </row>
        <row r="20578">
          <cell r="B20578" t="str">
            <v>51040111100305</v>
          </cell>
          <cell r="C20578" t="str">
            <v>FCD FORFAITING EXPO INT GANA VIG DUPE  C4NC</v>
          </cell>
        </row>
        <row r="20579">
          <cell r="B20579" t="str">
            <v>51040111100306</v>
          </cell>
          <cell r="C20579" t="str">
            <v>FCD CONFIRMING INTERNACIONAL. INT VIG NO4NC</v>
          </cell>
        </row>
        <row r="20580">
          <cell r="B20580" t="str">
            <v>51040111100307</v>
          </cell>
          <cell r="C20580" t="str">
            <v>FCD CONFIRMING INTERNACIONAL. INT VIG DU4NC</v>
          </cell>
        </row>
        <row r="20581">
          <cell r="B20581" t="str">
            <v>51040111100308</v>
          </cell>
          <cell r="C20581" t="str">
            <v>FCD FAC. FIS. LET. I. VIG. CGEM DUPE    4NC</v>
          </cell>
        </row>
        <row r="20582">
          <cell r="B20582" t="str">
            <v>51040111100309</v>
          </cell>
          <cell r="C20582" t="str">
            <v>FCD FAC. FIS. FAC.. I. VIG. CGEM DUPE   4NC</v>
          </cell>
        </row>
        <row r="20583">
          <cell r="B20583" t="str">
            <v>51040111110101</v>
          </cell>
          <cell r="C20583" t="str">
            <v>LPC INT VIG LEASING BIEN RP CGEM        4NC</v>
          </cell>
        </row>
        <row r="20584">
          <cell r="B20584" t="str">
            <v>51040111110102</v>
          </cell>
          <cell r="C20584" t="str">
            <v>LPC INT VIG LEASING SEG RP CGEM         4NC</v>
          </cell>
        </row>
        <row r="20585">
          <cell r="B20585" t="str">
            <v>51040111110103</v>
          </cell>
          <cell r="C20585" t="str">
            <v>LPC CIA SEGURO LEASING RP CGEM          4NC</v>
          </cell>
        </row>
        <row r="20586">
          <cell r="B20586" t="str">
            <v>51040111110201</v>
          </cell>
          <cell r="C20586" t="str">
            <v>LPC INT VIG LEAS BIEN D/P RP CGEM       4NC</v>
          </cell>
        </row>
        <row r="20587">
          <cell r="B20587" t="str">
            <v>51040111110202</v>
          </cell>
          <cell r="C20587" t="str">
            <v>LPC INT VIG LEASING SEG D/P RP CGEM     4NC</v>
          </cell>
        </row>
        <row r="20588">
          <cell r="B20588" t="str">
            <v>51040111110203</v>
          </cell>
          <cell r="C20588" t="str">
            <v>LPC CIA SEGURO LEAS D/P RP CGEM         4NC</v>
          </cell>
        </row>
        <row r="20589">
          <cell r="B20589" t="str">
            <v>51040111110204</v>
          </cell>
          <cell r="C20589" t="str">
            <v>LPC IDL MYP INT GAN LEASING CGEM        4NC</v>
          </cell>
        </row>
        <row r="20590">
          <cell r="B20590" t="str">
            <v>51040111110205</v>
          </cell>
          <cell r="C20590" t="str">
            <v>LPC IDS MYP INT GAN LEASING CGEM        4NC</v>
          </cell>
        </row>
        <row r="20591">
          <cell r="B20591" t="str">
            <v>51040111110206</v>
          </cell>
          <cell r="C20591" t="str">
            <v>LPC IDL MYP INT GAN LEASING D/P CGEM    4NC</v>
          </cell>
        </row>
        <row r="20592">
          <cell r="B20592" t="str">
            <v>51040111110207</v>
          </cell>
          <cell r="C20592" t="str">
            <v>LPC PDS MYP INT GAN LEASING D/P CGEM    4NC</v>
          </cell>
        </row>
        <row r="20593">
          <cell r="B20593" t="str">
            <v>51040111110301</v>
          </cell>
          <cell r="C20593" t="str">
            <v>LPC INT LEASING PRE CUOTAS CGEM         4NC</v>
          </cell>
        </row>
        <row r="20594">
          <cell r="B20594" t="str">
            <v>51040111110302</v>
          </cell>
          <cell r="C20594" t="str">
            <v>LPC INT VIG LS  BIEN OTROS SUSP RP CGEM 4NC</v>
          </cell>
        </row>
        <row r="20595">
          <cell r="B20595" t="str">
            <v>51040111110303</v>
          </cell>
          <cell r="C20595" t="str">
            <v>LPC INT VIG LS SEG OTROS SUSP RP CGEM   4NC</v>
          </cell>
        </row>
        <row r="20596">
          <cell r="B20596" t="str">
            <v>51040111110304</v>
          </cell>
          <cell r="C20596" t="str">
            <v>LPC CIA SEGURO LPC LS OTROS SUSP RP CGEM4NC</v>
          </cell>
        </row>
        <row r="20597">
          <cell r="B20597" t="str">
            <v>51040111110501</v>
          </cell>
          <cell r="C20597" t="str">
            <v>LPC ING VIG LSG BIEN ADJ. RP CGEM       4NC</v>
          </cell>
        </row>
        <row r="20598">
          <cell r="B20598" t="str">
            <v>51040111110502</v>
          </cell>
          <cell r="C20598" t="str">
            <v>LPC INT VIG LSG SEG. ADJ.RP CGEM        4NC</v>
          </cell>
        </row>
        <row r="20599">
          <cell r="B20599" t="str">
            <v>51040111110503</v>
          </cell>
          <cell r="C20599" t="str">
            <v>LPC CIA SEG LSG ADJ. RP V-S CGEM        4NC</v>
          </cell>
        </row>
        <row r="20600">
          <cell r="B20600" t="str">
            <v>51040111110504</v>
          </cell>
          <cell r="C20600" t="str">
            <v>LPC ING VIG LSG BIEN ADJ. D/P CGEM      4NC</v>
          </cell>
        </row>
        <row r="20601">
          <cell r="B20601" t="str">
            <v>51040111110505</v>
          </cell>
          <cell r="C20601" t="str">
            <v>LPC ING VIG LSG SEG. ADJ. D/P CGEM      4NC</v>
          </cell>
        </row>
        <row r="20602">
          <cell r="B20602" t="str">
            <v>51040111110506</v>
          </cell>
          <cell r="C20602" t="str">
            <v>LPC LS CIA SEGURO  D/P ADJ. CGEM        4NC</v>
          </cell>
        </row>
        <row r="20603">
          <cell r="B20603" t="str">
            <v>51040111110601</v>
          </cell>
          <cell r="C20603" t="str">
            <v>LPC INT VIG LEASING COFIDE IDL CGEM     4NC</v>
          </cell>
        </row>
        <row r="20604">
          <cell r="B20604" t="str">
            <v>51040111110602</v>
          </cell>
          <cell r="C20604" t="str">
            <v>LPC INT VIG LEASING COFIDE SEG IDS CGEM 4NC</v>
          </cell>
        </row>
        <row r="20605">
          <cell r="B20605" t="str">
            <v>51040111110603</v>
          </cell>
          <cell r="C20605" t="str">
            <v>LPC CIA SEGURO LEASING COFIDE ISG CGEM  4NC</v>
          </cell>
        </row>
        <row r="20606">
          <cell r="B20606" t="str">
            <v>51040111110604</v>
          </cell>
          <cell r="C20606" t="str">
            <v>LPC INT VIG LS COFIDE D/P IDL CGEM      4NC</v>
          </cell>
        </row>
        <row r="20607">
          <cell r="B20607" t="str">
            <v>51040111110605</v>
          </cell>
          <cell r="C20607" t="str">
            <v>LPC INT VIG LS COFIDE D/P IDS CGEM      4NC</v>
          </cell>
        </row>
        <row r="20608">
          <cell r="B20608" t="str">
            <v>51040111110606</v>
          </cell>
          <cell r="C20608" t="str">
            <v>LPC CIA SEGURO LS COFIDE D/P ISG CGEM   4NC</v>
          </cell>
        </row>
        <row r="20609">
          <cell r="B20609" t="str">
            <v>51040111110701</v>
          </cell>
          <cell r="C20609" t="str">
            <v>LPC INT VIG LEASING DERIVADO BIEN RP CGE4NC</v>
          </cell>
        </row>
        <row r="20610">
          <cell r="B20610" t="str">
            <v>51040111110702</v>
          </cell>
          <cell r="C20610" t="str">
            <v>LPC INT VIG LEASING DERIVADO BIEN D/P RP4NC</v>
          </cell>
        </row>
        <row r="20611">
          <cell r="B20611" t="str">
            <v>51040111110703</v>
          </cell>
          <cell r="C20611" t="str">
            <v>LPC INT VIG LEASING DERIVADO SEG RP CGEM4NC</v>
          </cell>
        </row>
        <row r="20612">
          <cell r="B20612" t="str">
            <v>51040111110704</v>
          </cell>
          <cell r="C20612" t="str">
            <v>LPC INT VIG LEASING DERIVADO SEG D/P RP 4NC</v>
          </cell>
        </row>
        <row r="20613">
          <cell r="B20613" t="str">
            <v>51040111120101</v>
          </cell>
          <cell r="C20613" t="str">
            <v>LPC INT VIG LSBACK BIEN D/P RP CGEM     4NC</v>
          </cell>
        </row>
        <row r="20614">
          <cell r="B20614" t="str">
            <v>51040111120102</v>
          </cell>
          <cell r="C20614" t="str">
            <v>LPC INT VIG LSBACK SEG D/P RP CGEM      4NC</v>
          </cell>
        </row>
        <row r="20615">
          <cell r="B20615" t="str">
            <v>51040111120103</v>
          </cell>
          <cell r="C20615" t="str">
            <v>LPC INT VIG LEASEBACK BIEN RP CGEM      4NC</v>
          </cell>
        </row>
        <row r="20616">
          <cell r="B20616" t="str">
            <v>51040111120104</v>
          </cell>
          <cell r="C20616" t="str">
            <v>LPC INT VIG LEASEBACK SEG RP CGEM       4NC</v>
          </cell>
        </row>
        <row r="20617">
          <cell r="B20617" t="str">
            <v>51040111120105</v>
          </cell>
          <cell r="C20617" t="str">
            <v>LPC CIA SEGURO LEASEBACK RP CGEM        4NC</v>
          </cell>
        </row>
        <row r="20618">
          <cell r="B20618" t="str">
            <v>51040111120106</v>
          </cell>
          <cell r="C20618" t="str">
            <v>LPC CIA SEGURO LSBACK D/P RP CGEM       4NC</v>
          </cell>
        </row>
        <row r="20619">
          <cell r="B20619" t="str">
            <v>51040111120107</v>
          </cell>
          <cell r="C20619" t="str">
            <v>LPC INT GAN VIG LS BACK COFIDE IDL CGEM 4NC</v>
          </cell>
        </row>
        <row r="20620">
          <cell r="B20620" t="str">
            <v>51040111120108</v>
          </cell>
          <cell r="C20620" t="str">
            <v>LPC SEG INT GAN VIG LS BACK COFIDE IDL C4NC</v>
          </cell>
        </row>
        <row r="20621">
          <cell r="B20621" t="str">
            <v>51040111120109</v>
          </cell>
          <cell r="C20621" t="str">
            <v>LPC SEGUROS INT GAN VIG LEASEBACK COFIDE4NC</v>
          </cell>
        </row>
        <row r="20622">
          <cell r="B20622" t="str">
            <v>51040111120110</v>
          </cell>
          <cell r="C20622" t="str">
            <v>LPC INT GAN VIG LS BACK COFIDE D/P IDL C4NC</v>
          </cell>
        </row>
        <row r="20623">
          <cell r="B20623" t="str">
            <v>51040111120111</v>
          </cell>
          <cell r="C20623" t="str">
            <v>LPC SEG INT GAN VIG LS BACK COFIDE D/P I4NC</v>
          </cell>
        </row>
        <row r="20624">
          <cell r="B20624" t="str">
            <v>51040111120201</v>
          </cell>
          <cell r="C20624" t="str">
            <v>LPC INT VIG LSB  BIEN OTROS SUSP CGEM   4NC</v>
          </cell>
        </row>
        <row r="20625">
          <cell r="B20625" t="str">
            <v>51040111120202</v>
          </cell>
          <cell r="C20625" t="str">
            <v>LPC INT VIG LSB SEG OTROS SUSP CGEM     4NC</v>
          </cell>
        </row>
        <row r="20626">
          <cell r="B20626" t="str">
            <v>51040111120203</v>
          </cell>
          <cell r="C20626" t="str">
            <v>LPC CIA SEGURO LPC LSB OTROS SUSP CGEM  4NC</v>
          </cell>
        </row>
        <row r="20627">
          <cell r="B20627" t="str">
            <v>51040111210101</v>
          </cell>
          <cell r="C20627" t="str">
            <v>CL CXL CC  X ACEPT INT GAN CGEM         4NC</v>
          </cell>
        </row>
        <row r="20628">
          <cell r="B20628" t="str">
            <v>51040111210102</v>
          </cell>
          <cell r="C20628" t="str">
            <v>CL CXL CC AVAL X ACEPT INT GAN CGEM     4NC</v>
          </cell>
        </row>
        <row r="20629">
          <cell r="B20629" t="str">
            <v>51040111210103</v>
          </cell>
          <cell r="C20629" t="str">
            <v>CL CXL CC AVAL BKT INT GAN CPEM         4NC</v>
          </cell>
        </row>
        <row r="20630">
          <cell r="B20630" t="str">
            <v>51040111210104</v>
          </cell>
          <cell r="C20630" t="str">
            <v>CL INT GANAD CXL CC CAR CRED VISTA CGEM 4NC</v>
          </cell>
        </row>
        <row r="20631">
          <cell r="B20631" t="str">
            <v>51040111210105</v>
          </cell>
          <cell r="C20631" t="str">
            <v>CL INT GANAD CXL  STAND BY CGEM         4NC</v>
          </cell>
        </row>
        <row r="20632">
          <cell r="B20632" t="str">
            <v>51040111210106</v>
          </cell>
          <cell r="C20632" t="str">
            <v>CL INT GANAD CXL  COB AVAL CGEM         4NC</v>
          </cell>
        </row>
        <row r="20633">
          <cell r="B20633" t="str">
            <v>51040111210107</v>
          </cell>
          <cell r="C20633" t="str">
            <v>CL INT.GAN.VIG.CRED.POR LIQ. CARTA FIANZ4NC</v>
          </cell>
        </row>
        <row r="20634">
          <cell r="B20634" t="str">
            <v>51040111260101</v>
          </cell>
          <cell r="C20634" t="str">
            <v>LPC INT.GAN VIG IMPORT D/P CGEM         4NC</v>
          </cell>
        </row>
        <row r="20635">
          <cell r="B20635" t="str">
            <v>51040111260102</v>
          </cell>
          <cell r="C20635" t="str">
            <v>LPC INT GAN VIG EX PRE EMB  CGEM        4NC</v>
          </cell>
        </row>
        <row r="20636">
          <cell r="B20636" t="str">
            <v>51040111260103</v>
          </cell>
          <cell r="C20636" t="str">
            <v>LPC INT GAN VIG EX POST EMB RP D/P CGEM 4NC</v>
          </cell>
        </row>
        <row r="20637">
          <cell r="B20637" t="str">
            <v>51040111260104</v>
          </cell>
          <cell r="C20637" t="str">
            <v>LPC INT GAN VIG EX PRE EMB CGEM         4NC</v>
          </cell>
        </row>
        <row r="20638">
          <cell r="B20638" t="str">
            <v>51040111260105</v>
          </cell>
          <cell r="C20638" t="str">
            <v>LPC INT GAN VIG EX POST EMB RP CESF     4NC</v>
          </cell>
        </row>
        <row r="20639">
          <cell r="B20639" t="str">
            <v>51040111260106</v>
          </cell>
          <cell r="C20639" t="str">
            <v>LPC INT GAN VIG IMPOR CGEM              4NC</v>
          </cell>
        </row>
        <row r="20640">
          <cell r="B20640" t="str">
            <v>51040111260107</v>
          </cell>
          <cell r="C20640" t="str">
            <v>LPC INT.GAN VIG  WORK CAP.EX PRE EMB CGE4NC</v>
          </cell>
        </row>
        <row r="20641">
          <cell r="B20641" t="str">
            <v>51040111260108</v>
          </cell>
          <cell r="C20641" t="str">
            <v>LPC INT GAN FINAN PRE EMBARQUE          4NC</v>
          </cell>
        </row>
        <row r="20642">
          <cell r="B20642" t="str">
            <v>51040111260109</v>
          </cell>
          <cell r="C20642" t="str">
            <v>LPC INT GAN FINAN PRE EMBARQUE D/P      4NC</v>
          </cell>
        </row>
        <row r="20643">
          <cell r="B20643" t="str">
            <v>51040111260110</v>
          </cell>
          <cell r="C20643" t="str">
            <v>LPC INT GAN FINAN PRE EMBARQUE-SEPYMEX C4NC</v>
          </cell>
        </row>
        <row r="20644">
          <cell r="B20644" t="str">
            <v>51040111260111</v>
          </cell>
          <cell r="C20644" t="str">
            <v>LPC INT GAN FINAN PRE EMBARQUE D/P-SEPYM4NC</v>
          </cell>
        </row>
        <row r="20645">
          <cell r="B20645" t="str">
            <v>51040111260112</v>
          </cell>
          <cell r="C20645" t="str">
            <v>LPC INT GAN PRE EMBARQUE VIG.NORM CGEM  4NC</v>
          </cell>
        </row>
        <row r="20646">
          <cell r="B20646" t="str">
            <v>51040111260113</v>
          </cell>
          <cell r="C20646" t="str">
            <v>LPC INT GAN PRE EMBARQUE VIG.DUPE CGEM  4NC</v>
          </cell>
        </row>
        <row r="20647">
          <cell r="B20647" t="str">
            <v>51040111260114</v>
          </cell>
          <cell r="C20647" t="str">
            <v>LPC INT GAN POST EMBARQUE VIG.NORM CGEM 4NC</v>
          </cell>
        </row>
        <row r="20648">
          <cell r="B20648" t="str">
            <v>51040111260115</v>
          </cell>
          <cell r="C20648" t="str">
            <v>LPC INT GAN POST EMBARQUE VIG.DUPE CGEM 4NC</v>
          </cell>
        </row>
        <row r="20649">
          <cell r="B20649" t="str">
            <v>51040111260116</v>
          </cell>
          <cell r="C20649" t="str">
            <v>LPC INT GAN IMPORT. CARTA CREDITO  VIG.N4NC</v>
          </cell>
        </row>
        <row r="20650">
          <cell r="B20650" t="str">
            <v>51040111260117</v>
          </cell>
          <cell r="C20650" t="str">
            <v>LPC INT GAN IMPORT. CARTA CREDITO  VIG.D4NC</v>
          </cell>
        </row>
        <row r="20651">
          <cell r="B20651" t="str">
            <v>51040111260118</v>
          </cell>
          <cell r="C20651" t="str">
            <v>LPC INT GAN IMPORT.  VIG.NORM CGEM      4NC</v>
          </cell>
        </row>
        <row r="20652">
          <cell r="B20652" t="str">
            <v>51040111260119</v>
          </cell>
          <cell r="C20652" t="str">
            <v>LPC INT GAN IMPORT.  VIG.DUPE CGEM      4NC</v>
          </cell>
        </row>
        <row r="20653">
          <cell r="B20653" t="str">
            <v>51040111260120</v>
          </cell>
          <cell r="C20653" t="str">
            <v>LPC INT GAN PAGARE FORFAITING CGEM      4NC</v>
          </cell>
        </row>
        <row r="20654">
          <cell r="B20654" t="str">
            <v>51040111260121</v>
          </cell>
          <cell r="C20654" t="str">
            <v>LPC INT GAN PAGARE FORFAITING D/P CGEM  4NC</v>
          </cell>
        </row>
        <row r="20655">
          <cell r="B20655" t="str">
            <v>51040111260201</v>
          </cell>
          <cell r="C20655" t="str">
            <v>CL EX FORFAITING INT.GAN.VIG CGEM       4NC</v>
          </cell>
        </row>
        <row r="20656">
          <cell r="B20656" t="str">
            <v>51040111260202</v>
          </cell>
          <cell r="C20656" t="str">
            <v>CL INT.GAN.POST. EX EMBAR. D/P. VIG. CCO4NC</v>
          </cell>
        </row>
        <row r="20657">
          <cell r="B20657" t="str">
            <v>51040111260203</v>
          </cell>
          <cell r="C20657" t="str">
            <v>INT VENC TC - COMERC VEA CESP           4NC</v>
          </cell>
        </row>
        <row r="20658">
          <cell r="B20658" t="str">
            <v>51040111260204</v>
          </cell>
          <cell r="C20658" t="str">
            <v>CL EX INT VIG PAG.IMPORTAC.D/P CGEM     4NC</v>
          </cell>
        </row>
        <row r="20659">
          <cell r="B20659" t="str">
            <v>51040111260205</v>
          </cell>
          <cell r="C20659" t="str">
            <v>LPC COFIDE FONDOS CRECER CGEM  VIG\NORM 4NC</v>
          </cell>
        </row>
        <row r="20660">
          <cell r="B20660" t="str">
            <v>51040111260206</v>
          </cell>
          <cell r="C20660" t="str">
            <v>LPC COFIDE FONDOS CRECER CGEM  VIG\DUPE 4NC</v>
          </cell>
        </row>
        <row r="20661">
          <cell r="B20661" t="str">
            <v>51040111260207</v>
          </cell>
          <cell r="C20661" t="str">
            <v>LPC COFIDE FONDOS CRECER CGEM  VIG\NORM 4NC</v>
          </cell>
        </row>
        <row r="20662">
          <cell r="B20662" t="str">
            <v>51040111260208</v>
          </cell>
          <cell r="C20662" t="str">
            <v>LPC COFIDE FONDOS CRECER CGEM  VIG\DUPE 4NC</v>
          </cell>
        </row>
        <row r="20663">
          <cell r="B20663" t="str">
            <v>51040111260209</v>
          </cell>
          <cell r="C20663" t="str">
            <v>LPC REPROG EM COVID-19 PRE-EMBARQUE CGEM4NC</v>
          </cell>
        </row>
        <row r="20664">
          <cell r="B20664" t="str">
            <v>51040111260210</v>
          </cell>
          <cell r="C20664" t="str">
            <v>LPC REPROG EM COVID-19 PRE-EMBARQUE CGEM4NC</v>
          </cell>
        </row>
        <row r="20665">
          <cell r="B20665" t="str">
            <v>51040111260211</v>
          </cell>
          <cell r="C20665" t="str">
            <v>LPC REPROG EM COVID-19 POST-EMBARQUE CGE4NC</v>
          </cell>
        </row>
        <row r="20666">
          <cell r="B20666" t="str">
            <v>51040111260212</v>
          </cell>
          <cell r="C20666" t="str">
            <v>LPC REPROG EM COVID-19 POST-EMBARQUE CGE4NC</v>
          </cell>
        </row>
        <row r="20667">
          <cell r="B20667" t="str">
            <v>51040111260213</v>
          </cell>
          <cell r="C20667" t="str">
            <v>LPC REPROG EM COVID-19 FINAN.COMEX CGEM\4NC</v>
          </cell>
        </row>
        <row r="20668">
          <cell r="B20668" t="str">
            <v>51040111260214</v>
          </cell>
          <cell r="C20668" t="str">
            <v>LPC REPROG EM COVID-19 FINAN.COMEX CGEM\4NC</v>
          </cell>
        </row>
        <row r="20669">
          <cell r="B20669" t="str">
            <v>51040111260801</v>
          </cell>
          <cell r="C20669" t="str">
            <v>PAN CREDITOS COMERCIO EXTERIOR CGEM     4NC</v>
          </cell>
        </row>
        <row r="20670">
          <cell r="B20670" t="str">
            <v>51040111260802</v>
          </cell>
          <cell r="C20670" t="str">
            <v>INT GAN VIG CREDITOS PRE EMBARQUE CGEM  4NC</v>
          </cell>
        </row>
        <row r="20671">
          <cell r="B20671" t="str">
            <v>51040111260803</v>
          </cell>
          <cell r="C20671" t="str">
            <v>INT GAN VIG CREDITOS POST EMBARQUE CGEM 4NC</v>
          </cell>
        </row>
        <row r="20672">
          <cell r="B20672" t="str">
            <v>51040111300101</v>
          </cell>
          <cell r="C20672" t="str">
            <v>FINANCIACIÃ“N DE PROYECTOS GE           4NC</v>
          </cell>
        </row>
        <row r="20673">
          <cell r="B20673" t="str">
            <v>51040111300102</v>
          </cell>
          <cell r="C20673" t="str">
            <v>LPC INT GAN PAG FINAN PROY D/P VIG CGEM 4NC</v>
          </cell>
        </row>
        <row r="20674">
          <cell r="B20674" t="str">
            <v>51040111300103</v>
          </cell>
          <cell r="C20674" t="str">
            <v>LPC INT GAN PAG. FINANC PROY COFIDE CGEM4NC</v>
          </cell>
        </row>
        <row r="20675">
          <cell r="B20675" t="str">
            <v>51040111300104</v>
          </cell>
          <cell r="C20675" t="str">
            <v>LPC INT GAN VIG  PAG. FINANC PROY COFIDE4NC</v>
          </cell>
        </row>
        <row r="20676">
          <cell r="B20676" t="str">
            <v>51040111300105</v>
          </cell>
          <cell r="C20676" t="str">
            <v>LPC PAG FINAN PROY VERDE-SOCIAL CGEM NOR4 C</v>
          </cell>
        </row>
        <row r="20677">
          <cell r="B20677" t="str">
            <v>51040111300106</v>
          </cell>
          <cell r="C20677" t="str">
            <v>LPC PAG FINAN PROY VERDE-SOCIAL CGEM DUP4 C</v>
          </cell>
        </row>
        <row r="20678">
          <cell r="B20678" t="str">
            <v>51040111300107</v>
          </cell>
          <cell r="C20678" t="str">
            <v>LPC PAG FINAN PROY VINC-SOSTENIB CGEM NO4 C</v>
          </cell>
        </row>
        <row r="20679">
          <cell r="B20679" t="str">
            <v>51040111300108</v>
          </cell>
          <cell r="C20679" t="str">
            <v>LPC PAG FINAN PROY VINC-SOSTENIB CGEM DU4 C</v>
          </cell>
        </row>
        <row r="20680">
          <cell r="B20680" t="str">
            <v>51040111300109</v>
          </cell>
          <cell r="C20680" t="str">
            <v>LPC INT LEASING FINANCIACION PROYECTO CG4 C</v>
          </cell>
        </row>
        <row r="20681">
          <cell r="B20681" t="str">
            <v>51040111330100</v>
          </cell>
          <cell r="C20681" t="str">
            <v>LPC PAG BIENES INMB RENTA VERDE-SOCIAL C4 C</v>
          </cell>
        </row>
        <row r="20682">
          <cell r="B20682" t="str">
            <v>51040111330101</v>
          </cell>
          <cell r="C20682" t="str">
            <v>LPC PAG BIENES INMB RENTA VERDE-SOCIAL C4 C</v>
          </cell>
        </row>
        <row r="20683">
          <cell r="B20683" t="str">
            <v>51040111330102</v>
          </cell>
          <cell r="C20683" t="str">
            <v>LPC PAG BIENES INMB RENTA VINC-SOSTENIB 4 C</v>
          </cell>
        </row>
        <row r="20684">
          <cell r="B20684" t="str">
            <v>51040111330103</v>
          </cell>
          <cell r="C20684" t="str">
            <v>LPC PAG BIENES INMB RENTA VINC-SOSTENIB 4 C</v>
          </cell>
        </row>
        <row r="20685">
          <cell r="B20685" t="str">
            <v>51040112010101</v>
          </cell>
          <cell r="C20685" t="str">
            <v>IM INT AVANCE CTA CTE CMED              4NC</v>
          </cell>
        </row>
        <row r="20686">
          <cell r="B20686" t="str">
            <v>51040112010102</v>
          </cell>
          <cell r="C20686" t="str">
            <v>IM INT AVANCE CTA CTE PN CMED           4NC</v>
          </cell>
        </row>
        <row r="20687">
          <cell r="B20687" t="str">
            <v>51040112010103</v>
          </cell>
          <cell r="C20687" t="str">
            <v>LPC AVA CUENT  INT GAN NORM CMED        4NC</v>
          </cell>
        </row>
        <row r="20688">
          <cell r="B20688" t="str">
            <v>51040112010104</v>
          </cell>
          <cell r="C20688" t="str">
            <v>LPC AVA CUENT  INT GAN DUPE CMED        4NC</v>
          </cell>
        </row>
        <row r="20689">
          <cell r="B20689" t="str">
            <v>51040112010105</v>
          </cell>
          <cell r="C20689" t="str">
            <v>IM INT AVANCE CTA CTE CMED              4NC</v>
          </cell>
        </row>
        <row r="20690">
          <cell r="B20690" t="str">
            <v>51040112020101</v>
          </cell>
          <cell r="C20690" t="str">
            <v>INT VIG TC - COMERCIAL VISA CMED        4NC</v>
          </cell>
        </row>
        <row r="20691">
          <cell r="B20691" t="str">
            <v>51040112020102</v>
          </cell>
          <cell r="C20691" t="str">
            <v>INT VIG TC - COMERC MC CMED             4NC</v>
          </cell>
        </row>
        <row r="20692">
          <cell r="B20692" t="str">
            <v>51040112020103</v>
          </cell>
          <cell r="C20692" t="str">
            <v>TC INT CDEUDA PAR AMEX CMED             4NC</v>
          </cell>
        </row>
        <row r="20693">
          <cell r="B20693" t="str">
            <v>51040112020104</v>
          </cell>
          <cell r="C20693" t="str">
            <v>TC INT CDEUDA REV AMEX CMED             4NC</v>
          </cell>
        </row>
        <row r="20694">
          <cell r="B20694" t="str">
            <v>51040112020105</v>
          </cell>
          <cell r="C20694" t="str">
            <v>TC INT CUOTAS AMEX CMED                 4NC</v>
          </cell>
        </row>
        <row r="20695">
          <cell r="B20695" t="str">
            <v>51040112020106</v>
          </cell>
          <cell r="C20695" t="str">
            <v>TC INT EXTRACASH AMEX CMED              4NC</v>
          </cell>
        </row>
        <row r="20696">
          <cell r="B20696" t="str">
            <v>51040112020107</v>
          </cell>
          <cell r="C20696" t="str">
            <v>TC INT REPROG PAR AMEX CMED             4NC</v>
          </cell>
        </row>
        <row r="20697">
          <cell r="B20697" t="str">
            <v>51040112020108</v>
          </cell>
          <cell r="C20697" t="str">
            <v>TC INT REPROG REV AMEX CMED             4NC</v>
          </cell>
        </row>
        <row r="20698">
          <cell r="B20698" t="str">
            <v>51040112020109</v>
          </cell>
          <cell r="C20698" t="str">
            <v>TC INT REV AMEX CMED                    4NC</v>
          </cell>
        </row>
        <row r="20699">
          <cell r="B20699" t="str">
            <v>51040112020110</v>
          </cell>
          <cell r="C20699" t="str">
            <v>TC INT CDEUDA PAR MC CMED               4NC</v>
          </cell>
        </row>
        <row r="20700">
          <cell r="B20700" t="str">
            <v>51040112020111</v>
          </cell>
          <cell r="C20700" t="str">
            <v>TC INT CDEUDA REV MC CMED               4NC</v>
          </cell>
        </row>
        <row r="20701">
          <cell r="B20701" t="str">
            <v>51040112020112</v>
          </cell>
          <cell r="C20701" t="str">
            <v>TC INT CUOTAS MC CMED                   4NC</v>
          </cell>
        </row>
        <row r="20702">
          <cell r="B20702" t="str">
            <v>51040112020113</v>
          </cell>
          <cell r="C20702" t="str">
            <v>TC INT EXTRACASH MC CMED                4NC</v>
          </cell>
        </row>
        <row r="20703">
          <cell r="B20703" t="str">
            <v>51040112020114</v>
          </cell>
          <cell r="C20703" t="str">
            <v>TC INT REPROG PAR MC CMED               4NC</v>
          </cell>
        </row>
        <row r="20704">
          <cell r="B20704" t="str">
            <v>51040112020115</v>
          </cell>
          <cell r="C20704" t="str">
            <v>TC INT REPROG REV MC CMED               4NC</v>
          </cell>
        </row>
        <row r="20705">
          <cell r="B20705" t="str">
            <v>51040112020116</v>
          </cell>
          <cell r="C20705" t="str">
            <v>TC INT REV MC CMED                      4NC</v>
          </cell>
        </row>
        <row r="20706">
          <cell r="B20706" t="str">
            <v>51040112020117</v>
          </cell>
          <cell r="C20706" t="str">
            <v>TC INT CDEUDA PAR VISA CMED             4NC</v>
          </cell>
        </row>
        <row r="20707">
          <cell r="B20707" t="str">
            <v>51040112020118</v>
          </cell>
          <cell r="C20707" t="str">
            <v>TC INT CDEUDA PAR VISA MEGAPLAZA CMED   4NC</v>
          </cell>
        </row>
        <row r="20708">
          <cell r="B20708" t="str">
            <v>51040112020119</v>
          </cell>
          <cell r="C20708" t="str">
            <v>TC INT CDEUDA PAR VISA VEA CMED         4NC</v>
          </cell>
        </row>
        <row r="20709">
          <cell r="B20709" t="str">
            <v>51040112020120</v>
          </cell>
          <cell r="C20709" t="str">
            <v>TC INT CDEUDA REV VISA CMED             4NC</v>
          </cell>
        </row>
        <row r="20710">
          <cell r="B20710" t="str">
            <v>51040112020121</v>
          </cell>
          <cell r="C20710" t="str">
            <v>TC INT CDEUDA REV VISA MEGAPLAZA CMED   4NC</v>
          </cell>
        </row>
        <row r="20711">
          <cell r="B20711" t="str">
            <v>51040112020122</v>
          </cell>
          <cell r="C20711" t="str">
            <v>TC INT CDEUDA REV VISA VEA CMED         4NC</v>
          </cell>
        </row>
        <row r="20712">
          <cell r="B20712" t="str">
            <v>51040112020123</v>
          </cell>
          <cell r="C20712" t="str">
            <v>TC INT CUOTAS VISA CMED                 4NC</v>
          </cell>
        </row>
        <row r="20713">
          <cell r="B20713" t="str">
            <v>51040112020124</v>
          </cell>
          <cell r="C20713" t="str">
            <v>TC INT CUOTAS VISA MEGAPLAZA CMED       4NC</v>
          </cell>
        </row>
        <row r="20714">
          <cell r="B20714" t="str">
            <v>51040112020125</v>
          </cell>
          <cell r="C20714" t="str">
            <v>TC INT CUOTAS VISA VEA CMED             4NC</v>
          </cell>
        </row>
        <row r="20715">
          <cell r="B20715" t="str">
            <v>51040112020126</v>
          </cell>
          <cell r="C20715" t="str">
            <v>TC INT EXTRACASH VISA CMED              4NC</v>
          </cell>
        </row>
        <row r="20716">
          <cell r="B20716" t="str">
            <v>51040112020127</v>
          </cell>
          <cell r="C20716" t="str">
            <v>TC INT EXTRACASH VISA MEGAPLAZA CMED    4NC</v>
          </cell>
        </row>
        <row r="20717">
          <cell r="B20717" t="str">
            <v>51040112020128</v>
          </cell>
          <cell r="C20717" t="str">
            <v>TC INT EXTRACASH VISA VEA CMED          4NC</v>
          </cell>
        </row>
        <row r="20718">
          <cell r="B20718" t="str">
            <v>51040112020129</v>
          </cell>
          <cell r="C20718" t="str">
            <v>TC INT REPROG PAR VISA CMED             4NC</v>
          </cell>
        </row>
        <row r="20719">
          <cell r="B20719" t="str">
            <v>51040112020130</v>
          </cell>
          <cell r="C20719" t="str">
            <v>TC INT REPROG PAR VISA MEGAPLAZA CMED   4NC</v>
          </cell>
        </row>
        <row r="20720">
          <cell r="B20720" t="str">
            <v>51040112020131</v>
          </cell>
          <cell r="C20720" t="str">
            <v>TC INT REPROG PAR VISA VEA CMED         4NC</v>
          </cell>
        </row>
        <row r="20721">
          <cell r="B20721" t="str">
            <v>51040112020132</v>
          </cell>
          <cell r="C20721" t="str">
            <v>TC INT REPROG REV VISA CMED             4NC</v>
          </cell>
        </row>
        <row r="20722">
          <cell r="B20722" t="str">
            <v>51040112020133</v>
          </cell>
          <cell r="C20722" t="str">
            <v>TC INT REPROG REV VISA MEGAPLAZA CMED   4NC</v>
          </cell>
        </row>
        <row r="20723">
          <cell r="B20723" t="str">
            <v>51040112020134</v>
          </cell>
          <cell r="C20723" t="str">
            <v>TC INT REPROG REV VISA VEA CMED         4NC</v>
          </cell>
        </row>
        <row r="20724">
          <cell r="B20724" t="str">
            <v>51040112020135</v>
          </cell>
          <cell r="C20724" t="str">
            <v>TC INT REV VISA CMED                    4NC</v>
          </cell>
        </row>
        <row r="20725">
          <cell r="B20725" t="str">
            <v>51040112020136</v>
          </cell>
          <cell r="C20725" t="str">
            <v>TC INT REV VISA MEGAPLAZA CMED          4NC</v>
          </cell>
        </row>
        <row r="20726">
          <cell r="B20726" t="str">
            <v>51040112020137</v>
          </cell>
          <cell r="C20726" t="str">
            <v>TC INT REV VISA VEA CMED                4NC</v>
          </cell>
        </row>
        <row r="20727">
          <cell r="B20727" t="str">
            <v>51040112021711</v>
          </cell>
          <cell r="C20727" t="str">
            <v>TC DIEF INT CUOTAS AMEX CMED            4NC</v>
          </cell>
        </row>
        <row r="20728">
          <cell r="B20728" t="str">
            <v>51040112021712</v>
          </cell>
          <cell r="C20728" t="str">
            <v>TC DIEF INT CUOTAS VISA CMED            4NC</v>
          </cell>
        </row>
        <row r="20729">
          <cell r="B20729" t="str">
            <v>51040112021713</v>
          </cell>
          <cell r="C20729" t="str">
            <v>TC DIEF INT CUOTAS VISA MEGAPLAZA CMED  4NC</v>
          </cell>
        </row>
        <row r="20730">
          <cell r="B20730" t="str">
            <v>51040112021714</v>
          </cell>
          <cell r="C20730" t="str">
            <v>TC DIEF INT CUOTAS VISA VEA CMED        4NC</v>
          </cell>
        </row>
        <row r="20731">
          <cell r="B20731" t="str">
            <v>51040112021715</v>
          </cell>
          <cell r="C20731" t="str">
            <v>TC DIEF INT CUOTAS MC CMED              4NC</v>
          </cell>
        </row>
        <row r="20732">
          <cell r="B20732" t="str">
            <v>51040112021721</v>
          </cell>
          <cell r="C20732" t="str">
            <v>TC DIEF INT REV AMEX CMED               4NC</v>
          </cell>
        </row>
        <row r="20733">
          <cell r="B20733" t="str">
            <v>51040112021722</v>
          </cell>
          <cell r="C20733" t="str">
            <v>TC DIEF INT REV VISA CMED               4NC</v>
          </cell>
        </row>
        <row r="20734">
          <cell r="B20734" t="str">
            <v>51040112021723</v>
          </cell>
          <cell r="C20734" t="str">
            <v>TC DIEF INT REV VISA MEGAPLAZA CMED     4NC</v>
          </cell>
        </row>
        <row r="20735">
          <cell r="B20735" t="str">
            <v>51040112021724</v>
          </cell>
          <cell r="C20735" t="str">
            <v>TC DIEF INT REV VISA VEA CMED           4NC</v>
          </cell>
        </row>
        <row r="20736">
          <cell r="B20736" t="str">
            <v>51040112021725</v>
          </cell>
          <cell r="C20736" t="str">
            <v>TC DIEF INT REV MC CMED                 4NC</v>
          </cell>
        </row>
        <row r="20737">
          <cell r="B20737" t="str">
            <v>51040112040101</v>
          </cell>
          <cell r="C20737" t="str">
            <v>IM INT SOBREGIRO CTA CTE CMED           4NC</v>
          </cell>
        </row>
        <row r="20738">
          <cell r="B20738" t="str">
            <v>51040112040102</v>
          </cell>
          <cell r="C20738" t="str">
            <v>IM INT SOBREGIRO CTA CTE PN CMED        4NC</v>
          </cell>
        </row>
        <row r="20739">
          <cell r="B20739" t="str">
            <v>51040112050101</v>
          </cell>
          <cell r="C20739" t="str">
            <v>CL INT GANAD PAG DSCTO VIG CMED         4NC</v>
          </cell>
        </row>
        <row r="20740">
          <cell r="B20740" t="str">
            <v>51040112050102</v>
          </cell>
          <cell r="C20740" t="str">
            <v>CL INT GAN PAG DSCTO D/P VIG CMED       4NC</v>
          </cell>
        </row>
        <row r="20741">
          <cell r="B20741" t="str">
            <v>51040112050104</v>
          </cell>
          <cell r="C20741" t="str">
            <v>PR INT GANA VIG LETRAS T. DSCTOÂ  CMED  4NC</v>
          </cell>
        </row>
        <row r="20742">
          <cell r="B20742" t="str">
            <v>51040112050105</v>
          </cell>
          <cell r="C20742" t="str">
            <v>FCD INT. GAN DSCTO ELECTR VIG DUD CMED  4NC</v>
          </cell>
        </row>
        <row r="20743">
          <cell r="B20743" t="str">
            <v>51040112050106</v>
          </cell>
          <cell r="C20743" t="str">
            <v>FCD DESC. LET. I. VIG. CMED DUPE        4NC</v>
          </cell>
        </row>
        <row r="20744">
          <cell r="B20744" t="str">
            <v>51040112050107</v>
          </cell>
          <cell r="C20744" t="str">
            <v>FCD DESC. FACT. I. VIG. CMED DUPE       4NC</v>
          </cell>
        </row>
        <row r="20745">
          <cell r="B20745" t="str">
            <v>51040112050108</v>
          </cell>
          <cell r="C20745" t="str">
            <v>FCD DESC. VIRTUAL I. VIG. CMED DUPE     4NC</v>
          </cell>
        </row>
        <row r="20746">
          <cell r="B20746" t="str">
            <v>51040112050109</v>
          </cell>
          <cell r="C20746" t="str">
            <v>FCD DESC. FACT. NEG. I. VIG. CMED DUPE  4NC</v>
          </cell>
        </row>
        <row r="20747">
          <cell r="B20747" t="str">
            <v>51040112050110</v>
          </cell>
          <cell r="C20747" t="str">
            <v>FCD DESC. VIRTUAL I. VIG. CMED NORMAL   4NC</v>
          </cell>
        </row>
        <row r="20748">
          <cell r="B20748" t="str">
            <v>51040112050111</v>
          </cell>
          <cell r="C20748" t="str">
            <v>LPC INT GAN PAG DSCTO VIGC CMED         4NC</v>
          </cell>
        </row>
        <row r="20749">
          <cell r="B20749" t="str">
            <v>51040112050112</v>
          </cell>
          <cell r="C20749" t="str">
            <v>LPC INT GAN PAG DSCTO D/P VIGC CMED     4NC</v>
          </cell>
        </row>
        <row r="20750">
          <cell r="B20750" t="str">
            <v>51040112050201</v>
          </cell>
          <cell r="C20750" t="str">
            <v>FCD INT GANAD VIG LETRAS DSCTO  CMEDG LE4NC</v>
          </cell>
        </row>
        <row r="20751">
          <cell r="B20751" t="str">
            <v>51040112050202</v>
          </cell>
          <cell r="C20751" t="str">
            <v>FCD DSCTO ELECTR SM PERU I.VIG CMED     4NC</v>
          </cell>
        </row>
        <row r="20752">
          <cell r="B20752" t="str">
            <v>51040112050203</v>
          </cell>
          <cell r="C20752" t="str">
            <v>PR INT GANAD VIG LTRA DSTO DP   CMED    4NC</v>
          </cell>
        </row>
        <row r="20753">
          <cell r="B20753" t="str">
            <v>51040112060101</v>
          </cell>
          <cell r="C20753" t="str">
            <v>LIC DP INT GAN CONV REV VIGENTE         4NC</v>
          </cell>
        </row>
        <row r="20754">
          <cell r="B20754" t="str">
            <v>51040112060102</v>
          </cell>
          <cell r="C20754" t="str">
            <v>LIC DP INT GAN CONV VIG MED EMPR        4NC</v>
          </cell>
        </row>
        <row r="20755">
          <cell r="B20755" t="str">
            <v>51040112060201</v>
          </cell>
          <cell r="C20755" t="str">
            <v>HPC ME INT.GAN.VIG  CRED EFECTIVO       4NC</v>
          </cell>
        </row>
        <row r="20756">
          <cell r="B20756" t="str">
            <v>51040112060202</v>
          </cell>
          <cell r="C20756" t="str">
            <v>HPC ME INT.GAN.VIG  CRED VEHIC          4NC</v>
          </cell>
        </row>
        <row r="20757">
          <cell r="B20757" t="str">
            <v>51040112060203</v>
          </cell>
          <cell r="C20757" t="str">
            <v>HPC ME D/P GAN.INT.VIG EFECTIVO         4NC</v>
          </cell>
        </row>
        <row r="20758">
          <cell r="B20758" t="str">
            <v>51040112060204</v>
          </cell>
          <cell r="C20758" t="str">
            <v>HPC ME D/P GAN.INT.VIG VEHICULAR        4NC</v>
          </cell>
        </row>
        <row r="20759">
          <cell r="B20759" t="str">
            <v>51040112060205</v>
          </cell>
          <cell r="C20759" t="str">
            <v>HPC ME INT.GAN.VIG EFEC C/GARANT. HIP.  4NC</v>
          </cell>
        </row>
        <row r="20760">
          <cell r="B20760" t="str">
            <v>51040112060206</v>
          </cell>
          <cell r="C20760" t="str">
            <v>HPC ME D/P GAN.INT.VIG  EFEC C/GAR. HIP.4NC</v>
          </cell>
        </row>
        <row r="20761">
          <cell r="B20761" t="str">
            <v>51040112060301</v>
          </cell>
          <cell r="C20761" t="str">
            <v>MYP INT.GAN.VIG .CAP.TRAB CMED.         4NC</v>
          </cell>
        </row>
        <row r="20762">
          <cell r="B20762" t="str">
            <v>51040112060302</v>
          </cell>
          <cell r="C20762" t="str">
            <v>MYP INT.GAN.COMPRA.AF CMED              4NC</v>
          </cell>
        </row>
        <row r="20763">
          <cell r="B20763" t="str">
            <v>51040112060303</v>
          </cell>
          <cell r="C20763" t="str">
            <v>MYP INT.GAN.VIG FIN.CRED PARAL CMED     4NC</v>
          </cell>
        </row>
        <row r="20764">
          <cell r="B20764" t="str">
            <v>51040112060304</v>
          </cell>
          <cell r="C20764" t="str">
            <v>MYP D/P GAN.INT.VIG CAP.TRAB CMED       4NC</v>
          </cell>
        </row>
        <row r="20765">
          <cell r="B20765" t="str">
            <v>51040112060305</v>
          </cell>
          <cell r="C20765" t="str">
            <v>MYP D/P GAN.INT.VIG AF INMUEBLE CMED    4NC</v>
          </cell>
        </row>
        <row r="20766">
          <cell r="B20766" t="str">
            <v>51040112060306</v>
          </cell>
          <cell r="C20766" t="str">
            <v>MYP D/P GAN.INT.VIG AF INMUEBLE CMED    4NC</v>
          </cell>
        </row>
        <row r="20767">
          <cell r="B20767" t="str">
            <v>51040112060307</v>
          </cell>
          <cell r="C20767" t="str">
            <v>MYP D/P GAN.INT.VIG AF INMUEBLE CMED    4NC</v>
          </cell>
        </row>
        <row r="20768">
          <cell r="B20768" t="str">
            <v>51040112060308</v>
          </cell>
          <cell r="C20768" t="str">
            <v>MYP INT.GAN.VIG COMP DEU CMED           4NC</v>
          </cell>
        </row>
        <row r="20769">
          <cell r="B20769" t="str">
            <v>51040112060309</v>
          </cell>
          <cell r="C20769" t="str">
            <v>MYP D/P GAN.INT.VIG FIN. COMP.DEU.CAP.TR4NC</v>
          </cell>
        </row>
        <row r="20770">
          <cell r="B20770" t="str">
            <v>51040112060310</v>
          </cell>
          <cell r="C20770" t="str">
            <v>MYP INT.GAN.VIG FIN.CRED. PARAL. CMED   4NC</v>
          </cell>
        </row>
        <row r="20771">
          <cell r="B20771" t="str">
            <v>51040112060313</v>
          </cell>
          <cell r="C20771" t="str">
            <v>MYP D/P GAN.INT.VIG FIN.ESTACIONAL CMED 4NC</v>
          </cell>
        </row>
        <row r="20772">
          <cell r="B20772" t="str">
            <v>51040112060314</v>
          </cell>
          <cell r="C20772" t="str">
            <v>MYP INT.GAN.VIG LIN REVOLV CMED         4NC</v>
          </cell>
        </row>
        <row r="20773">
          <cell r="B20773" t="str">
            <v>51040112060315</v>
          </cell>
          <cell r="C20773" t="str">
            <v>MYP D/P GAN.INT.VIG LINEA REVOL CMED    4NC</v>
          </cell>
        </row>
        <row r="20774">
          <cell r="B20774" t="str">
            <v>51040112060316</v>
          </cell>
          <cell r="C20774" t="str">
            <v>MYP D/P GAN.INT.VIG TRANSP PUB CMED     4NC</v>
          </cell>
        </row>
        <row r="20775">
          <cell r="B20775" t="str">
            <v>51040112060317</v>
          </cell>
          <cell r="C20775" t="str">
            <v>MYP INT GAN COM DEU AF VENC CMED        4NC</v>
          </cell>
        </row>
        <row r="20776">
          <cell r="B20776" t="str">
            <v>51040112060318</v>
          </cell>
          <cell r="C20776" t="str">
            <v>MYP INT GAN COM DEU AF VENC CMED D/P    4NC</v>
          </cell>
        </row>
        <row r="20777">
          <cell r="B20777" t="str">
            <v>51040112060319</v>
          </cell>
          <cell r="C20777" t="str">
            <v>MYP INT.GAN.VIG TRANSP PUBL CMED        4NC</v>
          </cell>
        </row>
        <row r="20778">
          <cell r="B20778" t="str">
            <v>51040112060320</v>
          </cell>
          <cell r="C20778" t="str">
            <v>MYP INT GAN FINANC IMPORT CMED D/P      4NC</v>
          </cell>
        </row>
        <row r="20779">
          <cell r="B20779" t="str">
            <v>51040112060321</v>
          </cell>
          <cell r="C20779" t="str">
            <v>MYP INT GAN E.R CAP TRAB VIG CMED       4NC</v>
          </cell>
        </row>
        <row r="20780">
          <cell r="B20780" t="str">
            <v>51040112060322</v>
          </cell>
          <cell r="C20780" t="str">
            <v>MYP INT GAN E.R CAP TRAB VIG CMED D/P   4NC</v>
          </cell>
        </row>
        <row r="20781">
          <cell r="B20781" t="str">
            <v>51040112060323</v>
          </cell>
          <cell r="C20781" t="str">
            <v>MYP INT GAN VIG REFIN.COBRAN C/FIJA CMED4NC</v>
          </cell>
        </row>
        <row r="20782">
          <cell r="B20782" t="str">
            <v>51040112060324</v>
          </cell>
          <cell r="C20782" t="str">
            <v>MYP INT GAN VIG REFIN.COBRAN REVOLCMED  4NC</v>
          </cell>
        </row>
        <row r="20783">
          <cell r="B20783" t="str">
            <v>51040112060325</v>
          </cell>
          <cell r="C20783" t="str">
            <v>MYP INT GAN FINANC IMPORT CMED          4NC</v>
          </cell>
        </row>
        <row r="20784">
          <cell r="B20784" t="str">
            <v>51040112060326</v>
          </cell>
          <cell r="C20784" t="str">
            <v>MYP ER VIG FIN CAP TRA DUP CMED         4NC</v>
          </cell>
        </row>
        <row r="20785">
          <cell r="B20785" t="str">
            <v>51040112060327</v>
          </cell>
          <cell r="C20785" t="str">
            <v>MYP D/P INT.GAN.VIG PAG.BPE-BE COMER.CME4NC</v>
          </cell>
        </row>
        <row r="20786">
          <cell r="B20786" t="str">
            <v>51040112060328</v>
          </cell>
          <cell r="C20786" t="str">
            <v>MYP INT.GAN.VIG.PAG BPE-BE COM.NORM CMED4NC</v>
          </cell>
        </row>
        <row r="20787">
          <cell r="B20787" t="str">
            <v>51040112060329</v>
          </cell>
          <cell r="C20787" t="str">
            <v>MYP D/P GAN.INT.VIG LIN REV.BPE-BE COM C4NC</v>
          </cell>
        </row>
        <row r="20788">
          <cell r="B20788" t="str">
            <v>51040112060330</v>
          </cell>
          <cell r="C20788" t="str">
            <v>MYP I.GAN.VIG LIN REV.BPE-BE COM NORM CM4NC</v>
          </cell>
        </row>
        <row r="20789">
          <cell r="B20789" t="str">
            <v>51040112060331</v>
          </cell>
          <cell r="C20789" t="str">
            <v>MYP INTGANVIG CAPTRABPROVREFCMED        4NC</v>
          </cell>
        </row>
        <row r="20790">
          <cell r="B20790" t="str">
            <v>51040112060332</v>
          </cell>
          <cell r="C20790" t="str">
            <v>MYP INTGANVIG LIN REVOL PROVREFCMED     4NC</v>
          </cell>
        </row>
        <row r="20791">
          <cell r="B20791" t="str">
            <v>51040112060333</v>
          </cell>
          <cell r="C20791" t="str">
            <v>MYP INT.GAN.VIG .CAP.TRAB.REUT.CMED     4NC</v>
          </cell>
        </row>
        <row r="20792">
          <cell r="B20792" t="str">
            <v>51040112060334</v>
          </cell>
          <cell r="C20792" t="str">
            <v>MYP INT.GAN.VIG LIN REVOL REUT.CMED     4NC</v>
          </cell>
        </row>
        <row r="20793">
          <cell r="B20793" t="str">
            <v>51040112060335</v>
          </cell>
          <cell r="C20793" t="str">
            <v>MYP DUPE INT.GAN.VIG LIN REVOL REUT.CMED4NC</v>
          </cell>
        </row>
        <row r="20794">
          <cell r="B20794" t="str">
            <v>51040112060336</v>
          </cell>
          <cell r="C20794" t="str">
            <v>MYP DUPE INT GAN VIG CAP TRAB PROV REF C4NC</v>
          </cell>
        </row>
        <row r="20795">
          <cell r="B20795" t="str">
            <v>51040112060501</v>
          </cell>
          <cell r="C20795" t="str">
            <v>LPC INT GAN VIG PAG TV  D/P CMED        4NC</v>
          </cell>
        </row>
        <row r="20796">
          <cell r="B20796" t="str">
            <v>51040112060502</v>
          </cell>
          <cell r="C20796" t="str">
            <v>LPC INT GAN PAG TV VIGEN CMED           4NC</v>
          </cell>
        </row>
        <row r="20797">
          <cell r="B20797" t="str">
            <v>51040112060503</v>
          </cell>
          <cell r="C20797" t="str">
            <v>LPC PTV  CAP COFIDE SBS CMED            4NC</v>
          </cell>
        </row>
        <row r="20798">
          <cell r="B20798" t="str">
            <v>51040112060504</v>
          </cell>
          <cell r="C20798" t="str">
            <v>LPC INT GAN VIG PAGTV  COFIDE - D/P     4NC</v>
          </cell>
        </row>
        <row r="20799">
          <cell r="B20799" t="str">
            <v>51040112060505</v>
          </cell>
          <cell r="C20799" t="str">
            <v>LPC INT GAN PAG TV MED PLZ              4NC</v>
          </cell>
        </row>
        <row r="20800">
          <cell r="B20800" t="str">
            <v>51040112060506</v>
          </cell>
          <cell r="C20800" t="str">
            <v>LPC INT GAN PAG TV MED PLZ D/P          4NC</v>
          </cell>
        </row>
        <row r="20801">
          <cell r="B20801" t="str">
            <v>51040112060507</v>
          </cell>
          <cell r="C20801" t="str">
            <v>LPC INT GAN PAG TV INMOBILIARIO         4NC</v>
          </cell>
        </row>
        <row r="20802">
          <cell r="B20802" t="str">
            <v>51040112060508</v>
          </cell>
          <cell r="C20802" t="str">
            <v>LPC INT GAN PAG TV INMOBILIARIO D/P     4NC</v>
          </cell>
        </row>
        <row r="20803">
          <cell r="B20803" t="str">
            <v>51040112060509</v>
          </cell>
          <cell r="C20803" t="str">
            <v>LPC INT GAN PAG TV EUROS                4NC</v>
          </cell>
        </row>
        <row r="20804">
          <cell r="B20804" t="str">
            <v>51040112060510</v>
          </cell>
          <cell r="C20804" t="str">
            <v>LPC INT GAN PAG TV EUROS                4NC</v>
          </cell>
        </row>
        <row r="20805">
          <cell r="B20805" t="str">
            <v>51040112060511</v>
          </cell>
          <cell r="C20805" t="str">
            <v>LPC INT GAN PAG DERIVADOS VIG CMED      4NC</v>
          </cell>
        </row>
        <row r="20806">
          <cell r="B20806" t="str">
            <v>51040112060512</v>
          </cell>
          <cell r="C20806" t="str">
            <v>LPC INT GAN VIG PAG DERIVADOSÂ  D/P CMED4NC</v>
          </cell>
        </row>
        <row r="20807">
          <cell r="B20807" t="str">
            <v>51040112060513</v>
          </cell>
          <cell r="C20807" t="str">
            <v>LPC INT GAN PAG REPROGRAMADO            4NC</v>
          </cell>
        </row>
        <row r="20808">
          <cell r="B20808" t="str">
            <v>51040112060514</v>
          </cell>
          <cell r="C20808" t="str">
            <v>LPC INT GAN PAG REPROGRAMADO NO REVOL D/4NC</v>
          </cell>
        </row>
        <row r="20809">
          <cell r="B20809" t="str">
            <v>51040112060601</v>
          </cell>
          <cell r="C20809" t="str">
            <v>CL INT DIFER GAN PAG TV D/P VIG CMED    4NC</v>
          </cell>
        </row>
        <row r="20810">
          <cell r="B20810" t="str">
            <v>51040112060602</v>
          </cell>
          <cell r="C20810" t="str">
            <v>CL INT GAN PAG TV D/P  VIG CMED         4NC</v>
          </cell>
        </row>
        <row r="20811">
          <cell r="B20811" t="str">
            <v>51040112060603</v>
          </cell>
          <cell r="C20811" t="str">
            <v>CL INT GAN FINANC DIF CMED              4NC</v>
          </cell>
        </row>
        <row r="20812">
          <cell r="B20812" t="str">
            <v>51040112060604</v>
          </cell>
          <cell r="C20812" t="str">
            <v>CL INT GANAD TV CMED                    4NC</v>
          </cell>
        </row>
        <row r="20813">
          <cell r="B20813" t="str">
            <v>51040112060605</v>
          </cell>
          <cell r="C20813" t="str">
            <v>CL INT.GAN PAG.TV NEG.INMOB VIG CMED    4NC</v>
          </cell>
        </row>
        <row r="20814">
          <cell r="B20814" t="str">
            <v>51040112060606</v>
          </cell>
          <cell r="C20814" t="str">
            <v>CL INT. GAN OTROS SUSP DIF CMED         4NC</v>
          </cell>
        </row>
        <row r="20815">
          <cell r="B20815" t="str">
            <v>51040112060607</v>
          </cell>
          <cell r="C20815" t="str">
            <v>CL INT GAN OTROS SUSP VIG CMED          4NC</v>
          </cell>
        </row>
        <row r="20816">
          <cell r="B20816" t="str">
            <v>51040112060608</v>
          </cell>
          <cell r="C20816" t="str">
            <v>CL INT GANAD VIG PREST COFIDE CMED      4NC</v>
          </cell>
        </row>
        <row r="20817">
          <cell r="B20817" t="str">
            <v>51040112060609</v>
          </cell>
          <cell r="C20817" t="str">
            <v>CL INT.GAN.DEUD.VTA.CART.VIG CMED       4NC</v>
          </cell>
        </row>
        <row r="20818">
          <cell r="B20818" t="str">
            <v>51040112060610</v>
          </cell>
          <cell r="C20818" t="str">
            <v>MYP INT.GAN.VIG CAP DE TRAB CIMA NOR/DP 4NC</v>
          </cell>
        </row>
        <row r="20819">
          <cell r="B20819" t="str">
            <v>51040112060611</v>
          </cell>
          <cell r="C20819" t="str">
            <v>MYP CODIFE FONDO CRECER VIG CMED\DUPE   4NC</v>
          </cell>
        </row>
        <row r="20820">
          <cell r="B20820" t="str">
            <v>51040112060612</v>
          </cell>
          <cell r="C20820" t="str">
            <v>MYP CODIFE FONDO CRECER VIG CMED\NORM   4NC</v>
          </cell>
        </row>
        <row r="20821">
          <cell r="B20821" t="str">
            <v>51040112060613</v>
          </cell>
          <cell r="C20821" t="str">
            <v>MYP CODIFE REACTIVA PERU VIG CMED\DUPE  4NC</v>
          </cell>
        </row>
        <row r="20822">
          <cell r="B20822" t="str">
            <v>51040112060614</v>
          </cell>
          <cell r="C20822" t="str">
            <v>MYP CODIFE REACTIVA PERU VIG CMED\NORM  4NC</v>
          </cell>
        </row>
        <row r="20823">
          <cell r="B20823" t="str">
            <v>51040112060623</v>
          </cell>
          <cell r="C20823" t="str">
            <v>LPC REACTIVA PERU VIG CMED\NORM         4NC</v>
          </cell>
        </row>
        <row r="20824">
          <cell r="B20824" t="str">
            <v>51040112060624</v>
          </cell>
          <cell r="C20824" t="str">
            <v>LPC REACTIVA PERU VIG CMED\DUPE         4NC</v>
          </cell>
        </row>
        <row r="20825">
          <cell r="B20825" t="str">
            <v>51040112060625</v>
          </cell>
          <cell r="C20825" t="str">
            <v>LPC COFIDE FONDOS PERU VIG CMED\NORM    4NC</v>
          </cell>
        </row>
        <row r="20826">
          <cell r="B20826" t="str">
            <v>51040112060626</v>
          </cell>
          <cell r="C20826" t="str">
            <v>LPC COFIDE FONDOS PERU VIG CMED\DUPE    4NC</v>
          </cell>
        </row>
        <row r="20827">
          <cell r="B20827" t="str">
            <v>51040112060627</v>
          </cell>
          <cell r="C20827" t="str">
            <v>LPC COFIDE FONDO CRECER VIG CMED\DUPE   4NC</v>
          </cell>
        </row>
        <row r="20828">
          <cell r="B20828" t="str">
            <v>51040112060628</v>
          </cell>
          <cell r="C20828" t="str">
            <v>LPC COFIDE FONDO CRECER VIG CMED\NORM   4NC</v>
          </cell>
        </row>
        <row r="20829">
          <cell r="B20829" t="str">
            <v>51040112060629</v>
          </cell>
          <cell r="C20829" t="str">
            <v>LPC REACTIVA PERU VIG CMED\DUPE         4NC</v>
          </cell>
        </row>
        <row r="20830">
          <cell r="B20830" t="str">
            <v>51040112060630</v>
          </cell>
          <cell r="C20830" t="str">
            <v>LPC REACTIVA PERU VIG CMED\NORM         4NC</v>
          </cell>
        </row>
        <row r="20831">
          <cell r="B20831" t="str">
            <v>51040112060631</v>
          </cell>
          <cell r="C20831" t="str">
            <v>LPC PAG MEDIANO PLAZO COVID-19 CMED     4NC</v>
          </cell>
        </row>
        <row r="20832">
          <cell r="B20832" t="str">
            <v>51040112060632</v>
          </cell>
          <cell r="C20832" t="str">
            <v>MYP CODIFE REACTIVA REPRO PERU VIG CMED 4 C</v>
          </cell>
        </row>
        <row r="20833">
          <cell r="B20833" t="str">
            <v>51040112060633</v>
          </cell>
          <cell r="C20833" t="str">
            <v>LPC REPROG REACTIVA DIFE CMED VIG       4 C</v>
          </cell>
        </row>
        <row r="20834">
          <cell r="B20834" t="str">
            <v>51040112060634</v>
          </cell>
          <cell r="C20834" t="str">
            <v>LPC REPROG REACTIVA DS.011-2022 CMED NOR4 C</v>
          </cell>
        </row>
        <row r="20835">
          <cell r="B20835" t="str">
            <v>51040112060635</v>
          </cell>
          <cell r="C20835" t="str">
            <v>LPC REPROG REACTIVA DS.011-2022 CMED DUP4 C</v>
          </cell>
        </row>
        <row r="20836">
          <cell r="B20836" t="str">
            <v>51040112060636</v>
          </cell>
          <cell r="C20836" t="str">
            <v>MYP REPROG REACTIVA DS.011-2022 CMED NOR4 C</v>
          </cell>
        </row>
        <row r="20837">
          <cell r="B20837" t="str">
            <v>51040112060637</v>
          </cell>
          <cell r="C20837" t="str">
            <v>MYP REPROG REACTIVA DS.011-2022 CMED DUP4 C</v>
          </cell>
        </row>
        <row r="20838">
          <cell r="B20838" t="str">
            <v>51040112060641</v>
          </cell>
          <cell r="C20838" t="str">
            <v>MYP REPROGRAMADO CIMA CMED VIG NORM     4 C</v>
          </cell>
        </row>
        <row r="20839">
          <cell r="B20839" t="str">
            <v>51040112060642</v>
          </cell>
          <cell r="C20839" t="str">
            <v>MYP REPROGRAMADO CIMA CMED VIG DUPE     4 C</v>
          </cell>
        </row>
        <row r="20840">
          <cell r="B20840" t="str">
            <v>51040112060643</v>
          </cell>
          <cell r="C20840" t="str">
            <v>LPC RP MED PZ PREST VERDE-SOCIAL CMED VI4 C</v>
          </cell>
        </row>
        <row r="20841">
          <cell r="B20841" t="str">
            <v>51040112060644</v>
          </cell>
          <cell r="C20841" t="str">
            <v>LPC RP MED PZ PREST VERDE-SOCIAL CMED VI4 C</v>
          </cell>
        </row>
        <row r="20842">
          <cell r="B20842" t="str">
            <v>51040112060645</v>
          </cell>
          <cell r="C20842" t="str">
            <v>LPC RP MED PZ PREST SOSTENIBLE CMED VIG 4 C</v>
          </cell>
        </row>
        <row r="20843">
          <cell r="B20843" t="str">
            <v>51040112060646</v>
          </cell>
          <cell r="C20843" t="str">
            <v>LPC RP MED PZ PREST SOSTENIBLE CMED VIG 4 C</v>
          </cell>
        </row>
        <row r="20844">
          <cell r="B20844" t="str">
            <v>51040112060647</v>
          </cell>
          <cell r="C20844" t="str">
            <v>MYP REPROG REACTIVA 2023 CMED NORM VIG  4 C</v>
          </cell>
        </row>
        <row r="20845">
          <cell r="B20845" t="str">
            <v>51040112060648</v>
          </cell>
          <cell r="C20845" t="str">
            <v>MYP REPROG REACTIVA 2023 CMED DUPE VIG  4 C</v>
          </cell>
        </row>
        <row r="20846">
          <cell r="B20846" t="str">
            <v>51040112060649</v>
          </cell>
          <cell r="C20846" t="str">
            <v>LPC REPROG REACTIVA 2023 VIG CMED NORM  4 C</v>
          </cell>
        </row>
        <row r="20847">
          <cell r="B20847" t="str">
            <v>51040112060650</v>
          </cell>
          <cell r="C20847" t="str">
            <v>LPC REPROG REACTIVA 2023 VIG CMED DUPE  4 C</v>
          </cell>
        </row>
        <row r="20848">
          <cell r="B20848" t="str">
            <v>51040112060651</v>
          </cell>
          <cell r="C20848" t="str">
            <v>MYP CAP. TRAB - PAGARE DIGITAL_CMED NORM4 C</v>
          </cell>
        </row>
        <row r="20849">
          <cell r="B20849" t="str">
            <v>51040112060652</v>
          </cell>
          <cell r="C20849" t="str">
            <v>MYP IMPULSO MYPERU VIG CMED NORM        4 C</v>
          </cell>
        </row>
        <row r="20850">
          <cell r="B20850" t="str">
            <v>51040112060653</v>
          </cell>
          <cell r="C20850" t="str">
            <v>MYP IMPULSO MYPERU VIG CMED DUPE        4NC</v>
          </cell>
        </row>
        <row r="20851">
          <cell r="B20851" t="str">
            <v>51040112060654</v>
          </cell>
          <cell r="C20851" t="str">
            <v>LPC INT VIG IMPULSO MYPERU CORTO PLAZO C4 C</v>
          </cell>
        </row>
        <row r="20852">
          <cell r="B20852" t="str">
            <v>51040112060655</v>
          </cell>
          <cell r="C20852" t="str">
            <v>LPC INT VIG IMPULSO MYPERU MEDIANO PLAZO4 C</v>
          </cell>
        </row>
        <row r="20853">
          <cell r="B20853" t="str">
            <v>51040112060656</v>
          </cell>
          <cell r="C20853" t="str">
            <v>MYP CAPITAL DE TRAB CIMA REU DIF INT VIG4 C</v>
          </cell>
        </row>
        <row r="20854">
          <cell r="B20854" t="str">
            <v>51040112060657</v>
          </cell>
          <cell r="C20854" t="str">
            <v>MYP LINEA REVOLV CIMA INT GAN VIG NORM C4 C</v>
          </cell>
        </row>
        <row r="20855">
          <cell r="B20855" t="str">
            <v>51040112060658</v>
          </cell>
          <cell r="C20855" t="str">
            <v>MYP LINEA REVOLV CIMA INT GAN VIG DUPE C4 C</v>
          </cell>
        </row>
        <row r="20856">
          <cell r="B20856" t="str">
            <v>51040112060659</v>
          </cell>
          <cell r="C20856" t="str">
            <v>MYP CAP TRAB PER GRACIA PARCIAL INT VIG 4 C</v>
          </cell>
        </row>
        <row r="20857">
          <cell r="B20857" t="str">
            <v>51040112060660</v>
          </cell>
          <cell r="C20857" t="str">
            <v>MYP CAP TRAB PER GRACIA PARCIAL INT VIG 4 C</v>
          </cell>
        </row>
        <row r="20858">
          <cell r="B20858" t="str">
            <v>51040112060661</v>
          </cell>
          <cell r="C20858" t="str">
            <v>MYP REPROG PERIODO GRACIA PARCIAL VIG CM4 C</v>
          </cell>
        </row>
        <row r="20859">
          <cell r="B20859" t="str">
            <v>51040112060662</v>
          </cell>
          <cell r="C20859" t="str">
            <v>MYP REPROG PERIODO GRACIA PARCIAL VIG CM4 C</v>
          </cell>
        </row>
        <row r="20860">
          <cell r="B20860" t="str">
            <v>51040112060663</v>
          </cell>
          <cell r="C20860" t="str">
            <v>LPC PAG PAPERLESS DERIVADOS REV/NR INT C4NC</v>
          </cell>
        </row>
        <row r="20861">
          <cell r="B20861" t="str">
            <v>51040112060664</v>
          </cell>
          <cell r="C20861" t="str">
            <v>LPC PAG PAPERLESS DERIVADOS REV/NR INT C4NC</v>
          </cell>
        </row>
        <row r="20862">
          <cell r="B20862" t="str">
            <v>51040112060665</v>
          </cell>
          <cell r="C20862" t="str">
            <v>CCD-BPE CAPITAL DE TRABAJO_CMED VIG NORM4 C</v>
          </cell>
        </row>
        <row r="20863">
          <cell r="B20863" t="str">
            <v>51040112060666</v>
          </cell>
          <cell r="C20863" t="str">
            <v>CCD-BPE LINEA REVOLVENTE_CMED VIG NORM I4 C</v>
          </cell>
        </row>
        <row r="20864">
          <cell r="B20864" t="str">
            <v>51040112060667</v>
          </cell>
          <cell r="C20864" t="str">
            <v>CCD-BPE LINEA REVOLVENTE_CMED VIG DUPE I4 C</v>
          </cell>
        </row>
        <row r="20865">
          <cell r="B20865" t="str">
            <v>51040112060668</v>
          </cell>
          <cell r="C20865" t="str">
            <v>CCD-BPE CAP DE TRAB REPROG_CMED VIG NORM4 C</v>
          </cell>
        </row>
        <row r="20866">
          <cell r="B20866" t="str">
            <v>51040112060669</v>
          </cell>
          <cell r="C20866" t="str">
            <v>CCD-BPE CAP DE TRAB_CMED_VIG            4 C</v>
          </cell>
        </row>
        <row r="20867">
          <cell r="B20867" t="str">
            <v>51040112100101</v>
          </cell>
          <cell r="C20867" t="str">
            <v>PR INT GAN COMP VIG LETRAS FACTORING CME4NC</v>
          </cell>
        </row>
        <row r="20868">
          <cell r="B20868" t="str">
            <v>51040112100102</v>
          </cell>
          <cell r="C20868" t="str">
            <v>PR FACTORING DIFERIDOS CMED             4NC</v>
          </cell>
        </row>
        <row r="20869">
          <cell r="B20869" t="str">
            <v>51040112100103</v>
          </cell>
          <cell r="C20869" t="str">
            <v>PR INT GAN COMP VIG FACT FACTORING CMED 4NC</v>
          </cell>
        </row>
        <row r="20870">
          <cell r="B20870" t="str">
            <v>51040112100104</v>
          </cell>
          <cell r="C20870" t="str">
            <v>PR INT GAN FACTORING-FACT DIF CMED      4NC</v>
          </cell>
        </row>
        <row r="20871">
          <cell r="B20871" t="str">
            <v>51040112100105</v>
          </cell>
          <cell r="C20871" t="str">
            <v>PR FACT ELECTR LET/FACT I.COMPENS CMED  4NC</v>
          </cell>
        </row>
        <row r="20872">
          <cell r="B20872" t="str">
            <v>51040112100106</v>
          </cell>
          <cell r="C20872" t="str">
            <v>FCD FACT ELECTR LET/FACT I.DIF CMED     4NC</v>
          </cell>
        </row>
        <row r="20873">
          <cell r="B20873" t="str">
            <v>51040112100107</v>
          </cell>
          <cell r="C20873" t="str">
            <v>PR FACTORING INTER. INT VIG CMED        4NC</v>
          </cell>
        </row>
        <row r="20874">
          <cell r="B20874" t="str">
            <v>51040112100108</v>
          </cell>
          <cell r="C20874" t="str">
            <v>PR PERU FACTORING INT.COMPENS CMED      4NC</v>
          </cell>
        </row>
        <row r="20875">
          <cell r="B20875" t="str">
            <v>51040112100109</v>
          </cell>
          <cell r="C20875" t="str">
            <v>PR PERU FACTORING INT.DIF CMED          4NC</v>
          </cell>
        </row>
        <row r="20876">
          <cell r="B20876" t="str">
            <v>51040112100110</v>
          </cell>
          <cell r="C20876" t="str">
            <v>PR FORFAITING EXPORTACIÃ“N INT GANA VIG 4NC</v>
          </cell>
        </row>
        <row r="20877">
          <cell r="B20877" t="str">
            <v>51040112100111</v>
          </cell>
          <cell r="C20877" t="str">
            <v>FACT INTER IMPORT  VIG. CMED DUPE       4NC</v>
          </cell>
        </row>
        <row r="20878">
          <cell r="B20878" t="str">
            <v>51040112100112</v>
          </cell>
          <cell r="C20878" t="str">
            <v>FACT INTER IMPORT   VIG. CMED NORMAL    4NC</v>
          </cell>
        </row>
        <row r="20879">
          <cell r="B20879" t="str">
            <v>51040112100201</v>
          </cell>
          <cell r="C20879" t="str">
            <v>CL EX FACTORING FORFAITING INT.GAN.VIG C4NC</v>
          </cell>
        </row>
        <row r="20880">
          <cell r="B20880" t="str">
            <v>51040112100202</v>
          </cell>
          <cell r="C20880" t="str">
            <v>CL  CONFIRMING INTER INT.GAN.VIG CMED   4NC</v>
          </cell>
        </row>
        <row r="20881">
          <cell r="B20881" t="str">
            <v>51040112100301</v>
          </cell>
          <cell r="C20881" t="str">
            <v>FCD FACT ELECTR DIF.DUDOSO CMED         4NC</v>
          </cell>
        </row>
        <row r="20882">
          <cell r="B20882" t="str">
            <v>51040112100302</v>
          </cell>
          <cell r="C20882" t="str">
            <v>FCD FACT INTER EXPO. INT VIG NORM CMED  4NC</v>
          </cell>
        </row>
        <row r="20883">
          <cell r="B20883" t="str">
            <v>51040112100303</v>
          </cell>
          <cell r="C20883" t="str">
            <v>FCD FORFAITING EXPO INT GANA VIG NORM  C4NC</v>
          </cell>
        </row>
        <row r="20884">
          <cell r="B20884" t="str">
            <v>51040112100304</v>
          </cell>
          <cell r="C20884" t="str">
            <v>FCD FACT INTER EXPO. INT VIG DUPE CMED  4NC</v>
          </cell>
        </row>
        <row r="20885">
          <cell r="B20885" t="str">
            <v>51040112100305</v>
          </cell>
          <cell r="C20885" t="str">
            <v>FCD FORFAITING EXPO INT GANA VIG DUPE  C4NC</v>
          </cell>
        </row>
        <row r="20886">
          <cell r="B20886" t="str">
            <v>51040112100306</v>
          </cell>
          <cell r="C20886" t="str">
            <v>FCD CONFIRMING INTERNACIONAL. INT VIG NO4NC</v>
          </cell>
        </row>
        <row r="20887">
          <cell r="B20887" t="str">
            <v>51040112100307</v>
          </cell>
          <cell r="C20887" t="str">
            <v>FCD CONFIRMING INTERNACIONAL. INT VIG DU4NC</v>
          </cell>
        </row>
        <row r="20888">
          <cell r="B20888" t="str">
            <v>51040112100308</v>
          </cell>
          <cell r="C20888" t="str">
            <v>FCD fAC. FIS. LET. I. VIG. CMED DUPE    4NC</v>
          </cell>
        </row>
        <row r="20889">
          <cell r="B20889" t="str">
            <v>51040112100309</v>
          </cell>
          <cell r="C20889" t="str">
            <v>FCD FAC. FIS. FAC.. I. VIG. CMED DUPE   4NC</v>
          </cell>
        </row>
        <row r="20890">
          <cell r="B20890" t="str">
            <v>51040112110101</v>
          </cell>
          <cell r="C20890" t="str">
            <v>LPC INT VIG LEASING BIEN RP CMED        4NC</v>
          </cell>
        </row>
        <row r="20891">
          <cell r="B20891" t="str">
            <v>51040112110102</v>
          </cell>
          <cell r="C20891" t="str">
            <v>LPC INT VIG LEASING SEG RP CMED         4NC</v>
          </cell>
        </row>
        <row r="20892">
          <cell r="B20892" t="str">
            <v>51040112110103</v>
          </cell>
          <cell r="C20892" t="str">
            <v>LPC CIA SEGURO LEASING RP CMED          4NC</v>
          </cell>
        </row>
        <row r="20893">
          <cell r="B20893" t="str">
            <v>51040112110201</v>
          </cell>
          <cell r="C20893" t="str">
            <v>LPC INT VIG LEAS BIEN D/P RP CMED       4NC</v>
          </cell>
        </row>
        <row r="20894">
          <cell r="B20894" t="str">
            <v>51040112110202</v>
          </cell>
          <cell r="C20894" t="str">
            <v>LPC INT VIG LEASING SEG D/P RP CMED     4NC</v>
          </cell>
        </row>
        <row r="20895">
          <cell r="B20895" t="str">
            <v>51040112110203</v>
          </cell>
          <cell r="C20895" t="str">
            <v>LPC CIA SEGURO LEAS D/P RP CMED         4NC</v>
          </cell>
        </row>
        <row r="20896">
          <cell r="B20896" t="str">
            <v>51040112110301</v>
          </cell>
          <cell r="C20896" t="str">
            <v>LPC INT LEASING PRE CUOTAS CMED         4NC</v>
          </cell>
        </row>
        <row r="20897">
          <cell r="B20897" t="str">
            <v>51040112110302</v>
          </cell>
          <cell r="C20897" t="str">
            <v>LPC INT VIG LS  BIEN OTROS SUSP RP CMED 4NC</v>
          </cell>
        </row>
        <row r="20898">
          <cell r="B20898" t="str">
            <v>51040112110303</v>
          </cell>
          <cell r="C20898" t="str">
            <v>LPC INT VIG LS SEG OTROS SUSP RP CMED   4NC</v>
          </cell>
        </row>
        <row r="20899">
          <cell r="B20899" t="str">
            <v>51040112110304</v>
          </cell>
          <cell r="C20899" t="str">
            <v>LPC CIA SEGURO LPC LS OTROS SUSP RP CMED4NC</v>
          </cell>
        </row>
        <row r="20900">
          <cell r="B20900" t="str">
            <v>51040112110501</v>
          </cell>
          <cell r="C20900" t="str">
            <v>LPC ING VIG LSG BIEN ADJ. RP CMED       4NC</v>
          </cell>
        </row>
        <row r="20901">
          <cell r="B20901" t="str">
            <v>51040112110502</v>
          </cell>
          <cell r="C20901" t="str">
            <v>LPC INT VIG LSG SEG. ADJ.RP CMED        4NC</v>
          </cell>
        </row>
        <row r="20902">
          <cell r="B20902" t="str">
            <v>51040112110503</v>
          </cell>
          <cell r="C20902" t="str">
            <v>LPC CIA SEG LSG ADJ. RP V-S CMED        4NC</v>
          </cell>
        </row>
        <row r="20903">
          <cell r="B20903" t="str">
            <v>51040112110504</v>
          </cell>
          <cell r="C20903" t="str">
            <v>LPC ING VIG LSG BIEN ADJ. D/P CMED      4NC</v>
          </cell>
        </row>
        <row r="20904">
          <cell r="B20904" t="str">
            <v>51040112110505</v>
          </cell>
          <cell r="C20904" t="str">
            <v>LPC ING VIG LSG SEG. ADJ. D/P CMED      4NC</v>
          </cell>
        </row>
        <row r="20905">
          <cell r="B20905" t="str">
            <v>51040112110506</v>
          </cell>
          <cell r="C20905" t="str">
            <v>LPC LS CIA SEGURO  D/P ADJ. CMED        4NC</v>
          </cell>
        </row>
        <row r="20906">
          <cell r="B20906" t="str">
            <v>51040112110601</v>
          </cell>
          <cell r="C20906" t="str">
            <v>LPC IDL MYP INT GAN LEASING CMED        4NC</v>
          </cell>
        </row>
        <row r="20907">
          <cell r="B20907" t="str">
            <v>51040112110602</v>
          </cell>
          <cell r="C20907" t="str">
            <v>LPC IDS MYP INT GAN LEASING CMED        4NC</v>
          </cell>
        </row>
        <row r="20908">
          <cell r="B20908" t="str">
            <v>51040112110603</v>
          </cell>
          <cell r="C20908" t="str">
            <v>LPC MYP ISG CIA SEG LEASING CMED        4NC</v>
          </cell>
        </row>
        <row r="20909">
          <cell r="B20909" t="str">
            <v>51040112110604</v>
          </cell>
          <cell r="C20909" t="str">
            <v>LPC IDL MYP INT GAN LEASING D/P CMED    4NC</v>
          </cell>
        </row>
        <row r="20910">
          <cell r="B20910" t="str">
            <v>51040112110605</v>
          </cell>
          <cell r="C20910" t="str">
            <v>LPC IDS MYP INT GAN LEASING D/P CMED    4NC</v>
          </cell>
        </row>
        <row r="20911">
          <cell r="B20911" t="str">
            <v>51040112110606</v>
          </cell>
          <cell r="C20911" t="str">
            <v>LPC ISG MYP CIA SEG D/P CMED            4NC</v>
          </cell>
        </row>
        <row r="20912">
          <cell r="B20912" t="str">
            <v>51040112110701</v>
          </cell>
          <cell r="C20912" t="str">
            <v>LPC INT VIG LEASING COFIDE IDL CMED     4NC</v>
          </cell>
        </row>
        <row r="20913">
          <cell r="B20913" t="str">
            <v>51040112110702</v>
          </cell>
          <cell r="C20913" t="str">
            <v>LPC INT VIG LEASING COFIDE SEG IDS CMED 4NC</v>
          </cell>
        </row>
        <row r="20914">
          <cell r="B20914" t="str">
            <v>51040112110703</v>
          </cell>
          <cell r="C20914" t="str">
            <v>LPC CIA SEGURO LEASING COFIDE ISG CMED  4NC</v>
          </cell>
        </row>
        <row r="20915">
          <cell r="B20915" t="str">
            <v>51040112110704</v>
          </cell>
          <cell r="C20915" t="str">
            <v>LPC INT VIG LS COFIDE D/P IDL CMED      4NC</v>
          </cell>
        </row>
        <row r="20916">
          <cell r="B20916" t="str">
            <v>51040112110705</v>
          </cell>
          <cell r="C20916" t="str">
            <v>LPC INT VIG LS COFIDE D/P IDS CMED      4NC</v>
          </cell>
        </row>
        <row r="20917">
          <cell r="B20917" t="str">
            <v>51040112110706</v>
          </cell>
          <cell r="C20917" t="str">
            <v>LPC CIA SEGURO LS COFIDE D/P ISG CMED   4NC</v>
          </cell>
        </row>
        <row r="20918">
          <cell r="B20918" t="str">
            <v>51040112110751</v>
          </cell>
          <cell r="C20918" t="str">
            <v>LPC INT GAN VIG LEASING DERIVADO BIEN RP4NC</v>
          </cell>
        </row>
        <row r="20919">
          <cell r="B20919" t="str">
            <v>51040112110752</v>
          </cell>
          <cell r="C20919" t="str">
            <v>LPC INT GAN VIG LEASING DERIVADO BIEN D/4NC</v>
          </cell>
        </row>
        <row r="20920">
          <cell r="B20920" t="str">
            <v>51040112110753</v>
          </cell>
          <cell r="C20920" t="str">
            <v>LPC INT GAN VIG LEASING DERIVADO SEG RP 4NC</v>
          </cell>
        </row>
        <row r="20921">
          <cell r="B20921" t="str">
            <v>51040112110754</v>
          </cell>
          <cell r="C20921" t="str">
            <v>LPC INT GAN VIG LEASING DERIVADO SEG D/P4NC</v>
          </cell>
        </row>
        <row r="20922">
          <cell r="B20922" t="str">
            <v>51040112120101</v>
          </cell>
          <cell r="C20922" t="str">
            <v>LPC INT VIG LSBACK BIEN D/P RP CMED     4NC</v>
          </cell>
        </row>
        <row r="20923">
          <cell r="B20923" t="str">
            <v>51040112120102</v>
          </cell>
          <cell r="C20923" t="str">
            <v>LPC INT VIG LSBACK SEG D/P RP CMED      4NC</v>
          </cell>
        </row>
        <row r="20924">
          <cell r="B20924" t="str">
            <v>51040112120103</v>
          </cell>
          <cell r="C20924" t="str">
            <v>LPC CIA SEGURO LSBACK D/P RP CMED       4NC</v>
          </cell>
        </row>
        <row r="20925">
          <cell r="B20925" t="str">
            <v>51040112120104</v>
          </cell>
          <cell r="C20925" t="str">
            <v>LPC INT VIG LEASEBACK BIEN RP CMED      4NC</v>
          </cell>
        </row>
        <row r="20926">
          <cell r="B20926" t="str">
            <v>51040112120105</v>
          </cell>
          <cell r="C20926" t="str">
            <v>LPC INT VIG LEASEBACK SEG RP CMED       4NC</v>
          </cell>
        </row>
        <row r="20927">
          <cell r="B20927" t="str">
            <v>51040112120106</v>
          </cell>
          <cell r="C20927" t="str">
            <v>LPC CIA SEGURO LEASEBACK RP CMED        4NC</v>
          </cell>
        </row>
        <row r="20928">
          <cell r="B20928" t="str">
            <v>51040112120201</v>
          </cell>
          <cell r="C20928" t="str">
            <v>LPC INT VIG LSB  BIEN OTROS SUSP CMED   4NC</v>
          </cell>
        </row>
        <row r="20929">
          <cell r="B20929" t="str">
            <v>51040112120202</v>
          </cell>
          <cell r="C20929" t="str">
            <v>LPC INT VIG LSB SEG OTROS SUSP CMED     4NC</v>
          </cell>
        </row>
        <row r="20930">
          <cell r="B20930" t="str">
            <v>51040112120203</v>
          </cell>
          <cell r="C20930" t="str">
            <v>LPC CIA SEGURO LPC LSB OTROS SUSP CMED  4NC</v>
          </cell>
        </row>
        <row r="20931">
          <cell r="B20931" t="str">
            <v>51040112120301</v>
          </cell>
          <cell r="C20931" t="str">
            <v>LPC INT VIG LEASE-BACK COFIDE IDL CMED  4NC</v>
          </cell>
        </row>
        <row r="20932">
          <cell r="B20932" t="str">
            <v>51040112120302</v>
          </cell>
          <cell r="C20932" t="str">
            <v>LPC INT VIG LEASE BACK COFIDE SEG IDS CM4NC</v>
          </cell>
        </row>
        <row r="20933">
          <cell r="B20933" t="str">
            <v>51040112120303</v>
          </cell>
          <cell r="C20933" t="str">
            <v>LPC CIA SEGURO LEASE-BACK COFIDE ISG CME4NC</v>
          </cell>
        </row>
        <row r="20934">
          <cell r="B20934" t="str">
            <v>51040112120304</v>
          </cell>
          <cell r="C20934" t="str">
            <v>LPC INT VIG LB COFIDE D/P IDL CMED      4NC</v>
          </cell>
        </row>
        <row r="20935">
          <cell r="B20935" t="str">
            <v>51040112120305</v>
          </cell>
          <cell r="C20935" t="str">
            <v>LPC INT VIG LB COFIDE D/P IDS CMED      4NC</v>
          </cell>
        </row>
        <row r="20936">
          <cell r="B20936" t="str">
            <v>51040112120306</v>
          </cell>
          <cell r="C20936" t="str">
            <v>LPC CIA SEGURO LB COFIDE D/P ISG CMED   4NC</v>
          </cell>
        </row>
        <row r="20937">
          <cell r="B20937" t="str">
            <v>51040112210101</v>
          </cell>
          <cell r="C20937" t="str">
            <v>CL CXL CC  X ACEPT INT GAN CMED         4NC</v>
          </cell>
        </row>
        <row r="20938">
          <cell r="B20938" t="str">
            <v>51040112210102</v>
          </cell>
          <cell r="C20938" t="str">
            <v>CL CXL CC AVAL X ACEPT INT GAN CMED     4NC</v>
          </cell>
        </row>
        <row r="20939">
          <cell r="B20939" t="str">
            <v>51040112210103</v>
          </cell>
          <cell r="C20939" t="str">
            <v>CL CXL CC AVAL BKT INT GAN CPEM         4NC</v>
          </cell>
        </row>
        <row r="20940">
          <cell r="B20940" t="str">
            <v>51040112210104</v>
          </cell>
          <cell r="C20940" t="str">
            <v>CL INT GANAD CXL CC CAR CRED VISTA CMED 4NC</v>
          </cell>
        </row>
        <row r="20941">
          <cell r="B20941" t="str">
            <v>51040112210105</v>
          </cell>
          <cell r="C20941" t="str">
            <v>CL INT GANAD CXL  STAND BY CMED         4NC</v>
          </cell>
        </row>
        <row r="20942">
          <cell r="B20942" t="str">
            <v>51040112210106</v>
          </cell>
          <cell r="C20942" t="str">
            <v>CL INT GANAD CXL  COB AVAL CMED         4NC</v>
          </cell>
        </row>
        <row r="20943">
          <cell r="B20943" t="str">
            <v>51040112210107</v>
          </cell>
          <cell r="C20943" t="str">
            <v>CL INT.GAN.VIG.CRED.POR LIQ. CARTA FIANZ4NC</v>
          </cell>
        </row>
        <row r="20944">
          <cell r="B20944" t="str">
            <v>51040112260101</v>
          </cell>
          <cell r="C20944" t="str">
            <v>MYP EXPORT.POST EMBARQ RP INT GAN MES VI4NC</v>
          </cell>
        </row>
        <row r="20945">
          <cell r="B20945" t="str">
            <v>51040112260102</v>
          </cell>
          <cell r="C20945" t="str">
            <v>MYP EXPORT.PRE EMBARQ RP INT GAN  VIG CM4NC</v>
          </cell>
        </row>
        <row r="20946">
          <cell r="B20946" t="str">
            <v>51040112260103</v>
          </cell>
          <cell r="C20946" t="str">
            <v>MYP D/P EXPORT.POST EMBARQ RP INT GANAD 4NC</v>
          </cell>
        </row>
        <row r="20947">
          <cell r="B20947" t="str">
            <v>51040112260104</v>
          </cell>
          <cell r="C20947" t="str">
            <v>MYP D/P EXPORT.PRE EMB INT GANAD VIG CME4NC</v>
          </cell>
        </row>
        <row r="20948">
          <cell r="B20948" t="str">
            <v>51040112260105</v>
          </cell>
          <cell r="C20948" t="str">
            <v>MYP D/P IMPOR RP INT GANAD COM VIG CMED 4NC</v>
          </cell>
        </row>
        <row r="20949">
          <cell r="B20949" t="str">
            <v>51040112260106</v>
          </cell>
          <cell r="C20949" t="str">
            <v>MYP INT.GANAD.VIG FIN.IMPORT CAP TRAB ME4NC</v>
          </cell>
        </row>
        <row r="20950">
          <cell r="B20950" t="str">
            <v>51040112260107</v>
          </cell>
          <cell r="C20950" t="str">
            <v>MYP INT.GANAD.VIG FIN.IMPORT ACT FIJO  C4NC</v>
          </cell>
        </row>
        <row r="20951">
          <cell r="B20951" t="str">
            <v>51040112260108</v>
          </cell>
          <cell r="C20951" t="str">
            <v>MYP D/P GAN.INT.VIG IMP. CAP DE TRAB  CM4NC</v>
          </cell>
        </row>
        <row r="20952">
          <cell r="B20952" t="str">
            <v>51040112260109</v>
          </cell>
          <cell r="C20952" t="str">
            <v>MYP D/P GAN.INT.VIG FIN IMPOR AF CMED   4NC</v>
          </cell>
        </row>
        <row r="20953">
          <cell r="B20953" t="str">
            <v>51040112260201</v>
          </cell>
          <cell r="C20953" t="str">
            <v>LPC INT.GAN VIG IMPORT D/P CMED         4NC</v>
          </cell>
        </row>
        <row r="20954">
          <cell r="B20954" t="str">
            <v>51040112260202</v>
          </cell>
          <cell r="C20954" t="str">
            <v>LPC INT GAN VIG EX PRE EMB  CMED        4NC</v>
          </cell>
        </row>
        <row r="20955">
          <cell r="B20955" t="str">
            <v>51040112260203</v>
          </cell>
          <cell r="C20955" t="str">
            <v>LPC INT GAN VIG EX POST EMB RP D/P CMED 4NC</v>
          </cell>
        </row>
        <row r="20956">
          <cell r="B20956" t="str">
            <v>51040112260204</v>
          </cell>
          <cell r="C20956" t="str">
            <v>LPC INT GAN VIG EX PRE EMB CMED         4NC</v>
          </cell>
        </row>
        <row r="20957">
          <cell r="B20957" t="str">
            <v>51040112260205</v>
          </cell>
          <cell r="C20957" t="str">
            <v>LPC INT GAN VIG EX POST EMB RP CMED     4NC</v>
          </cell>
        </row>
        <row r="20958">
          <cell r="B20958" t="str">
            <v>51040112260206</v>
          </cell>
          <cell r="C20958" t="str">
            <v>CL INT GAN VIG IMPOR CMED               4NC</v>
          </cell>
        </row>
        <row r="20959">
          <cell r="B20959" t="str">
            <v>51040112260207</v>
          </cell>
          <cell r="C20959" t="str">
            <v>LPC INT.GAN VIG  WORK CAP.EX PRE EMB CME4NC</v>
          </cell>
        </row>
        <row r="20960">
          <cell r="B20960" t="str">
            <v>51040112260208</v>
          </cell>
          <cell r="C20960" t="str">
            <v>LPC INT GAN FINAN PRE EMBARQUE          4NC</v>
          </cell>
        </row>
        <row r="20961">
          <cell r="B20961" t="str">
            <v>51040112260209</v>
          </cell>
          <cell r="C20961" t="str">
            <v>LPC INT GAN FINAN PRE EMBARQUE D/P      4NC</v>
          </cell>
        </row>
        <row r="20962">
          <cell r="B20962" t="str">
            <v>51040112260210</v>
          </cell>
          <cell r="C20962" t="str">
            <v>LPC INT GAN FINAN PRE EMBARQUE-SEPYMEX C4NC</v>
          </cell>
        </row>
        <row r="20963">
          <cell r="B20963" t="str">
            <v>51040112260211</v>
          </cell>
          <cell r="C20963" t="str">
            <v>LPC INT GAN FINAN PRE EMBARQUE D/P-SEPYM4NC</v>
          </cell>
        </row>
        <row r="20964">
          <cell r="B20964" t="str">
            <v>51040112260212</v>
          </cell>
          <cell r="C20964" t="str">
            <v>LPC INT GAN PRE EMBARQUE VIG.NORM CMED  4NC</v>
          </cell>
        </row>
        <row r="20965">
          <cell r="B20965" t="str">
            <v>51040112260213</v>
          </cell>
          <cell r="C20965" t="str">
            <v>LPC INT GAN PRE EMBARQUE VIG.DUPE CMED  4NC</v>
          </cell>
        </row>
        <row r="20966">
          <cell r="B20966" t="str">
            <v>51040112260214</v>
          </cell>
          <cell r="C20966" t="str">
            <v>LPC INT GAN POST EMBARQUE VIG.NORM CMED 4NC</v>
          </cell>
        </row>
        <row r="20967">
          <cell r="B20967" t="str">
            <v>51040112260215</v>
          </cell>
          <cell r="C20967" t="str">
            <v>LPC INT GAN POST EMBARQUE VIG.DUPE CMED 4NC</v>
          </cell>
        </row>
        <row r="20968">
          <cell r="B20968" t="str">
            <v>51040112260216</v>
          </cell>
          <cell r="C20968" t="str">
            <v>LPC INT GAN IMPORT. CARTA CREDITO  VIG.N4NC</v>
          </cell>
        </row>
        <row r="20969">
          <cell r="B20969" t="str">
            <v>51040112260217</v>
          </cell>
          <cell r="C20969" t="str">
            <v>LPC INT GAN IMPORT. CARTA CREDITO  VIG.D4NC</v>
          </cell>
        </row>
        <row r="20970">
          <cell r="B20970" t="str">
            <v>51040112260218</v>
          </cell>
          <cell r="C20970" t="str">
            <v>LPC INT GAN IMPORT.  VIG.NORM CMED      4NC</v>
          </cell>
        </row>
        <row r="20971">
          <cell r="B20971" t="str">
            <v>51040112260219</v>
          </cell>
          <cell r="C20971" t="str">
            <v>LPC INT GAN IMPORT.  VIG.DUPE CMED      4NC</v>
          </cell>
        </row>
        <row r="20972">
          <cell r="B20972" t="str">
            <v>51040112260220</v>
          </cell>
          <cell r="C20972" t="str">
            <v>LPC INT GAN PAGARE FORFAITING CMED      4NC</v>
          </cell>
        </row>
        <row r="20973">
          <cell r="B20973" t="str">
            <v>51040112260221</v>
          </cell>
          <cell r="C20973" t="str">
            <v>LPC INT GAN PAGARE FORFAITING D/P CMED  4NC</v>
          </cell>
        </row>
        <row r="20974">
          <cell r="B20974" t="str">
            <v>51040112260301</v>
          </cell>
          <cell r="C20974" t="str">
            <v>CL EX FORFAITING INT.GAN.VIG CMED       4NC</v>
          </cell>
        </row>
        <row r="20975">
          <cell r="B20975" t="str">
            <v>51040112260302</v>
          </cell>
          <cell r="C20975" t="str">
            <v>CL INT GAN.VIG. EX PRE EMB D/P CMED     4NC</v>
          </cell>
        </row>
        <row r="20976">
          <cell r="B20976" t="str">
            <v>51040112260303</v>
          </cell>
          <cell r="C20976" t="str">
            <v>CL INT.GAN.POST. EX EMBAR. D/P. VIG. CCO4NC</v>
          </cell>
        </row>
        <row r="20977">
          <cell r="B20977" t="str">
            <v>51040112260304</v>
          </cell>
          <cell r="C20977" t="str">
            <v>CL EX INT VIG PAG.IMPORTAC.D/P CMED     4NC</v>
          </cell>
        </row>
        <row r="20978">
          <cell r="B20978" t="str">
            <v>51040112260401</v>
          </cell>
          <cell r="C20978" t="str">
            <v>FCD COMEX EXPO INT GANA VIG NORM  CMED  4NC</v>
          </cell>
        </row>
        <row r="20979">
          <cell r="B20979" t="str">
            <v>51040112260402</v>
          </cell>
          <cell r="C20979" t="str">
            <v>LPC COFIDE FONDOS CRECER CMED  VIG\NORM 4NC</v>
          </cell>
        </row>
        <row r="20980">
          <cell r="B20980" t="str">
            <v>51040112260403</v>
          </cell>
          <cell r="C20980" t="str">
            <v>LPC COFIDE FONDOS CRECER CMED  VIG\DUPE 4NC</v>
          </cell>
        </row>
        <row r="20981">
          <cell r="B20981" t="str">
            <v>51040112260404</v>
          </cell>
          <cell r="C20981" t="str">
            <v>LPC COFIDE FONDOS CRECER CMED  VIG\NORM 4NC</v>
          </cell>
        </row>
        <row r="20982">
          <cell r="B20982" t="str">
            <v>51040112260405</v>
          </cell>
          <cell r="C20982" t="str">
            <v>LPC COFIDE FONDOS CRECER CMED  VIG\DUPE 4NC</v>
          </cell>
        </row>
        <row r="20983">
          <cell r="B20983" t="str">
            <v>51040112260406</v>
          </cell>
          <cell r="C20983" t="str">
            <v>LPC REPROG EM COVID-19 PRE-EMBARQUE CMED4NC</v>
          </cell>
        </row>
        <row r="20984">
          <cell r="B20984" t="str">
            <v>51040112260407</v>
          </cell>
          <cell r="C20984" t="str">
            <v>LPC REPROG EM COVID-19 PRE-EMBARQUE CMED4NC</v>
          </cell>
        </row>
        <row r="20985">
          <cell r="B20985" t="str">
            <v>51040112260408</v>
          </cell>
          <cell r="C20985" t="str">
            <v>LPC REPROG EM COVID-19 POST-EMBARQUE CME4NC</v>
          </cell>
        </row>
        <row r="20986">
          <cell r="B20986" t="str">
            <v>51040112260409</v>
          </cell>
          <cell r="C20986" t="str">
            <v>LPC REPROG EM COVID-19 POST-EMBARQUE CME4NC</v>
          </cell>
        </row>
        <row r="20987">
          <cell r="B20987" t="str">
            <v>51040112260410</v>
          </cell>
          <cell r="C20987" t="str">
            <v>LPC REPROG EM COVID-19 FINAN.COMEX CMED\4NC</v>
          </cell>
        </row>
        <row r="20988">
          <cell r="B20988" t="str">
            <v>51040112260411</v>
          </cell>
          <cell r="C20988" t="str">
            <v>LPC REPROG EM COVID-19 FINAN.COMEX CMED\4NC</v>
          </cell>
        </row>
        <row r="20989">
          <cell r="B20989" t="str">
            <v>51040112260414</v>
          </cell>
          <cell r="C20989" t="str">
            <v>MYP INT.GAN. CAP_TRAB_CIMA CMED VIG NORM4 C</v>
          </cell>
        </row>
        <row r="20990">
          <cell r="B20990" t="str">
            <v>51040112260415</v>
          </cell>
          <cell r="C20990" t="str">
            <v>MYP INT.GAN. CAP_TRAB_CIMA CMED VIG DUPE4 C</v>
          </cell>
        </row>
        <row r="20991">
          <cell r="B20991" t="str">
            <v>51040112260418</v>
          </cell>
          <cell r="C20991" t="str">
            <v>MYP CAP. TRAB - PAGARE DIGITAL_CMED DUPE4 C</v>
          </cell>
        </row>
        <row r="20992">
          <cell r="B20992" t="str">
            <v>51040112260420</v>
          </cell>
          <cell r="C20992" t="str">
            <v>CCD-BPE CAPITAL DE TRABAJO_CMED VIG DUPE4 C</v>
          </cell>
        </row>
        <row r="20993">
          <cell r="B20993" t="str">
            <v>51040112260421</v>
          </cell>
          <cell r="C20993" t="str">
            <v>CCD-BPE CAP DE TRAB REPROG_CMED VIG DUPE4 C</v>
          </cell>
        </row>
        <row r="20994">
          <cell r="B20994" t="str">
            <v>51040112260801</v>
          </cell>
          <cell r="C20994" t="str">
            <v>PAN CREDITOS COMERCIO EXTERIOR CMED     4NC</v>
          </cell>
        </row>
        <row r="20995">
          <cell r="B20995" t="str">
            <v>51040112260802</v>
          </cell>
          <cell r="C20995" t="str">
            <v>INT GAN VIG CREDITOS PRE EMBARQUE CMED  4NC</v>
          </cell>
        </row>
        <row r="20996">
          <cell r="B20996" t="str">
            <v>51040112260803</v>
          </cell>
          <cell r="C20996" t="str">
            <v>INT GAN VIG CREDITOS POST EMBARQUE CMED 4NC</v>
          </cell>
        </row>
        <row r="20997">
          <cell r="B20997" t="str">
            <v>51040112300101</v>
          </cell>
          <cell r="C20997" t="str">
            <v>FINANCIACIÃ“N DE PROYECTOS ME           4NC</v>
          </cell>
        </row>
        <row r="20998">
          <cell r="B20998" t="str">
            <v>51040112300102</v>
          </cell>
          <cell r="C20998" t="str">
            <v>LPC INT GAN PAG FINAN PROY D/P VIG CMED 4NC</v>
          </cell>
        </row>
        <row r="20999">
          <cell r="B20999" t="str">
            <v>51040112300103</v>
          </cell>
          <cell r="C20999" t="str">
            <v>LPC INT GAN PAG. FINANC PROY COFIDE CMED4NC</v>
          </cell>
        </row>
        <row r="21000">
          <cell r="B21000" t="str">
            <v>51040112300104</v>
          </cell>
          <cell r="C21000" t="str">
            <v>LPC INT GAN VIG  PAG. FINANC PROY COFIDE4NC</v>
          </cell>
        </row>
        <row r="21001">
          <cell r="B21001" t="str">
            <v>51040112300105</v>
          </cell>
          <cell r="C21001" t="str">
            <v>LPC PAG FINAN PROY VERDE-SOCIAL CMED NOR4 C</v>
          </cell>
        </row>
        <row r="21002">
          <cell r="B21002" t="str">
            <v>51040112300106</v>
          </cell>
          <cell r="C21002" t="str">
            <v>LPC PAG FINAN PROY VERDE-SOCIAL CMED DUP4 C</v>
          </cell>
        </row>
        <row r="21003">
          <cell r="B21003" t="str">
            <v>51040112300107</v>
          </cell>
          <cell r="C21003" t="str">
            <v>LPC PAG FINAN PROY VINC-SOSTENIB CMED NO4 C</v>
          </cell>
        </row>
        <row r="21004">
          <cell r="B21004" t="str">
            <v>51040112300108</v>
          </cell>
          <cell r="C21004" t="str">
            <v>LPC PAG FINAN PROY VINC-SOSTENIB CMED DU4 C</v>
          </cell>
        </row>
        <row r="21005">
          <cell r="B21005" t="str">
            <v>51040112300109</v>
          </cell>
          <cell r="C21005" t="str">
            <v>LPC INT LEASING FINANCIACION PROYECTO CM4 C</v>
          </cell>
        </row>
        <row r="21006">
          <cell r="B21006" t="str">
            <v>51040112330100</v>
          </cell>
          <cell r="C21006" t="str">
            <v>LPC PAG BIENES INMB RENTA VERDE-SOCIAL C4 C</v>
          </cell>
        </row>
        <row r="21007">
          <cell r="B21007" t="str">
            <v>51040112330101</v>
          </cell>
          <cell r="C21007" t="str">
            <v>LPC PAG BIENES INMB RENTA VERDE-SOCIAL C4 C</v>
          </cell>
        </row>
        <row r="21008">
          <cell r="B21008" t="str">
            <v>51040112330102</v>
          </cell>
          <cell r="C21008" t="str">
            <v>LPC PAG BIENES INMB RENTA VINC-SOSTENIB 4 C</v>
          </cell>
        </row>
        <row r="21009">
          <cell r="B21009" t="str">
            <v>51040112330103</v>
          </cell>
          <cell r="C21009" t="str">
            <v>LPC PAG BIENES INMB RENTA VINC-SOSTENIB 4 C</v>
          </cell>
        </row>
        <row r="21010">
          <cell r="B21010" t="str">
            <v>51040113010101</v>
          </cell>
          <cell r="C21010" t="str">
            <v>IM INT AVANCE CTA CTE CPEM              4NC</v>
          </cell>
        </row>
        <row r="21011">
          <cell r="B21011" t="str">
            <v>51040113010102</v>
          </cell>
          <cell r="C21011" t="str">
            <v>LPC AVA CUENT  INT GAN NORM CPEM        4NC</v>
          </cell>
        </row>
        <row r="21012">
          <cell r="B21012" t="str">
            <v>51040113010103</v>
          </cell>
          <cell r="C21012" t="str">
            <v>LPC AVA CUENT  INT GAN DUPE CPEM        4NC</v>
          </cell>
        </row>
        <row r="21013">
          <cell r="B21013" t="str">
            <v>51040113010104</v>
          </cell>
          <cell r="C21013" t="str">
            <v>IM INT AVANCE CTA CTE CPEM              4NC</v>
          </cell>
        </row>
        <row r="21014">
          <cell r="B21014" t="str">
            <v>51040113020101</v>
          </cell>
          <cell r="C21014" t="str">
            <v>TC INT CDEUDA PAR AMEX CPEM             4NC</v>
          </cell>
        </row>
        <row r="21015">
          <cell r="B21015" t="str">
            <v>51040113020102</v>
          </cell>
          <cell r="C21015" t="str">
            <v>TC INT CDEUDA REV AMEX CPEM             4NC</v>
          </cell>
        </row>
        <row r="21016">
          <cell r="B21016" t="str">
            <v>51040113020103</v>
          </cell>
          <cell r="C21016" t="str">
            <v>TC INT CUOTAS AMEX CPEM                 4NC</v>
          </cell>
        </row>
        <row r="21017">
          <cell r="B21017" t="str">
            <v>51040113020104</v>
          </cell>
          <cell r="C21017" t="str">
            <v>TC INT EXTRACASH AMEX CPEM              4NC</v>
          </cell>
        </row>
        <row r="21018">
          <cell r="B21018" t="str">
            <v>51040113020105</v>
          </cell>
          <cell r="C21018" t="str">
            <v>TC INT REPROG PAR AMEX CPEM             4NC</v>
          </cell>
        </row>
        <row r="21019">
          <cell r="B21019" t="str">
            <v>51040113020106</v>
          </cell>
          <cell r="C21019" t="str">
            <v>TC INT REPROG REV AMEX CPEM             4NC</v>
          </cell>
        </row>
        <row r="21020">
          <cell r="B21020" t="str">
            <v>51040113020107</v>
          </cell>
          <cell r="C21020" t="str">
            <v>TC INT REV AMEX CPEM                    4NC</v>
          </cell>
        </row>
        <row r="21021">
          <cell r="B21021" t="str">
            <v>51040113020108</v>
          </cell>
          <cell r="C21021" t="str">
            <v>TC INT CDEUDA PAR MC CPEM               4NC</v>
          </cell>
        </row>
        <row r="21022">
          <cell r="B21022" t="str">
            <v>51040113020109</v>
          </cell>
          <cell r="C21022" t="str">
            <v>TC INT CDEUDA REV MC CPEM               4NC</v>
          </cell>
        </row>
        <row r="21023">
          <cell r="B21023" t="str">
            <v>51040113020110</v>
          </cell>
          <cell r="C21023" t="str">
            <v>TC INT CUOTAS MC CPEM                   4NC</v>
          </cell>
        </row>
        <row r="21024">
          <cell r="B21024" t="str">
            <v>51040113020111</v>
          </cell>
          <cell r="C21024" t="str">
            <v>TC INT EXTRACASH MC CPEM                4NC</v>
          </cell>
        </row>
        <row r="21025">
          <cell r="B21025" t="str">
            <v>51040113020112</v>
          </cell>
          <cell r="C21025" t="str">
            <v>TC INT REPROG PAR MC CPEM               4NC</v>
          </cell>
        </row>
        <row r="21026">
          <cell r="B21026" t="str">
            <v>51040113020113</v>
          </cell>
          <cell r="C21026" t="str">
            <v>TC INT REPROG REV MC CPEM               4NC</v>
          </cell>
        </row>
        <row r="21027">
          <cell r="B21027" t="str">
            <v>51040113020114</v>
          </cell>
          <cell r="C21027" t="str">
            <v>TC INT REV MC CPEM                      4NC</v>
          </cell>
        </row>
        <row r="21028">
          <cell r="B21028" t="str">
            <v>51040113020115</v>
          </cell>
          <cell r="C21028" t="str">
            <v>TC INT CDEUDA PAR VISA CPEM             4NC</v>
          </cell>
        </row>
        <row r="21029">
          <cell r="B21029" t="str">
            <v>51040113020116</v>
          </cell>
          <cell r="C21029" t="str">
            <v>TC INT CDEUDA PAR VISA MEGAPLAZA CPEM   4NC</v>
          </cell>
        </row>
        <row r="21030">
          <cell r="B21030" t="str">
            <v>51040113020117</v>
          </cell>
          <cell r="C21030" t="str">
            <v>TC INT CDEUDA PAR VISA VEA CPEM         4NC</v>
          </cell>
        </row>
        <row r="21031">
          <cell r="B21031" t="str">
            <v>51040113020118</v>
          </cell>
          <cell r="C21031" t="str">
            <v>TC INT CDEUDA REV VISA CPEM             4NC</v>
          </cell>
        </row>
        <row r="21032">
          <cell r="B21032" t="str">
            <v>51040113020119</v>
          </cell>
          <cell r="C21032" t="str">
            <v>TC INT CDEUDA REV VISA MEGAPLAZA CPEM   4NC</v>
          </cell>
        </row>
        <row r="21033">
          <cell r="B21033" t="str">
            <v>51040113020120</v>
          </cell>
          <cell r="C21033" t="str">
            <v>TC INT CDEUDA REV VISA VEA CPEM         4NC</v>
          </cell>
        </row>
        <row r="21034">
          <cell r="B21034" t="str">
            <v>51040113020121</v>
          </cell>
          <cell r="C21034" t="str">
            <v>TC INT CUOTAS VISA CPEM                 4NC</v>
          </cell>
        </row>
        <row r="21035">
          <cell r="B21035" t="str">
            <v>51040113020122</v>
          </cell>
          <cell r="C21035" t="str">
            <v>TC INT CUOTAS VISA MEGAPLAZA CPEM       4NC</v>
          </cell>
        </row>
        <row r="21036">
          <cell r="B21036" t="str">
            <v>51040113020123</v>
          </cell>
          <cell r="C21036" t="str">
            <v>TC INT CUOTAS VISA VEA CPEM             4NC</v>
          </cell>
        </row>
        <row r="21037">
          <cell r="B21037" t="str">
            <v>51040113020124</v>
          </cell>
          <cell r="C21037" t="str">
            <v>TC INT EXTRACASH VISA CPEM              4NC</v>
          </cell>
        </row>
        <row r="21038">
          <cell r="B21038" t="str">
            <v>51040113020125</v>
          </cell>
          <cell r="C21038" t="str">
            <v>TC INT EXTRACASH VISA MEGAPLAZA CPEM    4NC</v>
          </cell>
        </row>
        <row r="21039">
          <cell r="B21039" t="str">
            <v>51040113020126</v>
          </cell>
          <cell r="C21039" t="str">
            <v>TC INT EXTRACASH VISA VEA CPEM          4NC</v>
          </cell>
        </row>
        <row r="21040">
          <cell r="B21040" t="str">
            <v>51040113020127</v>
          </cell>
          <cell r="C21040" t="str">
            <v>TC INT REPROG PAR VISA CPEM             4NC</v>
          </cell>
        </row>
        <row r="21041">
          <cell r="B21041" t="str">
            <v>51040113020128</v>
          </cell>
          <cell r="C21041" t="str">
            <v>TC INT REPROG PAR VISA MEGAPLAZA CPEM   4NC</v>
          </cell>
        </row>
        <row r="21042">
          <cell r="B21042" t="str">
            <v>51040113020129</v>
          </cell>
          <cell r="C21042" t="str">
            <v>TC INT REPROG PAR VISA VEA CPEM         4NC</v>
          </cell>
        </row>
        <row r="21043">
          <cell r="B21043" t="str">
            <v>51040113020130</v>
          </cell>
          <cell r="C21043" t="str">
            <v>TC INT REPROG REV VISA CPEM             4NC</v>
          </cell>
        </row>
        <row r="21044">
          <cell r="B21044" t="str">
            <v>51040113020131</v>
          </cell>
          <cell r="C21044" t="str">
            <v>TC INT REPROG REV VISA MEGAPLAZA CPEM   4NC</v>
          </cell>
        </row>
        <row r="21045">
          <cell r="B21045" t="str">
            <v>51040113020132</v>
          </cell>
          <cell r="C21045" t="str">
            <v>TC INT REPROG REV VISA VEA CPEM         4NC</v>
          </cell>
        </row>
        <row r="21046">
          <cell r="B21046" t="str">
            <v>51040113020133</v>
          </cell>
          <cell r="C21046" t="str">
            <v>TC INT REV VISA CPEM                    4NC</v>
          </cell>
        </row>
        <row r="21047">
          <cell r="B21047" t="str">
            <v>51040113020134</v>
          </cell>
          <cell r="C21047" t="str">
            <v>TC INT REV VISA MEGAPLAZA CPEM          4NC</v>
          </cell>
        </row>
        <row r="21048">
          <cell r="B21048" t="str">
            <v>51040113020135</v>
          </cell>
          <cell r="C21048" t="str">
            <v>TC INT REV VISA VEA CPEM                4NC</v>
          </cell>
        </row>
        <row r="21049">
          <cell r="B21049" t="str">
            <v>51040113040101</v>
          </cell>
          <cell r="C21049" t="str">
            <v>IM INT SOBREGIRO CTA CTE CPEM           4NC</v>
          </cell>
        </row>
        <row r="21050">
          <cell r="B21050" t="str">
            <v>51040113050101</v>
          </cell>
          <cell r="C21050" t="str">
            <v>CL INT GANAD PAG DSCTO VIG CPEM         4NC</v>
          </cell>
        </row>
        <row r="21051">
          <cell r="B21051" t="str">
            <v>51040113050102</v>
          </cell>
          <cell r="C21051" t="str">
            <v>CL INT GAN PAG DSCTO D/P VIG CPEM       4NC</v>
          </cell>
        </row>
        <row r="21052">
          <cell r="B21052" t="str">
            <v>51040113050104</v>
          </cell>
          <cell r="C21052" t="str">
            <v>PR INT GANA VIG LETRAS T. DSCTOÂ  CPEM  4NC</v>
          </cell>
        </row>
        <row r="21053">
          <cell r="B21053" t="str">
            <v>51040113050105</v>
          </cell>
          <cell r="C21053" t="str">
            <v>FCD INT. GAN DSCTO ELECTR VIG DUD CPEM  4NC</v>
          </cell>
        </row>
        <row r="21054">
          <cell r="B21054" t="str">
            <v>51040113050106</v>
          </cell>
          <cell r="C21054" t="str">
            <v>FCD DESC. LET. I. VIG. CPEM DUPE        4NC</v>
          </cell>
        </row>
        <row r="21055">
          <cell r="B21055" t="str">
            <v>51040113050107</v>
          </cell>
          <cell r="C21055" t="str">
            <v>FCD DESC. FACT. I. VIG. CPEM DUPE       4NC</v>
          </cell>
        </row>
        <row r="21056">
          <cell r="B21056" t="str">
            <v>51040113050108</v>
          </cell>
          <cell r="C21056" t="str">
            <v>FCD DESC. VIRTUAL I. VIG. CPEM DUPE     4NC</v>
          </cell>
        </row>
        <row r="21057">
          <cell r="B21057" t="str">
            <v>51040113050109</v>
          </cell>
          <cell r="C21057" t="str">
            <v>FCD DESC. FACT. NEG. I. VIG. CPEM DUPE  4NC</v>
          </cell>
        </row>
        <row r="21058">
          <cell r="B21058" t="str">
            <v>51040113050110</v>
          </cell>
          <cell r="C21058" t="str">
            <v>FCD DESC. VIRTUAL I. VIG. CPEM NORMAL   4NC</v>
          </cell>
        </row>
        <row r="21059">
          <cell r="B21059" t="str">
            <v>51040113050111</v>
          </cell>
          <cell r="C21059" t="str">
            <v>LPC INT GAN PAG DSCTO VIGC CPEM         4NC</v>
          </cell>
        </row>
        <row r="21060">
          <cell r="B21060" t="str">
            <v>51040113050112</v>
          </cell>
          <cell r="C21060" t="str">
            <v>LPC INT GAN PAG DSCTO D/P VIGC CPEM     4NC</v>
          </cell>
        </row>
        <row r="21061">
          <cell r="B21061" t="str">
            <v>51040113050201</v>
          </cell>
          <cell r="C21061" t="str">
            <v>FCD INT GANAD VIG LETRAS DSCTO  CPEM    4NC</v>
          </cell>
        </row>
        <row r="21062">
          <cell r="B21062" t="str">
            <v>51040113050202</v>
          </cell>
          <cell r="C21062" t="str">
            <v>FCD DSCTO ELECTR SM PERU I.VIG CMED     4NC</v>
          </cell>
        </row>
        <row r="21063">
          <cell r="B21063" t="str">
            <v>51040113050203</v>
          </cell>
          <cell r="C21063" t="str">
            <v>PR INT GANAD VIG LTRA DSTO DP   CPEM    4NC</v>
          </cell>
        </row>
        <row r="21064">
          <cell r="B21064" t="str">
            <v>51040113060101</v>
          </cell>
          <cell r="C21064" t="str">
            <v>MYP INT.GAN.VIG .CAP.TRAB CPEM.         4NC</v>
          </cell>
        </row>
        <row r="21065">
          <cell r="B21065" t="str">
            <v>51040113060102</v>
          </cell>
          <cell r="C21065" t="str">
            <v>MYP INT.GAN.COMPRA.AF CPEM              4NC</v>
          </cell>
        </row>
        <row r="21066">
          <cell r="B21066" t="str">
            <v>51040113060103</v>
          </cell>
          <cell r="C21066" t="str">
            <v>MYP INT.GAN.VIG FIN.CRED PARAL CPEM     4NC</v>
          </cell>
        </row>
        <row r="21067">
          <cell r="B21067" t="str">
            <v>51040113060104</v>
          </cell>
          <cell r="C21067" t="str">
            <v>MYP D/P GAN.INT.VIG CAP.TRAB CPEM       4NC</v>
          </cell>
        </row>
        <row r="21068">
          <cell r="B21068" t="str">
            <v>51040113060105</v>
          </cell>
          <cell r="C21068" t="str">
            <v>MYP D/P GAN.INT.VIG AF INMUEBLE CPEM    4NC</v>
          </cell>
        </row>
        <row r="21069">
          <cell r="B21069" t="str">
            <v>51040113060106</v>
          </cell>
          <cell r="C21069" t="str">
            <v>MYP D/P GAN.INT.VIG FIN.ESTACIONAL CPEM 4NC</v>
          </cell>
        </row>
        <row r="21070">
          <cell r="B21070" t="str">
            <v>51040113060107</v>
          </cell>
          <cell r="C21070" t="str">
            <v>MYP INT.GAN.VIG TRANSP PUBL CPEM        4NC</v>
          </cell>
        </row>
        <row r="21071">
          <cell r="B21071" t="str">
            <v>51040113060108</v>
          </cell>
          <cell r="C21071" t="str">
            <v>MYP D/P GAN.INT.VIG AF INMUEBLE CPEM    4NC</v>
          </cell>
        </row>
        <row r="21072">
          <cell r="B21072" t="str">
            <v>51040113060109</v>
          </cell>
          <cell r="C21072" t="str">
            <v>MYP D/P GAN.INT.VIG AF INMUEBLE CPEM    4NC</v>
          </cell>
        </row>
        <row r="21073">
          <cell r="B21073" t="str">
            <v>51040113060110</v>
          </cell>
          <cell r="C21073" t="str">
            <v>MYP INT.GAN.VIG COMP DEU CPEM           4NC</v>
          </cell>
        </row>
        <row r="21074">
          <cell r="B21074" t="str">
            <v>51040113060111</v>
          </cell>
          <cell r="C21074" t="str">
            <v>MYP D/P GAN.INT.VIG FIN. COMP.DEU.CAP.TR4NC</v>
          </cell>
        </row>
        <row r="21075">
          <cell r="B21075" t="str">
            <v>51040113060112</v>
          </cell>
          <cell r="C21075" t="str">
            <v>MYP INT.GAN.VIG LIN REVOLV CPEM         4NC</v>
          </cell>
        </row>
        <row r="21076">
          <cell r="B21076" t="str">
            <v>51040113060113</v>
          </cell>
          <cell r="C21076" t="str">
            <v>MYP D/P GAN.INT.VIG TRANSP PUB CPEM     4NC</v>
          </cell>
        </row>
        <row r="21077">
          <cell r="B21077" t="str">
            <v>51040113060114</v>
          </cell>
          <cell r="C21077" t="str">
            <v>MYP D/P GAN.INT.VIG LINEA REVOL CPEM    4NC</v>
          </cell>
        </row>
        <row r="21078">
          <cell r="B21078" t="str">
            <v>51040113060116</v>
          </cell>
          <cell r="C21078" t="str">
            <v>MYP INT.GAN.VIG FIN.CRED. PARAL. CPEM   4NC</v>
          </cell>
        </row>
        <row r="21079">
          <cell r="B21079" t="str">
            <v>51040113060117</v>
          </cell>
          <cell r="C21079" t="str">
            <v>MYP INT GAN COM DEU AF VENC CPEM        4NC</v>
          </cell>
        </row>
        <row r="21080">
          <cell r="B21080" t="str">
            <v>51040113060118</v>
          </cell>
          <cell r="C21080" t="str">
            <v>MYP INT GAN COM DEU AF VENC CPEM D/P    4NC</v>
          </cell>
        </row>
        <row r="21081">
          <cell r="B21081" t="str">
            <v>51040113060119</v>
          </cell>
          <cell r="C21081" t="str">
            <v>MYP INT GAN FINANC IMPORT CPEM          4NC</v>
          </cell>
        </row>
        <row r="21082">
          <cell r="B21082" t="str">
            <v>51040113060120</v>
          </cell>
          <cell r="C21082" t="str">
            <v>MYP INT GAN FINANC IMPORT CPEM D/P      4NC</v>
          </cell>
        </row>
        <row r="21083">
          <cell r="B21083" t="str">
            <v>51040113060121</v>
          </cell>
          <cell r="C21083" t="str">
            <v>MYP INT GAN E.R CAP TRAB VIG CPEM       4NC</v>
          </cell>
        </row>
        <row r="21084">
          <cell r="B21084" t="str">
            <v>51040113060122</v>
          </cell>
          <cell r="C21084" t="str">
            <v>MYP INT GAN E.R CAP TRAB VIG CPEM D/P   4NC</v>
          </cell>
        </row>
        <row r="21085">
          <cell r="B21085" t="str">
            <v>51040113060123</v>
          </cell>
          <cell r="C21085" t="str">
            <v>MYP INT GAN VIG REFIN.COBRAN C/FIJA CPEM4NC</v>
          </cell>
        </row>
        <row r="21086">
          <cell r="B21086" t="str">
            <v>51040113060124</v>
          </cell>
          <cell r="C21086" t="str">
            <v>MYP INT GAN VIG REFIN.COBRAN REVOLCPEM  4NC</v>
          </cell>
        </row>
        <row r="21087">
          <cell r="B21087" t="str">
            <v>51040113060125</v>
          </cell>
          <cell r="C21087" t="str">
            <v>MYP INTGANAC VIGFIN CAPTRAB DUPE        4NC</v>
          </cell>
        </row>
        <row r="21088">
          <cell r="B21088" t="str">
            <v>51040113060126</v>
          </cell>
          <cell r="C21088" t="str">
            <v>MYP ER VIG FIN CAP TRA DUP CPEM         4NC</v>
          </cell>
        </row>
        <row r="21089">
          <cell r="B21089" t="str">
            <v>51040113060127</v>
          </cell>
          <cell r="C21089" t="str">
            <v>MYP D/P INT.GAN.VIG PAG.BPE-BE COMER.CPE4NC</v>
          </cell>
        </row>
        <row r="21090">
          <cell r="B21090" t="str">
            <v>51040113060128</v>
          </cell>
          <cell r="C21090" t="str">
            <v>MYP INT.GAN.VIG.PAG BPE-BE COM.NORM CPEM4NC</v>
          </cell>
        </row>
        <row r="21091">
          <cell r="B21091" t="str">
            <v>51040113060129</v>
          </cell>
          <cell r="C21091" t="str">
            <v>MYP D/P GAN.INT.VIG LIN REV.BPE-BE COM C4NC</v>
          </cell>
        </row>
        <row r="21092">
          <cell r="B21092" t="str">
            <v>51040113060130</v>
          </cell>
          <cell r="C21092" t="str">
            <v>MYP I.GAN.VIG LIN REV.BPE-BE COM NORM CP4NC</v>
          </cell>
        </row>
        <row r="21093">
          <cell r="B21093" t="str">
            <v>51040113060131</v>
          </cell>
          <cell r="C21093" t="str">
            <v>MYP INTGANVIG CAPTRABPROVREFCPEM        4NC</v>
          </cell>
        </row>
        <row r="21094">
          <cell r="B21094" t="str">
            <v>51040113060132</v>
          </cell>
          <cell r="C21094" t="str">
            <v>MYP INTGANVIG LIN REVOL PROVREFCPEM     4NC</v>
          </cell>
        </row>
        <row r="21095">
          <cell r="B21095" t="str">
            <v>51040113060133</v>
          </cell>
          <cell r="C21095" t="str">
            <v>MYP INT.GAN.VIG .CAP.TRAB.REUT.CPEM     4NC</v>
          </cell>
        </row>
        <row r="21096">
          <cell r="B21096" t="str">
            <v>51040113060134</v>
          </cell>
          <cell r="C21096" t="str">
            <v>MYP INT.GAN.VIG LIN REVOL REUT.CPEM     4NC</v>
          </cell>
        </row>
        <row r="21097">
          <cell r="B21097" t="str">
            <v>51040113060135</v>
          </cell>
          <cell r="C21097" t="str">
            <v>MYP DUPE INTGANVIG CAPTRABPROVREFCPEM   4NC</v>
          </cell>
        </row>
        <row r="21098">
          <cell r="B21098" t="str">
            <v>51040113060136</v>
          </cell>
          <cell r="C21098" t="str">
            <v>MYP DUPE INT.GAN.VIG LIN REVOL REUT.CPEM4NC</v>
          </cell>
        </row>
        <row r="21099">
          <cell r="B21099" t="str">
            <v>51040113060501</v>
          </cell>
          <cell r="C21099" t="str">
            <v>LPC INT GAN VIG PAG TV  D/P CPEM        4NC</v>
          </cell>
        </row>
        <row r="21100">
          <cell r="B21100" t="str">
            <v>51040113060502</v>
          </cell>
          <cell r="C21100" t="str">
            <v>LPC INT GAN PAG TV VIGEN CPEM           4NC</v>
          </cell>
        </row>
        <row r="21101">
          <cell r="B21101" t="str">
            <v>51040113060503</v>
          </cell>
          <cell r="C21101" t="str">
            <v>LPC PTV  CAP COFIDE  SBS CPEM           4NC</v>
          </cell>
        </row>
        <row r="21102">
          <cell r="B21102" t="str">
            <v>51040113060504</v>
          </cell>
          <cell r="C21102" t="str">
            <v>LPC INT GAN VIG PAGTV  COFIDE - D/P     4NC</v>
          </cell>
        </row>
        <row r="21103">
          <cell r="B21103" t="str">
            <v>51040113060505</v>
          </cell>
          <cell r="C21103" t="str">
            <v>LPC INT GAN PAG TV MED PLZ              4NC</v>
          </cell>
        </row>
        <row r="21104">
          <cell r="B21104" t="str">
            <v>51040113060506</v>
          </cell>
          <cell r="C21104" t="str">
            <v>LPC INT GAN PAG TV MED PLZ D/P          4NC</v>
          </cell>
        </row>
        <row r="21105">
          <cell r="B21105" t="str">
            <v>51040113060507</v>
          </cell>
          <cell r="C21105" t="str">
            <v>LPC INT GAN PAG TV INMOBILIARIO         4NC</v>
          </cell>
        </row>
        <row r="21106">
          <cell r="B21106" t="str">
            <v>51040113060508</v>
          </cell>
          <cell r="C21106" t="str">
            <v>LPC INT GAN PAG TV INMOBILIARIO D/P     4NC</v>
          </cell>
        </row>
        <row r="21107">
          <cell r="B21107" t="str">
            <v>51040113060509</v>
          </cell>
          <cell r="C21107" t="str">
            <v>LPC INT GAN PAG TV EUROS                4NC</v>
          </cell>
        </row>
        <row r="21108">
          <cell r="B21108" t="str">
            <v>51040113060510</v>
          </cell>
          <cell r="C21108" t="str">
            <v>LPC INT GAN PAG TV EUROS                4NC</v>
          </cell>
        </row>
        <row r="21109">
          <cell r="B21109" t="str">
            <v>51040113060511</v>
          </cell>
          <cell r="C21109" t="str">
            <v>LPC INT GAN PAG TV INMOBILIARIO VIG D/P 4NC</v>
          </cell>
        </row>
        <row r="21110">
          <cell r="B21110" t="str">
            <v>51040113060512</v>
          </cell>
          <cell r="C21110" t="str">
            <v>LPC INT GAN PAG DERIVADOS VIG CPEM      4NC</v>
          </cell>
        </row>
        <row r="21111">
          <cell r="B21111" t="str">
            <v>51040113060513</v>
          </cell>
          <cell r="C21111" t="str">
            <v>LPC INT GAN PAG DERIVADOS VIG NORM CPEM 4NC</v>
          </cell>
        </row>
        <row r="21112">
          <cell r="B21112" t="str">
            <v>51040113060514</v>
          </cell>
          <cell r="C21112" t="str">
            <v>LPC INT GAN PAG DERIVADOS VIG DUPE CPEM 4NC</v>
          </cell>
        </row>
        <row r="21113">
          <cell r="B21113" t="str">
            <v>51040113060515</v>
          </cell>
          <cell r="C21113" t="str">
            <v>LPC INT GAN PAG DERIVADOS N/REVOL VIG NO4NC</v>
          </cell>
        </row>
        <row r="21114">
          <cell r="B21114" t="str">
            <v>51040113060516</v>
          </cell>
          <cell r="C21114" t="str">
            <v>LPC INT GAN PAG DERIVADOS N/REVOL VIG DU4NC</v>
          </cell>
        </row>
        <row r="21115">
          <cell r="B21115" t="str">
            <v>51040113060517</v>
          </cell>
          <cell r="C21115" t="str">
            <v>LPC INT GAN PAG REPROGRAMADO            4NC</v>
          </cell>
        </row>
        <row r="21116">
          <cell r="B21116" t="str">
            <v>51040113060518</v>
          </cell>
          <cell r="C21116" t="str">
            <v>LPC INT GAN PAG REPROGRAMADO NO REVOL D/4NC</v>
          </cell>
        </row>
        <row r="21117">
          <cell r="B21117" t="str">
            <v>51040113060519</v>
          </cell>
          <cell r="C21117" t="str">
            <v>LPC INT VIG GAN PAG TV RP MEDIANO PLAZO 4NC</v>
          </cell>
        </row>
        <row r="21118">
          <cell r="B21118" t="str">
            <v>51040113060601</v>
          </cell>
          <cell r="C21118" t="str">
            <v>CL INT DIFER GAN PAG TV D/P VIG CPEM    4NC</v>
          </cell>
        </row>
        <row r="21119">
          <cell r="B21119" t="str">
            <v>51040113060602</v>
          </cell>
          <cell r="C21119" t="str">
            <v>CL INT GAN PAG TV D/P  VIG CPEM         4NC</v>
          </cell>
        </row>
        <row r="21120">
          <cell r="B21120" t="str">
            <v>51040113060603</v>
          </cell>
          <cell r="C21120" t="str">
            <v>CL INT GAN FINANC DIF CPEM              4NC</v>
          </cell>
        </row>
        <row r="21121">
          <cell r="B21121" t="str">
            <v>51040113060604</v>
          </cell>
          <cell r="C21121" t="str">
            <v>CL INT GANAD TV CPEM                    4NC</v>
          </cell>
        </row>
        <row r="21122">
          <cell r="B21122" t="str">
            <v>51040113060605</v>
          </cell>
          <cell r="C21122" t="str">
            <v>CL INT.GAN PAG.TV NEG.INMOB VIG CPEM    4NC</v>
          </cell>
        </row>
        <row r="21123">
          <cell r="B21123" t="str">
            <v>51040113060606</v>
          </cell>
          <cell r="C21123" t="str">
            <v>CL INT. GAN OTROS SUSP DIF CPEM         4NC</v>
          </cell>
        </row>
        <row r="21124">
          <cell r="B21124" t="str">
            <v>51040113060607</v>
          </cell>
          <cell r="C21124" t="str">
            <v>CL INT GAN OTROS SUSP VIG CPEM          4NC</v>
          </cell>
        </row>
        <row r="21125">
          <cell r="B21125" t="str">
            <v>51040113060608</v>
          </cell>
          <cell r="C21125" t="str">
            <v>CL INT GANAD VIG PREST COFIDE CPEM      4NC</v>
          </cell>
        </row>
        <row r="21126">
          <cell r="B21126" t="str">
            <v>51040113060609</v>
          </cell>
          <cell r="C21126" t="str">
            <v>CL INT.GAN.DEUD.VTA.CART.VIG CPEM       4NC</v>
          </cell>
        </row>
        <row r="21127">
          <cell r="B21127" t="str">
            <v>51040113060610</v>
          </cell>
          <cell r="C21127" t="str">
            <v>MYP GAN.INT.VIG CAP DE TRAB CIMA NOR/DUP4NC</v>
          </cell>
        </row>
        <row r="21128">
          <cell r="B21128" t="str">
            <v>51040113060611</v>
          </cell>
          <cell r="C21128" t="str">
            <v>MYP CODIFE FONDO CRECER VIG CPEM\DUPE   4NC</v>
          </cell>
        </row>
        <row r="21129">
          <cell r="B21129" t="str">
            <v>51040113060612</v>
          </cell>
          <cell r="C21129" t="str">
            <v>MYP CODIFE FONDO CRECER VIG CPEM\NORM   4NC</v>
          </cell>
        </row>
        <row r="21130">
          <cell r="B21130" t="str">
            <v>51040113060613</v>
          </cell>
          <cell r="C21130" t="str">
            <v>MYP CODIFE REACTIVA PERU VIG CPEM\DUPE  4NC</v>
          </cell>
        </row>
        <row r="21131">
          <cell r="B21131" t="str">
            <v>51040113060614</v>
          </cell>
          <cell r="C21131" t="str">
            <v>MYP CODIFE REACTIVA PERU VIG CPEM\NORM  4NC</v>
          </cell>
        </row>
        <row r="21132">
          <cell r="B21132" t="str">
            <v>51040113060623</v>
          </cell>
          <cell r="C21132" t="str">
            <v>LPC REACTIVA PERU VIG CPEM\NORM         4NC</v>
          </cell>
        </row>
        <row r="21133">
          <cell r="B21133" t="str">
            <v>51040113060624</v>
          </cell>
          <cell r="C21133" t="str">
            <v>LPC REACTIVA PERU VIG CPEM\DUPE         4NC</v>
          </cell>
        </row>
        <row r="21134">
          <cell r="B21134" t="str">
            <v>51040113060625</v>
          </cell>
          <cell r="C21134" t="str">
            <v>LPC COFIDE FONDOS PERU VIG CPEM\NORM    4NC</v>
          </cell>
        </row>
        <row r="21135">
          <cell r="B21135" t="str">
            <v>51040113060626</v>
          </cell>
          <cell r="C21135" t="str">
            <v>LPC COFIDE FONDOS PERU VIG CPEM\DUPE    4NC</v>
          </cell>
        </row>
        <row r="21136">
          <cell r="B21136" t="str">
            <v>51040113060627</v>
          </cell>
          <cell r="C21136" t="str">
            <v>LPC COFIDE FONDO CRECER VIG CPEM\DUPE   4NC</v>
          </cell>
        </row>
        <row r="21137">
          <cell r="B21137" t="str">
            <v>51040113060628</v>
          </cell>
          <cell r="C21137" t="str">
            <v>LPC COFIDE FONDO CRECER VIG CPEM\NORM   4NC</v>
          </cell>
        </row>
        <row r="21138">
          <cell r="B21138" t="str">
            <v>51040113060629</v>
          </cell>
          <cell r="C21138" t="str">
            <v>LPC REACTIVA PERU VIG CPEM\DUPE         4NC</v>
          </cell>
        </row>
        <row r="21139">
          <cell r="B21139" t="str">
            <v>51040113060630</v>
          </cell>
          <cell r="C21139" t="str">
            <v>LPC REACTIVA PERU VIG CPEM\NORM         4NC</v>
          </cell>
        </row>
        <row r="21140">
          <cell r="B21140" t="str">
            <v>51040113060631</v>
          </cell>
          <cell r="C21140" t="str">
            <v>LPC PAG.INMOB. REPROG-SUSPENSO VIG CPEM 4NC</v>
          </cell>
        </row>
        <row r="21141">
          <cell r="B21141" t="str">
            <v>51040113060632</v>
          </cell>
          <cell r="C21141" t="str">
            <v>MYP CODIFE REACTIVA REPRO PERU VIG CPEM 4 C</v>
          </cell>
        </row>
        <row r="21142">
          <cell r="B21142" t="str">
            <v>51040113060633</v>
          </cell>
          <cell r="C21142" t="str">
            <v>LPC REPROG REACTIVA DIFE CPEM VIG       4 C</v>
          </cell>
        </row>
        <row r="21143">
          <cell r="B21143" t="str">
            <v>51040113060634</v>
          </cell>
          <cell r="C21143" t="str">
            <v>LPC REPROG REACTIVA DS.011-2022 CPEM NOR4 C</v>
          </cell>
        </row>
        <row r="21144">
          <cell r="B21144" t="str">
            <v>51040113060635</v>
          </cell>
          <cell r="C21144" t="str">
            <v>LPC REPROG REACTIVA DS.011-2022 CPEM DUP4 C</v>
          </cell>
        </row>
        <row r="21145">
          <cell r="B21145" t="str">
            <v>51040113060636</v>
          </cell>
          <cell r="C21145" t="str">
            <v>MYP REPROG REACTIVA DS.011-2022 CPEM NOR4 C</v>
          </cell>
        </row>
        <row r="21146">
          <cell r="B21146" t="str">
            <v>51040113060637</v>
          </cell>
          <cell r="C21146" t="str">
            <v>MYP REPROG REACTIVA DS.011-2022 CPEM DUP4 C</v>
          </cell>
        </row>
        <row r="21147">
          <cell r="B21147" t="str">
            <v>51040113060642</v>
          </cell>
          <cell r="C21147" t="str">
            <v>MYP INT.GAN. CAP_TRAB_CIMA CPEM VIG NORM4 C</v>
          </cell>
        </row>
        <row r="21148">
          <cell r="B21148" t="str">
            <v>51040113060643</v>
          </cell>
          <cell r="C21148" t="str">
            <v>MYP INT.GAN. CAP_TRAB_CIMA CPEM VIG DUPE4 C</v>
          </cell>
        </row>
        <row r="21149">
          <cell r="B21149" t="str">
            <v>51040113060644</v>
          </cell>
          <cell r="C21149" t="str">
            <v>MYP REPROGRAMADO CIMA CPEM VIG NORM     4 C</v>
          </cell>
        </row>
        <row r="21150">
          <cell r="B21150" t="str">
            <v>51040113060645</v>
          </cell>
          <cell r="C21150" t="str">
            <v>MYP REPROGRAMADO CIMA CPEM VIG DUPE     4 C</v>
          </cell>
        </row>
        <row r="21151">
          <cell r="B21151" t="str">
            <v>51040113060648</v>
          </cell>
          <cell r="C21151" t="str">
            <v>MYP REPROG REACTIVA 2023 CPEM NORM VIG  4 C</v>
          </cell>
        </row>
        <row r="21152">
          <cell r="B21152" t="str">
            <v>51040113060649</v>
          </cell>
          <cell r="C21152" t="str">
            <v>MYP REPROG REACTIVA 2023 CPEM DUPE VIG  4 C</v>
          </cell>
        </row>
        <row r="21153">
          <cell r="B21153" t="str">
            <v>51040113060650</v>
          </cell>
          <cell r="C21153" t="str">
            <v>LPC REPROG REACTIVA 2023 VIG CPEM NORM  4 C</v>
          </cell>
        </row>
        <row r="21154">
          <cell r="B21154" t="str">
            <v>51040113060651</v>
          </cell>
          <cell r="C21154" t="str">
            <v>LPC REPROG REACTIVA 2023 VIG CPEM DUPE  4 C</v>
          </cell>
        </row>
        <row r="21155">
          <cell r="B21155" t="str">
            <v>51040113060652</v>
          </cell>
          <cell r="C21155" t="str">
            <v>MYP CAP. TRAB - PAGARE DIGITAL_CPEM NORM4 C</v>
          </cell>
        </row>
        <row r="21156">
          <cell r="B21156" t="str">
            <v>51040113060653</v>
          </cell>
          <cell r="C21156" t="str">
            <v>MYP IMPULSO MYPERU VIG CPEM NORM        4 C</v>
          </cell>
        </row>
        <row r="21157">
          <cell r="B21157" t="str">
            <v>51040113060654</v>
          </cell>
          <cell r="C21157" t="str">
            <v>MYP IMPULSO MYPERU VIG CPEM DUPE        4 C</v>
          </cell>
        </row>
        <row r="21158">
          <cell r="B21158" t="str">
            <v>51040113060655</v>
          </cell>
          <cell r="C21158" t="str">
            <v>LPC INT VIG IMPULSO MYPERU CORTO PLAZO C4 C</v>
          </cell>
        </row>
        <row r="21159">
          <cell r="B21159" t="str">
            <v>51040113060656</v>
          </cell>
          <cell r="C21159" t="str">
            <v>LPC INT VIG IMPULSO MYPERU MEDIANO PLAZO4 C</v>
          </cell>
        </row>
        <row r="21160">
          <cell r="B21160" t="str">
            <v>51040113060657</v>
          </cell>
          <cell r="C21160" t="str">
            <v>MYP CAPITAL DE TRAB CIMA REU DIF INT VIG4 C</v>
          </cell>
        </row>
        <row r="21161">
          <cell r="B21161" t="str">
            <v>51040113060658</v>
          </cell>
          <cell r="C21161" t="str">
            <v>MYP LINEA REVOLV CIMA INT GAN VIG NORM C4 C</v>
          </cell>
        </row>
        <row r="21162">
          <cell r="B21162" t="str">
            <v>51040113060659</v>
          </cell>
          <cell r="C21162" t="str">
            <v>MYP LINEA REVOLV CIMA INT GAN VIG DUPE C4 C</v>
          </cell>
        </row>
        <row r="21163">
          <cell r="B21163" t="str">
            <v>51040113060660</v>
          </cell>
          <cell r="C21163" t="str">
            <v>MYP CAP TRAB PER GRACIA PARCIAL INT VIG 4 C</v>
          </cell>
        </row>
        <row r="21164">
          <cell r="B21164" t="str">
            <v>51040113060661</v>
          </cell>
          <cell r="C21164" t="str">
            <v>MYP CAP TRAB PER GRACIA PARCIAL INT VIG 4 C</v>
          </cell>
        </row>
        <row r="21165">
          <cell r="B21165" t="str">
            <v>51040113060662</v>
          </cell>
          <cell r="C21165" t="str">
            <v>MYP REPROG PERIODO GRACIA PARCIAL VIG CP4 C</v>
          </cell>
        </row>
        <row r="21166">
          <cell r="B21166" t="str">
            <v>51040113060663</v>
          </cell>
          <cell r="C21166" t="str">
            <v>MYP REPROG PERIODO GRACIA PARCIAL VIG CP4 C</v>
          </cell>
        </row>
        <row r="21167">
          <cell r="B21167" t="str">
            <v>51040113060664</v>
          </cell>
          <cell r="C21167" t="str">
            <v>MYP REACTIVA REPROG DS.011-2022  VIG CGE4 C</v>
          </cell>
        </row>
        <row r="21168">
          <cell r="B21168" t="str">
            <v>51040113060665</v>
          </cell>
          <cell r="C21168" t="str">
            <v>MYP REACTIVA REPROG DS.011-2022 VIG CGEM4 C</v>
          </cell>
        </row>
        <row r="21169">
          <cell r="B21169" t="str">
            <v>51040113060666</v>
          </cell>
          <cell r="C21169" t="str">
            <v>LPC PAG PAPERLESS DERIVADOS REV/NR INT C4NC</v>
          </cell>
        </row>
        <row r="21170">
          <cell r="B21170" t="str">
            <v>51040113060667</v>
          </cell>
          <cell r="C21170" t="str">
            <v>LPC PAG PAPERLESS DERIVADOS REV/NR INT C4NC</v>
          </cell>
        </row>
        <row r="21171">
          <cell r="B21171" t="str">
            <v>51040113060668</v>
          </cell>
          <cell r="C21171" t="str">
            <v>CCD-BPE CAPITAL DE TRABAJO_CPEM VIG NORM4 C</v>
          </cell>
        </row>
        <row r="21172">
          <cell r="B21172" t="str">
            <v>51040113060669</v>
          </cell>
          <cell r="C21172" t="str">
            <v>CCD-BPE CAPITAL DE TRABAJO_CPEM VIG DUPE4 C</v>
          </cell>
        </row>
        <row r="21173">
          <cell r="B21173" t="str">
            <v>51040113060670</v>
          </cell>
          <cell r="C21173" t="str">
            <v>CCD-BPE LINEA REVOLVENTE_CPEM VIG NORM I4 C</v>
          </cell>
        </row>
        <row r="21174">
          <cell r="B21174" t="str">
            <v>51040113060671</v>
          </cell>
          <cell r="C21174" t="str">
            <v>CCD-BPE LINEA REVOLVENTE_CPEM VIG DUPE I4 C</v>
          </cell>
        </row>
        <row r="21175">
          <cell r="B21175" t="str">
            <v>51040113060672</v>
          </cell>
          <cell r="C21175" t="str">
            <v>CCD-BPE CAP DE TRAB REPROG_CPEM VIG NORM4 C</v>
          </cell>
        </row>
        <row r="21176">
          <cell r="B21176" t="str">
            <v>51040113060673</v>
          </cell>
          <cell r="C21176" t="str">
            <v>CCD-BPE CAP DE TRAB REPROG_CPEM VIG DUPE4 C</v>
          </cell>
        </row>
        <row r="21177">
          <cell r="B21177" t="str">
            <v>51040113060674</v>
          </cell>
          <cell r="C21177" t="str">
            <v>CCD-BPE CAP DE TRAB_CPEM_VIG            4 C</v>
          </cell>
        </row>
        <row r="21178">
          <cell r="B21178" t="str">
            <v>51040113100101</v>
          </cell>
          <cell r="C21178" t="str">
            <v>PR INT GAN COMP VIG LETRAS FACTORING CPE4NC</v>
          </cell>
        </row>
        <row r="21179">
          <cell r="B21179" t="str">
            <v>51040113100102</v>
          </cell>
          <cell r="C21179" t="str">
            <v>PR FACTORING DIFERIDOS CPEM             4NC</v>
          </cell>
        </row>
        <row r="21180">
          <cell r="B21180" t="str">
            <v>51040113100103</v>
          </cell>
          <cell r="C21180" t="str">
            <v>PR INT GAN COMP VIG FACT FACTORING CPEM 4NC</v>
          </cell>
        </row>
        <row r="21181">
          <cell r="B21181" t="str">
            <v>51040113100104</v>
          </cell>
          <cell r="C21181" t="str">
            <v>PR INT GAN FACTORING-FACT DIF CPEM      4NC</v>
          </cell>
        </row>
        <row r="21182">
          <cell r="B21182" t="str">
            <v>51040113100105</v>
          </cell>
          <cell r="C21182" t="str">
            <v>PR FACT ELECTR LET/FACT I.COMPENS CPEM  4NC</v>
          </cell>
        </row>
        <row r="21183">
          <cell r="B21183" t="str">
            <v>51040113100106</v>
          </cell>
          <cell r="C21183" t="str">
            <v>PR FACT ELECTR LET/FACT I.DIF CPEM      4NC</v>
          </cell>
        </row>
        <row r="21184">
          <cell r="B21184" t="str">
            <v>51040113100107</v>
          </cell>
          <cell r="C21184" t="str">
            <v>PR FACTORING INTER. INT VIG CPEM        4NC</v>
          </cell>
        </row>
        <row r="21185">
          <cell r="B21185" t="str">
            <v>51040113100108</v>
          </cell>
          <cell r="C21185" t="str">
            <v>PR PERU FACTORING INT.COMPENS CPEM      4NC</v>
          </cell>
        </row>
        <row r="21186">
          <cell r="B21186" t="str">
            <v>51040113100109</v>
          </cell>
          <cell r="C21186" t="str">
            <v>PR PERU FACTORING INT.DIF CPEM          4NC</v>
          </cell>
        </row>
        <row r="21187">
          <cell r="B21187" t="str">
            <v>51040113100110</v>
          </cell>
          <cell r="C21187" t="str">
            <v>PR FORFAITING EXPORTACIÃ“N INT GANA VIG 4NC</v>
          </cell>
        </row>
        <row r="21188">
          <cell r="B21188" t="str">
            <v>51040113100111</v>
          </cell>
          <cell r="C21188" t="str">
            <v>FACT INTER IMPORT  VIG. CPEM DUPE       4NC</v>
          </cell>
        </row>
        <row r="21189">
          <cell r="B21189" t="str">
            <v>51040113100112</v>
          </cell>
          <cell r="C21189" t="str">
            <v>FACT INTER IMPORT   VIG. CPEM NORMAL    4NC</v>
          </cell>
        </row>
        <row r="21190">
          <cell r="B21190" t="str">
            <v>51040113100201</v>
          </cell>
          <cell r="C21190" t="str">
            <v>CL EX FACTORING FORFAITING INT.GAN.VIG C4NC</v>
          </cell>
        </row>
        <row r="21191">
          <cell r="B21191" t="str">
            <v>51040113100202</v>
          </cell>
          <cell r="C21191" t="str">
            <v>CL  CONFIRMING INTER INT.GAN.VIG CPEM   4NC</v>
          </cell>
        </row>
        <row r="21192">
          <cell r="B21192" t="str">
            <v>51040113100301</v>
          </cell>
          <cell r="C21192" t="str">
            <v>FCD FACT ELECTR DIF.DUDOSO CPEM         4NC</v>
          </cell>
        </row>
        <row r="21193">
          <cell r="B21193" t="str">
            <v>51040113100302</v>
          </cell>
          <cell r="C21193" t="str">
            <v>FCD FACT INTER EXPO. INT VIG NORM CPEM  4NC</v>
          </cell>
        </row>
        <row r="21194">
          <cell r="B21194" t="str">
            <v>51040113100303</v>
          </cell>
          <cell r="C21194" t="str">
            <v>FCD FORFAITING EXPO INT GANA VIG NORM  C4NC</v>
          </cell>
        </row>
        <row r="21195">
          <cell r="B21195" t="str">
            <v>51040113100304</v>
          </cell>
          <cell r="C21195" t="str">
            <v>FCD FACT INTER EXPO. INT VIG DUPE CPEM  4NC</v>
          </cell>
        </row>
        <row r="21196">
          <cell r="B21196" t="str">
            <v>51040113100305</v>
          </cell>
          <cell r="C21196" t="str">
            <v>FCD FORFAITING EXPO INT GANA VIG DUPE  C4NC</v>
          </cell>
        </row>
        <row r="21197">
          <cell r="B21197" t="str">
            <v>51040113100306</v>
          </cell>
          <cell r="C21197" t="str">
            <v>FCD CONFIRMING INTERNACIONAL. INT VIG NO4NC</v>
          </cell>
        </row>
        <row r="21198">
          <cell r="B21198" t="str">
            <v>51040113100307</v>
          </cell>
          <cell r="C21198" t="str">
            <v>FCD CONFIRMING INTERNACIONAL. INT VIG DU4NC</v>
          </cell>
        </row>
        <row r="21199">
          <cell r="B21199" t="str">
            <v>51040113100308</v>
          </cell>
          <cell r="C21199" t="str">
            <v>FCD FAC. FIS. LET. I. VIG. CPEM DUPE    4NC</v>
          </cell>
        </row>
        <row r="21200">
          <cell r="B21200" t="str">
            <v>51040113100309</v>
          </cell>
          <cell r="C21200" t="str">
            <v>FCD FAC. FIS. FAC.. I. VIG. CPEM DUPE   4NC</v>
          </cell>
        </row>
        <row r="21201">
          <cell r="B21201" t="str">
            <v>51040113110101</v>
          </cell>
          <cell r="C21201" t="str">
            <v>LPC INT VIG LEASING BIEN RP CPEM        4NC</v>
          </cell>
        </row>
        <row r="21202">
          <cell r="B21202" t="str">
            <v>51040113110102</v>
          </cell>
          <cell r="C21202" t="str">
            <v>LPC INT VIG LEASING SEG RP CPEM         4NC</v>
          </cell>
        </row>
        <row r="21203">
          <cell r="B21203" t="str">
            <v>51040113110103</v>
          </cell>
          <cell r="C21203" t="str">
            <v>LPC CIA SEGURO LEASING RP CPEM          4NC</v>
          </cell>
        </row>
        <row r="21204">
          <cell r="B21204" t="str">
            <v>51040113110104</v>
          </cell>
          <cell r="C21204" t="str">
            <v>LPC INT VIG LS  BIEN OTROS SUSP RP CPEM 4NC</v>
          </cell>
        </row>
        <row r="21205">
          <cell r="B21205" t="str">
            <v>51040113110105</v>
          </cell>
          <cell r="C21205" t="str">
            <v>LPC INT VIG LS SEG OTROS SUSP RP CPEM   4NC</v>
          </cell>
        </row>
        <row r="21206">
          <cell r="B21206" t="str">
            <v>51040113110106</v>
          </cell>
          <cell r="C21206" t="str">
            <v>LPC CIA SEGURO LPC LS OTROS SUSP RP CPEM4NC</v>
          </cell>
        </row>
        <row r="21207">
          <cell r="B21207" t="str">
            <v>51040113110107</v>
          </cell>
          <cell r="C21207" t="str">
            <v>LPC INT VIG LEASING DERIVADO BIEN RP CPE4NC</v>
          </cell>
        </row>
        <row r="21208">
          <cell r="B21208" t="str">
            <v>51040113110108</v>
          </cell>
          <cell r="C21208" t="str">
            <v>LPC INT VIG LEASING DERIVADO BIEN D/P RP4NC</v>
          </cell>
        </row>
        <row r="21209">
          <cell r="B21209" t="str">
            <v>51040113110109</v>
          </cell>
          <cell r="C21209" t="str">
            <v>LPC INT VIG LEASING DERIVADO SEG RP CPEM4NC</v>
          </cell>
        </row>
        <row r="21210">
          <cell r="B21210" t="str">
            <v>51040113110110</v>
          </cell>
          <cell r="C21210" t="str">
            <v>LPC INT VIG LEASING DERIVADO SEG D/P RP 4NC</v>
          </cell>
        </row>
        <row r="21211">
          <cell r="B21211" t="str">
            <v>51040113110201</v>
          </cell>
          <cell r="C21211" t="str">
            <v>LPC INT VIG LEAS BIEN D/P RP CPEM       4NC</v>
          </cell>
        </row>
        <row r="21212">
          <cell r="B21212" t="str">
            <v>51040113110202</v>
          </cell>
          <cell r="C21212" t="str">
            <v>LPC INT VIG LEASING SEG D/P RP CPEM     4NC</v>
          </cell>
        </row>
        <row r="21213">
          <cell r="B21213" t="str">
            <v>51040113110203</v>
          </cell>
          <cell r="C21213" t="str">
            <v>LPC CIA SEGURO LEAS D/P RP CPEM         4NC</v>
          </cell>
        </row>
        <row r="21214">
          <cell r="B21214" t="str">
            <v>51040113110301</v>
          </cell>
          <cell r="C21214" t="str">
            <v>LPC INT LEASING PRE CUOTAS CPEM         4NC</v>
          </cell>
        </row>
        <row r="21215">
          <cell r="B21215" t="str">
            <v>51040113110501</v>
          </cell>
          <cell r="C21215" t="str">
            <v>LPC ING VIG LSG BIEN ADJ. RP CPEM       4NC</v>
          </cell>
        </row>
        <row r="21216">
          <cell r="B21216" t="str">
            <v>51040113110502</v>
          </cell>
          <cell r="C21216" t="str">
            <v>LPC INT VIG LSG SEG. ADJ.RP CPEM        4NC</v>
          </cell>
        </row>
        <row r="21217">
          <cell r="B21217" t="str">
            <v>51040113110503</v>
          </cell>
          <cell r="C21217" t="str">
            <v>LPC CIA SEG LSG ADJ. RP V-S CPEM        4NC</v>
          </cell>
        </row>
        <row r="21218">
          <cell r="B21218" t="str">
            <v>51040113110504</v>
          </cell>
          <cell r="C21218" t="str">
            <v>LPC ING VIG LSG BIEN ADJ. D/P CPEM      4NC</v>
          </cell>
        </row>
        <row r="21219">
          <cell r="B21219" t="str">
            <v>51040113110505</v>
          </cell>
          <cell r="C21219" t="str">
            <v>LPC ING VIG LSG SEG. ADJ. D/P CPEM      4NC</v>
          </cell>
        </row>
        <row r="21220">
          <cell r="B21220" t="str">
            <v>51040113110506</v>
          </cell>
          <cell r="C21220" t="str">
            <v>LPC LS CIA SEGURO  D/P ADJ. CPEM        4NC</v>
          </cell>
        </row>
        <row r="21221">
          <cell r="B21221" t="str">
            <v>51040113110601</v>
          </cell>
          <cell r="C21221" t="str">
            <v>LPC IDL MYP INT GAN LEASING CPEM        4NC</v>
          </cell>
        </row>
        <row r="21222">
          <cell r="B21222" t="str">
            <v>51040113110602</v>
          </cell>
          <cell r="C21222" t="str">
            <v>LPC IDS MYP INT GAN LEASING CPEM        4NC</v>
          </cell>
        </row>
        <row r="21223">
          <cell r="B21223" t="str">
            <v>51040113110603</v>
          </cell>
          <cell r="C21223" t="str">
            <v>LPC MYP ISG CIA SEG LEASING CPEM        4NC</v>
          </cell>
        </row>
        <row r="21224">
          <cell r="B21224" t="str">
            <v>51040113110604</v>
          </cell>
          <cell r="C21224" t="str">
            <v>LPC IDL MYP INT GAN LEASING D/P CPEM    4NC</v>
          </cell>
        </row>
        <row r="21225">
          <cell r="B21225" t="str">
            <v>51040113110605</v>
          </cell>
          <cell r="C21225" t="str">
            <v>LPC IDS MYP INT GAN LEASING D/P CPEM    4NC</v>
          </cell>
        </row>
        <row r="21226">
          <cell r="B21226" t="str">
            <v>51040113110606</v>
          </cell>
          <cell r="C21226" t="str">
            <v>LPC ISG MYP CIA SEG D/P CPEM            4NC</v>
          </cell>
        </row>
        <row r="21227">
          <cell r="B21227" t="str">
            <v>51040113110701</v>
          </cell>
          <cell r="C21227" t="str">
            <v>LPC INT VIG LEASING COFIDE IDL CPEM     4NC</v>
          </cell>
        </row>
        <row r="21228">
          <cell r="B21228" t="str">
            <v>51040113110702</v>
          </cell>
          <cell r="C21228" t="str">
            <v>LPC INT VIG LEASING COFIDE SEG IDS CPEM 4NC</v>
          </cell>
        </row>
        <row r="21229">
          <cell r="B21229" t="str">
            <v>51040113110703</v>
          </cell>
          <cell r="C21229" t="str">
            <v>LPC CIA SEGURO LEASING COFIDE ISG CPEM  4NC</v>
          </cell>
        </row>
        <row r="21230">
          <cell r="B21230" t="str">
            <v>51040113110704</v>
          </cell>
          <cell r="C21230" t="str">
            <v>LPC INT VIG LS COFIDE D/P IDL CPEM      4NC</v>
          </cell>
        </row>
        <row r="21231">
          <cell r="B21231" t="str">
            <v>51040113110705</v>
          </cell>
          <cell r="C21231" t="str">
            <v>LPC INT VIG LS COFIDE D/P IDS CPEM      4NC</v>
          </cell>
        </row>
        <row r="21232">
          <cell r="B21232" t="str">
            <v>51040113110706</v>
          </cell>
          <cell r="C21232" t="str">
            <v>LPC CIA SEGURO LS COFIDE D/P ISG CPEM   4NC</v>
          </cell>
        </row>
        <row r="21233">
          <cell r="B21233" t="str">
            <v>51040113120101</v>
          </cell>
          <cell r="C21233" t="str">
            <v>LPC INT VIG LSBACK SEG D/P RP CPEM      4NC</v>
          </cell>
        </row>
        <row r="21234">
          <cell r="B21234" t="str">
            <v>51040113120102</v>
          </cell>
          <cell r="C21234" t="str">
            <v>LPC CIA SEGURO LSBACK D/P RP CPEM       4NC</v>
          </cell>
        </row>
        <row r="21235">
          <cell r="B21235" t="str">
            <v>51040113120103</v>
          </cell>
          <cell r="C21235" t="str">
            <v>LPC INT VIG LEASEBACK BIEN RP CPEM      4NC</v>
          </cell>
        </row>
        <row r="21236">
          <cell r="B21236" t="str">
            <v>51040113120104</v>
          </cell>
          <cell r="C21236" t="str">
            <v>LPC INT VIG LEASEBACK SEG RP CPEM       4NC</v>
          </cell>
        </row>
        <row r="21237">
          <cell r="B21237" t="str">
            <v>51040113120105</v>
          </cell>
          <cell r="C21237" t="str">
            <v>LPC CIA SEGURO LEASEBACK RP CPEM        4NC</v>
          </cell>
        </row>
        <row r="21238">
          <cell r="B21238" t="str">
            <v>51040113120106</v>
          </cell>
          <cell r="C21238" t="str">
            <v>LPC INT VIG LSBACK BIEN D/P RP CPEM     4NC</v>
          </cell>
        </row>
        <row r="21239">
          <cell r="B21239" t="str">
            <v>51040113120201</v>
          </cell>
          <cell r="C21239" t="str">
            <v>LPC INT VIG LSB  BIEN OTROS SUSP CPEM   4NC</v>
          </cell>
        </row>
        <row r="21240">
          <cell r="B21240" t="str">
            <v>51040113120202</v>
          </cell>
          <cell r="C21240" t="str">
            <v>LPC INT VIG LSB SEG OTROS SUSP CPEM     4NC</v>
          </cell>
        </row>
        <row r="21241">
          <cell r="B21241" t="str">
            <v>51040113120203</v>
          </cell>
          <cell r="C21241" t="str">
            <v>LPC CIA SEGURO LPC LSB OTROS SUSP CPEM  4NC</v>
          </cell>
        </row>
        <row r="21242">
          <cell r="B21242" t="str">
            <v>51040113210101</v>
          </cell>
          <cell r="C21242" t="str">
            <v>CL CXL CC  X ACEPT INT GAN CPEM         4NC</v>
          </cell>
        </row>
        <row r="21243">
          <cell r="B21243" t="str">
            <v>51040113210102</v>
          </cell>
          <cell r="C21243" t="str">
            <v>CL CXL AVAL X ACEPT VIG CPEM            4NC</v>
          </cell>
        </row>
        <row r="21244">
          <cell r="B21244" t="str">
            <v>51040113210103</v>
          </cell>
          <cell r="C21244" t="str">
            <v>CL CXL CC AVAL BKT INT GAN CPEM         4NC</v>
          </cell>
        </row>
        <row r="21245">
          <cell r="B21245" t="str">
            <v>51040113210104</v>
          </cell>
          <cell r="C21245" t="str">
            <v>CL INT GANAD CXL CC CAR CRED VISTA CPEM 4NC</v>
          </cell>
        </row>
        <row r="21246">
          <cell r="B21246" t="str">
            <v>51040113210105</v>
          </cell>
          <cell r="C21246" t="str">
            <v>CL INT GANAD CXL  STAND BY CPEM         4NC</v>
          </cell>
        </row>
        <row r="21247">
          <cell r="B21247" t="str">
            <v>51040113210106</v>
          </cell>
          <cell r="C21247" t="str">
            <v>CL INT GANAD CXL  COB AVAL CPEM         4NC</v>
          </cell>
        </row>
        <row r="21248">
          <cell r="B21248" t="str">
            <v>51040113210107</v>
          </cell>
          <cell r="C21248" t="str">
            <v>CL INT.GAN.VIG.CRED.POR LIQ. CARTA FIANZ4NC</v>
          </cell>
        </row>
        <row r="21249">
          <cell r="B21249" t="str">
            <v>51040113260101</v>
          </cell>
          <cell r="C21249" t="str">
            <v>MYP EXPORT.POST EMBARQ INT GAN MES VIG C4NC</v>
          </cell>
        </row>
        <row r="21250">
          <cell r="B21250" t="str">
            <v>51040113260102</v>
          </cell>
          <cell r="C21250" t="str">
            <v>MYP EXPORT.PRE EMBARQ RP INT GAN  VIG CP4NC</v>
          </cell>
        </row>
        <row r="21251">
          <cell r="B21251" t="str">
            <v>51040113260103</v>
          </cell>
          <cell r="C21251" t="str">
            <v>MYP D/P EXPORT.POST EMB INT GANAD VIG CP4NC</v>
          </cell>
        </row>
        <row r="21252">
          <cell r="B21252" t="str">
            <v>51040113260104</v>
          </cell>
          <cell r="C21252" t="str">
            <v>MYP D/P EXPORT.PRE EMB INT GANAD VIG CPE4NC</v>
          </cell>
        </row>
        <row r="21253">
          <cell r="B21253" t="str">
            <v>51040113260105</v>
          </cell>
          <cell r="C21253" t="str">
            <v>MYP D/P IMPOR RP INT GANAD COM VIG CPEM 4NC</v>
          </cell>
        </row>
        <row r="21254">
          <cell r="B21254" t="str">
            <v>51040113260106</v>
          </cell>
          <cell r="C21254" t="str">
            <v>MYP INT.GANAD.VIG FIN.IMPORT CAP TRAB  C4NC</v>
          </cell>
        </row>
        <row r="21255">
          <cell r="B21255" t="str">
            <v>51040113260107</v>
          </cell>
          <cell r="C21255" t="str">
            <v>MYP D/P GAN.INT.VIG IMP. CAP DE TRAB  CP4NC</v>
          </cell>
        </row>
        <row r="21256">
          <cell r="B21256" t="str">
            <v>51040113260108</v>
          </cell>
          <cell r="C21256" t="str">
            <v>MYP D/P GAN.INT.VIG FIN IMPOR AF CPEM   4NC</v>
          </cell>
        </row>
        <row r="21257">
          <cell r="B21257" t="str">
            <v>51040113260109</v>
          </cell>
          <cell r="C21257" t="str">
            <v>MYP INT.GANAD.VIG FIN.IMPORT ACT FIJO  C4NC</v>
          </cell>
        </row>
        <row r="21258">
          <cell r="B21258" t="str">
            <v>51040113260201</v>
          </cell>
          <cell r="C21258" t="str">
            <v>LPC INT.GAN VIG IMPORT D/P CPEM         4NC</v>
          </cell>
        </row>
        <row r="21259">
          <cell r="B21259" t="str">
            <v>51040113260202</v>
          </cell>
          <cell r="C21259" t="str">
            <v>LPC INT GAN VIG EX PRE EMB  CPEM        4NC</v>
          </cell>
        </row>
        <row r="21260">
          <cell r="B21260" t="str">
            <v>51040113260203</v>
          </cell>
          <cell r="C21260" t="str">
            <v>LPC INT GAN VIG EX POST EMB RP D/P CPEM 4NC</v>
          </cell>
        </row>
        <row r="21261">
          <cell r="B21261" t="str">
            <v>51040113260204</v>
          </cell>
          <cell r="C21261" t="str">
            <v>LPC INT GAN VIG EX PRE EMB CPEM         4NC</v>
          </cell>
        </row>
        <row r="21262">
          <cell r="B21262" t="str">
            <v>51040113260205</v>
          </cell>
          <cell r="C21262" t="str">
            <v>LPC INT GAN VIG EX POST EMB RP CPEM     4NC</v>
          </cell>
        </row>
        <row r="21263">
          <cell r="B21263" t="str">
            <v>51040113260206</v>
          </cell>
          <cell r="C21263" t="str">
            <v>LPC INT GAN VIG IMPOR CPEM              4NC</v>
          </cell>
        </row>
        <row r="21264">
          <cell r="B21264" t="str">
            <v>51040113260207</v>
          </cell>
          <cell r="C21264" t="str">
            <v>LPC INT.GAN VIG  WORK CAP.EX PRE EMB CME4NC</v>
          </cell>
        </row>
        <row r="21265">
          <cell r="B21265" t="str">
            <v>51040113260208</v>
          </cell>
          <cell r="C21265" t="str">
            <v>LPC INT GAN FINAN PRE EMBARQUE          4NC</v>
          </cell>
        </row>
        <row r="21266">
          <cell r="B21266" t="str">
            <v>51040113260209</v>
          </cell>
          <cell r="C21266" t="str">
            <v>LPC INT GAN FINAN PRE EMBARQUE D/P      4NC</v>
          </cell>
        </row>
        <row r="21267">
          <cell r="B21267" t="str">
            <v>51040113260210</v>
          </cell>
          <cell r="C21267" t="str">
            <v>LPC INT GAN FINAN PRE EMBARQUE-SEPYMEX C4NC</v>
          </cell>
        </row>
        <row r="21268">
          <cell r="B21268" t="str">
            <v>51040113260211</v>
          </cell>
          <cell r="C21268" t="str">
            <v>LPC INT GAN FINAN PRE EMBARQUE D/P-SEPYM4NC</v>
          </cell>
        </row>
        <row r="21269">
          <cell r="B21269" t="str">
            <v>51040113260212</v>
          </cell>
          <cell r="C21269" t="str">
            <v>LPC INT GAN PRE EMBARQUE VIG.NORM CPEM  4NC</v>
          </cell>
        </row>
        <row r="21270">
          <cell r="B21270" t="str">
            <v>51040113260213</v>
          </cell>
          <cell r="C21270" t="str">
            <v>LPC INT GAN PRE EMBARQUE VIG.DUPE CPEM  4NC</v>
          </cell>
        </row>
        <row r="21271">
          <cell r="B21271" t="str">
            <v>51040113260214</v>
          </cell>
          <cell r="C21271" t="str">
            <v>LPC INT GAN POST EMBARQUE VIG.NORM CPEM 4NC</v>
          </cell>
        </row>
        <row r="21272">
          <cell r="B21272" t="str">
            <v>51040113260215</v>
          </cell>
          <cell r="C21272" t="str">
            <v>LPC INT GAN POST EMBARQUE VIG.DUPE CPEM 4NC</v>
          </cell>
        </row>
        <row r="21273">
          <cell r="B21273" t="str">
            <v>51040113260216</v>
          </cell>
          <cell r="C21273" t="str">
            <v>LPC INT GAN IMPORT. CARTA CREDITO  VIG.N4NC</v>
          </cell>
        </row>
        <row r="21274">
          <cell r="B21274" t="str">
            <v>51040113260217</v>
          </cell>
          <cell r="C21274" t="str">
            <v>LPC INT GAN IMPORT. CARTA CREDITO  VIG.D4NC</v>
          </cell>
        </row>
        <row r="21275">
          <cell r="B21275" t="str">
            <v>51040113260218</v>
          </cell>
          <cell r="C21275" t="str">
            <v>LPC INT GAN IMPORT.  VIG.NORM CPEM      4NC</v>
          </cell>
        </row>
        <row r="21276">
          <cell r="B21276" t="str">
            <v>51040113260219</v>
          </cell>
          <cell r="C21276" t="str">
            <v>LPC INT GAN IMPORT.  VIG.DUPE CPEM      4NC</v>
          </cell>
        </row>
        <row r="21277">
          <cell r="B21277" t="str">
            <v>51040113260301</v>
          </cell>
          <cell r="C21277" t="str">
            <v>CL EX FORFAITING INT.GAN.VIG CPEM       4NC</v>
          </cell>
        </row>
        <row r="21278">
          <cell r="B21278" t="str">
            <v>51040113260302</v>
          </cell>
          <cell r="C21278" t="str">
            <v>CL INT GAN.VIG. EX PRE EMB D/P CPEM     4NC</v>
          </cell>
        </row>
        <row r="21279">
          <cell r="B21279" t="str">
            <v>51040113260303</v>
          </cell>
          <cell r="C21279" t="str">
            <v>CL INT.GAN.POST. EX EMBAR. D/P. VIG. CCO4NC</v>
          </cell>
        </row>
        <row r="21280">
          <cell r="B21280" t="str">
            <v>51040113260304</v>
          </cell>
          <cell r="C21280" t="str">
            <v>CL EX INT VIG PAG.IMPORTAC.D/P CPEM     4NC</v>
          </cell>
        </row>
        <row r="21281">
          <cell r="B21281" t="str">
            <v>51040113260305</v>
          </cell>
          <cell r="C21281" t="str">
            <v>LPC PAG.INMOB. REPROG-SUSPENSO VIG CPEM 4NC</v>
          </cell>
        </row>
        <row r="21282">
          <cell r="B21282" t="str">
            <v>51040113260306</v>
          </cell>
          <cell r="C21282" t="str">
            <v>LPC PRE EMBARQUE FONDOS CRECER CPEM VIG\4NC</v>
          </cell>
        </row>
        <row r="21283">
          <cell r="B21283" t="str">
            <v>51040113260307</v>
          </cell>
          <cell r="C21283" t="str">
            <v>LPC PRE EMBARQUE FONDOS CRECER CPEM VIG\4NC</v>
          </cell>
        </row>
        <row r="21284">
          <cell r="B21284" t="str">
            <v>51040113260308</v>
          </cell>
          <cell r="C21284" t="str">
            <v>MYP CAP. TRAB - PAGARE DIGITAL_CPEM DUPE4 C</v>
          </cell>
        </row>
        <row r="21285">
          <cell r="B21285" t="str">
            <v>51040301000103</v>
          </cell>
          <cell r="C21285" t="str">
            <v>LPC IN GAN.P.REES.MED.PLZ C/FIJA        4NC</v>
          </cell>
        </row>
        <row r="21286">
          <cell r="B21286" t="str">
            <v>51040301000606</v>
          </cell>
          <cell r="C21286" t="str">
            <v>CL P.TASA VEN.REEST.INT.GAN             4NC</v>
          </cell>
        </row>
        <row r="21287">
          <cell r="B21287" t="str">
            <v>51040301000611</v>
          </cell>
          <cell r="C21287" t="str">
            <v>CL PTV.REESTRUC.COFIDE INT.GAN          4NC</v>
          </cell>
        </row>
        <row r="21288">
          <cell r="B21288" t="str">
            <v>51040301000615</v>
          </cell>
          <cell r="C21288" t="str">
            <v>INT GAN PAG TV REESTRUC RP- LPC         4NC</v>
          </cell>
        </row>
        <row r="21289">
          <cell r="B21289" t="str">
            <v>51040301000701</v>
          </cell>
          <cell r="C21289" t="str">
            <v>CL P.IMPORT RP REEST.INT.GAN            4NC</v>
          </cell>
        </row>
        <row r="21290">
          <cell r="B21290" t="str">
            <v>51040302000606</v>
          </cell>
          <cell r="C21290" t="str">
            <v>LPC INT.GAN PAG TV REESTRUC RP- MES     4NC</v>
          </cell>
        </row>
        <row r="21291">
          <cell r="B21291" t="str">
            <v>51040302000701</v>
          </cell>
          <cell r="C21291" t="str">
            <v>510403020007010000                      4NC</v>
          </cell>
        </row>
        <row r="21292">
          <cell r="B21292" t="str">
            <v>51040307000101</v>
          </cell>
          <cell r="C21292" t="str">
            <v>LPC INT GAN PAG TV REESTRUCT COFIDE CESP4NC</v>
          </cell>
        </row>
        <row r="21293">
          <cell r="B21293" t="str">
            <v>51040308000101</v>
          </cell>
          <cell r="C21293" t="str">
            <v>LPC INT GAN PAG TV REESTRUCT COFIDE CIVA4NC</v>
          </cell>
        </row>
        <row r="21294">
          <cell r="B21294" t="str">
            <v>51040310000101</v>
          </cell>
          <cell r="C21294" t="str">
            <v>LPC INT LEAS BIEN RP REESTR CCOR        4NC</v>
          </cell>
        </row>
        <row r="21295">
          <cell r="B21295" t="str">
            <v>51040310000102</v>
          </cell>
          <cell r="C21295" t="str">
            <v>LPC INT LEAS SEG RP REESTR CCOR         4NC</v>
          </cell>
        </row>
        <row r="21296">
          <cell r="B21296" t="str">
            <v>51040310000103</v>
          </cell>
          <cell r="C21296" t="str">
            <v>LPC CIA SEGURO LEAS  REESTR RP CCOR     4NC</v>
          </cell>
        </row>
        <row r="21297">
          <cell r="B21297" t="str">
            <v>51040310000201</v>
          </cell>
          <cell r="C21297" t="str">
            <v>LPC INT GAN PAG TV REESTRUCT COFIDE CCOR4NC</v>
          </cell>
        </row>
        <row r="21298">
          <cell r="B21298" t="str">
            <v>51040310000203</v>
          </cell>
          <cell r="C21298" t="str">
            <v>CL INT.GAN PAG TV RP REESTR.CCOR        4NC</v>
          </cell>
        </row>
        <row r="21299">
          <cell r="B21299" t="str">
            <v>51040311000101</v>
          </cell>
          <cell r="C21299" t="str">
            <v>LPC INT LEAS BIEN RP REESTR CGEM        4NC</v>
          </cell>
        </row>
        <row r="21300">
          <cell r="B21300" t="str">
            <v>51040311000102</v>
          </cell>
          <cell r="C21300" t="str">
            <v>LPC INT LEAS SEG RP REESTR CGEM         4NC</v>
          </cell>
        </row>
        <row r="21301">
          <cell r="B21301" t="str">
            <v>51040311000103</v>
          </cell>
          <cell r="C21301" t="str">
            <v>LPC CIA SEGURO LEAS  REESTR RP CGEM     4NC</v>
          </cell>
        </row>
        <row r="21302">
          <cell r="B21302" t="str">
            <v>51040311000201</v>
          </cell>
          <cell r="C21302" t="str">
            <v>LPC INT GAN PAG TV REESTRUCT COFIDE CGEM4NC</v>
          </cell>
        </row>
        <row r="21303">
          <cell r="B21303" t="str">
            <v>51040311000207</v>
          </cell>
          <cell r="C21303" t="str">
            <v>CL INT.GAN.REF.PAG.TV RP CGEM           4NC</v>
          </cell>
        </row>
        <row r="21304">
          <cell r="B21304" t="str">
            <v>51040312000101</v>
          </cell>
          <cell r="C21304" t="str">
            <v>LPC INT LEAS BIEN RP REESTR CMED        4NC</v>
          </cell>
        </row>
        <row r="21305">
          <cell r="B21305" t="str">
            <v>51040312000102</v>
          </cell>
          <cell r="C21305" t="str">
            <v>LPC INT LEAS SEG RP REESTR CMED         4NC</v>
          </cell>
        </row>
        <row r="21306">
          <cell r="B21306" t="str">
            <v>51040312000103</v>
          </cell>
          <cell r="C21306" t="str">
            <v>LPC CIA SEGURO LEAS  REESTR RP CMED     4NC</v>
          </cell>
        </row>
        <row r="21307">
          <cell r="B21307" t="str">
            <v>51040312000201</v>
          </cell>
          <cell r="C21307" t="str">
            <v>CL INT.GAN.REF.PAG.TV RP CMED           4NC</v>
          </cell>
        </row>
        <row r="21308">
          <cell r="B21308" t="str">
            <v>51040312000301</v>
          </cell>
          <cell r="C21308" t="str">
            <v>LPC INT GAN PAG TV REESTRUCT COFIDE CMED4NC</v>
          </cell>
        </row>
        <row r="21309">
          <cell r="B21309" t="str">
            <v>51040313000101</v>
          </cell>
          <cell r="C21309" t="str">
            <v>LPC INT LEAS BIEN RP REESTR CPEM        4NC</v>
          </cell>
        </row>
        <row r="21310">
          <cell r="B21310" t="str">
            <v>51040313000102</v>
          </cell>
          <cell r="C21310" t="str">
            <v>LPC INT LEAS SEG RP REESTR CPEM         4NC</v>
          </cell>
        </row>
        <row r="21311">
          <cell r="B21311" t="str">
            <v>51040313000103</v>
          </cell>
          <cell r="C21311" t="str">
            <v>LPC CIA SEGURO LEAS  REESTR RP CPEM     4NC</v>
          </cell>
        </row>
        <row r="21312">
          <cell r="B21312" t="str">
            <v>51040313000201</v>
          </cell>
          <cell r="C21312" t="str">
            <v>CL INT.GAN.REF.PAG.TV RP CPEM           4NC</v>
          </cell>
        </row>
        <row r="21313">
          <cell r="B21313" t="str">
            <v>51040313000301</v>
          </cell>
          <cell r="C21313" t="str">
            <v>LPC INT GAN PAG TV REESTRUCT COFIDE CPEM4NC</v>
          </cell>
        </row>
        <row r="21314">
          <cell r="B21314" t="str">
            <v>51040401000601</v>
          </cell>
          <cell r="C21314" t="str">
            <v>CL PAG.FOPE SUBOR.REFIN.INT.GAN         4NC</v>
          </cell>
        </row>
        <row r="21315">
          <cell r="B21315" t="str">
            <v>51040401000620</v>
          </cell>
          <cell r="C21315" t="str">
            <v>CL PAG.RFA SUBOR.REFIN.INT.GAN          4NC</v>
          </cell>
        </row>
        <row r="21316">
          <cell r="B21316" t="str">
            <v>51040401000623</v>
          </cell>
          <cell r="C21316" t="str">
            <v>LPC PAG.TV REFIN.INT.GAN                4NC</v>
          </cell>
        </row>
        <row r="21317">
          <cell r="B21317" t="str">
            <v>51040401000627</v>
          </cell>
          <cell r="C21317" t="str">
            <v>CL INT.GAN DEU.VTA.CARTE VIG            4NC</v>
          </cell>
        </row>
        <row r="21318">
          <cell r="B21318" t="str">
            <v>51040401000629</v>
          </cell>
          <cell r="C21318" t="str">
            <v>MYP IN GAN.PAG.TV.REFIN.C/FIJA COM      4NC</v>
          </cell>
        </row>
        <row r="21319">
          <cell r="B21319" t="str">
            <v>51040401000701</v>
          </cell>
          <cell r="C21319" t="str">
            <v>INT REF IMPORTAC RP-CL                  4NC</v>
          </cell>
        </row>
        <row r="21320">
          <cell r="B21320" t="str">
            <v>51040401001104</v>
          </cell>
          <cell r="C21320" t="str">
            <v>INT LEASING BIEN RP REF LPC             4NC</v>
          </cell>
        </row>
        <row r="21321">
          <cell r="B21321" t="str">
            <v>51040401001201</v>
          </cell>
          <cell r="C21321" t="str">
            <v>LPC INT LEASEBACK BIEN RP REF LPC       4NC</v>
          </cell>
        </row>
        <row r="21322">
          <cell r="B21322" t="str">
            <v>51040401001301</v>
          </cell>
          <cell r="C21322" t="str">
            <v>MYP IN GAN.REFIN.COBRANZAS VIG C/FIJA CO4NC</v>
          </cell>
        </row>
        <row r="21323">
          <cell r="B21323" t="str">
            <v>51040401001302</v>
          </cell>
          <cell r="C21323" t="str">
            <v>MYP IN GAN.REFIN.COBRANZAS VIG REVOL.COM4NC</v>
          </cell>
        </row>
        <row r="21324">
          <cell r="B21324" t="str">
            <v>51040402000401</v>
          </cell>
          <cell r="C21324" t="str">
            <v>LPC INT LEAS BPE BIEN RP REF CMIE       4NC</v>
          </cell>
        </row>
        <row r="21325">
          <cell r="B21325" t="str">
            <v>51040402000402</v>
          </cell>
          <cell r="C21325" t="str">
            <v>LPC CIA SEGURO LEAS BPE REF RP CMIE     4NC</v>
          </cell>
        </row>
        <row r="21326">
          <cell r="B21326" t="str">
            <v>51040402000403</v>
          </cell>
          <cell r="C21326" t="str">
            <v>LPC INT LEAS BPE SEG RP REF CMIE        4NC</v>
          </cell>
        </row>
        <row r="21327">
          <cell r="B21327" t="str">
            <v>51040402000602</v>
          </cell>
          <cell r="C21327" t="str">
            <v>CL INT.GANADO PAG.REF RFA SUBORDINADO CL4NC</v>
          </cell>
        </row>
        <row r="21328">
          <cell r="B21328" t="str">
            <v>51040402000604</v>
          </cell>
          <cell r="C21328" t="str">
            <v>CL PAG.TV REFINA. MES INT.GAN           4NC</v>
          </cell>
        </row>
        <row r="21329">
          <cell r="B21329" t="str">
            <v>51040402000606</v>
          </cell>
          <cell r="C21329" t="str">
            <v>LPC INTGAN PAG TV REFINANCIADO - MES    4NC</v>
          </cell>
        </row>
        <row r="21330">
          <cell r="B21330" t="str">
            <v>51040402000610</v>
          </cell>
          <cell r="C21330" t="str">
            <v>MYP INT.GAN.PAG. TV REFIN. REVOL CPEM   4NC</v>
          </cell>
        </row>
        <row r="21331">
          <cell r="B21331" t="str">
            <v>51040402000611</v>
          </cell>
          <cell r="C21331" t="str">
            <v>MYP IN GAN.PAG.TV.REFIN.C/FIJA MES      4NC</v>
          </cell>
        </row>
        <row r="21332">
          <cell r="B21332" t="str">
            <v>51040402000701</v>
          </cell>
          <cell r="C21332" t="str">
            <v>MYP IN GAN.REFIN.COBRANZAS VIG C/FIJA ME4NC</v>
          </cell>
        </row>
        <row r="21333">
          <cell r="B21333" t="str">
            <v>51040402000702</v>
          </cell>
          <cell r="C21333" t="str">
            <v>MYP IN GAN.REFIN.COBRANZAS VIG REVOL.MES4NC</v>
          </cell>
        </row>
        <row r="21334">
          <cell r="B21334" t="str">
            <v>51040402000703</v>
          </cell>
          <cell r="C21334" t="str">
            <v>MYP REFINANC. COVID-19                  4NC</v>
          </cell>
        </row>
        <row r="21335">
          <cell r="B21335" t="str">
            <v>51040402000704</v>
          </cell>
          <cell r="C21335" t="str">
            <v>MYP REFINANC. COVID-19                  4NC</v>
          </cell>
        </row>
        <row r="21336">
          <cell r="B21336" t="str">
            <v>51040402000705</v>
          </cell>
          <cell r="C21336" t="str">
            <v>MYP REFINANC. COVID-19                  4NC</v>
          </cell>
        </row>
        <row r="21337">
          <cell r="B21337" t="str">
            <v>51040402000706</v>
          </cell>
          <cell r="C21337" t="str">
            <v>LPC REFINANCIADO REACTIVA CMIE VIG      4 C</v>
          </cell>
        </row>
        <row r="21338">
          <cell r="B21338" t="str">
            <v>51040402000709</v>
          </cell>
          <cell r="C21338" t="str">
            <v>MYP REFINANCIADO CIMA ING.GAN CMIE VIG  4 C</v>
          </cell>
        </row>
        <row r="21339">
          <cell r="B21339" t="str">
            <v>51040402000710</v>
          </cell>
          <cell r="C21339" t="str">
            <v>LPC REFINANC INT GAN CRECER IBK POST HON4 C</v>
          </cell>
        </row>
        <row r="21340">
          <cell r="B21340" t="str">
            <v>51040402000711</v>
          </cell>
          <cell r="C21340" t="str">
            <v>LPC REFINANCIADO INT COFIDE POST HONR CM4 C</v>
          </cell>
        </row>
        <row r="21341">
          <cell r="B21341" t="str">
            <v>51040402000712</v>
          </cell>
          <cell r="C21341" t="str">
            <v>CCD-BPE REFINANCIADO_CMIE VIG ING       4 C</v>
          </cell>
        </row>
        <row r="21342">
          <cell r="B21342" t="str">
            <v>51040403000501</v>
          </cell>
          <cell r="C21342" t="str">
            <v>HPC INT.VIG REFINANC EFECT/VEHIC        4NC</v>
          </cell>
        </row>
        <row r="21343">
          <cell r="B21343" t="str">
            <v>51040403000502</v>
          </cell>
          <cell r="C21343" t="str">
            <v>HPC REFIN TC IB PN  GANAD. INT VIG      4NC</v>
          </cell>
        </row>
        <row r="21344">
          <cell r="B21344" t="str">
            <v>51040403000503</v>
          </cell>
          <cell r="C21344" t="str">
            <v>HPC CCNR REFIN GANAD. INT VIG           4NC</v>
          </cell>
        </row>
        <row r="21345">
          <cell r="B21345" t="str">
            <v>51040403000601</v>
          </cell>
          <cell r="C21345" t="str">
            <v>IC INT VIG CRED REFINANC CONSUMO        4NC</v>
          </cell>
        </row>
        <row r="21346">
          <cell r="B21346" t="str">
            <v>51040403000608</v>
          </cell>
          <cell r="C21346" t="str">
            <v>IC INT GAN VIG CRED REF TC IB PN        4NC</v>
          </cell>
        </row>
        <row r="21347">
          <cell r="B21347" t="str">
            <v>51040403000609</v>
          </cell>
          <cell r="C21347" t="str">
            <v>IC REF TC IB PN GANAD.COMIS VIG         4NC</v>
          </cell>
        </row>
        <row r="21348">
          <cell r="B21348" t="str">
            <v>51040403000610</v>
          </cell>
          <cell r="C21348" t="str">
            <v>HPC INT.VIG REFINANC VEHICULAR          4NC</v>
          </cell>
        </row>
        <row r="21349">
          <cell r="B21349" t="str">
            <v>51040404000601</v>
          </cell>
          <cell r="C21349" t="str">
            <v>IC INT GAN VIG CRED REF HIPOTEC         4NC</v>
          </cell>
        </row>
        <row r="21350">
          <cell r="B21350" t="str">
            <v>51040407000101</v>
          </cell>
          <cell r="C21350" t="str">
            <v>LPC INT GAN PAG TV REF CESP             4NC</v>
          </cell>
        </row>
        <row r="21351">
          <cell r="B21351" t="str">
            <v>51040407000102</v>
          </cell>
          <cell r="C21351" t="str">
            <v>$CL INT.GAN.REFIN.PAG.TV RP CMED        4NC</v>
          </cell>
        </row>
        <row r="21352">
          <cell r="B21352" t="str">
            <v>51040410000101</v>
          </cell>
          <cell r="C21352" t="str">
            <v>LPC INT LEAS BIEN RP REF CCOR           4NC</v>
          </cell>
        </row>
        <row r="21353">
          <cell r="B21353" t="str">
            <v>51040410000102</v>
          </cell>
          <cell r="C21353" t="str">
            <v>LPC CIA SEGURO LEAS  REF RP CCOR        4NC</v>
          </cell>
        </row>
        <row r="21354">
          <cell r="B21354" t="str">
            <v>51040410000103</v>
          </cell>
          <cell r="C21354" t="str">
            <v>LPC INT LEAS SEG RP REF CCOR            4NC</v>
          </cell>
        </row>
        <row r="21355">
          <cell r="B21355" t="str">
            <v>51040410000301</v>
          </cell>
          <cell r="C21355" t="str">
            <v>LPC INT LEASEBACK BIEN RP REF CCOR      4NC</v>
          </cell>
        </row>
        <row r="21356">
          <cell r="B21356" t="str">
            <v>51040410000302</v>
          </cell>
          <cell r="C21356" t="str">
            <v>LPC INT LEASBACK SEG REFIN CCOR         4NC</v>
          </cell>
        </row>
        <row r="21357">
          <cell r="B21357" t="str">
            <v>51040410000303</v>
          </cell>
          <cell r="C21357" t="str">
            <v>LPC CIA SEGURO LEASEBACK  REFIN CCOR    4NC</v>
          </cell>
        </row>
        <row r="21358">
          <cell r="B21358" t="str">
            <v>51040410000304</v>
          </cell>
          <cell r="C21358" t="str">
            <v>LPC INT GAN PAG TV REF CCOR             4NC</v>
          </cell>
        </row>
        <row r="21359">
          <cell r="B21359" t="str">
            <v>51040410000305</v>
          </cell>
          <cell r="C21359" t="str">
            <v>LPC REF LS COFIGAS INT.GAN. VIG PDL CCOR4NC</v>
          </cell>
        </row>
        <row r="21360">
          <cell r="B21360" t="str">
            <v>51040410000306</v>
          </cell>
          <cell r="C21360" t="str">
            <v>LPC REF LS COFIGAS INT.GAN SB VIG PDS CC4NC</v>
          </cell>
        </row>
        <row r="21361">
          <cell r="B21361" t="str">
            <v>51040410000307</v>
          </cell>
          <cell r="C21361" t="str">
            <v>LPC REF LS COFIGAS INT.GAN P SEG VIG ISG4NC</v>
          </cell>
        </row>
        <row r="21362">
          <cell r="B21362" t="str">
            <v>51040410000412</v>
          </cell>
          <cell r="C21362" t="str">
            <v>CL I.GANAD P.REF.RFA FINANC CCOR VIG    4NC</v>
          </cell>
        </row>
        <row r="21363">
          <cell r="B21363" t="str">
            <v>51040410000413</v>
          </cell>
          <cell r="C21363" t="str">
            <v>CL I.GANAD P.REF.RFA FINANC CCOR VIG    4NC</v>
          </cell>
        </row>
        <row r="21364">
          <cell r="B21364" t="str">
            <v>51040410000414</v>
          </cell>
          <cell r="C21364" t="str">
            <v>CL INT.GAN.REF.PAG.TV RP CCOR           4NC</v>
          </cell>
        </row>
        <row r="21365">
          <cell r="B21365" t="str">
            <v>51040410000415</v>
          </cell>
          <cell r="C21365" t="str">
            <v>CL INT.GAN PAG REF.VTA.CARTE CCOR       4NC</v>
          </cell>
        </row>
        <row r="21366">
          <cell r="B21366" t="str">
            <v>51040410000416</v>
          </cell>
          <cell r="C21366" t="str">
            <v>LPC INT SUSP PAG REF COVID_19 CCOR      4NC</v>
          </cell>
        </row>
        <row r="21367">
          <cell r="B21367" t="str">
            <v>51040410000417</v>
          </cell>
          <cell r="C21367" t="str">
            <v>LPC REFINANCIADO REACTIVA CCOR VIG      4 C</v>
          </cell>
        </row>
        <row r="21368">
          <cell r="B21368" t="str">
            <v>51040410000418</v>
          </cell>
          <cell r="C21368" t="str">
            <v>LPC REFINANC INT GAN CRECER IBK POST HON4 C</v>
          </cell>
        </row>
        <row r="21369">
          <cell r="B21369" t="str">
            <v>51040410000419</v>
          </cell>
          <cell r="C21369" t="str">
            <v>LPC REFINANCIADO INT COFIDE POST HONR CC4 C</v>
          </cell>
        </row>
        <row r="21370">
          <cell r="B21370" t="str">
            <v>51040410000420</v>
          </cell>
          <cell r="C21370" t="str">
            <v>CCD-BPE REFINANCIADO_CCOR VIG ING       4 C</v>
          </cell>
        </row>
        <row r="21371">
          <cell r="B21371" t="str">
            <v>51040411000101</v>
          </cell>
          <cell r="C21371" t="str">
            <v>LPC INT LEAS BIEN RP REF CGEM           4NC</v>
          </cell>
        </row>
        <row r="21372">
          <cell r="B21372" t="str">
            <v>51040411000102</v>
          </cell>
          <cell r="C21372" t="str">
            <v>LPC CIA SEGURO LEAS  REF RP CGEM        4NC</v>
          </cell>
        </row>
        <row r="21373">
          <cell r="B21373" t="str">
            <v>51040411000103</v>
          </cell>
          <cell r="C21373" t="str">
            <v>LPC INT LEAS SEG RP REF CGEM            4NC</v>
          </cell>
        </row>
        <row r="21374">
          <cell r="B21374" t="str">
            <v>51040411000104</v>
          </cell>
          <cell r="C21374" t="str">
            <v>LPC INT LEAS BPE BIEN RP REF CGEM       4NC</v>
          </cell>
        </row>
        <row r="21375">
          <cell r="B21375" t="str">
            <v>51040411000105</v>
          </cell>
          <cell r="C21375" t="str">
            <v>LPC CIA SEGURO LEAS BPE REF RP CGEM     4NC</v>
          </cell>
        </row>
        <row r="21376">
          <cell r="B21376" t="str">
            <v>51040411000106</v>
          </cell>
          <cell r="C21376" t="str">
            <v>LPC INT LEAS BPE SEG RP REF CGEM        4NC</v>
          </cell>
        </row>
        <row r="21377">
          <cell r="B21377" t="str">
            <v>51040411000107</v>
          </cell>
          <cell r="C21377" t="str">
            <v>LPC INT VEN LEAS BPE REF BIEN RP CGEM   4NC</v>
          </cell>
        </row>
        <row r="21378">
          <cell r="B21378" t="str">
            <v>51040411000108</v>
          </cell>
          <cell r="C21378" t="str">
            <v>LPC INT VEN LEAS BPE REF SEG RP CGEM    4NC</v>
          </cell>
        </row>
        <row r="21379">
          <cell r="B21379" t="str">
            <v>51040411000201</v>
          </cell>
          <cell r="C21379" t="str">
            <v>MYP IN GAN.PAG.TV.REFIN.C/FIJA CGEM     4NC</v>
          </cell>
        </row>
        <row r="21380">
          <cell r="B21380" t="str">
            <v>51040411000301</v>
          </cell>
          <cell r="C21380" t="str">
            <v>LPC INT GAN PAG TV REF CGEM             4NC</v>
          </cell>
        </row>
        <row r="21381">
          <cell r="B21381" t="str">
            <v>51040411000302</v>
          </cell>
          <cell r="C21381" t="str">
            <v>LPC INT LEASEBACK BIEN RP REF CGEM      4NC</v>
          </cell>
        </row>
        <row r="21382">
          <cell r="B21382" t="str">
            <v>51040411000303</v>
          </cell>
          <cell r="C21382" t="str">
            <v>LPC INT LEASBACK SEG REFIN CGEM         4NC</v>
          </cell>
        </row>
        <row r="21383">
          <cell r="B21383" t="str">
            <v>51040411000304</v>
          </cell>
          <cell r="C21383" t="str">
            <v>LPC CIA SEGURO LEASEBACK  REFIN CGEM    4NC</v>
          </cell>
        </row>
        <row r="21384">
          <cell r="B21384" t="str">
            <v>51040411000305</v>
          </cell>
          <cell r="C21384" t="str">
            <v>LPC REF LS COFIGAS INT.GAN. VIG PDL CGEM4NC</v>
          </cell>
        </row>
        <row r="21385">
          <cell r="B21385" t="str">
            <v>51040411000306</v>
          </cell>
          <cell r="C21385" t="str">
            <v>LPC REF LS COFIGAS INT.GAN SB VIG PDS CG4NC</v>
          </cell>
        </row>
        <row r="21386">
          <cell r="B21386" t="str">
            <v>51040411000307</v>
          </cell>
          <cell r="C21386" t="str">
            <v>LPC REF LS COFIGAS INT.GAN P SEG VIG ISG4NC</v>
          </cell>
        </row>
        <row r="21387">
          <cell r="B21387" t="str">
            <v>51040411000411</v>
          </cell>
          <cell r="C21387" t="str">
            <v>CL I.GANAD P.REF.RFA FINANC CGEM VIG    4NC</v>
          </cell>
        </row>
        <row r="21388">
          <cell r="B21388" t="str">
            <v>51040411000412</v>
          </cell>
          <cell r="C21388" t="str">
            <v>CL I.GANAD P.REF.RFA FINANC CGEM VIG    4NC</v>
          </cell>
        </row>
        <row r="21389">
          <cell r="B21389" t="str">
            <v>51040411000413</v>
          </cell>
          <cell r="C21389" t="str">
            <v>CL INT.GAN.REF.PAG.TV RP CGEM           4NC</v>
          </cell>
        </row>
        <row r="21390">
          <cell r="B21390" t="str">
            <v>51040411000414</v>
          </cell>
          <cell r="C21390" t="str">
            <v>CL INT.GAN PAG REF.VTA.CARTE CGEM       4NC</v>
          </cell>
        </row>
        <row r="21391">
          <cell r="B21391" t="str">
            <v>51040411000415</v>
          </cell>
          <cell r="C21391" t="str">
            <v>LPC INT SUSP PAG REF COVID_19 CGEM      4NC</v>
          </cell>
        </row>
        <row r="21392">
          <cell r="B21392" t="str">
            <v>51040411000416</v>
          </cell>
          <cell r="C21392" t="str">
            <v>LPC REFINANCIADO REACTIVA CGEM VIG      4 C</v>
          </cell>
        </row>
        <row r="21393">
          <cell r="B21393" t="str">
            <v>51040411000417</v>
          </cell>
          <cell r="C21393" t="str">
            <v>LPC REFIN INT GAN CRECER IBK POST HONR C4NC</v>
          </cell>
        </row>
        <row r="21394">
          <cell r="B21394" t="str">
            <v>51040411000418</v>
          </cell>
          <cell r="C21394" t="str">
            <v>CCD-BPE REFINANCIADO_CGEM VIG ING       4 C</v>
          </cell>
        </row>
        <row r="21395">
          <cell r="B21395" t="str">
            <v>51040412000101</v>
          </cell>
          <cell r="C21395" t="str">
            <v>MYP IN GAN.PAG.TV.REFIN.C/FIJA CMED     4NC</v>
          </cell>
        </row>
        <row r="21396">
          <cell r="B21396" t="str">
            <v>51040412000102</v>
          </cell>
          <cell r="C21396" t="str">
            <v>MYP INT.GAN.PAG. TV REFIN. REVOL CMED   4NC</v>
          </cell>
        </row>
        <row r="21397">
          <cell r="B21397" t="str">
            <v>51040412000201</v>
          </cell>
          <cell r="C21397" t="str">
            <v>LPC INT GAN PAG TV REF CMED             4NC</v>
          </cell>
        </row>
        <row r="21398">
          <cell r="B21398" t="str">
            <v>51040412000202</v>
          </cell>
          <cell r="C21398" t="str">
            <v>LPC INT LEASEBACK BIEN RP REF CMED      4NC</v>
          </cell>
        </row>
        <row r="21399">
          <cell r="B21399" t="str">
            <v>51040412000203</v>
          </cell>
          <cell r="C21399" t="str">
            <v>LPC INT LEASBACK SEG REFIN CMED         4NC</v>
          </cell>
        </row>
        <row r="21400">
          <cell r="B21400" t="str">
            <v>51040412000204</v>
          </cell>
          <cell r="C21400" t="str">
            <v>LPC CIA SEGURO LEASEBACK  REFIN CMED    4NC</v>
          </cell>
        </row>
        <row r="21401">
          <cell r="B21401" t="str">
            <v>51040412000205</v>
          </cell>
          <cell r="C21401" t="str">
            <v>LPC INT LEAS BPE BIEN RP REF CMED       4NC</v>
          </cell>
        </row>
        <row r="21402">
          <cell r="B21402" t="str">
            <v>51040412000206</v>
          </cell>
          <cell r="C21402" t="str">
            <v>LPC CIA SEGURO LEAS BPE REF RP CMED     4NC</v>
          </cell>
        </row>
        <row r="21403">
          <cell r="B21403" t="str">
            <v>51040412000207</v>
          </cell>
          <cell r="C21403" t="str">
            <v>LPC INT LEAS BPE SEG RP REF CMED        4NC</v>
          </cell>
        </row>
        <row r="21404">
          <cell r="B21404" t="str">
            <v>51040412000208</v>
          </cell>
          <cell r="C21404" t="str">
            <v>LPC INT VEN LEAS BPE REF BIEN RP CMED   4NC</v>
          </cell>
        </row>
        <row r="21405">
          <cell r="B21405" t="str">
            <v>51040412000209</v>
          </cell>
          <cell r="C21405" t="str">
            <v>LPC INT VEN LEAS BPE REF SEG RP CMED    4NC</v>
          </cell>
        </row>
        <row r="21406">
          <cell r="B21406" t="str">
            <v>51040412000210</v>
          </cell>
          <cell r="C21406" t="str">
            <v>LPC REF LS COFIGAS INT.GAN. VIG PDL CMED4NC</v>
          </cell>
        </row>
        <row r="21407">
          <cell r="B21407" t="str">
            <v>51040412000211</v>
          </cell>
          <cell r="C21407" t="str">
            <v>LPC REF LS COFIGAS INT.GAN SB VIG PDS CM4NC</v>
          </cell>
        </row>
        <row r="21408">
          <cell r="B21408" t="str">
            <v>51040412000212</v>
          </cell>
          <cell r="C21408" t="str">
            <v>LPC REF LS COFIGAS INT.GAN P SEG VIG ISG4NC</v>
          </cell>
        </row>
        <row r="21409">
          <cell r="B21409" t="str">
            <v>51040412000301</v>
          </cell>
          <cell r="C21409" t="str">
            <v>CL I.GANAD P.REF.RFA FINANC CMED VIG    4NC</v>
          </cell>
        </row>
        <row r="21410">
          <cell r="B21410" t="str">
            <v>51040412000302</v>
          </cell>
          <cell r="C21410" t="str">
            <v>CL I.GANAD P.REF.RFA FINANC CMED VIG    4NC</v>
          </cell>
        </row>
        <row r="21411">
          <cell r="B21411" t="str">
            <v>51040412000303</v>
          </cell>
          <cell r="C21411" t="str">
            <v>CL INT.GAN.REF.PAG.TV RP CMED           4NC</v>
          </cell>
        </row>
        <row r="21412">
          <cell r="B21412" t="str">
            <v>51040412000304</v>
          </cell>
          <cell r="C21412" t="str">
            <v>CL INT.GAN PAG REF.VTA.CARTE CMED       4NC</v>
          </cell>
        </row>
        <row r="21413">
          <cell r="B21413" t="str">
            <v>51040412000305</v>
          </cell>
          <cell r="C21413" t="str">
            <v>CL INT.GAN.REF.PAG.TV RP CMIE           4NC</v>
          </cell>
        </row>
        <row r="21414">
          <cell r="B21414" t="str">
            <v>51040412000401</v>
          </cell>
          <cell r="C21414" t="str">
            <v>LPC INT LEAS BIEN RP REF CMED           4NC</v>
          </cell>
        </row>
        <row r="21415">
          <cell r="B21415" t="str">
            <v>51040412000402</v>
          </cell>
          <cell r="C21415" t="str">
            <v>LPC CIA SEGURO LEAS  REF RP CMED        4NC</v>
          </cell>
        </row>
        <row r="21416">
          <cell r="B21416" t="str">
            <v>51040412000403</v>
          </cell>
          <cell r="C21416" t="str">
            <v>LPC INT LEAS SEG RP REF CMED            4NC</v>
          </cell>
        </row>
        <row r="21417">
          <cell r="B21417" t="str">
            <v>51040412000404</v>
          </cell>
          <cell r="C21417" t="str">
            <v>CL PRE-JUD INT.GAN.REF.PAG.TV RP CMED   4NC</v>
          </cell>
        </row>
        <row r="21418">
          <cell r="B21418" t="str">
            <v>51040412000405</v>
          </cell>
          <cell r="C21418" t="str">
            <v>CL JUD INT.GAN.REF.PAG.TV RP CMED       4NC</v>
          </cell>
        </row>
        <row r="21419">
          <cell r="B21419" t="str">
            <v>51040412000501</v>
          </cell>
          <cell r="C21419" t="str">
            <v>HPC ME INT.VIG REFINANC EFECT/VEHIC/TC  4NC</v>
          </cell>
        </row>
        <row r="21420">
          <cell r="B21420" t="str">
            <v>51040412000502</v>
          </cell>
          <cell r="C21420" t="str">
            <v>HPC ME REF INT.GAN.VIG EFEC C/GARANT. HI4NC</v>
          </cell>
        </row>
        <row r="21421">
          <cell r="B21421" t="str">
            <v>51040412000503</v>
          </cell>
          <cell r="C21421" t="str">
            <v>LPC INT SUSP PAG REF COVID_19 CMED      4NC</v>
          </cell>
        </row>
        <row r="21422">
          <cell r="B21422" t="str">
            <v>51040412000504</v>
          </cell>
          <cell r="C21422" t="str">
            <v>MYP REFINANC. COVID-19                  4NC</v>
          </cell>
        </row>
        <row r="21423">
          <cell r="B21423" t="str">
            <v>51040412000505</v>
          </cell>
          <cell r="C21423" t="str">
            <v>MYP REFINANC. COVID-19                  4NC</v>
          </cell>
        </row>
        <row r="21424">
          <cell r="B21424" t="str">
            <v>51040412000506</v>
          </cell>
          <cell r="C21424" t="str">
            <v>LPC REFINANCIADO REACTIVA CMED VIG      4 C</v>
          </cell>
        </row>
        <row r="21425">
          <cell r="B21425" t="str">
            <v>51040412000508</v>
          </cell>
          <cell r="C21425" t="str">
            <v>MYP REFINANCIADO CIMA ING.GAN CMED VIG  4 C</v>
          </cell>
        </row>
        <row r="21426">
          <cell r="B21426" t="str">
            <v>51040412000509</v>
          </cell>
          <cell r="C21426" t="str">
            <v>LPC REFINANC INT GAN CRECER IBK POST HON4NC</v>
          </cell>
        </row>
        <row r="21427">
          <cell r="B21427" t="str">
            <v>51040412000510</v>
          </cell>
          <cell r="C21427" t="str">
            <v>LPC REFINANCIADO INT COFIDE POST HONR CM4 C</v>
          </cell>
        </row>
        <row r="21428">
          <cell r="B21428" t="str">
            <v>51040412000511</v>
          </cell>
          <cell r="C21428" t="str">
            <v>CCD-BPE REFINANCIADO_CMED VIG ING       4 C</v>
          </cell>
        </row>
        <row r="21429">
          <cell r="B21429" t="str">
            <v>51040413000101</v>
          </cell>
          <cell r="C21429" t="str">
            <v>MYP IN GAN.PAG.TV.REFIN.C/FIJA CPEM     4NC</v>
          </cell>
        </row>
        <row r="21430">
          <cell r="B21430" t="str">
            <v>51040413000102</v>
          </cell>
          <cell r="C21430" t="str">
            <v>MYP INT.GAN.PAG. TV REFIN. REVOL CPEM   4NC</v>
          </cell>
        </row>
        <row r="21431">
          <cell r="B21431" t="str">
            <v>51040413000201</v>
          </cell>
          <cell r="C21431" t="str">
            <v>CL I.GANAD P.REF.RFA FINANC CCOR VIG    4NC</v>
          </cell>
        </row>
        <row r="21432">
          <cell r="B21432" t="str">
            <v>51040413000202</v>
          </cell>
          <cell r="C21432" t="str">
            <v>CL I.GANAD P.REF.RFA FINANC CPEM VIG    4NC</v>
          </cell>
        </row>
        <row r="21433">
          <cell r="B21433" t="str">
            <v>51040413000203</v>
          </cell>
          <cell r="C21433" t="str">
            <v>CL INT.GAN.REF.PAG.TV RP CPEM           4NC</v>
          </cell>
        </row>
        <row r="21434">
          <cell r="B21434" t="str">
            <v>51040413000204</v>
          </cell>
          <cell r="C21434" t="str">
            <v>CL INT.GAN PAG REF.VTA.CARTE CPEM       4NC</v>
          </cell>
        </row>
        <row r="21435">
          <cell r="B21435" t="str">
            <v>51040413000401</v>
          </cell>
          <cell r="C21435" t="str">
            <v>LPC INT LEAS BIEN RP REF CPEM           4NC</v>
          </cell>
        </row>
        <row r="21436">
          <cell r="B21436" t="str">
            <v>51040413000402</v>
          </cell>
          <cell r="C21436" t="str">
            <v>LPC CIA SEGURO LEAS  REF RP CPEM        4NC</v>
          </cell>
        </row>
        <row r="21437">
          <cell r="B21437" t="str">
            <v>51040413000403</v>
          </cell>
          <cell r="C21437" t="str">
            <v>LPC INT LEAS SEG RP REF CPEM            4NC</v>
          </cell>
        </row>
        <row r="21438">
          <cell r="B21438" t="str">
            <v>51040413000405</v>
          </cell>
          <cell r="C21438" t="str">
            <v>LPC INT LEASEBACK BIEN RP REF CPEM      4NC</v>
          </cell>
        </row>
        <row r="21439">
          <cell r="B21439" t="str">
            <v>51040413000406</v>
          </cell>
          <cell r="C21439" t="str">
            <v>LPC INT LEASBACK SEG REFIN CPEM         4NC</v>
          </cell>
        </row>
        <row r="21440">
          <cell r="B21440" t="str">
            <v>51040413000407</v>
          </cell>
          <cell r="C21440" t="str">
            <v>LPC CIA SEGURO LEASEBACK  REFIN CPEM    4NC</v>
          </cell>
        </row>
        <row r="21441">
          <cell r="B21441" t="str">
            <v>51040413000408</v>
          </cell>
          <cell r="C21441" t="str">
            <v>LPC INT GAN PAG TV REF CPEM             4NC</v>
          </cell>
        </row>
        <row r="21442">
          <cell r="B21442" t="str">
            <v>51040413000409</v>
          </cell>
          <cell r="C21442" t="str">
            <v>LPC INT LEAS BPE BIEN RP REF CPEM       4NC</v>
          </cell>
        </row>
        <row r="21443">
          <cell r="B21443" t="str">
            <v>51040413000410</v>
          </cell>
          <cell r="C21443" t="str">
            <v>LPC CIA SEGURO LEAS BPE REF RP CPEM     4NC</v>
          </cell>
        </row>
        <row r="21444">
          <cell r="B21444" t="str">
            <v>51040413000411</v>
          </cell>
          <cell r="C21444" t="str">
            <v>LPC INT LEAS BPE SEG RP REF CPEM        4NC</v>
          </cell>
        </row>
        <row r="21445">
          <cell r="B21445" t="str">
            <v>51040413000412</v>
          </cell>
          <cell r="C21445" t="str">
            <v>LPC INT VEN LEAS BPE REF BIEN RP CPEM   4NC</v>
          </cell>
        </row>
        <row r="21446">
          <cell r="B21446" t="str">
            <v>51040413000413</v>
          </cell>
          <cell r="C21446" t="str">
            <v>LPC INT VEN LEAS BPE REF SEG RP CPEM    4NC</v>
          </cell>
        </row>
        <row r="21447">
          <cell r="B21447" t="str">
            <v>51040413000414</v>
          </cell>
          <cell r="C21447" t="str">
            <v>LPC REF LS COFIGAS INT.GAN. VIG PDL CPEM4NC</v>
          </cell>
        </row>
        <row r="21448">
          <cell r="B21448" t="str">
            <v>51040413000415</v>
          </cell>
          <cell r="C21448" t="str">
            <v>LPC REF LS COFIGAS INT.GAN SB VIG PDS CP4NC</v>
          </cell>
        </row>
        <row r="21449">
          <cell r="B21449" t="str">
            <v>51040413000416</v>
          </cell>
          <cell r="C21449" t="str">
            <v>LPC REF LS COFIGAS INT.GAN P SEG VIG ISG4NC</v>
          </cell>
        </row>
        <row r="21450">
          <cell r="B21450" t="str">
            <v>51040413000417</v>
          </cell>
          <cell r="C21450" t="str">
            <v>MYP REFINANC. COVID-19                  4NC</v>
          </cell>
        </row>
        <row r="21451">
          <cell r="B21451" t="str">
            <v>51040413000418</v>
          </cell>
          <cell r="C21451" t="str">
            <v>MYP REFINANC. COVID-19                  4NC</v>
          </cell>
        </row>
        <row r="21452">
          <cell r="B21452" t="str">
            <v>51040413000419</v>
          </cell>
          <cell r="C21452" t="str">
            <v>LPC REFINANCIADO REACTIVA CPEM VIG      4 C</v>
          </cell>
        </row>
        <row r="21453">
          <cell r="B21453" t="str">
            <v>51040413000421</v>
          </cell>
          <cell r="C21453" t="str">
            <v>MYP REFINANCIADO CIMA ING.GAN CPEM VIG  4 C</v>
          </cell>
        </row>
        <row r="21454">
          <cell r="B21454" t="str">
            <v>51040413000422</v>
          </cell>
          <cell r="C21454" t="str">
            <v>LPC REFINANC INT GAN CRECER IBK POST HON4 C</v>
          </cell>
        </row>
        <row r="21455">
          <cell r="B21455" t="str">
            <v>51040413000423</v>
          </cell>
          <cell r="C21455" t="str">
            <v>LPC REFINANCIADO INT COFIDE POST HONR CP4 C</v>
          </cell>
        </row>
        <row r="21456">
          <cell r="B21456" t="str">
            <v>51040413000424</v>
          </cell>
          <cell r="C21456" t="str">
            <v>CCD-BPE REFINANCIADO_CPEM VIG ING       4 C</v>
          </cell>
        </row>
        <row r="21457">
          <cell r="B21457" t="str">
            <v>51040501000201</v>
          </cell>
          <cell r="C21457" t="str">
            <v>INT VENC TC - COMERCIAL                 4NC</v>
          </cell>
        </row>
        <row r="21458">
          <cell r="B21458" t="str">
            <v>51040501000203</v>
          </cell>
          <cell r="C21458" t="str">
            <v>BL INT VENC TC - COMERCIAL MC           4NC</v>
          </cell>
        </row>
        <row r="21459">
          <cell r="B21459" t="str">
            <v>51040501000212</v>
          </cell>
          <cell r="C21459" t="str">
            <v>HPC INT.GAN.VENC CRED EFECT             4NC</v>
          </cell>
        </row>
        <row r="21460">
          <cell r="B21460" t="str">
            <v>51040501000213</v>
          </cell>
          <cell r="C21460" t="str">
            <v>HPC D/P GAN.INT.VENC.EFECTI             4NC</v>
          </cell>
        </row>
        <row r="21461">
          <cell r="B21461" t="str">
            <v>51040501000214</v>
          </cell>
          <cell r="C21461" t="str">
            <v>HPC INT.GAN.VENC CRED VEHIC             4NC</v>
          </cell>
        </row>
        <row r="21462">
          <cell r="B21462" t="str">
            <v>51040501000215</v>
          </cell>
          <cell r="C21462" t="str">
            <v>HPC D/P GAN.INT.VENC.VEHICU             4NC</v>
          </cell>
        </row>
        <row r="21463">
          <cell r="B21463" t="str">
            <v>51040501000220</v>
          </cell>
          <cell r="C21463" t="str">
            <v>MYP INT.GANAD.VENC FIN.IMPORT CAP TRAB  4NC</v>
          </cell>
        </row>
        <row r="21464">
          <cell r="B21464" t="str">
            <v>51040501000301</v>
          </cell>
          <cell r="C21464" t="str">
            <v>HPC INT.GAN. VENC NUEVO MVV COFIDE      4NC</v>
          </cell>
        </row>
        <row r="21465">
          <cell r="B21465" t="str">
            <v>51040501000302</v>
          </cell>
          <cell r="C21465" t="str">
            <v>HPC D/P GAN.INT.VENC.NUEVO MVV COFIDE   4NC</v>
          </cell>
        </row>
        <row r="21466">
          <cell r="B21466" t="str">
            <v>51040501000501</v>
          </cell>
          <cell r="C21466" t="str">
            <v>PR LETR./FACT.DSCTO.INT.GAN             4NC</v>
          </cell>
        </row>
        <row r="21467">
          <cell r="B21467" t="str">
            <v>51040501000502</v>
          </cell>
          <cell r="C21467" t="str">
            <v>CL PAG.TASA DSCTA.INT.X GAN             4NC</v>
          </cell>
        </row>
        <row r="21468">
          <cell r="B21468" t="str">
            <v>51040501000505</v>
          </cell>
          <cell r="C21468" t="str">
            <v>INT GAN VENC PAG DSCTO CALIFDUDOCL      4NC</v>
          </cell>
        </row>
        <row r="21469">
          <cell r="B21469" t="str">
            <v>51040501000601</v>
          </cell>
          <cell r="C21469" t="str">
            <v>CL PAG.TASA VENC.INT.GANADO             4NC</v>
          </cell>
        </row>
        <row r="21470">
          <cell r="B21470" t="str">
            <v>51040501000602</v>
          </cell>
          <cell r="C21470" t="str">
            <v>CL P.T.VENCIDA COFIDE INT.GAN           4NC</v>
          </cell>
        </row>
        <row r="21471">
          <cell r="B21471" t="str">
            <v>51040501000604</v>
          </cell>
          <cell r="C21471" t="str">
            <v>CL P. EXP.PRE EM.RP INT.GAN             4NC</v>
          </cell>
        </row>
        <row r="21472">
          <cell r="B21472" t="str">
            <v>51040501000605</v>
          </cell>
          <cell r="C21472" t="str">
            <v>CL P.EXP.POST EMB RP INT.GAN            4NC</v>
          </cell>
        </row>
        <row r="21473">
          <cell r="B21473" t="str">
            <v>51040501000606</v>
          </cell>
          <cell r="C21473" t="str">
            <v>INT GANADO VENC IMPORT CL               4NC</v>
          </cell>
        </row>
        <row r="21474">
          <cell r="B21474" t="str">
            <v>51040501000626</v>
          </cell>
          <cell r="C21474" t="str">
            <v>CL D/P PAG.TSA.VENC.INT.GANAD           4NC</v>
          </cell>
        </row>
        <row r="21475">
          <cell r="B21475" t="str">
            <v>51040501000639</v>
          </cell>
          <cell r="C21475" t="str">
            <v>LPC PAG.TASA VENCIDA INT.GAN.VEN        4NC</v>
          </cell>
        </row>
        <row r="21476">
          <cell r="B21476" t="str">
            <v>51040501000642</v>
          </cell>
          <cell r="C21476" t="str">
            <v>INT GAN VENC PAG TV  COFIDE - D/P LPC   4NC</v>
          </cell>
        </row>
        <row r="21477">
          <cell r="B21477" t="str">
            <v>51040501000644</v>
          </cell>
          <cell r="C21477" t="str">
            <v>CL P.T.V.OTROS SUSP.INT.GANA            4NC</v>
          </cell>
        </row>
        <row r="21478">
          <cell r="B21478" t="str">
            <v>51040501000653</v>
          </cell>
          <cell r="C21478" t="str">
            <v>CL INT.GAN PAG.TV NEG.INMOB VEN         4NC</v>
          </cell>
        </row>
        <row r="21479">
          <cell r="B21479" t="str">
            <v>51040501000659</v>
          </cell>
          <cell r="C21479" t="str">
            <v>MYP C INT.GAN. VENC FIN.CAP.TRAB.       4NC</v>
          </cell>
        </row>
        <row r="21480">
          <cell r="B21480" t="str">
            <v>51040501000660</v>
          </cell>
          <cell r="C21480" t="str">
            <v>MYP D/P C GAN.INT.VENC.FIN.CAP.TRAB     4NC</v>
          </cell>
        </row>
        <row r="21481">
          <cell r="B21481" t="str">
            <v>51040501000661</v>
          </cell>
          <cell r="C21481" t="str">
            <v>MYP C INT.GAN. VENC F                   4NC</v>
          </cell>
        </row>
        <row r="21482">
          <cell r="B21482" t="str">
            <v>51040501000662</v>
          </cell>
          <cell r="C21482" t="str">
            <v>MYP D/P C GAN.INT.VENC.FIN.COMPRA. AF   4NC</v>
          </cell>
        </row>
        <row r="21483">
          <cell r="B21483" t="str">
            <v>51040501000663</v>
          </cell>
          <cell r="C21483" t="str">
            <v>MYP C INT.GAN. VENC FIN.CRED. PARAL.    4NC</v>
          </cell>
        </row>
        <row r="21484">
          <cell r="B21484" t="str">
            <v>51040501000665</v>
          </cell>
          <cell r="C21484" t="str">
            <v>MYP INT.GAN. VENC FIN.COMPRA DE         4NC</v>
          </cell>
        </row>
        <row r="21485">
          <cell r="B21485" t="str">
            <v>51040501000667</v>
          </cell>
          <cell r="C21485" t="str">
            <v>MYP C INT.GAN. VENC LINEA REVOLVENTE    4NC</v>
          </cell>
        </row>
        <row r="21486">
          <cell r="B21486" t="str">
            <v>51040501000668</v>
          </cell>
          <cell r="C21486" t="str">
            <v>MYP D/P C GAN.INT.VENC. LINEA RE        4 C</v>
          </cell>
        </row>
        <row r="21487">
          <cell r="B21487" t="str">
            <v>51040501000669</v>
          </cell>
          <cell r="C21487" t="str">
            <v>CL PRE JUD MYP CAP TRAB INT GAN COME    4NC</v>
          </cell>
        </row>
        <row r="21488">
          <cell r="B21488" t="str">
            <v>51040501000670</v>
          </cell>
          <cell r="C21488" t="str">
            <v>CL PRE JUD MYP COMP AF INMUEB IN        4NC</v>
          </cell>
        </row>
        <row r="21489">
          <cell r="B21489" t="str">
            <v>51040501000671</v>
          </cell>
          <cell r="C21489" t="str">
            <v>CL PRE JUD MYP COMP AF MUEB INT         4NC</v>
          </cell>
        </row>
        <row r="21490">
          <cell r="B21490" t="str">
            <v>51040501000674</v>
          </cell>
          <cell r="C21490" t="str">
            <v>COM MYP C INT.GAN. VENC TRANSP PU       4NC</v>
          </cell>
        </row>
        <row r="21491">
          <cell r="B21491" t="str">
            <v>51040501000675</v>
          </cell>
          <cell r="C21491" t="str">
            <v>MYP D/P C GAN.INT.VENC.TRANSP PUBL      4NC</v>
          </cell>
        </row>
        <row r="21492">
          <cell r="B21492" t="str">
            <v>51040501000677</v>
          </cell>
          <cell r="C21492" t="str">
            <v>MYP E.R.C INT.GAN. VENC F.CAP.T         4NC</v>
          </cell>
        </row>
        <row r="21493">
          <cell r="B21493" t="str">
            <v>51040501000678</v>
          </cell>
          <cell r="C21493" t="str">
            <v>JCC NT VENC CARTERA TRANSFERIDA-JCC     4NC</v>
          </cell>
        </row>
        <row r="21494">
          <cell r="B21494" t="str">
            <v>51040501000679</v>
          </cell>
          <cell r="C21494" t="str">
            <v>JCC INT VENC CARTERA TRANSFERIDA        4NC</v>
          </cell>
        </row>
        <row r="21495">
          <cell r="B21495" t="str">
            <v>51040501000701</v>
          </cell>
          <cell r="C21495" t="str">
            <v>LPC INT.GAN PAG.TV NEG.INMOB VEN        4NC</v>
          </cell>
        </row>
        <row r="21496">
          <cell r="B21496" t="str">
            <v>51040501000702</v>
          </cell>
          <cell r="C21496" t="str">
            <v>LPC INT VEN LEASING BIEN BPE            4NC</v>
          </cell>
        </row>
        <row r="21497">
          <cell r="B21497" t="str">
            <v>51040501000703</v>
          </cell>
          <cell r="C21497" t="str">
            <v>LPC INT VEN LEASING SEG BPE             4NC</v>
          </cell>
        </row>
        <row r="21498">
          <cell r="B21498" t="str">
            <v>51040501000704</v>
          </cell>
          <cell r="C21498" t="str">
            <v>LPC INT VEN LEASING SEG BPE             4NC</v>
          </cell>
        </row>
        <row r="21499">
          <cell r="B21499" t="str">
            <v>51040501000705</v>
          </cell>
          <cell r="C21499" t="str">
            <v>LPC INT VEN LS BIEN D/P BPE             4NC</v>
          </cell>
        </row>
        <row r="21500">
          <cell r="B21500" t="str">
            <v>51040501000706</v>
          </cell>
          <cell r="C21500" t="str">
            <v>LPC INT VEN LS SEG D/P BPE              4NC</v>
          </cell>
        </row>
        <row r="21501">
          <cell r="B21501" t="str">
            <v>51040501000707</v>
          </cell>
          <cell r="C21501" t="str">
            <v>LPC LS VENC SEG INT DIFERID BPE         4NC</v>
          </cell>
        </row>
        <row r="21502">
          <cell r="B21502" t="str">
            <v>51040501000801</v>
          </cell>
          <cell r="C21502" t="str">
            <v>MYP IN GAN.REFIN.COBRANZAS VEN.C/FIJA CO4NC</v>
          </cell>
        </row>
        <row r="21503">
          <cell r="B21503" t="str">
            <v>51040501000802</v>
          </cell>
          <cell r="C21503" t="str">
            <v>MYP IN GAN.REFIN.COBRANZAS VEN.REVOL.COM4NC</v>
          </cell>
        </row>
        <row r="21504">
          <cell r="B21504" t="str">
            <v>51040501001001</v>
          </cell>
          <cell r="C21504" t="str">
            <v>INT VENC LETRAS FACTORING CL            4NC</v>
          </cell>
        </row>
        <row r="21505">
          <cell r="B21505" t="str">
            <v>51040501001002</v>
          </cell>
          <cell r="C21505" t="str">
            <v>PR FACTORING FACTU.INT.GAN              4NC</v>
          </cell>
        </row>
        <row r="21506">
          <cell r="B21506" t="str">
            <v>51040501001105</v>
          </cell>
          <cell r="C21506" t="str">
            <v>LPC IDL LS BIEN RP INT.GAN VEN          4NC</v>
          </cell>
        </row>
        <row r="21507">
          <cell r="B21507" t="str">
            <v>51040501001106</v>
          </cell>
          <cell r="C21507" t="str">
            <v>LPC IDS LS BIEN RP GAN SEG              4NC</v>
          </cell>
        </row>
        <row r="21508">
          <cell r="B21508" t="str">
            <v>51040501001107</v>
          </cell>
          <cell r="C21508" t="str">
            <v>INT VEN LEASING BIEN D/P RP LPC         4NC</v>
          </cell>
        </row>
        <row r="21509">
          <cell r="B21509" t="str">
            <v>51040501001108</v>
          </cell>
          <cell r="C21509" t="str">
            <v>LPC IDS LS BIEN D/P INT.SEG VEN         4NC</v>
          </cell>
        </row>
        <row r="21510">
          <cell r="B21510" t="str">
            <v>51040501001109</v>
          </cell>
          <cell r="C21510" t="str">
            <v>LPC IDL LS BIEN ADJU.INT.DIF VEN        4NC</v>
          </cell>
        </row>
        <row r="21511">
          <cell r="B21511" t="str">
            <v>51040501001110</v>
          </cell>
          <cell r="C21511" t="str">
            <v>LPC IDS LS BIEN ADJU.DIF.SEG VEN        4NC</v>
          </cell>
        </row>
        <row r="21512">
          <cell r="B21512" t="str">
            <v>51040501001116</v>
          </cell>
          <cell r="C21512" t="str">
            <v>LPC INT GAN VENC IMPORT                 4NC</v>
          </cell>
        </row>
        <row r="21513">
          <cell r="B21513" t="str">
            <v>51040501001117</v>
          </cell>
          <cell r="C21513" t="str">
            <v>LPC INT GAN VENC IMPORT D/P             4NC</v>
          </cell>
        </row>
        <row r="21514">
          <cell r="B21514" t="str">
            <v>51040501001120</v>
          </cell>
          <cell r="C21514" t="str">
            <v>LPC AMERICAN LEASING S.A VEN            4NC</v>
          </cell>
        </row>
        <row r="21515">
          <cell r="B21515" t="str">
            <v>51040501001121</v>
          </cell>
          <cell r="C21515" t="str">
            <v>LPC BANCO AGROPECUARIO VEN              4 C</v>
          </cell>
        </row>
        <row r="21516">
          <cell r="B21516" t="str">
            <v>51040501001122</v>
          </cell>
          <cell r="C21516" t="str">
            <v>LPC MAPFRE PERU CIA SEG Y REAS          4 C</v>
          </cell>
        </row>
        <row r="21517">
          <cell r="B21517" t="str">
            <v>51040501001123</v>
          </cell>
          <cell r="C21517" t="str">
            <v>LPC CJA.RUR.AH.YCRED.PROFINANZAS        4 C</v>
          </cell>
        </row>
        <row r="21518">
          <cell r="B21518" t="str">
            <v>51040501001124</v>
          </cell>
          <cell r="C21518" t="str">
            <v>LPC CORP.FINANC.DESAR.-COFIDE           4 C</v>
          </cell>
        </row>
        <row r="21519">
          <cell r="B21519" t="str">
            <v>51040501001125</v>
          </cell>
          <cell r="C21519" t="str">
            <v>LPC EDPYME SOLIDARIDAD S.A VEN          4 C</v>
          </cell>
        </row>
        <row r="21520">
          <cell r="B21520" t="str">
            <v>51040501001126</v>
          </cell>
          <cell r="C21520" t="str">
            <v>LPC CJA.RUR.AH.Y CRED.CHAVIN VEN Con int4 C</v>
          </cell>
        </row>
        <row r="21521">
          <cell r="B21521" t="str">
            <v>51040501001127</v>
          </cell>
          <cell r="C21521" t="str">
            <v>LPC MI BANCO INT. VENCIDOS              4NC</v>
          </cell>
        </row>
        <row r="21522">
          <cell r="B21522" t="str">
            <v>51040501001128</v>
          </cell>
          <cell r="C21522" t="str">
            <v>LPC AMERIKA FINANCIERA S.A VEN          4NC</v>
          </cell>
        </row>
        <row r="21523">
          <cell r="B21523" t="str">
            <v>51040501001129</v>
          </cell>
          <cell r="C21523" t="str">
            <v>LPC FINANCIERA EFECTIVA S.A VENC        4NC</v>
          </cell>
        </row>
        <row r="21524">
          <cell r="B21524" t="str">
            <v>51040501001201</v>
          </cell>
          <cell r="C21524" t="str">
            <v>LPC IDL LSBACK BIEN INT.DIF.VEN         4NC</v>
          </cell>
        </row>
        <row r="21525">
          <cell r="B21525" t="str">
            <v>51040501001202</v>
          </cell>
          <cell r="C21525" t="str">
            <v>LPC IDS LSBACK BIEN DIF.SEG VEN         4NC</v>
          </cell>
        </row>
        <row r="21526">
          <cell r="B21526" t="str">
            <v>51040501001401</v>
          </cell>
          <cell r="C21526" t="str">
            <v>INT VENC CARTERA TRANSFERIDA-CL         4NC</v>
          </cell>
        </row>
        <row r="21527">
          <cell r="B21527" t="str">
            <v>51040501002101</v>
          </cell>
          <cell r="C21527" t="str">
            <v>CL CXL C.C VISTA BKT INT.GANADO         4NC</v>
          </cell>
        </row>
        <row r="21528">
          <cell r="B21528" t="str">
            <v>51040501002102</v>
          </cell>
          <cell r="C21528" t="str">
            <v>CL CXL ACEPT.BKT INT GANADO             4NC</v>
          </cell>
        </row>
        <row r="21529">
          <cell r="B21529" t="str">
            <v>51040501002103</v>
          </cell>
          <cell r="C21529" t="str">
            <v>CL CXL AVAL ACEPT.BKT INT.GAN           4NC</v>
          </cell>
        </row>
        <row r="21530">
          <cell r="B21530" t="str">
            <v>51040501002105</v>
          </cell>
          <cell r="C21530" t="str">
            <v>CL CXL STAND BY BKT INT.GANADO          4NC</v>
          </cell>
        </row>
        <row r="21531">
          <cell r="B21531" t="str">
            <v>51040501002902</v>
          </cell>
          <cell r="C21531" t="str">
            <v>INT MORATORIO BKT-CL                    4NC</v>
          </cell>
        </row>
        <row r="21532">
          <cell r="B21532" t="str">
            <v>51040501002903</v>
          </cell>
          <cell r="C21532" t="str">
            <v>INTERESES MORATORIOS EXPORT-CL          4NC</v>
          </cell>
        </row>
        <row r="21533">
          <cell r="B21533" t="str">
            <v>51040502000203</v>
          </cell>
          <cell r="C21533" t="str">
            <v>CL PRE JUD.INT.GAN TC MASTER PJ MES VEN 4NC</v>
          </cell>
        </row>
        <row r="21534">
          <cell r="B21534" t="str">
            <v>51040502000204</v>
          </cell>
          <cell r="C21534" t="str">
            <v>JCC PRE JUD MYP COMP AF INMUEB IN       4NC</v>
          </cell>
        </row>
        <row r="21535">
          <cell r="B21535" t="str">
            <v>51040502000205</v>
          </cell>
          <cell r="C21535" t="str">
            <v>JCC PRE JUD MYP COMP AF MUEB INT        4NC</v>
          </cell>
        </row>
        <row r="21536">
          <cell r="B21536" t="str">
            <v>51040502000206</v>
          </cell>
          <cell r="C21536" t="str">
            <v>JCC PRE JUD MYP CAP TRAB INT GAN MES    4NC</v>
          </cell>
        </row>
        <row r="21537">
          <cell r="B21537" t="str">
            <v>51040502000207</v>
          </cell>
          <cell r="C21537" t="str">
            <v>JCC PRE JUD.INT.GAN TC MASTER PJ MES VEN4NC</v>
          </cell>
        </row>
        <row r="21538">
          <cell r="B21538" t="str">
            <v>51040502000210</v>
          </cell>
          <cell r="C21538" t="str">
            <v>JCC PREJUD.INT.GAN SOBG CCTE.PJ-MES VEN 4NC</v>
          </cell>
        </row>
        <row r="21539">
          <cell r="B21539" t="str">
            <v>51040502000212</v>
          </cell>
          <cell r="C21539" t="str">
            <v>JCC PRE JUD.INT.GAN RFA SUB MES VENC GL74NC</v>
          </cell>
        </row>
        <row r="21540">
          <cell r="B21540" t="str">
            <v>51040502000214</v>
          </cell>
          <cell r="C21540" t="str">
            <v>JCCÂ  INT. MORATORIO CMIE               4NC</v>
          </cell>
        </row>
        <row r="21541">
          <cell r="B21541" t="str">
            <v>51040502000215</v>
          </cell>
          <cell r="C21541" t="str">
            <v>CL MYP PRE-JUD.C.TRAB.INT.GAN.REV.CMIE  4NC</v>
          </cell>
        </row>
        <row r="21542">
          <cell r="B21542" t="str">
            <v>51040502000216</v>
          </cell>
          <cell r="C21542" t="str">
            <v>CL INT MORATORIOS JUD CMIE              4NC</v>
          </cell>
        </row>
        <row r="21543">
          <cell r="B21543" t="str">
            <v>51040502000217</v>
          </cell>
          <cell r="C21543" t="str">
            <v>JCC MYP PRE-JUD.C.TRAB.INT.GAN.REV.CMIE 4NC</v>
          </cell>
        </row>
        <row r="21544">
          <cell r="B21544" t="str">
            <v>51040502000218</v>
          </cell>
          <cell r="C21544" t="str">
            <v>FCD INT. GAN DSCTO ELECTR VENC DUD CMIE 4NC</v>
          </cell>
        </row>
        <row r="21545">
          <cell r="B21545" t="str">
            <v>51040502000219</v>
          </cell>
          <cell r="C21545" t="str">
            <v>FCD INT. GAN FACT ELECTR VIG DUD CMIE   4NC</v>
          </cell>
        </row>
        <row r="21546">
          <cell r="B21546" t="str">
            <v>51040502000220</v>
          </cell>
          <cell r="C21546" t="str">
            <v>JCC INTERESES MORATORIOS MYP CMIE       4NC</v>
          </cell>
        </row>
        <row r="21547">
          <cell r="B21547" t="str">
            <v>51040502000221</v>
          </cell>
          <cell r="C21547" t="str">
            <v>LPC INT GAN PRE EMBARQUE VEN.NORM CMIE  4NC</v>
          </cell>
        </row>
        <row r="21548">
          <cell r="B21548" t="str">
            <v>51040502000222</v>
          </cell>
          <cell r="C21548" t="str">
            <v>LPC INT GAN PRE EMBARQUE VEN.DUPE CMIE  4NC</v>
          </cell>
        </row>
        <row r="21549">
          <cell r="B21549" t="str">
            <v>51040502000223</v>
          </cell>
          <cell r="C21549" t="str">
            <v>LPC INT GAN POST EMBARQUE VEN.NORM CMIE 4NC</v>
          </cell>
        </row>
        <row r="21550">
          <cell r="B21550" t="str">
            <v>51040502000224</v>
          </cell>
          <cell r="C21550" t="str">
            <v>LPC INT GAN POST EMBARQUE VEN.DUPE CMIE 4NC</v>
          </cell>
        </row>
        <row r="21551">
          <cell r="B21551" t="str">
            <v>51040502000225</v>
          </cell>
          <cell r="C21551" t="str">
            <v>LPC INT GAN IMPORT. CARTA CREDITO  VEN.N4NC</v>
          </cell>
        </row>
        <row r="21552">
          <cell r="B21552" t="str">
            <v>51040502000226</v>
          </cell>
          <cell r="C21552" t="str">
            <v>LPC INT GAN IMPORT. CARTA CREDITO  VEN.D4NC</v>
          </cell>
        </row>
        <row r="21553">
          <cell r="B21553" t="str">
            <v>51040502000227</v>
          </cell>
          <cell r="C21553" t="str">
            <v>LPC INT GAN IMPORT.  VEN.NORM CMIE      4NC</v>
          </cell>
        </row>
        <row r="21554">
          <cell r="B21554" t="str">
            <v>51040502000228</v>
          </cell>
          <cell r="C21554" t="str">
            <v>LPC INT GAN IMPORT.  VEN.DUPE CMIE      4NC</v>
          </cell>
        </row>
        <row r="21555">
          <cell r="B21555" t="str">
            <v>51040502000229</v>
          </cell>
          <cell r="C21555" t="str">
            <v>LPC INT GAN PAG DSCTO D/P VENC CMIE     4NC</v>
          </cell>
        </row>
        <row r="21556">
          <cell r="B21556" t="str">
            <v>51040502000230</v>
          </cell>
          <cell r="C21556" t="str">
            <v>FACT INTER IMPORT  VENC. CMIE DUPE      4NC</v>
          </cell>
        </row>
        <row r="21557">
          <cell r="B21557" t="str">
            <v>51040502000231</v>
          </cell>
          <cell r="C21557" t="str">
            <v>FACT INTER IMPORT   VENC. CMIE NORMAL   4NC</v>
          </cell>
        </row>
        <row r="21558">
          <cell r="B21558" t="str">
            <v>51040502000232</v>
          </cell>
          <cell r="C21558" t="str">
            <v>LPC INT GAN PAG DSCTO D/P VENC CMIE     4NC</v>
          </cell>
        </row>
        <row r="21559">
          <cell r="B21559" t="str">
            <v>51040502000233</v>
          </cell>
          <cell r="C21559" t="str">
            <v>LPC INT GAN PAG DSCTO VENC CMIE         4NC</v>
          </cell>
        </row>
        <row r="21560">
          <cell r="B21560" t="str">
            <v>51040502000234</v>
          </cell>
          <cell r="C21560" t="str">
            <v>JCC PRE JUD INT.GAN CART FIANZ VENC CMIE4NC</v>
          </cell>
        </row>
        <row r="21561">
          <cell r="B21561" t="str">
            <v>51040502000235</v>
          </cell>
          <cell r="C21561" t="str">
            <v>JCC COB. PRE-JUD. GAN. DSCTO. DE LETRAS 4NC</v>
          </cell>
        </row>
        <row r="21562">
          <cell r="B21562" t="str">
            <v>51040502000236</v>
          </cell>
          <cell r="C21562" t="str">
            <v>JCC INT.GANADO PREJUDIC MYP LS BPE CMIE 4NC</v>
          </cell>
        </row>
        <row r="21563">
          <cell r="B21563" t="str">
            <v>51040502000237</v>
          </cell>
          <cell r="C21563" t="str">
            <v>MYP INTGANVENC CAPTRABPROVREFCMIE       4NC</v>
          </cell>
        </row>
        <row r="21564">
          <cell r="B21564" t="str">
            <v>51040502000238</v>
          </cell>
          <cell r="C21564" t="str">
            <v>MYP INTGAN VENC LIN REVOL PROVREFCMIE   4NC</v>
          </cell>
        </row>
        <row r="21565">
          <cell r="B21565" t="str">
            <v>51040502000239</v>
          </cell>
          <cell r="C21565" t="str">
            <v>MYP INT.GAN.VENC CAP.TRAB.REUT.CMIE     4NC</v>
          </cell>
        </row>
        <row r="21566">
          <cell r="B21566" t="str">
            <v>51040502000240</v>
          </cell>
          <cell r="C21566" t="str">
            <v>MYP INT.GAN. VENC LIN REVOL REUT.CMIE   4NC</v>
          </cell>
        </row>
        <row r="21567">
          <cell r="B21567" t="str">
            <v>51040502000241</v>
          </cell>
          <cell r="C21567" t="str">
            <v>MYP INTGAN VENC LIN REVOL PROVREFCMIE   4NC</v>
          </cell>
        </row>
        <row r="21568">
          <cell r="B21568" t="str">
            <v>51040502000242</v>
          </cell>
          <cell r="C21568" t="str">
            <v>MYP INT.GAN. VENC CAP.TRAB. CIMA NOR/DUP4NC</v>
          </cell>
        </row>
        <row r="21569">
          <cell r="B21569" t="str">
            <v>51040502000301</v>
          </cell>
          <cell r="C21569" t="str">
            <v>INT VENC TC - COMERC VEA CMIE           4NC</v>
          </cell>
        </row>
        <row r="21570">
          <cell r="B21570" t="str">
            <v>51040502000302</v>
          </cell>
          <cell r="C21570" t="str">
            <v>INT VENC TC - COMERCIAL  AMEX CMIE      4NC</v>
          </cell>
        </row>
        <row r="21571">
          <cell r="B21571" t="str">
            <v>51040502000303</v>
          </cell>
          <cell r="C21571" t="str">
            <v>TC INT VENCIDO AMEX CMIE                4NC</v>
          </cell>
        </row>
        <row r="21572">
          <cell r="B21572" t="str">
            <v>51040502000304</v>
          </cell>
          <cell r="C21572" t="str">
            <v>TC INT VENCIDO MC CMIE                  4NC</v>
          </cell>
        </row>
        <row r="21573">
          <cell r="B21573" t="str">
            <v>51040502000305</v>
          </cell>
          <cell r="C21573" t="str">
            <v>TC INT VENCIDO VISA CMIE                4NC</v>
          </cell>
        </row>
        <row r="21574">
          <cell r="B21574" t="str">
            <v>51040502000306</v>
          </cell>
          <cell r="C21574" t="str">
            <v>TC INT VENCIDO VISA MEGAPLAZA CMIE      4NC</v>
          </cell>
        </row>
        <row r="21575">
          <cell r="B21575" t="str">
            <v>51040502000307</v>
          </cell>
          <cell r="C21575" t="str">
            <v>TC INT VENCIDO VISA VEA CMIE            4NC</v>
          </cell>
        </row>
        <row r="21576">
          <cell r="B21576" t="str">
            <v>51040502000401</v>
          </cell>
          <cell r="C21576" t="str">
            <v>MYP IN GAN.REFIN.COBRANZAS VEN.C/FIJA ME4NC</v>
          </cell>
        </row>
        <row r="21577">
          <cell r="B21577" t="str">
            <v>51040502000402</v>
          </cell>
          <cell r="C21577" t="str">
            <v>MYP IN GAN.REFIN.COBRANZAS VEN.REVOL.MES4NC</v>
          </cell>
        </row>
        <row r="21578">
          <cell r="B21578" t="str">
            <v>51040502000404</v>
          </cell>
          <cell r="C21578" t="str">
            <v>CL PREJUD.INT.GAN SOBG CCTE.PJ-MES VEN  4NC</v>
          </cell>
        </row>
        <row r="21579">
          <cell r="B21579" t="str">
            <v>51040502000501</v>
          </cell>
          <cell r="C21579" t="str">
            <v>CL INT GANAD VENC PAG DSCTO CL MES      4NC</v>
          </cell>
        </row>
        <row r="21580">
          <cell r="B21580" t="str">
            <v>51040502000503</v>
          </cell>
          <cell r="C21580" t="str">
            <v>PR LETR./FACT.DSCTO.MES INT.GAN         4NC</v>
          </cell>
        </row>
        <row r="21581">
          <cell r="B21581" t="str">
            <v>51040502000506</v>
          </cell>
          <cell r="C21581" t="str">
            <v>PR                                      4NC</v>
          </cell>
        </row>
        <row r="21582">
          <cell r="B21582" t="str">
            <v>51040502000601</v>
          </cell>
          <cell r="C21582" t="str">
            <v>CL INT GAN VENC TASA VENC CL MES        4NC</v>
          </cell>
        </row>
        <row r="21583">
          <cell r="B21583" t="str">
            <v>51040502000602</v>
          </cell>
          <cell r="C21583" t="str">
            <v>CL INT GAN VENCTASA VENC CALIF DUDOS CL 4NC</v>
          </cell>
        </row>
        <row r="21584">
          <cell r="B21584" t="str">
            <v>51040502000605</v>
          </cell>
          <cell r="C21584" t="str">
            <v>CL INT GANAD VENCIDOS PREST COFIDE MES  4NC</v>
          </cell>
        </row>
        <row r="21585">
          <cell r="B21585" t="str">
            <v>51040502000608</v>
          </cell>
          <cell r="C21585" t="str">
            <v>LPC INT GAN VENC PAGARE TASA VENC MES   4NC</v>
          </cell>
        </row>
        <row r="21586">
          <cell r="B21586" t="str">
            <v>51040502000609</v>
          </cell>
          <cell r="C21586" t="str">
            <v>LPC INT GAN VENC PAG T. VEN.  D/P MES   4NC</v>
          </cell>
        </row>
        <row r="21587">
          <cell r="B21587" t="str">
            <v>51040502000621</v>
          </cell>
          <cell r="C21587" t="str">
            <v>MYP INT.GAN. VENC FIN.CAP.TRAB.         4NC</v>
          </cell>
        </row>
        <row r="21588">
          <cell r="B21588" t="str">
            <v>51040502000622</v>
          </cell>
          <cell r="C21588" t="str">
            <v>MYP D/P GAN.INT.VENC.FIN.CAP.TRAB       4NC</v>
          </cell>
        </row>
        <row r="21589">
          <cell r="B21589" t="str">
            <v>51040502000623</v>
          </cell>
          <cell r="C21589" t="str">
            <v>MYP INT.GAN. VENC FIN.COMPRA. AF.       4NC</v>
          </cell>
        </row>
        <row r="21590">
          <cell r="B21590" t="str">
            <v>51040502000624</v>
          </cell>
          <cell r="C21590" t="str">
            <v>MYP D/P GAN.INT.VENC.FIN.COMPRA. AF.    4NC</v>
          </cell>
        </row>
        <row r="21591">
          <cell r="B21591" t="str">
            <v>51040502000625</v>
          </cell>
          <cell r="C21591" t="str">
            <v>MYP INT.GAN. VENC FIN.CRED. PARAL.      4NC</v>
          </cell>
        </row>
        <row r="21592">
          <cell r="B21592" t="str">
            <v>51040502000626</v>
          </cell>
          <cell r="C21592" t="str">
            <v>MYP D/P GAN.INT.VENC.FIN.CRED. PARAL    4NC</v>
          </cell>
        </row>
        <row r="21593">
          <cell r="B21593" t="str">
            <v>51040502000627</v>
          </cell>
          <cell r="C21593" t="str">
            <v>MYP INTERES MORATORIO                   4NC</v>
          </cell>
        </row>
        <row r="21594">
          <cell r="B21594" t="str">
            <v>51040502000633</v>
          </cell>
          <cell r="C21594" t="str">
            <v>MYP INT.GAN. VENC FIN.COMPRA DE DEU     4NC</v>
          </cell>
        </row>
        <row r="21595">
          <cell r="B21595" t="str">
            <v>51040502000634</v>
          </cell>
          <cell r="C21595" t="str">
            <v>MYP D/P GAN.INT.VENC.FIN.COMPRA DE      4NC</v>
          </cell>
        </row>
        <row r="21596">
          <cell r="B21596" t="str">
            <v>51040502000635</v>
          </cell>
          <cell r="C21596" t="str">
            <v>MYP INT.GAN. VENC LINEA REVOLVENTE      4NC</v>
          </cell>
        </row>
        <row r="21597">
          <cell r="B21597" t="str">
            <v>51040502000636</v>
          </cell>
          <cell r="C21597" t="str">
            <v>MYP D/P GAN.INT.VENC. LINEAS REV        4NC</v>
          </cell>
        </row>
        <row r="21598">
          <cell r="B21598" t="str">
            <v>51040502000637</v>
          </cell>
          <cell r="C21598" t="str">
            <v>MYP IMPORT RP INT GANAD MES VENC        4NC</v>
          </cell>
        </row>
        <row r="21599">
          <cell r="B21599" t="str">
            <v>51040502000638</v>
          </cell>
          <cell r="C21599" t="str">
            <v>MYP D/P IMPORT RP INT GANAD MES VENC    4NC</v>
          </cell>
        </row>
        <row r="21600">
          <cell r="B21600" t="str">
            <v>51040502000639</v>
          </cell>
          <cell r="C21600" t="str">
            <v>CL PRE JUD MYP CAP TRAB INT GAN MES     4NC</v>
          </cell>
        </row>
        <row r="21601">
          <cell r="B21601" t="str">
            <v>51040502000640</v>
          </cell>
          <cell r="C21601" t="str">
            <v>CL PRE JUD MYP COMP AF INMUEB IN        4NC</v>
          </cell>
        </row>
        <row r="21602">
          <cell r="B21602" t="str">
            <v>51040502000641</v>
          </cell>
          <cell r="C21602" t="str">
            <v>CL PRE JUD MYP COMP AF MUEB INT         4NC</v>
          </cell>
        </row>
        <row r="21603">
          <cell r="B21603" t="str">
            <v>51040502000645</v>
          </cell>
          <cell r="C21603" t="str">
            <v>MYP EXPORT.POST EMBARQ RP INT GAN MES VE4NC</v>
          </cell>
        </row>
        <row r="21604">
          <cell r="B21604" t="str">
            <v>51040502000646</v>
          </cell>
          <cell r="C21604" t="str">
            <v>MYP D/P EXPORT.POST EMB INT GANAD VENC C4NC</v>
          </cell>
        </row>
        <row r="21605">
          <cell r="B21605" t="str">
            <v>51040502000647</v>
          </cell>
          <cell r="C21605" t="str">
            <v>MYP EXPORT.PRE EMBARQ RP INT GANÂ  VENC 4NC</v>
          </cell>
        </row>
        <row r="21606">
          <cell r="B21606" t="str">
            <v>51040502000648</v>
          </cell>
          <cell r="C21606" t="str">
            <v>MYP INT.GAN. VENC TRANSP PUBLICO C      4NC</v>
          </cell>
        </row>
        <row r="21607">
          <cell r="B21607" t="str">
            <v>51040502000649</v>
          </cell>
          <cell r="C21607" t="str">
            <v>MYP D/P GAN.INT.VENC.TRANSP PUBLIC      4NC</v>
          </cell>
        </row>
        <row r="21608">
          <cell r="B21608" t="str">
            <v>51040502000650</v>
          </cell>
          <cell r="C21608" t="str">
            <v>LPC INT GAN VENC IMPORT MES             4NC</v>
          </cell>
        </row>
        <row r="21609">
          <cell r="B21609" t="str">
            <v>51040502000651</v>
          </cell>
          <cell r="C21609" t="str">
            <v>LPC INT GAN VENC IMPORT MES D/P         4NC</v>
          </cell>
        </row>
        <row r="21610">
          <cell r="B21610" t="str">
            <v>51040502000652</v>
          </cell>
          <cell r="C21610" t="str">
            <v>CL INT.GAN.VEN.CRED.POR LIQ. CARTA FIANZ4NC</v>
          </cell>
        </row>
        <row r="21611">
          <cell r="B21611" t="str">
            <v>51040502000653</v>
          </cell>
          <cell r="C21611" t="str">
            <v>MYP E.R.INT.GAN.VEN FIN CAP TRA DUPE CMI4NC</v>
          </cell>
        </row>
        <row r="21612">
          <cell r="B21612" t="str">
            <v>51040502000701</v>
          </cell>
          <cell r="C21612" t="str">
            <v>MYP INT.GANAD.VENC FIN.IMPORT CAP TRABÂ 4NC</v>
          </cell>
        </row>
        <row r="21613">
          <cell r="B21613" t="str">
            <v>51040502000702</v>
          </cell>
          <cell r="C21613" t="str">
            <v>MYP D/P GAN.INT.VENC.IMP. CAP DE TRABÂ  4NC</v>
          </cell>
        </row>
        <row r="21614">
          <cell r="B21614" t="str">
            <v>51040502000703</v>
          </cell>
          <cell r="C21614" t="str">
            <v>MYP INT.GANAD.VENC FIN.IMPORT A.FIJO CPE4NC</v>
          </cell>
        </row>
        <row r="21615">
          <cell r="B21615" t="str">
            <v>51040502000704</v>
          </cell>
          <cell r="C21615" t="str">
            <v>MYP D/P GAN.INT.VENC.FINN IMPOR AF CPEM 4NC</v>
          </cell>
        </row>
        <row r="21616">
          <cell r="B21616" t="str">
            <v>51040502000705</v>
          </cell>
          <cell r="C21616" t="str">
            <v>MYP E.R.INT.GAN. VENC FIN.CAP.T.        4NC</v>
          </cell>
        </row>
        <row r="21617">
          <cell r="B21617" t="str">
            <v>51040502000801</v>
          </cell>
          <cell r="C21617" t="str">
            <v>INT VENC TC - COMERCIAL CMIE            4NC</v>
          </cell>
        </row>
        <row r="21618">
          <cell r="B21618" t="str">
            <v>51040502000802</v>
          </cell>
          <cell r="C21618" t="str">
            <v>INT VENC TC - COMERC MC CMIE            4NC</v>
          </cell>
        </row>
        <row r="21619">
          <cell r="B21619" t="str">
            <v>51040502000803</v>
          </cell>
          <cell r="C21619" t="str">
            <v>CL EX INT. MORATORIO CMIE               4NC</v>
          </cell>
        </row>
        <row r="21620">
          <cell r="B21620" t="str">
            <v>51040502000804</v>
          </cell>
          <cell r="C21620" t="str">
            <v>CL CL INT. MORATORIO CMIE               4NC</v>
          </cell>
        </row>
        <row r="21621">
          <cell r="B21621" t="str">
            <v>51040502000901</v>
          </cell>
          <cell r="C21621" t="str">
            <v>LPC INT GAN FINAN PRE EMBARQUE-SEPYMEX C4NC</v>
          </cell>
        </row>
        <row r="21622">
          <cell r="B21622" t="str">
            <v>51040502000902</v>
          </cell>
          <cell r="C21622" t="str">
            <v>LPC INT GAN FINAN PRE EMBARQUE D/P-SEPYM4NC</v>
          </cell>
        </row>
        <row r="21623">
          <cell r="B21623" t="str">
            <v>51040502000903</v>
          </cell>
          <cell r="C21623" t="str">
            <v>LPC INT GAN VENC  PAG TV COFIDE CMIE    4NC</v>
          </cell>
        </row>
        <row r="21624">
          <cell r="B21624" t="str">
            <v>51040502000904</v>
          </cell>
          <cell r="C21624" t="str">
            <v>LPC INT GAN VENC PAG TV  COFIDE - D/P CM4NC</v>
          </cell>
        </row>
        <row r="21625">
          <cell r="B21625" t="str">
            <v>51040502000905</v>
          </cell>
          <cell r="C21625" t="str">
            <v>LPC INT VEN LEAS BPE REF BIEN RP CMIE   4NC</v>
          </cell>
        </row>
        <row r="21626">
          <cell r="B21626" t="str">
            <v>51040502000906</v>
          </cell>
          <cell r="C21626" t="str">
            <v>LPC INT VEN LEAS BPE REF SEG RP CMIE    4NC</v>
          </cell>
        </row>
        <row r="21627">
          <cell r="B21627" t="str">
            <v>51040502000907</v>
          </cell>
          <cell r="C21627" t="str">
            <v>LPC INT.GAN PAG REPROGRAMADO REV NORM CM4NC</v>
          </cell>
        </row>
        <row r="21628">
          <cell r="B21628" t="str">
            <v>51040502000908</v>
          </cell>
          <cell r="C21628" t="str">
            <v>LPC INT.GAN PAG REPROGRAMADO D/P CMIE   4NC</v>
          </cell>
        </row>
        <row r="21629">
          <cell r="B21629" t="str">
            <v>51040502001001</v>
          </cell>
          <cell r="C21629" t="str">
            <v>$PR INT GAN VENC LETRAS FACTORING MES   4NC</v>
          </cell>
        </row>
        <row r="21630">
          <cell r="B21630" t="str">
            <v>51040502001002</v>
          </cell>
          <cell r="C21630" t="str">
            <v>$PR INT GAN VENC FACTURAS FACTORING MES 4NC</v>
          </cell>
        </row>
        <row r="21631">
          <cell r="B21631" t="str">
            <v>51040502001007</v>
          </cell>
          <cell r="C21631" t="str">
            <v>$PR FACT ELECTR LET/FACT INT VEN MES    4NC</v>
          </cell>
        </row>
        <row r="21632">
          <cell r="B21632" t="str">
            <v>51040502001008</v>
          </cell>
          <cell r="C21632" t="str">
            <v>PR PERU FACTORING INT.VEN MES           4NC</v>
          </cell>
        </row>
        <row r="21633">
          <cell r="B21633" t="str">
            <v>51040502001009</v>
          </cell>
          <cell r="C21633" t="str">
            <v>PR FORFAITING EXPORT.INT GANA VEN CMIE  4NC</v>
          </cell>
        </row>
        <row r="21634">
          <cell r="B21634" t="str">
            <v>51040502001010</v>
          </cell>
          <cell r="C21634" t="str">
            <v>PR FACTORING INTER. INT GAN VEN CMIE    4NC</v>
          </cell>
        </row>
        <row r="21635">
          <cell r="B21635" t="str">
            <v>51040502001011</v>
          </cell>
          <cell r="C21635" t="str">
            <v>FCD DESC. LET. I. VENC. CMIE DUPE       4NC</v>
          </cell>
        </row>
        <row r="21636">
          <cell r="B21636" t="str">
            <v>51040502001012</v>
          </cell>
          <cell r="C21636" t="str">
            <v>FCD DESC. FACT. I. VENC. CMIE DUPE      4NC</v>
          </cell>
        </row>
        <row r="21637">
          <cell r="B21637" t="str">
            <v>51040502001013</v>
          </cell>
          <cell r="C21637" t="str">
            <v>FCD DESC. VIRTUAL I. VENC. CMIE DUPE    4NC</v>
          </cell>
        </row>
        <row r="21638">
          <cell r="B21638" t="str">
            <v>51040502001014</v>
          </cell>
          <cell r="C21638" t="str">
            <v>FCD DESC. FACT. NEG. I. VENC. CMIE DUPE 4NC</v>
          </cell>
        </row>
        <row r="21639">
          <cell r="B21639" t="str">
            <v>51040502001015</v>
          </cell>
          <cell r="C21639" t="str">
            <v>FCD FAC. FIS. LET. I. VENC. CMIE DUPE   4NC</v>
          </cell>
        </row>
        <row r="21640">
          <cell r="B21640" t="str">
            <v>51040502001016</v>
          </cell>
          <cell r="C21640" t="str">
            <v>FCD FAC. FIS. FAC.. I. VENC. CMIE DUPE  4NC</v>
          </cell>
        </row>
        <row r="21641">
          <cell r="B21641" t="str">
            <v>51040502001017</v>
          </cell>
          <cell r="C21641" t="str">
            <v>FCD DESC. VIRTUAL I. VENC. CMIE NORMAL  4NC</v>
          </cell>
        </row>
        <row r="21642">
          <cell r="B21642" t="str">
            <v>51040502001018</v>
          </cell>
          <cell r="C21642" t="str">
            <v>FCD FACT INTER EXPO. INT GAN VEN NORM CM4NC</v>
          </cell>
        </row>
        <row r="21643">
          <cell r="B21643" t="str">
            <v>51040502001019</v>
          </cell>
          <cell r="C21643" t="str">
            <v>FCD FACT INTER EXPO. INT GAN VEN DUPE CM4NC</v>
          </cell>
        </row>
        <row r="21644">
          <cell r="B21644" t="str">
            <v>51040502001020</v>
          </cell>
          <cell r="C21644" t="str">
            <v>FCD FORFAITING EXPO INT GANA VEN NORMÂ  4NC</v>
          </cell>
        </row>
        <row r="21645">
          <cell r="B21645" t="str">
            <v>51040502001021</v>
          </cell>
          <cell r="C21645" t="str">
            <v>FCD FORFAITING EXPO INT GANA VEN DUPEÂ  4NC</v>
          </cell>
        </row>
        <row r="21646">
          <cell r="B21646" t="str">
            <v>51040502001101</v>
          </cell>
          <cell r="C21646" t="str">
            <v>LPC INT VEN LEASING BIEN RP MES         4NC</v>
          </cell>
        </row>
        <row r="21647">
          <cell r="B21647" t="str">
            <v>51040502001102</v>
          </cell>
          <cell r="C21647" t="str">
            <v>LPC INT VEN LEASING SEG RP MES          4NC</v>
          </cell>
        </row>
        <row r="21648">
          <cell r="B21648" t="str">
            <v>51040502001103</v>
          </cell>
          <cell r="C21648" t="str">
            <v>LPC INT VEN LEASING BIEN D/P RP MES     4NC</v>
          </cell>
        </row>
        <row r="21649">
          <cell r="B21649" t="str">
            <v>51040502001104</v>
          </cell>
          <cell r="C21649" t="str">
            <v>LPC INT VEN LEASING SEG D/P RP MES      4NC</v>
          </cell>
        </row>
        <row r="21650">
          <cell r="B21650" t="str">
            <v>51040502001107</v>
          </cell>
          <cell r="C21650" t="str">
            <v>LPC INT VEN LSG ADJ. BIEN D/P MES RP    4NC</v>
          </cell>
        </row>
        <row r="21651">
          <cell r="B21651" t="str">
            <v>51040502001108</v>
          </cell>
          <cell r="C21651" t="str">
            <v>LPC INT VEN LSG ADJ. SEG D/P MES RP     4NC</v>
          </cell>
        </row>
        <row r="21652">
          <cell r="B21652" t="str">
            <v>51040502001201</v>
          </cell>
          <cell r="C21652" t="str">
            <v>LPC INT VEN LEASEBACK BIEN RP MES       4NC</v>
          </cell>
        </row>
        <row r="21653">
          <cell r="B21653" t="str">
            <v>51040502001202</v>
          </cell>
          <cell r="C21653" t="str">
            <v>LPC INT VEN LEASEBACK SEG RP MES        4NC</v>
          </cell>
        </row>
        <row r="21654">
          <cell r="B21654" t="str">
            <v>51040502001203</v>
          </cell>
          <cell r="C21654" t="str">
            <v>LPC INT VEN LSBACK BIEN D/P RP MES      4NC</v>
          </cell>
        </row>
        <row r="21655">
          <cell r="B21655" t="str">
            <v>51040502001204</v>
          </cell>
          <cell r="C21655" t="str">
            <v>LPC INT VEN LSBACK SEG D/P RP CMIE      4NC</v>
          </cell>
        </row>
        <row r="21656">
          <cell r="B21656" t="str">
            <v>51040502001205</v>
          </cell>
          <cell r="C21656" t="str">
            <v>LPC IDL MYP INT GAN LEASING CMIE        4NC</v>
          </cell>
        </row>
        <row r="21657">
          <cell r="B21657" t="str">
            <v>51040502001206</v>
          </cell>
          <cell r="C21657" t="str">
            <v>LPC IDS MYP INT GAN LEASING CMIE        4NC</v>
          </cell>
        </row>
        <row r="21658">
          <cell r="B21658" t="str">
            <v>51040502001207</v>
          </cell>
          <cell r="C21658" t="str">
            <v>LPC INT VEN LEASING SEG BPE MES         4NC</v>
          </cell>
        </row>
        <row r="21659">
          <cell r="B21659" t="str">
            <v>51040502001208</v>
          </cell>
          <cell r="C21659" t="str">
            <v>LPC IDL MYP INT GAN LEASING D/P CMIE    4NC</v>
          </cell>
        </row>
        <row r="21660">
          <cell r="B21660" t="str">
            <v>51040502001209</v>
          </cell>
          <cell r="C21660" t="str">
            <v>LPC IDS MYP INT GAN LEASING D/P CMIE    4NC</v>
          </cell>
        </row>
        <row r="21661">
          <cell r="B21661" t="str">
            <v>51040502001210</v>
          </cell>
          <cell r="C21661" t="str">
            <v>LPC INT GAN PAG TV MED PLZ CMIE         4NC</v>
          </cell>
        </row>
        <row r="21662">
          <cell r="B21662" t="str">
            <v>51040502001211</v>
          </cell>
          <cell r="C21662" t="str">
            <v>LPC INT GAN PAG TV MED PLZ D/P CMIE     4NC</v>
          </cell>
        </row>
        <row r="21663">
          <cell r="B21663" t="str">
            <v>51040502001212</v>
          </cell>
          <cell r="C21663" t="str">
            <v>LPC INT GAN PAG TV INMOBILIARIO CMIE    4NC</v>
          </cell>
        </row>
        <row r="21664">
          <cell r="B21664" t="str">
            <v>51040502001213</v>
          </cell>
          <cell r="C21664" t="str">
            <v>LPC INT GAN PAG TV INMOBILIARIO D/P CMIE4NC</v>
          </cell>
        </row>
        <row r="21665">
          <cell r="B21665" t="str">
            <v>51040502001903</v>
          </cell>
          <cell r="C21665" t="str">
            <v>CL PRE JUD.INT.GAN RFA SUB MES VENC GL7 4NC</v>
          </cell>
        </row>
        <row r="21666">
          <cell r="B21666" t="str">
            <v>51040502002103</v>
          </cell>
          <cell r="C21666" t="str">
            <v>CL CXL AVA.XACEP.INT.GAN.VEN.-MES       4NC</v>
          </cell>
        </row>
        <row r="21667">
          <cell r="B21667" t="str">
            <v>51040502002601</v>
          </cell>
          <cell r="C21667" t="str">
            <v>CL INT GANA.VENC EX PRE EMB MES         4NC</v>
          </cell>
        </row>
        <row r="21668">
          <cell r="B21668" t="str">
            <v>51040502002602</v>
          </cell>
          <cell r="C21668" t="str">
            <v>CL INT GANADO VEN EX PRE EMB MES        4NC</v>
          </cell>
        </row>
        <row r="21669">
          <cell r="B21669" t="str">
            <v>51040502002606</v>
          </cell>
          <cell r="C21669" t="str">
            <v>CL INT GAN. VENC EX POST EMB RP MES     4NC</v>
          </cell>
        </row>
        <row r="21670">
          <cell r="B21670" t="str">
            <v>51040502002610</v>
          </cell>
          <cell r="C21670" t="str">
            <v>CL INT GAN VENC IMPORT MES              4NC</v>
          </cell>
        </row>
        <row r="21671">
          <cell r="B21671" t="str">
            <v>51040502002701</v>
          </cell>
          <cell r="C21671" t="str">
            <v>LPC INT VEN LEASING COFIDE IDL CMIE     4NC</v>
          </cell>
        </row>
        <row r="21672">
          <cell r="B21672" t="str">
            <v>51040502002702</v>
          </cell>
          <cell r="C21672" t="str">
            <v>LPC INT VEN LS COFIDE SEG IDS CMIE      4NC</v>
          </cell>
        </row>
        <row r="21673">
          <cell r="B21673" t="str">
            <v>51040502002703</v>
          </cell>
          <cell r="C21673" t="str">
            <v>LPC INT VEN LS COFIDE D/P IDL CMIE      4NC</v>
          </cell>
        </row>
        <row r="21674">
          <cell r="B21674" t="str">
            <v>51040502002704</v>
          </cell>
          <cell r="C21674" t="str">
            <v>LPC INT VEN LS COFIDE SEG D/P IDS CMIE  4NC</v>
          </cell>
        </row>
        <row r="21675">
          <cell r="B21675" t="str">
            <v>51040502003101</v>
          </cell>
          <cell r="C21675" t="str">
            <v>FCD INT MORATORIO CMIE                  4NC</v>
          </cell>
        </row>
        <row r="21676">
          <cell r="B21676" t="str">
            <v>51040502005104</v>
          </cell>
          <cell r="C21676" t="str">
            <v>PR INT GANA VEN LETRAS T. DSCTOÂ  CMIE  4NC</v>
          </cell>
        </row>
        <row r="21677">
          <cell r="B21677" t="str">
            <v>51040502005106</v>
          </cell>
          <cell r="C21677" t="str">
            <v>LPC INT MORATORIO CMIE                  4NC</v>
          </cell>
        </row>
        <row r="21678">
          <cell r="B21678" t="str">
            <v>51040502005107</v>
          </cell>
          <cell r="C21678" t="str">
            <v>MYP CODIFE FONDO CRECER VEN CMIE\DUPE   4NC</v>
          </cell>
        </row>
        <row r="21679">
          <cell r="B21679" t="str">
            <v>51040502005108</v>
          </cell>
          <cell r="C21679" t="str">
            <v>MYP CODIFE FONDO CRECER VEN CMIE\NORM   4NC</v>
          </cell>
        </row>
        <row r="21680">
          <cell r="B21680" t="str">
            <v>51040502005109</v>
          </cell>
          <cell r="C21680" t="str">
            <v>MYP CODIFE REACTIVA PERU VEN CMIE\DUPE  4NC</v>
          </cell>
        </row>
        <row r="21681">
          <cell r="B21681" t="str">
            <v>51040502005110</v>
          </cell>
          <cell r="C21681" t="str">
            <v>MYP CODIFE REACTIVA PERU VEN CMIE\NORM  4NC</v>
          </cell>
        </row>
        <row r="21682">
          <cell r="B21682" t="str">
            <v>51040502005119</v>
          </cell>
          <cell r="C21682" t="str">
            <v>LPC REACTIVA PERU VEN CMIE\NORM         4NC</v>
          </cell>
        </row>
        <row r="21683">
          <cell r="B21683" t="str">
            <v>51040502005120</v>
          </cell>
          <cell r="C21683" t="str">
            <v>LPC REACTIVA PERU VEN CMIE\DUPE         4NC</v>
          </cell>
        </row>
        <row r="21684">
          <cell r="B21684" t="str">
            <v>51040502005121</v>
          </cell>
          <cell r="C21684" t="str">
            <v>LPC COFIDE FONDOS PERU VEN CMIE\NORM    4NC</v>
          </cell>
        </row>
        <row r="21685">
          <cell r="B21685" t="str">
            <v>51040502005122</v>
          </cell>
          <cell r="C21685" t="str">
            <v>LPC COFIDE FONDOS PERU VEN CMIE\DUPE    4NC</v>
          </cell>
        </row>
        <row r="21686">
          <cell r="B21686" t="str">
            <v>51040502005123</v>
          </cell>
          <cell r="C21686" t="str">
            <v>LPC COFIDE FONDO CRECER VEN CMIE\NORM   4NC</v>
          </cell>
        </row>
        <row r="21687">
          <cell r="B21687" t="str">
            <v>51040502005124</v>
          </cell>
          <cell r="C21687" t="str">
            <v>LPC COFIDE FONDO CRECER VEN CMIE\DUPE   4NC</v>
          </cell>
        </row>
        <row r="21688">
          <cell r="B21688" t="str">
            <v>51040502005125</v>
          </cell>
          <cell r="C21688" t="str">
            <v>LPC REACTIVA PERU VEN CMIE\NORM         4NC</v>
          </cell>
        </row>
        <row r="21689">
          <cell r="B21689" t="str">
            <v>51040502005126</v>
          </cell>
          <cell r="C21689" t="str">
            <v>LPC REACTIVA PERU VEN CMIE\DUPE         4NC</v>
          </cell>
        </row>
        <row r="21690">
          <cell r="B21690" t="str">
            <v>51040502005127</v>
          </cell>
          <cell r="C21690" t="str">
            <v>JCC PRE JUD INT.GAN REACTIVA PERU VENC C4NC</v>
          </cell>
        </row>
        <row r="21691">
          <cell r="B21691" t="str">
            <v>51040502005128</v>
          </cell>
          <cell r="C21691" t="str">
            <v>MYP CODIFE REACTIVA REPRO PERU VEN CMIE 4 C</v>
          </cell>
        </row>
        <row r="21692">
          <cell r="B21692" t="str">
            <v>51040502005129</v>
          </cell>
          <cell r="C21692" t="str">
            <v>JCC PRE JUD INT.GAN REACTIVA PERU VENC C4 C</v>
          </cell>
        </row>
        <row r="21693">
          <cell r="B21693" t="str">
            <v>51040502005130</v>
          </cell>
          <cell r="C21693" t="str">
            <v>JCC PRE JUD INT.GAN FONDO CRECER VENC CM4 C</v>
          </cell>
        </row>
        <row r="21694">
          <cell r="B21694" t="str">
            <v>51040502005131</v>
          </cell>
          <cell r="C21694" t="str">
            <v>JCC PRE JUD INT.GAN FONDO CRECER VENC CM4 C</v>
          </cell>
        </row>
        <row r="21695">
          <cell r="B21695" t="str">
            <v>51040502005132</v>
          </cell>
          <cell r="C21695" t="str">
            <v>JCC PREJUD INT.GAN REACT PRE-HONRAMIENTO4 C</v>
          </cell>
        </row>
        <row r="21696">
          <cell r="B21696" t="str">
            <v>51040502005133</v>
          </cell>
          <cell r="C21696" t="str">
            <v>JCC PREJUD INT.GAN REACT PRE-HONRAMIENTO4 C</v>
          </cell>
        </row>
        <row r="21697">
          <cell r="B21697" t="str">
            <v>51040502005134</v>
          </cell>
          <cell r="C21697" t="str">
            <v>FCD FACTORING INT MORATORIO CMIE        4 C</v>
          </cell>
        </row>
        <row r="21698">
          <cell r="B21698" t="str">
            <v>51040502005135</v>
          </cell>
          <cell r="C21698" t="str">
            <v>LPC PAGARE COMEX INT MORATORIO CMIE     4 C</v>
          </cell>
        </row>
        <row r="21699">
          <cell r="B21699" t="str">
            <v>51040502005136</v>
          </cell>
          <cell r="C21699" t="str">
            <v>LPC INT GAN PAG TV REF CMIE             4 C</v>
          </cell>
        </row>
        <row r="21700">
          <cell r="B21700" t="str">
            <v>51040502005137</v>
          </cell>
          <cell r="C21700" t="str">
            <v>LPC REFINANCIADO REACTIVA CMIE VEN      4 C</v>
          </cell>
        </row>
        <row r="21701">
          <cell r="B21701" t="str">
            <v>51040502005138</v>
          </cell>
          <cell r="C21701" t="str">
            <v>LPC REPROG REACTIVA DIFE CMIE VEN       4 C</v>
          </cell>
        </row>
        <row r="21702">
          <cell r="B21702" t="str">
            <v>51040502005139</v>
          </cell>
          <cell r="C21702" t="str">
            <v>LPC REPROG REACTIVA DS.011-2022 CMIE NOR4 C</v>
          </cell>
        </row>
        <row r="21703">
          <cell r="B21703" t="str">
            <v>51040502005140</v>
          </cell>
          <cell r="C21703" t="str">
            <v>LPC REPROG REACTIVA DS.011-2022 CMIE DUP4 C</v>
          </cell>
        </row>
        <row r="21704">
          <cell r="B21704" t="str">
            <v>51040502005141</v>
          </cell>
          <cell r="C21704" t="str">
            <v>LPC REPROG REACTIVA DS.011-2022 CMIE    4 C</v>
          </cell>
        </row>
        <row r="21705">
          <cell r="B21705" t="str">
            <v>51040502005142</v>
          </cell>
          <cell r="C21705" t="str">
            <v>MYP REPROG REACTIVA DS.011-2022 CMIE NOR4 C</v>
          </cell>
        </row>
        <row r="21706">
          <cell r="B21706" t="str">
            <v>51040502005143</v>
          </cell>
          <cell r="C21706" t="str">
            <v>MYP REPROG REACTIVA DS.011-2022 CMIE DUP4 C</v>
          </cell>
        </row>
        <row r="21707">
          <cell r="B21707" t="str">
            <v>51040502005154</v>
          </cell>
          <cell r="C21707" t="str">
            <v>MYP REFINANCIADO CIMA ING.GAN CMIE VEN  4 C</v>
          </cell>
        </row>
        <row r="21708">
          <cell r="B21708" t="str">
            <v>51040502005155</v>
          </cell>
          <cell r="C21708" t="str">
            <v>MYP INT.GAN. CAP_TRAB_CIMA CMIE VEN NORM4 C</v>
          </cell>
        </row>
        <row r="21709">
          <cell r="B21709" t="str">
            <v>51040502005156</v>
          </cell>
          <cell r="C21709" t="str">
            <v>MYP INT.GAN. CAP_TRAB_CIMA CMIE VEN DUPE4 C</v>
          </cell>
        </row>
        <row r="21710">
          <cell r="B21710" t="str">
            <v>51040502005157</v>
          </cell>
          <cell r="C21710" t="str">
            <v>MYP REPROGRAMADO CIMA CPEM VEN NORM     4 C</v>
          </cell>
        </row>
        <row r="21711">
          <cell r="B21711" t="str">
            <v>51040502005158</v>
          </cell>
          <cell r="C21711" t="str">
            <v>MYP REPROGRAMADO CIMA CMED VEN DUPE     4 C</v>
          </cell>
        </row>
        <row r="21712">
          <cell r="B21712" t="str">
            <v>51040502005159</v>
          </cell>
          <cell r="C21712" t="str">
            <v>MYP REPROG REACTIVA 2023 CMIE DUPE VEN  4 C</v>
          </cell>
        </row>
        <row r="21713">
          <cell r="B21713" t="str">
            <v>51040502005160</v>
          </cell>
          <cell r="C21713" t="str">
            <v>MYP REPROG REACTIVA 2023 CMIE NORM VEN  4 C</v>
          </cell>
        </row>
        <row r="21714">
          <cell r="B21714" t="str">
            <v>51040502005161</v>
          </cell>
          <cell r="C21714" t="str">
            <v>MYP REPROG REACTIVA 2023 CMIE DUPE VEN  4 C</v>
          </cell>
        </row>
        <row r="21715">
          <cell r="B21715" t="str">
            <v>51040502005162</v>
          </cell>
          <cell r="C21715" t="str">
            <v>LPC REPROG REACTIVA 2023 VEN CMIE NORM  4 C</v>
          </cell>
        </row>
        <row r="21716">
          <cell r="B21716" t="str">
            <v>51040502005163</v>
          </cell>
          <cell r="C21716" t="str">
            <v>LPC REPROG REACTIVA 2023 VEN CMIE DUPE  4 C</v>
          </cell>
        </row>
        <row r="21717">
          <cell r="B21717" t="str">
            <v>51040502005164</v>
          </cell>
          <cell r="C21717" t="str">
            <v>LPC REPROG REACTIVA 2023 INT MORA CPEM  4 C</v>
          </cell>
        </row>
        <row r="21718">
          <cell r="B21718" t="str">
            <v>51040502005165</v>
          </cell>
          <cell r="C21718" t="str">
            <v>MYP CAP. TRAB - PAGARE DIGITAL_CMIE NORM4 C</v>
          </cell>
        </row>
        <row r="21719">
          <cell r="B21719" t="str">
            <v>51040502005166</v>
          </cell>
          <cell r="C21719" t="str">
            <v>MYP CAP. TRAB - PAGARE DIGITAL_CMIE DUPE4 C</v>
          </cell>
        </row>
        <row r="21720">
          <cell r="B21720" t="str">
            <v>51040502005167</v>
          </cell>
          <cell r="C21720" t="str">
            <v>JCC PRE.JUD INT GAN REACT PRE-HONRAM REP4 C</v>
          </cell>
        </row>
        <row r="21721">
          <cell r="B21721" t="str">
            <v>51040502005168</v>
          </cell>
          <cell r="C21721" t="str">
            <v>JCC PRE.JUD INT GAN REACT PRE-HONRAM REP4 C</v>
          </cell>
        </row>
        <row r="21722">
          <cell r="B21722" t="str">
            <v>51040502005169</v>
          </cell>
          <cell r="C21722" t="str">
            <v>JCC PRE.JUD INT GAN REACT PRE-HONRAM REP4 C</v>
          </cell>
        </row>
        <row r="21723">
          <cell r="B21723" t="str">
            <v>51040502005170</v>
          </cell>
          <cell r="C21723" t="str">
            <v>JCC PRE.JUD INT GAN REACT PRE-HONRAM REP4 C</v>
          </cell>
        </row>
        <row r="21724">
          <cell r="B21724" t="str">
            <v>51040502005171</v>
          </cell>
          <cell r="C21724" t="str">
            <v>JCC PRE.JUD INT GAN REACT PRE-HONRAM REP4 C</v>
          </cell>
        </row>
        <row r="21725">
          <cell r="B21725" t="str">
            <v>51040502005172</v>
          </cell>
          <cell r="C21725" t="str">
            <v>JCC PRE.JUD INT GAN REACT PRE-HONRAM REP4 C</v>
          </cell>
        </row>
        <row r="21726">
          <cell r="B21726" t="str">
            <v>51040502005173</v>
          </cell>
          <cell r="C21726" t="str">
            <v>JCC PRE.JUD INT GAN CRECER PRE-HONRAMIEN4 C</v>
          </cell>
        </row>
        <row r="21727">
          <cell r="B21727" t="str">
            <v>51040502005174</v>
          </cell>
          <cell r="C21727" t="str">
            <v>JCC PRE.JUD INT GAN CRECER PRE-HONRAMIEN4 C</v>
          </cell>
        </row>
        <row r="21728">
          <cell r="B21728" t="str">
            <v>51040502005175</v>
          </cell>
          <cell r="C21728" t="str">
            <v>JCC PRE.JUD INT GAN REACT PRE-HONRAM REP4 C</v>
          </cell>
        </row>
        <row r="21729">
          <cell r="B21729" t="str">
            <v>51040502005176</v>
          </cell>
          <cell r="C21729" t="str">
            <v>JCC PRE.JUD INT GAN REACT PRE-HONRAM REP4 C</v>
          </cell>
        </row>
        <row r="21730">
          <cell r="B21730" t="str">
            <v>51040502005177</v>
          </cell>
          <cell r="C21730" t="str">
            <v>JCC PRE.JUD INT GAN REACT PRE-HONRAM REP4 C</v>
          </cell>
        </row>
        <row r="21731">
          <cell r="B21731" t="str">
            <v>51040502005178</v>
          </cell>
          <cell r="C21731" t="str">
            <v>JCC PRE.JUD INT GAN REACT PRE-HONRAM REP4 C</v>
          </cell>
        </row>
        <row r="21732">
          <cell r="B21732" t="str">
            <v>51040502005179</v>
          </cell>
          <cell r="C21732" t="str">
            <v>JCC PRE.JUD INT GAN REACT PRE-HONRAM REP4 C</v>
          </cell>
        </row>
        <row r="21733">
          <cell r="B21733" t="str">
            <v>51040502005180</v>
          </cell>
          <cell r="C21733" t="str">
            <v>JCC PRE.JUD INT GAN REACT PRE-HONRAM REP4 C</v>
          </cell>
        </row>
        <row r="21734">
          <cell r="B21734" t="str">
            <v>51040502005181</v>
          </cell>
          <cell r="C21734" t="str">
            <v>JCC PRE.JUD INT GAN CRECER PRE-HONRAMIEN4 C</v>
          </cell>
        </row>
        <row r="21735">
          <cell r="B21735" t="str">
            <v>51040502005182</v>
          </cell>
          <cell r="C21735" t="str">
            <v>JCC PRE.JUD INT GAN CRECER PRE-HONRAMIEN4 C</v>
          </cell>
        </row>
        <row r="21736">
          <cell r="B21736" t="str">
            <v>51040502005183</v>
          </cell>
          <cell r="C21736" t="str">
            <v>MYP IMPULSO MYPERU VEN CMIE DUPE        4 C</v>
          </cell>
        </row>
        <row r="21737">
          <cell r="B21737" t="str">
            <v>51040502005184</v>
          </cell>
          <cell r="C21737" t="str">
            <v>MYP IMPULSO MYPERU VEN CMIE NORM        4 C</v>
          </cell>
        </row>
        <row r="21738">
          <cell r="B21738" t="str">
            <v>51040502005185</v>
          </cell>
          <cell r="C21738" t="str">
            <v>LPC INT VEN IMPULSO MYPERU CORTO PLAZO C4 C</v>
          </cell>
        </row>
        <row r="21739">
          <cell r="B21739" t="str">
            <v>51040502005186</v>
          </cell>
          <cell r="C21739" t="str">
            <v>LPC INT VEN IMPULSO MYPERU MEDIANO PLAZO4 C</v>
          </cell>
        </row>
        <row r="21740">
          <cell r="B21740" t="str">
            <v>51040502005187</v>
          </cell>
          <cell r="C21740" t="str">
            <v>TC INT VENCIDO REV VISA CMIE            4 C</v>
          </cell>
        </row>
        <row r="21741">
          <cell r="B21741" t="str">
            <v>51040502005188</v>
          </cell>
          <cell r="C21741" t="str">
            <v>MYP CAPITAL DE TRAB CIMA REU DIF INT VEN4 C</v>
          </cell>
        </row>
        <row r="21742">
          <cell r="B21742" t="str">
            <v>51040502005189</v>
          </cell>
          <cell r="C21742" t="str">
            <v>FCD FACT INTER EXPO VEN NORM CMIE       4NC</v>
          </cell>
        </row>
        <row r="21743">
          <cell r="B21743" t="str">
            <v>51040502005190</v>
          </cell>
          <cell r="C21743" t="str">
            <v>FCD FACT INTER EXPO VEN DUPE CMIE       4NC</v>
          </cell>
        </row>
        <row r="21744">
          <cell r="B21744" t="str">
            <v>51040502005191</v>
          </cell>
          <cell r="C21744" t="str">
            <v>MYP LINEA REVOLV CIMA INT GAN VEN NORM C4 C</v>
          </cell>
        </row>
        <row r="21745">
          <cell r="B21745" t="str">
            <v>51040502005192</v>
          </cell>
          <cell r="C21745" t="str">
            <v>MYP LINEA REVOLV CIMA INT GAN VEN DUPE C4 C</v>
          </cell>
        </row>
        <row r="21746">
          <cell r="B21746" t="str">
            <v>51040502005193</v>
          </cell>
          <cell r="C21746" t="str">
            <v>JCC MP PRE JUD INT.GAN IMPULSO MYPERU IB4 C</v>
          </cell>
        </row>
        <row r="21747">
          <cell r="B21747" t="str">
            <v>51040502005194</v>
          </cell>
          <cell r="C21747" t="str">
            <v>JCC BC PRE JUD INT IMPULSO MYPERU PRE-HO4 C</v>
          </cell>
        </row>
        <row r="21748">
          <cell r="B21748" t="str">
            <v>51040502005195</v>
          </cell>
          <cell r="C21748" t="str">
            <v>MYP CAP TRAB PER GRACIA PARCIAL INT VEN 4 C</v>
          </cell>
        </row>
        <row r="21749">
          <cell r="B21749" t="str">
            <v>51040502005196</v>
          </cell>
          <cell r="C21749" t="str">
            <v>MYP CAP TRAB PER GRACIA PARCIAL INT VEN 4 C</v>
          </cell>
        </row>
        <row r="21750">
          <cell r="B21750" t="str">
            <v>51040502005197</v>
          </cell>
          <cell r="C21750" t="str">
            <v>MYP REPROG PERIODO GRACIA PARCIAL VEN CM4 C</v>
          </cell>
        </row>
        <row r="21751">
          <cell r="B21751" t="str">
            <v>51040502005198</v>
          </cell>
          <cell r="C21751" t="str">
            <v>MYP REPROG PERIODO GRACIA PARCIAL VEN CM4 C</v>
          </cell>
        </row>
        <row r="21752">
          <cell r="B21752" t="str">
            <v>51040502005199</v>
          </cell>
          <cell r="C21752" t="str">
            <v>JCC MP PRE JUD IMPLUSO MYPERU HONRADO IB4 C</v>
          </cell>
        </row>
        <row r="21753">
          <cell r="B21753" t="str">
            <v>51040502005200</v>
          </cell>
          <cell r="C21753" t="str">
            <v>CCD-BPE CAPITAL DE TRABAJO_CMIE VEN NORM4 C</v>
          </cell>
        </row>
        <row r="21754">
          <cell r="B21754" t="str">
            <v>51040502005201</v>
          </cell>
          <cell r="C21754" t="str">
            <v>CCD-BPE CAPITAL DE TRABAJO_CMIE VEN DUPE4 C</v>
          </cell>
        </row>
        <row r="21755">
          <cell r="B21755" t="str">
            <v>51040502005202</v>
          </cell>
          <cell r="C21755" t="str">
            <v>CCD-BPE LINEA REVOLVENTE_CMIE VEN ING   4 C</v>
          </cell>
        </row>
        <row r="21756">
          <cell r="B21756" t="str">
            <v>51040502005203</v>
          </cell>
          <cell r="C21756" t="str">
            <v>CCD-BPE LINEA REVOLVENTE_CMIE VEN ING   4 C</v>
          </cell>
        </row>
        <row r="21757">
          <cell r="B21757" t="str">
            <v>51040502005204</v>
          </cell>
          <cell r="C21757" t="str">
            <v>CCD-BPE REFINANCIADO_CMIE VEN ING       4 C</v>
          </cell>
        </row>
        <row r="21758">
          <cell r="B21758" t="str">
            <v>51040502005205</v>
          </cell>
          <cell r="C21758" t="str">
            <v>JCC CCD PREJUD CAPITAL DE TRABAJO ING CM4 C</v>
          </cell>
        </row>
        <row r="21759">
          <cell r="B21759" t="str">
            <v>51040502005206</v>
          </cell>
          <cell r="C21759" t="str">
            <v>CCD-BPE CAP DE TRAB REPROG_CMIE VEN NORM4 C</v>
          </cell>
        </row>
        <row r="21760">
          <cell r="B21760" t="str">
            <v>51040502005207</v>
          </cell>
          <cell r="C21760" t="str">
            <v>CCD-BPE CAP DE TRAB REPROG_CMIE VEN DUPE4 C</v>
          </cell>
        </row>
        <row r="21761">
          <cell r="B21761" t="str">
            <v>51040502005208</v>
          </cell>
          <cell r="C21761" t="str">
            <v>CCD-BPE CAP DE TRAB_CMIE_VEN            4 C</v>
          </cell>
        </row>
        <row r="21762">
          <cell r="B21762" t="str">
            <v>51040503000201</v>
          </cell>
          <cell r="C21762" t="str">
            <v>INT VENC TC CONSUMO                     4NC</v>
          </cell>
        </row>
        <row r="21763">
          <cell r="B21763" t="str">
            <v>51040503000202</v>
          </cell>
          <cell r="C21763" t="str">
            <v>INT VENC TC CONSUMO WONG VISA           4NC</v>
          </cell>
        </row>
        <row r="21764">
          <cell r="B21764" t="str">
            <v>51040503000203</v>
          </cell>
          <cell r="C21764" t="str">
            <v>INT VENC TC CONSUMO AMEX                4NC</v>
          </cell>
        </row>
        <row r="21765">
          <cell r="B21765" t="str">
            <v>51040503000206</v>
          </cell>
          <cell r="C21765" t="str">
            <v>BL INT VENC TC CONSUMO MC               4NC</v>
          </cell>
        </row>
        <row r="21766">
          <cell r="B21766" t="str">
            <v>51040503000208</v>
          </cell>
          <cell r="C21766" t="str">
            <v>INT VENC TC CONSUMO AVAL                4NC</v>
          </cell>
        </row>
        <row r="21767">
          <cell r="B21767" t="str">
            <v>51040503000210</v>
          </cell>
          <cell r="C21767" t="str">
            <v>INT VENC TC MEGAPLAZA                   4NC</v>
          </cell>
        </row>
        <row r="21768">
          <cell r="B21768" t="str">
            <v>51040503000211</v>
          </cell>
          <cell r="C21768" t="str">
            <v>INT VENCIDOS TC VALIDA CERRADA          4NC</v>
          </cell>
        </row>
        <row r="21769">
          <cell r="B21769" t="str">
            <v>51040503000212</v>
          </cell>
          <cell r="C21769" t="str">
            <v>INT VENCIDOS TC VALIDA IB VISA          4NC</v>
          </cell>
        </row>
        <row r="21770">
          <cell r="B21770" t="str">
            <v>51040503000215</v>
          </cell>
          <cell r="C21770" t="str">
            <v>CL PRE.JUD.TAR.CRE.VISA INT.GAN         4NC</v>
          </cell>
        </row>
        <row r="21771">
          <cell r="B21771" t="str">
            <v>51040503000216</v>
          </cell>
          <cell r="C21771" t="str">
            <v>CL PRE JUD INT.GAN TC AMEX PN VENC GL7004NC</v>
          </cell>
        </row>
        <row r="21772">
          <cell r="B21772" t="str">
            <v>51040503000217</v>
          </cell>
          <cell r="C21772" t="str">
            <v>CL PRE JUD INT GAN TC MASTER PN VENC    4NC</v>
          </cell>
        </row>
        <row r="21773">
          <cell r="B21773" t="str">
            <v>51040503000218</v>
          </cell>
          <cell r="C21773" t="str">
            <v>HPC  REF GAN.INT.VENC. EFEC C/GAR       4NC</v>
          </cell>
        </row>
        <row r="21774">
          <cell r="B21774" t="str">
            <v>51040503000219</v>
          </cell>
          <cell r="C21774" t="str">
            <v>HPC  REF GAN.INT.VENC. PREST.PERS       4NC</v>
          </cell>
        </row>
        <row r="21775">
          <cell r="B21775" t="str">
            <v>51040503000220</v>
          </cell>
          <cell r="C21775" t="str">
            <v>HPC INT.GAN. VENC EFEC C/GARANT.H       4NC</v>
          </cell>
        </row>
        <row r="21776">
          <cell r="B21776" t="str">
            <v>51040503000221</v>
          </cell>
          <cell r="C21776" t="str">
            <v>HPC D/P INT.GAN. VENC EFEC C/GARA       4NC</v>
          </cell>
        </row>
        <row r="21777">
          <cell r="B21777" t="str">
            <v>51040503000222</v>
          </cell>
          <cell r="C21777" t="str">
            <v>HPC INT.GAN. VENC .PRESTAMO PERSO       4NC</v>
          </cell>
        </row>
        <row r="21778">
          <cell r="B21778" t="str">
            <v>51040503000223</v>
          </cell>
          <cell r="C21778" t="str">
            <v>HPC D/P INT.GAN. VENC .PRESTAMO P       4NC</v>
          </cell>
        </row>
        <row r="21779">
          <cell r="B21779" t="str">
            <v>51040503000226</v>
          </cell>
          <cell r="C21779" t="str">
            <v>HPC INT.MORATORIO .EFECT                4NC</v>
          </cell>
        </row>
        <row r="21780">
          <cell r="B21780" t="str">
            <v>51040503000227</v>
          </cell>
          <cell r="C21780" t="str">
            <v>HPC.REF. INT.MORATORIO .EFECT           4NC</v>
          </cell>
        </row>
        <row r="21781">
          <cell r="B21781" t="str">
            <v>51040503000228</v>
          </cell>
          <cell r="C21781" t="str">
            <v>HPC INT.MORATORIO .EFEC..FINAN.PROV.REFI4NC</v>
          </cell>
        </row>
        <row r="21782">
          <cell r="B21782" t="str">
            <v>51040503000229</v>
          </cell>
          <cell r="C21782" t="str">
            <v>HPC D/P GAN.INT.VENC. EFEC C/GARANT     4NC</v>
          </cell>
        </row>
        <row r="21783">
          <cell r="B21783" t="str">
            <v>51040503000230</v>
          </cell>
          <cell r="C21783" t="str">
            <v>HPC INT.GAN. VENC EFEC C/GARANT. HIP    4NC</v>
          </cell>
        </row>
        <row r="21784">
          <cell r="B21784" t="str">
            <v>51040503000231</v>
          </cell>
          <cell r="C21784" t="str">
            <v>HPC INT.GAN. VENC EFEC REGULAR          4NC</v>
          </cell>
        </row>
        <row r="21785">
          <cell r="B21785" t="str">
            <v>51040503000232</v>
          </cell>
          <cell r="C21785" t="str">
            <v>HPC D/P GAN.INT.VENC. EFEC REGUL        4NC</v>
          </cell>
        </row>
        <row r="21786">
          <cell r="B21786" t="str">
            <v>51040503000233</v>
          </cell>
          <cell r="C21786" t="str">
            <v>HPC INT.VENC REFINANC EFECT/VEHIC       4NC</v>
          </cell>
        </row>
        <row r="21787">
          <cell r="B21787" t="str">
            <v>51040503000234</v>
          </cell>
          <cell r="C21787" t="str">
            <v>HPC REFIN TC IB PN  GANAD. INT VENC     4NC</v>
          </cell>
        </row>
        <row r="21788">
          <cell r="B21788" t="str">
            <v>51040503000235</v>
          </cell>
          <cell r="C21788" t="str">
            <v>HPC INT.GAN.VENC CRED EFECTIVO          4NC</v>
          </cell>
        </row>
        <row r="21789">
          <cell r="B21789" t="str">
            <v>51040503000236</v>
          </cell>
          <cell r="C21789" t="str">
            <v>HPC INT.GAN.VENC CRED VEHIC             4NC</v>
          </cell>
        </row>
        <row r="21790">
          <cell r="B21790" t="str">
            <v>51040503000237</v>
          </cell>
          <cell r="C21790" t="str">
            <v>HPC D/P GAN.INT.VENC.EFECTIVO           4NC</v>
          </cell>
        </row>
        <row r="21791">
          <cell r="B21791" t="str">
            <v>51040503000238</v>
          </cell>
          <cell r="C21791" t="str">
            <v>HPC D/P GAN.INT.VENC.VEHICULAR          4NC</v>
          </cell>
        </row>
        <row r="21792">
          <cell r="B21792" t="str">
            <v>51040503000239</v>
          </cell>
          <cell r="C21792" t="str">
            <v>TC INT VENCIDO VISA MEGAPLAZA CCRV      4NC</v>
          </cell>
        </row>
        <row r="21793">
          <cell r="B21793" t="str">
            <v>51040503000240</v>
          </cell>
          <cell r="C21793" t="str">
            <v>TC INT VENCIDO VISA VEA CCRV            4NC</v>
          </cell>
        </row>
        <row r="21794">
          <cell r="B21794" t="str">
            <v>51040503000241</v>
          </cell>
          <cell r="C21794" t="str">
            <v>JCC PRE JUD INT GAN EX CONV IC VENC GL704NC</v>
          </cell>
        </row>
        <row r="21795">
          <cell r="B21795" t="str">
            <v>51040503000242</v>
          </cell>
          <cell r="C21795" t="str">
            <v>JCC PRE.JUD.TAR.CRE.VISA INT.GAN.REF    4NC</v>
          </cell>
        </row>
        <row r="21796">
          <cell r="B21796" t="str">
            <v>51040503000243</v>
          </cell>
          <cell r="C21796" t="str">
            <v>JCC PRE JUD INT GAN REFIN IC VENC GL70034NC</v>
          </cell>
        </row>
        <row r="21797">
          <cell r="B21797" t="str">
            <v>51040503000244</v>
          </cell>
          <cell r="C21797" t="str">
            <v>JCC PREJUD GAN CONS REV ADEL SUELDO     4NC</v>
          </cell>
        </row>
        <row r="21798">
          <cell r="B21798" t="str">
            <v>51040503000245</v>
          </cell>
          <cell r="C21798" t="str">
            <v>JCC PRE JUD INT GAN TC MASTER PN VENC   4NC</v>
          </cell>
        </row>
        <row r="21799">
          <cell r="B21799" t="str">
            <v>51040503000246</v>
          </cell>
          <cell r="C21799" t="str">
            <v>JCC INT.GAN VEN PREJUD PREFE CCNR       4NC</v>
          </cell>
        </row>
        <row r="21800">
          <cell r="B21800" t="str">
            <v>51040503000247</v>
          </cell>
          <cell r="C21800" t="str">
            <v>JCC PRE JUD INT GAN TC MASTER PN VENC   4NC</v>
          </cell>
        </row>
        <row r="21801">
          <cell r="B21801" t="str">
            <v>51040503000248</v>
          </cell>
          <cell r="C21801" t="str">
            <v>JCC PRE JUD INT GAN.SOBR C.CTE.PN VENC G4NC</v>
          </cell>
        </row>
        <row r="21802">
          <cell r="B21802" t="str">
            <v>51040503000249</v>
          </cell>
          <cell r="C21802" t="str">
            <v>JCC PRE JUD PREST EFEC GTIA HIPOT INT GA4NC</v>
          </cell>
        </row>
        <row r="21803">
          <cell r="B21803" t="str">
            <v>51040503000250</v>
          </cell>
          <cell r="C21803" t="str">
            <v>JCC PRE.JUD.TAR.CRE.VISA INT.GAN        4NC</v>
          </cell>
        </row>
        <row r="21804">
          <cell r="B21804" t="str">
            <v>51040503000251</v>
          </cell>
          <cell r="C21804" t="str">
            <v>JCC PRE JUD INT.GAN TC AMEX PN VENC GL704NC</v>
          </cell>
        </row>
        <row r="21805">
          <cell r="B21805" t="str">
            <v>51040503000252</v>
          </cell>
          <cell r="C21805" t="str">
            <v>JCC PRE JUD INT.GAN TC AMEX PN VENC GL704NC</v>
          </cell>
        </row>
        <row r="21806">
          <cell r="B21806" t="str">
            <v>51040503000254</v>
          </cell>
          <cell r="C21806" t="str">
            <v>JCC INT .MORATORIO CONSUMO.CCNR         4NC</v>
          </cell>
        </row>
        <row r="21807">
          <cell r="B21807" t="str">
            <v>51040503000255</v>
          </cell>
          <cell r="C21807" t="str">
            <v>JCC INT .MORATORIO CONSUMO CCRV         4NC</v>
          </cell>
        </row>
        <row r="21808">
          <cell r="B21808" t="str">
            <v>51040503000256</v>
          </cell>
          <cell r="C21808" t="str">
            <v>JCC PRE JUD INT GAN.CONVENIO NO REV.CNG 4NC</v>
          </cell>
        </row>
        <row r="21809">
          <cell r="B21809" t="str">
            <v>51040503000257</v>
          </cell>
          <cell r="C21809" t="str">
            <v>JCC PRE JUD INT GAN REFIN CONV.NO REV.CN4NC</v>
          </cell>
        </row>
        <row r="21810">
          <cell r="B21810" t="str">
            <v>51040503000258</v>
          </cell>
          <cell r="C21810" t="str">
            <v>JCC PRE.JUD TC PN INT.GAN               4NC</v>
          </cell>
        </row>
        <row r="21811">
          <cell r="B21811" t="str">
            <v>51040503000259</v>
          </cell>
          <cell r="C21811" t="str">
            <v>HPC INT.GAN. VENC TC FINAN.PROV.REFIN   4NC</v>
          </cell>
        </row>
        <row r="21812">
          <cell r="B21812" t="str">
            <v>51040503000301</v>
          </cell>
          <cell r="C21812" t="str">
            <v>LIC INT GAN CONV NO REVOLV VENCIDO      4NC</v>
          </cell>
        </row>
        <row r="21813">
          <cell r="B21813" t="str">
            <v>51040503000302</v>
          </cell>
          <cell r="C21813" t="str">
            <v>LIC DP INT GAN CONV NRV OBC VEN         4NC</v>
          </cell>
        </row>
        <row r="21814">
          <cell r="B21814" t="str">
            <v>51040503000303</v>
          </cell>
          <cell r="C21814" t="str">
            <v>LIC INT GAN PREF NRV OT BAJ C NE VENC   4NC</v>
          </cell>
        </row>
        <row r="21815">
          <cell r="B21815" t="str">
            <v>51040503000304</v>
          </cell>
          <cell r="C21815" t="str">
            <v>LIC DP INT GAN PREF NRV OT BAJ C NE VENC4NC</v>
          </cell>
        </row>
        <row r="21816">
          <cell r="B21816" t="str">
            <v>51040503000373</v>
          </cell>
          <cell r="C21816" t="str">
            <v>HPC DP INT.GAN. VENC TC FINAN.PROV.REFIN4NC</v>
          </cell>
        </row>
        <row r="21817">
          <cell r="B21817" t="str">
            <v>51040503000374</v>
          </cell>
          <cell r="C21817" t="str">
            <v>HPC  INT.GAN. VENC CRED EFECT FINAN.PROV4NC</v>
          </cell>
        </row>
        <row r="21818">
          <cell r="B21818" t="str">
            <v>51040503000375</v>
          </cell>
          <cell r="C21818" t="str">
            <v>HPC DP INT.GAN. VENC CRED EFECT FINAN.PR4NC</v>
          </cell>
        </row>
        <row r="21819">
          <cell r="B21819" t="str">
            <v>51040503000376</v>
          </cell>
          <cell r="C21819" t="str">
            <v>HPC  INT.GAN. VENC CRED VEHIC FINAN.PROV4NC</v>
          </cell>
        </row>
        <row r="21820">
          <cell r="B21820" t="str">
            <v>51040503000377</v>
          </cell>
          <cell r="C21820" t="str">
            <v>HPC DP INT.GAN. VENC CRED VEHIC FINAN.PR4NC</v>
          </cell>
        </row>
        <row r="21821">
          <cell r="B21821" t="str">
            <v>51040503000378</v>
          </cell>
          <cell r="C21821" t="str">
            <v>HPC INT.GAN. VENC LIC CONVENIO PROV.REFI4NC</v>
          </cell>
        </row>
        <row r="21822">
          <cell r="B21822" t="str">
            <v>51040503000379</v>
          </cell>
          <cell r="C21822" t="str">
            <v>HPC DP INT.GAN. VENC LIC CONVENIO PROV.R4NC</v>
          </cell>
        </row>
        <row r="21823">
          <cell r="B21823" t="str">
            <v>51040503000380</v>
          </cell>
          <cell r="C21823" t="str">
            <v>HPC INT.GAN. VENC CRED PREF CONV PROV.RE4NC</v>
          </cell>
        </row>
        <row r="21824">
          <cell r="B21824" t="str">
            <v>51040503000381</v>
          </cell>
          <cell r="C21824" t="str">
            <v>HPC DP INT.GAN. VENC CRED PREF CONV PROV4NC</v>
          </cell>
        </row>
        <row r="21825">
          <cell r="B21825" t="str">
            <v>51040503000382</v>
          </cell>
          <cell r="C21825" t="str">
            <v>HPC INT.GAN.VENC CRED VEHI PROV REF     4NC</v>
          </cell>
        </row>
        <row r="21826">
          <cell r="B21826" t="str">
            <v>51040503000383</v>
          </cell>
          <cell r="C21826" t="str">
            <v>HPC D/P GAN.INT.VENC.VEH PROV REF       4NC</v>
          </cell>
        </row>
        <row r="21827">
          <cell r="B21827" t="str">
            <v>51040503000402</v>
          </cell>
          <cell r="C21827" t="str">
            <v>CL PRE JUD INT GAN.SOBR C.CTE.PN VENC GL4NC</v>
          </cell>
        </row>
        <row r="21828">
          <cell r="B21828" t="str">
            <v>51040503000501</v>
          </cell>
          <cell r="C21828" t="str">
            <v>JCC PRE JUD INT GAN CRED EFECT VENCGL7004NC</v>
          </cell>
        </row>
        <row r="21829">
          <cell r="B21829" t="str">
            <v>51040503000502</v>
          </cell>
          <cell r="C21829" t="str">
            <v>JCC PRE.JUD.CRED.VEHIC. INT.GAN         4NC</v>
          </cell>
        </row>
        <row r="21830">
          <cell r="B21830" t="str">
            <v>51040503000602</v>
          </cell>
          <cell r="C21830" t="str">
            <v>IC INT GAN CRED PERS EFECT VENC         4NC</v>
          </cell>
        </row>
        <row r="21831">
          <cell r="B21831" t="str">
            <v>51040503000603</v>
          </cell>
          <cell r="C21831" t="str">
            <v>IC INT VENC CRED VEHICULAR              4NC</v>
          </cell>
        </row>
        <row r="21832">
          <cell r="B21832" t="str">
            <v>51040503000604</v>
          </cell>
          <cell r="C21832" t="str">
            <v>IC INT GAN VENC CRED CONVENIO           4NC</v>
          </cell>
        </row>
        <row r="21833">
          <cell r="B21833" t="str">
            <v>51040503000612</v>
          </cell>
          <cell r="C21833" t="str">
            <v>LIC INT GAN CREDXCONVENIO VEN           4NC</v>
          </cell>
        </row>
        <row r="21834">
          <cell r="B21834" t="str">
            <v>51040503000613</v>
          </cell>
          <cell r="C21834" t="str">
            <v>LIC INT GAN CREDXCONVENIO D/P VEN       4NC</v>
          </cell>
        </row>
        <row r="21835">
          <cell r="B21835" t="str">
            <v>51040503000618</v>
          </cell>
          <cell r="C21835" t="str">
            <v>CL PRE JUD INT GAN CRED EFECT VENCGL70034NC</v>
          </cell>
        </row>
        <row r="21836">
          <cell r="B21836" t="str">
            <v>51040503000620</v>
          </cell>
          <cell r="C21836" t="str">
            <v>CL PRE.JUD.CRED.VEHIC. INT.GAN          4NC</v>
          </cell>
        </row>
        <row r="21837">
          <cell r="B21837" t="str">
            <v>51040503000621</v>
          </cell>
          <cell r="C21837" t="str">
            <v>CL PRE JUD INT GAN EX CONV IC VENC GL7004NC</v>
          </cell>
        </row>
        <row r="21838">
          <cell r="B21838" t="str">
            <v>51040503000627</v>
          </cell>
          <cell r="C21838" t="str">
            <v>IC REF CONV PREST RV GAN. INT VENC      4NC</v>
          </cell>
        </row>
        <row r="21839">
          <cell r="B21839" t="str">
            <v>51040503000637</v>
          </cell>
          <cell r="C21839" t="str">
            <v>$CL PRE JUD PREST EFEC GTIA HIPOT INT GA4NC</v>
          </cell>
        </row>
        <row r="21840">
          <cell r="B21840" t="str">
            <v>51040503000638</v>
          </cell>
          <cell r="C21840" t="str">
            <v>$CL PREJUD GAN CONS REV ADEL SUELDO     4NC</v>
          </cell>
        </row>
        <row r="21841">
          <cell r="B21841" t="str">
            <v>51040503000639</v>
          </cell>
          <cell r="C21841" t="str">
            <v>$CL PREJUD GAN CONS REV PREFERENTE      4NC</v>
          </cell>
        </row>
        <row r="21842">
          <cell r="B21842" t="str">
            <v>51040503000640</v>
          </cell>
          <cell r="C21842" t="str">
            <v>CL INT.GAN VEN PREJUD PREFE CCNR        4NC</v>
          </cell>
        </row>
        <row r="21843">
          <cell r="B21843" t="str">
            <v>51040503000641</v>
          </cell>
          <cell r="C21843" t="str">
            <v>CL PRE JUD INT GAN.CONVENIO NO REV.CNG  4NC</v>
          </cell>
        </row>
        <row r="21844">
          <cell r="B21844" t="str">
            <v>51040503000642</v>
          </cell>
          <cell r="C21844" t="str">
            <v>CL PRE JUD INT GAN REFIN CONV.NO REV.CNG4NC</v>
          </cell>
        </row>
        <row r="21845">
          <cell r="B21845" t="str">
            <v>51040503000643</v>
          </cell>
          <cell r="C21845" t="str">
            <v>CL PRE JUD INT GAN EX CONV  VENC CCRV   4NC</v>
          </cell>
        </row>
        <row r="21846">
          <cell r="B21846" t="str">
            <v>51040503000644</v>
          </cell>
          <cell r="C21846" t="str">
            <v>CL PREJUD GAN CONS N REV ADEL SUELDO CCN4NC</v>
          </cell>
        </row>
        <row r="21847">
          <cell r="B21847" t="str">
            <v>51040503000645</v>
          </cell>
          <cell r="C21847" t="str">
            <v>CL COBJUD GAN CRED CONS PREFERENTE CCNR 4NC</v>
          </cell>
        </row>
        <row r="21848">
          <cell r="B21848" t="str">
            <v>51040503000701</v>
          </cell>
          <cell r="C21848" t="str">
            <v>HPC INT.GAN.VENC CRED EFECTIVO          4NC</v>
          </cell>
        </row>
        <row r="21849">
          <cell r="B21849" t="str">
            <v>51040503000702</v>
          </cell>
          <cell r="C21849" t="str">
            <v>HPC INT.GAN.VENC CRED VEHIC             4NC</v>
          </cell>
        </row>
        <row r="21850">
          <cell r="B21850" t="str">
            <v>51040503000703</v>
          </cell>
          <cell r="C21850" t="str">
            <v>HPC D/P GAN.INT.VENC.EFECTIVO           4NC</v>
          </cell>
        </row>
        <row r="21851">
          <cell r="B21851" t="str">
            <v>51040503000704</v>
          </cell>
          <cell r="C21851" t="str">
            <v>HPC D/P GAN.INT.VENC.VEHICULAR          4NC</v>
          </cell>
        </row>
        <row r="21852">
          <cell r="B21852" t="str">
            <v>51040503000705</v>
          </cell>
          <cell r="C21852" t="str">
            <v>HPC CCNR REFIN GANAD. INT VENC          4NC</v>
          </cell>
        </row>
        <row r="21853">
          <cell r="B21853" t="str">
            <v>51040503000802</v>
          </cell>
          <cell r="C21853" t="str">
            <v>TC INT VENCIDO AMEX CCRV                4NC</v>
          </cell>
        </row>
        <row r="21854">
          <cell r="B21854" t="str">
            <v>51040503000803</v>
          </cell>
          <cell r="C21854" t="str">
            <v>TC INT VENCIDO MC CCRV                  4NC</v>
          </cell>
        </row>
        <row r="21855">
          <cell r="B21855" t="str">
            <v>51040503000804</v>
          </cell>
          <cell r="C21855" t="str">
            <v>TC INT VENCIDO VISA CCRV                4NC</v>
          </cell>
        </row>
        <row r="21856">
          <cell r="B21856" t="str">
            <v>51040503001711</v>
          </cell>
          <cell r="C21856" t="str">
            <v>TC DIEF INT VENCIDO AMEX CCRV           4NC</v>
          </cell>
        </row>
        <row r="21857">
          <cell r="B21857" t="str">
            <v>51040503001712</v>
          </cell>
          <cell r="C21857" t="str">
            <v>TC DIEF INT VENCIDO VISA CCRV           4NC</v>
          </cell>
        </row>
        <row r="21858">
          <cell r="B21858" t="str">
            <v>51040503001713</v>
          </cell>
          <cell r="C21858" t="str">
            <v>TC DIEF INT VENCIDO VISA MEGAPLAZA CCRV 4NC</v>
          </cell>
        </row>
        <row r="21859">
          <cell r="B21859" t="str">
            <v>51040503001714</v>
          </cell>
          <cell r="C21859" t="str">
            <v>TC DIEF INT VENCIDO VISA VEA CCRV       4NC</v>
          </cell>
        </row>
        <row r="21860">
          <cell r="B21860" t="str">
            <v>51040503001715</v>
          </cell>
          <cell r="C21860" t="str">
            <v>TC DIEF INT VENCIDO MC CCRV             4NC</v>
          </cell>
        </row>
        <row r="21861">
          <cell r="B21861" t="str">
            <v>51040503001721</v>
          </cell>
          <cell r="C21861" t="str">
            <v>TC DIEF INT REV VENCIDO AMEX CCRV       4NC</v>
          </cell>
        </row>
        <row r="21862">
          <cell r="B21862" t="str">
            <v>51040503001722</v>
          </cell>
          <cell r="C21862" t="str">
            <v>TC DIEF INT REV VENCIDO VISA CCRV       4NC</v>
          </cell>
        </row>
        <row r="21863">
          <cell r="B21863" t="str">
            <v>51040503001723</v>
          </cell>
          <cell r="C21863" t="str">
            <v>TC DIEF INT REV VENCIDO VISA MEGAPLAZA C4NC</v>
          </cell>
        </row>
        <row r="21864">
          <cell r="B21864" t="str">
            <v>51040503001724</v>
          </cell>
          <cell r="C21864" t="str">
            <v>TC DIEF INT REV VENCIDO VISA VEA CCRV   4NC</v>
          </cell>
        </row>
        <row r="21865">
          <cell r="B21865" t="str">
            <v>51040503001725</v>
          </cell>
          <cell r="C21865" t="str">
            <v>TC DIEF INT REV VENCIDO MC CCRV         4NC</v>
          </cell>
        </row>
        <row r="21866">
          <cell r="B21866" t="str">
            <v>51040503001901</v>
          </cell>
          <cell r="C21866" t="str">
            <v>CL PRE JUD INT GAN REFIN IC VENC GL7003 4NC</v>
          </cell>
        </row>
        <row r="21867">
          <cell r="B21867" t="str">
            <v>51040503001902</v>
          </cell>
          <cell r="C21867" t="str">
            <v>IC REF TC IB PN GANAD. INT VENC         4NC</v>
          </cell>
        </row>
        <row r="21868">
          <cell r="B21868" t="str">
            <v>51040503002903</v>
          </cell>
          <cell r="C21868" t="str">
            <v>IC INT MORATORIO CONVENIO               4NC</v>
          </cell>
        </row>
        <row r="21869">
          <cell r="B21869" t="str">
            <v>51040503002904</v>
          </cell>
          <cell r="C21869" t="str">
            <v>IC INT MORATORIO                        4NC</v>
          </cell>
        </row>
        <row r="21870">
          <cell r="B21870" t="str">
            <v>51040503002907</v>
          </cell>
          <cell r="C21870" t="str">
            <v>LIC INT MORATORIO CREDXCONVENIO         4NC</v>
          </cell>
        </row>
        <row r="21871">
          <cell r="B21871" t="str">
            <v>51040503002912</v>
          </cell>
          <cell r="C21871" t="str">
            <v>LIC INT GAN CREDXCONV PREF VENCIDO      4NC</v>
          </cell>
        </row>
        <row r="21872">
          <cell r="B21872" t="str">
            <v>51040503002913</v>
          </cell>
          <cell r="C21872" t="str">
            <v>LIC DP INT GAN CREDXCONV PREF V         4NC</v>
          </cell>
        </row>
        <row r="21873">
          <cell r="B21873" t="str">
            <v>51040503003101</v>
          </cell>
          <cell r="C21873" t="str">
            <v>INT MORATORIO CONSUMO                   4NC</v>
          </cell>
        </row>
        <row r="21874">
          <cell r="B21874" t="str">
            <v>51040503003102</v>
          </cell>
          <cell r="C21874" t="str">
            <v>CL INT MORATORIO CONSUMO                4NC</v>
          </cell>
        </row>
        <row r="21875">
          <cell r="B21875" t="str">
            <v>51040503003103</v>
          </cell>
          <cell r="C21875" t="str">
            <v>BTC INT VENCIDO VISA CCRV               4NC</v>
          </cell>
        </row>
        <row r="21876">
          <cell r="B21876" t="str">
            <v>51040503003104</v>
          </cell>
          <cell r="C21876" t="str">
            <v>HPC INT.VIG REFINANC VEHICULAR          4NC</v>
          </cell>
        </row>
        <row r="21877">
          <cell r="B21877" t="str">
            <v>51040503003105</v>
          </cell>
          <cell r="C21877" t="str">
            <v>JCC BTC PRE JUD RAPPIBANK               4 C</v>
          </cell>
        </row>
        <row r="21878">
          <cell r="B21878" t="str">
            <v>51040503003106</v>
          </cell>
          <cell r="C21878" t="str">
            <v>HPC INT.GAN.VIGÂ  CONV PRIVADO VEN      4NC</v>
          </cell>
        </row>
        <row r="21879">
          <cell r="B21879" t="str">
            <v>51040503003107</v>
          </cell>
          <cell r="C21879" t="str">
            <v>HPC MICROPRESTAMOS ING VEN NORM         4 C</v>
          </cell>
        </row>
        <row r="21880">
          <cell r="B21880" t="str">
            <v>51040503003108</v>
          </cell>
          <cell r="C21880" t="str">
            <v>HPC MICROPRESTAMOS ING VEN DUPE         4 C</v>
          </cell>
        </row>
        <row r="21881">
          <cell r="B21881" t="str">
            <v>51040503003109</v>
          </cell>
          <cell r="C21881" t="str">
            <v>HPC MICROPRESTAMOS ING MORA             4 C</v>
          </cell>
        </row>
        <row r="21882">
          <cell r="B21882" t="str">
            <v>51040503003110</v>
          </cell>
          <cell r="C21882" t="str">
            <v>HPC INT.GAN.VIGÂ  CONV PRIVADO VEN GRUPO4 C</v>
          </cell>
        </row>
        <row r="21883">
          <cell r="B21883" t="str">
            <v>51040503003111</v>
          </cell>
          <cell r="C21883" t="str">
            <v>TC INT VENCIDO REV VISA VEA CCRV        4NC</v>
          </cell>
        </row>
        <row r="21884">
          <cell r="B21884" t="str">
            <v>51040503003112</v>
          </cell>
          <cell r="C21884" t="str">
            <v>TC INT VENCIDO  REV AMEX CCRV           4NC</v>
          </cell>
        </row>
        <row r="21885">
          <cell r="B21885" t="str">
            <v>51040503003113</v>
          </cell>
          <cell r="C21885" t="str">
            <v>TC INT VENCIDO REV VISA CCRV            4NC</v>
          </cell>
        </row>
        <row r="21886">
          <cell r="B21886" t="str">
            <v>51040504000606</v>
          </cell>
          <cell r="C21886" t="str">
            <v>CL PRE JUD INT.GAN CRED HIP IC VENC GL704NC</v>
          </cell>
        </row>
        <row r="21887">
          <cell r="B21887" t="str">
            <v>51040504000611</v>
          </cell>
          <cell r="C21887" t="str">
            <v>HPC INT.GAN. VENC HIPOT.RP              4NC</v>
          </cell>
        </row>
        <row r="21888">
          <cell r="B21888" t="str">
            <v>51040504000612</v>
          </cell>
          <cell r="C21888" t="str">
            <v>HPC D/P GAN.INT.VENC.HIPOT.RP           4NC</v>
          </cell>
        </row>
        <row r="21889">
          <cell r="B21889" t="str">
            <v>51040504000613</v>
          </cell>
          <cell r="C21889" t="str">
            <v>HPC INT.MORATORIO HIPOT.                4NC</v>
          </cell>
        </row>
        <row r="21890">
          <cell r="B21890" t="str">
            <v>51040504000614</v>
          </cell>
          <cell r="C21890" t="str">
            <v>HPC INT.GAN. VENC HIP. RP. BONOS        4NC</v>
          </cell>
        </row>
        <row r="21891">
          <cell r="B21891" t="str">
            <v>51040504000615</v>
          </cell>
          <cell r="C21891" t="str">
            <v>HPC D/P GAN.INT.VENC.HIP. RP. BO        4NC</v>
          </cell>
        </row>
        <row r="21892">
          <cell r="B21892" t="str">
            <v>51040504000618</v>
          </cell>
          <cell r="C21892" t="str">
            <v>HPC INT.GAN. VENC EFEC REGULAR.         4NC</v>
          </cell>
        </row>
        <row r="21893">
          <cell r="B21893" t="str">
            <v>51040504000619</v>
          </cell>
          <cell r="C21893" t="str">
            <v>HPC D/P GAN.INT.VENC. EFEC REGULA       4NC</v>
          </cell>
        </row>
        <row r="21894">
          <cell r="B21894" t="str">
            <v>51040504000620</v>
          </cell>
          <cell r="C21894" t="str">
            <v>CL BT PJUD HIP.MIVI.INT.GAN COF         4NC</v>
          </cell>
        </row>
        <row r="21895">
          <cell r="B21895" t="str">
            <v>51040504000621</v>
          </cell>
          <cell r="C21895" t="str">
            <v>HPC REF INT.GAN. VENC HIPOT.TRAD        4NC</v>
          </cell>
        </row>
        <row r="21896">
          <cell r="B21896" t="str">
            <v>51040504000622</v>
          </cell>
          <cell r="C21896" t="str">
            <v>HPC REF INT.GAN. VENC HIP  ADJUDI       4NC</v>
          </cell>
        </row>
        <row r="21897">
          <cell r="B21897" t="str">
            <v>51040504000624</v>
          </cell>
          <cell r="C21897" t="str">
            <v>HPC INT.GAN. VENC HIPOT.TRAD.FINA       4NC</v>
          </cell>
        </row>
        <row r="21898">
          <cell r="B21898" t="str">
            <v>51040504000625</v>
          </cell>
          <cell r="C21898" t="str">
            <v>HPC D/P INT.GAN. VENC HIPOT.TRAD.       4NC</v>
          </cell>
        </row>
        <row r="21899">
          <cell r="B21899" t="str">
            <v>51040504000626</v>
          </cell>
          <cell r="C21899" t="str">
            <v>HPC INT.GAN. VENC HIPOT.FINAN.PRO       4NC</v>
          </cell>
        </row>
        <row r="21900">
          <cell r="B21900" t="str">
            <v>51040504000627</v>
          </cell>
          <cell r="C21900" t="str">
            <v>HPC D/P INT.GAN. VENC HIPOT.FINAN       4NC</v>
          </cell>
        </row>
        <row r="21901">
          <cell r="B21901" t="str">
            <v>51040504000628</v>
          </cell>
          <cell r="C21901" t="str">
            <v>CL PRE JUD INT GAN TECHOPROPIO-REC CL   4NC</v>
          </cell>
        </row>
        <row r="21902">
          <cell r="B21902" t="str">
            <v>51040504000629</v>
          </cell>
          <cell r="C21902" t="str">
            <v>HPC .REF.INT.MORATORIO HIPOT.           4NC</v>
          </cell>
        </row>
        <row r="21903">
          <cell r="B21903" t="str">
            <v>51040504000630</v>
          </cell>
          <cell r="C21903" t="str">
            <v>HPC INT.MORATORIO HIPOT.FINAN.PROV.REFIN4NC</v>
          </cell>
        </row>
        <row r="21904">
          <cell r="B21904" t="str">
            <v>51040504000631</v>
          </cell>
          <cell r="C21904" t="str">
            <v>CL PRE JUD H. MIVIVIENDA RP INT GANAD   4NC</v>
          </cell>
        </row>
        <row r="21905">
          <cell r="B21905" t="str">
            <v>51040504000632</v>
          </cell>
          <cell r="C21905" t="str">
            <v>$CL PRE JUD H. MI HOGAR COFIDE  INT GANA4NC</v>
          </cell>
        </row>
        <row r="21906">
          <cell r="B21906" t="str">
            <v>51040504000701</v>
          </cell>
          <cell r="C21906" t="str">
            <v>HPC INT.GAN. VENC HIPOT. TASA MIXTA RP  4NC</v>
          </cell>
        </row>
        <row r="21907">
          <cell r="B21907" t="str">
            <v>51040504000702</v>
          </cell>
          <cell r="C21907" t="str">
            <v>HPC D/P GAN.INT.VENC.HIPOT.TASA MIXTA RP4NC</v>
          </cell>
        </row>
        <row r="21908">
          <cell r="B21908" t="str">
            <v>51040504000703</v>
          </cell>
          <cell r="C21908" t="str">
            <v>JCC PREJUD HIP.MI VIVIE.INT.GAN COFIDE  4NC</v>
          </cell>
        </row>
        <row r="21909">
          <cell r="B21909" t="str">
            <v>51040504000704</v>
          </cell>
          <cell r="C21909" t="str">
            <v>JCC PRE JUD H. MI HOGAR COFIDE  INT GANA4NC</v>
          </cell>
        </row>
        <row r="21910">
          <cell r="B21910" t="str">
            <v>51040504000705</v>
          </cell>
          <cell r="C21910" t="str">
            <v>JCC PRE JUD INT GAN TECHOPROPIO-REC JCC 4NC</v>
          </cell>
        </row>
        <row r="21911">
          <cell r="B21911" t="str">
            <v>51040504000706</v>
          </cell>
          <cell r="C21911" t="str">
            <v>JCC PRE JUD INT GAN REFIN HIPOT.IC VENC 4NC</v>
          </cell>
        </row>
        <row r="21912">
          <cell r="B21912" t="str">
            <v>51040504000707</v>
          </cell>
          <cell r="C21912" t="str">
            <v>JCC PRE JUD H. MIVIVIENDA RP INT GANAD  4NC</v>
          </cell>
        </row>
        <row r="21913">
          <cell r="B21913" t="str">
            <v>51040504000708</v>
          </cell>
          <cell r="C21913" t="str">
            <v>JCC INT.MORATORIO CHPV                  4NC</v>
          </cell>
        </row>
        <row r="21914">
          <cell r="B21914" t="str">
            <v>51040504001901</v>
          </cell>
          <cell r="C21914" t="str">
            <v>IC INT VENC CRED REFINA CONSUMO         4NC</v>
          </cell>
        </row>
        <row r="21915">
          <cell r="B21915" t="str">
            <v>51040504001902</v>
          </cell>
          <cell r="C21915" t="str">
            <v>CHI INT GAN HIP REC PROP VENC VAC .NCO  4NC</v>
          </cell>
        </row>
        <row r="21916">
          <cell r="B21916" t="str">
            <v>51040504001903</v>
          </cell>
          <cell r="C21916" t="str">
            <v>CL PRE JUD INT GAN REFIN HIPOT.IC VENC G4NC</v>
          </cell>
        </row>
        <row r="21917">
          <cell r="B21917" t="str">
            <v>51040504002301</v>
          </cell>
          <cell r="C21917" t="str">
            <v>CHI INT GAN VENC MI VIVIENDA            4NC</v>
          </cell>
        </row>
        <row r="21918">
          <cell r="B21918" t="str">
            <v>51040504002302</v>
          </cell>
          <cell r="C21918" t="str">
            <v>CHI INT GAN COMP VENC.MI VIVIENDA       4NC</v>
          </cell>
        </row>
        <row r="21919">
          <cell r="B21919" t="str">
            <v>51040504002308</v>
          </cell>
          <cell r="C21919" t="str">
            <v>CL PREJUD HIP.MI VIVIE.INT.GAN COFIDE   4NC</v>
          </cell>
        </row>
        <row r="21920">
          <cell r="B21920" t="str">
            <v>51040504002309</v>
          </cell>
          <cell r="C21920" t="str">
            <v>CHI INT GANADOS VENC PH TECHO PROPIO    4NC</v>
          </cell>
        </row>
        <row r="21921">
          <cell r="B21921" t="str">
            <v>51040504002310</v>
          </cell>
          <cell r="C21921" t="str">
            <v>INT MORATORIOS PH MV                    4NC</v>
          </cell>
        </row>
        <row r="21922">
          <cell r="B21922" t="str">
            <v>51040504002311</v>
          </cell>
          <cell r="C21922" t="str">
            <v>HPC INT.GAN. VENC MI VIV COFIDE         4NC</v>
          </cell>
        </row>
        <row r="21923">
          <cell r="B21923" t="str">
            <v>51040504002312</v>
          </cell>
          <cell r="C21923" t="str">
            <v>HPC D/P GAN.INT.VENC.MI VIV COFI        4NC</v>
          </cell>
        </row>
        <row r="21924">
          <cell r="B21924" t="str">
            <v>51040504002313</v>
          </cell>
          <cell r="C21924" t="str">
            <v>HPC INT.GAN. VENC TEC PROP COF          4NC</v>
          </cell>
        </row>
        <row r="21925">
          <cell r="B21925" t="str">
            <v>51040504002314</v>
          </cell>
          <cell r="C21925" t="str">
            <v>HPC D/P GAN.INT.VENC.TEC PROP CO        4NC</v>
          </cell>
        </row>
        <row r="21926">
          <cell r="B21926" t="str">
            <v>51040504002315</v>
          </cell>
          <cell r="C21926" t="str">
            <v>CHI INT GAN VENC MI HOGAR               4NC</v>
          </cell>
        </row>
        <row r="21927">
          <cell r="B21927" t="str">
            <v>51040504002317</v>
          </cell>
          <cell r="C21927" t="str">
            <v>CHI INT GAN VENC BT MI VIVIENDA         4NC</v>
          </cell>
        </row>
        <row r="21928">
          <cell r="B21928" t="str">
            <v>51040504002318</v>
          </cell>
          <cell r="C21928" t="str">
            <v>CHI INT MORAT BT MIVIVIENDA             4NC</v>
          </cell>
        </row>
        <row r="21929">
          <cell r="B21929" t="str">
            <v>51040504002325</v>
          </cell>
          <cell r="C21929" t="str">
            <v>HPC INT.GAN. VENC MI HOGAR              4NC</v>
          </cell>
        </row>
        <row r="21930">
          <cell r="B21930" t="str">
            <v>51040504002326</v>
          </cell>
          <cell r="C21930" t="str">
            <v>HPC D/P GAN.INT.VENC.MI HOGAR           4NC</v>
          </cell>
        </row>
        <row r="21931">
          <cell r="B21931" t="str">
            <v>51040504002401</v>
          </cell>
          <cell r="C21931" t="str">
            <v>CHI INT GAN VENC MIVIVIE REC PROP       4NC</v>
          </cell>
        </row>
        <row r="21932">
          <cell r="B21932" t="str">
            <v>51040504002403</v>
          </cell>
          <cell r="C21932" t="str">
            <v>HPC INT.GAN. VENC MI VIV REC PRO        4NC</v>
          </cell>
        </row>
        <row r="21933">
          <cell r="B21933" t="str">
            <v>51040504002404</v>
          </cell>
          <cell r="C21933" t="str">
            <v>HPC D/P GAN.INT.VENC.MI VIV REC         4NC</v>
          </cell>
        </row>
        <row r="21934">
          <cell r="B21934" t="str">
            <v>51040504002901</v>
          </cell>
          <cell r="C21934" t="str">
            <v>CHI INT MORATORIOS MV                   4NC</v>
          </cell>
        </row>
        <row r="21935">
          <cell r="B21935" t="str">
            <v>51040504002905</v>
          </cell>
          <cell r="C21935" t="str">
            <v>HPC INT.GAN. VENC HIP RP ADJUDIC        4NC</v>
          </cell>
        </row>
        <row r="21936">
          <cell r="B21936" t="str">
            <v>51040504002906</v>
          </cell>
          <cell r="C21936" t="str">
            <v>HPC D/P GAN.INT.VENC.HIP RP ADJUD       4NC</v>
          </cell>
        </row>
        <row r="21937">
          <cell r="B21937" t="str">
            <v>51040504002907</v>
          </cell>
          <cell r="C21937" t="str">
            <v>HPC INT.GAN. VENC NUEVO MVV COFIDE      4NC</v>
          </cell>
        </row>
        <row r="21938">
          <cell r="B21938" t="str">
            <v>51040504002908</v>
          </cell>
          <cell r="C21938" t="str">
            <v>HPC D/P GAN.INT.VENC.NUEVO MVV COFIDE DU4NC</v>
          </cell>
        </row>
        <row r="21939">
          <cell r="B21939" t="str">
            <v>51040505000101</v>
          </cell>
          <cell r="C21939" t="str">
            <v>LPC INT GAN PAG TV VENC CBMD            4NC</v>
          </cell>
        </row>
        <row r="21940">
          <cell r="B21940" t="str">
            <v>51040505000102</v>
          </cell>
          <cell r="C21940" t="str">
            <v>LPC INT GAN VENC PAG TV COFIDE CBMD     4NC</v>
          </cell>
        </row>
        <row r="21941">
          <cell r="B21941" t="str">
            <v>51040505000103</v>
          </cell>
          <cell r="C21941" t="str">
            <v>LPC INT GAN VENC PAG TV COFIDE D/P CBMD 4NC</v>
          </cell>
        </row>
        <row r="21942">
          <cell r="B21942" t="str">
            <v>51040505000104</v>
          </cell>
          <cell r="C21942" t="str">
            <v>LPC INT GAN PAG TV MED PLZ              4NC</v>
          </cell>
        </row>
        <row r="21943">
          <cell r="B21943" t="str">
            <v>51040505000105</v>
          </cell>
          <cell r="C21943" t="str">
            <v>LPC INT GAN PAG TV MED PLZ D/P          4NC</v>
          </cell>
        </row>
        <row r="21944">
          <cell r="B21944" t="str">
            <v>51040505000106</v>
          </cell>
          <cell r="C21944" t="str">
            <v>LPC INT GAN PAG TV INMOBILIARIO         4NC</v>
          </cell>
        </row>
        <row r="21945">
          <cell r="B21945" t="str">
            <v>51040505000107</v>
          </cell>
          <cell r="C21945" t="str">
            <v>LPC INT GAN PAG TV INMOBILIARIO D/P     4NC</v>
          </cell>
        </row>
        <row r="21946">
          <cell r="B21946" t="str">
            <v>51040505000108</v>
          </cell>
          <cell r="C21946" t="str">
            <v>LPC INT GAN PAG TV EUROS                4NC</v>
          </cell>
        </row>
        <row r="21947">
          <cell r="B21947" t="str">
            <v>51040505000109</v>
          </cell>
          <cell r="C21947" t="str">
            <v>LPC INT GAN PAG TV EUROS                4NC</v>
          </cell>
        </row>
        <row r="21948">
          <cell r="B21948" t="str">
            <v>51040505000201</v>
          </cell>
          <cell r="C21948" t="str">
            <v>CL INT GAN VENC TV CBMD                 4NC</v>
          </cell>
        </row>
        <row r="21949">
          <cell r="B21949" t="str">
            <v>51040505000202</v>
          </cell>
          <cell r="C21949" t="str">
            <v>CL INT GAN PAG TV D/P  VENC CBMD        4NC</v>
          </cell>
        </row>
        <row r="21950">
          <cell r="B21950" t="str">
            <v>51040505000301</v>
          </cell>
          <cell r="C21950" t="str">
            <v>FCD INT MORATORIO CBMD                  4NC</v>
          </cell>
        </row>
        <row r="21951">
          <cell r="B21951" t="str">
            <v>51040505000401</v>
          </cell>
          <cell r="C21951" t="str">
            <v>TC INT VENCIDO AMEX CBMD                4NC</v>
          </cell>
        </row>
        <row r="21952">
          <cell r="B21952" t="str">
            <v>51040505000402</v>
          </cell>
          <cell r="C21952" t="str">
            <v>TC INT VENCIDO MC CBMD                  4NC</v>
          </cell>
        </row>
        <row r="21953">
          <cell r="B21953" t="str">
            <v>51040505000403</v>
          </cell>
          <cell r="C21953" t="str">
            <v>TC INT VENCIDO VISA CBMD                4NC</v>
          </cell>
        </row>
        <row r="21954">
          <cell r="B21954" t="str">
            <v>51040505000404</v>
          </cell>
          <cell r="C21954" t="str">
            <v>TC INT VENCIDO VISA MEGAPLAZA CBMD      4NC</v>
          </cell>
        </row>
        <row r="21955">
          <cell r="B21955" t="str">
            <v>51040505000405</v>
          </cell>
          <cell r="C21955" t="str">
            <v>TC INT VENCIDO VISA VEA CBMD            4NC</v>
          </cell>
        </row>
        <row r="21956">
          <cell r="B21956" t="str">
            <v>51040505000407</v>
          </cell>
          <cell r="C21956" t="str">
            <v>LPC INT MORATORIO CBMD                  4NC</v>
          </cell>
        </row>
        <row r="21957">
          <cell r="B21957" t="str">
            <v>51040505000412</v>
          </cell>
          <cell r="C21957" t="str">
            <v>LPC REACTIVA PERU VEN CBMD\NORM         4NC</v>
          </cell>
        </row>
        <row r="21958">
          <cell r="B21958" t="str">
            <v>51040505000413</v>
          </cell>
          <cell r="C21958" t="str">
            <v>LPC COFIDE FONDOS PERU VEN CBMD\NORM    4NC</v>
          </cell>
        </row>
        <row r="21959">
          <cell r="B21959" t="str">
            <v>51040505000414</v>
          </cell>
          <cell r="C21959" t="str">
            <v>LPC COFIDE FONDO CRECER VEN CBMD\NORM   4NC</v>
          </cell>
        </row>
        <row r="21960">
          <cell r="B21960" t="str">
            <v>51040505000415</v>
          </cell>
          <cell r="C21960" t="str">
            <v>LPC REACTIVA PERU VEN CBMD\NORM         4NC</v>
          </cell>
        </row>
        <row r="21961">
          <cell r="B21961" t="str">
            <v>51040506000101</v>
          </cell>
          <cell r="C21961" t="str">
            <v>LPC INT GAN PAG TV VENC CSOB            4NC</v>
          </cell>
        </row>
        <row r="21962">
          <cell r="B21962" t="str">
            <v>51040506000102</v>
          </cell>
          <cell r="C21962" t="str">
            <v>LPC INT GAN VENC  PAG TV  COFIDE CSOB   4NC</v>
          </cell>
        </row>
        <row r="21963">
          <cell r="B21963" t="str">
            <v>51040506000103</v>
          </cell>
          <cell r="C21963" t="str">
            <v>LPC INT GAN VENC PAG TV COFIDE D/P CSOB 4NC</v>
          </cell>
        </row>
        <row r="21964">
          <cell r="B21964" t="str">
            <v>51040506000104</v>
          </cell>
          <cell r="C21964" t="str">
            <v>LPC INT GAN PAG TV MED PLZ              4NC</v>
          </cell>
        </row>
        <row r="21965">
          <cell r="B21965" t="str">
            <v>51040506000105</v>
          </cell>
          <cell r="C21965" t="str">
            <v>LPC INT GAN PAG TV MED PLZ D/P          4NC</v>
          </cell>
        </row>
        <row r="21966">
          <cell r="B21966" t="str">
            <v>51040506000106</v>
          </cell>
          <cell r="C21966" t="str">
            <v>LPC INT GAN PAG TV INMOBILIARIO         4NC</v>
          </cell>
        </row>
        <row r="21967">
          <cell r="B21967" t="str">
            <v>51040506000107</v>
          </cell>
          <cell r="C21967" t="str">
            <v>LPC INT GAN PAG TV INMOBILIARIO D/P     4NC</v>
          </cell>
        </row>
        <row r="21968">
          <cell r="B21968" t="str">
            <v>51040506000108</v>
          </cell>
          <cell r="C21968" t="str">
            <v>LPC INT GAN PAG TV EUROS                4NC</v>
          </cell>
        </row>
        <row r="21969">
          <cell r="B21969" t="str">
            <v>51040506000109</v>
          </cell>
          <cell r="C21969" t="str">
            <v>LPC INT GAN PAG TV EUROS                4NC</v>
          </cell>
        </row>
        <row r="21970">
          <cell r="B21970" t="str">
            <v>51040506000201</v>
          </cell>
          <cell r="C21970" t="str">
            <v>CL INT GAN VENC TV CSOB                 4NC</v>
          </cell>
        </row>
        <row r="21971">
          <cell r="B21971" t="str">
            <v>51040506000202</v>
          </cell>
          <cell r="C21971" t="str">
            <v>CL INT GAN PAG TV D/P  VENC CSOB        4NC</v>
          </cell>
        </row>
        <row r="21972">
          <cell r="B21972" t="str">
            <v>51040506000301</v>
          </cell>
          <cell r="C21972" t="str">
            <v>FCD INT MORATORIO CBMD                  4NC</v>
          </cell>
        </row>
        <row r="21973">
          <cell r="B21973" t="str">
            <v>51040506000401</v>
          </cell>
          <cell r="C21973" t="str">
            <v>JCC INT .MORATORIO CSOB                 4NC</v>
          </cell>
        </row>
        <row r="21974">
          <cell r="B21974" t="str">
            <v>51040506000403</v>
          </cell>
          <cell r="C21974" t="str">
            <v>LPC INT MORATORIO CSOB                  4NC</v>
          </cell>
        </row>
        <row r="21975">
          <cell r="B21975" t="str">
            <v>51040506000408</v>
          </cell>
          <cell r="C21975" t="str">
            <v>LPC REACTIVA PERU VEN CSOB\NORM         4NC</v>
          </cell>
        </row>
        <row r="21976">
          <cell r="B21976" t="str">
            <v>51040506000409</v>
          </cell>
          <cell r="C21976" t="str">
            <v>LPC COFIDE FONDOS PERU VEN CSOB\NORM    4NC</v>
          </cell>
        </row>
        <row r="21977">
          <cell r="B21977" t="str">
            <v>51040506000410</v>
          </cell>
          <cell r="C21977" t="str">
            <v>LPC COFIDE FONDO CRECER VEN CSOB\NORM   4NC</v>
          </cell>
        </row>
        <row r="21978">
          <cell r="B21978" t="str">
            <v>51040506000411</v>
          </cell>
          <cell r="C21978" t="str">
            <v>LPC REACTIVA PERU VEN CSOB\NORM         4NC</v>
          </cell>
        </row>
        <row r="21979">
          <cell r="B21979" t="str">
            <v>51040507000101</v>
          </cell>
          <cell r="C21979" t="str">
            <v>LPC INT GAN VENC PAG TV  D/P CESP       4NC</v>
          </cell>
        </row>
        <row r="21980">
          <cell r="B21980" t="str">
            <v>51040507000102</v>
          </cell>
          <cell r="C21980" t="str">
            <v>LPC INT GAN PAG TV VENC CESP            4NC</v>
          </cell>
        </row>
        <row r="21981">
          <cell r="B21981" t="str">
            <v>51040507000103</v>
          </cell>
          <cell r="C21981" t="str">
            <v>LPC INT GAN VENC  PAG TV  COFIDE CESP   4NC</v>
          </cell>
        </row>
        <row r="21982">
          <cell r="B21982" t="str">
            <v>51040507000104</v>
          </cell>
          <cell r="C21982" t="str">
            <v>LPC INT GAN VENC PAG TV COFIDE D/P CESP 4NC</v>
          </cell>
        </row>
        <row r="21983">
          <cell r="B21983" t="str">
            <v>51040507000105</v>
          </cell>
          <cell r="C21983" t="str">
            <v>LPC INT GAN PAG TV MED PLZ              4NC</v>
          </cell>
        </row>
        <row r="21984">
          <cell r="B21984" t="str">
            <v>51040507000106</v>
          </cell>
          <cell r="C21984" t="str">
            <v>LPC INT GAN PAG TV MED PLZ D/P          4NC</v>
          </cell>
        </row>
        <row r="21985">
          <cell r="B21985" t="str">
            <v>51040507000107</v>
          </cell>
          <cell r="C21985" t="str">
            <v>LPC INT GAN PAG TV INMOBILIARIO         4NC</v>
          </cell>
        </row>
        <row r="21986">
          <cell r="B21986" t="str">
            <v>51040507000108</v>
          </cell>
          <cell r="C21986" t="str">
            <v>LPC INT GAN PAG TV INMOBILIARIO D/P     4NC</v>
          </cell>
        </row>
        <row r="21987">
          <cell r="B21987" t="str">
            <v>51040507000109</v>
          </cell>
          <cell r="C21987" t="str">
            <v>LPC INT GAN FINAN PRE EMBARQUE          4NC</v>
          </cell>
        </row>
        <row r="21988">
          <cell r="B21988" t="str">
            <v>51040507000110</v>
          </cell>
          <cell r="C21988" t="str">
            <v>LPC INT GAN FINAN PRE EMBARQUE D/P      4NC</v>
          </cell>
        </row>
        <row r="21989">
          <cell r="B21989" t="str">
            <v>51040507000111</v>
          </cell>
          <cell r="C21989" t="str">
            <v>LPC INT GAN PAG TV EUROS                4NC</v>
          </cell>
        </row>
        <row r="21990">
          <cell r="B21990" t="str">
            <v>51040507000112</v>
          </cell>
          <cell r="C21990" t="str">
            <v>LPC INT GAN PAG TV EUROS                4NC</v>
          </cell>
        </row>
        <row r="21991">
          <cell r="B21991" t="str">
            <v>51040507000113</v>
          </cell>
          <cell r="C21991" t="str">
            <v>LPC INT VEN LEASING BIEN RP CESP        4NC</v>
          </cell>
        </row>
        <row r="21992">
          <cell r="B21992" t="str">
            <v>51040507000114</v>
          </cell>
          <cell r="C21992" t="str">
            <v>LPC INT VEN LEAS SEG RP CESP            4NC</v>
          </cell>
        </row>
        <row r="21993">
          <cell r="B21993" t="str">
            <v>51040507000115</v>
          </cell>
          <cell r="C21993" t="str">
            <v>LPC INT VEN LEAS BIEN D/P RP CESP       4NC</v>
          </cell>
        </row>
        <row r="21994">
          <cell r="B21994" t="str">
            <v>51040507000116</v>
          </cell>
          <cell r="C21994" t="str">
            <v>LPC INT VEN LEAS SEG D/P RP CESP        4NC</v>
          </cell>
        </row>
        <row r="21995">
          <cell r="B21995" t="str">
            <v>51040507000117</v>
          </cell>
          <cell r="C21995" t="str">
            <v>LPC INT GAN PAG DSCTO D/P VENC CESP     4NC</v>
          </cell>
        </row>
        <row r="21996">
          <cell r="B21996" t="str">
            <v>51040507000118</v>
          </cell>
          <cell r="C21996" t="str">
            <v>LPC INT GAN PAG DSCTO VENC CESP         4NC</v>
          </cell>
        </row>
        <row r="21997">
          <cell r="B21997" t="str">
            <v>51040507000201</v>
          </cell>
          <cell r="C21997" t="str">
            <v>LPC INT.GAN VENC IMPORT D/P CESP        4NC</v>
          </cell>
        </row>
        <row r="21998">
          <cell r="B21998" t="str">
            <v>51040507000202</v>
          </cell>
          <cell r="C21998" t="str">
            <v>LPC INT GAN VEN EX PRE EMB CESP         4NC</v>
          </cell>
        </row>
        <row r="21999">
          <cell r="B21999" t="str">
            <v>51040507000203</v>
          </cell>
          <cell r="C21999" t="str">
            <v>LPC INT GAN VENC EX POST EMB RP D/P CESP4NC</v>
          </cell>
        </row>
        <row r="22000">
          <cell r="B22000" t="str">
            <v>51040507000204</v>
          </cell>
          <cell r="C22000" t="str">
            <v>LPC INT GAN VENC EX PRE EMB CESP        4NC</v>
          </cell>
        </row>
        <row r="22001">
          <cell r="B22001" t="str">
            <v>51040507000205</v>
          </cell>
          <cell r="C22001" t="str">
            <v>LPC INT GAN VENC EX POST EMB RP CESP    4NC</v>
          </cell>
        </row>
        <row r="22002">
          <cell r="B22002" t="str">
            <v>51040507000206</v>
          </cell>
          <cell r="C22002" t="str">
            <v>LPC INT.GAN VEN  WORK CAP.EX PRE EMB CES4NC</v>
          </cell>
        </row>
        <row r="22003">
          <cell r="B22003" t="str">
            <v>51040507000207</v>
          </cell>
          <cell r="C22003" t="str">
            <v>LPC INT GAN FINAN PRE EMBARQUE-SEPYMEX C4NC</v>
          </cell>
        </row>
        <row r="22004">
          <cell r="B22004" t="str">
            <v>51040507000208</v>
          </cell>
          <cell r="C22004" t="str">
            <v>LPC INT GAN FINAN PRE EMBARQUE D/P-SEPYM4NC</v>
          </cell>
        </row>
        <row r="22005">
          <cell r="B22005" t="str">
            <v>51040507000209</v>
          </cell>
          <cell r="C22005" t="str">
            <v>LPC INT GAN PRE EMBARQUE VEN.NORM CESP  4NC</v>
          </cell>
        </row>
        <row r="22006">
          <cell r="B22006" t="str">
            <v>51040507000210</v>
          </cell>
          <cell r="C22006" t="str">
            <v>LPC INT GAN PRE EMBARQUE VEN.DUPE CESP  4NC</v>
          </cell>
        </row>
        <row r="22007">
          <cell r="B22007" t="str">
            <v>51040507000211</v>
          </cell>
          <cell r="C22007" t="str">
            <v>LPC INT GAN POST EMBARQUE VEN.NORM CESP 4NC</v>
          </cell>
        </row>
        <row r="22008">
          <cell r="B22008" t="str">
            <v>51040507000212</v>
          </cell>
          <cell r="C22008" t="str">
            <v>LPC INT GAN POST EMBARQUE VEN.DUPE CESP 4NC</v>
          </cell>
        </row>
        <row r="22009">
          <cell r="B22009" t="str">
            <v>51040507000213</v>
          </cell>
          <cell r="C22009" t="str">
            <v>LPC INT GAN IMPORT. CARTA CREDITO  VEN.N4NC</v>
          </cell>
        </row>
        <row r="22010">
          <cell r="B22010" t="str">
            <v>51040507000214</v>
          </cell>
          <cell r="C22010" t="str">
            <v>LPC INT GAN IMPORT. CARTA CREDITO  VEN.D4NC</v>
          </cell>
        </row>
        <row r="22011">
          <cell r="B22011" t="str">
            <v>51040507000215</v>
          </cell>
          <cell r="C22011" t="str">
            <v>LPC INT GAN IMPORT.  VEN.NORM CESP      4NC</v>
          </cell>
        </row>
        <row r="22012">
          <cell r="B22012" t="str">
            <v>51040507000216</v>
          </cell>
          <cell r="C22012" t="str">
            <v>LPC INT GAN IMPORT.  VEN.DUPE CESP      4NC</v>
          </cell>
        </row>
        <row r="22013">
          <cell r="B22013" t="str">
            <v>51040507000301</v>
          </cell>
          <cell r="C22013" t="str">
            <v>CL INT GANAD PAG DSCTO VENC CESP        4NC</v>
          </cell>
        </row>
        <row r="22014">
          <cell r="B22014" t="str">
            <v>51040507000302</v>
          </cell>
          <cell r="C22014" t="str">
            <v>CL INT GAN PAG DSCTO D/P VENC CESP      4NC</v>
          </cell>
        </row>
        <row r="22015">
          <cell r="B22015" t="str">
            <v>51040507000303</v>
          </cell>
          <cell r="C22015" t="str">
            <v>CL INT GAN PAG TV D/P  VENC CESP        4NC</v>
          </cell>
        </row>
        <row r="22016">
          <cell r="B22016" t="str">
            <v>51040507000304</v>
          </cell>
          <cell r="C22016" t="str">
            <v>CL INT GAN VENC TV CESP                 4NC</v>
          </cell>
        </row>
        <row r="22017">
          <cell r="B22017" t="str">
            <v>51040507000305</v>
          </cell>
          <cell r="C22017" t="str">
            <v>CL INT.GAN PAG.TV NEG.INMOB VEN CESP    4NC</v>
          </cell>
        </row>
        <row r="22018">
          <cell r="B22018" t="str">
            <v>51040507000306</v>
          </cell>
          <cell r="C22018" t="str">
            <v>CL INT GAN OTROS SUSP VENC CESP         4NC</v>
          </cell>
        </row>
        <row r="22019">
          <cell r="B22019" t="str">
            <v>51040507000307</v>
          </cell>
          <cell r="C22019" t="str">
            <v>CL INT GANAD VENC PREST COFIDE CESP     4NC</v>
          </cell>
        </row>
        <row r="22020">
          <cell r="B22020" t="str">
            <v>51040507000308</v>
          </cell>
          <cell r="C22020" t="str">
            <v>CL INT. GAN. VENC BK CESP               4NC</v>
          </cell>
        </row>
        <row r="22021">
          <cell r="B22021" t="str">
            <v>51040507000309</v>
          </cell>
          <cell r="C22021" t="str">
            <v>CL INT. GAN. MORATORIO BK CCOR          4NC</v>
          </cell>
        </row>
        <row r="22022">
          <cell r="B22022" t="str">
            <v>51040507000310</v>
          </cell>
          <cell r="C22022" t="str">
            <v>CL INT GAN. VENC. AVALXACEP BKT CESP    4NC</v>
          </cell>
        </row>
        <row r="22023">
          <cell r="B22023" t="str">
            <v>51040507000311</v>
          </cell>
          <cell r="C22023" t="str">
            <v>CL INT.GAN. VENC. BKT CESP              4NC</v>
          </cell>
        </row>
        <row r="22024">
          <cell r="B22024" t="str">
            <v>51040507000312</v>
          </cell>
          <cell r="C22024" t="str">
            <v>CL INT GAN VENC VISTA BKT CESP          4NC</v>
          </cell>
        </row>
        <row r="22025">
          <cell r="B22025" t="str">
            <v>51040507000313</v>
          </cell>
          <cell r="C22025" t="str">
            <v>CL INT GAN VENC STAND BY BKT CESP       4NC</v>
          </cell>
        </row>
        <row r="22026">
          <cell r="B22026" t="str">
            <v>51040507000314</v>
          </cell>
          <cell r="C22026" t="str">
            <v>CL PRE JUD INT GAN DSCTO.PAG CESP       4NC</v>
          </cell>
        </row>
        <row r="22027">
          <cell r="B22027" t="str">
            <v>51040507000315</v>
          </cell>
          <cell r="C22027" t="str">
            <v>CL PRE JUD INT GAN DSCTO LETR VENC CESP 4NC</v>
          </cell>
        </row>
        <row r="22028">
          <cell r="B22028" t="str">
            <v>51040507000316</v>
          </cell>
          <cell r="C22028" t="str">
            <v>CL PRE JUD INT.GAN PREST EXP VENC CESP G4NC</v>
          </cell>
        </row>
        <row r="22029">
          <cell r="B22029" t="str">
            <v>51040507000317</v>
          </cell>
          <cell r="C22029" t="str">
            <v>CL PRE JUD INT GAN.PAG IMP VENC CESP GL 4NC</v>
          </cell>
        </row>
        <row r="22030">
          <cell r="B22030" t="str">
            <v>51040507000318</v>
          </cell>
          <cell r="C22030" t="str">
            <v>CL PRE JUD INT.GAN RP CAP.TRAB VENC CESP4NC</v>
          </cell>
        </row>
        <row r="22031">
          <cell r="B22031" t="str">
            <v>51040507000319</v>
          </cell>
          <cell r="C22031" t="str">
            <v>CL PRE JUD INT.GAN FACT LET VENC CESP GL4NC</v>
          </cell>
        </row>
        <row r="22032">
          <cell r="B22032" t="str">
            <v>51040507000320</v>
          </cell>
          <cell r="C22032" t="str">
            <v>CL PRE JUD INT.GAN FACT FACT VENC CESP G4NC</v>
          </cell>
        </row>
        <row r="22033">
          <cell r="B22033" t="str">
            <v>51040507000321</v>
          </cell>
          <cell r="C22033" t="str">
            <v>CL PRE JUD INT.GAN CART CRED CESP GL 7004NC</v>
          </cell>
        </row>
        <row r="22034">
          <cell r="B22034" t="str">
            <v>51040507000322</v>
          </cell>
          <cell r="C22034" t="str">
            <v>CL PRE JUD INT.GAN CART FIANZ VENC CESP 4NC</v>
          </cell>
        </row>
        <row r="22035">
          <cell r="B22035" t="str">
            <v>51040507000323</v>
          </cell>
          <cell r="C22035" t="str">
            <v>CL PRE JUD GAN P TV MED PLZ C/FIJ CESP  4NC</v>
          </cell>
        </row>
        <row r="22036">
          <cell r="B22036" t="str">
            <v>51040507000324</v>
          </cell>
          <cell r="C22036" t="str">
            <v>CL PRE JUD INT GAN TC CONS-COM VENC CESP4NC</v>
          </cell>
        </row>
        <row r="22037">
          <cell r="B22037" t="str">
            <v>51040507000325</v>
          </cell>
          <cell r="C22037" t="str">
            <v>CL PRE JUD INT GAN TC AMEX PJ VENC CESP 4NC</v>
          </cell>
        </row>
        <row r="22038">
          <cell r="B22038" t="str">
            <v>51040507000326</v>
          </cell>
          <cell r="C22038" t="str">
            <v>CL PRE JUD INT.GAN TC MASTER PJ VENC CES4NC</v>
          </cell>
        </row>
        <row r="22039">
          <cell r="B22039" t="str">
            <v>51040507000327</v>
          </cell>
          <cell r="C22039" t="str">
            <v>CL PRE JUD INT GAN PAG.REC.COFID VENC CE4NC</v>
          </cell>
        </row>
        <row r="22040">
          <cell r="B22040" t="str">
            <v>51040507000328</v>
          </cell>
          <cell r="C22040" t="str">
            <v>CL PRE JUD INT.GAN SOBR CCTE. PJ VENC CE4NC</v>
          </cell>
        </row>
        <row r="22041">
          <cell r="B22041" t="str">
            <v>51040507000329</v>
          </cell>
          <cell r="C22041" t="str">
            <v>CL PRE JUD INT GAN.PAG IMP VENC CESP GL 4NC</v>
          </cell>
        </row>
        <row r="22042">
          <cell r="B22042" t="str">
            <v>51040507000330</v>
          </cell>
          <cell r="C22042" t="str">
            <v>CL INTERES MORATORIO CESP               4NC</v>
          </cell>
        </row>
        <row r="22043">
          <cell r="B22043" t="str">
            <v>51040507000331</v>
          </cell>
          <cell r="C22043" t="str">
            <v>CL EX FORFAITING INT.GAN.VEN CESP       4NC</v>
          </cell>
        </row>
        <row r="22044">
          <cell r="B22044" t="str">
            <v>51040507000332</v>
          </cell>
          <cell r="C22044" t="str">
            <v>CL EX INT. MORATORIO CESP               4NC</v>
          </cell>
        </row>
        <row r="22045">
          <cell r="B22045" t="str">
            <v>51040507000333</v>
          </cell>
          <cell r="C22045" t="str">
            <v>CL INT GAN.VEN. EX PRE EMB D/P CESP     4NC</v>
          </cell>
        </row>
        <row r="22046">
          <cell r="B22046" t="str">
            <v>51040507000334</v>
          </cell>
          <cell r="C22046" t="str">
            <v>CL INT.GAN.POST. EX EMBAR. D/P. VEN. CCO4NC</v>
          </cell>
        </row>
        <row r="22047">
          <cell r="B22047" t="str">
            <v>51040507000335</v>
          </cell>
          <cell r="C22047" t="str">
            <v>CL EX INT VEN PAG.IMPORTAC.D/P CESP     4NC</v>
          </cell>
        </row>
        <row r="22048">
          <cell r="B22048" t="str">
            <v>51040507000336</v>
          </cell>
          <cell r="C22048" t="str">
            <v>CL CL INT. MORATORIO CESP               4NC</v>
          </cell>
        </row>
        <row r="22049">
          <cell r="B22049" t="str">
            <v>51040507000337</v>
          </cell>
          <cell r="C22049" t="str">
            <v>CL BK INT. MORATORIO CESP               4NC</v>
          </cell>
        </row>
        <row r="22050">
          <cell r="B22050" t="str">
            <v>51040507000338</v>
          </cell>
          <cell r="C22050" t="str">
            <v>CL CJ INT. MORATORIO CESP               4NC</v>
          </cell>
        </row>
        <row r="22051">
          <cell r="B22051" t="str">
            <v>51040507000339</v>
          </cell>
          <cell r="C22051" t="str">
            <v>CL INT GAN VENC COB AVAL BKT CESP       4NC</v>
          </cell>
        </row>
        <row r="22052">
          <cell r="B22052" t="str">
            <v>51040507000340</v>
          </cell>
          <cell r="C22052" t="str">
            <v>CL EX FACTORING FORFAITING INT.GAN.VEN C4NC</v>
          </cell>
        </row>
        <row r="22053">
          <cell r="B22053" t="str">
            <v>51040507000341</v>
          </cell>
          <cell r="C22053" t="str">
            <v>CL  CONFIRMING INTER INT.GAN.VEN CESP   4NC</v>
          </cell>
        </row>
        <row r="22054">
          <cell r="B22054" t="str">
            <v>51040507000342</v>
          </cell>
          <cell r="C22054" t="str">
            <v>CL INT.GAN.VEN.CRED.POR LIQ. CARTA FIANZ4NC</v>
          </cell>
        </row>
        <row r="22055">
          <cell r="B22055" t="str">
            <v>51040507000343</v>
          </cell>
          <cell r="C22055" t="str">
            <v>CL INT GAN VEN PAG IMPOR CESP           4NC</v>
          </cell>
        </row>
        <row r="22056">
          <cell r="B22056" t="str">
            <v>51040507000401</v>
          </cell>
          <cell r="C22056" t="str">
            <v>JCC PRE JUD INT.GAN PREST EXP VENC CESP 4NC</v>
          </cell>
        </row>
        <row r="22057">
          <cell r="B22057" t="str">
            <v>51040507000402</v>
          </cell>
          <cell r="C22057" t="str">
            <v>JCC PRE JUD INT GAN.PAG IMP VENC CESP GL4NC</v>
          </cell>
        </row>
        <row r="22058">
          <cell r="B22058" t="str">
            <v>51040507000403</v>
          </cell>
          <cell r="C22058" t="str">
            <v>JCC PRE JUD INT.GAN RP CAP.TRAB VENC CES4NC</v>
          </cell>
        </row>
        <row r="22059">
          <cell r="B22059" t="str">
            <v>51040507000404</v>
          </cell>
          <cell r="C22059" t="str">
            <v>JCC PRE JUD INT GAN DSCTO.PAG CESP      4NC</v>
          </cell>
        </row>
        <row r="22060">
          <cell r="B22060" t="str">
            <v>51040507000405</v>
          </cell>
          <cell r="C22060" t="str">
            <v>JCC PRE JUD INT GAN DSCTO LETR VENC CESP4NC</v>
          </cell>
        </row>
        <row r="22061">
          <cell r="B22061" t="str">
            <v>51040507000406</v>
          </cell>
          <cell r="C22061" t="str">
            <v>JCC PRE JUD INT.GAN FACT LET VENC CESP G4NC</v>
          </cell>
        </row>
        <row r="22062">
          <cell r="B22062" t="str">
            <v>51040507000407</v>
          </cell>
          <cell r="C22062" t="str">
            <v>JCC PRE JUD INT.GAN FACT FACT VENC CESP 4NC</v>
          </cell>
        </row>
        <row r="22063">
          <cell r="B22063" t="str">
            <v>51040507000408</v>
          </cell>
          <cell r="C22063" t="str">
            <v>JCC PRE JUD INT.GAN CART CRED CESP GL 704NC</v>
          </cell>
        </row>
        <row r="22064">
          <cell r="B22064" t="str">
            <v>51040507000409</v>
          </cell>
          <cell r="C22064" t="str">
            <v>JCC PRE JUD INT.GAN CART FIANZ VENC CESP4NC</v>
          </cell>
        </row>
        <row r="22065">
          <cell r="B22065" t="str">
            <v>51040507000410</v>
          </cell>
          <cell r="C22065" t="str">
            <v>JCC PRE JUD GAN P TV MED PLZ C/FIJ CESP 4NC</v>
          </cell>
        </row>
        <row r="22066">
          <cell r="B22066" t="str">
            <v>51040507000411</v>
          </cell>
          <cell r="C22066" t="str">
            <v>JCC PRE JUD INT.GAN TC MASTER PJ VENC CE4NC</v>
          </cell>
        </row>
        <row r="22067">
          <cell r="B22067" t="str">
            <v>51040507000412</v>
          </cell>
          <cell r="C22067" t="str">
            <v>JCC PRE JUD INT.GAN SOBR CCTE. PJ VENC C4NC</v>
          </cell>
        </row>
        <row r="22068">
          <cell r="B22068" t="str">
            <v>51040507000413</v>
          </cell>
          <cell r="C22068" t="str">
            <v>JCC PRE JUD INT GAN TC CONS-COM VENC CES4NC</v>
          </cell>
        </row>
        <row r="22069">
          <cell r="B22069" t="str">
            <v>51040507000414</v>
          </cell>
          <cell r="C22069" t="str">
            <v>JCC PRE JUD INT GAN TC AMEX PJ VENC CESP4NC</v>
          </cell>
        </row>
        <row r="22070">
          <cell r="B22070" t="str">
            <v>51040507000416</v>
          </cell>
          <cell r="C22070" t="str">
            <v>JCC PRE JUD INT GAN PAG.REC.COFID VENC C4NC</v>
          </cell>
        </row>
        <row r="22071">
          <cell r="B22071" t="str">
            <v>51040507000419</v>
          </cell>
          <cell r="C22071" t="str">
            <v>JCC INT. MORATORIO CESP                 4NC</v>
          </cell>
        </row>
        <row r="22072">
          <cell r="B22072" t="str">
            <v>51040507000501</v>
          </cell>
          <cell r="C22072" t="str">
            <v>INT VENC TC - COMERCIAL CESP            4NC</v>
          </cell>
        </row>
        <row r="22073">
          <cell r="B22073" t="str">
            <v>51040507000502</v>
          </cell>
          <cell r="C22073" t="str">
            <v>INT VENC TC - COMERC MC CESP            4NC</v>
          </cell>
        </row>
        <row r="22074">
          <cell r="B22074" t="str">
            <v>51040507000503</v>
          </cell>
          <cell r="C22074" t="str">
            <v>INT VENC TC - COMERCIAL AMEX CESP       4NC</v>
          </cell>
        </row>
        <row r="22075">
          <cell r="B22075" t="str">
            <v>51040507000504</v>
          </cell>
          <cell r="C22075" t="str">
            <v>INT VENC TC - COMERC VEA CESP           4NC</v>
          </cell>
        </row>
        <row r="22076">
          <cell r="B22076" t="str">
            <v>51040507000601</v>
          </cell>
          <cell r="C22076" t="str">
            <v>PR  INT GAN VC LETRAS DSCTO  CESP       4NC</v>
          </cell>
        </row>
        <row r="22077">
          <cell r="B22077" t="str">
            <v>51040507000602</v>
          </cell>
          <cell r="C22077" t="str">
            <v>PR DSCTO ELECTR SM PERU I.VEN CCOR      4NC</v>
          </cell>
        </row>
        <row r="22078">
          <cell r="B22078" t="str">
            <v>51040507000603</v>
          </cell>
          <cell r="C22078" t="str">
            <v>PR INT GAN VENC LETRAS FACTORING CESP   4NC</v>
          </cell>
        </row>
        <row r="22079">
          <cell r="B22079" t="str">
            <v>51040507000604</v>
          </cell>
          <cell r="C22079" t="str">
            <v>PR INT GAN VENC FACT FACTORING CESP     4NC</v>
          </cell>
        </row>
        <row r="22080">
          <cell r="B22080" t="str">
            <v>51040507000605</v>
          </cell>
          <cell r="C22080" t="str">
            <v>PR FACT ELECTR LET/FACT INT.VEN CESP    4NC</v>
          </cell>
        </row>
        <row r="22081">
          <cell r="B22081" t="str">
            <v>51040507000606</v>
          </cell>
          <cell r="C22081" t="str">
            <v>PR FACTORING INTER. INT VENC CESP       4NC</v>
          </cell>
        </row>
        <row r="22082">
          <cell r="B22082" t="str">
            <v>51040507000607</v>
          </cell>
          <cell r="C22082" t="str">
            <v>PR PERU FACTORING INT.VEN CESP          4NC</v>
          </cell>
        </row>
        <row r="22083">
          <cell r="B22083" t="str">
            <v>51040507000608</v>
          </cell>
          <cell r="C22083" t="str">
            <v>PR FORFAITING EXPORTACIÃ“N INT GANA VENC4NC</v>
          </cell>
        </row>
        <row r="22084">
          <cell r="B22084" t="str">
            <v>51040507000701</v>
          </cell>
          <cell r="C22084" t="str">
            <v>FCD INT MORATORIO CESP                  4NC</v>
          </cell>
        </row>
        <row r="22085">
          <cell r="B22085" t="str">
            <v>51040507000702</v>
          </cell>
          <cell r="C22085" t="str">
            <v>FCD INT. GAN DSCTO ELECTR VENC DUD CESP 4NC</v>
          </cell>
        </row>
        <row r="22086">
          <cell r="B22086" t="str">
            <v>51040507000703</v>
          </cell>
          <cell r="C22086" t="str">
            <v>FCD INT. GAN FACT ELECTR VIG DUD CESP   4NC</v>
          </cell>
        </row>
        <row r="22087">
          <cell r="B22087" t="str">
            <v>51040507000704</v>
          </cell>
          <cell r="C22087" t="str">
            <v>FCD FACT INTER EXPO. INT VENC NORM CESP 4NC</v>
          </cell>
        </row>
        <row r="22088">
          <cell r="B22088" t="str">
            <v>51040507000705</v>
          </cell>
          <cell r="C22088" t="str">
            <v>FCD FORFAITING EXPORTACIÃ“N INT GANA VEN4NC</v>
          </cell>
        </row>
        <row r="22089">
          <cell r="B22089" t="str">
            <v>51040507000706</v>
          </cell>
          <cell r="C22089" t="str">
            <v>FCD FACT INTER EXPO. INT VENC DUPE CESP 4NC</v>
          </cell>
        </row>
        <row r="22090">
          <cell r="B22090" t="str">
            <v>51040507000707</v>
          </cell>
          <cell r="C22090" t="str">
            <v>FCD FORFAITING EXPORTACIÃ“N INT GANA VEN4NC</v>
          </cell>
        </row>
        <row r="22091">
          <cell r="B22091" t="str">
            <v>51040507000708</v>
          </cell>
          <cell r="C22091" t="str">
            <v>FCD CONFIRMING INTERNACIONAL. INT VENC N4NC</v>
          </cell>
        </row>
        <row r="22092">
          <cell r="B22092" t="str">
            <v>51040507000709</v>
          </cell>
          <cell r="C22092" t="str">
            <v>FCD CONFIRMING INTERNACIONAL. INT VENC D4NC</v>
          </cell>
        </row>
        <row r="22093">
          <cell r="B22093" t="str">
            <v>51040507000710</v>
          </cell>
          <cell r="C22093" t="str">
            <v>FCD DESC. LET. I. VENC. CESP DUPE       4NC</v>
          </cell>
        </row>
        <row r="22094">
          <cell r="B22094" t="str">
            <v>51040507000711</v>
          </cell>
          <cell r="C22094" t="str">
            <v>FCD DESC. FACT. I. VENC. CESP DUPE      4NC</v>
          </cell>
        </row>
        <row r="22095">
          <cell r="B22095" t="str">
            <v>51040507000712</v>
          </cell>
          <cell r="C22095" t="str">
            <v>FCD DESC. VIRTUAL I. VENC. CESP DUPE    4NC</v>
          </cell>
        </row>
        <row r="22096">
          <cell r="B22096" t="str">
            <v>51040507000713</v>
          </cell>
          <cell r="C22096" t="str">
            <v>FCD DESC. FACT. NEG. I. VENC. CESP DUPE 4NC</v>
          </cell>
        </row>
        <row r="22097">
          <cell r="B22097" t="str">
            <v>51040507000714</v>
          </cell>
          <cell r="C22097" t="str">
            <v>FCD FAC. FIS. LET. I. VENC. CESP DUPE   4NC</v>
          </cell>
        </row>
        <row r="22098">
          <cell r="B22098" t="str">
            <v>51040507000715</v>
          </cell>
          <cell r="C22098" t="str">
            <v>FCD FAC. FIS. FAC.. I. VENC. CESP DUPE  4NC</v>
          </cell>
        </row>
        <row r="22099">
          <cell r="B22099" t="str">
            <v>51040507000716</v>
          </cell>
          <cell r="C22099" t="str">
            <v>FCD DESC. VIRTUAL I. VENC. CESP NORMAL  4NC</v>
          </cell>
        </row>
        <row r="22100">
          <cell r="B22100" t="str">
            <v>51040507000717</v>
          </cell>
          <cell r="C22100" t="str">
            <v>FACT INTER IMPORT  VENC. CESP DUPE      4NC</v>
          </cell>
        </row>
        <row r="22101">
          <cell r="B22101" t="str">
            <v>51040507000718</v>
          </cell>
          <cell r="C22101" t="str">
            <v>FACT INTER IMPORT   VENC. CESP NORMAL   4NC</v>
          </cell>
        </row>
        <row r="22102">
          <cell r="B22102" t="str">
            <v>51040507000801</v>
          </cell>
          <cell r="C22102" t="str">
            <v>LPC INT VEN LEASING COFIDE IDL CESP     4NC</v>
          </cell>
        </row>
        <row r="22103">
          <cell r="B22103" t="str">
            <v>51040507000802</v>
          </cell>
          <cell r="C22103" t="str">
            <v>LPC INT VEN LS COFIDE SEG IDS CESP      4NC</v>
          </cell>
        </row>
        <row r="22104">
          <cell r="B22104" t="str">
            <v>51040507000803</v>
          </cell>
          <cell r="C22104" t="str">
            <v>LPC INT VEN LS COFIDE D/P IDL CESP      4NC</v>
          </cell>
        </row>
        <row r="22105">
          <cell r="B22105" t="str">
            <v>51040507000804</v>
          </cell>
          <cell r="C22105" t="str">
            <v>LPC INT VEN LS COFIDE SEG D/P IDS CESP  4NC</v>
          </cell>
        </row>
        <row r="22106">
          <cell r="B22106" t="str">
            <v>51040507005104</v>
          </cell>
          <cell r="C22106" t="str">
            <v>PR INT GANA VEN LETRAS T. DSCTOÂ  CESP  4NC</v>
          </cell>
        </row>
        <row r="22107">
          <cell r="B22107" t="str">
            <v>51040507005106</v>
          </cell>
          <cell r="C22107" t="str">
            <v>LPC INT MORATORIO CESP                  4NC</v>
          </cell>
        </row>
        <row r="22108">
          <cell r="B22108" t="str">
            <v>51040507005113</v>
          </cell>
          <cell r="C22108" t="str">
            <v>LPC REACTIVA PERU VEN CESP\NORM         4NC</v>
          </cell>
        </row>
        <row r="22109">
          <cell r="B22109" t="str">
            <v>51040507005114</v>
          </cell>
          <cell r="C22109" t="str">
            <v>LPC REACTIVA PERU VEN CESP\DUPE         4NC</v>
          </cell>
        </row>
        <row r="22110">
          <cell r="B22110" t="str">
            <v>51040507005115</v>
          </cell>
          <cell r="C22110" t="str">
            <v>LPC COFIDE FONDOS PERU VEN CESP\NORM    4NC</v>
          </cell>
        </row>
        <row r="22111">
          <cell r="B22111" t="str">
            <v>51040507005116</v>
          </cell>
          <cell r="C22111" t="str">
            <v>LPC COFIDE FONDOS PERU VEN CESP\DUPE    4NC</v>
          </cell>
        </row>
        <row r="22112">
          <cell r="B22112" t="str">
            <v>51040507005117</v>
          </cell>
          <cell r="C22112" t="str">
            <v>LPC COFIDE FONDO CRECER VEN CESP\NORM   4NC</v>
          </cell>
        </row>
        <row r="22113">
          <cell r="B22113" t="str">
            <v>51040507005118</v>
          </cell>
          <cell r="C22113" t="str">
            <v>LPC REACTIVA PERU VEN CESP\NORM         4NC</v>
          </cell>
        </row>
        <row r="22114">
          <cell r="B22114" t="str">
            <v>51040507005119</v>
          </cell>
          <cell r="C22114" t="str">
            <v>MYP INT.GAN.VENC CAP.TRAB.CESP          4 C</v>
          </cell>
        </row>
        <row r="22115">
          <cell r="B22115" t="str">
            <v>51040507005120</v>
          </cell>
          <cell r="C22115" t="str">
            <v>MYP D/P GAN.INT.VENC.IMP. CAP DE TRAB  C4 C</v>
          </cell>
        </row>
        <row r="22116">
          <cell r="B22116" t="str">
            <v>51040508000101</v>
          </cell>
          <cell r="C22116" t="str">
            <v>LPC INT GAN VENC PAG TV  D/P CIVA       4NC</v>
          </cell>
        </row>
        <row r="22117">
          <cell r="B22117" t="str">
            <v>51040508000102</v>
          </cell>
          <cell r="C22117" t="str">
            <v>LPC INT GAN PAG TV VENC CIVA            4NC</v>
          </cell>
        </row>
        <row r="22118">
          <cell r="B22118" t="str">
            <v>51040508000103</v>
          </cell>
          <cell r="C22118" t="str">
            <v>LPC INT GAN VENC PAG TV  COFIDE CIVA    4NC</v>
          </cell>
        </row>
        <row r="22119">
          <cell r="B22119" t="str">
            <v>51040508000104</v>
          </cell>
          <cell r="C22119" t="str">
            <v>LPC INT GAN VENC PAG TV COFIDE D/P CIVA 4NC</v>
          </cell>
        </row>
        <row r="22120">
          <cell r="B22120" t="str">
            <v>51040508000105</v>
          </cell>
          <cell r="C22120" t="str">
            <v>LPC INT GAN PAG TV MED PLZ              4NC</v>
          </cell>
        </row>
        <row r="22121">
          <cell r="B22121" t="str">
            <v>51040508000106</v>
          </cell>
          <cell r="C22121" t="str">
            <v>LPC INT GAN PAG TV MED PLZ D/P          4NC</v>
          </cell>
        </row>
        <row r="22122">
          <cell r="B22122" t="str">
            <v>51040508000107</v>
          </cell>
          <cell r="C22122" t="str">
            <v>LPC INT GAN PAG TV INMOBILIARIO         4NC</v>
          </cell>
        </row>
        <row r="22123">
          <cell r="B22123" t="str">
            <v>51040508000108</v>
          </cell>
          <cell r="C22123" t="str">
            <v>LPC INT GAN PAG TV INMOBILIARIO D/P     4NC</v>
          </cell>
        </row>
        <row r="22124">
          <cell r="B22124" t="str">
            <v>51040508000109</v>
          </cell>
          <cell r="C22124" t="str">
            <v>LPC INT GAN PAG TV EUROS                4NC</v>
          </cell>
        </row>
        <row r="22125">
          <cell r="B22125" t="str">
            <v>51040508000110</v>
          </cell>
          <cell r="C22125" t="str">
            <v>LPC INT GAN PAG TV EUROS                4NC</v>
          </cell>
        </row>
        <row r="22126">
          <cell r="B22126" t="str">
            <v>51040508000111</v>
          </cell>
          <cell r="C22126" t="str">
            <v>LPC INT VEN LEASING BIEN RP CIVA        4NC</v>
          </cell>
        </row>
        <row r="22127">
          <cell r="B22127" t="str">
            <v>51040508000112</v>
          </cell>
          <cell r="C22127" t="str">
            <v>LPC INT VEN LEAS SEG RP CIVA            4NC</v>
          </cell>
        </row>
        <row r="22128">
          <cell r="B22128" t="str">
            <v>51040508000113</v>
          </cell>
          <cell r="C22128" t="str">
            <v>LPC INT VEN LEAS BIEN D/P RP CIVA       4NC</v>
          </cell>
        </row>
        <row r="22129">
          <cell r="B22129" t="str">
            <v>51040508000114</v>
          </cell>
          <cell r="C22129" t="str">
            <v>LPC INT VEN LEAS SEG D/P RP CIVA        4NC</v>
          </cell>
        </row>
        <row r="22130">
          <cell r="B22130" t="str">
            <v>51040508000201</v>
          </cell>
          <cell r="C22130" t="str">
            <v>CL INTERES MORATORIO CIVA               4NC</v>
          </cell>
        </row>
        <row r="22131">
          <cell r="B22131" t="str">
            <v>51040508000202</v>
          </cell>
          <cell r="C22131" t="str">
            <v>CL INT GAN VENC TV CIVA                 4NC</v>
          </cell>
        </row>
        <row r="22132">
          <cell r="B22132" t="str">
            <v>51040508000203</v>
          </cell>
          <cell r="C22132" t="str">
            <v>CL INT GAN PAG TV D/P  VENC CIVA        4NC</v>
          </cell>
        </row>
        <row r="22133">
          <cell r="B22133" t="str">
            <v>51040508000204</v>
          </cell>
          <cell r="C22133" t="str">
            <v>CL INT GAN. VENC. AVALXACEP BKT CIVA    4NC</v>
          </cell>
        </row>
        <row r="22134">
          <cell r="B22134" t="str">
            <v>51040508000301</v>
          </cell>
          <cell r="C22134" t="str">
            <v>FCD INT GAN. VENC. AVALXACEP BKT CIVA   4NC</v>
          </cell>
        </row>
        <row r="22135">
          <cell r="B22135" t="str">
            <v>51040508000401</v>
          </cell>
          <cell r="C22135" t="str">
            <v>TC INT VENCIDO AMEX CIVA                4NC</v>
          </cell>
        </row>
        <row r="22136">
          <cell r="B22136" t="str">
            <v>51040508000402</v>
          </cell>
          <cell r="C22136" t="str">
            <v>TC INT VENCIDO MC CIVA                  4NC</v>
          </cell>
        </row>
        <row r="22137">
          <cell r="B22137" t="str">
            <v>51040508000403</v>
          </cell>
          <cell r="C22137" t="str">
            <v>TC INT VENCIDO VISA CIVA                4NC</v>
          </cell>
        </row>
        <row r="22138">
          <cell r="B22138" t="str">
            <v>51040508000404</v>
          </cell>
          <cell r="C22138" t="str">
            <v>TC INT VENCIDO VISA MEGAPLAZA CIVA      4NC</v>
          </cell>
        </row>
        <row r="22139">
          <cell r="B22139" t="str">
            <v>51040508000405</v>
          </cell>
          <cell r="C22139" t="str">
            <v>TC INT VENCIDO VISA VEA CIVA            4NC</v>
          </cell>
        </row>
        <row r="22140">
          <cell r="B22140" t="str">
            <v>51040508000501</v>
          </cell>
          <cell r="C22140" t="str">
            <v>LPC INT VEN LEASING COFIDE IDL CIVA     4NC</v>
          </cell>
        </row>
        <row r="22141">
          <cell r="B22141" t="str">
            <v>51040508000502</v>
          </cell>
          <cell r="C22141" t="str">
            <v>LPC INT VEN LS COFIDE SEG IDS CIVA      4NC</v>
          </cell>
        </row>
        <row r="22142">
          <cell r="B22142" t="str">
            <v>51040508000503</v>
          </cell>
          <cell r="C22142" t="str">
            <v>LPC INT VEN LS COFIDE D/P IDL CIVA      4NC</v>
          </cell>
        </row>
        <row r="22143">
          <cell r="B22143" t="str">
            <v>51040508000504</v>
          </cell>
          <cell r="C22143" t="str">
            <v>LPC INT VEN LS COFIDE SEG D/P IDS CIVA  4NC</v>
          </cell>
        </row>
        <row r="22144">
          <cell r="B22144" t="str">
            <v>51040508000601</v>
          </cell>
          <cell r="C22144" t="str">
            <v>JCC INT. MORATORIOS CIVA                4NC</v>
          </cell>
        </row>
        <row r="22145">
          <cell r="B22145" t="str">
            <v>51040508000603</v>
          </cell>
          <cell r="C22145" t="str">
            <v>LPC INT MORATORIOS CIVA                 4NC</v>
          </cell>
        </row>
        <row r="22146">
          <cell r="B22146" t="str">
            <v>51040508000610</v>
          </cell>
          <cell r="C22146" t="str">
            <v>LPC REACTIVA PERU VEN CIVA\NORM         4NC</v>
          </cell>
        </row>
        <row r="22147">
          <cell r="B22147" t="str">
            <v>51040508000611</v>
          </cell>
          <cell r="C22147" t="str">
            <v>LPC REACTIVA PERU VEN CIVA\DUPE         4NC</v>
          </cell>
        </row>
        <row r="22148">
          <cell r="B22148" t="str">
            <v>51040508000612</v>
          </cell>
          <cell r="C22148" t="str">
            <v>LPC COFIDE FONDOS PERU VEN CIVA\NORM    4NC</v>
          </cell>
        </row>
        <row r="22149">
          <cell r="B22149" t="str">
            <v>51040508000613</v>
          </cell>
          <cell r="C22149" t="str">
            <v>LPC COFIDE FONDOS PERU VEN CIVA\DUPE    4NC</v>
          </cell>
        </row>
        <row r="22150">
          <cell r="B22150" t="str">
            <v>51040508000614</v>
          </cell>
          <cell r="C22150" t="str">
            <v>LPC COFIDE FONDO CRECER VEN CIVA\NORM   4NC</v>
          </cell>
        </row>
        <row r="22151">
          <cell r="B22151" t="str">
            <v>51040508000615</v>
          </cell>
          <cell r="C22151" t="str">
            <v>LPC REACTIVA PERU VEN CIVA\NORM         4NC</v>
          </cell>
        </row>
        <row r="22152">
          <cell r="B22152" t="str">
            <v>51040509000101</v>
          </cell>
          <cell r="C22152" t="str">
            <v>JCC INT. MORATORIO CESF                 4NC</v>
          </cell>
        </row>
        <row r="22153">
          <cell r="B22153" t="str">
            <v>51040509000102</v>
          </cell>
          <cell r="C22153" t="str">
            <v>LPC BANCO FINANCIERO INT.GANAD.VEN      4NC</v>
          </cell>
        </row>
        <row r="22154">
          <cell r="B22154" t="str">
            <v>51040509000201</v>
          </cell>
          <cell r="C22154" t="str">
            <v>FCD FACT INTER EXPO. INT VENC NORM CESF 4NC</v>
          </cell>
        </row>
        <row r="22155">
          <cell r="B22155" t="str">
            <v>51040509000202</v>
          </cell>
          <cell r="C22155" t="str">
            <v>FCD FORFAITING EXPORTACIÃ“N INT GANA VEN4NC</v>
          </cell>
        </row>
        <row r="22156">
          <cell r="B22156" t="str">
            <v>51040509000203</v>
          </cell>
          <cell r="C22156" t="str">
            <v>FCD FACT INTER EXPO. INT VENC DUPE CESF 4NC</v>
          </cell>
        </row>
        <row r="22157">
          <cell r="B22157" t="str">
            <v>51040509000204</v>
          </cell>
          <cell r="C22157" t="str">
            <v>FCD FORFAITING EXPORTACIÃ“N INT GANA VEN4NC</v>
          </cell>
        </row>
        <row r="22158">
          <cell r="B22158" t="str">
            <v>51040509000205</v>
          </cell>
          <cell r="C22158" t="str">
            <v>FCD INT MORATORIO CESF                  4NC</v>
          </cell>
        </row>
        <row r="22159">
          <cell r="B22159" t="str">
            <v>51040509010101</v>
          </cell>
          <cell r="C22159" t="str">
            <v>FCD CONFIRMING INTERNACIONAL. INT VENC N4NC</v>
          </cell>
        </row>
        <row r="22160">
          <cell r="B22160" t="str">
            <v>51040509010102</v>
          </cell>
          <cell r="C22160" t="str">
            <v>FCD CONFIRMING INTERNACIONAL. INT VENC D4NC</v>
          </cell>
        </row>
        <row r="22161">
          <cell r="B22161" t="str">
            <v>51040509012110</v>
          </cell>
          <cell r="C22161" t="str">
            <v>CL EX FACTO FORFAIT. INT GANA VENC CESF 4NC</v>
          </cell>
        </row>
        <row r="22162">
          <cell r="B22162" t="str">
            <v>51040509012111</v>
          </cell>
          <cell r="C22162" t="str">
            <v>CL EX INT. MORATORIO CESF               4NC</v>
          </cell>
        </row>
        <row r="22163">
          <cell r="B22163" t="str">
            <v>51040509012801</v>
          </cell>
          <cell r="C22163" t="str">
            <v>LPC CORPORACION FINANCIERA DE DESARROLO 4NC</v>
          </cell>
        </row>
        <row r="22164">
          <cell r="B22164" t="str">
            <v>51040509012802</v>
          </cell>
          <cell r="C22164" t="str">
            <v>LPC MITSUI AUTO FINANCE PERU INT.G.VEN  4NC</v>
          </cell>
        </row>
        <row r="22165">
          <cell r="B22165" t="str">
            <v>51040509012901</v>
          </cell>
          <cell r="C22165" t="str">
            <v>LPC MI BANCO                            4NC</v>
          </cell>
        </row>
        <row r="22166">
          <cell r="B22166" t="str">
            <v>51040509013101</v>
          </cell>
          <cell r="C22166" t="str">
            <v>LPC BANO AGROPECUARIO                   4NC</v>
          </cell>
        </row>
        <row r="22167">
          <cell r="B22167" t="str">
            <v>51040509013301</v>
          </cell>
          <cell r="C22167" t="str">
            <v>LPC BANCO FALABELLA VENCIDO             4NC</v>
          </cell>
        </row>
        <row r="22168">
          <cell r="B22168" t="str">
            <v>51040509013501</v>
          </cell>
          <cell r="C22168" t="str">
            <v>LPC BANCO RIPLEY VEN                    4NC</v>
          </cell>
        </row>
        <row r="22169">
          <cell r="B22169" t="str">
            <v>51040509020701</v>
          </cell>
          <cell r="C22169" t="str">
            <v>LPC FINANCIERA TFC (VOLVO FINANCE DEL PE4NC</v>
          </cell>
        </row>
        <row r="22170">
          <cell r="B22170" t="str">
            <v>51040509020901</v>
          </cell>
          <cell r="C22170" t="str">
            <v>LPC FINANCIERA EDYFICAR S.A.            4NC</v>
          </cell>
        </row>
        <row r="22171">
          <cell r="B22171" t="str">
            <v>51040509021101</v>
          </cell>
          <cell r="C22171" t="str">
            <v>LPC FINANCIERA CREAR VIG CESF           4NC</v>
          </cell>
        </row>
        <row r="22172">
          <cell r="B22172" t="str">
            <v>51040509021201</v>
          </cell>
          <cell r="C22172" t="str">
            <v>LPC FINANCIERA CONFIANZA S.A. VIG CESF  4NC</v>
          </cell>
        </row>
        <row r="22173">
          <cell r="B22173" t="str">
            <v>51040509021401</v>
          </cell>
          <cell r="C22173" t="str">
            <v>LPC FINAN.UNO GAN VEN                   4NC</v>
          </cell>
        </row>
        <row r="22174">
          <cell r="B22174" t="str">
            <v>51040509021501</v>
          </cell>
          <cell r="C22174" t="str">
            <v>LPC FINANCIERA EFECTIVA CESF            4NC</v>
          </cell>
        </row>
        <row r="22175">
          <cell r="B22175" t="str">
            <v>51040509021601</v>
          </cell>
          <cell r="C22175" t="str">
            <v>LPC AMERIKA FINANCIERA SA.              4NC</v>
          </cell>
        </row>
        <row r="22176">
          <cell r="B22176" t="str">
            <v>51040509021901</v>
          </cell>
          <cell r="C22176" t="str">
            <v>LPC INT GAN FINANCIERA CREDINKA VENC    4NC</v>
          </cell>
        </row>
        <row r="22177">
          <cell r="B22177" t="str">
            <v>51040509030101</v>
          </cell>
          <cell r="C22177" t="str">
            <v>LPC CAJA MUNICIPAL DE AHORRO Y CRED CESF4NC</v>
          </cell>
        </row>
        <row r="22178">
          <cell r="B22178" t="str">
            <v>51040509030102</v>
          </cell>
          <cell r="C22178" t="str">
            <v>GARANTIA LEASING BIENES  MUEBLES        4NC</v>
          </cell>
        </row>
        <row r="22179">
          <cell r="B22179" t="str">
            <v>51040509030103</v>
          </cell>
          <cell r="C22179" t="str">
            <v>LPC CAJA MUNIC.DE CRED.POPULAR DE LIMA I4NC</v>
          </cell>
        </row>
        <row r="22180">
          <cell r="B22180" t="str">
            <v>51040509030401</v>
          </cell>
          <cell r="C22180" t="str">
            <v>LPC CJA MUNI.AHO.Y CRED.AREQUIPA VEN    4NC</v>
          </cell>
        </row>
        <row r="22181">
          <cell r="B22181" t="str">
            <v>51040509030501</v>
          </cell>
          <cell r="C22181" t="str">
            <v>LPC CAJA MUNICIPAL DE AHORRO Y CRED. HUA4NC</v>
          </cell>
        </row>
        <row r="22182">
          <cell r="B22182" t="str">
            <v>51040509030601</v>
          </cell>
          <cell r="C22182" t="str">
            <v>LPC CAJA MUNIC.DE AH.Y CRED.CUSCO INT.G.4NC</v>
          </cell>
        </row>
        <row r="22183">
          <cell r="B22183" t="str">
            <v>51040509030701</v>
          </cell>
          <cell r="C22183" t="str">
            <v>LPC CAJA MUNICIPAL DE AHORRO Y CRED. MAY4NC</v>
          </cell>
        </row>
        <row r="22184">
          <cell r="B22184" t="str">
            <v>51040509030801</v>
          </cell>
          <cell r="C22184" t="str">
            <v>LPC CAJA MUN.DE AH.Y CRED.ICA INT.G.VEN 4NC</v>
          </cell>
        </row>
        <row r="22185">
          <cell r="B22185" t="str">
            <v>51040509031001</v>
          </cell>
          <cell r="C22185" t="str">
            <v>LPC CAJA MUNIC. DE AHORRO Y CRED DEL SAN4NC</v>
          </cell>
        </row>
        <row r="22186">
          <cell r="B22186" t="str">
            <v>51040509031101</v>
          </cell>
          <cell r="C22186" t="str">
            <v>LPC CAJA MUNICIPAL DE AHORRO Y CRED. TRU4NC</v>
          </cell>
        </row>
        <row r="22187">
          <cell r="B22187" t="str">
            <v>51040509031201</v>
          </cell>
          <cell r="C22187" t="str">
            <v>LPC CAJA MUNICIPAL DE AHORRO Y CRED. TAC4NC</v>
          </cell>
        </row>
        <row r="22188">
          <cell r="B22188" t="str">
            <v>51040509040101</v>
          </cell>
          <cell r="C22188" t="str">
            <v>TC INT VENCIDO VISA CESF                4NC</v>
          </cell>
        </row>
        <row r="22189">
          <cell r="B22189" t="str">
            <v>51040509040701</v>
          </cell>
          <cell r="C22189" t="str">
            <v>LPC CAJA RURAL DE AHORRO Y CREDITO CHAVI4NC</v>
          </cell>
        </row>
        <row r="22190">
          <cell r="B22190" t="str">
            <v>51040509041001</v>
          </cell>
          <cell r="C22190" t="str">
            <v>LPC CAJA RURAL DE AHORRO Y CREDITO PROFI4NC</v>
          </cell>
        </row>
        <row r="22191">
          <cell r="B22191" t="str">
            <v>51040509051001</v>
          </cell>
          <cell r="C22191" t="str">
            <v>LPC EDPYME SOLIDARIDAD                  4NC</v>
          </cell>
        </row>
        <row r="22192">
          <cell r="B22192" t="str">
            <v>51040509051401</v>
          </cell>
          <cell r="C22192" t="str">
            <v>LPC EDPYME ALTERNATIVA VIG              4NC</v>
          </cell>
        </row>
        <row r="22193">
          <cell r="B22193" t="str">
            <v>51040509060101</v>
          </cell>
          <cell r="C22193" t="str">
            <v>LPC COOPERATIVA DE AHORRO Y CREDITO     4NC</v>
          </cell>
        </row>
        <row r="22194">
          <cell r="B22194" t="str">
            <v>51040509060601</v>
          </cell>
          <cell r="C22194" t="str">
            <v>LPC CAJA RURAL DE AH.Y CREDITO CREDINKA 4NC</v>
          </cell>
        </row>
        <row r="22195">
          <cell r="B22195" t="str">
            <v>51040509101201</v>
          </cell>
          <cell r="C22195" t="str">
            <v>LPC MAPFRE PERU CIA DE SEGUROS Y REASEGU4NC</v>
          </cell>
        </row>
        <row r="22196">
          <cell r="B22196" t="str">
            <v>51040509130101</v>
          </cell>
          <cell r="C22196" t="str">
            <v>LPC INT VEN LS LA FIDUCIARIA IDL CESF   4NC</v>
          </cell>
        </row>
        <row r="22197">
          <cell r="B22197" t="str">
            <v>51040509130102</v>
          </cell>
          <cell r="C22197" t="str">
            <v>LPC INT VEN LS LA FIDUC SEG IDS CESF    4NC</v>
          </cell>
        </row>
        <row r="22198">
          <cell r="B22198" t="str">
            <v>51040509130103</v>
          </cell>
          <cell r="C22198" t="str">
            <v>LPC INT VEN LS LA FIDUC D/P IDL CESF    4NC</v>
          </cell>
        </row>
        <row r="22199">
          <cell r="B22199" t="str">
            <v>51040509130104</v>
          </cell>
          <cell r="C22199" t="str">
            <v>LPC INT VEN LS LA FIDUC SEG D/P IDS CESF4NC</v>
          </cell>
        </row>
        <row r="22200">
          <cell r="B22200" t="str">
            <v>51040509170101</v>
          </cell>
          <cell r="C22200" t="str">
            <v>LPC INT GAN FACT INTER BRITISH ARAB COM 4NC</v>
          </cell>
        </row>
        <row r="22201">
          <cell r="B22201" t="str">
            <v>51040509170102</v>
          </cell>
          <cell r="C22201" t="str">
            <v>LPC INT GAN VENC PAGARE FORFAITING CESF 4NC</v>
          </cell>
        </row>
        <row r="22202">
          <cell r="B22202" t="str">
            <v>51040509170103</v>
          </cell>
          <cell r="C22202" t="str">
            <v>FCD FACT INTER EXPO. INT VENC NORM BCO E4NC</v>
          </cell>
        </row>
        <row r="22203">
          <cell r="B22203" t="str">
            <v>51040509170104</v>
          </cell>
          <cell r="C22203" t="str">
            <v>FCD FORFAITING EXPORT INT GAN VENC NORMÂ4NC</v>
          </cell>
        </row>
        <row r="22204">
          <cell r="B22204" t="str">
            <v>51040509170201</v>
          </cell>
          <cell r="C22204" t="str">
            <v>PR FACTORING INTER. INT VENC CESF       4NC</v>
          </cell>
        </row>
        <row r="22205">
          <cell r="B22205" t="str">
            <v>51040509170203</v>
          </cell>
          <cell r="C22205" t="str">
            <v>PR  CONFIRMING INTER INT.GAN.VEN CESF   4NC</v>
          </cell>
        </row>
        <row r="22206">
          <cell r="B22206" t="str">
            <v>51040509990501</v>
          </cell>
          <cell r="C22206" t="str">
            <v>PR Forfaiting ExportaciÃ³n Int Gana Venc4NC</v>
          </cell>
        </row>
        <row r="22207">
          <cell r="B22207" t="str">
            <v>51040510000101</v>
          </cell>
          <cell r="C22207" t="str">
            <v>LPC INT VEN LEASING BIEN RP CCOR        4NC</v>
          </cell>
        </row>
        <row r="22208">
          <cell r="B22208" t="str">
            <v>51040510000102</v>
          </cell>
          <cell r="C22208" t="str">
            <v>LPC INT VEN LEAS SEG RP CCOR            4NC</v>
          </cell>
        </row>
        <row r="22209">
          <cell r="B22209" t="str">
            <v>51040510000103</v>
          </cell>
          <cell r="C22209" t="str">
            <v>LPC INT GAN PAG DSCTO D/P VENC CCOR     4NC</v>
          </cell>
        </row>
        <row r="22210">
          <cell r="B22210" t="str">
            <v>51040510000104</v>
          </cell>
          <cell r="C22210" t="str">
            <v>LPC INT GAN PAG DSCTO VENC CCOR         4NC</v>
          </cell>
        </row>
        <row r="22211">
          <cell r="B22211" t="str">
            <v>51040510000105</v>
          </cell>
          <cell r="C22211" t="str">
            <v>LPC REF LS COFIGAS INT.GAN. VEN PDL CCOR4NC</v>
          </cell>
        </row>
        <row r="22212">
          <cell r="B22212" t="str">
            <v>51040510000106</v>
          </cell>
          <cell r="C22212" t="str">
            <v>LPC REF LS COFIGAS INT.GAN SB VEN PDS CC4NC</v>
          </cell>
        </row>
        <row r="22213">
          <cell r="B22213" t="str">
            <v>51040510000107</v>
          </cell>
          <cell r="C22213" t="str">
            <v>LPC INT GAN PAG FINAN PROY   VENC CCOR  4NC</v>
          </cell>
        </row>
        <row r="22214">
          <cell r="B22214" t="str">
            <v>51040510000108</v>
          </cell>
          <cell r="C22214" t="str">
            <v>LPC INT GAN PAG FINAN PROY D/P  VENC CCO4NC</v>
          </cell>
        </row>
        <row r="22215">
          <cell r="B22215" t="str">
            <v>51040510000109</v>
          </cell>
          <cell r="C22215" t="str">
            <v>LPC INT GAN PAG DERIVADOS VENC CCOR     4NC</v>
          </cell>
        </row>
        <row r="22216">
          <cell r="B22216" t="str">
            <v>51040510000110</v>
          </cell>
          <cell r="C22216" t="str">
            <v>LPC INT GAN VENC PAG DERIVADOS  D/P CCOR4NC</v>
          </cell>
        </row>
        <row r="22217">
          <cell r="B22217" t="str">
            <v>51040510000111</v>
          </cell>
          <cell r="C22217" t="str">
            <v>LPC INT GAN VENC  PAG. FINANC PROY COFID4NC</v>
          </cell>
        </row>
        <row r="22218">
          <cell r="B22218" t="str">
            <v>51040510000112</v>
          </cell>
          <cell r="C22218" t="str">
            <v>LPC INT GAN VENC  PAG TV  COFIDE CCOR   4NC</v>
          </cell>
        </row>
        <row r="22219">
          <cell r="B22219" t="str">
            <v>51040510000113</v>
          </cell>
          <cell r="C22219" t="str">
            <v>LPC INT GAN VENC PAGARE FORFAITING CCOR 4NC</v>
          </cell>
        </row>
        <row r="22220">
          <cell r="B22220" t="str">
            <v>51040510000114</v>
          </cell>
          <cell r="C22220" t="str">
            <v>LPC INT GAN VENC PAGARE FORFAITING D/P C4NC</v>
          </cell>
        </row>
        <row r="22221">
          <cell r="B22221" t="str">
            <v>51040510000115</v>
          </cell>
          <cell r="C22221" t="str">
            <v>LPC INT.GAN PAG REPROGRAMADO REV NORM CC4NC</v>
          </cell>
        </row>
        <row r="22222">
          <cell r="B22222" t="str">
            <v>51040510000116</v>
          </cell>
          <cell r="C22222" t="str">
            <v>LPC INT.GAN PAG REPROGRAMADO D/P CCOR   4NC</v>
          </cell>
        </row>
        <row r="22223">
          <cell r="B22223" t="str">
            <v>51040510000201</v>
          </cell>
          <cell r="C22223" t="str">
            <v>LPC INT VEN LEAS BIEN D/P RP CCOR       4NC</v>
          </cell>
        </row>
        <row r="22224">
          <cell r="B22224" t="str">
            <v>51040510000202</v>
          </cell>
          <cell r="C22224" t="str">
            <v>LPC INT VEN LEAS SEG D/P RP CCOR        4NC</v>
          </cell>
        </row>
        <row r="22225">
          <cell r="B22225" t="str">
            <v>51040510000301</v>
          </cell>
          <cell r="C22225" t="str">
            <v>LPC INT VEN LEASEBACK BIEN RP CCOR      4NC</v>
          </cell>
        </row>
        <row r="22226">
          <cell r="B22226" t="str">
            <v>51040510000302</v>
          </cell>
          <cell r="C22226" t="str">
            <v>LPC INT VEN LEASEBACK SEG RP CCOR       4NC</v>
          </cell>
        </row>
        <row r="22227">
          <cell r="B22227" t="str">
            <v>51040510000303</v>
          </cell>
          <cell r="C22227" t="str">
            <v>LPC INT VEN LSBACK BIEN D/P RP CCOR     4NC</v>
          </cell>
        </row>
        <row r="22228">
          <cell r="B22228" t="str">
            <v>51040510000304</v>
          </cell>
          <cell r="C22228" t="str">
            <v>LPC INT VEN LSBACK SEG D/P RP CCOR      4NC</v>
          </cell>
        </row>
        <row r="22229">
          <cell r="B22229" t="str">
            <v>51040510000305</v>
          </cell>
          <cell r="C22229" t="str">
            <v>LPC INT VEN LSB  BIEN OTROS SUSP CCOR   4NC</v>
          </cell>
        </row>
        <row r="22230">
          <cell r="B22230" t="str">
            <v>51040510000306</v>
          </cell>
          <cell r="C22230" t="str">
            <v>LPC INT VEN LSB SEG OTROS SUSP CCOR     4NC</v>
          </cell>
        </row>
        <row r="22231">
          <cell r="B22231" t="str">
            <v>51040510000401</v>
          </cell>
          <cell r="C22231" t="str">
            <v>LPC GAN VEN LSG BIEN ADJ. RP CCOR       4NC</v>
          </cell>
        </row>
        <row r="22232">
          <cell r="B22232" t="str">
            <v>51040510000402</v>
          </cell>
          <cell r="C22232" t="str">
            <v>LPC INT VEN LSG SEG. ADJ. RP CCOR       4NC</v>
          </cell>
        </row>
        <row r="22233">
          <cell r="B22233" t="str">
            <v>51040510000403</v>
          </cell>
          <cell r="C22233" t="str">
            <v>LPC GAN VEN LSG BIEN ADJ. D/P CCOR      4NC</v>
          </cell>
        </row>
        <row r="22234">
          <cell r="B22234" t="str">
            <v>51040510000404</v>
          </cell>
          <cell r="C22234" t="str">
            <v>LPC SEG VEN .LSG ADJ. CCOR V-S          4NC</v>
          </cell>
        </row>
        <row r="22235">
          <cell r="B22235" t="str">
            <v>51040510000405</v>
          </cell>
          <cell r="C22235" t="str">
            <v>LPC INT VEN LS  BIEN OTROS SUSP RP CCOR 4NC</v>
          </cell>
        </row>
        <row r="22236">
          <cell r="B22236" t="str">
            <v>51040510000406</v>
          </cell>
          <cell r="C22236" t="str">
            <v>LPC INT VEN LS SEG OTROS SUSP RP CCOR   4NC</v>
          </cell>
        </row>
        <row r="22237">
          <cell r="B22237" t="str">
            <v>51040510000407</v>
          </cell>
          <cell r="C22237" t="str">
            <v>LPC INT VEN LEAS REESTR BIEN RP CCOR    4NC</v>
          </cell>
        </row>
        <row r="22238">
          <cell r="B22238" t="str">
            <v>51040510000408</v>
          </cell>
          <cell r="C22238" t="str">
            <v>LPC INT VEN LEAS REESTR SEG RP CCOR     4NC</v>
          </cell>
        </row>
        <row r="22239">
          <cell r="B22239" t="str">
            <v>51040510000409</v>
          </cell>
          <cell r="C22239" t="str">
            <v>LPC INT VEN LEAS REF BIEN RP CCOR       4NC</v>
          </cell>
        </row>
        <row r="22240">
          <cell r="B22240" t="str">
            <v>51040510000410</v>
          </cell>
          <cell r="C22240" t="str">
            <v>LPC INT VEN LEAS REF SEG RP CCOR        4NC</v>
          </cell>
        </row>
        <row r="22241">
          <cell r="B22241" t="str">
            <v>51040510000501</v>
          </cell>
          <cell r="C22241" t="str">
            <v>LPC INT GAN PAG TV VENC CCOR            4NC</v>
          </cell>
        </row>
        <row r="22242">
          <cell r="B22242" t="str">
            <v>51040510000502</v>
          </cell>
          <cell r="C22242" t="str">
            <v>LPC INT GAN VENC PAG TV  D/P CCOR       4NC</v>
          </cell>
        </row>
        <row r="22243">
          <cell r="B22243" t="str">
            <v>51040510000503</v>
          </cell>
          <cell r="C22243" t="str">
            <v>LPC INT VEN LEASEBACK REF BIEN RP CCOR  4NC</v>
          </cell>
        </row>
        <row r="22244">
          <cell r="B22244" t="str">
            <v>51040510000504</v>
          </cell>
          <cell r="C22244" t="str">
            <v>LPC INT VEN LEASEBACK REFIN SEG CCOR    4NC</v>
          </cell>
        </row>
        <row r="22245">
          <cell r="B22245" t="str">
            <v>51040510000505</v>
          </cell>
          <cell r="C22245" t="str">
            <v>LPC INT GAN VENC  PAG TV  COFIDE CCOR   4NC</v>
          </cell>
        </row>
        <row r="22246">
          <cell r="B22246" t="str">
            <v>51040510000506</v>
          </cell>
          <cell r="C22246" t="str">
            <v>LPC INT GAN VENC PAG TV COFIDE D/P CCOR 4NC</v>
          </cell>
        </row>
        <row r="22247">
          <cell r="B22247" t="str">
            <v>51040510000507</v>
          </cell>
          <cell r="C22247" t="str">
            <v>LPC INT GAN PAG TV MED PLZ              4NC</v>
          </cell>
        </row>
        <row r="22248">
          <cell r="B22248" t="str">
            <v>51040510000508</v>
          </cell>
          <cell r="C22248" t="str">
            <v>LPC INT GAN PAG TV MED PLZ D/P          4NC</v>
          </cell>
        </row>
        <row r="22249">
          <cell r="B22249" t="str">
            <v>51040510000509</v>
          </cell>
          <cell r="C22249" t="str">
            <v>LPC INT GAN PAG TV INMOBILIARIO         4NC</v>
          </cell>
        </row>
        <row r="22250">
          <cell r="B22250" t="str">
            <v>51040510000510</v>
          </cell>
          <cell r="C22250" t="str">
            <v>LPC INT GAN PAG TV INMOBILIARIO D/P     4NC</v>
          </cell>
        </row>
        <row r="22251">
          <cell r="B22251" t="str">
            <v>51040510000511</v>
          </cell>
          <cell r="C22251" t="str">
            <v>LPC INT GAN FINAN PRE EMBARQUE          4NC</v>
          </cell>
        </row>
        <row r="22252">
          <cell r="B22252" t="str">
            <v>51040510000512</v>
          </cell>
          <cell r="C22252" t="str">
            <v>LPC INT GAN FINAN PRE EMBARQUE D/P      4NC</v>
          </cell>
        </row>
        <row r="22253">
          <cell r="B22253" t="str">
            <v>51040510000513</v>
          </cell>
          <cell r="C22253" t="str">
            <v>LPC INT GAN PAG TV EUROS                4NC</v>
          </cell>
        </row>
        <row r="22254">
          <cell r="B22254" t="str">
            <v>51040510000514</v>
          </cell>
          <cell r="C22254" t="str">
            <v>LPC INT GAN PAG TV EUROS D/P            4NC</v>
          </cell>
        </row>
        <row r="22255">
          <cell r="B22255" t="str">
            <v>51040510000601</v>
          </cell>
          <cell r="C22255" t="str">
            <v>LPC INT.GAN VENC IMPORT D/P CCOR        4NC</v>
          </cell>
        </row>
        <row r="22256">
          <cell r="B22256" t="str">
            <v>51040510000602</v>
          </cell>
          <cell r="C22256" t="str">
            <v>LPC INT GAN VEN EX PRE EMB CCOR         4NC</v>
          </cell>
        </row>
        <row r="22257">
          <cell r="B22257" t="str">
            <v>51040510000603</v>
          </cell>
          <cell r="C22257" t="str">
            <v>LPC INT GAN VENC EX POST EMB RP D/P CCOR4NC</v>
          </cell>
        </row>
        <row r="22258">
          <cell r="B22258" t="str">
            <v>51040510000604</v>
          </cell>
          <cell r="C22258" t="str">
            <v>LPC INT GAN VENC EX PRE EMB CCOR        4NC</v>
          </cell>
        </row>
        <row r="22259">
          <cell r="B22259" t="str">
            <v>51040510000605</v>
          </cell>
          <cell r="C22259" t="str">
            <v>LPC INT GAN VENC EX POST EMB RP CCOR    4NC</v>
          </cell>
        </row>
        <row r="22260">
          <cell r="B22260" t="str">
            <v>51040510000606</v>
          </cell>
          <cell r="C22260" t="str">
            <v>LPC INT GAN VENC IMPOR CCOR             4NC</v>
          </cell>
        </row>
        <row r="22261">
          <cell r="B22261" t="str">
            <v>51040510000607</v>
          </cell>
          <cell r="C22261" t="str">
            <v>LPC INT.GAN VEN  WORK CAP.EX PRE EMB CCO4NC</v>
          </cell>
        </row>
        <row r="22262">
          <cell r="B22262" t="str">
            <v>51040510000608</v>
          </cell>
          <cell r="C22262" t="str">
            <v>LPC INT GAN FINAN PRE EMBARQUE-SEPYMEX C4NC</v>
          </cell>
        </row>
        <row r="22263">
          <cell r="B22263" t="str">
            <v>51040510000609</v>
          </cell>
          <cell r="C22263" t="str">
            <v>LPC INT GAN FINAN PRE EMBARQUE D/P-SEPYM4NC</v>
          </cell>
        </row>
        <row r="22264">
          <cell r="B22264" t="str">
            <v>51040510000610</v>
          </cell>
          <cell r="C22264" t="str">
            <v>LPC INT GAN PRE EMBARQUE VEN.NORM CCOR  4NC</v>
          </cell>
        </row>
        <row r="22265">
          <cell r="B22265" t="str">
            <v>51040510000611</v>
          </cell>
          <cell r="C22265" t="str">
            <v>LPC INT GAN PRE EMBARQUE VEN.DUPE CCOR  4NC</v>
          </cell>
        </row>
        <row r="22266">
          <cell r="B22266" t="str">
            <v>51040510000612</v>
          </cell>
          <cell r="C22266" t="str">
            <v>LPC INT GAN POST EMBARQUE VEN.NORM CCOR 4NC</v>
          </cell>
        </row>
        <row r="22267">
          <cell r="B22267" t="str">
            <v>51040510000613</v>
          </cell>
          <cell r="C22267" t="str">
            <v>LPC INT GAN POST EMBARQUE VEN.DUPE CCOR 4NC</v>
          </cell>
        </row>
        <row r="22268">
          <cell r="B22268" t="str">
            <v>51040510000614</v>
          </cell>
          <cell r="C22268" t="str">
            <v>LPC INT GAN IMPORT. CARTA CREDITO  VEN.N4NC</v>
          </cell>
        </row>
        <row r="22269">
          <cell r="B22269" t="str">
            <v>51040510000615</v>
          </cell>
          <cell r="C22269" t="str">
            <v>LPC INT GAN IMPORT. CARTA CREDITO  VEN.D4NC</v>
          </cell>
        </row>
        <row r="22270">
          <cell r="B22270" t="str">
            <v>51040510000616</v>
          </cell>
          <cell r="C22270" t="str">
            <v>LPC INT GAN IMPORT.  VEN.NORM CCOR      4NC</v>
          </cell>
        </row>
        <row r="22271">
          <cell r="B22271" t="str">
            <v>51040510000617</v>
          </cell>
          <cell r="C22271" t="str">
            <v>LPC INT GAN IMPORT.  VEN.DUPE CCOR      4NC</v>
          </cell>
        </row>
        <row r="22272">
          <cell r="B22272" t="str">
            <v>51040510000701</v>
          </cell>
          <cell r="C22272" t="str">
            <v>INT VENC TC - COMERCIAL CCOR            4NC</v>
          </cell>
        </row>
        <row r="22273">
          <cell r="B22273" t="str">
            <v>51040510000702</v>
          </cell>
          <cell r="C22273" t="str">
            <v>INT VENC TC - COMERC MC CCOR            4NC</v>
          </cell>
        </row>
        <row r="22274">
          <cell r="B22274" t="str">
            <v>51040510000703</v>
          </cell>
          <cell r="C22274" t="str">
            <v>INT VENC TC - COMERCIAL AMEX CCOR       4NC</v>
          </cell>
        </row>
        <row r="22275">
          <cell r="B22275" t="str">
            <v>51040510000704</v>
          </cell>
          <cell r="C22275" t="str">
            <v>INT VENC TC - COMERC VEA CCOR           4NC</v>
          </cell>
        </row>
        <row r="22276">
          <cell r="B22276" t="str">
            <v>51040510000801</v>
          </cell>
          <cell r="C22276" t="str">
            <v>CL INT GANAD PAG DSCTO VENC CCOR        4NC</v>
          </cell>
        </row>
        <row r="22277">
          <cell r="B22277" t="str">
            <v>51040510000802</v>
          </cell>
          <cell r="C22277" t="str">
            <v>CL INT GAN PAG DSCTO D/P VENC CCOR      4NC</v>
          </cell>
        </row>
        <row r="22278">
          <cell r="B22278" t="str">
            <v>51040510000803</v>
          </cell>
          <cell r="C22278" t="str">
            <v>CL INT GAN PAG TV D/P  VENC CCOR        4NC</v>
          </cell>
        </row>
        <row r="22279">
          <cell r="B22279" t="str">
            <v>51040510000804</v>
          </cell>
          <cell r="C22279" t="str">
            <v>CL INT GAN VENC TV CCOR                 4NC</v>
          </cell>
        </row>
        <row r="22280">
          <cell r="B22280" t="str">
            <v>51040510000805</v>
          </cell>
          <cell r="C22280" t="str">
            <v>CL INT.GAN PAG.TV NEG.INMOB VEN CCOR    4NC</v>
          </cell>
        </row>
        <row r="22281">
          <cell r="B22281" t="str">
            <v>51040510000806</v>
          </cell>
          <cell r="C22281" t="str">
            <v>CL INT GAN OTROS SUSP VENC CCOR         4NC</v>
          </cell>
        </row>
        <row r="22282">
          <cell r="B22282" t="str">
            <v>51040510000807</v>
          </cell>
          <cell r="C22282" t="str">
            <v>CL INT.GAN.DEUD.VTA.CART.VEN CCOR       4NC</v>
          </cell>
        </row>
        <row r="22283">
          <cell r="B22283" t="str">
            <v>51040510000808</v>
          </cell>
          <cell r="C22283" t="str">
            <v>CL INT GANAD VENC PREST COFIDE CCOR     4NC</v>
          </cell>
        </row>
        <row r="22284">
          <cell r="B22284" t="str">
            <v>51040510000809</v>
          </cell>
          <cell r="C22284" t="str">
            <v>CL INT. GAN. VENC BK CCOR               4NC</v>
          </cell>
        </row>
        <row r="22285">
          <cell r="B22285" t="str">
            <v>51040510000810</v>
          </cell>
          <cell r="C22285" t="str">
            <v>CL INT. GAN. MORATORIO BK CCOR          4NC</v>
          </cell>
        </row>
        <row r="22286">
          <cell r="B22286" t="str">
            <v>51040510000811</v>
          </cell>
          <cell r="C22286" t="str">
            <v>CL INT GAN. VENC. AVALXACEP BKT CCOR    4NC</v>
          </cell>
        </row>
        <row r="22287">
          <cell r="B22287" t="str">
            <v>51040510000812</v>
          </cell>
          <cell r="C22287" t="str">
            <v>CL INT.GAN. VENC. BKT CCOR              4NC</v>
          </cell>
        </row>
        <row r="22288">
          <cell r="B22288" t="str">
            <v>51040510000813</v>
          </cell>
          <cell r="C22288" t="str">
            <v>CL INT GAN VENC VISTA BKT CCOR          4NC</v>
          </cell>
        </row>
        <row r="22289">
          <cell r="B22289" t="str">
            <v>51040510000814</v>
          </cell>
          <cell r="C22289" t="str">
            <v>CL INT GAN VENC VISTA BKT CCOR          4NC</v>
          </cell>
        </row>
        <row r="22290">
          <cell r="B22290" t="str">
            <v>51040510000815</v>
          </cell>
          <cell r="C22290" t="str">
            <v>CL PRE JUD INT GAN DSCTO.PAG TV CCOR    4NC</v>
          </cell>
        </row>
        <row r="22291">
          <cell r="B22291" t="str">
            <v>51040510000816</v>
          </cell>
          <cell r="C22291" t="str">
            <v>CL PRE JUD INT GAN DSCT LETR VENC CCOR  4NC</v>
          </cell>
        </row>
        <row r="22292">
          <cell r="B22292" t="str">
            <v>51040510000817</v>
          </cell>
          <cell r="C22292" t="str">
            <v>CL PRE JUD INT.GAN PREST EXP VENC CCOR  4NC</v>
          </cell>
        </row>
        <row r="22293">
          <cell r="B22293" t="str">
            <v>51040510000818</v>
          </cell>
          <cell r="C22293" t="str">
            <v>CL PRE JUD INT GAN.PAG IMP VENC CCOR GL 4NC</v>
          </cell>
        </row>
        <row r="22294">
          <cell r="B22294" t="str">
            <v>51040510000819</v>
          </cell>
          <cell r="C22294" t="str">
            <v>CL PRE JUD INT.GAN RP CAP.TRAB  CCOR    4NC</v>
          </cell>
        </row>
        <row r="22295">
          <cell r="B22295" t="str">
            <v>51040510000820</v>
          </cell>
          <cell r="C22295" t="str">
            <v>CL PRE JUD INT.GAN FACT LET CCOR        4NC</v>
          </cell>
        </row>
        <row r="22296">
          <cell r="B22296" t="str">
            <v>51040510000821</v>
          </cell>
          <cell r="C22296" t="str">
            <v>CL PRE JUD INT.GAN FACT FACT VENC CCOR G4NC</v>
          </cell>
        </row>
        <row r="22297">
          <cell r="B22297" t="str">
            <v>51040510000822</v>
          </cell>
          <cell r="C22297" t="str">
            <v>CL PRE JUD INT.GAN CART CRED CCOR GL 7004NC</v>
          </cell>
        </row>
        <row r="22298">
          <cell r="B22298" t="str">
            <v>51040510000823</v>
          </cell>
          <cell r="C22298" t="str">
            <v>CL PRE JUD INT.GAN CART FIANZ VENC CCOR 4NC</v>
          </cell>
        </row>
        <row r="22299">
          <cell r="B22299" t="str">
            <v>51040510000824</v>
          </cell>
          <cell r="C22299" t="str">
            <v>CL PRE JUD GAN P TV MED PLZ C/FIJ CCOR  4NC</v>
          </cell>
        </row>
        <row r="22300">
          <cell r="B22300" t="str">
            <v>51040510000825</v>
          </cell>
          <cell r="C22300" t="str">
            <v>CL PRE JUD INT GAN TC CONS-COM VENC CCOR4NC</v>
          </cell>
        </row>
        <row r="22301">
          <cell r="B22301" t="str">
            <v>51040510000826</v>
          </cell>
          <cell r="C22301" t="str">
            <v>CL PRE JUD INT GAN TC AMEX PJ VENC CCOR 4NC</v>
          </cell>
        </row>
        <row r="22302">
          <cell r="B22302" t="str">
            <v>51040510000827</v>
          </cell>
          <cell r="C22302" t="str">
            <v>CL PRE JUD INT.GAN TC MASTER PJ VENC CCO4NC</v>
          </cell>
        </row>
        <row r="22303">
          <cell r="B22303" t="str">
            <v>51040510000828</v>
          </cell>
          <cell r="C22303" t="str">
            <v>CL PRE JUD INT GAN RFA SUBOR VENC CCOR  4NC</v>
          </cell>
        </row>
        <row r="22304">
          <cell r="B22304" t="str">
            <v>51040510000829</v>
          </cell>
          <cell r="C22304" t="str">
            <v>CL PRE JUD INT GAN RFA FINANC VENC CCOR 4NC</v>
          </cell>
        </row>
        <row r="22305">
          <cell r="B22305" t="str">
            <v>51040510000830</v>
          </cell>
          <cell r="C22305" t="str">
            <v>CL PRE JUD INT GAN PAG.REC.COFID VENC CC4NC</v>
          </cell>
        </row>
        <row r="22306">
          <cell r="B22306" t="str">
            <v>51040510000831</v>
          </cell>
          <cell r="C22306" t="str">
            <v>CL PRE JUD INT.GAN SOBR CCTE. PJ VENC CC4NC</v>
          </cell>
        </row>
        <row r="22307">
          <cell r="B22307" t="str">
            <v>51040510000833</v>
          </cell>
          <cell r="C22307" t="str">
            <v>CL INTERES MORATORIO CCOR               4NC</v>
          </cell>
        </row>
        <row r="22308">
          <cell r="B22308" t="str">
            <v>51040510000834</v>
          </cell>
          <cell r="C22308" t="str">
            <v>CL EX FORFAITING INT.GAN.VEN CCOR       4NC</v>
          </cell>
        </row>
        <row r="22309">
          <cell r="B22309" t="str">
            <v>51040510000835</v>
          </cell>
          <cell r="C22309" t="str">
            <v>CL EX INT. MORATORIO CCOR               4NC</v>
          </cell>
        </row>
        <row r="22310">
          <cell r="B22310" t="str">
            <v>51040510000836</v>
          </cell>
          <cell r="C22310" t="str">
            <v>CL INT GAN.VEN. EX PRE EMB D/P CCOR     4NC</v>
          </cell>
        </row>
        <row r="22311">
          <cell r="B22311" t="str">
            <v>51040510000837</v>
          </cell>
          <cell r="C22311" t="str">
            <v>CL INT.GAN.POST. EX EMBAR. D/P. VEN. CCO4NC</v>
          </cell>
        </row>
        <row r="22312">
          <cell r="B22312" t="str">
            <v>51040510000838</v>
          </cell>
          <cell r="C22312" t="str">
            <v>CL EX INT VEN PAG.IMPORTAC.D/P CCOR     4NC</v>
          </cell>
        </row>
        <row r="22313">
          <cell r="B22313" t="str">
            <v>51040510000839</v>
          </cell>
          <cell r="C22313" t="str">
            <v>CL CL INT. MORATORIO CCOR               4NC</v>
          </cell>
        </row>
        <row r="22314">
          <cell r="B22314" t="str">
            <v>51040510000840</v>
          </cell>
          <cell r="C22314" t="str">
            <v>CL BK INT. MORATORIO CCOR               4NC</v>
          </cell>
        </row>
        <row r="22315">
          <cell r="B22315" t="str">
            <v>51040510000841</v>
          </cell>
          <cell r="C22315" t="str">
            <v>CL CJ INT. MORATORIO CCOR               4NC</v>
          </cell>
        </row>
        <row r="22316">
          <cell r="B22316" t="str">
            <v>51040510000842</v>
          </cell>
          <cell r="C22316" t="str">
            <v>CL INT GAN VENC COB AVAL BKT CORP       4NC</v>
          </cell>
        </row>
        <row r="22317">
          <cell r="B22317" t="str">
            <v>51040510000843</v>
          </cell>
          <cell r="C22317" t="str">
            <v>CL EX FACTORING FORFAITING INT.GAN.VEN C4NC</v>
          </cell>
        </row>
        <row r="22318">
          <cell r="B22318" t="str">
            <v>51040510000844</v>
          </cell>
          <cell r="C22318" t="str">
            <v>CL  CONFIRMING INTER INT.GAN.VEN CCOR   4NC</v>
          </cell>
        </row>
        <row r="22319">
          <cell r="B22319" t="str">
            <v>51040510000845</v>
          </cell>
          <cell r="C22319" t="str">
            <v>CL INT.GAN.VEN.CRED.POR LIQ. CARTA FIANZ4NC</v>
          </cell>
        </row>
        <row r="22320">
          <cell r="B22320" t="str">
            <v>51040510000901</v>
          </cell>
          <cell r="C22320" t="str">
            <v>PR  INT GAN VC LETRAS DSCTO  CCOR       4NC</v>
          </cell>
        </row>
        <row r="22321">
          <cell r="B22321" t="str">
            <v>51040510000902</v>
          </cell>
          <cell r="C22321" t="str">
            <v>PR DSCTO ELECTR SM PERU I.VEN CCOR      4NC</v>
          </cell>
        </row>
        <row r="22322">
          <cell r="B22322" t="str">
            <v>51040510000903</v>
          </cell>
          <cell r="C22322" t="str">
            <v>PR INT GAN VENC LETRAS FACTORING CCOR   4NC</v>
          </cell>
        </row>
        <row r="22323">
          <cell r="B22323" t="str">
            <v>51040510000904</v>
          </cell>
          <cell r="C22323" t="str">
            <v>PR INT GAN VENC FACT FACTORING CCOR     4NC</v>
          </cell>
        </row>
        <row r="22324">
          <cell r="B22324" t="str">
            <v>51040510000905</v>
          </cell>
          <cell r="C22324" t="str">
            <v>PR FACT ELECTR LET/FACT INT.VEN CCOR    4NC</v>
          </cell>
        </row>
        <row r="22325">
          <cell r="B22325" t="str">
            <v>51040510000906</v>
          </cell>
          <cell r="C22325" t="str">
            <v>PR FACTORING INTER. INT VENC CCOR       4NC</v>
          </cell>
        </row>
        <row r="22326">
          <cell r="B22326" t="str">
            <v>51040510000907</v>
          </cell>
          <cell r="C22326" t="str">
            <v>PR PERU FACTORING INT.VEN CCOR          4NC</v>
          </cell>
        </row>
        <row r="22327">
          <cell r="B22327" t="str">
            <v>51040510000908</v>
          </cell>
          <cell r="C22327" t="str">
            <v>PR FORFAITING EXPORTACIÃ“N INT GANA VENC4NC</v>
          </cell>
        </row>
        <row r="22328">
          <cell r="B22328" t="str">
            <v>51040510001101</v>
          </cell>
          <cell r="C22328" t="str">
            <v>FCD INT MORATORIO CCOR                  4NC</v>
          </cell>
        </row>
        <row r="22329">
          <cell r="B22329" t="str">
            <v>51040510001102</v>
          </cell>
          <cell r="C22329" t="str">
            <v>FCD INT. GAN DSCTO ELECTR VENC DUD CCOR 4NC</v>
          </cell>
        </row>
        <row r="22330">
          <cell r="B22330" t="str">
            <v>51040510001103</v>
          </cell>
          <cell r="C22330" t="str">
            <v>FCD INT. GAN FACT ELECTR VIG DUD CCOR   4NC</v>
          </cell>
        </row>
        <row r="22331">
          <cell r="B22331" t="str">
            <v>51040510001104</v>
          </cell>
          <cell r="C22331" t="str">
            <v>FCD FACT INTER EXPO. INT VENC NORM CCOR 4NC</v>
          </cell>
        </row>
        <row r="22332">
          <cell r="B22332" t="str">
            <v>51040510001105</v>
          </cell>
          <cell r="C22332" t="str">
            <v>FCD FORFAITING EXPORTACIÃ“N INT GANA VEN4NC</v>
          </cell>
        </row>
        <row r="22333">
          <cell r="B22333" t="str">
            <v>51040510001106</v>
          </cell>
          <cell r="C22333" t="str">
            <v>FCD FACT INTER EXPO. INT VENC DUPE CCOR 4NC</v>
          </cell>
        </row>
        <row r="22334">
          <cell r="B22334" t="str">
            <v>51040510001107</v>
          </cell>
          <cell r="C22334" t="str">
            <v>FCD FORFAITING EXPORTACIÃ“N INT GANA VEN4NC</v>
          </cell>
        </row>
        <row r="22335">
          <cell r="B22335" t="str">
            <v>51040510001108</v>
          </cell>
          <cell r="C22335" t="str">
            <v>FCD CONFIRMING INTERNACIONAL. INT VENC N4NC</v>
          </cell>
        </row>
        <row r="22336">
          <cell r="B22336" t="str">
            <v>51040510001109</v>
          </cell>
          <cell r="C22336" t="str">
            <v>FCD CONFIRMING INTERNACIONAL. INT VENC D4NC</v>
          </cell>
        </row>
        <row r="22337">
          <cell r="B22337" t="str">
            <v>51040510001110</v>
          </cell>
          <cell r="C22337" t="str">
            <v>FCD DESC. LET. I. VENC. CCOR DUPE       4NC</v>
          </cell>
        </row>
        <row r="22338">
          <cell r="B22338" t="str">
            <v>51040510001111</v>
          </cell>
          <cell r="C22338" t="str">
            <v>FCD DESC. FACT. I. VENC. CCOR DUPE      4NC</v>
          </cell>
        </row>
        <row r="22339">
          <cell r="B22339" t="str">
            <v>51040510001112</v>
          </cell>
          <cell r="C22339" t="str">
            <v>FCD DESC. VIRTUAL I. VENC. CCOR DUPE    4NC</v>
          </cell>
        </row>
        <row r="22340">
          <cell r="B22340" t="str">
            <v>51040510001113</v>
          </cell>
          <cell r="C22340" t="str">
            <v>FCD DESC. FACT. NEG. I. VENC. CCOR DUPE 4NC</v>
          </cell>
        </row>
        <row r="22341">
          <cell r="B22341" t="str">
            <v>51040510001114</v>
          </cell>
          <cell r="C22341" t="str">
            <v>FCD FAC. FIS. LET. I. VENC. CCOR DUPE   4NC</v>
          </cell>
        </row>
        <row r="22342">
          <cell r="B22342" t="str">
            <v>51040510001115</v>
          </cell>
          <cell r="C22342" t="str">
            <v>FCD FAC. FIS. FAC.. I. VENC. CCOR DUPE  4NC</v>
          </cell>
        </row>
        <row r="22343">
          <cell r="B22343" t="str">
            <v>51040510001116</v>
          </cell>
          <cell r="C22343" t="str">
            <v>FCD DESC. VIRTUAL I. VENC. CCOR NORMAL  4NC</v>
          </cell>
        </row>
        <row r="22344">
          <cell r="B22344" t="str">
            <v>51040510001117</v>
          </cell>
          <cell r="C22344" t="str">
            <v>FACT INTER IMPORT  VENC. CCOR DUPE      4NC</v>
          </cell>
        </row>
        <row r="22345">
          <cell r="B22345" t="str">
            <v>51040510001118</v>
          </cell>
          <cell r="C22345" t="str">
            <v>FACT INTER IMPORT   VENC. CCOR NORMAL   4NC</v>
          </cell>
        </row>
        <row r="22346">
          <cell r="B22346" t="str">
            <v>51040510001201</v>
          </cell>
          <cell r="C22346" t="str">
            <v>TC INT VENCIDO AMEX CCOR                4NC</v>
          </cell>
        </row>
        <row r="22347">
          <cell r="B22347" t="str">
            <v>51040510001202</v>
          </cell>
          <cell r="C22347" t="str">
            <v>TC INT VENCIDO MC CCOR                  4NC</v>
          </cell>
        </row>
        <row r="22348">
          <cell r="B22348" t="str">
            <v>51040510001203</v>
          </cell>
          <cell r="C22348" t="str">
            <v>TC INT VENCIDO VISA CCOR                4NC</v>
          </cell>
        </row>
        <row r="22349">
          <cell r="B22349" t="str">
            <v>51040510001204</v>
          </cell>
          <cell r="C22349" t="str">
            <v>TC INT VENCIDO VISA MEGAPLAZA CCOR      4NC</v>
          </cell>
        </row>
        <row r="22350">
          <cell r="B22350" t="str">
            <v>51040510001205</v>
          </cell>
          <cell r="C22350" t="str">
            <v>TC INT VENCIDO VISA VEA CCOR            4NC</v>
          </cell>
        </row>
        <row r="22351">
          <cell r="B22351" t="str">
            <v>51040510001301</v>
          </cell>
          <cell r="C22351" t="str">
            <v>LPC INT VEN LEASING COFIDE IDL CCOR     4NC</v>
          </cell>
        </row>
        <row r="22352">
          <cell r="B22352" t="str">
            <v>51040510001302</v>
          </cell>
          <cell r="C22352" t="str">
            <v>LPC INT VEN LS COFIDE SEG IDS CCOR      4NC</v>
          </cell>
        </row>
        <row r="22353">
          <cell r="B22353" t="str">
            <v>51040510001303</v>
          </cell>
          <cell r="C22353" t="str">
            <v>LPC INT VEN LS COFIDE D/P IDL CCOR      4NC</v>
          </cell>
        </row>
        <row r="22354">
          <cell r="B22354" t="str">
            <v>51040510001304</v>
          </cell>
          <cell r="C22354" t="str">
            <v>LPC INT VEN LS COFIDE SEG D/P IDS CCOR  4NC</v>
          </cell>
        </row>
        <row r="22355">
          <cell r="B22355" t="str">
            <v>51040510001351</v>
          </cell>
          <cell r="C22355" t="str">
            <v>LPC INT VEN LEASING DERIVADO SEG RP CCOR4NC</v>
          </cell>
        </row>
        <row r="22356">
          <cell r="B22356" t="str">
            <v>51040510001352</v>
          </cell>
          <cell r="C22356" t="str">
            <v>LPC INT VEN LEASING DERIVADO SEG D/P RP 4NC</v>
          </cell>
        </row>
        <row r="22357">
          <cell r="B22357" t="str">
            <v>51040510001353</v>
          </cell>
          <cell r="C22357" t="str">
            <v>LPC INT VEN LEASING DERIVADO SEG RP CCOR4NC</v>
          </cell>
        </row>
        <row r="22358">
          <cell r="B22358" t="str">
            <v>51040510001354</v>
          </cell>
          <cell r="C22358" t="str">
            <v>LPC INT VEN LEASING DERIVADO SEG D/P RP 4NC</v>
          </cell>
        </row>
        <row r="22359">
          <cell r="B22359" t="str">
            <v>51040510001401</v>
          </cell>
          <cell r="C22359" t="str">
            <v>JCC PRE JUD INT.GAN PREST EXP VENC CCOR 4NC</v>
          </cell>
        </row>
        <row r="22360">
          <cell r="B22360" t="str">
            <v>51040510001402</v>
          </cell>
          <cell r="C22360" t="str">
            <v>JCC PRE JUD INT GAN.PAG IMP VENC CCOR GL4NC</v>
          </cell>
        </row>
        <row r="22361">
          <cell r="B22361" t="str">
            <v>51040510001403</v>
          </cell>
          <cell r="C22361" t="str">
            <v>JCC PRE JUD INT.GAN RP CAP.TRAB  CCOR   4NC</v>
          </cell>
        </row>
        <row r="22362">
          <cell r="B22362" t="str">
            <v>51040510001404</v>
          </cell>
          <cell r="C22362" t="str">
            <v>JCC PRE JUD INT GAN DSCTO.PAG TV CCOR   4NC</v>
          </cell>
        </row>
        <row r="22363">
          <cell r="B22363" t="str">
            <v>51040510001405</v>
          </cell>
          <cell r="C22363" t="str">
            <v>JCC PRE JUD INT GAN DSCT LETR VENC CCOR 4NC</v>
          </cell>
        </row>
        <row r="22364">
          <cell r="B22364" t="str">
            <v>51040510001406</v>
          </cell>
          <cell r="C22364" t="str">
            <v>JCC PRE JUD INT.GAN FACT LET CCOR       4NC</v>
          </cell>
        </row>
        <row r="22365">
          <cell r="B22365" t="str">
            <v>51040510001407</v>
          </cell>
          <cell r="C22365" t="str">
            <v>JCC PRE JUD INT.GAN FACT FACT VENC CCOR 4NC</v>
          </cell>
        </row>
        <row r="22366">
          <cell r="B22366" t="str">
            <v>51040510001408</v>
          </cell>
          <cell r="C22366" t="str">
            <v>JCC PRE JUD INT.GAN CART CRED CCOR GL 704NC</v>
          </cell>
        </row>
        <row r="22367">
          <cell r="B22367" t="str">
            <v>51040510001409</v>
          </cell>
          <cell r="C22367" t="str">
            <v>JCC PRE JUD INT.GAN CART FIANZ VENC CCOR4NC</v>
          </cell>
        </row>
        <row r="22368">
          <cell r="B22368" t="str">
            <v>51040510001410</v>
          </cell>
          <cell r="C22368" t="str">
            <v>JCC PRE JUD GAN P TV MED PLZ C/FIJ CCOR 4NC</v>
          </cell>
        </row>
        <row r="22369">
          <cell r="B22369" t="str">
            <v>51040510001411</v>
          </cell>
          <cell r="C22369" t="str">
            <v>JCC PRE JUD INT.GAN TC MASTER PJ VENC CC4NC</v>
          </cell>
        </row>
        <row r="22370">
          <cell r="B22370" t="str">
            <v>51040510001412</v>
          </cell>
          <cell r="C22370" t="str">
            <v>JCC PRE JUD INT.GAN SOBR CCTE. PJ VENC C4NC</v>
          </cell>
        </row>
        <row r="22371">
          <cell r="B22371" t="str">
            <v>51040510001413</v>
          </cell>
          <cell r="C22371" t="str">
            <v>JCC PRE JUD INT GAN RFA SUBOR VENC CCOR 4NC</v>
          </cell>
        </row>
        <row r="22372">
          <cell r="B22372" t="str">
            <v>51040510001414</v>
          </cell>
          <cell r="C22372" t="str">
            <v>JCC PRE JUD INT GAN RFA FINANC VENC CCOR4NC</v>
          </cell>
        </row>
        <row r="22373">
          <cell r="B22373" t="str">
            <v>51040510001415</v>
          </cell>
          <cell r="C22373" t="str">
            <v>JCC PRE JUD INT GAN TC CONS-COM VENC CCO4NC</v>
          </cell>
        </row>
        <row r="22374">
          <cell r="B22374" t="str">
            <v>51040510001416</v>
          </cell>
          <cell r="C22374" t="str">
            <v>JCC PRE JUD INT GAN TC AMEX PJ VENC CCOR4NC</v>
          </cell>
        </row>
        <row r="22375">
          <cell r="B22375" t="str">
            <v>51040510001418</v>
          </cell>
          <cell r="C22375" t="str">
            <v>JCC PRE JUD INT GAN PAG.REC.COFID VENC C4NC</v>
          </cell>
        </row>
        <row r="22376">
          <cell r="B22376" t="str">
            <v>51040510001421</v>
          </cell>
          <cell r="C22376" t="str">
            <v>JCC INT. MORATORIO CCOR                 4NC</v>
          </cell>
        </row>
        <row r="22377">
          <cell r="B22377" t="str">
            <v>51040510005104</v>
          </cell>
          <cell r="C22377" t="str">
            <v>PR INT GANA VEN LETRAS T. DSCTOÂ  CCOR  4NC</v>
          </cell>
        </row>
        <row r="22378">
          <cell r="B22378" t="str">
            <v>51040510101201</v>
          </cell>
          <cell r="C22378" t="str">
            <v>LPC MAPFRE PERU CIA DE SEGUROS Y REASEGU4NC</v>
          </cell>
        </row>
        <row r="22379">
          <cell r="B22379" t="str">
            <v>51040510101203</v>
          </cell>
          <cell r="C22379" t="str">
            <v>LPC INT MORATORIO CCOR                  4NC</v>
          </cell>
        </row>
        <row r="22380">
          <cell r="B22380" t="str">
            <v>51040510101210</v>
          </cell>
          <cell r="C22380" t="str">
            <v>LPC REACTIVA PERU VEN CCOR\NORM         4NC</v>
          </cell>
        </row>
        <row r="22381">
          <cell r="B22381" t="str">
            <v>51040510101211</v>
          </cell>
          <cell r="C22381" t="str">
            <v>LPC REACTIVA PERU VEN CCOR\DUPE         4NC</v>
          </cell>
        </row>
        <row r="22382">
          <cell r="B22382" t="str">
            <v>51040510101212</v>
          </cell>
          <cell r="C22382" t="str">
            <v>LPC COFIDE FONDOS PERU VEN CCOR\NORM    4NC</v>
          </cell>
        </row>
        <row r="22383">
          <cell r="B22383" t="str">
            <v>51040510101213</v>
          </cell>
          <cell r="C22383" t="str">
            <v>LPC COFIDE FONDOS PERU VEN CCOR\DUPE    4NC</v>
          </cell>
        </row>
        <row r="22384">
          <cell r="B22384" t="str">
            <v>51040510101214</v>
          </cell>
          <cell r="C22384" t="str">
            <v>LPC COFIDE FONDO CRECER VEN CCOR\NORM   4NC</v>
          </cell>
        </row>
        <row r="22385">
          <cell r="B22385" t="str">
            <v>51040510101215</v>
          </cell>
          <cell r="C22385" t="str">
            <v>LPC REACTIVA PERU VEN CCOR\NORM         4NC</v>
          </cell>
        </row>
        <row r="22386">
          <cell r="B22386" t="str">
            <v>51040510101216</v>
          </cell>
          <cell r="C22386" t="str">
            <v>LPC COFIDE FONDOS CRECER CCOR VEN\NORM  4NC</v>
          </cell>
        </row>
        <row r="22387">
          <cell r="B22387" t="str">
            <v>51040510101217</v>
          </cell>
          <cell r="C22387" t="str">
            <v>LPC COFIDE FONDOS CRECER CCOR VEN\DUPE  4NC</v>
          </cell>
        </row>
        <row r="22388">
          <cell r="B22388" t="str">
            <v>51040510101218</v>
          </cell>
          <cell r="C22388" t="str">
            <v>LPC COFIDE FONDOS CRECER CCOR VEN\NORM  4NC</v>
          </cell>
        </row>
        <row r="22389">
          <cell r="B22389" t="str">
            <v>51040510101219</v>
          </cell>
          <cell r="C22389" t="str">
            <v>LPC COFIDE FONDOS CRECER CCOR VEN\DUPE  4NC</v>
          </cell>
        </row>
        <row r="22390">
          <cell r="B22390" t="str">
            <v>51040510101220</v>
          </cell>
          <cell r="C22390" t="str">
            <v>LPC REACTIVA PERU VEN CCOR\DUPE         4NC</v>
          </cell>
        </row>
        <row r="22391">
          <cell r="B22391" t="str">
            <v>51040510101221</v>
          </cell>
          <cell r="C22391" t="str">
            <v>LPC REPROG EM COVID-19 PRE EMBARQUE VENC4NC</v>
          </cell>
        </row>
        <row r="22392">
          <cell r="B22392" t="str">
            <v>51040510101222</v>
          </cell>
          <cell r="C22392" t="str">
            <v>LPC REPROG EM COVID-19 PRE EMBAR VENC CG4NC</v>
          </cell>
        </row>
        <row r="22393">
          <cell r="B22393" t="str">
            <v>51040510101223</v>
          </cell>
          <cell r="C22393" t="str">
            <v>LPC REPROG EM COVID-19 PRE EMB INT REFIN4NC</v>
          </cell>
        </row>
        <row r="22394">
          <cell r="B22394" t="str">
            <v>51040510101224</v>
          </cell>
          <cell r="C22394" t="str">
            <v>LPC REPROG EM COVID-19 PRE EMB INT CGEM 4NC</v>
          </cell>
        </row>
        <row r="22395">
          <cell r="B22395" t="str">
            <v>51040510101228</v>
          </cell>
          <cell r="C22395" t="str">
            <v>LPC PAG MEDIANO PLAZO COVID-19 CCOR     4NC</v>
          </cell>
        </row>
        <row r="22396">
          <cell r="B22396" t="str">
            <v>51040510101229</v>
          </cell>
          <cell r="C22396" t="str">
            <v>JCC PRE JUD INT.GAN REACTIVA PERU VENC C4NC</v>
          </cell>
        </row>
        <row r="22397">
          <cell r="B22397" t="str">
            <v>51040510101230</v>
          </cell>
          <cell r="C22397" t="str">
            <v>LPC INT MORATORIO CCOR                  4 C</v>
          </cell>
        </row>
        <row r="22398">
          <cell r="B22398" t="str">
            <v>51040510101231</v>
          </cell>
          <cell r="C22398" t="str">
            <v>LPC INT MORATORIO REACTIVA CCOR         4 C</v>
          </cell>
        </row>
        <row r="22399">
          <cell r="B22399" t="str">
            <v>51040510101232</v>
          </cell>
          <cell r="C22399" t="str">
            <v>LPC INT MORATORIO REACTIVA REPROG CCOR  4 C</v>
          </cell>
        </row>
        <row r="22400">
          <cell r="B22400" t="str">
            <v>51040510101233</v>
          </cell>
          <cell r="C22400" t="str">
            <v>JCC PRE JUD INT.GAN REACTIVA PERU VENC C4 C</v>
          </cell>
        </row>
        <row r="22401">
          <cell r="B22401" t="str">
            <v>51040510101234</v>
          </cell>
          <cell r="C22401" t="str">
            <v>JCC PRE JUD INT.GAN FONDO CRECER VENC CC4 C</v>
          </cell>
        </row>
        <row r="22402">
          <cell r="B22402" t="str">
            <v>51040510101235</v>
          </cell>
          <cell r="C22402" t="str">
            <v>JCC PREJUD INT.GAN REACT PRE-HONRAMIENTO4 C</v>
          </cell>
        </row>
        <row r="22403">
          <cell r="B22403" t="str">
            <v>51040510101236</v>
          </cell>
          <cell r="C22403" t="str">
            <v>FCD FACTORING INT MORATORIO CCOR        4 C</v>
          </cell>
        </row>
        <row r="22404">
          <cell r="B22404" t="str">
            <v>51040510101237</v>
          </cell>
          <cell r="C22404" t="str">
            <v>LPC PAGARE COMEX INT MORATORIO CCOR     4 C</v>
          </cell>
        </row>
        <row r="22405">
          <cell r="B22405" t="str">
            <v>51040510101238</v>
          </cell>
          <cell r="C22405" t="str">
            <v>LPC INT GAN PAG TV REF CCOR             4 C</v>
          </cell>
        </row>
        <row r="22406">
          <cell r="B22406" t="str">
            <v>51040510101239</v>
          </cell>
          <cell r="C22406" t="str">
            <v>LPC REFINANCIADO REACTIVA CCOR VEN      4 C</v>
          </cell>
        </row>
        <row r="22407">
          <cell r="B22407" t="str">
            <v>51040510101240</v>
          </cell>
          <cell r="C22407" t="str">
            <v>LPC REPROG REACTIVA DIFE CCOR VEN       4 C</v>
          </cell>
        </row>
        <row r="22408">
          <cell r="B22408" t="str">
            <v>51040510101241</v>
          </cell>
          <cell r="C22408" t="str">
            <v>LPC PRE EMBARQUE FONDOS CRECER CCOR INT 4 C</v>
          </cell>
        </row>
        <row r="22409">
          <cell r="B22409" t="str">
            <v>51040510101242</v>
          </cell>
          <cell r="C22409" t="str">
            <v>LPC REPROG REACTIVA DS.011-2022 CCOR NOR4 C</v>
          </cell>
        </row>
        <row r="22410">
          <cell r="B22410" t="str">
            <v>51040510101243</v>
          </cell>
          <cell r="C22410" t="str">
            <v>LPC REPROG REACTIVA DS.011-2022 CCOR DUP4 C</v>
          </cell>
        </row>
        <row r="22411">
          <cell r="B22411" t="str">
            <v>51040510101244</v>
          </cell>
          <cell r="C22411" t="str">
            <v>LPC REPROG REACTIVA DS.011-2022 CCOR    4 C</v>
          </cell>
        </row>
        <row r="22412">
          <cell r="B22412" t="str">
            <v>51040510101246</v>
          </cell>
          <cell r="C22412" t="str">
            <v>LPC RP MED PZ PREST VERDE-SOCIAL CCOR VE4 C</v>
          </cell>
        </row>
        <row r="22413">
          <cell r="B22413" t="str">
            <v>51040510101247</v>
          </cell>
          <cell r="C22413" t="str">
            <v>LPC RP MED PZ PREST VERDE-SOCIAL CCOR VE4 C</v>
          </cell>
        </row>
        <row r="22414">
          <cell r="B22414" t="str">
            <v>51040510101248</v>
          </cell>
          <cell r="C22414" t="str">
            <v>LPC RP MED PZ PREST SOSTENIBLE CCOR VEN 4 C</v>
          </cell>
        </row>
        <row r="22415">
          <cell r="B22415" t="str">
            <v>51040510101249</v>
          </cell>
          <cell r="C22415" t="str">
            <v>LPC RP MED PZ PREST SOSTENIBLE CCOR VEN 4 C</v>
          </cell>
        </row>
        <row r="22416">
          <cell r="B22416" t="str">
            <v>51040510101250</v>
          </cell>
          <cell r="C22416" t="str">
            <v>LPC PAG FINAN PROY VERDE-SOCIAL CCOR DUP4 C</v>
          </cell>
        </row>
        <row r="22417">
          <cell r="B22417" t="str">
            <v>51040510101251</v>
          </cell>
          <cell r="C22417" t="str">
            <v>LPC PAG FINAN PROY VERDE-SOCIAL CCOR NOR4 C</v>
          </cell>
        </row>
        <row r="22418">
          <cell r="B22418" t="str">
            <v>51040510101252</v>
          </cell>
          <cell r="C22418" t="str">
            <v>LPC PAG FINAN PROY VINC-SOSTENIB CCOR DU4 C</v>
          </cell>
        </row>
        <row r="22419">
          <cell r="B22419" t="str">
            <v>51040510101253</v>
          </cell>
          <cell r="C22419" t="str">
            <v>LPC PAG FINAN PROY VINC-SOSTENIB CCOR NO4 C</v>
          </cell>
        </row>
        <row r="22420">
          <cell r="B22420" t="str">
            <v>51040510101254</v>
          </cell>
          <cell r="C22420" t="str">
            <v>LPC PAG BIENES INMB RENTA VERDE-SOCIAL C4 C</v>
          </cell>
        </row>
        <row r="22421">
          <cell r="B22421" t="str">
            <v>51040510101255</v>
          </cell>
          <cell r="C22421" t="str">
            <v>LPC PAG BIENES INMB RENTA VERDE-SOCIAL C4 C</v>
          </cell>
        </row>
        <row r="22422">
          <cell r="B22422" t="str">
            <v>51040510101256</v>
          </cell>
          <cell r="C22422" t="str">
            <v>LPC PAG BIENES INMB RENTA VINC-SOSTENIB 4 C</v>
          </cell>
        </row>
        <row r="22423">
          <cell r="B22423" t="str">
            <v>51040510101257</v>
          </cell>
          <cell r="C22423" t="str">
            <v>LPC PAG BIENES INMB RENTA VINC-SOSTENIB 4 C</v>
          </cell>
        </row>
        <row r="22424">
          <cell r="B22424" t="str">
            <v>51040510101258</v>
          </cell>
          <cell r="C22424" t="str">
            <v>LPC REPROG REACTIVA 2023 VEN CCOR NORM  4 C</v>
          </cell>
        </row>
        <row r="22425">
          <cell r="B22425" t="str">
            <v>51040510101259</v>
          </cell>
          <cell r="C22425" t="str">
            <v>LPC REPROG REACTIVA 2023 VEN CCOR DUPE  4 C</v>
          </cell>
        </row>
        <row r="22426">
          <cell r="B22426" t="str">
            <v>51040510101260</v>
          </cell>
          <cell r="C22426" t="str">
            <v>LPC REPROG REACTIVA 2023 INT MORA CCOR  4 C</v>
          </cell>
        </row>
        <row r="22427">
          <cell r="B22427" t="str">
            <v>51040510101261</v>
          </cell>
          <cell r="C22427" t="str">
            <v>JCC PRE.JUD INT GAN REACT PRE-HONRAM REP4 C</v>
          </cell>
        </row>
        <row r="22428">
          <cell r="B22428" t="str">
            <v>51040510101262</v>
          </cell>
          <cell r="C22428" t="str">
            <v>JCC PRE.JUD INT GAN REACT PRE-HONRAM REP4 C</v>
          </cell>
        </row>
        <row r="22429">
          <cell r="B22429" t="str">
            <v>51040510101263</v>
          </cell>
          <cell r="C22429" t="str">
            <v>JCC PRE.JUD INT GAN REACT PRE-HONRAM REP4 C</v>
          </cell>
        </row>
        <row r="22430">
          <cell r="B22430" t="str">
            <v>51040510101264</v>
          </cell>
          <cell r="C22430" t="str">
            <v>JCC PRE.JUD INT GAN REACT PRE-HONRAM REP4 C</v>
          </cell>
        </row>
        <row r="22431">
          <cell r="B22431" t="str">
            <v>51040510101265</v>
          </cell>
          <cell r="C22431" t="str">
            <v>JCC PRE.JUD INT GAN REACT PRE-HONRAM REP4 C</v>
          </cell>
        </row>
        <row r="22432">
          <cell r="B22432" t="str">
            <v>51040510101266</v>
          </cell>
          <cell r="C22432" t="str">
            <v>JCC PRE.JUD INT GAN REACT PRE-HONRAM REP4 C</v>
          </cell>
        </row>
        <row r="22433">
          <cell r="B22433" t="str">
            <v>51040510101267</v>
          </cell>
          <cell r="C22433" t="str">
            <v>JCC PRE.JUD INT GAN CRECER PRE-HONRAMIEN4 C</v>
          </cell>
        </row>
        <row r="22434">
          <cell r="B22434" t="str">
            <v>51040510101268</v>
          </cell>
          <cell r="C22434" t="str">
            <v>JCC PRE.JUD INT GAN CRECER PRE-HONRAMIEN4 C</v>
          </cell>
        </row>
        <row r="22435">
          <cell r="B22435" t="str">
            <v>51040510101269</v>
          </cell>
          <cell r="C22435" t="str">
            <v>JCC PRE.JUD INT GAN REACT PRE-HONRAM REP4 C</v>
          </cell>
        </row>
        <row r="22436">
          <cell r="B22436" t="str">
            <v>51040510101270</v>
          </cell>
          <cell r="C22436" t="str">
            <v>JCC PRE.JUD INT GAN REACT PRE-HONRAM REP4 C</v>
          </cell>
        </row>
        <row r="22437">
          <cell r="B22437" t="str">
            <v>51040510101271</v>
          </cell>
          <cell r="C22437" t="str">
            <v>JCC PRE.JUD INT GAN REACT PRE-HONRAM REP4 C</v>
          </cell>
        </row>
        <row r="22438">
          <cell r="B22438" t="str">
            <v>51040510101272</v>
          </cell>
          <cell r="C22438" t="str">
            <v>JCC PRE.JUD INT GAN REACT PRE-HONRAM REP4 C</v>
          </cell>
        </row>
        <row r="22439">
          <cell r="B22439" t="str">
            <v>51040510101273</v>
          </cell>
          <cell r="C22439" t="str">
            <v>JCC PRE.JUD INT GAN REACT PRE-HONRAM REP4 C</v>
          </cell>
        </row>
        <row r="22440">
          <cell r="B22440" t="str">
            <v>51040510101274</v>
          </cell>
          <cell r="C22440" t="str">
            <v>JCC PRE.JUD INT GAN REACT PRE-HONRAM REP4 C</v>
          </cell>
        </row>
        <row r="22441">
          <cell r="B22441" t="str">
            <v>51040510101275</v>
          </cell>
          <cell r="C22441" t="str">
            <v>JCC PRE.JUD INT GAN CRECER PRE-HONRAMIEN4 C</v>
          </cell>
        </row>
        <row r="22442">
          <cell r="B22442" t="str">
            <v>51040510101276</v>
          </cell>
          <cell r="C22442" t="str">
            <v>JCC PRE.JUD INT GAN CRECER PRE-HONRAMIEN4 C</v>
          </cell>
        </row>
        <row r="22443">
          <cell r="B22443" t="str">
            <v>51040510101277</v>
          </cell>
          <cell r="C22443" t="str">
            <v>LPC INT LEASING FINANCIACION PROYECTO CC4 C</v>
          </cell>
        </row>
        <row r="22444">
          <cell r="B22444" t="str">
            <v>51040510101278</v>
          </cell>
          <cell r="C22444" t="str">
            <v>LPC INT VEN IMPULSO MYPERU CORTO PLAZO C4 C</v>
          </cell>
        </row>
        <row r="22445">
          <cell r="B22445" t="str">
            <v>51040510101279</v>
          </cell>
          <cell r="C22445" t="str">
            <v>LPC INT VEN IMPULSO MYPERU MEDIANO PLAZO4 C</v>
          </cell>
        </row>
        <row r="22446">
          <cell r="B22446" t="str">
            <v>51040510101280</v>
          </cell>
          <cell r="C22446" t="str">
            <v>JCC BC PRE JUD INT IMPULSO MYPERU PRE-HO4NC</v>
          </cell>
        </row>
        <row r="22447">
          <cell r="B22447" t="str">
            <v>51040510101281</v>
          </cell>
          <cell r="C22447" t="str">
            <v>LPC PAG PAPERLESS DERIVADOS REV/NR INT C4NC</v>
          </cell>
        </row>
        <row r="22448">
          <cell r="B22448" t="str">
            <v>51040510101282</v>
          </cell>
          <cell r="C22448" t="str">
            <v>LPC PAG PAPERLESS DERIVADOS REV/NR INT C4NC</v>
          </cell>
        </row>
        <row r="22449">
          <cell r="B22449" t="str">
            <v>51040510101283</v>
          </cell>
          <cell r="C22449" t="str">
            <v>JCC BC PRE JUD IMPLUSO MYPERU HONRADO IB4 C</v>
          </cell>
        </row>
        <row r="22450">
          <cell r="B22450" t="str">
            <v>51040510101284</v>
          </cell>
          <cell r="C22450" t="str">
            <v>CCD-BPE CAPITAL DE TRABAJO_CCOR VEN NORM4 C</v>
          </cell>
        </row>
        <row r="22451">
          <cell r="B22451" t="str">
            <v>51040510101285</v>
          </cell>
          <cell r="C22451" t="str">
            <v>CCD-BPE CAPITAL DE TRABAJO_CCOR VEN DUPE4 C</v>
          </cell>
        </row>
        <row r="22452">
          <cell r="B22452" t="str">
            <v>51040510101286</v>
          </cell>
          <cell r="C22452" t="str">
            <v>CCD-BPE LINEA REVOLVENTE_CCOR VEN ING   4 C</v>
          </cell>
        </row>
        <row r="22453">
          <cell r="B22453" t="str">
            <v>51040510101287</v>
          </cell>
          <cell r="C22453" t="str">
            <v>CCD-BPE LINEA REVOLVENTE_CCOR VEN ING   4 C</v>
          </cell>
        </row>
        <row r="22454">
          <cell r="B22454" t="str">
            <v>51040510101288</v>
          </cell>
          <cell r="C22454" t="str">
            <v>CCD-BPE REFINANCIADO_CCOR VEN ING       4 C</v>
          </cell>
        </row>
        <row r="22455">
          <cell r="B22455" t="str">
            <v>51040510101289</v>
          </cell>
          <cell r="C22455" t="str">
            <v>CCD-BPE CAP DE TRAB_CCOR_VEN            4 C</v>
          </cell>
        </row>
        <row r="22456">
          <cell r="B22456" t="str">
            <v>51040511000101</v>
          </cell>
          <cell r="C22456" t="str">
            <v>LPC INT VEN LEASING BIEN RP CGEM        4NC</v>
          </cell>
        </row>
        <row r="22457">
          <cell r="B22457" t="str">
            <v>51040511000102</v>
          </cell>
          <cell r="C22457" t="str">
            <v>LPC INT VEN LEAS SEG RP CGEM            4NC</v>
          </cell>
        </row>
        <row r="22458">
          <cell r="B22458" t="str">
            <v>51040511000103</v>
          </cell>
          <cell r="C22458" t="str">
            <v>LPC INT GAN VEN LS BACK COFIDE IDL CGEM 4NC</v>
          </cell>
        </row>
        <row r="22459">
          <cell r="B22459" t="str">
            <v>51040511000104</v>
          </cell>
          <cell r="C22459" t="str">
            <v>LPC SEG INT GAN VEN LS BACK COFIDE IDL C4NC</v>
          </cell>
        </row>
        <row r="22460">
          <cell r="B22460" t="str">
            <v>51040511000105</v>
          </cell>
          <cell r="C22460" t="str">
            <v>LPC INT GAN VEN LS BACK COFIDE D/P IDL C4NC</v>
          </cell>
        </row>
        <row r="22461">
          <cell r="B22461" t="str">
            <v>51040511000106</v>
          </cell>
          <cell r="C22461" t="str">
            <v>LPC SEG INT GAN VEN LS BACK COFIDE D/P I4NC</v>
          </cell>
        </row>
        <row r="22462">
          <cell r="B22462" t="str">
            <v>51040511000107</v>
          </cell>
          <cell r="C22462" t="str">
            <v>LPC INT GAN PAG DSCTO D/P VENC CGEM     4NC</v>
          </cell>
        </row>
        <row r="22463">
          <cell r="B22463" t="str">
            <v>51040511000108</v>
          </cell>
          <cell r="C22463" t="str">
            <v>LPC INT GAN PAG DSCTO VENC CGEM         4NC</v>
          </cell>
        </row>
        <row r="22464">
          <cell r="B22464" t="str">
            <v>51040511000109</v>
          </cell>
          <cell r="C22464" t="str">
            <v>LPC REF LS COFIGAS INT.GAN. VEN PDL CGEM4NC</v>
          </cell>
        </row>
        <row r="22465">
          <cell r="B22465" t="str">
            <v>51040511000110</v>
          </cell>
          <cell r="C22465" t="str">
            <v>LPC REF LS COFIGAS INT.GAN SB VEN PDS CG4NC</v>
          </cell>
        </row>
        <row r="22466">
          <cell r="B22466" t="str">
            <v>51040511000111</v>
          </cell>
          <cell r="C22466" t="str">
            <v>LPC INT GAN PAG FINAN PROY D/P VENC CGEM4NC</v>
          </cell>
        </row>
        <row r="22467">
          <cell r="B22467" t="str">
            <v>51040511000112</v>
          </cell>
          <cell r="C22467" t="str">
            <v>LPC INT GAN PAG FINAN PROY   VENC CGEM  4NC</v>
          </cell>
        </row>
        <row r="22468">
          <cell r="B22468" t="str">
            <v>51040511000113</v>
          </cell>
          <cell r="C22468" t="str">
            <v>LPC INT GAN PAG DERIVADOS VENC CGEM     4NC</v>
          </cell>
        </row>
        <row r="22469">
          <cell r="B22469" t="str">
            <v>51040511000114</v>
          </cell>
          <cell r="C22469" t="str">
            <v>LPC INT GAN VENC PAG DERIVADOS  D/P CGEM4NC</v>
          </cell>
        </row>
        <row r="22470">
          <cell r="B22470" t="str">
            <v>51040511000115</v>
          </cell>
          <cell r="C22470" t="str">
            <v>LPC INT GAN VENC  PAG TV  COFIDE CGEM   4NC</v>
          </cell>
        </row>
        <row r="22471">
          <cell r="B22471" t="str">
            <v>51040511000116</v>
          </cell>
          <cell r="C22471" t="str">
            <v>LPC INT GAN VENC  PAG. FINANC PROY COFID4NC</v>
          </cell>
        </row>
        <row r="22472">
          <cell r="B22472" t="str">
            <v>51040511000117</v>
          </cell>
          <cell r="C22472" t="str">
            <v>LPC INT GAN VENC PAGARE FORFAITING CGEM 4NC</v>
          </cell>
        </row>
        <row r="22473">
          <cell r="B22473" t="str">
            <v>51040511000118</v>
          </cell>
          <cell r="C22473" t="str">
            <v>LPC INT GAN VENC PAGARE FORFAITING D/P C4NC</v>
          </cell>
        </row>
        <row r="22474">
          <cell r="B22474" t="str">
            <v>51040511000119</v>
          </cell>
          <cell r="C22474" t="str">
            <v>LPC INT.GAN PAG REPROGRAMADO REV NORM CG4NC</v>
          </cell>
        </row>
        <row r="22475">
          <cell r="B22475" t="str">
            <v>51040511000120</v>
          </cell>
          <cell r="C22475" t="str">
            <v>LPC INT.GAN PAG REPROGRAMADO D/P CGEM   4NC</v>
          </cell>
        </row>
        <row r="22476">
          <cell r="B22476" t="str">
            <v>51040511000121</v>
          </cell>
          <cell r="C22476" t="str">
            <v>MYP GAN.INT.VENC. CAP DE TRABÂ CIMA NOR/4NC</v>
          </cell>
        </row>
        <row r="22477">
          <cell r="B22477" t="str">
            <v>51040511000201</v>
          </cell>
          <cell r="C22477" t="str">
            <v>LPC INT VEN LEAS BIEN D/P RP CGEM       4NC</v>
          </cell>
        </row>
        <row r="22478">
          <cell r="B22478" t="str">
            <v>51040511000202</v>
          </cell>
          <cell r="C22478" t="str">
            <v>LPC INT VEN LEAS SEG D/P RP CGEM        4NC</v>
          </cell>
        </row>
        <row r="22479">
          <cell r="B22479" t="str">
            <v>51040511000203</v>
          </cell>
          <cell r="C22479" t="str">
            <v>LPC PDL MYP INT GAN LEASING CGEM        4NC</v>
          </cell>
        </row>
        <row r="22480">
          <cell r="B22480" t="str">
            <v>51040511000204</v>
          </cell>
          <cell r="C22480" t="str">
            <v>LPC PDS MYP INT GAN LEASING CGEM        4NC</v>
          </cell>
        </row>
        <row r="22481">
          <cell r="B22481" t="str">
            <v>51040511000205</v>
          </cell>
          <cell r="C22481" t="str">
            <v>LPC PDL MYP INT GAN LEASING D/P CGEM    4NC</v>
          </cell>
        </row>
        <row r="22482">
          <cell r="B22482" t="str">
            <v>51040511000206</v>
          </cell>
          <cell r="C22482" t="str">
            <v>LPCPDS MYP INT GAN LEASING D/P CGEM     4NC</v>
          </cell>
        </row>
        <row r="22483">
          <cell r="B22483" t="str">
            <v>51040511000301</v>
          </cell>
          <cell r="C22483" t="str">
            <v>LPC INT VEN LEASEBACK BIEN RP CGEM      4NC</v>
          </cell>
        </row>
        <row r="22484">
          <cell r="B22484" t="str">
            <v>51040511000302</v>
          </cell>
          <cell r="C22484" t="str">
            <v>LPC INT VEN LEASEBACK SEG RP CGEM       4NC</v>
          </cell>
        </row>
        <row r="22485">
          <cell r="B22485" t="str">
            <v>51040511000303</v>
          </cell>
          <cell r="C22485" t="str">
            <v>LPC INT VEN LSBACK BIEN D/P RP CGEM     4NC</v>
          </cell>
        </row>
        <row r="22486">
          <cell r="B22486" t="str">
            <v>51040511000304</v>
          </cell>
          <cell r="C22486" t="str">
            <v>LPC INT VEN LSBACK SEG D/P RP CGEM      4NC</v>
          </cell>
        </row>
        <row r="22487">
          <cell r="B22487" t="str">
            <v>51040511000305</v>
          </cell>
          <cell r="C22487" t="str">
            <v>LPC INT VEN LS  BIEN OTROS SUSP RP CGEM 4NC</v>
          </cell>
        </row>
        <row r="22488">
          <cell r="B22488" t="str">
            <v>51040511000306</v>
          </cell>
          <cell r="C22488" t="str">
            <v>LPC INT VEN LS SEG OTROS SUSP RP CGEM   4NC</v>
          </cell>
        </row>
        <row r="22489">
          <cell r="B22489" t="str">
            <v>51040511000307</v>
          </cell>
          <cell r="C22489" t="str">
            <v>LPC INT VEN LSB  BIEN OTROS SUSP CGEM   4NC</v>
          </cell>
        </row>
        <row r="22490">
          <cell r="B22490" t="str">
            <v>51040511000308</v>
          </cell>
          <cell r="C22490" t="str">
            <v>LPC INT VEN LSB SEG OTROS SUSP CGEM     4NC</v>
          </cell>
        </row>
        <row r="22491">
          <cell r="B22491" t="str">
            <v>51040511000401</v>
          </cell>
          <cell r="C22491" t="str">
            <v>LPC GAN VEN LSG BIEN ADJ. RP CGEM       4NC</v>
          </cell>
        </row>
        <row r="22492">
          <cell r="B22492" t="str">
            <v>51040511000402</v>
          </cell>
          <cell r="C22492" t="str">
            <v>LPC INT VEN LSG SEG. ADJ. RP CGEM       4NC</v>
          </cell>
        </row>
        <row r="22493">
          <cell r="B22493" t="str">
            <v>51040511000403</v>
          </cell>
          <cell r="C22493" t="str">
            <v>LPC GAN VEN LSG BIEN ADJ. D/P CGEM      4NC</v>
          </cell>
        </row>
        <row r="22494">
          <cell r="B22494" t="str">
            <v>51040511000404</v>
          </cell>
          <cell r="C22494" t="str">
            <v>LPC SEG VEN .LSG ADJ. CGEM V-S          4NC</v>
          </cell>
        </row>
        <row r="22495">
          <cell r="B22495" t="str">
            <v>51040511000405</v>
          </cell>
          <cell r="C22495" t="str">
            <v>LPC INT VEN LEAS REESTR BIEN RP CGEM    4NC</v>
          </cell>
        </row>
        <row r="22496">
          <cell r="B22496" t="str">
            <v>51040511000406</v>
          </cell>
          <cell r="C22496" t="str">
            <v>LPC INT VEN LEAS REESTR SEG RP CGEM     4NC</v>
          </cell>
        </row>
        <row r="22497">
          <cell r="B22497" t="str">
            <v>51040511000407</v>
          </cell>
          <cell r="C22497" t="str">
            <v>LPC INT VEN LEAS REF BIEN RP CGEM       4NC</v>
          </cell>
        </row>
        <row r="22498">
          <cell r="B22498" t="str">
            <v>51040511000408</v>
          </cell>
          <cell r="C22498" t="str">
            <v>LPC INT VEN LEAS REF SEG RP CGEM        4NC</v>
          </cell>
        </row>
        <row r="22499">
          <cell r="B22499" t="str">
            <v>51040511000501</v>
          </cell>
          <cell r="C22499" t="str">
            <v>LPC INT GAN VENC PAG TV  D/P CGEM       4NC</v>
          </cell>
        </row>
        <row r="22500">
          <cell r="B22500" t="str">
            <v>51040511000502</v>
          </cell>
          <cell r="C22500" t="str">
            <v>LPC INT GAN PAG TV VENC CGEM            4NC</v>
          </cell>
        </row>
        <row r="22501">
          <cell r="B22501" t="str">
            <v>51040511000503</v>
          </cell>
          <cell r="C22501" t="str">
            <v>LPC INT VEN LEASEBACK REF BIEN RP CGEM  4NC</v>
          </cell>
        </row>
        <row r="22502">
          <cell r="B22502" t="str">
            <v>51040511000504</v>
          </cell>
          <cell r="C22502" t="str">
            <v>LPC INT VEN LEASEBACK REFIN SEG CGEM    4NC</v>
          </cell>
        </row>
        <row r="22503">
          <cell r="B22503" t="str">
            <v>51040511000505</v>
          </cell>
          <cell r="C22503" t="str">
            <v>LPC INT GAN VENC  PAG TV COFIDE CGEM    4NC</v>
          </cell>
        </row>
        <row r="22504">
          <cell r="B22504" t="str">
            <v>51040511000506</v>
          </cell>
          <cell r="C22504" t="str">
            <v>LPC INT GAN VENC PAG TV  COFIDE - D/P   4NC</v>
          </cell>
        </row>
        <row r="22505">
          <cell r="B22505" t="str">
            <v>51040511000507</v>
          </cell>
          <cell r="C22505" t="str">
            <v>LPC INT GAN PAG TV MED PLZ              4NC</v>
          </cell>
        </row>
        <row r="22506">
          <cell r="B22506" t="str">
            <v>51040511000508</v>
          </cell>
          <cell r="C22506" t="str">
            <v>LPC INT GAN PAG TV MED PLZ D/P          4NC</v>
          </cell>
        </row>
        <row r="22507">
          <cell r="B22507" t="str">
            <v>51040511000509</v>
          </cell>
          <cell r="C22507" t="str">
            <v>LPC INT GAN PAG TV INMOBILIARIO         4NC</v>
          </cell>
        </row>
        <row r="22508">
          <cell r="B22508" t="str">
            <v>51040511000510</v>
          </cell>
          <cell r="C22508" t="str">
            <v>LPC INT GAN PAG TV INMOBILIARIO D/P     4NC</v>
          </cell>
        </row>
        <row r="22509">
          <cell r="B22509" t="str">
            <v>51040511000511</v>
          </cell>
          <cell r="C22509" t="str">
            <v>LPC INT GAN FINAN PRE EMBARQUE          4NC</v>
          </cell>
        </row>
        <row r="22510">
          <cell r="B22510" t="str">
            <v>51040511000512</v>
          </cell>
          <cell r="C22510" t="str">
            <v>LPC INT GAN FINAN PRE EMBARQUE D/P      4NC</v>
          </cell>
        </row>
        <row r="22511">
          <cell r="B22511" t="str">
            <v>51040511000513</v>
          </cell>
          <cell r="C22511" t="str">
            <v>LPC INT GAN PAG TV EUROS                4NC</v>
          </cell>
        </row>
        <row r="22512">
          <cell r="B22512" t="str">
            <v>51040511000514</v>
          </cell>
          <cell r="C22512" t="str">
            <v>LPC INT GAN PAG TV EUROS                4NC</v>
          </cell>
        </row>
        <row r="22513">
          <cell r="B22513" t="str">
            <v>51040511000601</v>
          </cell>
          <cell r="C22513" t="str">
            <v>LPC INT.GAN VENC IMPORT D/P CGEM        4NC</v>
          </cell>
        </row>
        <row r="22514">
          <cell r="B22514" t="str">
            <v>51040511000602</v>
          </cell>
          <cell r="C22514" t="str">
            <v>LPC INT GAN VEN EX PRE EMB CGEM         4NC</v>
          </cell>
        </row>
        <row r="22515">
          <cell r="B22515" t="str">
            <v>51040511000603</v>
          </cell>
          <cell r="C22515" t="str">
            <v>LPC INT GAN VENC EX POST EMB RP D/P CGEM4NC</v>
          </cell>
        </row>
        <row r="22516">
          <cell r="B22516" t="str">
            <v>51040511000604</v>
          </cell>
          <cell r="C22516" t="str">
            <v>LPC INT GAN VENC EX PRE EMB CGEM        4NC</v>
          </cell>
        </row>
        <row r="22517">
          <cell r="B22517" t="str">
            <v>51040511000605</v>
          </cell>
          <cell r="C22517" t="str">
            <v>LPC INT GAN VENC EX POST EMB RP CESF    4NC</v>
          </cell>
        </row>
        <row r="22518">
          <cell r="B22518" t="str">
            <v>51040511000606</v>
          </cell>
          <cell r="C22518" t="str">
            <v>LPC INT GAN VENC IMPOR CGEM             4NC</v>
          </cell>
        </row>
        <row r="22519">
          <cell r="B22519" t="str">
            <v>51040511000607</v>
          </cell>
          <cell r="C22519" t="str">
            <v>LPC INT.GAN VEN  WORK CAP.EX PRE EMB CGE4NC</v>
          </cell>
        </row>
        <row r="22520">
          <cell r="B22520" t="str">
            <v>51040511000608</v>
          </cell>
          <cell r="C22520" t="str">
            <v>LPC INT GAN FINAN PRE EMBARQUE-SEPYMEX C4NC</v>
          </cell>
        </row>
        <row r="22521">
          <cell r="B22521" t="str">
            <v>51040511000609</v>
          </cell>
          <cell r="C22521" t="str">
            <v>LPC INT GAN FINAN PRE EMBARQUE D/P-SEPYM4NC</v>
          </cell>
        </row>
        <row r="22522">
          <cell r="B22522" t="str">
            <v>51040511000610</v>
          </cell>
          <cell r="C22522" t="str">
            <v>LPC INT GAN PRE EMBARQUE VEN.NORM CGEM  4NC</v>
          </cell>
        </row>
        <row r="22523">
          <cell r="B22523" t="str">
            <v>51040511000611</v>
          </cell>
          <cell r="C22523" t="str">
            <v>LPC INT GAN PRE EMBARQUE VEN.DUPE CGEM  4NC</v>
          </cell>
        </row>
        <row r="22524">
          <cell r="B22524" t="str">
            <v>51040511000612</v>
          </cell>
          <cell r="C22524" t="str">
            <v>LPC INT GAN POST EMBARQUE VEN.NORM CGEM 4NC</v>
          </cell>
        </row>
        <row r="22525">
          <cell r="B22525" t="str">
            <v>51040511000613</v>
          </cell>
          <cell r="C22525" t="str">
            <v>LPC INT GAN POST EMBARQUE VEN.DUPE CGEM 4NC</v>
          </cell>
        </row>
        <row r="22526">
          <cell r="B22526" t="str">
            <v>51040511000614</v>
          </cell>
          <cell r="C22526" t="str">
            <v>LPC INT GAN IMPORT. CARTA CREDITO  VEN.N4NC</v>
          </cell>
        </row>
        <row r="22527">
          <cell r="B22527" t="str">
            <v>51040511000615</v>
          </cell>
          <cell r="C22527" t="str">
            <v>LPC INT GAN IMPORT. CARTA CREDITO  VEN.D4NC</v>
          </cell>
        </row>
        <row r="22528">
          <cell r="B22528" t="str">
            <v>51040511000616</v>
          </cell>
          <cell r="C22528" t="str">
            <v>LPC INT GAN IMPORT.  VEN.NORM CGEM      4NC</v>
          </cell>
        </row>
        <row r="22529">
          <cell r="B22529" t="str">
            <v>51040511000617</v>
          </cell>
          <cell r="C22529" t="str">
            <v>LPC INT GAN IMPORT.  VEN.DUPE CGEM      4NC</v>
          </cell>
        </row>
        <row r="22530">
          <cell r="B22530" t="str">
            <v>51040511000701</v>
          </cell>
          <cell r="C22530" t="str">
            <v>INT VENC TC - COMERCIAL CGEM            4NC</v>
          </cell>
        </row>
        <row r="22531">
          <cell r="B22531" t="str">
            <v>51040511000702</v>
          </cell>
          <cell r="C22531" t="str">
            <v>INT VENC TC - COMERC MC CGEM            4NC</v>
          </cell>
        </row>
        <row r="22532">
          <cell r="B22532" t="str">
            <v>51040511000703</v>
          </cell>
          <cell r="C22532" t="str">
            <v>INT VENC TC - COMERCIAL AMEX CGEM       4NC</v>
          </cell>
        </row>
        <row r="22533">
          <cell r="B22533" t="str">
            <v>51040511000704</v>
          </cell>
          <cell r="C22533" t="str">
            <v>INT VENC TC - COMERC VEA CGEM           4NC</v>
          </cell>
        </row>
        <row r="22534">
          <cell r="B22534" t="str">
            <v>51040511000801</v>
          </cell>
          <cell r="C22534" t="str">
            <v>CL INT GANAD PAG DSCTO VENC CGEM        4NC</v>
          </cell>
        </row>
        <row r="22535">
          <cell r="B22535" t="str">
            <v>51040511000802</v>
          </cell>
          <cell r="C22535" t="str">
            <v>CL INT GAN PAG DSCTO D/P VENC CGEM      4NC</v>
          </cell>
        </row>
        <row r="22536">
          <cell r="B22536" t="str">
            <v>51040511000803</v>
          </cell>
          <cell r="C22536" t="str">
            <v>CL INT GAN PAG TV D/P  VENC CGEM        4NC</v>
          </cell>
        </row>
        <row r="22537">
          <cell r="B22537" t="str">
            <v>51040511000804</v>
          </cell>
          <cell r="C22537" t="str">
            <v>CL INT GAN VENC TV CGEM                 4NC</v>
          </cell>
        </row>
        <row r="22538">
          <cell r="B22538" t="str">
            <v>51040511000805</v>
          </cell>
          <cell r="C22538" t="str">
            <v>CL INT.GAN PAG.TV NEG.INMOB VEN CGEM    4NC</v>
          </cell>
        </row>
        <row r="22539">
          <cell r="B22539" t="str">
            <v>51040511000806</v>
          </cell>
          <cell r="C22539" t="str">
            <v>CL INT GAN OTROS SUSP VENC CGEM         4NC</v>
          </cell>
        </row>
        <row r="22540">
          <cell r="B22540" t="str">
            <v>51040511000807</v>
          </cell>
          <cell r="C22540" t="str">
            <v>CL INT.GAN.DEUD.VTA.CART.VEN CGEM       4NC</v>
          </cell>
        </row>
        <row r="22541">
          <cell r="B22541" t="str">
            <v>51040511000808</v>
          </cell>
          <cell r="C22541" t="str">
            <v>CL INT GANAD VENC PREST COFIDE CGEM     4NC</v>
          </cell>
        </row>
        <row r="22542">
          <cell r="B22542" t="str">
            <v>51040511000809</v>
          </cell>
          <cell r="C22542" t="str">
            <v>CL INT. GAN. VENC BK CGEM               4NC</v>
          </cell>
        </row>
        <row r="22543">
          <cell r="B22543" t="str">
            <v>51040511000810</v>
          </cell>
          <cell r="C22543" t="str">
            <v>CL INT. GAN. MORATORIO BK CCOR          4NC</v>
          </cell>
        </row>
        <row r="22544">
          <cell r="B22544" t="str">
            <v>51040511000811</v>
          </cell>
          <cell r="C22544" t="str">
            <v>CL INT GAN. VENC. AVALXACEP BKT CGEM    4NC</v>
          </cell>
        </row>
        <row r="22545">
          <cell r="B22545" t="str">
            <v>51040511000812</v>
          </cell>
          <cell r="C22545" t="str">
            <v>CL INT.GAN. VENC. BKT CGEM              4NC</v>
          </cell>
        </row>
        <row r="22546">
          <cell r="B22546" t="str">
            <v>51040511000813</v>
          </cell>
          <cell r="C22546" t="str">
            <v>CL INT GAN VENC VISTA BKT CGEM          4NC</v>
          </cell>
        </row>
        <row r="22547">
          <cell r="B22547" t="str">
            <v>51040511000814</v>
          </cell>
          <cell r="C22547" t="str">
            <v>CL INT GAN VENC STAND BY BKT CGEM       4NC</v>
          </cell>
        </row>
        <row r="22548">
          <cell r="B22548" t="str">
            <v>51040511000815</v>
          </cell>
          <cell r="C22548" t="str">
            <v>CL PRE JUD INT GAN DSCTO.PAG VEN CGEM   4NC</v>
          </cell>
        </row>
        <row r="22549">
          <cell r="B22549" t="str">
            <v>51040511000816</v>
          </cell>
          <cell r="C22549" t="str">
            <v>CL PRE JUD INT GAN DSCTO LETR VENC CGEM 4NC</v>
          </cell>
        </row>
        <row r="22550">
          <cell r="B22550" t="str">
            <v>51040511000817</v>
          </cell>
          <cell r="C22550" t="str">
            <v>CL PRE JUD INT.GAN PREST EXP VENC CGEM G4NC</v>
          </cell>
        </row>
        <row r="22551">
          <cell r="B22551" t="str">
            <v>51040511000818</v>
          </cell>
          <cell r="C22551" t="str">
            <v>CL PRE JUD INT.GAN RP CAP.TRAB VENC CGEM4NC</v>
          </cell>
        </row>
        <row r="22552">
          <cell r="B22552" t="str">
            <v>51040511000819</v>
          </cell>
          <cell r="C22552" t="str">
            <v>CL PRE JUD INT.GAN FACT LET VENC CGEM GL4NC</v>
          </cell>
        </row>
        <row r="22553">
          <cell r="B22553" t="str">
            <v>51040511000820</v>
          </cell>
          <cell r="C22553" t="str">
            <v>CL PRE JUD INT.GAN FACT FACT VENC CGEM G4NC</v>
          </cell>
        </row>
        <row r="22554">
          <cell r="B22554" t="str">
            <v>51040511000821</v>
          </cell>
          <cell r="C22554" t="str">
            <v>CL PRE JUD INT.GAN CART CRED CGEM GL 7004NC</v>
          </cell>
        </row>
        <row r="22555">
          <cell r="B22555" t="str">
            <v>51040511000822</v>
          </cell>
          <cell r="C22555" t="str">
            <v>CL PRE JUD INT.GAN CART FIANZ VENC CGEM 4NC</v>
          </cell>
        </row>
        <row r="22556">
          <cell r="B22556" t="str">
            <v>51040511000823</v>
          </cell>
          <cell r="C22556" t="str">
            <v>CL PRE JUD GAN P TV MED PLZ C/FIJ CGEM  4NC</v>
          </cell>
        </row>
        <row r="22557">
          <cell r="B22557" t="str">
            <v>51040511000824</v>
          </cell>
          <cell r="C22557" t="str">
            <v>CL PRE JUD INT GAN TC CONS-COM VENC CGEM4NC</v>
          </cell>
        </row>
        <row r="22558">
          <cell r="B22558" t="str">
            <v>51040511000825</v>
          </cell>
          <cell r="C22558" t="str">
            <v>CL PRE JUD INT GAN TC AMEX PJ VENC CGEM 4NC</v>
          </cell>
        </row>
        <row r="22559">
          <cell r="B22559" t="str">
            <v>51040511000826</v>
          </cell>
          <cell r="C22559" t="str">
            <v>CL PRE JUD INT.GAN TC MASTER PJ VENC CGE4NC</v>
          </cell>
        </row>
        <row r="22560">
          <cell r="B22560" t="str">
            <v>51040511000827</v>
          </cell>
          <cell r="C22560" t="str">
            <v>CL PRE JUD INT GAN RFA SUBOR VENC CGEM  4NC</v>
          </cell>
        </row>
        <row r="22561">
          <cell r="B22561" t="str">
            <v>51040511000828</v>
          </cell>
          <cell r="C22561" t="str">
            <v>CL PRE JUD INT GAN RFA FINANC VENC CGEM 4NC</v>
          </cell>
        </row>
        <row r="22562">
          <cell r="B22562" t="str">
            <v>51040511000829</v>
          </cell>
          <cell r="C22562" t="str">
            <v>CL PRE JUD INT GAN PAG.REC.COFID VENC CG4NC</v>
          </cell>
        </row>
        <row r="22563">
          <cell r="B22563" t="str">
            <v>51040511000830</v>
          </cell>
          <cell r="C22563" t="str">
            <v>CL PRE JUD INT.GAN SOBR CCTE. PJ VENC CG4NC</v>
          </cell>
        </row>
        <row r="22564">
          <cell r="B22564" t="str">
            <v>51040511000833</v>
          </cell>
          <cell r="C22564" t="str">
            <v>CL INTERES MORATORIO CGEM               4NC</v>
          </cell>
        </row>
        <row r="22565">
          <cell r="B22565" t="str">
            <v>51040511000834</v>
          </cell>
          <cell r="C22565" t="str">
            <v>CL EX FORFAITING INT.GAN.VEN CGEM       4NC</v>
          </cell>
        </row>
        <row r="22566">
          <cell r="B22566" t="str">
            <v>51040511000835</v>
          </cell>
          <cell r="C22566" t="str">
            <v>CL EX INT.  MORATORIO CGEM              4NC</v>
          </cell>
        </row>
        <row r="22567">
          <cell r="B22567" t="str">
            <v>51040511000836</v>
          </cell>
          <cell r="C22567" t="str">
            <v>CL INT GAN.VEN. EX PRE EMB D/P CGEM     4NC</v>
          </cell>
        </row>
        <row r="22568">
          <cell r="B22568" t="str">
            <v>51040511000837</v>
          </cell>
          <cell r="C22568" t="str">
            <v>CL INT.GAN.POST. EX EMBAR. D/P. VEN. CCO4NC</v>
          </cell>
        </row>
        <row r="22569">
          <cell r="B22569" t="str">
            <v>51040511000838</v>
          </cell>
          <cell r="C22569" t="str">
            <v>CL EX INT VEN PAG.IMPORTAC.D/P CGEM     4NC</v>
          </cell>
        </row>
        <row r="22570">
          <cell r="B22570" t="str">
            <v>51040511000839</v>
          </cell>
          <cell r="C22570" t="str">
            <v>CL CL INT. MORATORIO CGEM               4NC</v>
          </cell>
        </row>
        <row r="22571">
          <cell r="B22571" t="str">
            <v>51040511000840</v>
          </cell>
          <cell r="C22571" t="str">
            <v>CL BK INT. MORATORIO CGEM               4NC</v>
          </cell>
        </row>
        <row r="22572">
          <cell r="B22572" t="str">
            <v>51040511000841</v>
          </cell>
          <cell r="C22572" t="str">
            <v>CL CJ INT. MORATORIO CGEM               4NC</v>
          </cell>
        </row>
        <row r="22573">
          <cell r="B22573" t="str">
            <v>51040511000842</v>
          </cell>
          <cell r="C22573" t="str">
            <v>CL INT GAN VENC COB AVAL BKT CGEM       4NC</v>
          </cell>
        </row>
        <row r="22574">
          <cell r="B22574" t="str">
            <v>51040511000843</v>
          </cell>
          <cell r="C22574" t="str">
            <v>CL EX FACTORING FORFAITING INT.GAN.VEN C4NC</v>
          </cell>
        </row>
        <row r="22575">
          <cell r="B22575" t="str">
            <v>51040511000844</v>
          </cell>
          <cell r="C22575" t="str">
            <v>CL  CONFIRMING INTER INT.GAN.VEN CGEM   4NC</v>
          </cell>
        </row>
        <row r="22576">
          <cell r="B22576" t="str">
            <v>51040511000845</v>
          </cell>
          <cell r="C22576" t="str">
            <v>CL INT.GAN PRE JUDIC PAG.IMPORT VENC CGE4NC</v>
          </cell>
        </row>
        <row r="22577">
          <cell r="B22577" t="str">
            <v>51040511000846</v>
          </cell>
          <cell r="C22577" t="str">
            <v>CL INT.GAN.VEN.CRED.POR LIQ. CARTA FIANZ4NC</v>
          </cell>
        </row>
        <row r="22578">
          <cell r="B22578" t="str">
            <v>51040511000901</v>
          </cell>
          <cell r="C22578" t="str">
            <v>PR  INT GAN VC LETRAS DSCTO  CGEM       4NC</v>
          </cell>
        </row>
        <row r="22579">
          <cell r="B22579" t="str">
            <v>51040511000902</v>
          </cell>
          <cell r="C22579" t="str">
            <v>PR DSCTO ELECTR SM PERU I.VEN CGEM      4NC</v>
          </cell>
        </row>
        <row r="22580">
          <cell r="B22580" t="str">
            <v>51040511000903</v>
          </cell>
          <cell r="C22580" t="str">
            <v>PR INT GAN VENC LETRAS FACTORING CGEM   4NC</v>
          </cell>
        </row>
        <row r="22581">
          <cell r="B22581" t="str">
            <v>51040511000904</v>
          </cell>
          <cell r="C22581" t="str">
            <v>PR INT GAN VENC FACT FACTORING CGEM     4NC</v>
          </cell>
        </row>
        <row r="22582">
          <cell r="B22582" t="str">
            <v>51040511000905</v>
          </cell>
          <cell r="C22582" t="str">
            <v>FCD FACT ELECTR LET/FACT INT.VEN CGEM   4NC</v>
          </cell>
        </row>
        <row r="22583">
          <cell r="B22583" t="str">
            <v>51040511000906</v>
          </cell>
          <cell r="C22583" t="str">
            <v>PR FACTORING INTER. INT VENC CGEM       4NC</v>
          </cell>
        </row>
        <row r="22584">
          <cell r="B22584" t="str">
            <v>51040511000907</v>
          </cell>
          <cell r="C22584" t="str">
            <v>PR FORFAITING EXPORTACIÃ“N INT GANA VENC4NC</v>
          </cell>
        </row>
        <row r="22585">
          <cell r="B22585" t="str">
            <v>51040511001101</v>
          </cell>
          <cell r="C22585" t="str">
            <v>FCD INT MORATORIO CGEM                  4NC</v>
          </cell>
        </row>
        <row r="22586">
          <cell r="B22586" t="str">
            <v>51040511001102</v>
          </cell>
          <cell r="C22586" t="str">
            <v>FCD INT. GAN DSCTO ELECTR VENC DUD CGEM 4NC</v>
          </cell>
        </row>
        <row r="22587">
          <cell r="B22587" t="str">
            <v>51040511001103</v>
          </cell>
          <cell r="C22587" t="str">
            <v>FCD INT. GAN FACT ELECTR VIG DUD CGEM   4NC</v>
          </cell>
        </row>
        <row r="22588">
          <cell r="B22588" t="str">
            <v>51040511001104</v>
          </cell>
          <cell r="C22588" t="str">
            <v>FCD FACT INTER EXPO. INT VENC NORM CGEM 4NC</v>
          </cell>
        </row>
        <row r="22589">
          <cell r="B22589" t="str">
            <v>51040511001105</v>
          </cell>
          <cell r="C22589" t="str">
            <v>FCD FORFAITING EXPORTACIÃ“N INT GANA VEN4NC</v>
          </cell>
        </row>
        <row r="22590">
          <cell r="B22590" t="str">
            <v>51040511001106</v>
          </cell>
          <cell r="C22590" t="str">
            <v>FCD FACT INTER EXPO. INT VENC DUPE CGEM 4NC</v>
          </cell>
        </row>
        <row r="22591">
          <cell r="B22591" t="str">
            <v>51040511001107</v>
          </cell>
          <cell r="C22591" t="str">
            <v>FCD FORFAITING EXPORTACIÃ“N INT GANA VEN4NC</v>
          </cell>
        </row>
        <row r="22592">
          <cell r="B22592" t="str">
            <v>51040511001108</v>
          </cell>
          <cell r="C22592" t="str">
            <v>FCD CONFIRMING INTERNACIONAL. INT VENC N4NC</v>
          </cell>
        </row>
        <row r="22593">
          <cell r="B22593" t="str">
            <v>51040511001109</v>
          </cell>
          <cell r="C22593" t="str">
            <v>FCD CONFIRMING INTERNACIONAL. INT VENC D4NC</v>
          </cell>
        </row>
        <row r="22594">
          <cell r="B22594" t="str">
            <v>51040511001110</v>
          </cell>
          <cell r="C22594" t="str">
            <v>FCD DESC. LET. I. VENC. CGEM DUPE       4NC</v>
          </cell>
        </row>
        <row r="22595">
          <cell r="B22595" t="str">
            <v>51040511001111</v>
          </cell>
          <cell r="C22595" t="str">
            <v>FCD DESC. FACT. I. VENC. CGEM DUPE      4NC</v>
          </cell>
        </row>
        <row r="22596">
          <cell r="B22596" t="str">
            <v>51040511001112</v>
          </cell>
          <cell r="C22596" t="str">
            <v>FCD DESC. VIRTUAL I. VENC. CGEM DUPE    4NC</v>
          </cell>
        </row>
        <row r="22597">
          <cell r="B22597" t="str">
            <v>51040511001113</v>
          </cell>
          <cell r="C22597" t="str">
            <v>FCD DESC. FACT. NEG. I. VENC. CGEM DUPE 4NC</v>
          </cell>
        </row>
        <row r="22598">
          <cell r="B22598" t="str">
            <v>51040511001114</v>
          </cell>
          <cell r="C22598" t="str">
            <v>FCD fAC. FIS. LET. I. VENC. CGEM DUPE   4NC</v>
          </cell>
        </row>
        <row r="22599">
          <cell r="B22599" t="str">
            <v>51040511001115</v>
          </cell>
          <cell r="C22599" t="str">
            <v>FCD FAC. FIS. fAC.. I. VENC. CGEM DUPE  4NC</v>
          </cell>
        </row>
        <row r="22600">
          <cell r="B22600" t="str">
            <v>51040511001116</v>
          </cell>
          <cell r="C22600" t="str">
            <v>FCD DESC. VIRTUAL I. VENC. CGEM NORMAL  4NC</v>
          </cell>
        </row>
        <row r="22601">
          <cell r="B22601" t="str">
            <v>51040511001117</v>
          </cell>
          <cell r="C22601" t="str">
            <v>FACT INTER IMPORT  VENC. CGEM DUPE      4NC</v>
          </cell>
        </row>
        <row r="22602">
          <cell r="B22602" t="str">
            <v>51040511001118</v>
          </cell>
          <cell r="C22602" t="str">
            <v>FACT INTER IMPORT   VENC. CGEM NORMAL   4NC</v>
          </cell>
        </row>
        <row r="22603">
          <cell r="B22603" t="str">
            <v>51040511001201</v>
          </cell>
          <cell r="C22603" t="str">
            <v>TC INT VENCIDO AMEX CGEM                4NC</v>
          </cell>
        </row>
        <row r="22604">
          <cell r="B22604" t="str">
            <v>51040511001202</v>
          </cell>
          <cell r="C22604" t="str">
            <v>TC INT VENCIDO MC CGEM                  4NC</v>
          </cell>
        </row>
        <row r="22605">
          <cell r="B22605" t="str">
            <v>51040511001203</v>
          </cell>
          <cell r="C22605" t="str">
            <v>TC INT VENCIDO VISA CGEM                4NC</v>
          </cell>
        </row>
        <row r="22606">
          <cell r="B22606" t="str">
            <v>51040511001204</v>
          </cell>
          <cell r="C22606" t="str">
            <v>TC INT VENCIDO VISA MEGAPLAZA CGEM      4NC</v>
          </cell>
        </row>
        <row r="22607">
          <cell r="B22607" t="str">
            <v>51040511001205</v>
          </cell>
          <cell r="C22607" t="str">
            <v>TC INT VENCIDO VISA VEA CGEM            4NC</v>
          </cell>
        </row>
        <row r="22608">
          <cell r="B22608" t="str">
            <v>51040511001301</v>
          </cell>
          <cell r="C22608" t="str">
            <v>LPC INT VEN LEASING COFIDE IDL CGEM     4NC</v>
          </cell>
        </row>
        <row r="22609">
          <cell r="B22609" t="str">
            <v>51040511001302</v>
          </cell>
          <cell r="C22609" t="str">
            <v>LPC INT VEN LS COFIDE SEG IDS CGEM      4NC</v>
          </cell>
        </row>
        <row r="22610">
          <cell r="B22610" t="str">
            <v>51040511001303</v>
          </cell>
          <cell r="C22610" t="str">
            <v>LPC INT VEN LS COFIDE D/P IDL CGEM      4NC</v>
          </cell>
        </row>
        <row r="22611">
          <cell r="B22611" t="str">
            <v>51040511001304</v>
          </cell>
          <cell r="C22611" t="str">
            <v>LPC INT VEN LS COFIDE SEG D/P IDS CGEM  4NC</v>
          </cell>
        </row>
        <row r="22612">
          <cell r="B22612" t="str">
            <v>51040511001305</v>
          </cell>
          <cell r="C22612" t="str">
            <v>MYP INT.GAN.VENC CAP.TRAB.NORM CGEM     4NC</v>
          </cell>
        </row>
        <row r="22613">
          <cell r="B22613" t="str">
            <v>51040511001306</v>
          </cell>
          <cell r="C22613" t="str">
            <v>MYP INT.GAN VENC COMPRA AF NORM CGEM    4NC</v>
          </cell>
        </row>
        <row r="22614">
          <cell r="B22614" t="str">
            <v>51040511001307</v>
          </cell>
          <cell r="C22614" t="str">
            <v>MYP INT.GAN VENC CRED. PARAL.NORM CGEM  4NC</v>
          </cell>
        </row>
        <row r="22615">
          <cell r="B22615" t="str">
            <v>51040511001308</v>
          </cell>
          <cell r="C22615" t="str">
            <v>MYP INT.GAN. VENC LIN REVOLV NORM CGEM  4NC</v>
          </cell>
        </row>
        <row r="22616">
          <cell r="B22616" t="str">
            <v>51040511001309</v>
          </cell>
          <cell r="C22616" t="str">
            <v>MYP D/P GAN.INT.VENC.IMP. CAP DE TRABÂ  4NC</v>
          </cell>
        </row>
        <row r="22617">
          <cell r="B22617" t="str">
            <v>51040511001310</v>
          </cell>
          <cell r="C22617" t="str">
            <v>MYP D/P GAN.INT.VENC AF INMUEBLE CGEM   4NC</v>
          </cell>
        </row>
        <row r="22618">
          <cell r="B22618" t="str">
            <v>51040511001311</v>
          </cell>
          <cell r="C22618" t="str">
            <v>MYP D/P GAN.INT.VENC CRED PARL.CGEM     4NC</v>
          </cell>
        </row>
        <row r="22619">
          <cell r="B22619" t="str">
            <v>51040511001312</v>
          </cell>
          <cell r="C22619" t="str">
            <v>MYP D/P GAN.INT.VENC. LINEAS REVOL CGEM 4NC</v>
          </cell>
        </row>
        <row r="22620">
          <cell r="B22620" t="str">
            <v>51040511001313</v>
          </cell>
          <cell r="C22620" t="str">
            <v>MYP D/P INT.GAN.VEN PAG.BPE-BE COMER.CGE4NC</v>
          </cell>
        </row>
        <row r="22621">
          <cell r="B22621" t="str">
            <v>51040511001314</v>
          </cell>
          <cell r="C22621" t="str">
            <v>MYP INT.GAN.VENC PAG BPE-BE NORM COM.CGE4NC</v>
          </cell>
        </row>
        <row r="22622">
          <cell r="B22622" t="str">
            <v>51040511001315</v>
          </cell>
          <cell r="C22622" t="str">
            <v>MYP D/P GAN.INT.VENC. LIN REV.BPE-BE COM4NC</v>
          </cell>
        </row>
        <row r="22623">
          <cell r="B22623" t="str">
            <v>51040511001316</v>
          </cell>
          <cell r="C22623" t="str">
            <v>MYP I.GAN. VENC LIN REV.BPE-BE COM NORM 4NC</v>
          </cell>
        </row>
        <row r="22624">
          <cell r="B22624" t="str">
            <v>51040511001317</v>
          </cell>
          <cell r="C22624" t="str">
            <v>MYP IN VENC GAN.PAG.TV.REFIN.C/FIJA CGEM4NC</v>
          </cell>
        </row>
        <row r="22625">
          <cell r="B22625" t="str">
            <v>51040511001351</v>
          </cell>
          <cell r="C22625" t="str">
            <v>LPC INT VEN LEASING DERIVADO SEG RP CGEM4NC</v>
          </cell>
        </row>
        <row r="22626">
          <cell r="B22626" t="str">
            <v>51040511001352</v>
          </cell>
          <cell r="C22626" t="str">
            <v>LPC INT VEN LEASING DERIVADO SEG D/P RP 4NC</v>
          </cell>
        </row>
        <row r="22627">
          <cell r="B22627" t="str">
            <v>51040511001353</v>
          </cell>
          <cell r="C22627" t="str">
            <v>LPC INT VEN LEASING DERIVADO SEG RP CGEM4NC</v>
          </cell>
        </row>
        <row r="22628">
          <cell r="B22628" t="str">
            <v>51040511001354</v>
          </cell>
          <cell r="C22628" t="str">
            <v>LPC INT VEN LEASING DERIVADO SEG D/P RP 4NC</v>
          </cell>
        </row>
        <row r="22629">
          <cell r="B22629" t="str">
            <v>51040511001401</v>
          </cell>
          <cell r="C22629" t="str">
            <v>JCC PRE JUD INT.GAN PREST EXP VENC CGEM 4NC</v>
          </cell>
        </row>
        <row r="22630">
          <cell r="B22630" t="str">
            <v>51040511001402</v>
          </cell>
          <cell r="C22630" t="str">
            <v>JCC PRE JUD INT.GAN RP CAP.TRAB VENC CGE4NC</v>
          </cell>
        </row>
        <row r="22631">
          <cell r="B22631" t="str">
            <v>51040511001403</v>
          </cell>
          <cell r="C22631" t="str">
            <v>JCC PRE JUD INT GAN DSCTO.PAG VEN CGEM  4NC</v>
          </cell>
        </row>
        <row r="22632">
          <cell r="B22632" t="str">
            <v>51040511001404</v>
          </cell>
          <cell r="C22632" t="str">
            <v>JCC PRE JUD INT GAN DSCTO LETR VENC CGEM4NC</v>
          </cell>
        </row>
        <row r="22633">
          <cell r="B22633" t="str">
            <v>51040511001405</v>
          </cell>
          <cell r="C22633" t="str">
            <v>JCC PRE JUD INT.GAN FACT LET VENC CGEM G4NC</v>
          </cell>
        </row>
        <row r="22634">
          <cell r="B22634" t="str">
            <v>51040511001406</v>
          </cell>
          <cell r="C22634" t="str">
            <v>JCC PRE JUD INT.GAN FACT FACT VENC CGEM 4NC</v>
          </cell>
        </row>
        <row r="22635">
          <cell r="B22635" t="str">
            <v>51040511001407</v>
          </cell>
          <cell r="C22635" t="str">
            <v>JCC PRE JUD INT.GAN CART CRED CGEM GL 704NC</v>
          </cell>
        </row>
        <row r="22636">
          <cell r="B22636" t="str">
            <v>51040511001408</v>
          </cell>
          <cell r="C22636" t="str">
            <v>JCC PRE JUD INT.GAN CART FIANZ VENC CGEM4NC</v>
          </cell>
        </row>
        <row r="22637">
          <cell r="B22637" t="str">
            <v>51040511001409</v>
          </cell>
          <cell r="C22637" t="str">
            <v>JCC PRE JUD GAN P TV MED PLZ C/FIJ CGEM 4NC</v>
          </cell>
        </row>
        <row r="22638">
          <cell r="B22638" t="str">
            <v>51040511001410</v>
          </cell>
          <cell r="C22638" t="str">
            <v>JCC PRE JUD INT.GAN TC MASTER PJ VENC CG4NC</v>
          </cell>
        </row>
        <row r="22639">
          <cell r="B22639" t="str">
            <v>51040511001411</v>
          </cell>
          <cell r="C22639" t="str">
            <v>JCC PRE JUD INT.GAN SOBR CCTE. PJ VENC C4NC</v>
          </cell>
        </row>
        <row r="22640">
          <cell r="B22640" t="str">
            <v>51040511001412</v>
          </cell>
          <cell r="C22640" t="str">
            <v>JCC PRE JUD INT GAN RFA SUBOR VENC CGEM 4NC</v>
          </cell>
        </row>
        <row r="22641">
          <cell r="B22641" t="str">
            <v>51040511001413</v>
          </cell>
          <cell r="C22641" t="str">
            <v>JCC PRE JUD INT GAN RFA FINANC VENC CGEM4NC</v>
          </cell>
        </row>
        <row r="22642">
          <cell r="B22642" t="str">
            <v>51040511001414</v>
          </cell>
          <cell r="C22642" t="str">
            <v>JCC PRE JUD INT GAN TC CONS-COM VENC CGE4NC</v>
          </cell>
        </row>
        <row r="22643">
          <cell r="B22643" t="str">
            <v>51040511001415</v>
          </cell>
          <cell r="C22643" t="str">
            <v>JCC PRE JUD INT GAN TC AMEX PJ VENC CGEM4NC</v>
          </cell>
        </row>
        <row r="22644">
          <cell r="B22644" t="str">
            <v>51040511001417</v>
          </cell>
          <cell r="C22644" t="str">
            <v>JCC PRE JUD INT GAN PAG.REC.COFID VENC C4NC</v>
          </cell>
        </row>
        <row r="22645">
          <cell r="B22645" t="str">
            <v>51040511001420</v>
          </cell>
          <cell r="C22645" t="str">
            <v>JCC INT. MORATORIO CGEM                 4NC</v>
          </cell>
        </row>
        <row r="22646">
          <cell r="B22646" t="str">
            <v>51040511001421</v>
          </cell>
          <cell r="C22646" t="str">
            <v>JCC MYP PJ CAP TRAB PRE JUD INT GAN CMED4NC</v>
          </cell>
        </row>
        <row r="22647">
          <cell r="B22647" t="str">
            <v>51040511005104</v>
          </cell>
          <cell r="C22647" t="str">
            <v>PR INT GANA VEN LETRAS T. DSCTOÂ  CGEM  4NC</v>
          </cell>
        </row>
        <row r="22648">
          <cell r="B22648" t="str">
            <v>51040511005106</v>
          </cell>
          <cell r="C22648" t="str">
            <v>LPC INT MORATORIO CGEM                  4NC</v>
          </cell>
        </row>
        <row r="22649">
          <cell r="B22649" t="str">
            <v>51040511005115</v>
          </cell>
          <cell r="C22649" t="str">
            <v>LPC REACTIVA PERU VEN CGEM\NORM         4NC</v>
          </cell>
        </row>
        <row r="22650">
          <cell r="B22650" t="str">
            <v>51040511005116</v>
          </cell>
          <cell r="C22650" t="str">
            <v>LPC REACTIVA PERU VEN CGEM\DUPE         4NC</v>
          </cell>
        </row>
        <row r="22651">
          <cell r="B22651" t="str">
            <v>51040511005117</v>
          </cell>
          <cell r="C22651" t="str">
            <v>LPC COFIDE FONDOS PERU VEN CGEM\NORM    4NC</v>
          </cell>
        </row>
        <row r="22652">
          <cell r="B22652" t="str">
            <v>51040511005118</v>
          </cell>
          <cell r="C22652" t="str">
            <v>LPC COFIDE FONDOS PERU VEN CGEM\DUPE    4NC</v>
          </cell>
        </row>
        <row r="22653">
          <cell r="B22653" t="str">
            <v>51040511005119</v>
          </cell>
          <cell r="C22653" t="str">
            <v>LPC COFIDE FONDO CRECER VEN CGEM\NORM   4NC</v>
          </cell>
        </row>
        <row r="22654">
          <cell r="B22654" t="str">
            <v>51040511005120</v>
          </cell>
          <cell r="C22654" t="str">
            <v>LPC COFIDE FONDO CRECER VEN CGEM\DUPE   4NC</v>
          </cell>
        </row>
        <row r="22655">
          <cell r="B22655" t="str">
            <v>51040511005121</v>
          </cell>
          <cell r="C22655" t="str">
            <v>LPC REACTIVA PERU VEN CGEM\NORM         4NC</v>
          </cell>
        </row>
        <row r="22656">
          <cell r="B22656" t="str">
            <v>51040511005122</v>
          </cell>
          <cell r="C22656" t="str">
            <v>LPC REACTIVA PERU VEN CGEM\DUPE         4NC</v>
          </cell>
        </row>
        <row r="22657">
          <cell r="B22657" t="str">
            <v>51040511005123</v>
          </cell>
          <cell r="C22657" t="str">
            <v>LPC COFIDE FONDOS CRECER CGEM VEN\NORM  4NC</v>
          </cell>
        </row>
        <row r="22658">
          <cell r="B22658" t="str">
            <v>51040511005124</v>
          </cell>
          <cell r="C22658" t="str">
            <v>LPC COFIDE FONDOS CRECER CGEM VEN\DUPE  4NC</v>
          </cell>
        </row>
        <row r="22659">
          <cell r="B22659" t="str">
            <v>51040511005125</v>
          </cell>
          <cell r="C22659" t="str">
            <v>LPC COFIDE FONDOS CRECER CGEM VEN\NORM  4NC</v>
          </cell>
        </row>
        <row r="22660">
          <cell r="B22660" t="str">
            <v>51040511005126</v>
          </cell>
          <cell r="C22660" t="str">
            <v>LPC COFIDE FONDOS CRECER CGEM VEN\DUPE  4NC</v>
          </cell>
        </row>
        <row r="22661">
          <cell r="B22661" t="str">
            <v>51040511005127</v>
          </cell>
          <cell r="C22661" t="str">
            <v>LPC REPROG EM COVID-19 PRE EMBARQUE VENC4NC</v>
          </cell>
        </row>
        <row r="22662">
          <cell r="B22662" t="str">
            <v>51040511005128</v>
          </cell>
          <cell r="C22662" t="str">
            <v>LPC REPROG EM COVID-19 PRE EMBAR VENC CC4NC</v>
          </cell>
        </row>
        <row r="22663">
          <cell r="B22663" t="str">
            <v>51040511005129</v>
          </cell>
          <cell r="C22663" t="str">
            <v>LPC REPROG EM COVID-19 PRE EMB INT REFIN4NC</v>
          </cell>
        </row>
        <row r="22664">
          <cell r="B22664" t="str">
            <v>51040511005130</v>
          </cell>
          <cell r="C22664" t="str">
            <v>LPC REPROG EM COVID-19 PRE EMB INT CCOR 4NC</v>
          </cell>
        </row>
        <row r="22665">
          <cell r="B22665" t="str">
            <v>51040511005131</v>
          </cell>
          <cell r="C22665" t="str">
            <v>LPC PAG MEDIANO PLAZO COVID-19 CGEM     4NC</v>
          </cell>
        </row>
        <row r="22666">
          <cell r="B22666" t="str">
            <v>51040511005132</v>
          </cell>
          <cell r="C22666" t="str">
            <v>JCC PRE JUD INT.GAN REACTIVA PERU VENC C4NC</v>
          </cell>
        </row>
        <row r="22667">
          <cell r="B22667" t="str">
            <v>51040511005133</v>
          </cell>
          <cell r="C22667" t="str">
            <v>LPC INT MORATORIO CGEM                  4 C</v>
          </cell>
        </row>
        <row r="22668">
          <cell r="B22668" t="str">
            <v>51040511005134</v>
          </cell>
          <cell r="C22668" t="str">
            <v>LPC INT MORATORIO REACTIVA CGEM         4 C</v>
          </cell>
        </row>
        <row r="22669">
          <cell r="B22669" t="str">
            <v>51040511005135</v>
          </cell>
          <cell r="C22669" t="str">
            <v>LPC INT MORATORIO REACTIVA REPROG CGEM  4 C</v>
          </cell>
        </row>
        <row r="22670">
          <cell r="B22670" t="str">
            <v>51040511005136</v>
          </cell>
          <cell r="C22670" t="str">
            <v>JCC PRE JUD INT.GAN REACTIVA PERU VENC C4 C</v>
          </cell>
        </row>
        <row r="22671">
          <cell r="B22671" t="str">
            <v>51040511005137</v>
          </cell>
          <cell r="C22671" t="str">
            <v>JCC PRE JUD INT.GAN FONDO CRECER VENC CG4 C</v>
          </cell>
        </row>
        <row r="22672">
          <cell r="B22672" t="str">
            <v>51040511005138</v>
          </cell>
          <cell r="C22672" t="str">
            <v>JCC PRE JUD INT.GAN FONDO CRECER VENC CG4 C</v>
          </cell>
        </row>
        <row r="22673">
          <cell r="B22673" t="str">
            <v>51040511005139</v>
          </cell>
          <cell r="C22673" t="str">
            <v>JCC PREJUD INT.GAN REACT PRE-HONRAMIENTO4 C</v>
          </cell>
        </row>
        <row r="22674">
          <cell r="B22674" t="str">
            <v>51040511005140</v>
          </cell>
          <cell r="C22674" t="str">
            <v>JCC PREJUD INT.GAN REACT PRE-HONRAMIENTO4 C</v>
          </cell>
        </row>
        <row r="22675">
          <cell r="B22675" t="str">
            <v>51040511005141</v>
          </cell>
          <cell r="C22675" t="str">
            <v>FCD FACTORING INT MORATORIO CGEM        4 C</v>
          </cell>
        </row>
        <row r="22676">
          <cell r="B22676" t="str">
            <v>51040511005142</v>
          </cell>
          <cell r="C22676" t="str">
            <v>LPC PAGARE COMEX INT MORATORIO CGEM     4 C</v>
          </cell>
        </row>
        <row r="22677">
          <cell r="B22677" t="str">
            <v>51040511005143</v>
          </cell>
          <cell r="C22677" t="str">
            <v>LPC INT GAN PAG TV REF CGEM             4 C</v>
          </cell>
        </row>
        <row r="22678">
          <cell r="B22678" t="str">
            <v>51040511005144</v>
          </cell>
          <cell r="C22678" t="str">
            <v>LPC REFINANCIADO REACTIVA CGEM VEN      4 C</v>
          </cell>
        </row>
        <row r="22679">
          <cell r="B22679" t="str">
            <v>51040511005145</v>
          </cell>
          <cell r="C22679" t="str">
            <v>LPC REPROG REACTIVA DIFE CGEM VEN       4 C</v>
          </cell>
        </row>
        <row r="22680">
          <cell r="B22680" t="str">
            <v>51040511005146</v>
          </cell>
          <cell r="C22680" t="str">
            <v>LPC PRE EMBARQUE FONDOS CRECER CGEM INT 4NC</v>
          </cell>
        </row>
        <row r="22681">
          <cell r="B22681" t="str">
            <v>51040511005147</v>
          </cell>
          <cell r="C22681" t="str">
            <v>LPC REPROG REACTIVA DS.011-2022 CGEM NOR4 C</v>
          </cell>
        </row>
        <row r="22682">
          <cell r="B22682" t="str">
            <v>51040511005148</v>
          </cell>
          <cell r="C22682" t="str">
            <v>LPC REPROG REACTIVA DS.011-2022 CGEM DUP4 C</v>
          </cell>
        </row>
        <row r="22683">
          <cell r="B22683" t="str">
            <v>51040511005149</v>
          </cell>
          <cell r="C22683" t="str">
            <v>LPC REPROG REACTIVA DS.011-2022 CGEM    4 C</v>
          </cell>
        </row>
        <row r="22684">
          <cell r="B22684" t="str">
            <v>51040511005150</v>
          </cell>
          <cell r="C22684" t="str">
            <v>MYP REPROG REACTIVA DS.011-2022 CGEM NOR4 C</v>
          </cell>
        </row>
        <row r="22685">
          <cell r="B22685" t="str">
            <v>51040511005151</v>
          </cell>
          <cell r="C22685" t="str">
            <v>MYP REPROG REACTIVA DS.011-2022 CGEM DUP4 C</v>
          </cell>
        </row>
        <row r="22686">
          <cell r="B22686" t="str">
            <v>51040511005153</v>
          </cell>
          <cell r="C22686" t="str">
            <v>LPC RP MED PZ PREST VERDE-SOCIAL CGEM VE4 C</v>
          </cell>
        </row>
        <row r="22687">
          <cell r="B22687" t="str">
            <v>51040511005154</v>
          </cell>
          <cell r="C22687" t="str">
            <v>LPC RP MED PZ PREST VERDE-SOCIAL CGEM VE4 C</v>
          </cell>
        </row>
        <row r="22688">
          <cell r="B22688" t="str">
            <v>51040511005155</v>
          </cell>
          <cell r="C22688" t="str">
            <v>LPC RP MED PZ PREST SOSTENIBLE CGEM VEN 4 C</v>
          </cell>
        </row>
        <row r="22689">
          <cell r="B22689" t="str">
            <v>51040511005156</v>
          </cell>
          <cell r="C22689" t="str">
            <v>LPC RP MED PZ PREST SOSTENIBLE CGEM VEN 4 C</v>
          </cell>
        </row>
        <row r="22690">
          <cell r="B22690" t="str">
            <v>51040511005157</v>
          </cell>
          <cell r="C22690" t="str">
            <v>LPC PAG FINAN PROY VERDE-SOCIAL CGEM DUP4 C</v>
          </cell>
        </row>
        <row r="22691">
          <cell r="B22691" t="str">
            <v>51040511005158</v>
          </cell>
          <cell r="C22691" t="str">
            <v>LPC PAG FINAN PROY VERDE-SOCIAL CGEM NOR4 C</v>
          </cell>
        </row>
        <row r="22692">
          <cell r="B22692" t="str">
            <v>51040511005159</v>
          </cell>
          <cell r="C22692" t="str">
            <v>LPC PAG FINAN PROY VINC-SOSTENIB CGEM DU4 C</v>
          </cell>
        </row>
        <row r="22693">
          <cell r="B22693" t="str">
            <v>51040511005160</v>
          </cell>
          <cell r="C22693" t="str">
            <v>LPC PAG FINAN PROY VINC-SOSTENIB CGEM NO4 C</v>
          </cell>
        </row>
        <row r="22694">
          <cell r="B22694" t="str">
            <v>51040511005161</v>
          </cell>
          <cell r="C22694" t="str">
            <v>LPC PAG BIENES INMB RENTA VERDE-SOCIAL C4 C</v>
          </cell>
        </row>
        <row r="22695">
          <cell r="B22695" t="str">
            <v>51040511005162</v>
          </cell>
          <cell r="C22695" t="str">
            <v>LPC PAG BIENES INMB RENTA VERDE-SOCIAL C4 C</v>
          </cell>
        </row>
        <row r="22696">
          <cell r="B22696" t="str">
            <v>51040511005163</v>
          </cell>
          <cell r="C22696" t="str">
            <v>LPC PAG BIENES INMB RENTA VINC-SOSTENIB 4 C</v>
          </cell>
        </row>
        <row r="22697">
          <cell r="B22697" t="str">
            <v>51040511005164</v>
          </cell>
          <cell r="C22697" t="str">
            <v>LPC PAG BIENES INMB RENTA VINC-SOSTENIB 4 C</v>
          </cell>
        </row>
        <row r="22698">
          <cell r="B22698" t="str">
            <v>51040511005165</v>
          </cell>
          <cell r="C22698" t="str">
            <v>LPC REPROG REACTIVA 2023 VEN CGEM NORM  4 C</v>
          </cell>
        </row>
        <row r="22699">
          <cell r="B22699" t="str">
            <v>51040511005166</v>
          </cell>
          <cell r="C22699" t="str">
            <v>LPC REPROG REACTIVA 2023 VEN CGEM DUPE  4 C</v>
          </cell>
        </row>
        <row r="22700">
          <cell r="B22700" t="str">
            <v>51040511005167</v>
          </cell>
          <cell r="C22700" t="str">
            <v>LPC REPROG REACTIVA 2023 INT MORA CGEM  4 C</v>
          </cell>
        </row>
        <row r="22701">
          <cell r="B22701" t="str">
            <v>51040511005168</v>
          </cell>
          <cell r="C22701" t="str">
            <v>MYP CAP. TRAB - PAGARE DIGITAL_CGEM NORM4 C</v>
          </cell>
        </row>
        <row r="22702">
          <cell r="B22702" t="str">
            <v>51040511005169</v>
          </cell>
          <cell r="C22702" t="str">
            <v>MYP CAP. TRAB - PAGARE DIGITAL_CGEM DUPE4 C</v>
          </cell>
        </row>
        <row r="22703">
          <cell r="B22703" t="str">
            <v>51040511005170</v>
          </cell>
          <cell r="C22703" t="str">
            <v>JCC PRE.JUD INT GAN REACT PRE-HONRAM REP4 C</v>
          </cell>
        </row>
        <row r="22704">
          <cell r="B22704" t="str">
            <v>51040511005171</v>
          </cell>
          <cell r="C22704" t="str">
            <v>JCC PRE.JUD INT GAN REACT PRE-HONRAM REP4 C</v>
          </cell>
        </row>
        <row r="22705">
          <cell r="B22705" t="str">
            <v>51040511005172</v>
          </cell>
          <cell r="C22705" t="str">
            <v>JCC PRE.JUD INT GAN REACT PRE-HONRAM REP4 C</v>
          </cell>
        </row>
        <row r="22706">
          <cell r="B22706" t="str">
            <v>51040511005173</v>
          </cell>
          <cell r="C22706" t="str">
            <v>JCC PRE.JUD INT GAN REACT PRE-HONRAM REP4 C</v>
          </cell>
        </row>
        <row r="22707">
          <cell r="B22707" t="str">
            <v>51040511005174</v>
          </cell>
          <cell r="C22707" t="str">
            <v>JCC PRE.JUD INT GAN REACT PRE-HONRAM REP4 C</v>
          </cell>
        </row>
        <row r="22708">
          <cell r="B22708" t="str">
            <v>51040511005175</v>
          </cell>
          <cell r="C22708" t="str">
            <v>JCC PRE.JUD INT GAN REACT PRE-HONRAM REP4 C</v>
          </cell>
        </row>
        <row r="22709">
          <cell r="B22709" t="str">
            <v>51040511005176</v>
          </cell>
          <cell r="C22709" t="str">
            <v>JCC PRE.JUD INT GAN CRECER PRE-HONRAMIEN4 C</v>
          </cell>
        </row>
        <row r="22710">
          <cell r="B22710" t="str">
            <v>51040511005177</v>
          </cell>
          <cell r="C22710" t="str">
            <v>JCC PRE.JUD INT GAN CRECER PRE-HONRAMIEN4 C</v>
          </cell>
        </row>
        <row r="22711">
          <cell r="B22711" t="str">
            <v>51040511005178</v>
          </cell>
          <cell r="C22711" t="str">
            <v>JCC PRE.JUD INT GAN REACT PRE-HONRAM REP4 C</v>
          </cell>
        </row>
        <row r="22712">
          <cell r="B22712" t="str">
            <v>51040511005179</v>
          </cell>
          <cell r="C22712" t="str">
            <v>JCC PRE.JUD INT GAN REACT PRE-HONRAM REP4 C</v>
          </cell>
        </row>
        <row r="22713">
          <cell r="B22713" t="str">
            <v>51040511005180</v>
          </cell>
          <cell r="C22713" t="str">
            <v>JCC PRE.JUD INT GAN REACT PRE-HONRAM REP4 C</v>
          </cell>
        </row>
        <row r="22714">
          <cell r="B22714" t="str">
            <v>51040511005181</v>
          </cell>
          <cell r="C22714" t="str">
            <v>JCC PRE.JUD INT GAN REACT PRE-HONRAM REP4 C</v>
          </cell>
        </row>
        <row r="22715">
          <cell r="B22715" t="str">
            <v>51040511005182</v>
          </cell>
          <cell r="C22715" t="str">
            <v>JCC PRE.JUD INT GAN REACT PRE-HONRAM REP4 C</v>
          </cell>
        </row>
        <row r="22716">
          <cell r="B22716" t="str">
            <v>51040511005183</v>
          </cell>
          <cell r="C22716" t="str">
            <v>JCC PRE.JUD INT GAN REACT PRE-HONRAM REP4 C</v>
          </cell>
        </row>
        <row r="22717">
          <cell r="B22717" t="str">
            <v>51040511005184</v>
          </cell>
          <cell r="C22717" t="str">
            <v>JCC PRE.JUD INT GAN CRECER PRE-HONRAMIEN4 C</v>
          </cell>
        </row>
        <row r="22718">
          <cell r="B22718" t="str">
            <v>51040511005185</v>
          </cell>
          <cell r="C22718" t="str">
            <v>JCC PRE.JUD INT GAN CRECER PRE-HONRAMIEN4 C</v>
          </cell>
        </row>
        <row r="22719">
          <cell r="B22719" t="str">
            <v>51040511005186</v>
          </cell>
          <cell r="C22719" t="str">
            <v>LPC INT LEASING FINANCIACION PROYECTO CG4 C</v>
          </cell>
        </row>
        <row r="22720">
          <cell r="B22720" t="str">
            <v>51040511005187</v>
          </cell>
          <cell r="C22720" t="str">
            <v>LPC INT VEN IMPULSO MYPERU CORTO PLAZO C4 C</v>
          </cell>
        </row>
        <row r="22721">
          <cell r="B22721" t="str">
            <v>51040511005188</v>
          </cell>
          <cell r="C22721" t="str">
            <v>LPC INT VEN IMPULSO MYPERU MEDIANO PLAZO4 C</v>
          </cell>
        </row>
        <row r="22722">
          <cell r="B22722" t="str">
            <v>51040511005189</v>
          </cell>
          <cell r="C22722" t="str">
            <v>TC INT VENCIDO REV VISA CGEM            4 C</v>
          </cell>
        </row>
        <row r="22723">
          <cell r="B22723" t="str">
            <v>51040511005190</v>
          </cell>
          <cell r="C22723" t="str">
            <v>MYP LINEA REVOLV CIMA INT GAN VEN NORM C4 C</v>
          </cell>
        </row>
        <row r="22724">
          <cell r="B22724" t="str">
            <v>51040511005191</v>
          </cell>
          <cell r="C22724" t="str">
            <v>MYP LINEA REVOLV CIMA INT GAN VEN DUPE C4 C</v>
          </cell>
        </row>
        <row r="22725">
          <cell r="B22725" t="str">
            <v>51040511005192</v>
          </cell>
          <cell r="C22725" t="str">
            <v>JCC MP PRE JUD INT.GAN IMPULSO MYPERU IB4 C</v>
          </cell>
        </row>
        <row r="22726">
          <cell r="B22726" t="str">
            <v>51040511005193</v>
          </cell>
          <cell r="C22726" t="str">
            <v>JCC BC PRE JUD INT IMPULSO MYPERU PRE-HO4 C</v>
          </cell>
        </row>
        <row r="22727">
          <cell r="B22727" t="str">
            <v>51040511005194</v>
          </cell>
          <cell r="C22727" t="str">
            <v>JCC MP PRE JUD IMPLUSO MYPERU HONRADO IB4 C</v>
          </cell>
        </row>
        <row r="22728">
          <cell r="B22728" t="str">
            <v>51040511005195</v>
          </cell>
          <cell r="C22728" t="str">
            <v>MYP IMPULSO MYPERU VEN CGEM DUPE        4 C</v>
          </cell>
        </row>
        <row r="22729">
          <cell r="B22729" t="str">
            <v>51040511005196</v>
          </cell>
          <cell r="C22729" t="str">
            <v>MYP IMPULSO MYPERU VEN CGEM NORM        4 C</v>
          </cell>
        </row>
        <row r="22730">
          <cell r="B22730" t="str">
            <v>51040511005197</v>
          </cell>
          <cell r="C22730" t="str">
            <v>MYP REACTIVA REPROG DS.011-2022 VEN NORM4 C</v>
          </cell>
        </row>
        <row r="22731">
          <cell r="B22731" t="str">
            <v>51040511005198</v>
          </cell>
          <cell r="C22731" t="str">
            <v>MYP REACTIVA REPROG DS.011-2022 VEN DUPE4 C</v>
          </cell>
        </row>
        <row r="22732">
          <cell r="B22732" t="str">
            <v>51040511005199</v>
          </cell>
          <cell r="C22732" t="str">
            <v>LPC PAG PAPERLESS DERIVADOS REV/NR INT C4NC</v>
          </cell>
        </row>
        <row r="22733">
          <cell r="B22733" t="str">
            <v>51040511005200</v>
          </cell>
          <cell r="C22733" t="str">
            <v>LPC PAG PAPERLESS DERIVADOS REV/NR INT C4NC</v>
          </cell>
        </row>
        <row r="22734">
          <cell r="B22734" t="str">
            <v>51040511005201</v>
          </cell>
          <cell r="C22734" t="str">
            <v>CCD-BPE CAPITAL DE TRABAJO_CGEM VEN NORM4 C</v>
          </cell>
        </row>
        <row r="22735">
          <cell r="B22735" t="str">
            <v>51040511005202</v>
          </cell>
          <cell r="C22735" t="str">
            <v>CCD-BPE CAPITAL DE TRABAJO_CGEM VEN DUPE4 C</v>
          </cell>
        </row>
        <row r="22736">
          <cell r="B22736" t="str">
            <v>51040511005203</v>
          </cell>
          <cell r="C22736" t="str">
            <v>CCD-BPE LINEA REVOLVENTE_CGEM VEN ING   4 C</v>
          </cell>
        </row>
        <row r="22737">
          <cell r="B22737" t="str">
            <v>51040511005204</v>
          </cell>
          <cell r="C22737" t="str">
            <v>CCD-BPE LINEA REVOLVENTE_CGEM VEN ING   4 C</v>
          </cell>
        </row>
        <row r="22738">
          <cell r="B22738" t="str">
            <v>51040511005205</v>
          </cell>
          <cell r="C22738" t="str">
            <v>CCD-BPE REFINANCIADO_CGEM VEN ING       4 C</v>
          </cell>
        </row>
        <row r="22739">
          <cell r="B22739" t="str">
            <v>51040511005206</v>
          </cell>
          <cell r="C22739" t="str">
            <v>JCC CCD PREJUD CAPITAL DE TRABAJO ING CG4 C</v>
          </cell>
        </row>
        <row r="22740">
          <cell r="B22740" t="str">
            <v>51040511005207</v>
          </cell>
          <cell r="C22740" t="str">
            <v>CCD-BPE CAP DE TRAB REPROG_CGEM VEN NORM4 C</v>
          </cell>
        </row>
        <row r="22741">
          <cell r="B22741" t="str">
            <v>51040511005208</v>
          </cell>
          <cell r="C22741" t="str">
            <v>CCD-BPE CAP DE TRAB REPROG_CGEM VEN DUPE4 C</v>
          </cell>
        </row>
        <row r="22742">
          <cell r="B22742" t="str">
            <v>51040511005209</v>
          </cell>
          <cell r="C22742" t="str">
            <v>CCD-BPE CAP DE TRAB_CGEM_VEN            4 C</v>
          </cell>
        </row>
        <row r="22743">
          <cell r="B22743" t="str">
            <v>51040511008001</v>
          </cell>
          <cell r="C22743" t="str">
            <v>PAN CREDITOS VENCIDOS CGEM              4NC</v>
          </cell>
        </row>
        <row r="22744">
          <cell r="B22744" t="str">
            <v>51040512000101</v>
          </cell>
          <cell r="C22744" t="str">
            <v>LIC DP INT GAN CONV REV VENCIDO         4NC</v>
          </cell>
        </row>
        <row r="22745">
          <cell r="B22745" t="str">
            <v>51040512000102</v>
          </cell>
          <cell r="C22745" t="str">
            <v>LIC DP INT GAN CONV VEN MED EMPR        4NC</v>
          </cell>
        </row>
        <row r="22746">
          <cell r="B22746" t="str">
            <v>51040512000103</v>
          </cell>
          <cell r="C22746" t="str">
            <v>LIC INT MORATORIO CREDITOS MED EMPR     4NC</v>
          </cell>
        </row>
        <row r="22747">
          <cell r="B22747" t="str">
            <v>51040512000104</v>
          </cell>
          <cell r="C22747" t="str">
            <v>JCC PRE JUD INT GAN EX CONV  VENC CMED  4NC</v>
          </cell>
        </row>
        <row r="22748">
          <cell r="B22748" t="str">
            <v>51040512000105</v>
          </cell>
          <cell r="C22748" t="str">
            <v>JCC PRE JUD MYP COMP AF INMUEB CMED     4NC</v>
          </cell>
        </row>
        <row r="22749">
          <cell r="B22749" t="str">
            <v>51040512000106</v>
          </cell>
          <cell r="C22749" t="str">
            <v>JCC CJ MYP COMP AF INT GAN NRV CMED     4NC</v>
          </cell>
        </row>
        <row r="22750">
          <cell r="B22750" t="str">
            <v>51040512000107</v>
          </cell>
          <cell r="C22750" t="str">
            <v>JCC PRE JUD INT GAN DSCTO.PAG VEN CMED  4NC</v>
          </cell>
        </row>
        <row r="22751">
          <cell r="B22751" t="str">
            <v>51040512000108</v>
          </cell>
          <cell r="C22751" t="str">
            <v>JCC PRE JUD INT GAN DSCTO LETR VENC CMED4NC</v>
          </cell>
        </row>
        <row r="22752">
          <cell r="B22752" t="str">
            <v>51040512000109</v>
          </cell>
          <cell r="C22752" t="str">
            <v>JCC PRE JUD INT.GAN FACT LET VENC CMED G4NC</v>
          </cell>
        </row>
        <row r="22753">
          <cell r="B22753" t="str">
            <v>51040512000110</v>
          </cell>
          <cell r="C22753" t="str">
            <v>JCC PRE JUD INT.GAN FACT FACT VENC CMED 4NC</v>
          </cell>
        </row>
        <row r="22754">
          <cell r="B22754" t="str">
            <v>51040512000111</v>
          </cell>
          <cell r="C22754" t="str">
            <v>JCC PRE JUD INT.GAN CART CRED CMED GL 704NC</v>
          </cell>
        </row>
        <row r="22755">
          <cell r="B22755" t="str">
            <v>51040512000112</v>
          </cell>
          <cell r="C22755" t="str">
            <v>JCC PRE JUD INT.GAN CART FIANZ VENC CMED4NC</v>
          </cell>
        </row>
        <row r="22756">
          <cell r="B22756" t="str">
            <v>51040512000113</v>
          </cell>
          <cell r="C22756" t="str">
            <v>JCC PRE JUD GAN P TV MED PLZ C/FIJ CMED 4NC</v>
          </cell>
        </row>
        <row r="22757">
          <cell r="B22757" t="str">
            <v>51040512000114</v>
          </cell>
          <cell r="C22757" t="str">
            <v>JCC PRE JUD MYP CRED ESTAC INT GAN CMED 4NC</v>
          </cell>
        </row>
        <row r="22758">
          <cell r="B22758" t="str">
            <v>51040512000115</v>
          </cell>
          <cell r="C22758" t="str">
            <v>JCC  MYP CRED ESTAC GANAD CPEM          4NC</v>
          </cell>
        </row>
        <row r="22759">
          <cell r="B22759" t="str">
            <v>51040512000116</v>
          </cell>
          <cell r="C22759" t="str">
            <v>JCC PRE JUD INT.GAN TC MASTER PJ VENC CM4NC</v>
          </cell>
        </row>
        <row r="22760">
          <cell r="B22760" t="str">
            <v>51040512000117</v>
          </cell>
          <cell r="C22760" t="str">
            <v>JCC PRE JUD INT.GAN SOBR CCTE. PJ VENC C4NC</v>
          </cell>
        </row>
        <row r="22761">
          <cell r="B22761" t="str">
            <v>51040512000118</v>
          </cell>
          <cell r="C22761" t="str">
            <v>JCC PRE JUD INT GAN RFA SUBOR VENC CMED 4NC</v>
          </cell>
        </row>
        <row r="22762">
          <cell r="B22762" t="str">
            <v>51040512000119</v>
          </cell>
          <cell r="C22762" t="str">
            <v>JCC PRE JUD INT GAN RFA FINANC VENC CMED4NC</v>
          </cell>
        </row>
        <row r="22763">
          <cell r="B22763" t="str">
            <v>51040512000120</v>
          </cell>
          <cell r="C22763" t="str">
            <v>JCC PRE JUD INT GAN TC CONS-COM VENC CGE4NC</v>
          </cell>
        </row>
        <row r="22764">
          <cell r="B22764" t="str">
            <v>51040512000121</v>
          </cell>
          <cell r="C22764" t="str">
            <v>JCC PRE JUD INT GAN TC AMEX PJ VENC CMED4NC</v>
          </cell>
        </row>
        <row r="22765">
          <cell r="B22765" t="str">
            <v>51040512000123</v>
          </cell>
          <cell r="C22765" t="str">
            <v>JCC PRE JUD INT GAN PAG.REC.COFID VENC C4NC</v>
          </cell>
        </row>
        <row r="22766">
          <cell r="B22766" t="str">
            <v>51040512000126</v>
          </cell>
          <cell r="C22766" t="str">
            <v>JCC NT. MORATORIO CMED                  4NC</v>
          </cell>
        </row>
        <row r="22767">
          <cell r="B22767" t="str">
            <v>51040512000127</v>
          </cell>
          <cell r="C22767" t="str">
            <v>JCC MYP PRE-JUD.C.TRAB.INT.GAN.REV.CMED 4NC</v>
          </cell>
        </row>
        <row r="22768">
          <cell r="B22768" t="str">
            <v>51040512000128</v>
          </cell>
          <cell r="C22768" t="str">
            <v>JCC INTERESES MORATORIOS MYP CMED       4NC</v>
          </cell>
        </row>
        <row r="22769">
          <cell r="B22769" t="str">
            <v>51040512000129</v>
          </cell>
          <cell r="C22769" t="str">
            <v>JCC MYP CAP TRAB PRE JUD INT GAN CMED   4NC</v>
          </cell>
        </row>
        <row r="22770">
          <cell r="B22770" t="str">
            <v>51040512000130</v>
          </cell>
          <cell r="C22770" t="str">
            <v>JCC INT.GANADO PREJUDIC MYP LS BPE CMED 4NC</v>
          </cell>
        </row>
        <row r="22771">
          <cell r="B22771" t="str">
            <v>51040512000131</v>
          </cell>
          <cell r="C22771" t="str">
            <v>MYP INT.GAN.VENC CAP.TRAB. CIMA  NOR/DP 4NC</v>
          </cell>
        </row>
        <row r="22772">
          <cell r="B22772" t="str">
            <v>51040512000201</v>
          </cell>
          <cell r="C22772" t="str">
            <v>HPC ME INT.GAN.VENC CRED EFECTIVO       4NC</v>
          </cell>
        </row>
        <row r="22773">
          <cell r="B22773" t="str">
            <v>51040512000202</v>
          </cell>
          <cell r="C22773" t="str">
            <v>HPC ME INT.GAN.VENC CRED VEHIC          4NC</v>
          </cell>
        </row>
        <row r="22774">
          <cell r="B22774" t="str">
            <v>51040512000203</v>
          </cell>
          <cell r="C22774" t="str">
            <v>HPC ME D/P GAN.INT.VENC.EFECTIVO        4NC</v>
          </cell>
        </row>
        <row r="22775">
          <cell r="B22775" t="str">
            <v>51040512000204</v>
          </cell>
          <cell r="C22775" t="str">
            <v>HPC ME D/P GAN.INT.VENC.VEHICULAR       4NC</v>
          </cell>
        </row>
        <row r="22776">
          <cell r="B22776" t="str">
            <v>51040512000205</v>
          </cell>
          <cell r="C22776" t="str">
            <v>HPC ME INT MORATORIO  IC                4NC</v>
          </cell>
        </row>
        <row r="22777">
          <cell r="B22777" t="str">
            <v>51040512000206</v>
          </cell>
          <cell r="C22777" t="str">
            <v>HPC ME INT.VENC REFINANC EFECT/VEHIC/TC 4NC</v>
          </cell>
        </row>
        <row r="22778">
          <cell r="B22778" t="str">
            <v>51040512000207</v>
          </cell>
          <cell r="C22778" t="str">
            <v>HPC ME INT.GAN. VENC EFEC C/GARANT. HIP.4NC</v>
          </cell>
        </row>
        <row r="22779">
          <cell r="B22779" t="str">
            <v>51040512000208</v>
          </cell>
          <cell r="C22779" t="str">
            <v>HPC ME D/P GAN.INT.VENC. EFEC C/GARANT. 4NC</v>
          </cell>
        </row>
        <row r="22780">
          <cell r="B22780" t="str">
            <v>51040512000209</v>
          </cell>
          <cell r="C22780" t="str">
            <v>HPC ME REF INT.GAN. VENC EFEC C/GARANT. 4NC</v>
          </cell>
        </row>
        <row r="22781">
          <cell r="B22781" t="str">
            <v>51040512000301</v>
          </cell>
          <cell r="C22781" t="str">
            <v>MYP INT.GAN.VENC CAP.TRAB.CMED          4NC</v>
          </cell>
        </row>
        <row r="22782">
          <cell r="B22782" t="str">
            <v>51040512000302</v>
          </cell>
          <cell r="C22782" t="str">
            <v>MYP INT.GAN VENC COMPRA AF CMED         4NC</v>
          </cell>
        </row>
        <row r="22783">
          <cell r="B22783" t="str">
            <v>51040512000303</v>
          </cell>
          <cell r="C22783" t="str">
            <v>MYP INT.GAN VENC CRED. PARAL.CMED       4NC</v>
          </cell>
        </row>
        <row r="22784">
          <cell r="B22784" t="str">
            <v>51040512000304</v>
          </cell>
          <cell r="C22784" t="str">
            <v>MYP D/P GAN.INT.VENC.CAP.TRAB CMED      4NC</v>
          </cell>
        </row>
        <row r="22785">
          <cell r="B22785" t="str">
            <v>51040512000305</v>
          </cell>
          <cell r="C22785" t="str">
            <v>MYP D/P GAN.INT.VENC AF INMUEBLE CMED   4NC</v>
          </cell>
        </row>
        <row r="22786">
          <cell r="B22786" t="str">
            <v>51040512000306</v>
          </cell>
          <cell r="C22786" t="str">
            <v>MYP D/P GAN.INT.VENC AF INMUEBLE CMED   4NC</v>
          </cell>
        </row>
        <row r="22787">
          <cell r="B22787" t="str">
            <v>51040512000307</v>
          </cell>
          <cell r="C22787" t="str">
            <v>MYP D/P GAN.INT.VENC AF INMUEBLE CMED   4NC</v>
          </cell>
        </row>
        <row r="22788">
          <cell r="B22788" t="str">
            <v>51040512000308</v>
          </cell>
          <cell r="C22788" t="str">
            <v>MYP INT.GAN. VENC FIN.COMP DEU.CAP.TRAB.4NC</v>
          </cell>
        </row>
        <row r="22789">
          <cell r="B22789" t="str">
            <v>51040512000309</v>
          </cell>
          <cell r="C22789" t="str">
            <v>MYP D/P GAN.INT.VENC.FIN. COMP.DEU.CAP.T4NC</v>
          </cell>
        </row>
        <row r="22790">
          <cell r="B22790" t="str">
            <v>51040512000310</v>
          </cell>
          <cell r="C22790" t="str">
            <v>MYP INT.GAN. VENC FIN.CRED. PARAL. CMED 4NC</v>
          </cell>
        </row>
        <row r="22791">
          <cell r="B22791" t="str">
            <v>51040512000311</v>
          </cell>
          <cell r="C22791" t="str">
            <v>MYP EXPOR.POST EMBAR INT GAN VENC CMED  4NC</v>
          </cell>
        </row>
        <row r="22792">
          <cell r="B22792" t="str">
            <v>51040512000312</v>
          </cell>
          <cell r="C22792" t="str">
            <v>MYP EXPORT.PRE EMBARQ RP INT GAN  VENC C4NC</v>
          </cell>
        </row>
        <row r="22793">
          <cell r="B22793" t="str">
            <v>51040512000313</v>
          </cell>
          <cell r="C22793" t="str">
            <v>MYP D/P EXPORT.PRE EMBAR INT GANAD VENC 4NC</v>
          </cell>
        </row>
        <row r="22794">
          <cell r="B22794" t="str">
            <v>51040512000314</v>
          </cell>
          <cell r="C22794" t="str">
            <v>MYP D/P IMPORT RP INT GANAD COM VENC CME4NC</v>
          </cell>
        </row>
        <row r="22795">
          <cell r="B22795" t="str">
            <v>51040512000315</v>
          </cell>
          <cell r="C22795" t="str">
            <v>MYP INT.GAN. VENC TRANSP PUBL CMED      4NC</v>
          </cell>
        </row>
        <row r="22796">
          <cell r="B22796" t="str">
            <v>51040512000316</v>
          </cell>
          <cell r="C22796" t="str">
            <v>MYP D/P GAN.INT.VENC.TRANSP PUB CMED    4NC</v>
          </cell>
        </row>
        <row r="22797">
          <cell r="B22797" t="str">
            <v>51040512000317</v>
          </cell>
          <cell r="C22797" t="str">
            <v>MYP INT.GANAD.VENC FIN.IMPORT CAP TRAB M4NC</v>
          </cell>
        </row>
        <row r="22798">
          <cell r="B22798" t="str">
            <v>51040512000318</v>
          </cell>
          <cell r="C22798" t="str">
            <v>MYP INT.GANAD.VENC FIN.IMPORT A.FIJO CME4NC</v>
          </cell>
        </row>
        <row r="22799">
          <cell r="B22799" t="str">
            <v>51040512000319</v>
          </cell>
          <cell r="C22799" t="str">
            <v>MYP D/P GAN.INT.VENC.IMP. CAP DE TRAB  C4NC</v>
          </cell>
        </row>
        <row r="22800">
          <cell r="B22800" t="str">
            <v>51040512000320</v>
          </cell>
          <cell r="C22800" t="str">
            <v>MYP D/P GAN.INT.VENC.FINN IMPOR AF CMED 4NC</v>
          </cell>
        </row>
        <row r="22801">
          <cell r="B22801" t="str">
            <v>51040512000321</v>
          </cell>
          <cell r="C22801" t="str">
            <v>MYP D/P GAN.INT.VENC CRED ESTAC CMED    4NC</v>
          </cell>
        </row>
        <row r="22802">
          <cell r="B22802" t="str">
            <v>51040512000322</v>
          </cell>
          <cell r="C22802" t="str">
            <v>MYP INT.GAN. VENC LIN REVOLV CMED       4NC</v>
          </cell>
        </row>
        <row r="22803">
          <cell r="B22803" t="str">
            <v>51040512000323</v>
          </cell>
          <cell r="C22803" t="str">
            <v>MYP D/P GAN.INT.VENC. LINEAS REVOL CMED 4NC</v>
          </cell>
        </row>
        <row r="22804">
          <cell r="B22804" t="str">
            <v>51040512000324</v>
          </cell>
          <cell r="C22804" t="str">
            <v>MYP D/P EXPORT.POST EMB INT GANAD VENC C4NC</v>
          </cell>
        </row>
        <row r="22805">
          <cell r="B22805" t="str">
            <v>51040512000325</v>
          </cell>
          <cell r="C22805" t="str">
            <v>MYP INT GAN COM DEU AF VIG CMED         4NC</v>
          </cell>
        </row>
        <row r="22806">
          <cell r="B22806" t="str">
            <v>51040512000326</v>
          </cell>
          <cell r="C22806" t="str">
            <v>MYP INT GAN COM DEU AF VIG CMED D/P     4NC</v>
          </cell>
        </row>
        <row r="22807">
          <cell r="B22807" t="str">
            <v>51040512000327</v>
          </cell>
          <cell r="C22807" t="str">
            <v>MYP INT GAN FINANC IMPORTVIG CMED       4NC</v>
          </cell>
        </row>
        <row r="22808">
          <cell r="B22808" t="str">
            <v>51040512000328</v>
          </cell>
          <cell r="C22808" t="str">
            <v>MYP INT GAN FINANC IMPORT VEN CMED D/P  4NC</v>
          </cell>
        </row>
        <row r="22809">
          <cell r="B22809" t="str">
            <v>51040512000329</v>
          </cell>
          <cell r="C22809" t="str">
            <v>MYP INT GAN E.R CAP TRAB VEN CMED       4NC</v>
          </cell>
        </row>
        <row r="22810">
          <cell r="B22810" t="str">
            <v>51040512000330</v>
          </cell>
          <cell r="C22810" t="str">
            <v>MYP INT GAN E.R CAP TRAB VEN CMED D/P   4NC</v>
          </cell>
        </row>
        <row r="22811">
          <cell r="B22811" t="str">
            <v>51040512000331</v>
          </cell>
          <cell r="C22811" t="str">
            <v>MYP INT GAN VEN REFIN.COBRAN C/FIJA CMED4NC</v>
          </cell>
        </row>
        <row r="22812">
          <cell r="B22812" t="str">
            <v>51040512000332</v>
          </cell>
          <cell r="C22812" t="str">
            <v>MYP INT GAN VEN REFIN.COBRAN REVOLCMED  4NC</v>
          </cell>
        </row>
        <row r="22813">
          <cell r="B22813" t="str">
            <v>51040512000333</v>
          </cell>
          <cell r="C22813" t="str">
            <v>MYP ER VENC FIN CAP TRA DUP CMED        4NC</v>
          </cell>
        </row>
        <row r="22814">
          <cell r="B22814" t="str">
            <v>51040512000334</v>
          </cell>
          <cell r="C22814" t="str">
            <v>MYP D/P INT.GAN.VEN PAG.BPE-BE COMER.CME4NC</v>
          </cell>
        </row>
        <row r="22815">
          <cell r="B22815" t="str">
            <v>51040512000335</v>
          </cell>
          <cell r="C22815" t="str">
            <v>MYP INT.GAN.VENC PAG BPE-BE COM.NORM CME4NC</v>
          </cell>
        </row>
        <row r="22816">
          <cell r="B22816" t="str">
            <v>51040512000336</v>
          </cell>
          <cell r="C22816" t="str">
            <v>MYP D/P GAN.INT.VENC. LIN REV.BPE-BE COM4NC</v>
          </cell>
        </row>
        <row r="22817">
          <cell r="B22817" t="str">
            <v>51040512000337</v>
          </cell>
          <cell r="C22817" t="str">
            <v>MYP I.GAN. VENC LIN REV.BPE-BE COM NORM 4NC</v>
          </cell>
        </row>
        <row r="22818">
          <cell r="B22818" t="str">
            <v>51040512000338</v>
          </cell>
          <cell r="C22818" t="str">
            <v>MYP INTGANVENC CAPTRABPROVREFCMED       4NC</v>
          </cell>
        </row>
        <row r="22819">
          <cell r="B22819" t="str">
            <v>51040512000339</v>
          </cell>
          <cell r="C22819" t="str">
            <v>MYP INTGAN VENC LIN REVOL PROVREFCMED   4NC</v>
          </cell>
        </row>
        <row r="22820">
          <cell r="B22820" t="str">
            <v>51040512000340</v>
          </cell>
          <cell r="C22820" t="str">
            <v>MYP INT.GAN.VENC CAP.TRAB.REUT.CMED     4NC</v>
          </cell>
        </row>
        <row r="22821">
          <cell r="B22821" t="str">
            <v>51040512000341</v>
          </cell>
          <cell r="C22821" t="str">
            <v>MYP INT.GAN. VENC LIN REVOL REUT.CMED   4NC</v>
          </cell>
        </row>
        <row r="22822">
          <cell r="B22822" t="str">
            <v>51040512000342</v>
          </cell>
          <cell r="C22822" t="str">
            <v>MYP DUPE INTGANVENC LIN.REVOL.REUT CMED 4NC</v>
          </cell>
        </row>
        <row r="22823">
          <cell r="B22823" t="str">
            <v>51040512000343</v>
          </cell>
          <cell r="C22823" t="str">
            <v>MYP DUPE INT GAN VENC CAP TRAB PROV REF 4NC</v>
          </cell>
        </row>
        <row r="22824">
          <cell r="B22824" t="str">
            <v>51040512000401</v>
          </cell>
          <cell r="C22824" t="str">
            <v>JCC PRE JUD INT.GAN PREST EXP VENC CMED 4NC</v>
          </cell>
        </row>
        <row r="22825">
          <cell r="B22825" t="str">
            <v>51040512000402</v>
          </cell>
          <cell r="C22825" t="str">
            <v>JCC PRE JUD INT GAN.PAG IMP VENC CMED GL4NC</v>
          </cell>
        </row>
        <row r="22826">
          <cell r="B22826" t="str">
            <v>51040512000403</v>
          </cell>
          <cell r="C22826" t="str">
            <v>JCC PRE JUD INT.GAN RP CAP.TRAB VENC CME4NC</v>
          </cell>
        </row>
        <row r="22827">
          <cell r="B22827" t="str">
            <v>51040512000404</v>
          </cell>
          <cell r="C22827" t="str">
            <v>JCC PRE JUD INT GAN CRED VEHIC VENC CMED4NC</v>
          </cell>
        </row>
        <row r="22828">
          <cell r="B22828" t="str">
            <v>51040512000501</v>
          </cell>
          <cell r="C22828" t="str">
            <v>LPC INT GAN VENC PAG TV  D/P CMED       4NC</v>
          </cell>
        </row>
        <row r="22829">
          <cell r="B22829" t="str">
            <v>51040512000502</v>
          </cell>
          <cell r="C22829" t="str">
            <v>LPC INT GAN PAG TV VENC CMED            4NC</v>
          </cell>
        </row>
        <row r="22830">
          <cell r="B22830" t="str">
            <v>51040512000503</v>
          </cell>
          <cell r="C22830" t="str">
            <v>LPC INT VEN LEASEBACK REF BIEN RP CMED  4NC</v>
          </cell>
        </row>
        <row r="22831">
          <cell r="B22831" t="str">
            <v>51040512000504</v>
          </cell>
          <cell r="C22831" t="str">
            <v>LPC INT VEN LEASEBACK REFIN SEG CMED    4NC</v>
          </cell>
        </row>
        <row r="22832">
          <cell r="B22832" t="str">
            <v>51040512000505</v>
          </cell>
          <cell r="C22832" t="str">
            <v>LPC INT GAN VENC PAG TV COFIDE CMED     4NC</v>
          </cell>
        </row>
        <row r="22833">
          <cell r="B22833" t="str">
            <v>51040512000506</v>
          </cell>
          <cell r="C22833" t="str">
            <v>LPC INT GAN VENC PAG TV  COFIDE - D/P   4NC</v>
          </cell>
        </row>
        <row r="22834">
          <cell r="B22834" t="str">
            <v>51040512000507</v>
          </cell>
          <cell r="C22834" t="str">
            <v>LPC INT GAN PAG TV MED PLZ              4NC</v>
          </cell>
        </row>
        <row r="22835">
          <cell r="B22835" t="str">
            <v>51040512000508</v>
          </cell>
          <cell r="C22835" t="str">
            <v>LPC INT GAN PAG TV MED PLZ D/P          4NC</v>
          </cell>
        </row>
        <row r="22836">
          <cell r="B22836" t="str">
            <v>51040512000509</v>
          </cell>
          <cell r="C22836" t="str">
            <v>LPC INT GAN PAG TV INMOBILIARIO         4NC</v>
          </cell>
        </row>
        <row r="22837">
          <cell r="B22837" t="str">
            <v>51040512000510</v>
          </cell>
          <cell r="C22837" t="str">
            <v>LPC INT GAN PAG TV INMOBILIARIO D/P     4NC</v>
          </cell>
        </row>
        <row r="22838">
          <cell r="B22838" t="str">
            <v>51040512000511</v>
          </cell>
          <cell r="C22838" t="str">
            <v>LPC INT GAN FINAN PRE EMBARQUE          4NC</v>
          </cell>
        </row>
        <row r="22839">
          <cell r="B22839" t="str">
            <v>51040512000512</v>
          </cell>
          <cell r="C22839" t="str">
            <v>LPC INT GAN FINAN PRE EMBARQUE D/P      4NC</v>
          </cell>
        </row>
        <row r="22840">
          <cell r="B22840" t="str">
            <v>51040512000513</v>
          </cell>
          <cell r="C22840" t="str">
            <v>LPC INT GAN PAG TV EUROS                4NC</v>
          </cell>
        </row>
        <row r="22841">
          <cell r="B22841" t="str">
            <v>51040512000514</v>
          </cell>
          <cell r="C22841" t="str">
            <v>LPC INT GAN PAG TV EUROS                4NC</v>
          </cell>
        </row>
        <row r="22842">
          <cell r="B22842" t="str">
            <v>51040512000515</v>
          </cell>
          <cell r="C22842" t="str">
            <v>LPC INT GAN PAG DSCTO D/P VENC CMED     4NC</v>
          </cell>
        </row>
        <row r="22843">
          <cell r="B22843" t="str">
            <v>51040512000516</v>
          </cell>
          <cell r="C22843" t="str">
            <v>LPC INT GAN PAG DSCTO VENC CMED         4NC</v>
          </cell>
        </row>
        <row r="22844">
          <cell r="B22844" t="str">
            <v>51040512000517</v>
          </cell>
          <cell r="C22844" t="str">
            <v>LPC REF LS COFIGAS INT.GAN. VEN PDL CMED4NC</v>
          </cell>
        </row>
        <row r="22845">
          <cell r="B22845" t="str">
            <v>51040512000518</v>
          </cell>
          <cell r="C22845" t="str">
            <v>LPC REF LS COFIGAS INT.GAN SB VEN PDS CM4NC</v>
          </cell>
        </row>
        <row r="22846">
          <cell r="B22846" t="str">
            <v>51040512000519</v>
          </cell>
          <cell r="C22846" t="str">
            <v>LPC INT GAN PAG FINAN PROY D/P  VENC CME4NC</v>
          </cell>
        </row>
        <row r="22847">
          <cell r="B22847" t="str">
            <v>51040512000520</v>
          </cell>
          <cell r="C22847" t="str">
            <v>LPC INT GAN PAG FINAN PROY  VENC CMED   4NC</v>
          </cell>
        </row>
        <row r="22848">
          <cell r="B22848" t="str">
            <v>51040512000521</v>
          </cell>
          <cell r="C22848" t="str">
            <v>LPC INT GAN PAG DERIVADOS VENC CMED     4NC</v>
          </cell>
        </row>
        <row r="22849">
          <cell r="B22849" t="str">
            <v>51040512000522</v>
          </cell>
          <cell r="C22849" t="str">
            <v>LPC INT GAN VENC PAG DERIVADOSÂ  D/P CME4NC</v>
          </cell>
        </row>
        <row r="22850">
          <cell r="B22850" t="str">
            <v>51040512000523</v>
          </cell>
          <cell r="C22850" t="str">
            <v>LPC INT GAN VENC  PAG TV  COFIDE CMED   4NC</v>
          </cell>
        </row>
        <row r="22851">
          <cell r="B22851" t="str">
            <v>51040512000524</v>
          </cell>
          <cell r="C22851" t="str">
            <v>LPC INT GAN VENC  PAG. FINANC PROY COFID4NC</v>
          </cell>
        </row>
        <row r="22852">
          <cell r="B22852" t="str">
            <v>51040512000525</v>
          </cell>
          <cell r="C22852" t="str">
            <v>LPC INT GAN VENC PAGARE FORFAITING CMED 4NC</v>
          </cell>
        </row>
        <row r="22853">
          <cell r="B22853" t="str">
            <v>51040512000526</v>
          </cell>
          <cell r="C22853" t="str">
            <v>LPC INT GAN VENC PAGARE FORFAITING D/P C4NC</v>
          </cell>
        </row>
        <row r="22854">
          <cell r="B22854" t="str">
            <v>51040512000527</v>
          </cell>
          <cell r="C22854" t="str">
            <v>LPC INT.GAN PAG REPROGRAMADO REV NORM CM4NC</v>
          </cell>
        </row>
        <row r="22855">
          <cell r="B22855" t="str">
            <v>51040512000528</v>
          </cell>
          <cell r="C22855" t="str">
            <v>LPC INT.GAN PAG REPROGRAMADO D/P CMED   4NC</v>
          </cell>
        </row>
        <row r="22856">
          <cell r="B22856" t="str">
            <v>51040512000601</v>
          </cell>
          <cell r="C22856" t="str">
            <v>LPC INT.GAN VENC IMPORT D/P CMED        4NC</v>
          </cell>
        </row>
        <row r="22857">
          <cell r="B22857" t="str">
            <v>51040512000602</v>
          </cell>
          <cell r="C22857" t="str">
            <v>LPC INT GAN VEN EX PRE EMB CMED         4NC</v>
          </cell>
        </row>
        <row r="22858">
          <cell r="B22858" t="str">
            <v>51040512000603</v>
          </cell>
          <cell r="C22858" t="str">
            <v>LPC INT GAN VENC EX POST EMB RP D/P CMED4NC</v>
          </cell>
        </row>
        <row r="22859">
          <cell r="B22859" t="str">
            <v>51040512000604</v>
          </cell>
          <cell r="C22859" t="str">
            <v>LPC INT GAN VENC EX PRE EMB CMED        4NC</v>
          </cell>
        </row>
        <row r="22860">
          <cell r="B22860" t="str">
            <v>51040512000605</v>
          </cell>
          <cell r="C22860" t="str">
            <v>LPC INT GAN VENC EX POST EMB RP CMED    4NC</v>
          </cell>
        </row>
        <row r="22861">
          <cell r="B22861" t="str">
            <v>51040512000606</v>
          </cell>
          <cell r="C22861" t="str">
            <v>LPC INT GAN VENC IMPOR CMED             4NC</v>
          </cell>
        </row>
        <row r="22862">
          <cell r="B22862" t="str">
            <v>51040512000607</v>
          </cell>
          <cell r="C22862" t="str">
            <v>LPC INT.GAN VEN  WORK CAP.EX PRE EMB CME4NC</v>
          </cell>
        </row>
        <row r="22863">
          <cell r="B22863" t="str">
            <v>51040512000608</v>
          </cell>
          <cell r="C22863" t="str">
            <v>LPC INT GAN FINAN PRE EMBARQUE-SEPYMEX C4NC</v>
          </cell>
        </row>
        <row r="22864">
          <cell r="B22864" t="str">
            <v>51040512000609</v>
          </cell>
          <cell r="C22864" t="str">
            <v>LPC INT GAN FINAN PRE EMBARQUE D/P-SEPYM4NC</v>
          </cell>
        </row>
        <row r="22865">
          <cell r="B22865" t="str">
            <v>51040512000610</v>
          </cell>
          <cell r="C22865" t="str">
            <v>LPC INT GAN PRE EMBARQUE VEN.NORM CMED  4NC</v>
          </cell>
        </row>
        <row r="22866">
          <cell r="B22866" t="str">
            <v>51040512000611</v>
          </cell>
          <cell r="C22866" t="str">
            <v>LPC INT GAN PRE EMBARQUE VEN.DUPE CMED  4NC</v>
          </cell>
        </row>
        <row r="22867">
          <cell r="B22867" t="str">
            <v>51040512000612</v>
          </cell>
          <cell r="C22867" t="str">
            <v>LPC INT GAN POST EMBARQUE VEN.NORM CMED 4NC</v>
          </cell>
        </row>
        <row r="22868">
          <cell r="B22868" t="str">
            <v>51040512000613</v>
          </cell>
          <cell r="C22868" t="str">
            <v>LPC INT GAN POST EMBARQUE VEN.DUPE CMED 4NC</v>
          </cell>
        </row>
        <row r="22869">
          <cell r="B22869" t="str">
            <v>51040512000614</v>
          </cell>
          <cell r="C22869" t="str">
            <v>LPC INT GAN IMPORT. CARTA CREDITO  VEN.N4NC</v>
          </cell>
        </row>
        <row r="22870">
          <cell r="B22870" t="str">
            <v>51040512000615</v>
          </cell>
          <cell r="C22870" t="str">
            <v>LPC INT GAN IMPORT. CARTA CREDITO  VEN.D4NC</v>
          </cell>
        </row>
        <row r="22871">
          <cell r="B22871" t="str">
            <v>51040512000616</v>
          </cell>
          <cell r="C22871" t="str">
            <v>LPC INT GAN IMPORT.  VEN.NORM CMED      4NC</v>
          </cell>
        </row>
        <row r="22872">
          <cell r="B22872" t="str">
            <v>51040512000617</v>
          </cell>
          <cell r="C22872" t="str">
            <v>LPC INT GAN IMPORT.  VEN.DUPE CMED      4NC</v>
          </cell>
        </row>
        <row r="22873">
          <cell r="B22873" t="str">
            <v>51040512000701</v>
          </cell>
          <cell r="C22873" t="str">
            <v>INT VENC TC - COMERCIAL CMED            4NC</v>
          </cell>
        </row>
        <row r="22874">
          <cell r="B22874" t="str">
            <v>51040512000702</v>
          </cell>
          <cell r="C22874" t="str">
            <v>INT VENC TC - COMERC MC CMED            4NC</v>
          </cell>
        </row>
        <row r="22875">
          <cell r="B22875" t="str">
            <v>51040512000703</v>
          </cell>
          <cell r="C22875" t="str">
            <v>INT VENC TC - COMERCIAL AMEX CMED       4NC</v>
          </cell>
        </row>
        <row r="22876">
          <cell r="B22876" t="str">
            <v>51040512000704</v>
          </cell>
          <cell r="C22876" t="str">
            <v>INT VENC TC - COMERC VEA CMED           4NC</v>
          </cell>
        </row>
        <row r="22877">
          <cell r="B22877" t="str">
            <v>51040512000801</v>
          </cell>
          <cell r="C22877" t="str">
            <v>CL INT GANAD PAG DSCTO VENC CMED        4NC</v>
          </cell>
        </row>
        <row r="22878">
          <cell r="B22878" t="str">
            <v>51040512000802</v>
          </cell>
          <cell r="C22878" t="str">
            <v>CL INT GAN PAG DSCTO D/P VENC CMED      4NC</v>
          </cell>
        </row>
        <row r="22879">
          <cell r="B22879" t="str">
            <v>51040512000803</v>
          </cell>
          <cell r="C22879" t="str">
            <v>CL INT GAN PAG TV D/P  VENC CMED        4NC</v>
          </cell>
        </row>
        <row r="22880">
          <cell r="B22880" t="str">
            <v>51040512000804</v>
          </cell>
          <cell r="C22880" t="str">
            <v>CL INT GAN VENC TV CMED                 4NC</v>
          </cell>
        </row>
        <row r="22881">
          <cell r="B22881" t="str">
            <v>51040512000805</v>
          </cell>
          <cell r="C22881" t="str">
            <v>CL INT.GAN PAG.TV NEG.INMOB VEN CMED    4NC</v>
          </cell>
        </row>
        <row r="22882">
          <cell r="B22882" t="str">
            <v>51040512000806</v>
          </cell>
          <cell r="C22882" t="str">
            <v>CL INT GAN OTROS SUSP VENC CMED         4NC</v>
          </cell>
        </row>
        <row r="22883">
          <cell r="B22883" t="str">
            <v>51040512000807</v>
          </cell>
          <cell r="C22883" t="str">
            <v>CL INT.GAN.DEUD.VTA.CART.VEN CMED       4NC</v>
          </cell>
        </row>
        <row r="22884">
          <cell r="B22884" t="str">
            <v>51040512000808</v>
          </cell>
          <cell r="C22884" t="str">
            <v>CL INT GANAD VENC PREST COFIDE CMED     4NC</v>
          </cell>
        </row>
        <row r="22885">
          <cell r="B22885" t="str">
            <v>51040512000809</v>
          </cell>
          <cell r="C22885" t="str">
            <v>CL INT. GAN. VENC BK CMED               4NC</v>
          </cell>
        </row>
        <row r="22886">
          <cell r="B22886" t="str">
            <v>51040512000810</v>
          </cell>
          <cell r="C22886" t="str">
            <v>CL INT. GAN. MORATORIO BK CCOR          4NC</v>
          </cell>
        </row>
        <row r="22887">
          <cell r="B22887" t="str">
            <v>51040512000811</v>
          </cell>
          <cell r="C22887" t="str">
            <v>CL INT GAN. VENC. AVALXACEP BKT CMED    4NC</v>
          </cell>
        </row>
        <row r="22888">
          <cell r="B22888" t="str">
            <v>51040512000812</v>
          </cell>
          <cell r="C22888" t="str">
            <v>CL INT.GAN. VENC. BKT CMED              4NC</v>
          </cell>
        </row>
        <row r="22889">
          <cell r="B22889" t="str">
            <v>51040512000813</v>
          </cell>
          <cell r="C22889" t="str">
            <v>CL INT GAN VENC VISTA BKT CMED          4NC</v>
          </cell>
        </row>
        <row r="22890">
          <cell r="B22890" t="str">
            <v>51040512000814</v>
          </cell>
          <cell r="C22890" t="str">
            <v>CL INT GAN VENC STAND BY BKT CMED       4NC</v>
          </cell>
        </row>
        <row r="22891">
          <cell r="B22891" t="str">
            <v>51040512000815</v>
          </cell>
          <cell r="C22891" t="str">
            <v>CL PRE JUD INT GAN DSCTO.PAG VEN CMED   4NC</v>
          </cell>
        </row>
        <row r="22892">
          <cell r="B22892" t="str">
            <v>51040512000816</v>
          </cell>
          <cell r="C22892" t="str">
            <v>CL PRE JUD INT GAN DSCTO LETR VENC CMED 4NC</v>
          </cell>
        </row>
        <row r="22893">
          <cell r="B22893" t="str">
            <v>51040512000817</v>
          </cell>
          <cell r="C22893" t="str">
            <v>CL PRE JUD INT.GAN PREST EXP VENC CMED G4NC</v>
          </cell>
        </row>
        <row r="22894">
          <cell r="B22894" t="str">
            <v>51040512000818</v>
          </cell>
          <cell r="C22894" t="str">
            <v>CL PRE JUD INT GAN.PAG IMP VENC CMED GL 4NC</v>
          </cell>
        </row>
        <row r="22895">
          <cell r="B22895" t="str">
            <v>51040512000819</v>
          </cell>
          <cell r="C22895" t="str">
            <v>CL PRE JUD INT.GAN RP CAP.TRAB VENC CMED4NC</v>
          </cell>
        </row>
        <row r="22896">
          <cell r="B22896" t="str">
            <v>51040512000820</v>
          </cell>
          <cell r="C22896" t="str">
            <v>CL PRE JUD INT.GAN FACT LET VENC CMED GL4NC</v>
          </cell>
        </row>
        <row r="22897">
          <cell r="B22897" t="str">
            <v>51040512000821</v>
          </cell>
          <cell r="C22897" t="str">
            <v>CL PRE JUD INT.GAN FACT FACT VENC CMED G4NC</v>
          </cell>
        </row>
        <row r="22898">
          <cell r="B22898" t="str">
            <v>51040512000822</v>
          </cell>
          <cell r="C22898" t="str">
            <v>CL PRE JUD INT.GAN CART CRED CMED GL 7004NC</v>
          </cell>
        </row>
        <row r="22899">
          <cell r="B22899" t="str">
            <v>51040512000823</v>
          </cell>
          <cell r="C22899" t="str">
            <v>CL PRE JUD INT.GAN CART FIANZ VENC CMED 4NC</v>
          </cell>
        </row>
        <row r="22900">
          <cell r="B22900" t="str">
            <v>51040512000824</v>
          </cell>
          <cell r="C22900" t="str">
            <v>CL PRE JUD GAN P TV MED PLZ C/FIJ CMED  4NC</v>
          </cell>
        </row>
        <row r="22901">
          <cell r="B22901" t="str">
            <v>51040512000825</v>
          </cell>
          <cell r="C22901" t="str">
            <v>CL PRE JUD MYP COMP AF INMUEB CMED      4NC</v>
          </cell>
        </row>
        <row r="22902">
          <cell r="B22902" t="str">
            <v>51040512000826</v>
          </cell>
          <cell r="C22902" t="str">
            <v>CL CJ MYP COMP AF INT GAN NRV CMED      4NC</v>
          </cell>
        </row>
        <row r="22903">
          <cell r="B22903" t="str">
            <v>51040512000827</v>
          </cell>
          <cell r="C22903" t="str">
            <v>CL PRE JUD MYP CRED ESTAC INT GAN CMED  4NC</v>
          </cell>
        </row>
        <row r="22904">
          <cell r="B22904" t="str">
            <v>51040512000828</v>
          </cell>
          <cell r="C22904" t="str">
            <v>CL CJ MYP CRED ESTAC GANAD CPEM         4NC</v>
          </cell>
        </row>
        <row r="22905">
          <cell r="B22905" t="str">
            <v>51040512000829</v>
          </cell>
          <cell r="C22905" t="str">
            <v>CL PRE JUD INT GAN TC CONS-COM VENC CGEM4NC</v>
          </cell>
        </row>
        <row r="22906">
          <cell r="B22906" t="str">
            <v>51040512000830</v>
          </cell>
          <cell r="C22906" t="str">
            <v>CL PRE JUD INT GAN TC AMEX PJ VENC CMED 4NC</v>
          </cell>
        </row>
        <row r="22907">
          <cell r="B22907" t="str">
            <v>51040512000831</v>
          </cell>
          <cell r="C22907" t="str">
            <v>CL PRE JUD INT.GAN TC MASTER PJ VENC CME4NC</v>
          </cell>
        </row>
        <row r="22908">
          <cell r="B22908" t="str">
            <v>51040512000832</v>
          </cell>
          <cell r="C22908" t="str">
            <v>CL PRE JUD INT GAN RFA SUBOR VENC CMED  4NC</v>
          </cell>
        </row>
        <row r="22909">
          <cell r="B22909" t="str">
            <v>51040512000833</v>
          </cell>
          <cell r="C22909" t="str">
            <v>CL PRE JUD INT GAN RFA FINANC VENC CMED 4NC</v>
          </cell>
        </row>
        <row r="22910">
          <cell r="B22910" t="str">
            <v>51040512000834</v>
          </cell>
          <cell r="C22910" t="str">
            <v>CL PRE JUD INT GAN PAG.REC.COFID VENC CM4NC</v>
          </cell>
        </row>
        <row r="22911">
          <cell r="B22911" t="str">
            <v>51040512000835</v>
          </cell>
          <cell r="C22911" t="str">
            <v>CL PRE JUD INT.GAN SOBR CCTE. PJ VENC CM4NC</v>
          </cell>
        </row>
        <row r="22912">
          <cell r="B22912" t="str">
            <v>51040512000836</v>
          </cell>
          <cell r="C22912" t="str">
            <v>CL INTERES MORATORIO CMED               4NC</v>
          </cell>
        </row>
        <row r="22913">
          <cell r="B22913" t="str">
            <v>51040512000837</v>
          </cell>
          <cell r="C22913" t="str">
            <v>CL EX FORFAITING INT.GAN.VEN CMED       4NC</v>
          </cell>
        </row>
        <row r="22914">
          <cell r="B22914" t="str">
            <v>51040512000838</v>
          </cell>
          <cell r="C22914" t="str">
            <v>CL EX INT. MORATORIO CMED               4NC</v>
          </cell>
        </row>
        <row r="22915">
          <cell r="B22915" t="str">
            <v>51040512000839</v>
          </cell>
          <cell r="C22915" t="str">
            <v>CL INT GAN.VEN. EX PRE EMB D/P CMED     4NC</v>
          </cell>
        </row>
        <row r="22916">
          <cell r="B22916" t="str">
            <v>51040512000840</v>
          </cell>
          <cell r="C22916" t="str">
            <v>CL INT.GAN.POST. EX EMBAR. D/P. VEN. CCO4NC</v>
          </cell>
        </row>
        <row r="22917">
          <cell r="B22917" t="str">
            <v>51040512000841</v>
          </cell>
          <cell r="C22917" t="str">
            <v>CL EX INT VEN PAG.IMPORTAC.D/P CMED     4NC</v>
          </cell>
        </row>
        <row r="22918">
          <cell r="B22918" t="str">
            <v>51040512000842</v>
          </cell>
          <cell r="C22918" t="str">
            <v>CL CL INT. MORATORIO CMED               4NC</v>
          </cell>
        </row>
        <row r="22919">
          <cell r="B22919" t="str">
            <v>51040512000843</v>
          </cell>
          <cell r="C22919" t="str">
            <v>CL BK INT. MORATORIO CMED               4NC</v>
          </cell>
        </row>
        <row r="22920">
          <cell r="B22920" t="str">
            <v>51040512000844</v>
          </cell>
          <cell r="C22920" t="str">
            <v>CL CJ INT. MORATORIO CMED               4NC</v>
          </cell>
        </row>
        <row r="22921">
          <cell r="B22921" t="str">
            <v>51040512000845</v>
          </cell>
          <cell r="C22921" t="str">
            <v>CL PRE JUD INT GAN CRED EFEC VENC CMED G4NC</v>
          </cell>
        </row>
        <row r="22922">
          <cell r="B22922" t="str">
            <v>51040512000846</v>
          </cell>
          <cell r="C22922" t="str">
            <v>CL PRE JUD INT GAN CRED CONSUM VENC CMED4NC</v>
          </cell>
        </row>
        <row r="22923">
          <cell r="B22923" t="str">
            <v>51040512000847</v>
          </cell>
          <cell r="C22923" t="str">
            <v>CL PRE JUD INT GAN CRED VEHIC VENC CMED 4NC</v>
          </cell>
        </row>
        <row r="22924">
          <cell r="B22924" t="str">
            <v>51040512000848</v>
          </cell>
          <cell r="C22924" t="str">
            <v>CL PRE JUD INT GAN EX CONV  VENC CMED   4NC</v>
          </cell>
        </row>
        <row r="22925">
          <cell r="B22925" t="str">
            <v>51040512000849</v>
          </cell>
          <cell r="C22925" t="str">
            <v>CL PRE JUD INT GAN REFIN IC VENC CMED   4NC</v>
          </cell>
        </row>
        <row r="22926">
          <cell r="B22926" t="str">
            <v>51040512000850</v>
          </cell>
          <cell r="C22926" t="str">
            <v>CL PREJUD GAN CONS REV ADEL SUELDO      4NC</v>
          </cell>
        </row>
        <row r="22927">
          <cell r="B22927" t="str">
            <v>51040512000851</v>
          </cell>
          <cell r="C22927" t="str">
            <v>CL PREJUD GAN CONS REV PREF CMED        4NC</v>
          </cell>
        </row>
        <row r="22928">
          <cell r="B22928" t="str">
            <v>51040512000852</v>
          </cell>
          <cell r="C22928" t="str">
            <v>CL INT GAN PRE JUD VISA PN  DIS EFE CMED4NC</v>
          </cell>
        </row>
        <row r="22929">
          <cell r="B22929" t="str">
            <v>51040512000853</v>
          </cell>
          <cell r="C22929" t="str">
            <v>CL GAN PRE JUD AMEX PN DISP EFEC CMED   4NC</v>
          </cell>
        </row>
        <row r="22930">
          <cell r="B22930" t="str">
            <v>51040512000854</v>
          </cell>
          <cell r="C22930" t="str">
            <v>CL GAN PRE JUD MASTER C PN DISP EF CMED 4NC</v>
          </cell>
        </row>
        <row r="22931">
          <cell r="B22931" t="str">
            <v>51040512000855</v>
          </cell>
          <cell r="C22931" t="str">
            <v>CL INT GAN PRE JUD VISA PN  CONSUM CMED 4NC</v>
          </cell>
        </row>
        <row r="22932">
          <cell r="B22932" t="str">
            <v>51040512000856</v>
          </cell>
          <cell r="C22932" t="str">
            <v>CL GAN PRE JUD AMEX PN CONSUMO CMED     4NC</v>
          </cell>
        </row>
        <row r="22933">
          <cell r="B22933" t="str">
            <v>51040512000857</v>
          </cell>
          <cell r="C22933" t="str">
            <v>CL GAN PRE JUD MASTER C PN DISP EF CMED 4NC</v>
          </cell>
        </row>
        <row r="22934">
          <cell r="B22934" t="str">
            <v>51040512000858</v>
          </cell>
          <cell r="C22934" t="str">
            <v>CL INT GAN VENC COB AVAL BKT CMED       4NC</v>
          </cell>
        </row>
        <row r="22935">
          <cell r="B22935" t="str">
            <v>51040512000859</v>
          </cell>
          <cell r="C22935" t="str">
            <v>CL INT GAN PRE JUD CRED EFEC GTIA HIPOT 4NC</v>
          </cell>
        </row>
        <row r="22936">
          <cell r="B22936" t="str">
            <v>51040512000860</v>
          </cell>
          <cell r="C22936" t="str">
            <v>CL INT GAN PRE JUD SOBREG C.CTE PN CMED 4NC</v>
          </cell>
        </row>
        <row r="22937">
          <cell r="B22937" t="str">
            <v>51040512000861</v>
          </cell>
          <cell r="C22937" t="str">
            <v>CL EX FACTORING FORFAITING INT.GAN.VEN C4NC</v>
          </cell>
        </row>
        <row r="22938">
          <cell r="B22938" t="str">
            <v>51040512000862</v>
          </cell>
          <cell r="C22938" t="str">
            <v>CL  CONFIRMING INTER INT.GAN.VEN CMED   4NC</v>
          </cell>
        </row>
        <row r="22939">
          <cell r="B22939" t="str">
            <v>51040512000863</v>
          </cell>
          <cell r="C22939" t="str">
            <v>CL COB.PRE-JUD.LEASING PJ INT.GAN CMED  4NC</v>
          </cell>
        </row>
        <row r="22940">
          <cell r="B22940" t="str">
            <v>51040512000864</v>
          </cell>
          <cell r="C22940" t="str">
            <v>CL MYP PRE-JUD.C.TRAB.INT.GAN.REV.CMED  4NC</v>
          </cell>
        </row>
        <row r="22941">
          <cell r="B22941" t="str">
            <v>51040512000865</v>
          </cell>
          <cell r="C22941" t="str">
            <v>CL INT PREJUD HIPOT.MI VIV VEN COFIDE CM4NC</v>
          </cell>
        </row>
        <row r="22942">
          <cell r="B22942" t="str">
            <v>51040512000866</v>
          </cell>
          <cell r="C22942" t="str">
            <v>CL INT.GAN.VEN.CRED.POR LIQ. CARTA FIANZ4NC</v>
          </cell>
        </row>
        <row r="22943">
          <cell r="B22943" t="str">
            <v>51040512000867</v>
          </cell>
          <cell r="C22943" t="str">
            <v>CL INT.GAN PRE JUD CRED HIP IC CMED     4NC</v>
          </cell>
        </row>
        <row r="22944">
          <cell r="B22944" t="str">
            <v>51040512000868</v>
          </cell>
          <cell r="C22944" t="str">
            <v>CL INT GANAD VENC PREST COFIDE CMED     4NC</v>
          </cell>
        </row>
        <row r="22945">
          <cell r="B22945" t="str">
            <v>51040512000901</v>
          </cell>
          <cell r="C22945" t="str">
            <v>PR  INT GAN VC LETRAS DSCTO  CMED       4NC</v>
          </cell>
        </row>
        <row r="22946">
          <cell r="B22946" t="str">
            <v>51040512000902</v>
          </cell>
          <cell r="C22946" t="str">
            <v>PR DSCTO ELECTR SM PERU I.VEN CMED      4NC</v>
          </cell>
        </row>
        <row r="22947">
          <cell r="B22947" t="str">
            <v>51040512000903</v>
          </cell>
          <cell r="C22947" t="str">
            <v>PR INT GAN VENC LETRAS FACTORING CMED   4NC</v>
          </cell>
        </row>
        <row r="22948">
          <cell r="B22948" t="str">
            <v>51040512000904</v>
          </cell>
          <cell r="C22948" t="str">
            <v>PR INT GAN VENC FACT FACTORING CMED     4NC</v>
          </cell>
        </row>
        <row r="22949">
          <cell r="B22949" t="str">
            <v>51040512000905</v>
          </cell>
          <cell r="C22949" t="str">
            <v>FCD FACT ELECTR LET/FACT INT.VEN CMED   4NC</v>
          </cell>
        </row>
        <row r="22950">
          <cell r="B22950" t="str">
            <v>51040512000906</v>
          </cell>
          <cell r="C22950" t="str">
            <v>PR FACTORING INTER. INT VENC CMED       4NC</v>
          </cell>
        </row>
        <row r="22951">
          <cell r="B22951" t="str">
            <v>51040512000907</v>
          </cell>
          <cell r="C22951" t="str">
            <v>PR PERU FACTORING INT.VEN CMED          4NC</v>
          </cell>
        </row>
        <row r="22952">
          <cell r="B22952" t="str">
            <v>51040512000908</v>
          </cell>
          <cell r="C22952" t="str">
            <v>PR FORFAITING EXPORTACIÃ“N INT GANA VENC4NC</v>
          </cell>
        </row>
        <row r="22953">
          <cell r="B22953" t="str">
            <v>51040512000909</v>
          </cell>
          <cell r="C22953" t="str">
            <v>FACT INTER IMPORT  VENC. CMED DUPE      4NC</v>
          </cell>
        </row>
        <row r="22954">
          <cell r="B22954" t="str">
            <v>51040512000910</v>
          </cell>
          <cell r="C22954" t="str">
            <v>FACT INTER IMPORT   VENC. CMED NORMAL   4NC</v>
          </cell>
        </row>
        <row r="22955">
          <cell r="B22955" t="str">
            <v>51040512001101</v>
          </cell>
          <cell r="C22955" t="str">
            <v>LPC INT VEN LEASING BIEN RP CMED        4NC</v>
          </cell>
        </row>
        <row r="22956">
          <cell r="B22956" t="str">
            <v>51040512001102</v>
          </cell>
          <cell r="C22956" t="str">
            <v>LPC INT VEN LEAS SEG RP CMED            4NC</v>
          </cell>
        </row>
        <row r="22957">
          <cell r="B22957" t="str">
            <v>51040512001201</v>
          </cell>
          <cell r="C22957" t="str">
            <v>LPC INT VEN LEAS BIEN D/P RP CMED       4NC</v>
          </cell>
        </row>
        <row r="22958">
          <cell r="B22958" t="str">
            <v>51040512001202</v>
          </cell>
          <cell r="C22958" t="str">
            <v>LPC INT VEN LEAS SEG D/P RP CMED        4NC</v>
          </cell>
        </row>
        <row r="22959">
          <cell r="B22959" t="str">
            <v>51040512001301</v>
          </cell>
          <cell r="C22959" t="str">
            <v>LPC INT VEN LEASEBACK BIEN RP CMED      4NC</v>
          </cell>
        </row>
        <row r="22960">
          <cell r="B22960" t="str">
            <v>51040512001302</v>
          </cell>
          <cell r="C22960" t="str">
            <v>LPC INT VEN LEASEBACK SEG RP CMED       4NC</v>
          </cell>
        </row>
        <row r="22961">
          <cell r="B22961" t="str">
            <v>51040512001303</v>
          </cell>
          <cell r="C22961" t="str">
            <v>LPC INT VEN LSBACK BIEN D/P RP CMED     4NC</v>
          </cell>
        </row>
        <row r="22962">
          <cell r="B22962" t="str">
            <v>51040512001304</v>
          </cell>
          <cell r="C22962" t="str">
            <v>LPC INT VEN LSBACK SEG D/P RP CMED      4NC</v>
          </cell>
        </row>
        <row r="22963">
          <cell r="B22963" t="str">
            <v>51040512001305</v>
          </cell>
          <cell r="C22963" t="str">
            <v>LPC INT VEN LS  BIEN OTROS SUSP RP CMED 4NC</v>
          </cell>
        </row>
        <row r="22964">
          <cell r="B22964" t="str">
            <v>51040512001306</v>
          </cell>
          <cell r="C22964" t="str">
            <v>LPC INT VEN LS SEG OTROS SUSP RP CMED   4NC</v>
          </cell>
        </row>
        <row r="22965">
          <cell r="B22965" t="str">
            <v>51040512001307</v>
          </cell>
          <cell r="C22965" t="str">
            <v>LPC INT VEN LSB  BIEN OTROS SUSP CMED   4NC</v>
          </cell>
        </row>
        <row r="22966">
          <cell r="B22966" t="str">
            <v>51040512001308</v>
          </cell>
          <cell r="C22966" t="str">
            <v>LPC INT VEN LSB SEG OTROS SUSP CMED     4NC</v>
          </cell>
        </row>
        <row r="22967">
          <cell r="B22967" t="str">
            <v>51040512001351</v>
          </cell>
          <cell r="C22967" t="str">
            <v>LPC INT GAN VEN LEASING DERIVADO SEG RP 4NC</v>
          </cell>
        </row>
        <row r="22968">
          <cell r="B22968" t="str">
            <v>51040512001352</v>
          </cell>
          <cell r="C22968" t="str">
            <v>LPC INT GAN VEN LEASING DERIVADO SEG D/P4NC</v>
          </cell>
        </row>
        <row r="22969">
          <cell r="B22969" t="str">
            <v>51040512001353</v>
          </cell>
          <cell r="C22969" t="str">
            <v>LPC INT GAN VEN LEASING DERIVADO SEG RP 4NC</v>
          </cell>
        </row>
        <row r="22970">
          <cell r="B22970" t="str">
            <v>51040512001354</v>
          </cell>
          <cell r="C22970" t="str">
            <v>LPC INT GAN VEN LEASING DERIVADO SEG D/P4NC</v>
          </cell>
        </row>
        <row r="22971">
          <cell r="B22971" t="str">
            <v>51040512001401</v>
          </cell>
          <cell r="C22971" t="str">
            <v>LPC GAN VEN LSG BIEN ADJ. RP CMED       4NC</v>
          </cell>
        </row>
        <row r="22972">
          <cell r="B22972" t="str">
            <v>51040512001402</v>
          </cell>
          <cell r="C22972" t="str">
            <v>LPC INT VEN LSG SEG. ADJ. RP CMED       4NC</v>
          </cell>
        </row>
        <row r="22973">
          <cell r="B22973" t="str">
            <v>51040512001403</v>
          </cell>
          <cell r="C22973" t="str">
            <v>LPC GAN VEN LSG BIEN ADJ. D/P CMED      4NC</v>
          </cell>
        </row>
        <row r="22974">
          <cell r="B22974" t="str">
            <v>51040512001404</v>
          </cell>
          <cell r="C22974" t="str">
            <v>LPC SEG VEN .LSG ADJ. CMED V-S          4NC</v>
          </cell>
        </row>
        <row r="22975">
          <cell r="B22975" t="str">
            <v>51040512001405</v>
          </cell>
          <cell r="C22975" t="str">
            <v>LPC INT VEN LEAS REESTR BIEN RP CMED    4NC</v>
          </cell>
        </row>
        <row r="22976">
          <cell r="B22976" t="str">
            <v>51040512001406</v>
          </cell>
          <cell r="C22976" t="str">
            <v>LPC INT VEN LEAS REESTR SEG RP CMED     4NC</v>
          </cell>
        </row>
        <row r="22977">
          <cell r="B22977" t="str">
            <v>51040512001407</v>
          </cell>
          <cell r="C22977" t="str">
            <v>LPC INT VEN LEAS REF BIEN RP CMED       4NC</v>
          </cell>
        </row>
        <row r="22978">
          <cell r="B22978" t="str">
            <v>51040512001408</v>
          </cell>
          <cell r="C22978" t="str">
            <v>LPC INT VEN LEAS REF SEG RP CMED        4NC</v>
          </cell>
        </row>
        <row r="22979">
          <cell r="B22979" t="str">
            <v>51040512001501</v>
          </cell>
          <cell r="C22979" t="str">
            <v>LPC IDL MYP INT GAN LEASING CMED        4NC</v>
          </cell>
        </row>
        <row r="22980">
          <cell r="B22980" t="str">
            <v>51040512001502</v>
          </cell>
          <cell r="C22980" t="str">
            <v>LPC IDS MYP INT GAN LEASING CMED        4NC</v>
          </cell>
        </row>
        <row r="22981">
          <cell r="B22981" t="str">
            <v>51040512001503</v>
          </cell>
          <cell r="C22981" t="str">
            <v>LPC IDL MYP INT GAN LEASING D/P CMED    4NC</v>
          </cell>
        </row>
        <row r="22982">
          <cell r="B22982" t="str">
            <v>51040512001504</v>
          </cell>
          <cell r="C22982" t="str">
            <v>LPC IDS MYP INT GAN LEASING D/P CMED    4NC</v>
          </cell>
        </row>
        <row r="22983">
          <cell r="B22983" t="str">
            <v>51040512001601</v>
          </cell>
          <cell r="C22983" t="str">
            <v>FCD INT MORATORIO CMED                  4NC</v>
          </cell>
        </row>
        <row r="22984">
          <cell r="B22984" t="str">
            <v>51040512001602</v>
          </cell>
          <cell r="C22984" t="str">
            <v>FCD INT. GAN DSCTO ELECTR VENC DUD CMED 4NC</v>
          </cell>
        </row>
        <row r="22985">
          <cell r="B22985" t="str">
            <v>51040512001603</v>
          </cell>
          <cell r="C22985" t="str">
            <v>FCD INT. GAN FACT ELECTR VIG DUD CMED   4NC</v>
          </cell>
        </row>
        <row r="22986">
          <cell r="B22986" t="str">
            <v>51040512001604</v>
          </cell>
          <cell r="C22986" t="str">
            <v>FCD FACT INTER EXPO. INT VENC NORM CMED 4NC</v>
          </cell>
        </row>
        <row r="22987">
          <cell r="B22987" t="str">
            <v>51040512001605</v>
          </cell>
          <cell r="C22987" t="str">
            <v>FCD FORFAITING EXPORTACIÃ“N INT GANA VEN4NC</v>
          </cell>
        </row>
        <row r="22988">
          <cell r="B22988" t="str">
            <v>51040512001606</v>
          </cell>
          <cell r="C22988" t="str">
            <v>FCD FACT INTER EXPO. INT VENC DUPE CMED 4NC</v>
          </cell>
        </row>
        <row r="22989">
          <cell r="B22989" t="str">
            <v>51040512001607</v>
          </cell>
          <cell r="C22989" t="str">
            <v>FCD FORFAITING EXPORTACIÃ“N INT GANA VEN4NC</v>
          </cell>
        </row>
        <row r="22990">
          <cell r="B22990" t="str">
            <v>51040512001608</v>
          </cell>
          <cell r="C22990" t="str">
            <v>FCD CONFIRMING INTERNACIONAL. INT VENC N4NC</v>
          </cell>
        </row>
        <row r="22991">
          <cell r="B22991" t="str">
            <v>51040512001609</v>
          </cell>
          <cell r="C22991" t="str">
            <v>FCD CONFIRMING INTERNACIONAL. INT VENC D4NC</v>
          </cell>
        </row>
        <row r="22992">
          <cell r="B22992" t="str">
            <v>51040512001610</v>
          </cell>
          <cell r="C22992" t="str">
            <v>FCD DESC. LET. I. VENC. CMED DUPE       4NC</v>
          </cell>
        </row>
        <row r="22993">
          <cell r="B22993" t="str">
            <v>51040512001611</v>
          </cell>
          <cell r="C22993" t="str">
            <v>FCD DESC. FACT. I. VENC. CMED DUPE      4NC</v>
          </cell>
        </row>
        <row r="22994">
          <cell r="B22994" t="str">
            <v>51040512001612</v>
          </cell>
          <cell r="C22994" t="str">
            <v>FCD DESC. VIRTUAL I. VENC. CMED DUPE    4NC</v>
          </cell>
        </row>
        <row r="22995">
          <cell r="B22995" t="str">
            <v>51040512001613</v>
          </cell>
          <cell r="C22995" t="str">
            <v>FCD DESC. FACT. NEG. I. VENC. CMED DUPE 4NC</v>
          </cell>
        </row>
        <row r="22996">
          <cell r="B22996" t="str">
            <v>51040512001614</v>
          </cell>
          <cell r="C22996" t="str">
            <v>FCD fAC. FIS. LET. I. VENC. CMED DUPE   4NC</v>
          </cell>
        </row>
        <row r="22997">
          <cell r="B22997" t="str">
            <v>51040512001615</v>
          </cell>
          <cell r="C22997" t="str">
            <v>FCD FAC. FIS. fAC.. I. VENC. CMED DUPE  4NC</v>
          </cell>
        </row>
        <row r="22998">
          <cell r="B22998" t="str">
            <v>51040512001616</v>
          </cell>
          <cell r="C22998" t="str">
            <v>FCD DESC. VIRTUAL I. VENC. CMED NORMAL  4NC</v>
          </cell>
        </row>
        <row r="22999">
          <cell r="B22999" t="str">
            <v>51040512001701</v>
          </cell>
          <cell r="C22999" t="str">
            <v>TC INT VENCIDO AMEX CMED                4NC</v>
          </cell>
        </row>
        <row r="23000">
          <cell r="B23000" t="str">
            <v>51040512001702</v>
          </cell>
          <cell r="C23000" t="str">
            <v>TC INT VENCIDO MC CMED                  4NC</v>
          </cell>
        </row>
        <row r="23001">
          <cell r="B23001" t="str">
            <v>51040512001703</v>
          </cell>
          <cell r="C23001" t="str">
            <v>TC INT VENCIDO VISA CMED                4NC</v>
          </cell>
        </row>
        <row r="23002">
          <cell r="B23002" t="str">
            <v>51040512001704</v>
          </cell>
          <cell r="C23002" t="str">
            <v>TC INT VENCIDO VISA MEGAPLAZA CMED      4NC</v>
          </cell>
        </row>
        <row r="23003">
          <cell r="B23003" t="str">
            <v>51040512001705</v>
          </cell>
          <cell r="C23003" t="str">
            <v>TC INT VENCIDO VISA VEA CMED            4NC</v>
          </cell>
        </row>
        <row r="23004">
          <cell r="B23004" t="str">
            <v>51040512001711</v>
          </cell>
          <cell r="C23004" t="str">
            <v>TC DIEF INT VENCIDO AMEX CMED           4NC</v>
          </cell>
        </row>
        <row r="23005">
          <cell r="B23005" t="str">
            <v>51040512001712</v>
          </cell>
          <cell r="C23005" t="str">
            <v>TC DIEF INT VENCIDO VISA CMED           4NC</v>
          </cell>
        </row>
        <row r="23006">
          <cell r="B23006" t="str">
            <v>51040512001713</v>
          </cell>
          <cell r="C23006" t="str">
            <v>TC DIEF INT VENCIDO VISA MEGAPLAZA CMED 4NC</v>
          </cell>
        </row>
        <row r="23007">
          <cell r="B23007" t="str">
            <v>51040512001714</v>
          </cell>
          <cell r="C23007" t="str">
            <v>TC DIEF INT VENCIDO VISA VEA CMED       4NC</v>
          </cell>
        </row>
        <row r="23008">
          <cell r="B23008" t="str">
            <v>51040512001715</v>
          </cell>
          <cell r="C23008" t="str">
            <v>TC DIEF INT CUOTAS VENCIDO MC CMED      4NC</v>
          </cell>
        </row>
        <row r="23009">
          <cell r="B23009" t="str">
            <v>51040512001721</v>
          </cell>
          <cell r="C23009" t="str">
            <v>TC DIEF INT REV VENCIDO AMEX CMED       4NC</v>
          </cell>
        </row>
        <row r="23010">
          <cell r="B23010" t="str">
            <v>51040512001722</v>
          </cell>
          <cell r="C23010" t="str">
            <v>TC DIEF INT REV VENCIDO VISA CMED       4NC</v>
          </cell>
        </row>
        <row r="23011">
          <cell r="B23011" t="str">
            <v>51040512001723</v>
          </cell>
          <cell r="C23011" t="str">
            <v>TC DIEF INT REV VENCIDO VISA MEGAPLAZA C4NC</v>
          </cell>
        </row>
        <row r="23012">
          <cell r="B23012" t="str">
            <v>51040512001724</v>
          </cell>
          <cell r="C23012" t="str">
            <v>TC DIEF INT REV VENCIDO VISA VEA CMED   4NC</v>
          </cell>
        </row>
        <row r="23013">
          <cell r="B23013" t="str">
            <v>51040512001725</v>
          </cell>
          <cell r="C23013" t="str">
            <v>TC DIEF INT REV VENCIDO MC CMED         4NC</v>
          </cell>
        </row>
        <row r="23014">
          <cell r="B23014" t="str">
            <v>51040512001801</v>
          </cell>
          <cell r="C23014" t="str">
            <v>LPC INT VEN LEASING COFIDE IDL CMED     4NC</v>
          </cell>
        </row>
        <row r="23015">
          <cell r="B23015" t="str">
            <v>51040512001802</v>
          </cell>
          <cell r="C23015" t="str">
            <v>LPC INT VEN LS COFIDE SEG IDS CMED      4NC</v>
          </cell>
        </row>
        <row r="23016">
          <cell r="B23016" t="str">
            <v>51040512001803</v>
          </cell>
          <cell r="C23016" t="str">
            <v>LPC INT VEN LS COFIDE D/P IDL CMED      4NC</v>
          </cell>
        </row>
        <row r="23017">
          <cell r="B23017" t="str">
            <v>51040512001804</v>
          </cell>
          <cell r="C23017" t="str">
            <v>LPC INT VEN LS COFIDE SEG D/P IDS CMED  4NC</v>
          </cell>
        </row>
        <row r="23018">
          <cell r="B23018" t="str">
            <v>51040512001901</v>
          </cell>
          <cell r="C23018" t="str">
            <v>LPC INT VEN LEASE-BACK COFIDE IDL CMED  4NC</v>
          </cell>
        </row>
        <row r="23019">
          <cell r="B23019" t="str">
            <v>51040512001902</v>
          </cell>
          <cell r="C23019" t="str">
            <v>LPC INT VEN LB COFIDE SEG IDS CMED      4NC</v>
          </cell>
        </row>
        <row r="23020">
          <cell r="B23020" t="str">
            <v>51040512001903</v>
          </cell>
          <cell r="C23020" t="str">
            <v>LPC INT VEN LB COFIDE D/P IDL CMED      4NC</v>
          </cell>
        </row>
        <row r="23021">
          <cell r="B23021" t="str">
            <v>51040512001904</v>
          </cell>
          <cell r="C23021" t="str">
            <v>LPC INT VEN LB COFIDE SEG D/P IDS CMED  4NC</v>
          </cell>
        </row>
        <row r="23022">
          <cell r="B23022" t="str">
            <v>51040512005104</v>
          </cell>
          <cell r="C23022" t="str">
            <v>PR INT GANA VEN LETRAS T. DSCTOÂ  CMED  4NC</v>
          </cell>
        </row>
        <row r="23023">
          <cell r="B23023" t="str">
            <v>51040512005106</v>
          </cell>
          <cell r="C23023" t="str">
            <v>LPC INT MORATORIO CMED                  4NC</v>
          </cell>
        </row>
        <row r="23024">
          <cell r="B23024" t="str">
            <v>51040512005107</v>
          </cell>
          <cell r="C23024" t="str">
            <v>MYP CODIFE FONDO CRECER VEN CMED\DUPE   4NC</v>
          </cell>
        </row>
        <row r="23025">
          <cell r="B23025" t="str">
            <v>51040512005108</v>
          </cell>
          <cell r="C23025" t="str">
            <v>MYP CODIFE FONDO CRECER VEN CMED\NORM   4NC</v>
          </cell>
        </row>
        <row r="23026">
          <cell r="B23026" t="str">
            <v>51040512005109</v>
          </cell>
          <cell r="C23026" t="str">
            <v>MYP CODIFE REACTIVA PERU VEN CMED\DUPE  4NC</v>
          </cell>
        </row>
        <row r="23027">
          <cell r="B23027" t="str">
            <v>51040512005110</v>
          </cell>
          <cell r="C23027" t="str">
            <v>MYP CODIFE REACTIVA PERU VEN CMED\NORM  4NC</v>
          </cell>
        </row>
        <row r="23028">
          <cell r="B23028" t="str">
            <v>51040512005119</v>
          </cell>
          <cell r="C23028" t="str">
            <v>LPC REACTIVA PERU VEN CMED\NORM         4NC</v>
          </cell>
        </row>
        <row r="23029">
          <cell r="B23029" t="str">
            <v>51040512005120</v>
          </cell>
          <cell r="C23029" t="str">
            <v>LPC REACTIVA PERU VEN CMED\DUPE         4NC</v>
          </cell>
        </row>
        <row r="23030">
          <cell r="B23030" t="str">
            <v>51040512005121</v>
          </cell>
          <cell r="C23030" t="str">
            <v>LPC COFIDE FONDOS PERU VEN CMED\NORM    4NC</v>
          </cell>
        </row>
        <row r="23031">
          <cell r="B23031" t="str">
            <v>51040512005122</v>
          </cell>
          <cell r="C23031" t="str">
            <v>LPC COFIDE FONDOS PERU VEN CMED\DUPE    4NC</v>
          </cell>
        </row>
        <row r="23032">
          <cell r="B23032" t="str">
            <v>51040512005123</v>
          </cell>
          <cell r="C23032" t="str">
            <v>LPC COFIDE FONDO CRECER VEN CMED\NORM   4NC</v>
          </cell>
        </row>
        <row r="23033">
          <cell r="B23033" t="str">
            <v>51040512005124</v>
          </cell>
          <cell r="C23033" t="str">
            <v>LPC COFIDE FONDO CRECER VEN CMED\DUPE   4NC</v>
          </cell>
        </row>
        <row r="23034">
          <cell r="B23034" t="str">
            <v>51040512005125</v>
          </cell>
          <cell r="C23034" t="str">
            <v>LPC REACTIVA PERU VEN CMED\NORM         4NC</v>
          </cell>
        </row>
        <row r="23035">
          <cell r="B23035" t="str">
            <v>51040512005126</v>
          </cell>
          <cell r="C23035" t="str">
            <v>LPC REACTIVA PERU VEN CMED\DUPE         4NC</v>
          </cell>
        </row>
        <row r="23036">
          <cell r="B23036" t="str">
            <v>51040512005127</v>
          </cell>
          <cell r="C23036" t="str">
            <v>LPC COFIDE FONDOS CRECER CMED VEN\NORM  4NC</v>
          </cell>
        </row>
        <row r="23037">
          <cell r="B23037" t="str">
            <v>51040512005128</v>
          </cell>
          <cell r="C23037" t="str">
            <v>LPC COFIDE FONDOS CRECER CMED VEN\DUPE  4NC</v>
          </cell>
        </row>
        <row r="23038">
          <cell r="B23038" t="str">
            <v>51040512005129</v>
          </cell>
          <cell r="C23038" t="str">
            <v>LPC COFIDE FONDOS CRECER CMED VEN\NORM  4NC</v>
          </cell>
        </row>
        <row r="23039">
          <cell r="B23039" t="str">
            <v>51040512005130</v>
          </cell>
          <cell r="C23039" t="str">
            <v>LPC COFIDE FONDOS CRECER CMED VEN\DUPE  4NC</v>
          </cell>
        </row>
        <row r="23040">
          <cell r="B23040" t="str">
            <v>51040512005131</v>
          </cell>
          <cell r="C23040" t="str">
            <v>LPC REPROG EM COVID-19 POST EMBARQUE VEN4NC</v>
          </cell>
        </row>
        <row r="23041">
          <cell r="B23041" t="str">
            <v>51040512005132</v>
          </cell>
          <cell r="C23041" t="str">
            <v>LPC REPROG EM COVID-19 POST EMBAR VENC C4NC</v>
          </cell>
        </row>
        <row r="23042">
          <cell r="B23042" t="str">
            <v>51040512005133</v>
          </cell>
          <cell r="C23042" t="str">
            <v>LPC REPROG EM COVID-19 POST EMB INT REFI4NC</v>
          </cell>
        </row>
        <row r="23043">
          <cell r="B23043" t="str">
            <v>51040512005134</v>
          </cell>
          <cell r="C23043" t="str">
            <v>LPC REPROG EM COVID-19 POST EMB INT CCOR4NC</v>
          </cell>
        </row>
        <row r="23044">
          <cell r="B23044" t="str">
            <v>51040512005135</v>
          </cell>
          <cell r="C23044" t="str">
            <v>LPC PAG MEDIANO PLAZO COVID-19 CMED     4NC</v>
          </cell>
        </row>
        <row r="23045">
          <cell r="B23045" t="str">
            <v>51040512005136</v>
          </cell>
          <cell r="C23045" t="str">
            <v>JCC PRE JUD INT.GAN REACTIVA PERU VENC C4NC</v>
          </cell>
        </row>
        <row r="23046">
          <cell r="B23046" t="str">
            <v>51040512005137</v>
          </cell>
          <cell r="C23046" t="str">
            <v>LPC INT MORATORIO CMED                  4 C</v>
          </cell>
        </row>
        <row r="23047">
          <cell r="B23047" t="str">
            <v>51040512005138</v>
          </cell>
          <cell r="C23047" t="str">
            <v>LPC INT MORATORIO REACTIVA CMED         4 C</v>
          </cell>
        </row>
        <row r="23048">
          <cell r="B23048" t="str">
            <v>51040512005139</v>
          </cell>
          <cell r="C23048" t="str">
            <v>LPC INT MORATORIO REACTIVA REPROG CMED  4 C</v>
          </cell>
        </row>
        <row r="23049">
          <cell r="B23049" t="str">
            <v>51040512005140</v>
          </cell>
          <cell r="C23049" t="str">
            <v>MYP CODIFE REACTIVA REPRO PERU VEN CMED 4 C</v>
          </cell>
        </row>
        <row r="23050">
          <cell r="B23050" t="str">
            <v>51040512005141</v>
          </cell>
          <cell r="C23050" t="str">
            <v>JCC PRE JUD INT.GAN REACTIVA PERU VENC C4 C</v>
          </cell>
        </row>
        <row r="23051">
          <cell r="B23051" t="str">
            <v>51040512005142</v>
          </cell>
          <cell r="C23051" t="str">
            <v>JCC PRE JUD INT.GAN FONDO CRECER VENC CM4 C</v>
          </cell>
        </row>
        <row r="23052">
          <cell r="B23052" t="str">
            <v>51040512005143</v>
          </cell>
          <cell r="C23052" t="str">
            <v>JCC PRE JUD INT.GAN FONDO CRECER VENC CM4 C</v>
          </cell>
        </row>
        <row r="23053">
          <cell r="B23053" t="str">
            <v>51040512005144</v>
          </cell>
          <cell r="C23053" t="str">
            <v>JCC PREJUD INT.GAN REACT PRE-HONRAMIENTO4 C</v>
          </cell>
        </row>
        <row r="23054">
          <cell r="B23054" t="str">
            <v>51040512005145</v>
          </cell>
          <cell r="C23054" t="str">
            <v>JCC PREJUD INT.GAN REACT PRE-HONRAMIENTO4 C</v>
          </cell>
        </row>
        <row r="23055">
          <cell r="B23055" t="str">
            <v>51040512005146</v>
          </cell>
          <cell r="C23055" t="str">
            <v>FCD FACTORING INT MORATORIO CMED        4 C</v>
          </cell>
        </row>
        <row r="23056">
          <cell r="B23056" t="str">
            <v>51040512005147</v>
          </cell>
          <cell r="C23056" t="str">
            <v>LPC PAGARE COMEX INT MORATORIO CMED     4 C</v>
          </cell>
        </row>
        <row r="23057">
          <cell r="B23057" t="str">
            <v>51040512005148</v>
          </cell>
          <cell r="C23057" t="str">
            <v>LPC INT GAN PAG TV REF CMED             4 C</v>
          </cell>
        </row>
        <row r="23058">
          <cell r="B23058" t="str">
            <v>51040512005149</v>
          </cell>
          <cell r="C23058" t="str">
            <v>LPC REFINANCIADO REACTIVA CMED VEN      4 C</v>
          </cell>
        </row>
        <row r="23059">
          <cell r="B23059" t="str">
            <v>51040512005150</v>
          </cell>
          <cell r="C23059" t="str">
            <v>LPC REPROG REACTIVA DIFE CMED VEN       4 C</v>
          </cell>
        </row>
        <row r="23060">
          <cell r="B23060" t="str">
            <v>51040512005151</v>
          </cell>
          <cell r="C23060" t="str">
            <v>LPC PRE EMBARQUE FONDOS CRECER CMED INT 4NC</v>
          </cell>
        </row>
        <row r="23061">
          <cell r="B23061" t="str">
            <v>51040512005152</v>
          </cell>
          <cell r="C23061" t="str">
            <v>LPC REPROG REACTIVA DS.011-2022 CMED NOR4 C</v>
          </cell>
        </row>
        <row r="23062">
          <cell r="B23062" t="str">
            <v>51040512005153</v>
          </cell>
          <cell r="C23062" t="str">
            <v>LPC REPROG REACTIVA DS.011-2022 CMED DUP4 C</v>
          </cell>
        </row>
        <row r="23063">
          <cell r="B23063" t="str">
            <v>51040512005154</v>
          </cell>
          <cell r="C23063" t="str">
            <v>LPC REPROG REACTIVA DS.011-2022 CMED    4 C</v>
          </cell>
        </row>
        <row r="23064">
          <cell r="B23064" t="str">
            <v>51040512005155</v>
          </cell>
          <cell r="C23064" t="str">
            <v>MYP REPROG REACTIVA DS.011-2022 CMED NOR4 C</v>
          </cell>
        </row>
        <row r="23065">
          <cell r="B23065" t="str">
            <v>51040512005156</v>
          </cell>
          <cell r="C23065" t="str">
            <v>MYP REPROG REACTIVA DS.011-2022 CMED DUP4 C</v>
          </cell>
        </row>
        <row r="23066">
          <cell r="B23066" t="str">
            <v>51040512005157</v>
          </cell>
          <cell r="C23066" t="str">
            <v>JCC PREJUD CONSU PREFERENTE CMED        4NC</v>
          </cell>
        </row>
        <row r="23067">
          <cell r="B23067" t="str">
            <v>51040512005169</v>
          </cell>
          <cell r="C23067" t="str">
            <v>MYP REFINANCIADO CIMA ING.GAN CMED VEN  4 C</v>
          </cell>
        </row>
        <row r="23068">
          <cell r="B23068" t="str">
            <v>51040512005170</v>
          </cell>
          <cell r="C23068" t="str">
            <v>MYP INT.GAN. CAP_TRAB_CIMA CMED VEN NORM4 C</v>
          </cell>
        </row>
        <row r="23069">
          <cell r="B23069" t="str">
            <v>51040512005171</v>
          </cell>
          <cell r="C23069" t="str">
            <v>MYP INT.GAN. CAP_TRAB_CIMA CMED VEN DUPE4 C</v>
          </cell>
        </row>
        <row r="23070">
          <cell r="B23070" t="str">
            <v>51040512005172</v>
          </cell>
          <cell r="C23070" t="str">
            <v>MYP REPROGRAMADO CIMA CMED VEN NORM     4 C</v>
          </cell>
        </row>
        <row r="23071">
          <cell r="B23071" t="str">
            <v>51040512005173</v>
          </cell>
          <cell r="C23071" t="str">
            <v>MYP REPROGRAMADO CIMA CMIE VEN NORM     4 C</v>
          </cell>
        </row>
        <row r="23072">
          <cell r="B23072" t="str">
            <v>51040512005174</v>
          </cell>
          <cell r="C23072" t="str">
            <v>LPC RP MED PZ PREST VERDE-SOCIAL CMED VE4 C</v>
          </cell>
        </row>
        <row r="23073">
          <cell r="B23073" t="str">
            <v>51040512005175</v>
          </cell>
          <cell r="C23073" t="str">
            <v>LPC RP MED PZ PREST VERDE-SOCIAL CMED VE4 C</v>
          </cell>
        </row>
        <row r="23074">
          <cell r="B23074" t="str">
            <v>51040512005176</v>
          </cell>
          <cell r="C23074" t="str">
            <v>LPC RP MED PZ PREST SOSTENIBLE CMED VEN 4 C</v>
          </cell>
        </row>
        <row r="23075">
          <cell r="B23075" t="str">
            <v>51040512005177</v>
          </cell>
          <cell r="C23075" t="str">
            <v>LPC RP MED PZ PREST SOSTENIBLE CMED VEN 4 C</v>
          </cell>
        </row>
        <row r="23076">
          <cell r="B23076" t="str">
            <v>51040512005178</v>
          </cell>
          <cell r="C23076" t="str">
            <v>LPC PAG FINAN PROY VERDE-SOCIAL CMED DUP4 C</v>
          </cell>
        </row>
        <row r="23077">
          <cell r="B23077" t="str">
            <v>51040512005179</v>
          </cell>
          <cell r="C23077" t="str">
            <v>LPC PAG FINAN PROY VERDE-SOCIAL CMED NOR4 C</v>
          </cell>
        </row>
        <row r="23078">
          <cell r="B23078" t="str">
            <v>51040512005180</v>
          </cell>
          <cell r="C23078" t="str">
            <v>LPC PAG FINAN PROY VINC-SOSTENIB CMED DU4 C</v>
          </cell>
        </row>
        <row r="23079">
          <cell r="B23079" t="str">
            <v>51040512005181</v>
          </cell>
          <cell r="C23079" t="str">
            <v>LPC PAG FINAN PROY VINC-SOSTENIB CMED NO4 C</v>
          </cell>
        </row>
        <row r="23080">
          <cell r="B23080" t="str">
            <v>51040512005182</v>
          </cell>
          <cell r="C23080" t="str">
            <v>LPC PAG BIENES INMB RENTA VERDE-SOCIAL C4 C</v>
          </cell>
        </row>
        <row r="23081">
          <cell r="B23081" t="str">
            <v>51040512005183</v>
          </cell>
          <cell r="C23081" t="str">
            <v>LPC PAG BIENES INMB RENTA VERDE-SOCIAL C4 C</v>
          </cell>
        </row>
        <row r="23082">
          <cell r="B23082" t="str">
            <v>51040512005184</v>
          </cell>
          <cell r="C23082" t="str">
            <v>LPC PAG BIENES INMB RENTA VINC-SOSTENIB 4 C</v>
          </cell>
        </row>
        <row r="23083">
          <cell r="B23083" t="str">
            <v>51040512005185</v>
          </cell>
          <cell r="C23083" t="str">
            <v>LPC PAG BIENES INMB RENTA VINC-SOSTENIB 4 C</v>
          </cell>
        </row>
        <row r="23084">
          <cell r="B23084" t="str">
            <v>51040512005186</v>
          </cell>
          <cell r="C23084" t="str">
            <v>MYP REPROG REACTIVA 2023 CMED NORM VEN  4 C</v>
          </cell>
        </row>
        <row r="23085">
          <cell r="B23085" t="str">
            <v>51040512005187</v>
          </cell>
          <cell r="C23085" t="str">
            <v>MYP REPROG REACTIVA 2023 CMED DUPE VEN  4 C</v>
          </cell>
        </row>
        <row r="23086">
          <cell r="B23086" t="str">
            <v>51040512005188</v>
          </cell>
          <cell r="C23086" t="str">
            <v>LPC REPROG REACTIVA 2023 VEN CMED NORM  4 C</v>
          </cell>
        </row>
        <row r="23087">
          <cell r="B23087" t="str">
            <v>51040512005189</v>
          </cell>
          <cell r="C23087" t="str">
            <v>LPC REPROG REACTIVA 2023 VEN CMED DUPE  4 C</v>
          </cell>
        </row>
        <row r="23088">
          <cell r="B23088" t="str">
            <v>51040512005190</v>
          </cell>
          <cell r="C23088" t="str">
            <v>LPC REPROG REACTIVA 2023 INT MORA CMED  4 C</v>
          </cell>
        </row>
        <row r="23089">
          <cell r="B23089" t="str">
            <v>51040512005191</v>
          </cell>
          <cell r="C23089" t="str">
            <v>MYP CAP. TRAB - PAGARE DIGITAL_CMED NORM4 C</v>
          </cell>
        </row>
        <row r="23090">
          <cell r="B23090" t="str">
            <v>51040512005192</v>
          </cell>
          <cell r="C23090" t="str">
            <v>MYP CAP. TRAB - PAGARE DIGITAL_CMED DUPE4 C</v>
          </cell>
        </row>
        <row r="23091">
          <cell r="B23091" t="str">
            <v>51040512005193</v>
          </cell>
          <cell r="C23091" t="str">
            <v>JCC PRE.JUD INT GAN REACT PRE-HONRAM REP4 C</v>
          </cell>
        </row>
        <row r="23092">
          <cell r="B23092" t="str">
            <v>51040512005194</v>
          </cell>
          <cell r="C23092" t="str">
            <v>JCC PRE.JUD INT GAN REACT PRE-HONRAM REP4 C</v>
          </cell>
        </row>
        <row r="23093">
          <cell r="B23093" t="str">
            <v>51040512005195</v>
          </cell>
          <cell r="C23093" t="str">
            <v>JCC PRE.JUD INT GAN REACT PRE-HONRAM REP4 C</v>
          </cell>
        </row>
        <row r="23094">
          <cell r="B23094" t="str">
            <v>51040512005196</v>
          </cell>
          <cell r="C23094" t="str">
            <v>JCC PRE.JUD INT GAN REACT PRE-HONRAM REP4 C</v>
          </cell>
        </row>
        <row r="23095">
          <cell r="B23095" t="str">
            <v>51040512005197</v>
          </cell>
          <cell r="C23095" t="str">
            <v>JCC PRE.JUD INT GAN REACT PRE-HONRAM REP4 C</v>
          </cell>
        </row>
        <row r="23096">
          <cell r="B23096" t="str">
            <v>51040512005198</v>
          </cell>
          <cell r="C23096" t="str">
            <v>JCC PRE.JUD INT GAN REACT PRE-HONRAM REP4 C</v>
          </cell>
        </row>
        <row r="23097">
          <cell r="B23097" t="str">
            <v>51040512005199</v>
          </cell>
          <cell r="C23097" t="str">
            <v>JCC PRE.JUD INT GAN CRECER PRE-HONRAMIEN4 C</v>
          </cell>
        </row>
        <row r="23098">
          <cell r="B23098" t="str">
            <v>51040512005200</v>
          </cell>
          <cell r="C23098" t="str">
            <v>JCC PRE.JUD INT GAN CRECER PRE-HONRAMIEN4 C</v>
          </cell>
        </row>
        <row r="23099">
          <cell r="B23099" t="str">
            <v>51040512005201</v>
          </cell>
          <cell r="C23099" t="str">
            <v>JCC PRE.JUD INT GAN REACT PRE-HONRAM REP4 C</v>
          </cell>
        </row>
        <row r="23100">
          <cell r="B23100" t="str">
            <v>51040512005202</v>
          </cell>
          <cell r="C23100" t="str">
            <v>JCC PRE.JUD INT GAN REACT PRE-HONRAM REP4 C</v>
          </cell>
        </row>
        <row r="23101">
          <cell r="B23101" t="str">
            <v>51040512005203</v>
          </cell>
          <cell r="C23101" t="str">
            <v>JCC PRE.JUD INT GAN REACT PRE-HONRAM REP4 C</v>
          </cell>
        </row>
        <row r="23102">
          <cell r="B23102" t="str">
            <v>51040512005204</v>
          </cell>
          <cell r="C23102" t="str">
            <v>JCC PRE.JUD INT GAN REACT PRE-HONRAM REP4 C</v>
          </cell>
        </row>
        <row r="23103">
          <cell r="B23103" t="str">
            <v>51040512005205</v>
          </cell>
          <cell r="C23103" t="str">
            <v>JCC PRE.JUD INT GAN REACT PRE-HONRAM REP4 C</v>
          </cell>
        </row>
        <row r="23104">
          <cell r="B23104" t="str">
            <v>51040512005206</v>
          </cell>
          <cell r="C23104" t="str">
            <v>JCC PRE.JUD INT GAN REACT PRE-HONRAM REP4 C</v>
          </cell>
        </row>
        <row r="23105">
          <cell r="B23105" t="str">
            <v>51040512005207</v>
          </cell>
          <cell r="C23105" t="str">
            <v>JCC PRE.JUD INT GAN CRECER PRE-HONRAMIEN4 C</v>
          </cell>
        </row>
        <row r="23106">
          <cell r="B23106" t="str">
            <v>51040512005208</v>
          </cell>
          <cell r="C23106" t="str">
            <v>JCC PRE.JUD INT GAN CRECER PRE-HONRAMIEN4 C</v>
          </cell>
        </row>
        <row r="23107">
          <cell r="B23107" t="str">
            <v>51040512005209</v>
          </cell>
          <cell r="C23107" t="str">
            <v>MYP IMPULSO MYPERU VEN CMED DUPE        4 C</v>
          </cell>
        </row>
        <row r="23108">
          <cell r="B23108" t="str">
            <v>51040512005210</v>
          </cell>
          <cell r="C23108" t="str">
            <v>MYP IMPULSO MYPERU VEN CMED NORM        4 C</v>
          </cell>
        </row>
        <row r="23109">
          <cell r="B23109" t="str">
            <v>51040512005211</v>
          </cell>
          <cell r="C23109" t="str">
            <v>LPC INT LEASING FINANCIACION PROYECTO CM4 C</v>
          </cell>
        </row>
        <row r="23110">
          <cell r="B23110" t="str">
            <v>51040512005212</v>
          </cell>
          <cell r="C23110" t="str">
            <v>LPC INT VEN IMPULSO MYPERU CORTO PLAZO C4 C</v>
          </cell>
        </row>
        <row r="23111">
          <cell r="B23111" t="str">
            <v>51040512005213</v>
          </cell>
          <cell r="C23111" t="str">
            <v>LPC INT VEN IMPULSO MYPERU MEDIANO PLAZO4 C</v>
          </cell>
        </row>
        <row r="23112">
          <cell r="B23112" t="str">
            <v>51040512005214</v>
          </cell>
          <cell r="C23112" t="str">
            <v>TC INT VENCIDO REV AMEX CMED            4 C</v>
          </cell>
        </row>
        <row r="23113">
          <cell r="B23113" t="str">
            <v>51040512005215</v>
          </cell>
          <cell r="C23113" t="str">
            <v>MYP CAPITAL DE TRAB CIMA REU DIF INT VEN4 C</v>
          </cell>
        </row>
        <row r="23114">
          <cell r="B23114" t="str">
            <v>51040512005216</v>
          </cell>
          <cell r="C23114" t="str">
            <v>MYP LINEA REVOLV CIMA INT GAN VEN NORM C4 C</v>
          </cell>
        </row>
        <row r="23115">
          <cell r="B23115" t="str">
            <v>51040512005217</v>
          </cell>
          <cell r="C23115" t="str">
            <v>MYP LINEA REVOLV CIMA INT GAN VEN DUPE C4 C</v>
          </cell>
        </row>
        <row r="23116">
          <cell r="B23116" t="str">
            <v>51040512005218</v>
          </cell>
          <cell r="C23116" t="str">
            <v>JCC MP PRE JUD INT.GAN IMPULSO MYPERU IB4 C</v>
          </cell>
        </row>
        <row r="23117">
          <cell r="B23117" t="str">
            <v>51040512005219</v>
          </cell>
          <cell r="C23117" t="str">
            <v>JCC BC PRE JUD INT IMPULSO MYPERU PRE-HO4 C</v>
          </cell>
        </row>
        <row r="23118">
          <cell r="B23118" t="str">
            <v>51040512005220</v>
          </cell>
          <cell r="C23118" t="str">
            <v>MYP CAP TRAB PER GRACIA PARCIAL INT VEN 4 C</v>
          </cell>
        </row>
        <row r="23119">
          <cell r="B23119" t="str">
            <v>51040512005221</v>
          </cell>
          <cell r="C23119" t="str">
            <v>MYP CAP TRAB PER GRACIA PARCIAL INT VEN 4 C</v>
          </cell>
        </row>
        <row r="23120">
          <cell r="B23120" t="str">
            <v>51040512005222</v>
          </cell>
          <cell r="C23120" t="str">
            <v>MYP REPROG PERIODO GRACIA PARCIAL VEN CM4 C</v>
          </cell>
        </row>
        <row r="23121">
          <cell r="B23121" t="str">
            <v>51040512005223</v>
          </cell>
          <cell r="C23121" t="str">
            <v>MYP REPROG PERIODO GRACIA PARCIAL VEN CM4 C</v>
          </cell>
        </row>
        <row r="23122">
          <cell r="B23122" t="str">
            <v>51040512005224</v>
          </cell>
          <cell r="C23122" t="str">
            <v>JCC MP PRE JUD IMPLUSO MYPERU HONRADO IB4 C</v>
          </cell>
        </row>
        <row r="23123">
          <cell r="B23123" t="str">
            <v>51040512005225</v>
          </cell>
          <cell r="C23123" t="str">
            <v>LPC PAG PAPERLESS DERIVADOS REV/NR INT C4NC</v>
          </cell>
        </row>
        <row r="23124">
          <cell r="B23124" t="str">
            <v>51040512005226</v>
          </cell>
          <cell r="C23124" t="str">
            <v>LPC PAG PAPERLESS DERIVADOS REV/NR INT C4NC</v>
          </cell>
        </row>
        <row r="23125">
          <cell r="B23125" t="str">
            <v>51040512005227</v>
          </cell>
          <cell r="C23125" t="str">
            <v>CCD-BPE CAPITAL DE TRABAJO_CMED VEN NORM4 C</v>
          </cell>
        </row>
        <row r="23126">
          <cell r="B23126" t="str">
            <v>51040512005228</v>
          </cell>
          <cell r="C23126" t="str">
            <v>CCD-BPE CAPITAL DE TRABAJO_CMED VEN DUPE4 C</v>
          </cell>
        </row>
        <row r="23127">
          <cell r="B23127" t="str">
            <v>51040512005229</v>
          </cell>
          <cell r="C23127" t="str">
            <v>CCD-BPE LINEA REVOLVENTE_CMED VEN ING   4 C</v>
          </cell>
        </row>
        <row r="23128">
          <cell r="B23128" t="str">
            <v>51040512005230</v>
          </cell>
          <cell r="C23128" t="str">
            <v>CCD-BPE LINEA REVOLVENTE_CMED VEN ING   4 C</v>
          </cell>
        </row>
        <row r="23129">
          <cell r="B23129" t="str">
            <v>51040512005231</v>
          </cell>
          <cell r="C23129" t="str">
            <v>CCD-BPE REFINANCIADO_CMED VEN ING       4 C</v>
          </cell>
        </row>
        <row r="23130">
          <cell r="B23130" t="str">
            <v>51040512005232</v>
          </cell>
          <cell r="C23130" t="str">
            <v>JCC CCD PREJUD CAPITAL DE TRABAJO ING CM4 C</v>
          </cell>
        </row>
        <row r="23131">
          <cell r="B23131" t="str">
            <v>51040512005233</v>
          </cell>
          <cell r="C23131" t="str">
            <v>CCD-BPE CAP DE TRAB REPROG_CMED VEN NORM4 C</v>
          </cell>
        </row>
        <row r="23132">
          <cell r="B23132" t="str">
            <v>51040512005234</v>
          </cell>
          <cell r="C23132" t="str">
            <v>CCD-BPE CAP DE TRAB REPROG_CMED VEN DUPE4 C</v>
          </cell>
        </row>
        <row r="23133">
          <cell r="B23133" t="str">
            <v>51040512005235</v>
          </cell>
          <cell r="C23133" t="str">
            <v>CCD-BPE CAP DE TRAB_CMED_VEN            4 C</v>
          </cell>
        </row>
        <row r="23134">
          <cell r="B23134" t="str">
            <v>51040512008001</v>
          </cell>
          <cell r="C23134" t="str">
            <v>PAN INT CREDITOS VENCIDOS CMED          4NC</v>
          </cell>
        </row>
        <row r="23135">
          <cell r="B23135" t="str">
            <v>51040512260801</v>
          </cell>
          <cell r="C23135" t="str">
            <v>INT GAN VEN FIN IMPORT IB PANAMA CMED   4NC</v>
          </cell>
        </row>
        <row r="23136">
          <cell r="B23136" t="str">
            <v>51040513000101</v>
          </cell>
          <cell r="C23136" t="str">
            <v>MYP INT.GAN.VENC CAP.TRAB.CPEM          4NC</v>
          </cell>
        </row>
        <row r="23137">
          <cell r="B23137" t="str">
            <v>51040513000102</v>
          </cell>
          <cell r="C23137" t="str">
            <v>MYP INT.GAN VENC COMPRA AF CPEM         4NC</v>
          </cell>
        </row>
        <row r="23138">
          <cell r="B23138" t="str">
            <v>51040513000103</v>
          </cell>
          <cell r="C23138" t="str">
            <v>MYP INT.GAN VENC CRED. PARAL.CPEM       4NC</v>
          </cell>
        </row>
        <row r="23139">
          <cell r="B23139" t="str">
            <v>51040513000104</v>
          </cell>
          <cell r="C23139" t="str">
            <v>MYP D/P GAN.INT.VENC.CAP.TRAB CPEM      4NC</v>
          </cell>
        </row>
        <row r="23140">
          <cell r="B23140" t="str">
            <v>51040513000105</v>
          </cell>
          <cell r="C23140" t="str">
            <v>MYP D/P GAN.INT.VENC AF INMUEBLE CPEM   4NC</v>
          </cell>
        </row>
        <row r="23141">
          <cell r="B23141" t="str">
            <v>51040513000106</v>
          </cell>
          <cell r="C23141" t="str">
            <v>MYP D/P GAN.INT.VENC CRED ESTAC CPEM    4NC</v>
          </cell>
        </row>
        <row r="23142">
          <cell r="B23142" t="str">
            <v>51040513000108</v>
          </cell>
          <cell r="C23142" t="str">
            <v>MYP D/P GAN.INT.VENC AF INMUEBLE CPEM   4NC</v>
          </cell>
        </row>
        <row r="23143">
          <cell r="B23143" t="str">
            <v>51040513000109</v>
          </cell>
          <cell r="C23143" t="str">
            <v>MYP D/P GAN.INT.VENC AF INMUEBLE CPEM   4NC</v>
          </cell>
        </row>
        <row r="23144">
          <cell r="B23144" t="str">
            <v>51040513000110</v>
          </cell>
          <cell r="C23144" t="str">
            <v>MYP INT.GAN VENC COMPRA DEUDA CPEM      4NC</v>
          </cell>
        </row>
        <row r="23145">
          <cell r="B23145" t="str">
            <v>51040513000111</v>
          </cell>
          <cell r="C23145" t="str">
            <v>MYP D/P GAN.INT.VENC.FIN. COMP.DEU.CAP.T4NC</v>
          </cell>
        </row>
        <row r="23146">
          <cell r="B23146" t="str">
            <v>51040513000112</v>
          </cell>
          <cell r="C23146" t="str">
            <v>MYP INT.GAN. VENC LIN REVOLV CPEM       4NC</v>
          </cell>
        </row>
        <row r="23147">
          <cell r="B23147" t="str">
            <v>51040513000114</v>
          </cell>
          <cell r="C23147" t="str">
            <v>MYP D/P GAN.INT.VENC. LINEAS REVOL CPEM 4NC</v>
          </cell>
        </row>
        <row r="23148">
          <cell r="B23148" t="str">
            <v>51040513000116</v>
          </cell>
          <cell r="C23148" t="str">
            <v>MYP INT.GAN. VENC FIN.CRED. PARAL. CPEM 4NC</v>
          </cell>
        </row>
        <row r="23149">
          <cell r="B23149" t="str">
            <v>51040513000117</v>
          </cell>
          <cell r="C23149" t="str">
            <v>MYP EXPORT.POST EMBARQ RP INT GAN MES VE4NC</v>
          </cell>
        </row>
        <row r="23150">
          <cell r="B23150" t="str">
            <v>51040513000118</v>
          </cell>
          <cell r="C23150" t="str">
            <v>MYP EXPORT.PRE EMBARQ RP INT GAN  VENC C4NC</v>
          </cell>
        </row>
        <row r="23151">
          <cell r="B23151" t="str">
            <v>51040513000119</v>
          </cell>
          <cell r="C23151" t="str">
            <v>MYP D/P EXPORT.POST EMB INT GANAD VENC C4NC</v>
          </cell>
        </row>
        <row r="23152">
          <cell r="B23152" t="str">
            <v>51040513000121</v>
          </cell>
          <cell r="C23152" t="str">
            <v>MYP D/P EXPORT.PRE EMBAR INT GANAD VENC 4NC</v>
          </cell>
        </row>
        <row r="23153">
          <cell r="B23153" t="str">
            <v>51040513000122</v>
          </cell>
          <cell r="C23153" t="str">
            <v>MYP D/P IMPORT RP INT GANAD COM VENC CPE4NC</v>
          </cell>
        </row>
        <row r="23154">
          <cell r="B23154" t="str">
            <v>51040513000123</v>
          </cell>
          <cell r="C23154" t="str">
            <v>MYP INT.GAN. VENC TRANSP PUBL CPEM      4NC</v>
          </cell>
        </row>
        <row r="23155">
          <cell r="B23155" t="str">
            <v>51040513000124</v>
          </cell>
          <cell r="C23155" t="str">
            <v>MYP D/P GAN.INT.VENC.TRANSP PUB CPEM    4NC</v>
          </cell>
        </row>
        <row r="23156">
          <cell r="B23156" t="str">
            <v>51040513000125</v>
          </cell>
          <cell r="C23156" t="str">
            <v>MYP INT.GANAD.VENC FIN.IMPORT CAP TRAB  4NC</v>
          </cell>
        </row>
        <row r="23157">
          <cell r="B23157" t="str">
            <v>51040513000126</v>
          </cell>
          <cell r="C23157" t="str">
            <v>MYP INT.GANAD.VENC FIN.IMPORT A.FIJO CPE4NC</v>
          </cell>
        </row>
        <row r="23158">
          <cell r="B23158" t="str">
            <v>51040513000127</v>
          </cell>
          <cell r="C23158" t="str">
            <v>MYP D/P GAN.INT.VENC.IMP. CAP DE TRAB  C4NC</v>
          </cell>
        </row>
        <row r="23159">
          <cell r="B23159" t="str">
            <v>51040513000128</v>
          </cell>
          <cell r="C23159" t="str">
            <v>MYP D/P GAN.INT.VENC.FINN IMPOR AF CPEM 4NC</v>
          </cell>
        </row>
        <row r="23160">
          <cell r="B23160" t="str">
            <v>51040513000129</v>
          </cell>
          <cell r="C23160" t="str">
            <v>MYP INT GAN COM DEU AF VIG CPEM         4NC</v>
          </cell>
        </row>
        <row r="23161">
          <cell r="B23161" t="str">
            <v>51040513000130</v>
          </cell>
          <cell r="C23161" t="str">
            <v>MYP INT GAN COM DEU AF VIG CPEM D/P     4NC</v>
          </cell>
        </row>
        <row r="23162">
          <cell r="B23162" t="str">
            <v>51040513000131</v>
          </cell>
          <cell r="C23162" t="str">
            <v>MYP INT GAN FINANC IMPORT VENC CPEM     4NC</v>
          </cell>
        </row>
        <row r="23163">
          <cell r="B23163" t="str">
            <v>51040513000132</v>
          </cell>
          <cell r="C23163" t="str">
            <v>MYP INT GAN FINANC IMPORT VEN CPEM D/P  4NC</v>
          </cell>
        </row>
        <row r="23164">
          <cell r="B23164" t="str">
            <v>51040513000133</v>
          </cell>
          <cell r="C23164" t="str">
            <v>MYP INT GAN E.R CAP TRAB VEN CPEM       4NC</v>
          </cell>
        </row>
        <row r="23165">
          <cell r="B23165" t="str">
            <v>51040513000134</v>
          </cell>
          <cell r="C23165" t="str">
            <v>MYP INT GAN E.R CAP TRAB VEN CPEM D/P   4NC</v>
          </cell>
        </row>
        <row r="23166">
          <cell r="B23166" t="str">
            <v>51040513000135</v>
          </cell>
          <cell r="C23166" t="str">
            <v>MYP INT GAN VEN REFIN.COBRAN C/FIJA CPEM4NC</v>
          </cell>
        </row>
        <row r="23167">
          <cell r="B23167" t="str">
            <v>51040513000136</v>
          </cell>
          <cell r="C23167" t="str">
            <v>MYP INT GAN VEN REFIN.COBRAN REVOLCPEM  4NC</v>
          </cell>
        </row>
        <row r="23168">
          <cell r="B23168" t="str">
            <v>51040513000137</v>
          </cell>
          <cell r="C23168" t="str">
            <v>MYP INTGANAC VENFIN CAPTRAB DUPE        4NC</v>
          </cell>
        </row>
        <row r="23169">
          <cell r="B23169" t="str">
            <v>51040513000138</v>
          </cell>
          <cell r="C23169" t="str">
            <v>MYP ER VENC FIN CAP TRA DUP CPEM        4NC</v>
          </cell>
        </row>
        <row r="23170">
          <cell r="B23170" t="str">
            <v>51040513000139</v>
          </cell>
          <cell r="C23170" t="str">
            <v>JCC PRE JUD MYP COMP AF INMUEB CPEM     4NC</v>
          </cell>
        </row>
        <row r="23171">
          <cell r="B23171" t="str">
            <v>51040513000140</v>
          </cell>
          <cell r="C23171" t="str">
            <v>JCC CJ MYP COMP AF INT GAN NRV CPEM     4NC</v>
          </cell>
        </row>
        <row r="23172">
          <cell r="B23172" t="str">
            <v>51040513000141</v>
          </cell>
          <cell r="C23172" t="str">
            <v>JCC PRE JUD INT GAN DSCTO.PAG VEN CPEM  4NC</v>
          </cell>
        </row>
        <row r="23173">
          <cell r="B23173" t="str">
            <v>51040513000142</v>
          </cell>
          <cell r="C23173" t="str">
            <v>JCC PRE JUD INT GAN DSCTO LETR VENC CPEM4NC</v>
          </cell>
        </row>
        <row r="23174">
          <cell r="B23174" t="str">
            <v>51040513000143</v>
          </cell>
          <cell r="C23174" t="str">
            <v>JCC PRE JUD INT.GAN FACT LET VENC CPEM G4NC</v>
          </cell>
        </row>
        <row r="23175">
          <cell r="B23175" t="str">
            <v>51040513000144</v>
          </cell>
          <cell r="C23175" t="str">
            <v>JCC PRE JUD INT.GAN FACT FACT VENC CPEM 4NC</v>
          </cell>
        </row>
        <row r="23176">
          <cell r="B23176" t="str">
            <v>51040513000145</v>
          </cell>
          <cell r="C23176" t="str">
            <v>JCC PRE JUD INT.GAN C.CREDITO CPEM      4NC</v>
          </cell>
        </row>
        <row r="23177">
          <cell r="B23177" t="str">
            <v>51040513000146</v>
          </cell>
          <cell r="C23177" t="str">
            <v>JCC PRE JUD INT.GAN CART FIANZ VENC CPEM4NC</v>
          </cell>
        </row>
        <row r="23178">
          <cell r="B23178" t="str">
            <v>51040513000147</v>
          </cell>
          <cell r="C23178" t="str">
            <v>JCC PRE JUD GAN P TV MED PLZ C/FIJ CPEM 4NC</v>
          </cell>
        </row>
        <row r="23179">
          <cell r="B23179" t="str">
            <v>51040513000148</v>
          </cell>
          <cell r="C23179" t="str">
            <v>JCC MYP CAP TRAB PRE JUD INT GAN CPEM   4NC</v>
          </cell>
        </row>
        <row r="23180">
          <cell r="B23180" t="str">
            <v>51040513000149</v>
          </cell>
          <cell r="C23180" t="str">
            <v>JCC PRE JUDIC MYP CRED ESTAC GANAD CPEM 4NC</v>
          </cell>
        </row>
        <row r="23181">
          <cell r="B23181" t="str">
            <v>51040513000150</v>
          </cell>
          <cell r="C23181" t="str">
            <v>JCC  MYP AF CYBERPL GAND NRV CMED       4NC</v>
          </cell>
        </row>
        <row r="23182">
          <cell r="B23182" t="str">
            <v>51040513000151</v>
          </cell>
          <cell r="C23182" t="str">
            <v>JCC PRE JUD INT.GAN TC MASTER PJ VENC CP4NC</v>
          </cell>
        </row>
        <row r="23183">
          <cell r="B23183" t="str">
            <v>51040513000152</v>
          </cell>
          <cell r="C23183" t="str">
            <v>JCC PRE JUD INT.GAN SOBR CCTE. PJ VENC C4NC</v>
          </cell>
        </row>
        <row r="23184">
          <cell r="B23184" t="str">
            <v>51040513000153</v>
          </cell>
          <cell r="C23184" t="str">
            <v>JCC PRE JUD INT GAN RFA SUBOR VENC CPEM 4NC</v>
          </cell>
        </row>
        <row r="23185">
          <cell r="B23185" t="str">
            <v>51040513000154</v>
          </cell>
          <cell r="C23185" t="str">
            <v>JCC PRE JUD INT GAN RFA FINANC VENC CPEM4NC</v>
          </cell>
        </row>
        <row r="23186">
          <cell r="B23186" t="str">
            <v>51040513000155</v>
          </cell>
          <cell r="C23186" t="str">
            <v>JCC PRE JUD INT GAN TC CONS-COM VENC CPE4NC</v>
          </cell>
        </row>
        <row r="23187">
          <cell r="B23187" t="str">
            <v>51040513000156</v>
          </cell>
          <cell r="C23187" t="str">
            <v>JCC PRE JUD INT GAN TC AMEX PJ VENC CPEM4NC</v>
          </cell>
        </row>
        <row r="23188">
          <cell r="B23188" t="str">
            <v>51040513000158</v>
          </cell>
          <cell r="C23188" t="str">
            <v>JCC PRE JUD INT GAN PAG.REC.COFID VENC C4NC</v>
          </cell>
        </row>
        <row r="23189">
          <cell r="B23189" t="str">
            <v>51040513000161</v>
          </cell>
          <cell r="C23189" t="str">
            <v>JCC INT. MORATORIO CPEM                 4NC</v>
          </cell>
        </row>
        <row r="23190">
          <cell r="B23190" t="str">
            <v>51040513000162</v>
          </cell>
          <cell r="C23190" t="str">
            <v>JCC MYP PRE-JUD.C.TRAB.INT.GAN.REV.CPEM 4NC</v>
          </cell>
        </row>
        <row r="23191">
          <cell r="B23191" t="str">
            <v>51040513000163</v>
          </cell>
          <cell r="C23191" t="str">
            <v>JCC INTERESES MORATORIOS MYP CPEM       4NC</v>
          </cell>
        </row>
        <row r="23192">
          <cell r="B23192" t="str">
            <v>51040513000164</v>
          </cell>
          <cell r="C23192" t="str">
            <v>JCC INT.GANADO PREJUDIC MYP LS BPE CPEM 4NC</v>
          </cell>
        </row>
        <row r="23193">
          <cell r="B23193" t="str">
            <v>51040513000165</v>
          </cell>
          <cell r="C23193" t="str">
            <v>MYP INT.GAN.VENC CAP.TRAB. CIMA NOR/DUPE4NC</v>
          </cell>
        </row>
        <row r="23194">
          <cell r="B23194" t="str">
            <v>51040513000301</v>
          </cell>
          <cell r="C23194" t="str">
            <v>MYP D/P INT.GAN.VEN PAG.BPE-BE COMER.CPE4NC</v>
          </cell>
        </row>
        <row r="23195">
          <cell r="B23195" t="str">
            <v>51040513000302</v>
          </cell>
          <cell r="C23195" t="str">
            <v>MYP INT.GAN.VENC PAG BPE-BE COM.NORM CPE4NC</v>
          </cell>
        </row>
        <row r="23196">
          <cell r="B23196" t="str">
            <v>51040513000303</v>
          </cell>
          <cell r="C23196" t="str">
            <v>MYP D/P GAN.INT.VENC. LIN REV.BPE-BE COM4NC</v>
          </cell>
        </row>
        <row r="23197">
          <cell r="B23197" t="str">
            <v>51040513000304</v>
          </cell>
          <cell r="C23197" t="str">
            <v>MYP I.GAN. VENC LIN REV.BPE-BE COM NORM 4NC</v>
          </cell>
        </row>
        <row r="23198">
          <cell r="B23198" t="str">
            <v>51040513000305</v>
          </cell>
          <cell r="C23198" t="str">
            <v>MYP INTGANVENC CAPTRABPROVREFCPEM       4NC</v>
          </cell>
        </row>
        <row r="23199">
          <cell r="B23199" t="str">
            <v>51040513000306</v>
          </cell>
          <cell r="C23199" t="str">
            <v>MYP INTGAN VENC LIN REVOL PROVREFCPEM   4NC</v>
          </cell>
        </row>
        <row r="23200">
          <cell r="B23200" t="str">
            <v>51040513000307</v>
          </cell>
          <cell r="C23200" t="str">
            <v>MYP INT.GAN.VENC CAP.TRAB.REUT.CPEM     4NC</v>
          </cell>
        </row>
        <row r="23201">
          <cell r="B23201" t="str">
            <v>51040513000308</v>
          </cell>
          <cell r="C23201" t="str">
            <v>MYP INT.GAN. VENC LIN REVOL REUT.CPEM   4NC</v>
          </cell>
        </row>
        <row r="23202">
          <cell r="B23202" t="str">
            <v>51040513000309</v>
          </cell>
          <cell r="C23202" t="str">
            <v>MYP DUPE INTGANVENC CAPTRABPROVREFCPEM  4NC</v>
          </cell>
        </row>
        <row r="23203">
          <cell r="B23203" t="str">
            <v>51040513000310</v>
          </cell>
          <cell r="C23203" t="str">
            <v>MYP DUPE INTGANVENC LIN.REVOL.REUT CPEM 4NC</v>
          </cell>
        </row>
        <row r="23204">
          <cell r="B23204" t="str">
            <v>51040513000401</v>
          </cell>
          <cell r="C23204" t="str">
            <v>JCC PRE JUD INT.GAN PREST EXP VENC CPEM 4NC</v>
          </cell>
        </row>
        <row r="23205">
          <cell r="B23205" t="str">
            <v>51040513000402</v>
          </cell>
          <cell r="C23205" t="str">
            <v>JCC PRE JUD INT GAN.PAG IMP VENC CPEM GL4NC</v>
          </cell>
        </row>
        <row r="23206">
          <cell r="B23206" t="str">
            <v>51040513000403</v>
          </cell>
          <cell r="C23206" t="str">
            <v>JCC PRE JUD INT.GAN RP CAP.TRAB VENC CPE4NC</v>
          </cell>
        </row>
        <row r="23207">
          <cell r="B23207" t="str">
            <v>51040513000501</v>
          </cell>
          <cell r="C23207" t="str">
            <v>LPC INT GAN VENC PAG TV  D/P CPEM       4NC</v>
          </cell>
        </row>
        <row r="23208">
          <cell r="B23208" t="str">
            <v>51040513000502</v>
          </cell>
          <cell r="C23208" t="str">
            <v>LPC INT GAN PAG TV VENC CPEM            4NC</v>
          </cell>
        </row>
        <row r="23209">
          <cell r="B23209" t="str">
            <v>51040513000503</v>
          </cell>
          <cell r="C23209" t="str">
            <v>LPC INT VEN LEASEBACK REF BIEN RP CPEM  4NC</v>
          </cell>
        </row>
        <row r="23210">
          <cell r="B23210" t="str">
            <v>51040513000504</v>
          </cell>
          <cell r="C23210" t="str">
            <v>LPC INT VEN LEASEBACK REFIN SEG CPEM    4NC</v>
          </cell>
        </row>
        <row r="23211">
          <cell r="B23211" t="str">
            <v>51040513000505</v>
          </cell>
          <cell r="C23211" t="str">
            <v>LPC INT GAN VENC  PAG TV  COFIDE CPEM   4NC</v>
          </cell>
        </row>
        <row r="23212">
          <cell r="B23212" t="str">
            <v>51040513000506</v>
          </cell>
          <cell r="C23212" t="str">
            <v>LPC INT GAN VENC PAG TV  COFIDE - D/P   4NC</v>
          </cell>
        </row>
        <row r="23213">
          <cell r="B23213" t="str">
            <v>51040513000507</v>
          </cell>
          <cell r="C23213" t="str">
            <v>LPC INT GAN PAG TV MED PLZ              4NC</v>
          </cell>
        </row>
        <row r="23214">
          <cell r="B23214" t="str">
            <v>51040513000508</v>
          </cell>
          <cell r="C23214" t="str">
            <v>LPC INT GAN PAG TV MED PLZ D/P          4NC</v>
          </cell>
        </row>
        <row r="23215">
          <cell r="B23215" t="str">
            <v>51040513000509</v>
          </cell>
          <cell r="C23215" t="str">
            <v>LPC INT GAN PAG TV INMOBILIARIO         4NC</v>
          </cell>
        </row>
        <row r="23216">
          <cell r="B23216" t="str">
            <v>51040513000510</v>
          </cell>
          <cell r="C23216" t="str">
            <v>LPC INT GAN PAG TV INMOBILIARIO D/P     4NC</v>
          </cell>
        </row>
        <row r="23217">
          <cell r="B23217" t="str">
            <v>51040513000511</v>
          </cell>
          <cell r="C23217" t="str">
            <v>LPC INT GAN FINAN PRE EMBARQUE          4NC</v>
          </cell>
        </row>
        <row r="23218">
          <cell r="B23218" t="str">
            <v>51040513000512</v>
          </cell>
          <cell r="C23218" t="str">
            <v>LPC INT GAN FINAN PRE EMBARQUE D/P      4NC</v>
          </cell>
        </row>
        <row r="23219">
          <cell r="B23219" t="str">
            <v>51040513000513</v>
          </cell>
          <cell r="C23219" t="str">
            <v>LPC INT GAN PAG TV EUROS                4NC</v>
          </cell>
        </row>
        <row r="23220">
          <cell r="B23220" t="str">
            <v>51040513000514</v>
          </cell>
          <cell r="C23220" t="str">
            <v>LPC INT GAN PAG TV EUROS                4NC</v>
          </cell>
        </row>
        <row r="23221">
          <cell r="B23221" t="str">
            <v>51040513000515</v>
          </cell>
          <cell r="C23221" t="str">
            <v>LPC INT GAN PAG DSCTO D/P VENC CPEM     4NC</v>
          </cell>
        </row>
        <row r="23222">
          <cell r="B23222" t="str">
            <v>51040513000516</v>
          </cell>
          <cell r="C23222" t="str">
            <v>LPC INT GAN PAG DSCTO VENC CPEM         4NC</v>
          </cell>
        </row>
        <row r="23223">
          <cell r="B23223" t="str">
            <v>51040513000517</v>
          </cell>
          <cell r="C23223" t="str">
            <v>LPC INT GAN PAG TV INMOBILIARIO VEN D/P 4NC</v>
          </cell>
        </row>
        <row r="23224">
          <cell r="B23224" t="str">
            <v>51040513000518</v>
          </cell>
          <cell r="C23224" t="str">
            <v>LPC REF LS COFIGAS INT.GAN. VEN PDL CPEM4NC</v>
          </cell>
        </row>
        <row r="23225">
          <cell r="B23225" t="str">
            <v>51040513000519</v>
          </cell>
          <cell r="C23225" t="str">
            <v>LPC REF LS COFIGAS INT.GAN SB VEN PDS CP4NC</v>
          </cell>
        </row>
        <row r="23226">
          <cell r="B23226" t="str">
            <v>51040513000520</v>
          </cell>
          <cell r="C23226" t="str">
            <v>LPC INT VEN LEASING DERIVADO SEG RP CPEM4NC</v>
          </cell>
        </row>
        <row r="23227">
          <cell r="B23227" t="str">
            <v>51040513000521</v>
          </cell>
          <cell r="C23227" t="str">
            <v>LPC INT VEN LEASING DERIVADO SEG D/P RP 4NC</v>
          </cell>
        </row>
        <row r="23228">
          <cell r="B23228" t="str">
            <v>51040513000522</v>
          </cell>
          <cell r="C23228" t="str">
            <v>LPC INT VEN LEASING DERIVADO SEG RP CPEM4NC</v>
          </cell>
        </row>
        <row r="23229">
          <cell r="B23229" t="str">
            <v>51040513000523</v>
          </cell>
          <cell r="C23229" t="str">
            <v>LPC INT VEN LEASING DERIVADO SEG D/P RP 4NC</v>
          </cell>
        </row>
        <row r="23230">
          <cell r="B23230" t="str">
            <v>51040513000524</v>
          </cell>
          <cell r="C23230" t="str">
            <v>LPC INT GAN PAG DERIVADOS VENC CPEM     4NC</v>
          </cell>
        </row>
        <row r="23231">
          <cell r="B23231" t="str">
            <v>51040513000525</v>
          </cell>
          <cell r="C23231" t="str">
            <v>LPC INT GAN PAG DERIVADOS VENC NORM CPEM4NC</v>
          </cell>
        </row>
        <row r="23232">
          <cell r="B23232" t="str">
            <v>51040513000526</v>
          </cell>
          <cell r="C23232" t="str">
            <v>LPC INT GAN PAG DERIVADOS VENC DUPE CPEM4NC</v>
          </cell>
        </row>
        <row r="23233">
          <cell r="B23233" t="str">
            <v>51040513000527</v>
          </cell>
          <cell r="C23233" t="str">
            <v>LPC INT GAN PAG DERIVADOS N/REV VENC NOR4NC</v>
          </cell>
        </row>
        <row r="23234">
          <cell r="B23234" t="str">
            <v>51040513000528</v>
          </cell>
          <cell r="C23234" t="str">
            <v>LPC INT GAN PAG DERIVADOS N/REV VENC DUP4NC</v>
          </cell>
        </row>
        <row r="23235">
          <cell r="B23235" t="str">
            <v>51040513000529</v>
          </cell>
          <cell r="C23235" t="str">
            <v>LPC INT.GAN PAG REPROGRAMADO REV NORM CP4NC</v>
          </cell>
        </row>
        <row r="23236">
          <cell r="B23236" t="str">
            <v>51040513000530</v>
          </cell>
          <cell r="C23236" t="str">
            <v>LPC INT.GAN PAG REPROGRAMADO D/P CPEM   4NC</v>
          </cell>
        </row>
        <row r="23237">
          <cell r="B23237" t="str">
            <v>51040513000531</v>
          </cell>
          <cell r="C23237" t="str">
            <v>LPC INT VEN GAN PAG TV RP MEDIANO PLAZO 4NC</v>
          </cell>
        </row>
        <row r="23238">
          <cell r="B23238" t="str">
            <v>51040513000601</v>
          </cell>
          <cell r="C23238" t="str">
            <v>LPC INT.GAN VENC IMPORT D/P CPEM        4NC</v>
          </cell>
        </row>
        <row r="23239">
          <cell r="B23239" t="str">
            <v>51040513000602</v>
          </cell>
          <cell r="C23239" t="str">
            <v>LPC INT GAN VEN EX PRE EMB CPEM         4NC</v>
          </cell>
        </row>
        <row r="23240">
          <cell r="B23240" t="str">
            <v>51040513000603</v>
          </cell>
          <cell r="C23240" t="str">
            <v>LPC INT GAN VENC EX POST EMB RP D/P CPEM4NC</v>
          </cell>
        </row>
        <row r="23241">
          <cell r="B23241" t="str">
            <v>51040513000604</v>
          </cell>
          <cell r="C23241" t="str">
            <v>LPC INT GAN VENC EX PRE EMB CPEM        4NC</v>
          </cell>
        </row>
        <row r="23242">
          <cell r="B23242" t="str">
            <v>51040513000605</v>
          </cell>
          <cell r="C23242" t="str">
            <v>LPC INT GAN VENC EX POST EMB RP CPEM    4NC</v>
          </cell>
        </row>
        <row r="23243">
          <cell r="B23243" t="str">
            <v>51040513000606</v>
          </cell>
          <cell r="C23243" t="str">
            <v>LPC INT GAN VENC IMPOR CPEM             4NC</v>
          </cell>
        </row>
        <row r="23244">
          <cell r="B23244" t="str">
            <v>51040513000607</v>
          </cell>
          <cell r="C23244" t="str">
            <v>LPC INT.GAN VEN  WORK CAP.EX PRE EMB CME4NC</v>
          </cell>
        </row>
        <row r="23245">
          <cell r="B23245" t="str">
            <v>51040513000608</v>
          </cell>
          <cell r="C23245" t="str">
            <v>LPC INT GAN FINAN PRE EMBARQUE-SEPYMEX C4NC</v>
          </cell>
        </row>
        <row r="23246">
          <cell r="B23246" t="str">
            <v>51040513000609</v>
          </cell>
          <cell r="C23246" t="str">
            <v>LPC INT GAN FINAN PRE EMBARQUE D/P-SEPYM4NC</v>
          </cell>
        </row>
        <row r="23247">
          <cell r="B23247" t="str">
            <v>51040513000610</v>
          </cell>
          <cell r="C23247" t="str">
            <v>LPC INT GAN PRE EMBARQUE VEN.NORM CPEM  4NC</v>
          </cell>
        </row>
        <row r="23248">
          <cell r="B23248" t="str">
            <v>51040513000611</v>
          </cell>
          <cell r="C23248" t="str">
            <v>LPC INT GAN PRE EMBARQUE VEN.DUPE CPEM  4NC</v>
          </cell>
        </row>
        <row r="23249">
          <cell r="B23249" t="str">
            <v>51040513000612</v>
          </cell>
          <cell r="C23249" t="str">
            <v>LPC INT GAN POST EMBARQUE VEN.NORM CPEM 4NC</v>
          </cell>
        </row>
        <row r="23250">
          <cell r="B23250" t="str">
            <v>51040513000613</v>
          </cell>
          <cell r="C23250" t="str">
            <v>LPC INT GAN POST EMBARQUE VEN.DUPE CPEM 4NC</v>
          </cell>
        </row>
        <row r="23251">
          <cell r="B23251" t="str">
            <v>51040513000614</v>
          </cell>
          <cell r="C23251" t="str">
            <v>LPC INT GAN IMPORT. CARTA CREDITO  VEN.N4NC</v>
          </cell>
        </row>
        <row r="23252">
          <cell r="B23252" t="str">
            <v>51040513000615</v>
          </cell>
          <cell r="C23252" t="str">
            <v>LPC INT GAN IMPORT. CARTA CREDITO  VEN.D4NC</v>
          </cell>
        </row>
        <row r="23253">
          <cell r="B23253" t="str">
            <v>51040513000616</v>
          </cell>
          <cell r="C23253" t="str">
            <v>LPC INT GAN IMPORT.  VEN.NORM CPEM      4NC</v>
          </cell>
        </row>
        <row r="23254">
          <cell r="B23254" t="str">
            <v>51040513000617</v>
          </cell>
          <cell r="C23254" t="str">
            <v>LPC INT GAN IMPORT.  VEN.DUPE CPEM      4NC</v>
          </cell>
        </row>
        <row r="23255">
          <cell r="B23255" t="str">
            <v>51040513000701</v>
          </cell>
          <cell r="C23255" t="str">
            <v>INT VENC TC - COMERCIAL CPEM            4NC</v>
          </cell>
        </row>
        <row r="23256">
          <cell r="B23256" t="str">
            <v>51040513000702</v>
          </cell>
          <cell r="C23256" t="str">
            <v>INT VENC TC - COMERC MC CPEM            4NC</v>
          </cell>
        </row>
        <row r="23257">
          <cell r="B23257" t="str">
            <v>51040513000703</v>
          </cell>
          <cell r="C23257" t="str">
            <v>INT VENC TC - COMERC VEA CPEM           4NC</v>
          </cell>
        </row>
        <row r="23258">
          <cell r="B23258" t="str">
            <v>51040513000704</v>
          </cell>
          <cell r="C23258" t="str">
            <v>INT VENC TC - COMERCIAL AMEX CPEM       4NC</v>
          </cell>
        </row>
        <row r="23259">
          <cell r="B23259" t="str">
            <v>51040513000801</v>
          </cell>
          <cell r="C23259" t="str">
            <v>CL INT GANAD PAG DSCTO VENC CPEM        4NC</v>
          </cell>
        </row>
        <row r="23260">
          <cell r="B23260" t="str">
            <v>51040513000802</v>
          </cell>
          <cell r="C23260" t="str">
            <v>CL INT GAN PAG DSCTO D/P VENC CPEM      4NC</v>
          </cell>
        </row>
        <row r="23261">
          <cell r="B23261" t="str">
            <v>51040513000803</v>
          </cell>
          <cell r="C23261" t="str">
            <v>CL INT GAN PAG TV D/P  VENC CPEM        4NC</v>
          </cell>
        </row>
        <row r="23262">
          <cell r="B23262" t="str">
            <v>51040513000804</v>
          </cell>
          <cell r="C23262" t="str">
            <v>CL INT GAN VENC TV CPEM                 4NC</v>
          </cell>
        </row>
        <row r="23263">
          <cell r="B23263" t="str">
            <v>51040513000805</v>
          </cell>
          <cell r="C23263" t="str">
            <v>CL INT.GAN PAG.TV NEG.INMOB VEN CPEM    4NC</v>
          </cell>
        </row>
        <row r="23264">
          <cell r="B23264" t="str">
            <v>51040513000806</v>
          </cell>
          <cell r="C23264" t="str">
            <v>CL INT GAN OTROS SUSP VENC CPEM         4NC</v>
          </cell>
        </row>
        <row r="23265">
          <cell r="B23265" t="str">
            <v>51040513000807</v>
          </cell>
          <cell r="C23265" t="str">
            <v>CL INT.GAN.DEUD.VTA.CART.VEN CPEM       4NC</v>
          </cell>
        </row>
        <row r="23266">
          <cell r="B23266" t="str">
            <v>51040513000808</v>
          </cell>
          <cell r="C23266" t="str">
            <v>CL INT GANAD VENC PREST COFIDE CPEM     4NC</v>
          </cell>
        </row>
        <row r="23267">
          <cell r="B23267" t="str">
            <v>51040513000809</v>
          </cell>
          <cell r="C23267" t="str">
            <v>CL INT. GAN. VENC BK CPEM               4NC</v>
          </cell>
        </row>
        <row r="23268">
          <cell r="B23268" t="str">
            <v>51040513000810</v>
          </cell>
          <cell r="C23268" t="str">
            <v>CL INT. GAN. MORATORIO BK CCOR          4NC</v>
          </cell>
        </row>
        <row r="23269">
          <cell r="B23269" t="str">
            <v>51040513000811</v>
          </cell>
          <cell r="C23269" t="str">
            <v>CL INT GAN. VENC. AVALXACEP BKT CPEM    4NC</v>
          </cell>
        </row>
        <row r="23270">
          <cell r="B23270" t="str">
            <v>51040513000812</v>
          </cell>
          <cell r="C23270" t="str">
            <v>CL INT.GAN. VENC. BKT CPEM              4NC</v>
          </cell>
        </row>
        <row r="23271">
          <cell r="B23271" t="str">
            <v>51040513000813</v>
          </cell>
          <cell r="C23271" t="str">
            <v>CL INT GAN VENC VISTA BKT CPEM          4NC</v>
          </cell>
        </row>
        <row r="23272">
          <cell r="B23272" t="str">
            <v>51040513000814</v>
          </cell>
          <cell r="C23272" t="str">
            <v>CL INT GAN VENC STAND BY BKT CPEM       4NC</v>
          </cell>
        </row>
        <row r="23273">
          <cell r="B23273" t="str">
            <v>51040513000815</v>
          </cell>
          <cell r="C23273" t="str">
            <v>CL PRE JUD INT GAN DSCTO.PAG VEN CPEM   4NC</v>
          </cell>
        </row>
        <row r="23274">
          <cell r="B23274" t="str">
            <v>51040513000816</v>
          </cell>
          <cell r="C23274" t="str">
            <v>CL PRE JUD INT GAN DSCTO LETR VENC CPEM 4NC</v>
          </cell>
        </row>
        <row r="23275">
          <cell r="B23275" t="str">
            <v>51040513000817</v>
          </cell>
          <cell r="C23275" t="str">
            <v>CL PRE JUD INT.GAN PREST EXP VENC CPEM G4NC</v>
          </cell>
        </row>
        <row r="23276">
          <cell r="B23276" t="str">
            <v>51040513000818</v>
          </cell>
          <cell r="C23276" t="str">
            <v>CL PRE JUD INT GAN.PAG IMP VENC CPEM GL 4NC</v>
          </cell>
        </row>
        <row r="23277">
          <cell r="B23277" t="str">
            <v>51040513000819</v>
          </cell>
          <cell r="C23277" t="str">
            <v>CL PRE JUD INT.GAN RP CAP.TRAB VENC CPEM4NC</v>
          </cell>
        </row>
        <row r="23278">
          <cell r="B23278" t="str">
            <v>51040513000820</v>
          </cell>
          <cell r="C23278" t="str">
            <v>CL PRE JUD INT.GAN FACT LET VENC CPEM GL4NC</v>
          </cell>
        </row>
        <row r="23279">
          <cell r="B23279" t="str">
            <v>51040513000821</v>
          </cell>
          <cell r="C23279" t="str">
            <v>CL PRE JUD INT.GAN FACT FACT VENC CPEM G4NC</v>
          </cell>
        </row>
        <row r="23280">
          <cell r="B23280" t="str">
            <v>51040513000822</v>
          </cell>
          <cell r="C23280" t="str">
            <v>CL PRE JUD INT.GAN C.CREDITO CPEM       4NC</v>
          </cell>
        </row>
        <row r="23281">
          <cell r="B23281" t="str">
            <v>51040513000823</v>
          </cell>
          <cell r="C23281" t="str">
            <v>CL PRE JUD INT.GAN CART FIANZ VENC CPEM 4NC</v>
          </cell>
        </row>
        <row r="23282">
          <cell r="B23282" t="str">
            <v>51040513000824</v>
          </cell>
          <cell r="C23282" t="str">
            <v>CL PRE JUD GAN P TV MED PLZ C/FIJ CPEM  4NC</v>
          </cell>
        </row>
        <row r="23283">
          <cell r="B23283" t="str">
            <v>51040513000825</v>
          </cell>
          <cell r="C23283" t="str">
            <v>CL PRE JUD MYP COMP AF INMUEB CPEM      4NC</v>
          </cell>
        </row>
        <row r="23284">
          <cell r="B23284" t="str">
            <v>51040513000826</v>
          </cell>
          <cell r="C23284" t="str">
            <v>CL CJ MYP COMP AF INT GAN NRV CPEM      4NC</v>
          </cell>
        </row>
        <row r="23285">
          <cell r="B23285" t="str">
            <v>51040513000827</v>
          </cell>
          <cell r="C23285" t="str">
            <v>CL PRE JUDIC MYP CRED ESTAC GANAD CPEM  4NC</v>
          </cell>
        </row>
        <row r="23286">
          <cell r="B23286" t="str">
            <v>51040513000828</v>
          </cell>
          <cell r="C23286" t="str">
            <v>CL CJ MYP AF CYBERPL GAND NRV CMED      4NC</v>
          </cell>
        </row>
        <row r="23287">
          <cell r="B23287" t="str">
            <v>51040513000829</v>
          </cell>
          <cell r="C23287" t="str">
            <v>CL PRE JUD INT GAN TC CONS-COM VENC CPEM4NC</v>
          </cell>
        </row>
        <row r="23288">
          <cell r="B23288" t="str">
            <v>51040513000830</v>
          </cell>
          <cell r="C23288" t="str">
            <v>CL PRE JUD INT GAN TC AMEX PJ VENC CPEM 4NC</v>
          </cell>
        </row>
        <row r="23289">
          <cell r="B23289" t="str">
            <v>51040513000831</v>
          </cell>
          <cell r="C23289" t="str">
            <v>CL PRE JUD INT.GAN TC MASTER PJ VENC CPE4NC</v>
          </cell>
        </row>
        <row r="23290">
          <cell r="B23290" t="str">
            <v>51040513000832</v>
          </cell>
          <cell r="C23290" t="str">
            <v>CL PRE JUD INT GAN RFA SUBOR VENC CPEM  4NC</v>
          </cell>
        </row>
        <row r="23291">
          <cell r="B23291" t="str">
            <v>51040513000833</v>
          </cell>
          <cell r="C23291" t="str">
            <v>CL PRE JUD INT GAN RFA FINANC VENC CPEM 4NC</v>
          </cell>
        </row>
        <row r="23292">
          <cell r="B23292" t="str">
            <v>51040513000834</v>
          </cell>
          <cell r="C23292" t="str">
            <v>CL PRE JUD INT GAN PAG.REC.COFID VENC CP4NC</v>
          </cell>
        </row>
        <row r="23293">
          <cell r="B23293" t="str">
            <v>51040513000835</v>
          </cell>
          <cell r="C23293" t="str">
            <v>CL PRE JUD INT.GAN SOBR CCTE. PJ VENC CP4NC</v>
          </cell>
        </row>
        <row r="23294">
          <cell r="B23294" t="str">
            <v>51040513000836</v>
          </cell>
          <cell r="C23294" t="str">
            <v>CL INTERES MORATORIO CPEM               4NC</v>
          </cell>
        </row>
        <row r="23295">
          <cell r="B23295" t="str">
            <v>51040513000837</v>
          </cell>
          <cell r="C23295" t="str">
            <v>CL EX FORFAITING INT.GAN.VEN CPEM       4NC</v>
          </cell>
        </row>
        <row r="23296">
          <cell r="B23296" t="str">
            <v>51040513000838</v>
          </cell>
          <cell r="C23296" t="str">
            <v>CL EX INT.  MORATORIO CPEM              4NC</v>
          </cell>
        </row>
        <row r="23297">
          <cell r="B23297" t="str">
            <v>51040513000839</v>
          </cell>
          <cell r="C23297" t="str">
            <v>CL INT GAN.VEN. EX PRE EMB D/P CPEM     4NC</v>
          </cell>
        </row>
        <row r="23298">
          <cell r="B23298" t="str">
            <v>51040513000840</v>
          </cell>
          <cell r="C23298" t="str">
            <v>CL INT.GAN.POST. EX EMBAR. D/P. VEN. CCO4NC</v>
          </cell>
        </row>
        <row r="23299">
          <cell r="B23299" t="str">
            <v>51040513000841</v>
          </cell>
          <cell r="C23299" t="str">
            <v>CL EX INT VEN PAG.IMPORTAC.D/P CPEM     4NC</v>
          </cell>
        </row>
        <row r="23300">
          <cell r="B23300" t="str">
            <v>51040513000842</v>
          </cell>
          <cell r="C23300" t="str">
            <v>CL CL INT. MORATORIO CPEM               4NC</v>
          </cell>
        </row>
        <row r="23301">
          <cell r="B23301" t="str">
            <v>51040513000843</v>
          </cell>
          <cell r="C23301" t="str">
            <v>CL BK INT. MORATORIO CPEM               4NC</v>
          </cell>
        </row>
        <row r="23302">
          <cell r="B23302" t="str">
            <v>51040513000844</v>
          </cell>
          <cell r="C23302" t="str">
            <v>CL CJ INT. MORATORIO CPEM               4NC</v>
          </cell>
        </row>
        <row r="23303">
          <cell r="B23303" t="str">
            <v>51040513000845</v>
          </cell>
          <cell r="C23303" t="str">
            <v>CL INT GAN VENC COB AVAL BKT CPEM       4NC</v>
          </cell>
        </row>
        <row r="23304">
          <cell r="B23304" t="str">
            <v>51040513000846</v>
          </cell>
          <cell r="C23304" t="str">
            <v>CL EX FACTORING FORFAITING INT.GAN.VEN C4NC</v>
          </cell>
        </row>
        <row r="23305">
          <cell r="B23305" t="str">
            <v>51040513000847</v>
          </cell>
          <cell r="C23305" t="str">
            <v>CL  CONFIRMING INTER INT.GAN.VEN CPEM   4NC</v>
          </cell>
        </row>
        <row r="23306">
          <cell r="B23306" t="str">
            <v>51040513000848</v>
          </cell>
          <cell r="C23306" t="str">
            <v>CL CJ MYP CAP TRAB PRE JUD INT GAN CPEM 4NC</v>
          </cell>
        </row>
        <row r="23307">
          <cell r="B23307" t="str">
            <v>51040513000849</v>
          </cell>
          <cell r="C23307" t="str">
            <v>CL COB.PRE-JUD.LEASING PJ INT.GAN CPEM  4NC</v>
          </cell>
        </row>
        <row r="23308">
          <cell r="B23308" t="str">
            <v>51040513000850</v>
          </cell>
          <cell r="C23308" t="str">
            <v>CL MYP PRE-JUD.C.TRAB.INT.GAN.REV.CPEM  4NC</v>
          </cell>
        </row>
        <row r="23309">
          <cell r="B23309" t="str">
            <v>51040513000851</v>
          </cell>
          <cell r="C23309" t="str">
            <v>CL PRE JUD INT GAN TC MASTER PN VENC CPE4NC</v>
          </cell>
        </row>
        <row r="23310">
          <cell r="B23310" t="str">
            <v>51040513000852</v>
          </cell>
          <cell r="C23310" t="str">
            <v>CL INT.GAN.VEN.CRED.POR LIQ. CARTA FIANZ4NC</v>
          </cell>
        </row>
        <row r="23311">
          <cell r="B23311" t="str">
            <v>51040513000901</v>
          </cell>
          <cell r="C23311" t="str">
            <v>PR  INT GAN VC LETRAS DSCTO  CPEM       4NC</v>
          </cell>
        </row>
        <row r="23312">
          <cell r="B23312" t="str">
            <v>51040513000902</v>
          </cell>
          <cell r="C23312" t="str">
            <v>PR DSCTO ELECTR SM PERU I.VEN CMED      4NC</v>
          </cell>
        </row>
        <row r="23313">
          <cell r="B23313" t="str">
            <v>51040513000903</v>
          </cell>
          <cell r="C23313" t="str">
            <v>PR INT GAN VENC LETRAS FACTORING CPEM   4NC</v>
          </cell>
        </row>
        <row r="23314">
          <cell r="B23314" t="str">
            <v>51040513000904</v>
          </cell>
          <cell r="C23314" t="str">
            <v>PR INT GAN VENC FACT FACTORING CPEM     4NC</v>
          </cell>
        </row>
        <row r="23315">
          <cell r="B23315" t="str">
            <v>51040513000905</v>
          </cell>
          <cell r="C23315" t="str">
            <v>PR FACT ELECTR LET/FACT INT.VEN CPEM    4NC</v>
          </cell>
        </row>
        <row r="23316">
          <cell r="B23316" t="str">
            <v>51040513000906</v>
          </cell>
          <cell r="C23316" t="str">
            <v>PR FACTORING INTER. INT VENC CPEM       4NC</v>
          </cell>
        </row>
        <row r="23317">
          <cell r="B23317" t="str">
            <v>51040513000907</v>
          </cell>
          <cell r="C23317" t="str">
            <v>PR PERU FACTORING INT.VEN CPEM          4NC</v>
          </cell>
        </row>
        <row r="23318">
          <cell r="B23318" t="str">
            <v>51040513000908</v>
          </cell>
          <cell r="C23318" t="str">
            <v>PR FORFAITING EXPORTACIÃ“N INT GANA VENC4NC</v>
          </cell>
        </row>
        <row r="23319">
          <cell r="B23319" t="str">
            <v>51040513000909</v>
          </cell>
          <cell r="C23319" t="str">
            <v>FACT INTER IMPORT  VENC. CPEM DUPE      4NC</v>
          </cell>
        </row>
        <row r="23320">
          <cell r="B23320" t="str">
            <v>51040513000910</v>
          </cell>
          <cell r="C23320" t="str">
            <v>FACT INTER IMPORT   VENC. CPEM NORMAL   4NC</v>
          </cell>
        </row>
        <row r="23321">
          <cell r="B23321" t="str">
            <v>51040513001101</v>
          </cell>
          <cell r="C23321" t="str">
            <v>LPC INT VEN LEASING BIEN RP CPEM        4NC</v>
          </cell>
        </row>
        <row r="23322">
          <cell r="B23322" t="str">
            <v>51040513001102</v>
          </cell>
          <cell r="C23322" t="str">
            <v>LPC INT VEN LEAS SEG RP CPEM            4NC</v>
          </cell>
        </row>
        <row r="23323">
          <cell r="B23323" t="str">
            <v>51040513001201</v>
          </cell>
          <cell r="C23323" t="str">
            <v>LPC INT VEN LEAS BIEN D/P RP CPEM       4NC</v>
          </cell>
        </row>
        <row r="23324">
          <cell r="B23324" t="str">
            <v>51040513001202</v>
          </cell>
          <cell r="C23324" t="str">
            <v>LPC INT VEN LEAS SEG D/P RP CPEM        4NC</v>
          </cell>
        </row>
        <row r="23325">
          <cell r="B23325" t="str">
            <v>51040513001301</v>
          </cell>
          <cell r="C23325" t="str">
            <v>LPC INT VEN LEASEBACK BIEN RP CPEM      4NC</v>
          </cell>
        </row>
        <row r="23326">
          <cell r="B23326" t="str">
            <v>51040513001302</v>
          </cell>
          <cell r="C23326" t="str">
            <v>LPC INT VEN LEASEBACK SEG RP CPEM       4NC</v>
          </cell>
        </row>
        <row r="23327">
          <cell r="B23327" t="str">
            <v>51040513001303</v>
          </cell>
          <cell r="C23327" t="str">
            <v>LPC INT VEN LSBACK BIEN D/P RP CPEM     4NC</v>
          </cell>
        </row>
        <row r="23328">
          <cell r="B23328" t="str">
            <v>51040513001304</v>
          </cell>
          <cell r="C23328" t="str">
            <v>LPC INT VEN LSBACK SEG D/P RP CPEM      4NC</v>
          </cell>
        </row>
        <row r="23329">
          <cell r="B23329" t="str">
            <v>51040513001305</v>
          </cell>
          <cell r="C23329" t="str">
            <v>LPC INT VEN LS  BIEN OTROS SUSP RP CPEM 4NC</v>
          </cell>
        </row>
        <row r="23330">
          <cell r="B23330" t="str">
            <v>51040513001306</v>
          </cell>
          <cell r="C23330" t="str">
            <v>LPC INT VEN LS SEG OTROS SUSP RP CPEM   4NC</v>
          </cell>
        </row>
        <row r="23331">
          <cell r="B23331" t="str">
            <v>51040513001307</v>
          </cell>
          <cell r="C23331" t="str">
            <v>LPC INT VEN LSB  BIEN OTROS SUSP CPEM   4NC</v>
          </cell>
        </row>
        <row r="23332">
          <cell r="B23332" t="str">
            <v>51040513001308</v>
          </cell>
          <cell r="C23332" t="str">
            <v>LPC INT VEN LSB SEG OTROS SUSP CPEM     4NC</v>
          </cell>
        </row>
        <row r="23333">
          <cell r="B23333" t="str">
            <v>51040513001401</v>
          </cell>
          <cell r="C23333" t="str">
            <v>LPC GAN VEN LSG BIEN ADJ. RP CPEM       4NC</v>
          </cell>
        </row>
        <row r="23334">
          <cell r="B23334" t="str">
            <v>51040513001402</v>
          </cell>
          <cell r="C23334" t="str">
            <v>LPC INT VEN LSG SEG. ADJ. RP CPEM       4NC</v>
          </cell>
        </row>
        <row r="23335">
          <cell r="B23335" t="str">
            <v>51040513001403</v>
          </cell>
          <cell r="C23335" t="str">
            <v>LPC GAN VEN LSG BIEN ADJ. D/P CPEM      4NC</v>
          </cell>
        </row>
        <row r="23336">
          <cell r="B23336" t="str">
            <v>51040513001404</v>
          </cell>
          <cell r="C23336" t="str">
            <v>LPC SEG VEN .LSG ADJ. CPEM V-S          4NC</v>
          </cell>
        </row>
        <row r="23337">
          <cell r="B23337" t="str">
            <v>51040513001405</v>
          </cell>
          <cell r="C23337" t="str">
            <v>LPC INT VEN LEAS REESTR BIEN RP CPEM    4NC</v>
          </cell>
        </row>
        <row r="23338">
          <cell r="B23338" t="str">
            <v>51040513001406</v>
          </cell>
          <cell r="C23338" t="str">
            <v>LPC INT VEN LEAS REESTR SEG RP CPEM     4NC</v>
          </cell>
        </row>
        <row r="23339">
          <cell r="B23339" t="str">
            <v>51040513001407</v>
          </cell>
          <cell r="C23339" t="str">
            <v>LPC INT VEN LEAS REF BIEN RP CPEM       4NC</v>
          </cell>
        </row>
        <row r="23340">
          <cell r="B23340" t="str">
            <v>51040513001408</v>
          </cell>
          <cell r="C23340" t="str">
            <v>LPC INT VEN LEAS REF SEG RP CPEM        4NC</v>
          </cell>
        </row>
        <row r="23341">
          <cell r="B23341" t="str">
            <v>51040513001508</v>
          </cell>
          <cell r="C23341" t="str">
            <v>LPC IDL MYP INT GAN LEASING CPEM        4NC</v>
          </cell>
        </row>
        <row r="23342">
          <cell r="B23342" t="str">
            <v>51040513001608</v>
          </cell>
          <cell r="C23342" t="str">
            <v>LPC IDS MYP INT GAN LEASING CPEM        4NC</v>
          </cell>
        </row>
        <row r="23343">
          <cell r="B23343" t="str">
            <v>51040513001609</v>
          </cell>
          <cell r="C23343" t="str">
            <v>LPC IDL MYP INT GAN LEASING D/P CPEM    4NC</v>
          </cell>
        </row>
        <row r="23344">
          <cell r="B23344" t="str">
            <v>51040513001610</v>
          </cell>
          <cell r="C23344" t="str">
            <v>LPC IDS MYP INT GAN LEASING D/P CPEM    4NC</v>
          </cell>
        </row>
        <row r="23345">
          <cell r="B23345" t="str">
            <v>51040513001701</v>
          </cell>
          <cell r="C23345" t="str">
            <v>FCD INT MORATORIO CPEM                  4NC</v>
          </cell>
        </row>
        <row r="23346">
          <cell r="B23346" t="str">
            <v>51040513001702</v>
          </cell>
          <cell r="C23346" t="str">
            <v>FCD INT. GAN DSCTO ELECTR VENC DUD CPEM 4NC</v>
          </cell>
        </row>
        <row r="23347">
          <cell r="B23347" t="str">
            <v>51040513001703</v>
          </cell>
          <cell r="C23347" t="str">
            <v>FCD INT. GAN FACT ELECTR VIG DUD CPEM   4NC</v>
          </cell>
        </row>
        <row r="23348">
          <cell r="B23348" t="str">
            <v>51040513001704</v>
          </cell>
          <cell r="C23348" t="str">
            <v>FCD FACT INTER EXPO. INT VENC NORM CPEM 4NC</v>
          </cell>
        </row>
        <row r="23349">
          <cell r="B23349" t="str">
            <v>51040513001705</v>
          </cell>
          <cell r="C23349" t="str">
            <v>FCD FORFAITING EXPORTACIÃ“N INT GANA VEN4NC</v>
          </cell>
        </row>
        <row r="23350">
          <cell r="B23350" t="str">
            <v>51040513001706</v>
          </cell>
          <cell r="C23350" t="str">
            <v>FCD FACT INTER EXPO. INT VENC DUPE CPEM 4NC</v>
          </cell>
        </row>
        <row r="23351">
          <cell r="B23351" t="str">
            <v>51040513001707</v>
          </cell>
          <cell r="C23351" t="str">
            <v>FCD FORFAITING EXPORTACIÃ“N INT GANA VEN4NC</v>
          </cell>
        </row>
        <row r="23352">
          <cell r="B23352" t="str">
            <v>51040513001708</v>
          </cell>
          <cell r="C23352" t="str">
            <v>FCD CONFIRMING INTERNACIONAL. INT VENC N4NC</v>
          </cell>
        </row>
        <row r="23353">
          <cell r="B23353" t="str">
            <v>51040513001709</v>
          </cell>
          <cell r="C23353" t="str">
            <v>FCD CONFIRMING INTERNACIONAL. INT VENC D4NC</v>
          </cell>
        </row>
        <row r="23354">
          <cell r="B23354" t="str">
            <v>51040513001710</v>
          </cell>
          <cell r="C23354" t="str">
            <v>FCD DESC. LET. I. VENC. CPEM DUPE       4NC</v>
          </cell>
        </row>
        <row r="23355">
          <cell r="B23355" t="str">
            <v>51040513001711</v>
          </cell>
          <cell r="C23355" t="str">
            <v>FCD DESC. FACT. I. VENC. CPEM DUPE      4NC</v>
          </cell>
        </row>
        <row r="23356">
          <cell r="B23356" t="str">
            <v>51040513001712</v>
          </cell>
          <cell r="C23356" t="str">
            <v>FCD DESC. VIRTUAL I. VENC. CPEM DUPE    4NC</v>
          </cell>
        </row>
        <row r="23357">
          <cell r="B23357" t="str">
            <v>51040513001713</v>
          </cell>
          <cell r="C23357" t="str">
            <v>FCD DESC. FACT. NEG. I. VENC. CPEM DUPE 4NC</v>
          </cell>
        </row>
        <row r="23358">
          <cell r="B23358" t="str">
            <v>51040513001714</v>
          </cell>
          <cell r="C23358" t="str">
            <v>FCD fAC. FIS. LET. I. VENC. CPEM DUPE   4NC</v>
          </cell>
        </row>
        <row r="23359">
          <cell r="B23359" t="str">
            <v>51040513001715</v>
          </cell>
          <cell r="C23359" t="str">
            <v>FCD FAC. FIS. fAC.. I. VENC. CPEM DUPE  4NC</v>
          </cell>
        </row>
        <row r="23360">
          <cell r="B23360" t="str">
            <v>51040513001716</v>
          </cell>
          <cell r="C23360" t="str">
            <v>FCD DESC. VIRTUAL I. VENC. CPEM NORMAL  4NC</v>
          </cell>
        </row>
        <row r="23361">
          <cell r="B23361" t="str">
            <v>51040513001801</v>
          </cell>
          <cell r="C23361" t="str">
            <v>TC INT VENCIDO AMEX CPEM                4NC</v>
          </cell>
        </row>
        <row r="23362">
          <cell r="B23362" t="str">
            <v>51040513001802</v>
          </cell>
          <cell r="C23362" t="str">
            <v>TC INT VENCIDO MC CPEM                  4NC</v>
          </cell>
        </row>
        <row r="23363">
          <cell r="B23363" t="str">
            <v>51040513001803</v>
          </cell>
          <cell r="C23363" t="str">
            <v>TC INT VENCIDO VISA CPEM                4NC</v>
          </cell>
        </row>
        <row r="23364">
          <cell r="B23364" t="str">
            <v>51040513001804</v>
          </cell>
          <cell r="C23364" t="str">
            <v>TC INT VENCIDO VISA MEGAPLAZA CPEM      4NC</v>
          </cell>
        </row>
        <row r="23365">
          <cell r="B23365" t="str">
            <v>51040513001805</v>
          </cell>
          <cell r="C23365" t="str">
            <v>TC INT VENCIDO VISA VEA CPEM            4NC</v>
          </cell>
        </row>
        <row r="23366">
          <cell r="B23366" t="str">
            <v>51040513001901</v>
          </cell>
          <cell r="C23366" t="str">
            <v>LPC INT VEN LEASING COFIDE IDL CPEM     4NC</v>
          </cell>
        </row>
        <row r="23367">
          <cell r="B23367" t="str">
            <v>51040513001902</v>
          </cell>
          <cell r="C23367" t="str">
            <v>LPC INT VEN LS COFIDE SEG IDS CPEM      4NC</v>
          </cell>
        </row>
        <row r="23368">
          <cell r="B23368" t="str">
            <v>51040513001903</v>
          </cell>
          <cell r="C23368" t="str">
            <v>LPC INT VEN LS COFIDE D/P IDL CPEM      4NC</v>
          </cell>
        </row>
        <row r="23369">
          <cell r="B23369" t="str">
            <v>51040513001904</v>
          </cell>
          <cell r="C23369" t="str">
            <v>LPC INT VEN LS COFIDE SEG D/P IDS CPEM  4NC</v>
          </cell>
        </row>
        <row r="23370">
          <cell r="B23370" t="str">
            <v>51040513005104</v>
          </cell>
          <cell r="C23370" t="str">
            <v>PR INT GANA VEN LETRAS T. DSCTOÂ  CPEM  4NC</v>
          </cell>
        </row>
        <row r="23371">
          <cell r="B23371" t="str">
            <v>51040513005106</v>
          </cell>
          <cell r="C23371" t="str">
            <v>LPC INT MORATORIO CPEM                  4NC</v>
          </cell>
        </row>
        <row r="23372">
          <cell r="B23372" t="str">
            <v>51040513005107</v>
          </cell>
          <cell r="C23372" t="str">
            <v>MYP CODIFE FONDO CRECER VEN CPEM\DUPE   4NC</v>
          </cell>
        </row>
        <row r="23373">
          <cell r="B23373" t="str">
            <v>51040513005108</v>
          </cell>
          <cell r="C23373" t="str">
            <v>MYP CODIFE FONDO CRECER VEN CPEM\NORM   4NC</v>
          </cell>
        </row>
        <row r="23374">
          <cell r="B23374" t="str">
            <v>51040513005109</v>
          </cell>
          <cell r="C23374" t="str">
            <v>MYP CODIFE REACTIVA PERU VEN CPEM\DUPE  4NC</v>
          </cell>
        </row>
        <row r="23375">
          <cell r="B23375" t="str">
            <v>51040513005110</v>
          </cell>
          <cell r="C23375" t="str">
            <v>MYP CODIFE REACTIVA PERU VEN CPEM\NORM  4NC</v>
          </cell>
        </row>
        <row r="23376">
          <cell r="B23376" t="str">
            <v>51040513005119</v>
          </cell>
          <cell r="C23376" t="str">
            <v>LPC REACTIVA PERU VEN CPEM\NORM         4NC</v>
          </cell>
        </row>
        <row r="23377">
          <cell r="B23377" t="str">
            <v>51040513005120</v>
          </cell>
          <cell r="C23377" t="str">
            <v>LPC REACTIVA PERU VEN CPEM\DUPE         4NC</v>
          </cell>
        </row>
        <row r="23378">
          <cell r="B23378" t="str">
            <v>51040513005121</v>
          </cell>
          <cell r="C23378" t="str">
            <v>LPC COFIDE FONDOS PERU VEN CPEM\NORM    4NC</v>
          </cell>
        </row>
        <row r="23379">
          <cell r="B23379" t="str">
            <v>51040513005122</v>
          </cell>
          <cell r="C23379" t="str">
            <v>LPC COFIDE FONDOS PERU VEN CPEM\DUPE    4NC</v>
          </cell>
        </row>
        <row r="23380">
          <cell r="B23380" t="str">
            <v>51040513005123</v>
          </cell>
          <cell r="C23380" t="str">
            <v>LPC COFIDE FONDO CRECER VEN CPEM\NORM   4NC</v>
          </cell>
        </row>
        <row r="23381">
          <cell r="B23381" t="str">
            <v>51040513005124</v>
          </cell>
          <cell r="C23381" t="str">
            <v>LPC COFIDE FONDO CRECER VEN CPEM\DUPE   4NC</v>
          </cell>
        </row>
        <row r="23382">
          <cell r="B23382" t="str">
            <v>51040513005125</v>
          </cell>
          <cell r="C23382" t="str">
            <v>LPC REACTIVA PERU VEN CPEM\NORM         4NC</v>
          </cell>
        </row>
        <row r="23383">
          <cell r="B23383" t="str">
            <v>51040513005126</v>
          </cell>
          <cell r="C23383" t="str">
            <v>LPC REACTIVA PERU VEN CPEM\DUPE         4NC</v>
          </cell>
        </row>
        <row r="23384">
          <cell r="B23384" t="str">
            <v>51040513005127</v>
          </cell>
          <cell r="C23384" t="str">
            <v>LPC PAG.INMOB. REPROG-SUSPENSO VEN CPEM 4NC</v>
          </cell>
        </row>
        <row r="23385">
          <cell r="B23385" t="str">
            <v>51040513005128</v>
          </cell>
          <cell r="C23385" t="str">
            <v>JCC PRE JUD INT.GAN REACTIVA PERU VENC C4NC</v>
          </cell>
        </row>
        <row r="23386">
          <cell r="B23386" t="str">
            <v>51040513005129</v>
          </cell>
          <cell r="C23386" t="str">
            <v>LPC PAG.INMOB. REPROG-SUSPENSO VEN CPEM 4NC</v>
          </cell>
        </row>
        <row r="23387">
          <cell r="B23387" t="str">
            <v>51040513005130</v>
          </cell>
          <cell r="C23387" t="str">
            <v>LPC INT MORATORIO CPEM                  4 C</v>
          </cell>
        </row>
        <row r="23388">
          <cell r="B23388" t="str">
            <v>51040513005131</v>
          </cell>
          <cell r="C23388" t="str">
            <v>LPC INT MORATORIO REACTIVA CPEM         4 C</v>
          </cell>
        </row>
        <row r="23389">
          <cell r="B23389" t="str">
            <v>51040513005132</v>
          </cell>
          <cell r="C23389" t="str">
            <v>LPC INT MORATORIO REACTIVA REPROG CPEM  4 C</v>
          </cell>
        </row>
        <row r="23390">
          <cell r="B23390" t="str">
            <v>51040513005133</v>
          </cell>
          <cell r="C23390" t="str">
            <v>MYP CODIFE REACTIVA REPRO PERU VEN CPEM 4 C</v>
          </cell>
        </row>
        <row r="23391">
          <cell r="B23391" t="str">
            <v>51040513005134</v>
          </cell>
          <cell r="C23391" t="str">
            <v>JCC PRE JUD INT.GAN REACTIVA PERU VENC C4 C</v>
          </cell>
        </row>
        <row r="23392">
          <cell r="B23392" t="str">
            <v>51040513005135</v>
          </cell>
          <cell r="C23392" t="str">
            <v>JCC PRE JUD INT.GAN FONDO CRECER VENC CP4 C</v>
          </cell>
        </row>
        <row r="23393">
          <cell r="B23393" t="str">
            <v>51040513005136</v>
          </cell>
          <cell r="C23393" t="str">
            <v>JCC PRE JUD INT.GAN FONDO CRECER VENC CP4 C</v>
          </cell>
        </row>
        <row r="23394">
          <cell r="B23394" t="str">
            <v>51040513005137</v>
          </cell>
          <cell r="C23394" t="str">
            <v>JCC PREJUD INT.GAN REACT PRE-HONRAMIENTO4 C</v>
          </cell>
        </row>
        <row r="23395">
          <cell r="B23395" t="str">
            <v>51040513005138</v>
          </cell>
          <cell r="C23395" t="str">
            <v>JCC PREJUD INT.GAN REACT PRE-HONRAMIENTO4 C</v>
          </cell>
        </row>
        <row r="23396">
          <cell r="B23396" t="str">
            <v>51040513005139</v>
          </cell>
          <cell r="C23396" t="str">
            <v>FCD FACTORING INT MORATORIO CPEM        4 C</v>
          </cell>
        </row>
        <row r="23397">
          <cell r="B23397" t="str">
            <v>51040513005140</v>
          </cell>
          <cell r="C23397" t="str">
            <v>LPC PAGARE COMEX INT MORATORIO CPEM     4 C</v>
          </cell>
        </row>
        <row r="23398">
          <cell r="B23398" t="str">
            <v>51040513005141</v>
          </cell>
          <cell r="C23398" t="str">
            <v>LPC INT GAN PAG TV REF CPEM             4 C</v>
          </cell>
        </row>
        <row r="23399">
          <cell r="B23399" t="str">
            <v>51040513005142</v>
          </cell>
          <cell r="C23399" t="str">
            <v>LPC REFINANCIADO REACTIVA CPEM VEN      4 C</v>
          </cell>
        </row>
        <row r="23400">
          <cell r="B23400" t="str">
            <v>51040513005143</v>
          </cell>
          <cell r="C23400" t="str">
            <v>LPC REPROG REACTIVA DIFE CPEM VEN       4 C</v>
          </cell>
        </row>
        <row r="23401">
          <cell r="B23401" t="str">
            <v>51040513005144</v>
          </cell>
          <cell r="C23401" t="str">
            <v>LPC PRE EMBARQUE FONDOS CRECER CPEM VEN\4NC</v>
          </cell>
        </row>
        <row r="23402">
          <cell r="B23402" t="str">
            <v>51040513005145</v>
          </cell>
          <cell r="C23402" t="str">
            <v>LPC PRE EMBARQUE FONDOS CRECER CPEM VEN\4NC</v>
          </cell>
        </row>
        <row r="23403">
          <cell r="B23403" t="str">
            <v>51040513005146</v>
          </cell>
          <cell r="C23403" t="str">
            <v>LPC PRE EMBARQUE FONDOS CRECER CPEM INT 4NC</v>
          </cell>
        </row>
        <row r="23404">
          <cell r="B23404" t="str">
            <v>51040513005147</v>
          </cell>
          <cell r="C23404" t="str">
            <v>LPC REPROG REACTIVA DS.011-2022 CPEM NOR4 C</v>
          </cell>
        </row>
        <row r="23405">
          <cell r="B23405" t="str">
            <v>51040513005148</v>
          </cell>
          <cell r="C23405" t="str">
            <v>LPC REPROG REACTIVA DS.011-2022 CPEM DUP4 C</v>
          </cell>
        </row>
        <row r="23406">
          <cell r="B23406" t="str">
            <v>51040513005149</v>
          </cell>
          <cell r="C23406" t="str">
            <v>LPC REPROG REACTIVA DS.011-2022 CPEM    4 C</v>
          </cell>
        </row>
        <row r="23407">
          <cell r="B23407" t="str">
            <v>51040513005150</v>
          </cell>
          <cell r="C23407" t="str">
            <v>MYP REPROG REACTIVA DS.011-2022 CPEM NOR4 C</v>
          </cell>
        </row>
        <row r="23408">
          <cell r="B23408" t="str">
            <v>51040513005151</v>
          </cell>
          <cell r="C23408" t="str">
            <v>MYP REPROG REACTIVA DS.011-2022 CPEM DUP4 C</v>
          </cell>
        </row>
        <row r="23409">
          <cell r="B23409" t="str">
            <v>51040513005156</v>
          </cell>
          <cell r="C23409" t="str">
            <v>MYP REFINANCIADO CIMA ING.GAN CPEM VEN  4 C</v>
          </cell>
        </row>
        <row r="23410">
          <cell r="B23410" t="str">
            <v>51040513005163</v>
          </cell>
          <cell r="C23410" t="str">
            <v>MYP INT.GAN. CAP_TRAB_CIMA CPEM VEN NORM4 C</v>
          </cell>
        </row>
        <row r="23411">
          <cell r="B23411" t="str">
            <v>51040513005164</v>
          </cell>
          <cell r="C23411" t="str">
            <v>MYP INT.GAN. CAP_TRAB_CIMA CPEM VEN DUPE4 C</v>
          </cell>
        </row>
        <row r="23412">
          <cell r="B23412" t="str">
            <v>51040513005165</v>
          </cell>
          <cell r="C23412" t="str">
            <v>MYP REPROGRAMADO CIMA CMIE VEN DUPE     4 C</v>
          </cell>
        </row>
        <row r="23413">
          <cell r="B23413" t="str">
            <v>51040513005166</v>
          </cell>
          <cell r="C23413" t="str">
            <v>MYP REPROGRAMADO CIMA CPEM VEN DUPE     4 C</v>
          </cell>
        </row>
        <row r="23414">
          <cell r="B23414" t="str">
            <v>51040513005167</v>
          </cell>
          <cell r="C23414" t="str">
            <v>MYP REACTIVA REPROG 2023 CPEM DUPE VEN  4 C</v>
          </cell>
        </row>
        <row r="23415">
          <cell r="B23415" t="str">
            <v>51040513005168</v>
          </cell>
          <cell r="C23415" t="str">
            <v>MYP REACTIVA REPROG 2023 CPEM NORM VEN  4 C</v>
          </cell>
        </row>
        <row r="23416">
          <cell r="B23416" t="str">
            <v>51040513005169</v>
          </cell>
          <cell r="C23416" t="str">
            <v>LPC REPROG REACTIVA 2023 VEN CPEM NORM  4 C</v>
          </cell>
        </row>
        <row r="23417">
          <cell r="B23417" t="str">
            <v>51040513005170</v>
          </cell>
          <cell r="C23417" t="str">
            <v>LPC REPROG REACTIVA 2023 VEN CPEM DUPE  4 C</v>
          </cell>
        </row>
        <row r="23418">
          <cell r="B23418" t="str">
            <v>51040513005171</v>
          </cell>
          <cell r="C23418" t="str">
            <v>LPC REPROG REACTIVA 2023 INT MORA CPEM  4 C</v>
          </cell>
        </row>
        <row r="23419">
          <cell r="B23419" t="str">
            <v>51040513005172</v>
          </cell>
          <cell r="C23419" t="str">
            <v>MYP CAP. TRAB - PAGARE DIGITAL_CPEM NORM4 C</v>
          </cell>
        </row>
        <row r="23420">
          <cell r="B23420" t="str">
            <v>51040513005173</v>
          </cell>
          <cell r="C23420" t="str">
            <v>MYP CAP. TRAB - PAGARE DIGITAL_CPEM DUPE4 C</v>
          </cell>
        </row>
        <row r="23421">
          <cell r="B23421" t="str">
            <v>51040513005174</v>
          </cell>
          <cell r="C23421" t="str">
            <v>JCC PRE.JUD INT GAN REACT PRE-HONRAM REP4 C</v>
          </cell>
        </row>
        <row r="23422">
          <cell r="B23422" t="str">
            <v>51040513005175</v>
          </cell>
          <cell r="C23422" t="str">
            <v>JCC PRE.JUD INT GAN REACT PRE-HONRAM REP4 C</v>
          </cell>
        </row>
        <row r="23423">
          <cell r="B23423" t="str">
            <v>51040513005176</v>
          </cell>
          <cell r="C23423" t="str">
            <v>JCC PRE.JUD INT GAN REACT PRE-HONRAM REP4 C</v>
          </cell>
        </row>
        <row r="23424">
          <cell r="B23424" t="str">
            <v>51040513005177</v>
          </cell>
          <cell r="C23424" t="str">
            <v>JCC PRE.JUD INT GAN REACT PRE-HONRAM REP4 C</v>
          </cell>
        </row>
        <row r="23425">
          <cell r="B23425" t="str">
            <v>51040513005178</v>
          </cell>
          <cell r="C23425" t="str">
            <v>JCC PRE.JUD INT GAN REACT PRE-HONRAM REP4 C</v>
          </cell>
        </row>
        <row r="23426">
          <cell r="B23426" t="str">
            <v>51040513005179</v>
          </cell>
          <cell r="C23426" t="str">
            <v>JCC PRE.JUD INT GAN REACT PRE-HONRAM REP4 C</v>
          </cell>
        </row>
        <row r="23427">
          <cell r="B23427" t="str">
            <v>51040513005180</v>
          </cell>
          <cell r="C23427" t="str">
            <v>JCC PRE.JUD INT GAN CRECER PRE-HONRAMIEN4 C</v>
          </cell>
        </row>
        <row r="23428">
          <cell r="B23428" t="str">
            <v>51040513005181</v>
          </cell>
          <cell r="C23428" t="str">
            <v>JCC PRE.JUD INT GAN CRECER PRE-HONRAMIEN4 C</v>
          </cell>
        </row>
        <row r="23429">
          <cell r="B23429" t="str">
            <v>51040513005182</v>
          </cell>
          <cell r="C23429" t="str">
            <v>JCC PRE.JUD INT GAN REACT PRE-HONRAM REP4 C</v>
          </cell>
        </row>
        <row r="23430">
          <cell r="B23430" t="str">
            <v>51040513005183</v>
          </cell>
          <cell r="C23430" t="str">
            <v>JCC PRE.JUD INT GAN REACT PRE-HONRAM REP4 C</v>
          </cell>
        </row>
        <row r="23431">
          <cell r="B23431" t="str">
            <v>51040513005184</v>
          </cell>
          <cell r="C23431" t="str">
            <v>JCC PRE.JUD INT GAN REACT PRE-HONRAM REP4 C</v>
          </cell>
        </row>
        <row r="23432">
          <cell r="B23432" t="str">
            <v>51040513005185</v>
          </cell>
          <cell r="C23432" t="str">
            <v>JCC PRE.JUD INT GAN REACT PRE-HONRAM REP4 C</v>
          </cell>
        </row>
        <row r="23433">
          <cell r="B23433" t="str">
            <v>51040513005186</v>
          </cell>
          <cell r="C23433" t="str">
            <v>JCC PRE.JUD INT GAN REACT PRE-HONRAM REP4 C</v>
          </cell>
        </row>
        <row r="23434">
          <cell r="B23434" t="str">
            <v>51040513005187</v>
          </cell>
          <cell r="C23434" t="str">
            <v>JCC PRE.JUD INT GAN REACT PRE-HONRAM REP4 C</v>
          </cell>
        </row>
        <row r="23435">
          <cell r="B23435" t="str">
            <v>51040513005188</v>
          </cell>
          <cell r="C23435" t="str">
            <v>JCC PRE.JUD INT GAN CRECER PRE-HONRAMIEN4 C</v>
          </cell>
        </row>
        <row r="23436">
          <cell r="B23436" t="str">
            <v>51040513005189</v>
          </cell>
          <cell r="C23436" t="str">
            <v>JCC PRE.JUD INT GAN CRECER PRE-HONRAMIEN4 C</v>
          </cell>
        </row>
        <row r="23437">
          <cell r="B23437" t="str">
            <v>51040513005190</v>
          </cell>
          <cell r="C23437" t="str">
            <v>MYP IMPULSO MYPERU VEN CPEM NORM        4 C</v>
          </cell>
        </row>
        <row r="23438">
          <cell r="B23438" t="str">
            <v>51040513005191</v>
          </cell>
          <cell r="C23438" t="str">
            <v>MYP IMPULSO MYPERU VEN CPEM DUPE        4 C</v>
          </cell>
        </row>
        <row r="23439">
          <cell r="B23439" t="str">
            <v>51040513005192</v>
          </cell>
          <cell r="C23439" t="str">
            <v>LPC INT VEN IMPULSO MYPERU CORTO PLAZO C4 C</v>
          </cell>
        </row>
        <row r="23440">
          <cell r="B23440" t="str">
            <v>51040513005193</v>
          </cell>
          <cell r="C23440" t="str">
            <v>LPC INT VEN IMPULSO MYPERU MEDIANO PLAZO4 C</v>
          </cell>
        </row>
        <row r="23441">
          <cell r="B23441" t="str">
            <v>51040513005194</v>
          </cell>
          <cell r="C23441" t="str">
            <v>MYP CAPITAL DE TRAB CIMA REU DIF INT VEN4 C</v>
          </cell>
        </row>
        <row r="23442">
          <cell r="B23442" t="str">
            <v>51040513005195</v>
          </cell>
          <cell r="C23442" t="str">
            <v>MYP LINEA REVOLV CIMA INT GAN VEN NORM C4 C</v>
          </cell>
        </row>
        <row r="23443">
          <cell r="B23443" t="str">
            <v>51040513005196</v>
          </cell>
          <cell r="C23443" t="str">
            <v>MYP LINEA REVOLV CIMA INT GAN VEN DUPE C4 C</v>
          </cell>
        </row>
        <row r="23444">
          <cell r="B23444" t="str">
            <v>51040513005197</v>
          </cell>
          <cell r="C23444" t="str">
            <v>JCC MP PRE JUD INT.GAN IMPULSO MYPERU IB4 C</v>
          </cell>
        </row>
        <row r="23445">
          <cell r="B23445" t="str">
            <v>51040513005198</v>
          </cell>
          <cell r="C23445" t="str">
            <v>JCC BC PRE JUD INT IMPULSO MYPERU PRE-HO4 C</v>
          </cell>
        </row>
        <row r="23446">
          <cell r="B23446" t="str">
            <v>51040513005199</v>
          </cell>
          <cell r="C23446" t="str">
            <v>MYP CAP TRAB PER GRACIA PARCIAL INT VEN 4 C</v>
          </cell>
        </row>
        <row r="23447">
          <cell r="B23447" t="str">
            <v>51040513005200</v>
          </cell>
          <cell r="C23447" t="str">
            <v>MYP CAP TRAB PER GRACIA PARCIAL INT VEN 4 C</v>
          </cell>
        </row>
        <row r="23448">
          <cell r="B23448" t="str">
            <v>51040513005201</v>
          </cell>
          <cell r="C23448" t="str">
            <v>MYP REPROG PERIODO GRACIA PARCIAL VEN CP4 C</v>
          </cell>
        </row>
        <row r="23449">
          <cell r="B23449" t="str">
            <v>51040513005202</v>
          </cell>
          <cell r="C23449" t="str">
            <v>MYP REPROG PERIODO GRACIA PARCIAL VEN CP4 C</v>
          </cell>
        </row>
        <row r="23450">
          <cell r="B23450" t="str">
            <v>51040513005203</v>
          </cell>
          <cell r="C23450" t="str">
            <v>JCC MP PRE JUD IMPLUSO MYPERU HONRADO IB4 C</v>
          </cell>
        </row>
        <row r="23451">
          <cell r="B23451" t="str">
            <v>51040513005204</v>
          </cell>
          <cell r="C23451" t="str">
            <v>MYP REACTIVA REPROG DS.011-2022 VEN CGEM4 C</v>
          </cell>
        </row>
        <row r="23452">
          <cell r="B23452" t="str">
            <v>51040513005205</v>
          </cell>
          <cell r="C23452" t="str">
            <v>MYP REACTIVA REPROG DS.011-2022 VEN CGEM4 C</v>
          </cell>
        </row>
        <row r="23453">
          <cell r="B23453" t="str">
            <v>51040513005206</v>
          </cell>
          <cell r="C23453" t="str">
            <v>LPC PAG PAPERLESS DERIVADOS REV/NR INT C4NC</v>
          </cell>
        </row>
        <row r="23454">
          <cell r="B23454" t="str">
            <v>51040513005207</v>
          </cell>
          <cell r="C23454" t="str">
            <v>LPC PAG PAPERLESS DERIVADOS REV/NR INT C4NC</v>
          </cell>
        </row>
        <row r="23455">
          <cell r="B23455" t="str">
            <v>51040513005208</v>
          </cell>
          <cell r="C23455" t="str">
            <v>CCD-BPE CAPITAL DE TRABAJO_CPEM VEN NORM4 C</v>
          </cell>
        </row>
        <row r="23456">
          <cell r="B23456" t="str">
            <v>51040513005209</v>
          </cell>
          <cell r="C23456" t="str">
            <v>CCD-BPE CAPITAL DE TRABAJO_CPEM VEN DUPE4 C</v>
          </cell>
        </row>
        <row r="23457">
          <cell r="B23457" t="str">
            <v>51040513005210</v>
          </cell>
          <cell r="C23457" t="str">
            <v>CCD-BPE LINEA REVOLVENTE_CPEM VEN ING   4 C</v>
          </cell>
        </row>
        <row r="23458">
          <cell r="B23458" t="str">
            <v>51040513005211</v>
          </cell>
          <cell r="C23458" t="str">
            <v>CCD-BPE LINEA REVOLVENTE_CPEM VEN ING   4 C</v>
          </cell>
        </row>
        <row r="23459">
          <cell r="B23459" t="str">
            <v>51040513005212</v>
          </cell>
          <cell r="C23459" t="str">
            <v>CCD-BPE REFINANCIADO_CPEM VEN ING       4 C</v>
          </cell>
        </row>
        <row r="23460">
          <cell r="B23460" t="str">
            <v>51040513005213</v>
          </cell>
          <cell r="C23460" t="str">
            <v>JCC CCD PREJUD CAPITAL DE TRABAJO ING CP4 C</v>
          </cell>
        </row>
        <row r="23461">
          <cell r="B23461" t="str">
            <v>51040513005214</v>
          </cell>
          <cell r="C23461" t="str">
            <v>CCD-BPE CAP DE TRAB REPROG_CPEM VEN NORM4 C</v>
          </cell>
        </row>
        <row r="23462">
          <cell r="B23462" t="str">
            <v>51040513005215</v>
          </cell>
          <cell r="C23462" t="str">
            <v>CCD-BPE CAP DE TRAB REPROG_CPEM VEN DUPE4 C</v>
          </cell>
        </row>
        <row r="23463">
          <cell r="B23463" t="str">
            <v>51040513005216</v>
          </cell>
          <cell r="C23463" t="str">
            <v>CCD-BPE CAP DE TRAB_CPEM_VEN            4 C</v>
          </cell>
        </row>
        <row r="23464">
          <cell r="B23464" t="str">
            <v>51040601000202</v>
          </cell>
          <cell r="C23464" t="str">
            <v>INT COB JUD TC MASTERCARD PJ-CL         4NC</v>
          </cell>
        </row>
        <row r="23465">
          <cell r="B23465" t="str">
            <v>51040601000203</v>
          </cell>
          <cell r="C23465" t="str">
            <v>JCC INT COB JUD  POR ARREND.FINANCIER   4NC</v>
          </cell>
        </row>
        <row r="23466">
          <cell r="B23466" t="str">
            <v>51040601000204</v>
          </cell>
          <cell r="C23466" t="str">
            <v>JCC INT COB JUD TC MASTERCARD PJ        4NC</v>
          </cell>
        </row>
        <row r="23467">
          <cell r="B23467" t="str">
            <v>51040601000205</v>
          </cell>
          <cell r="C23467" t="str">
            <v>JCC COB.JUD.P.REC.COFIDE INT.GAN        4NC</v>
          </cell>
        </row>
        <row r="23468">
          <cell r="B23468" t="str">
            <v>51040601000401</v>
          </cell>
          <cell r="C23468" t="str">
            <v>CL COB.JUD.SOB.C.CTE.PJ INT.GAN         4NC</v>
          </cell>
        </row>
        <row r="23469">
          <cell r="B23469" t="str">
            <v>51040601000501</v>
          </cell>
          <cell r="C23469" t="str">
            <v>CL COB.JUD.DCTO.LETRA INT.GANA          4NC</v>
          </cell>
        </row>
        <row r="23470">
          <cell r="B23470" t="str">
            <v>51040601000502</v>
          </cell>
          <cell r="C23470" t="str">
            <v>CL COB.JUD.DSCTO.PAG INT.GANA           4NC</v>
          </cell>
        </row>
        <row r="23471">
          <cell r="B23471" t="str">
            <v>51040601000601</v>
          </cell>
          <cell r="C23471" t="str">
            <v>CL COB.JUD.P.RP CAP.TRA.INT.GAN         4NC</v>
          </cell>
        </row>
        <row r="23472">
          <cell r="B23472" t="str">
            <v>51040601000602</v>
          </cell>
          <cell r="C23472" t="str">
            <v>CL COB.JUD.P.REC.COFIDE INT.GAN         4NC</v>
          </cell>
        </row>
        <row r="23473">
          <cell r="B23473" t="str">
            <v>51040601000618</v>
          </cell>
          <cell r="C23473" t="str">
            <v>INT. PAG.COB JUDIC RFA SUBORD CL        4NC</v>
          </cell>
        </row>
        <row r="23474">
          <cell r="B23474" t="str">
            <v>51040601000621</v>
          </cell>
          <cell r="C23474" t="str">
            <v>CL CJ MYP CAP TRAB INT GAN COMER        4NC</v>
          </cell>
        </row>
        <row r="23475">
          <cell r="B23475" t="str">
            <v>51040601000622</v>
          </cell>
          <cell r="C23475" t="str">
            <v>CL CJ MYP COMP AF INMUEB INT GAN        4NC</v>
          </cell>
        </row>
        <row r="23476">
          <cell r="B23476" t="str">
            <v>51040601001101</v>
          </cell>
          <cell r="C23476" t="str">
            <v>INT COB JUD  POR ARRENDAMIENTO FINANCIER4NC</v>
          </cell>
        </row>
        <row r="23477">
          <cell r="B23477" t="str">
            <v>51040601002901</v>
          </cell>
          <cell r="C23477" t="str">
            <v>INT MORATORIOS JUD-CL                   4NC</v>
          </cell>
        </row>
        <row r="23478">
          <cell r="B23478" t="str">
            <v>51040602000101</v>
          </cell>
          <cell r="C23478" t="str">
            <v>LPC INT.GAND.LS COB.JUD BPE CMIE        4NC</v>
          </cell>
        </row>
        <row r="23479">
          <cell r="B23479" t="str">
            <v>51040602000102</v>
          </cell>
          <cell r="C23479" t="str">
            <v>JCC COB. JUD. GAN ARREN.FINAN PN CMIE   4NC</v>
          </cell>
        </row>
        <row r="23480">
          <cell r="B23480" t="str">
            <v>51040602000103</v>
          </cell>
          <cell r="C23480" t="str">
            <v>JCC COB. JUD. GAN ARREN.FINAN PJ CMIE   4NC</v>
          </cell>
        </row>
        <row r="23481">
          <cell r="B23481" t="str">
            <v>51040602000104</v>
          </cell>
          <cell r="C23481" t="str">
            <v>JCCÂ  INT.MORATORIO JUD CMIE            4NC</v>
          </cell>
        </row>
        <row r="23482">
          <cell r="B23482" t="str">
            <v>51040602000105</v>
          </cell>
          <cell r="C23482" t="str">
            <v>JCC INTERESES MORATORIOS JUD MYP CMIE   4NC</v>
          </cell>
        </row>
        <row r="23483">
          <cell r="B23483" t="str">
            <v>51040602000401</v>
          </cell>
          <cell r="C23483" t="str">
            <v>CL COB. JUD. GANADO SOBREGIRO CCTE. PJ-M4NC</v>
          </cell>
        </row>
        <row r="23484">
          <cell r="B23484" t="str">
            <v>51040602000501</v>
          </cell>
          <cell r="C23484" t="str">
            <v>CL COB. JUD. GANADO DSCTO.  PAG-MES GL704NC</v>
          </cell>
        </row>
        <row r="23485">
          <cell r="B23485" t="str">
            <v>51040602000502</v>
          </cell>
          <cell r="C23485" t="str">
            <v>CL COB. JUD. GANADO DSCTO. DE LETRAS-MES4NC</v>
          </cell>
        </row>
        <row r="23486">
          <cell r="B23486" t="str">
            <v>51040602000603</v>
          </cell>
          <cell r="C23486" t="str">
            <v>CL COB. JUD. GANADO RP CAP. DE TRABAJO-M4NC</v>
          </cell>
        </row>
        <row r="23487">
          <cell r="B23487" t="str">
            <v>51040602000609</v>
          </cell>
          <cell r="C23487" t="str">
            <v>CL CJ MYP CAP TRAB INT GAN MES 11005    4NC</v>
          </cell>
        </row>
        <row r="23488">
          <cell r="B23488" t="str">
            <v>51040602000610</v>
          </cell>
          <cell r="C23488" t="str">
            <v>CL CJ MYP COMP AF INMUEB INT GAN        4NC</v>
          </cell>
        </row>
        <row r="23489">
          <cell r="B23489" t="str">
            <v>51040602000611</v>
          </cell>
          <cell r="C23489" t="str">
            <v>CL CJ MYP COMP AF MUEB INT GAN M        4NC</v>
          </cell>
        </row>
        <row r="23490">
          <cell r="B23490" t="str">
            <v>51040602000612</v>
          </cell>
          <cell r="C23490" t="str">
            <v>CL CJ MYP CRED ESTAC INT GAN MES        4NC</v>
          </cell>
        </row>
        <row r="23491">
          <cell r="B23491" t="str">
            <v>51040602000613</v>
          </cell>
          <cell r="C23491" t="str">
            <v>CL CJ MYP AF CYBERPL INT GAN MES        4NC</v>
          </cell>
        </row>
        <row r="23492">
          <cell r="B23492" t="str">
            <v>51040602000701</v>
          </cell>
          <cell r="C23492" t="str">
            <v>JCC COB. JUD. GANADO RP CAP. DE TRABAJO-4NC</v>
          </cell>
        </row>
        <row r="23493">
          <cell r="B23493" t="str">
            <v>51040602000702</v>
          </cell>
          <cell r="C23493" t="str">
            <v>JCC COB. JUD. GANADO DSCTO.  PAG-MES GL74NC</v>
          </cell>
        </row>
        <row r="23494">
          <cell r="B23494" t="str">
            <v>51040602000703</v>
          </cell>
          <cell r="C23494" t="str">
            <v>JCC COB. JUD. GANADO DSCTO. DE LETRAS-ME4NC</v>
          </cell>
        </row>
        <row r="23495">
          <cell r="B23495" t="str">
            <v>51040602000704</v>
          </cell>
          <cell r="C23495" t="str">
            <v>JCC  MYP CAP TRAB INT GAN MES 11005     4NC</v>
          </cell>
        </row>
        <row r="23496">
          <cell r="B23496" t="str">
            <v>51040602000705</v>
          </cell>
          <cell r="C23496" t="str">
            <v>JCC CJ MYP CRED ESTAC INT GAN MES       4NC</v>
          </cell>
        </row>
        <row r="23497">
          <cell r="B23497" t="str">
            <v>51040602000706</v>
          </cell>
          <cell r="C23497" t="str">
            <v>JCC MYP AF CYBERPL INT GAN MES          4NC</v>
          </cell>
        </row>
        <row r="23498">
          <cell r="B23498" t="str">
            <v>51040602000707</v>
          </cell>
          <cell r="C23498" t="str">
            <v>JCC COB. JUD. GANADO SOBREGIRO CCTE. PJ-4NC</v>
          </cell>
        </row>
        <row r="23499">
          <cell r="B23499" t="str">
            <v>51040602000709</v>
          </cell>
          <cell r="C23499" t="str">
            <v>JCC COB.JUD. GANADO RFA SUBORDIN MES GL74NC</v>
          </cell>
        </row>
        <row r="23500">
          <cell r="B23500" t="str">
            <v>51040602000710</v>
          </cell>
          <cell r="C23500" t="str">
            <v>JCC MYP JUD.C.TRAB.INT.GAN.REV.CMIE     4NC</v>
          </cell>
        </row>
        <row r="23501">
          <cell r="B23501" t="str">
            <v>51040602000711</v>
          </cell>
          <cell r="C23501" t="str">
            <v>JCC COB.JUD.GAN CARTA FIANZA CMIE       4NC</v>
          </cell>
        </row>
        <row r="23502">
          <cell r="B23502" t="str">
            <v>51040602000712</v>
          </cell>
          <cell r="C23502" t="str">
            <v>JCC INT.GANADO JUD.MYP LS BPE CMIE      4NC</v>
          </cell>
        </row>
        <row r="23503">
          <cell r="B23503" t="str">
            <v>51040602002401</v>
          </cell>
          <cell r="C23503" t="str">
            <v>CL COB.JUD. GANADO RFA SUBORDIN MES GL704NC</v>
          </cell>
        </row>
        <row r="23504">
          <cell r="B23504" t="str">
            <v>51040602002405</v>
          </cell>
          <cell r="C23504" t="str">
            <v>JCC CJ MYP COMP AF INMUEB INT GAN       4NC</v>
          </cell>
        </row>
        <row r="23505">
          <cell r="B23505" t="str">
            <v>51040602002406</v>
          </cell>
          <cell r="C23505" t="str">
            <v>JCC CJ MYP COMP AF MUEB INT GAN M       4NC</v>
          </cell>
        </row>
        <row r="23506">
          <cell r="B23506" t="str">
            <v>51040602002407</v>
          </cell>
          <cell r="C23506" t="str">
            <v>CL MYP JUD.C.TRAB.INT.GAN.REV.CMIE      4NC</v>
          </cell>
        </row>
        <row r="23507">
          <cell r="B23507" t="str">
            <v>51040602002408</v>
          </cell>
          <cell r="C23507" t="str">
            <v>JCC COB.JUD. INT. GAN REACTIVA PERU CMIE4NC</v>
          </cell>
        </row>
        <row r="23508">
          <cell r="B23508" t="str">
            <v>51040602002409</v>
          </cell>
          <cell r="C23508" t="str">
            <v>JCC COB.JUD. INT. GAN REACTIVA PERU CMIE4 C</v>
          </cell>
        </row>
        <row r="23509">
          <cell r="B23509" t="str">
            <v>51040602002410</v>
          </cell>
          <cell r="C23509" t="str">
            <v>JCC COB.JUD. INT. GAN FONDO CRECER CMIE 4 C</v>
          </cell>
        </row>
        <row r="23510">
          <cell r="B23510" t="str">
            <v>51040602002411</v>
          </cell>
          <cell r="C23510" t="str">
            <v>JCC COB.JUD. INT. GAN FONDO CRECER CMIE 4 C</v>
          </cell>
        </row>
        <row r="23511">
          <cell r="B23511" t="str">
            <v>51040602002412</v>
          </cell>
          <cell r="C23511" t="str">
            <v>JCC COB.JUD. INT. GAN REACT PRE-HONRAMIE4 C</v>
          </cell>
        </row>
        <row r="23512">
          <cell r="B23512" t="str">
            <v>51040602002413</v>
          </cell>
          <cell r="C23512" t="str">
            <v>JCC COB.JUD. INT. GAN REACT PRE-HONRAMIE4 C</v>
          </cell>
        </row>
        <row r="23513">
          <cell r="B23513" t="str">
            <v>51040602002414</v>
          </cell>
          <cell r="C23513" t="str">
            <v>JCC COB.JU INT GAN REACTI PRE-HONR REPRO4 C</v>
          </cell>
        </row>
        <row r="23514">
          <cell r="B23514" t="str">
            <v>51040602002415</v>
          </cell>
          <cell r="C23514" t="str">
            <v>JCC COB.JU INT GAN REACTI PRE-HONR REPRO4 C</v>
          </cell>
        </row>
        <row r="23515">
          <cell r="B23515" t="str">
            <v>51040602002416</v>
          </cell>
          <cell r="C23515" t="str">
            <v>JCC COB.JU INT GAN REACTI PRE-HONR REPRO4 C</v>
          </cell>
        </row>
        <row r="23516">
          <cell r="B23516" t="str">
            <v>51040602002417</v>
          </cell>
          <cell r="C23516" t="str">
            <v>JCC COB.JU INT GAN REACTI PRE-HONR REPRO4 C</v>
          </cell>
        </row>
        <row r="23517">
          <cell r="B23517" t="str">
            <v>51040602002418</v>
          </cell>
          <cell r="C23517" t="str">
            <v>JCC COB.JU INT GAN REACTI PRE-HONR REPRO4 C</v>
          </cell>
        </row>
        <row r="23518">
          <cell r="B23518" t="str">
            <v>51040602002419</v>
          </cell>
          <cell r="C23518" t="str">
            <v>JCC COB.JU INT GAN REACTI PRE-HONR REPRO4 C</v>
          </cell>
        </row>
        <row r="23519">
          <cell r="B23519" t="str">
            <v>51040602002420</v>
          </cell>
          <cell r="C23519" t="str">
            <v>JCC COB.JU INT GAN CRECER PRE-HONRAMIENT4 C</v>
          </cell>
        </row>
        <row r="23520">
          <cell r="B23520" t="str">
            <v>51040602002421</v>
          </cell>
          <cell r="C23520" t="str">
            <v>JCC COB.JU INT GAN CRECER PRE-HONRAMIENT4 C</v>
          </cell>
        </row>
        <row r="23521">
          <cell r="B23521" t="str">
            <v>51040602002422</v>
          </cell>
          <cell r="C23521" t="str">
            <v>JCC COB.JU INT GAN REACTI PRE-HONR REPRO4 C</v>
          </cell>
        </row>
        <row r="23522">
          <cell r="B23522" t="str">
            <v>51040602002423</v>
          </cell>
          <cell r="C23522" t="str">
            <v>JCC COB.JU INT GAN REACTI PRE-HONR REPRO4 C</v>
          </cell>
        </row>
        <row r="23523">
          <cell r="B23523" t="str">
            <v>51040602002424</v>
          </cell>
          <cell r="C23523" t="str">
            <v>JCC COB.JU INT GAN REACTI PRE-HONR REPRO4 C</v>
          </cell>
        </row>
        <row r="23524">
          <cell r="B23524" t="str">
            <v>51040602002425</v>
          </cell>
          <cell r="C23524" t="str">
            <v>JCC COB.JU INT GAN REACTI PRE-HONR REPRO4 C</v>
          </cell>
        </row>
        <row r="23525">
          <cell r="B23525" t="str">
            <v>51040602002426</v>
          </cell>
          <cell r="C23525" t="str">
            <v>JCC COB.JU INT GAN REACTI PRE-HONR REPRO4 C</v>
          </cell>
        </row>
        <row r="23526">
          <cell r="B23526" t="str">
            <v>51040602002427</v>
          </cell>
          <cell r="C23526" t="str">
            <v>JCC COB.JU INT GAN REACTI PRE-HONR REPRO4 C</v>
          </cell>
        </row>
        <row r="23527">
          <cell r="B23527" t="str">
            <v>51040602002428</v>
          </cell>
          <cell r="C23527" t="str">
            <v>JCC COB.JU INT GAN CRECER PRE-HONRAMIENT4 C</v>
          </cell>
        </row>
        <row r="23528">
          <cell r="B23528" t="str">
            <v>51040602002429</v>
          </cell>
          <cell r="C23528" t="str">
            <v>JCC COB.JU INT GAN CRECER PRE-HONRAMIENT4 C</v>
          </cell>
        </row>
        <row r="23529">
          <cell r="B23529" t="str">
            <v>51040602002430</v>
          </cell>
          <cell r="C23529" t="str">
            <v>JCC MP COB.JUD. INT. GAN IMPULSO MYPERU 4 C</v>
          </cell>
        </row>
        <row r="23530">
          <cell r="B23530" t="str">
            <v>51040602002431</v>
          </cell>
          <cell r="C23530" t="str">
            <v>JCC BC COB.JUD. INT IMPULSO MYPERU PRE-H4 C</v>
          </cell>
        </row>
        <row r="23531">
          <cell r="B23531" t="str">
            <v>51040602002432</v>
          </cell>
          <cell r="C23531" t="str">
            <v>JCC MP COB JUD IMPLUSO MYPERU HONRADO IB4 C</v>
          </cell>
        </row>
        <row r="23532">
          <cell r="B23532" t="str">
            <v>51040602002433</v>
          </cell>
          <cell r="C23532" t="str">
            <v>JCC CCD COBJUD CAPITAL DE TRABAJO ING CM4 C</v>
          </cell>
        </row>
        <row r="23533">
          <cell r="B23533" t="str">
            <v>51040603000301</v>
          </cell>
          <cell r="C23533" t="str">
            <v>INT COB JUD TARJETA DE CREDITO-CL       4NC</v>
          </cell>
        </row>
        <row r="23534">
          <cell r="B23534" t="str">
            <v>51040603000302</v>
          </cell>
          <cell r="C23534" t="str">
            <v>CL COB.JUD.T.CR.AMEX PN INT.GAN         4NC</v>
          </cell>
        </row>
        <row r="23535">
          <cell r="B23535" t="str">
            <v>51040603000303</v>
          </cell>
          <cell r="C23535" t="str">
            <v>CL COB.JUD.T.CR.AMEX PN INT.GAN         4NC</v>
          </cell>
        </row>
        <row r="23536">
          <cell r="B23536" t="str">
            <v>51040603000304</v>
          </cell>
          <cell r="C23536" t="str">
            <v>JCC COB.JUD.CONVENIOS IC INT.GAN        4NC</v>
          </cell>
        </row>
        <row r="23537">
          <cell r="B23537" t="str">
            <v>51040603000305</v>
          </cell>
          <cell r="C23537" t="str">
            <v>JCC COBJUD GAN CRED CONS ADEL SUELDO    4NC</v>
          </cell>
        </row>
        <row r="23538">
          <cell r="B23538" t="str">
            <v>51040603000306</v>
          </cell>
          <cell r="C23538" t="str">
            <v>JCC COBJUD GAN CRED CONS PREFERENTE     4NC</v>
          </cell>
        </row>
        <row r="23539">
          <cell r="B23539" t="str">
            <v>51040603000307</v>
          </cell>
          <cell r="C23539" t="str">
            <v>JCC COB.JUD.T.CR.MASTER PN INT.GAN      4NC</v>
          </cell>
        </row>
        <row r="23540">
          <cell r="B23540" t="str">
            <v>51040603000308</v>
          </cell>
          <cell r="C23540" t="str">
            <v>JCC INT.GAN JUD CONS PREFE CCNR         4NC</v>
          </cell>
        </row>
        <row r="23541">
          <cell r="B23541" t="str">
            <v>51040603000309</v>
          </cell>
          <cell r="C23541" t="str">
            <v>JCC COB.JUD.T.CR.TC MASTER PN INT.GAN   4NC</v>
          </cell>
        </row>
        <row r="23542">
          <cell r="B23542" t="str">
            <v>51040603000310</v>
          </cell>
          <cell r="C23542" t="str">
            <v>JCC COB.JUD.SOB.C.CTE.PN INT.GAN        4NC</v>
          </cell>
        </row>
        <row r="23543">
          <cell r="B23543" t="str">
            <v>51040603000311</v>
          </cell>
          <cell r="C23543" t="str">
            <v>INT COB JUD TAR.VISA  DE CREDITO-JCC    4NC</v>
          </cell>
        </row>
        <row r="23544">
          <cell r="B23544" t="str">
            <v>51040603000312</v>
          </cell>
          <cell r="C23544" t="str">
            <v>JCC COB.JUD.T.CR.AMEX PN INT.GAN        4NC</v>
          </cell>
        </row>
        <row r="23545">
          <cell r="B23545" t="str">
            <v>51040603000313</v>
          </cell>
          <cell r="C23545" t="str">
            <v>JCC COB.JUD.T.CR.AMEX PN INT.GAN        4NC</v>
          </cell>
        </row>
        <row r="23546">
          <cell r="B23546" t="str">
            <v>51040603000314</v>
          </cell>
          <cell r="C23546" t="str">
            <v>JCC COB.JUD.REFI.HIPO.IC INT.GAN .      4NC</v>
          </cell>
        </row>
        <row r="23547">
          <cell r="B23547" t="str">
            <v>51040603000316</v>
          </cell>
          <cell r="C23547" t="str">
            <v>JCC JUD INT GAN.CONVENIO NO REV.CNG     4NC</v>
          </cell>
        </row>
        <row r="23548">
          <cell r="B23548" t="str">
            <v>51040603000317</v>
          </cell>
          <cell r="C23548" t="str">
            <v>JCC JUD INT GAN REFIN CONV.NO REV.CNG   4NC</v>
          </cell>
        </row>
        <row r="23549">
          <cell r="B23549" t="str">
            <v>51040603000318</v>
          </cell>
          <cell r="C23549" t="str">
            <v>JCC COB.JUD TC PN INT.GAN               4NC</v>
          </cell>
        </row>
        <row r="23550">
          <cell r="B23550" t="str">
            <v>51040603000319</v>
          </cell>
          <cell r="C23550" t="str">
            <v>JCC PRE.JUD TC PN INT.GAN               4NC</v>
          </cell>
        </row>
        <row r="23551">
          <cell r="B23551" t="str">
            <v>51040603000320</v>
          </cell>
          <cell r="C23551" t="str">
            <v>JCC INT.MORATORIO CONSUMO JUD CCNR      4NC</v>
          </cell>
        </row>
        <row r="23552">
          <cell r="B23552" t="str">
            <v>51040603000321</v>
          </cell>
          <cell r="C23552" t="str">
            <v>JCC INT.MORATORIO CONSUMO JUD CCRV      4NC</v>
          </cell>
        </row>
        <row r="23553">
          <cell r="B23553" t="str">
            <v>51040603000401</v>
          </cell>
          <cell r="C23553" t="str">
            <v>CL COB.JUD.SOB.C.CTE.PN INT.GAN         4NC</v>
          </cell>
        </row>
        <row r="23554">
          <cell r="B23554" t="str">
            <v>51040603000501</v>
          </cell>
          <cell r="C23554" t="str">
            <v>JCC COB.JUD.CRE.EFECTIVO INT.GAN        4NC</v>
          </cell>
        </row>
        <row r="23555">
          <cell r="B23555" t="str">
            <v>51040603000502</v>
          </cell>
          <cell r="C23555" t="str">
            <v>JCC COB.JUD.CRED.VEHIC. INT.GAN         4NC</v>
          </cell>
        </row>
        <row r="23556">
          <cell r="B23556" t="str">
            <v>51040603000601</v>
          </cell>
          <cell r="C23556" t="str">
            <v>CL COB.JUD.CRED.CONSUMO INT.GAN         4NC</v>
          </cell>
        </row>
        <row r="23557">
          <cell r="B23557" t="str">
            <v>51040603000602</v>
          </cell>
          <cell r="C23557" t="str">
            <v>CL COB.JUD.CRE.EFECTIVO INT.GAN         4NC</v>
          </cell>
        </row>
        <row r="23558">
          <cell r="B23558" t="str">
            <v>51040603000603</v>
          </cell>
          <cell r="C23558" t="str">
            <v>$CL COB.JUD.CRED.VEHIC. INT.GAN         4NC</v>
          </cell>
        </row>
        <row r="23559">
          <cell r="B23559" t="str">
            <v>51040603000607</v>
          </cell>
          <cell r="C23559" t="str">
            <v>CL COB.JUD.CRED.PORFIN INT.GAN          4NC</v>
          </cell>
        </row>
        <row r="23560">
          <cell r="B23560" t="str">
            <v>51040603000610</v>
          </cell>
          <cell r="C23560" t="str">
            <v>CL COB.JUD.REFI.HIPO.IC INT.GAN .       4NC</v>
          </cell>
        </row>
        <row r="23561">
          <cell r="B23561" t="str">
            <v>51040603000611</v>
          </cell>
          <cell r="C23561" t="str">
            <v>CL COB.JUD.CONVENIOS IC INT.GAN         4NC</v>
          </cell>
        </row>
        <row r="23562">
          <cell r="B23562" t="str">
            <v>51040603000612</v>
          </cell>
          <cell r="C23562" t="str">
            <v>CL COBJUD GAN CRED CONS ADEL SUELDO     4NC</v>
          </cell>
        </row>
        <row r="23563">
          <cell r="B23563" t="str">
            <v>51040603000613</v>
          </cell>
          <cell r="C23563" t="str">
            <v>CL COBJUD GAN CRED CONS PREFERENTE      4NC</v>
          </cell>
        </row>
        <row r="23564">
          <cell r="B23564" t="str">
            <v>51040603000614</v>
          </cell>
          <cell r="C23564" t="str">
            <v>CL INT.GAN JUD CONS PREFE CCNR          4NC</v>
          </cell>
        </row>
        <row r="23565">
          <cell r="B23565" t="str">
            <v>51040603000615</v>
          </cell>
          <cell r="C23565" t="str">
            <v>CL JUD INT GAN.CONVENIO NO REV.CNG      4NC</v>
          </cell>
        </row>
        <row r="23566">
          <cell r="B23566" t="str">
            <v>51040603000616</v>
          </cell>
          <cell r="C23566" t="str">
            <v>CL JUD INT GAN REFIN CONV.NO REV.CNG    4NC</v>
          </cell>
        </row>
        <row r="23567">
          <cell r="B23567" t="str">
            <v>51040603000617</v>
          </cell>
          <cell r="C23567" t="str">
            <v>CL COB.JUD.CONVENIOS INT.GAN  CCRV      4NC</v>
          </cell>
        </row>
        <row r="23568">
          <cell r="B23568" t="str">
            <v>51040603000618</v>
          </cell>
          <cell r="C23568" t="str">
            <v>CL COBJUD GAN CRED CONS ADEL SUELDO CCNR4NC</v>
          </cell>
        </row>
        <row r="23569">
          <cell r="B23569" t="str">
            <v>51040603000619</v>
          </cell>
          <cell r="C23569" t="str">
            <v>CL JUD GAN PREFERENTE CCNR              4NC</v>
          </cell>
        </row>
        <row r="23570">
          <cell r="B23570" t="str">
            <v>51040603000620</v>
          </cell>
          <cell r="C23570" t="str">
            <v>JCC BTC COB JUD RAPPIBANK               4 C</v>
          </cell>
        </row>
        <row r="23571">
          <cell r="B23571" t="str">
            <v>51040604000501</v>
          </cell>
          <cell r="C23571" t="str">
            <v>JCC COB.JUD.CRE.HIPOT.JCC INT.GAN       4NC</v>
          </cell>
        </row>
        <row r="23572">
          <cell r="B23572" t="str">
            <v>51040604000502</v>
          </cell>
          <cell r="C23572" t="str">
            <v>JCC JUDIC.HIP.MI VIVIE.INT.GAN COFIDE   4NC</v>
          </cell>
        </row>
        <row r="23573">
          <cell r="B23573" t="str">
            <v>51040604000503</v>
          </cell>
          <cell r="C23573" t="str">
            <v>JCC COBJUD GAN CRED CONS MI HOGAR       4NC</v>
          </cell>
        </row>
        <row r="23574">
          <cell r="B23574" t="str">
            <v>51040604000504</v>
          </cell>
          <cell r="C23574" t="str">
            <v>JCC COB JUD PREST EFEC GTIA HIPOT INT GA4NC</v>
          </cell>
        </row>
        <row r="23575">
          <cell r="B23575" t="str">
            <v>51040604000505</v>
          </cell>
          <cell r="C23575" t="str">
            <v>CJ GANADO CRED TECHOPROPIO-RECUP JCC G  4NC</v>
          </cell>
        </row>
        <row r="23576">
          <cell r="B23576" t="str">
            <v>51040604000506</v>
          </cell>
          <cell r="C23576" t="str">
            <v>JCC COB JUD H. MIVIVIENDA RP INT GANA   4NC</v>
          </cell>
        </row>
        <row r="23577">
          <cell r="B23577" t="str">
            <v>51040604000507</v>
          </cell>
          <cell r="C23577" t="str">
            <v>JCC INT.MORATORIO JUD CHPV              4NC</v>
          </cell>
        </row>
        <row r="23578">
          <cell r="B23578" t="str">
            <v>51040604000601</v>
          </cell>
          <cell r="C23578" t="str">
            <v>INT COB JUD. HIPOTEC. VIVIENDA-CL       4NC</v>
          </cell>
        </row>
        <row r="23579">
          <cell r="B23579" t="str">
            <v>51040604000604</v>
          </cell>
          <cell r="C23579" t="str">
            <v>CL COB.JUD.CRE.HIPOT.CL INT.GAN         4NC</v>
          </cell>
        </row>
        <row r="23580">
          <cell r="B23580" t="str">
            <v>51040604000609</v>
          </cell>
          <cell r="C23580" t="str">
            <v>CL JUDIC.HIP.MI VIVIE.INT.GAN COFIDE    4NC</v>
          </cell>
        </row>
        <row r="23581">
          <cell r="B23581" t="str">
            <v>51040604000610</v>
          </cell>
          <cell r="C23581" t="str">
            <v>CL BT JUD.HIP.MIVIV.INT.GAN COF         4NC</v>
          </cell>
        </row>
        <row r="23582">
          <cell r="B23582" t="str">
            <v>51040604000611</v>
          </cell>
          <cell r="C23582" t="str">
            <v>CJ GANADO CRED TECHOPROPIO-RECUP CL G   4NC</v>
          </cell>
        </row>
        <row r="23583">
          <cell r="B23583" t="str">
            <v>51040604000612</v>
          </cell>
          <cell r="C23583" t="str">
            <v>CL COB JUD H. MIVIVIENDA RP INT GANA    4NC</v>
          </cell>
        </row>
        <row r="23584">
          <cell r="B23584" t="str">
            <v>51040604000613</v>
          </cell>
          <cell r="C23584" t="str">
            <v>CL COBJUD GAN CRED CONS PREFERENTE      4NC</v>
          </cell>
        </row>
        <row r="23585">
          <cell r="B23585" t="str">
            <v>51040604000614</v>
          </cell>
          <cell r="C23585" t="str">
            <v>$CL COB JUD PREST EFEC GTIA HIPOT INT GA4NC</v>
          </cell>
        </row>
        <row r="23586">
          <cell r="B23586" t="str">
            <v>51040604000638</v>
          </cell>
          <cell r="C23586" t="str">
            <v>CL PREJUD GAN CONS REV ADEL SUELDO      4NC</v>
          </cell>
        </row>
        <row r="23587">
          <cell r="B23587" t="str">
            <v>51040604000639</v>
          </cell>
          <cell r="C23587" t="str">
            <v>CL PREJUD GAN CONS REV PREFERENTE       4NC</v>
          </cell>
        </row>
        <row r="23588">
          <cell r="B23588" t="str">
            <v>51040607000101</v>
          </cell>
          <cell r="C23588" t="str">
            <v>CL COB. JUD. DSCTO.PAG CESP             4NC</v>
          </cell>
        </row>
        <row r="23589">
          <cell r="B23589" t="str">
            <v>51040607000102</v>
          </cell>
          <cell r="C23589" t="str">
            <v>CL COB. JUD. DSCTO. LETRAS- CESP CL GL704NC</v>
          </cell>
        </row>
        <row r="23590">
          <cell r="B23590" t="str">
            <v>51040607000103</v>
          </cell>
          <cell r="C23590" t="str">
            <v>CL COB. JUD.GAN RP EXPORT CESP -GL 7004 4NC</v>
          </cell>
        </row>
        <row r="23591">
          <cell r="B23591" t="str">
            <v>51040607000104</v>
          </cell>
          <cell r="C23591" t="str">
            <v>CL COB JUD GANIMPORT. RP GL 7004 CESP   4NC</v>
          </cell>
        </row>
        <row r="23592">
          <cell r="B23592" t="str">
            <v>51040607000105</v>
          </cell>
          <cell r="C23592" t="str">
            <v>CL COB.JUD. GAN CAP. DE TRAB. CESP GL 704NC</v>
          </cell>
        </row>
        <row r="23593">
          <cell r="B23593" t="str">
            <v>51040607000106</v>
          </cell>
          <cell r="C23593" t="str">
            <v>CL COB. JUD. GAN FACTO. LETRAS CESP GL704NC</v>
          </cell>
        </row>
        <row r="23594">
          <cell r="B23594" t="str">
            <v>51040607000107</v>
          </cell>
          <cell r="C23594" t="str">
            <v>CL COB. JUD. GAN FACT. FACTU. CESP GL7004NC</v>
          </cell>
        </row>
        <row r="23595">
          <cell r="B23595" t="str">
            <v>51040607000108</v>
          </cell>
          <cell r="C23595" t="str">
            <v>CL COB.JUD.GANADO CARTA D' CRED. CESP GL4NC</v>
          </cell>
        </row>
        <row r="23596">
          <cell r="B23596" t="str">
            <v>51040607000109</v>
          </cell>
          <cell r="C23596" t="str">
            <v>CL COB.JUD.GAN CARTA FIANZA CESP GL7004 4NC</v>
          </cell>
        </row>
        <row r="23597">
          <cell r="B23597" t="str">
            <v>51040607000110</v>
          </cell>
          <cell r="C23597" t="str">
            <v>CL COB JUD GAN P TV MED PLZ C/FIJ CESP  4NC</v>
          </cell>
        </row>
        <row r="23598">
          <cell r="B23598" t="str">
            <v>51040607000111</v>
          </cell>
          <cell r="C23598" t="str">
            <v>CL COB. JUD. GAN TARJ. CRED CESP        4NC</v>
          </cell>
        </row>
        <row r="23599">
          <cell r="B23599" t="str">
            <v>51040607000112</v>
          </cell>
          <cell r="C23599" t="str">
            <v>CL COB. JUD. GANA.T. CRED. AMEX PJ CESP 4NC</v>
          </cell>
        </row>
        <row r="23600">
          <cell r="B23600" t="str">
            <v>51040607000113</v>
          </cell>
          <cell r="C23600" t="str">
            <v>CL COB.JUD. GANAD.TCMASTERC PJ CESP     4NC</v>
          </cell>
        </row>
        <row r="23601">
          <cell r="B23601" t="str">
            <v>51040607000114</v>
          </cell>
          <cell r="C23601" t="str">
            <v>CL CJ GAN REC.COFIDE CESP               4NC</v>
          </cell>
        </row>
        <row r="23602">
          <cell r="B23602" t="str">
            <v>51040607000115</v>
          </cell>
          <cell r="C23602" t="str">
            <v>CL C.J GANADO SOBREG CCTE. PJ CESP      4NC</v>
          </cell>
        </row>
        <row r="23603">
          <cell r="B23603" t="str">
            <v>51040607000116</v>
          </cell>
          <cell r="C23603" t="str">
            <v>CL COB. JUD. GAN ARREN.FINAN PJ CESP    4NC</v>
          </cell>
        </row>
        <row r="23604">
          <cell r="B23604" t="str">
            <v>51040607000117</v>
          </cell>
          <cell r="C23604" t="str">
            <v>CL COB JUD GANIMPORT. RP GL 7004 CESP   4NC</v>
          </cell>
        </row>
        <row r="23605">
          <cell r="B23605" t="str">
            <v>51040607000201</v>
          </cell>
          <cell r="C23605" t="str">
            <v>JCC COB. JUD.GAN RP EXPORT CESP -GL 70044NC</v>
          </cell>
        </row>
        <row r="23606">
          <cell r="B23606" t="str">
            <v>51040607000202</v>
          </cell>
          <cell r="C23606" t="str">
            <v>JCC COB JUD GANIMPORT. RP GL 7004 CESP  4NC</v>
          </cell>
        </row>
        <row r="23607">
          <cell r="B23607" t="str">
            <v>51040607000203</v>
          </cell>
          <cell r="C23607" t="str">
            <v>JCC COB.JUD. GAN CAP. DE TRAB. CESP GL 74NC</v>
          </cell>
        </row>
        <row r="23608">
          <cell r="B23608" t="str">
            <v>51040607000204</v>
          </cell>
          <cell r="C23608" t="str">
            <v>JCC COB. JUD. DSCTO.PAG CESP            4NC</v>
          </cell>
        </row>
        <row r="23609">
          <cell r="B23609" t="str">
            <v>51040607000205</v>
          </cell>
          <cell r="C23609" t="str">
            <v>JCC COB. JUD. DSCTO. LETRAS- CESP JCC GL4NC</v>
          </cell>
        </row>
        <row r="23610">
          <cell r="B23610" t="str">
            <v>51040607000206</v>
          </cell>
          <cell r="C23610" t="str">
            <v>JCC COB. JUD. GAN FACTO. LETRAS CESP GL74NC</v>
          </cell>
        </row>
        <row r="23611">
          <cell r="B23611" t="str">
            <v>51040607000207</v>
          </cell>
          <cell r="C23611" t="str">
            <v>JCC COB. JUD. GAN FACT. FACTU. CESP GL704NC</v>
          </cell>
        </row>
        <row r="23612">
          <cell r="B23612" t="str">
            <v>51040607000208</v>
          </cell>
          <cell r="C23612" t="str">
            <v>JCC COB.JUD.GANADO CARTA D' CRED. CESP G4NC</v>
          </cell>
        </row>
        <row r="23613">
          <cell r="B23613" t="str">
            <v>51040607000209</v>
          </cell>
          <cell r="C23613" t="str">
            <v>JCC COB.JUD.GAN CARTA FIANZA CESP GL70044NC</v>
          </cell>
        </row>
        <row r="23614">
          <cell r="B23614" t="str">
            <v>51040607000210</v>
          </cell>
          <cell r="C23614" t="str">
            <v>JCC COB JUD GAN P TV MED PLZ C/FIJ CESP 4NC</v>
          </cell>
        </row>
        <row r="23615">
          <cell r="B23615" t="str">
            <v>51040607000211</v>
          </cell>
          <cell r="C23615" t="str">
            <v>JCC COB.JUD. GANAD.TCMASTERC PJ CESP    4NC</v>
          </cell>
        </row>
        <row r="23616">
          <cell r="B23616" t="str">
            <v>51040607000212</v>
          </cell>
          <cell r="C23616" t="str">
            <v>JCC C.J GANADO SOBREG CCTE. PJ CESP     4NC</v>
          </cell>
        </row>
        <row r="23617">
          <cell r="B23617" t="str">
            <v>51040607000213</v>
          </cell>
          <cell r="C23617" t="str">
            <v>JCC COB. JUD. GAN ARREN.FINAN PJ CESP   4NC</v>
          </cell>
        </row>
        <row r="23618">
          <cell r="B23618" t="str">
            <v>51040607000214</v>
          </cell>
          <cell r="C23618" t="str">
            <v>JCC COB. JUD. GAN TARJ. CRED CESP       4NC</v>
          </cell>
        </row>
        <row r="23619">
          <cell r="B23619" t="str">
            <v>51040607000215</v>
          </cell>
          <cell r="C23619" t="str">
            <v>JCC COB. JUD. GANA.T. CRED. AMEX PJ CESP4NC</v>
          </cell>
        </row>
        <row r="23620">
          <cell r="B23620" t="str">
            <v>51040607000217</v>
          </cell>
          <cell r="C23620" t="str">
            <v>JCC CJ GAN REC.COFIDE CESP              4NC</v>
          </cell>
        </row>
        <row r="23621">
          <cell r="B23621" t="str">
            <v>51040609000101</v>
          </cell>
          <cell r="C23621" t="str">
            <v>JCC INT.MORATORIO JUD CESF              4NC</v>
          </cell>
        </row>
        <row r="23622">
          <cell r="B23622" t="str">
            <v>51040609130101</v>
          </cell>
          <cell r="C23622" t="str">
            <v>LPC INT COB JUD LS LA FIDUCIARIA CESF   4NC</v>
          </cell>
        </row>
        <row r="23623">
          <cell r="B23623" t="str">
            <v>51040610000101</v>
          </cell>
          <cell r="C23623" t="str">
            <v>LPC INT COB JUD LEASING CCOR            4NC</v>
          </cell>
        </row>
        <row r="23624">
          <cell r="B23624" t="str">
            <v>51040610000102</v>
          </cell>
          <cell r="C23624" t="str">
            <v>JCC INT.MORATORIO JUD CCOR              4NC</v>
          </cell>
        </row>
        <row r="23625">
          <cell r="B23625" t="str">
            <v>51040610000201</v>
          </cell>
          <cell r="C23625" t="str">
            <v>CL COB. JUD. DSCTO. PAG CCOR            4NC</v>
          </cell>
        </row>
        <row r="23626">
          <cell r="B23626" t="str">
            <v>51040610000202</v>
          </cell>
          <cell r="C23626" t="str">
            <v>CL COB. JUD. DSCTO. LETRAS- CCOR CL GL704NC</v>
          </cell>
        </row>
        <row r="23627">
          <cell r="B23627" t="str">
            <v>51040610000203</v>
          </cell>
          <cell r="C23627" t="str">
            <v>CL COB. JUD.GAN RP EXPORT CCOR -GL 7004 4NC</v>
          </cell>
        </row>
        <row r="23628">
          <cell r="B23628" t="str">
            <v>51040610000204</v>
          </cell>
          <cell r="C23628" t="str">
            <v>COB JUD GANIMPORT. RP GL 7004 CCOR      4NC</v>
          </cell>
        </row>
        <row r="23629">
          <cell r="B23629" t="str">
            <v>51040610000205</v>
          </cell>
          <cell r="C23629" t="str">
            <v>CL COB.JUD. GAN CAP. DE TRAB. CCOR GL 704NC</v>
          </cell>
        </row>
        <row r="23630">
          <cell r="B23630" t="str">
            <v>51040610000206</v>
          </cell>
          <cell r="C23630" t="str">
            <v>CL COB. JUD. GAN FACTO. LETRAS CCOR GL704NC</v>
          </cell>
        </row>
        <row r="23631">
          <cell r="B23631" t="str">
            <v>51040610000207</v>
          </cell>
          <cell r="C23631" t="str">
            <v>CL COB. JUD. GAN FACT. FACTU. CCOR GL7004NC</v>
          </cell>
        </row>
        <row r="23632">
          <cell r="B23632" t="str">
            <v>51040610000208</v>
          </cell>
          <cell r="C23632" t="str">
            <v>COB.JUD.GANADO CARTA D' CRED. CCOR GL7004NC</v>
          </cell>
        </row>
        <row r="23633">
          <cell r="B23633" t="str">
            <v>51040610000209</v>
          </cell>
          <cell r="C23633" t="str">
            <v>CL COB.JUD.GAN CARTA FIANZA CCOR GL7004 4NC</v>
          </cell>
        </row>
        <row r="23634">
          <cell r="B23634" t="str">
            <v>51040610000210</v>
          </cell>
          <cell r="C23634" t="str">
            <v>CL COB JUD GAN P TV MED PLZ C/FIJ CCOR  4NC</v>
          </cell>
        </row>
        <row r="23635">
          <cell r="B23635" t="str">
            <v>51040610000211</v>
          </cell>
          <cell r="C23635" t="str">
            <v>CL COB. JUD. GAN TARJ. CRED CCOR        4NC</v>
          </cell>
        </row>
        <row r="23636">
          <cell r="B23636" t="str">
            <v>51040610000212</v>
          </cell>
          <cell r="C23636" t="str">
            <v>CL COB. JUD. GANA.T. CRED. AMEX PJ CCOR 4NC</v>
          </cell>
        </row>
        <row r="23637">
          <cell r="B23637" t="str">
            <v>51040610000213</v>
          </cell>
          <cell r="C23637" t="str">
            <v>CL COB.JUD. GANAD.TCMASTERC PJ CCOR     4NC</v>
          </cell>
        </row>
        <row r="23638">
          <cell r="B23638" t="str">
            <v>51040610000214</v>
          </cell>
          <cell r="C23638" t="str">
            <v>COB.JUD GANAD.RFA SUBORD. CCOR          4NC</v>
          </cell>
        </row>
        <row r="23639">
          <cell r="B23639" t="str">
            <v>51040610000215</v>
          </cell>
          <cell r="C23639" t="str">
            <v>CL COB.JUD.GANADO RFA FINANC CCOR       4NC</v>
          </cell>
        </row>
        <row r="23640">
          <cell r="B23640" t="str">
            <v>51040610000216</v>
          </cell>
          <cell r="C23640" t="str">
            <v>CL CJ GAN REC.COFIDE CCOR               4NC</v>
          </cell>
        </row>
        <row r="23641">
          <cell r="B23641" t="str">
            <v>51040610000217</v>
          </cell>
          <cell r="C23641" t="str">
            <v>CL C.J GANADO SOBREG CCTE. PJ CCOR      4NC</v>
          </cell>
        </row>
        <row r="23642">
          <cell r="B23642" t="str">
            <v>51040610000218</v>
          </cell>
          <cell r="C23642" t="str">
            <v>CL COB. JUD. GAN ARREN.FINAN PJ CCOR    4NC</v>
          </cell>
        </row>
        <row r="23643">
          <cell r="B23643" t="str">
            <v>51040610000301</v>
          </cell>
          <cell r="C23643" t="str">
            <v>JCC COB. JUD.GAN RP EXPORT CCOR -GL 70044NC</v>
          </cell>
        </row>
        <row r="23644">
          <cell r="B23644" t="str">
            <v>51040610000302</v>
          </cell>
          <cell r="C23644" t="str">
            <v>COB JUD GANIMPORT. RP GL 7004 CCOR      4NC</v>
          </cell>
        </row>
        <row r="23645">
          <cell r="B23645" t="str">
            <v>51040610000303</v>
          </cell>
          <cell r="C23645" t="str">
            <v>JCC COB.JUD. GAN CAP. DE TRAB. CCOR GL 74NC</v>
          </cell>
        </row>
        <row r="23646">
          <cell r="B23646" t="str">
            <v>51040610000304</v>
          </cell>
          <cell r="C23646" t="str">
            <v>JCC COB. JUD. DSCTO. PAG CCOR           4NC</v>
          </cell>
        </row>
        <row r="23647">
          <cell r="B23647" t="str">
            <v>51040610000305</v>
          </cell>
          <cell r="C23647" t="str">
            <v>JCC COB. JUD. DSCTO. LETRAS- CCOR JCC GL4NC</v>
          </cell>
        </row>
        <row r="23648">
          <cell r="B23648" t="str">
            <v>51040610000306</v>
          </cell>
          <cell r="C23648" t="str">
            <v>JCC COB. JUD. GAN FACTO. LETRAS CCOR GL74NC</v>
          </cell>
        </row>
        <row r="23649">
          <cell r="B23649" t="str">
            <v>51040610000307</v>
          </cell>
          <cell r="C23649" t="str">
            <v>JCC COB. JUD. GAN FACT. FACTU. CCOR GL704NC</v>
          </cell>
        </row>
        <row r="23650">
          <cell r="B23650" t="str">
            <v>51040610000308</v>
          </cell>
          <cell r="C23650" t="str">
            <v>JCC COB.JUD.GANADO CARTA D' CRED. CCOR G4NC</v>
          </cell>
        </row>
        <row r="23651">
          <cell r="B23651" t="str">
            <v>51040610000309</v>
          </cell>
          <cell r="C23651" t="str">
            <v>JCC COB.JUD.GAN CARTA FIANZA CCOR GL70044NC</v>
          </cell>
        </row>
        <row r="23652">
          <cell r="B23652" t="str">
            <v>51040610000310</v>
          </cell>
          <cell r="C23652" t="str">
            <v>JCC COB JUD GAN P TV MED PLZ C/FIJ CCOR 4NC</v>
          </cell>
        </row>
        <row r="23653">
          <cell r="B23653" t="str">
            <v>51040610000311</v>
          </cell>
          <cell r="C23653" t="str">
            <v>JCC COB.JUD. GANAD.TCMASTERC PJ CCOR    4NC</v>
          </cell>
        </row>
        <row r="23654">
          <cell r="B23654" t="str">
            <v>51040610000312</v>
          </cell>
          <cell r="C23654" t="str">
            <v>JCC C.J GANADO SOBREG CCTE. PJ CCOR     4NC</v>
          </cell>
        </row>
        <row r="23655">
          <cell r="B23655" t="str">
            <v>51040610000313</v>
          </cell>
          <cell r="C23655" t="str">
            <v>JCC COB. JUD. GAN ARREN.FINAN PJ CCOR   4NC</v>
          </cell>
        </row>
        <row r="23656">
          <cell r="B23656" t="str">
            <v>51040610000314</v>
          </cell>
          <cell r="C23656" t="str">
            <v>JCCCOB.JUD GANAD.RFA SUBORD. CCOR       4NC</v>
          </cell>
        </row>
        <row r="23657">
          <cell r="B23657" t="str">
            <v>51040610000315</v>
          </cell>
          <cell r="C23657" t="str">
            <v>JCC COB.JUD.GANADO RFA FINANC CCOR      4NC</v>
          </cell>
        </row>
        <row r="23658">
          <cell r="B23658" t="str">
            <v>51040610000316</v>
          </cell>
          <cell r="C23658" t="str">
            <v>JCC COB. JUD. GAN TARJ. CRED CCOR       4NC</v>
          </cell>
        </row>
        <row r="23659">
          <cell r="B23659" t="str">
            <v>51040610000317</v>
          </cell>
          <cell r="C23659" t="str">
            <v>JCC COB. JUD. GANA.T. CRED. AMEX PJ CCOR4NC</v>
          </cell>
        </row>
        <row r="23660">
          <cell r="B23660" t="str">
            <v>51040610000319</v>
          </cell>
          <cell r="C23660" t="str">
            <v>JCC CJ GAN REC.COFIDE CCOR              4NC</v>
          </cell>
        </row>
        <row r="23661">
          <cell r="B23661" t="str">
            <v>51040610000320</v>
          </cell>
          <cell r="C23661" t="str">
            <v>JCC COB.JUD. INT. GAN REACTIVA PERU CCOR4NC</v>
          </cell>
        </row>
        <row r="23662">
          <cell r="B23662" t="str">
            <v>51040610000321</v>
          </cell>
          <cell r="C23662" t="str">
            <v>JCC COB.JUD. INT. GAN REACTIVA PERU CCOR4 C</v>
          </cell>
        </row>
        <row r="23663">
          <cell r="B23663" t="str">
            <v>51040610000322</v>
          </cell>
          <cell r="C23663" t="str">
            <v>JCC COB.JUD. INT. GAN FONDO CRECER CCOR 4 C</v>
          </cell>
        </row>
        <row r="23664">
          <cell r="B23664" t="str">
            <v>51040610000323</v>
          </cell>
          <cell r="C23664" t="str">
            <v>JCC COB.JUD. INT. GAN REACT PRE-HONRAMIE4 C</v>
          </cell>
        </row>
        <row r="23665">
          <cell r="B23665" t="str">
            <v>51040610000324</v>
          </cell>
          <cell r="C23665" t="str">
            <v>JCC COB.JU INT GAN REACTI PRE-HONR REPRO4 C</v>
          </cell>
        </row>
        <row r="23666">
          <cell r="B23666" t="str">
            <v>51040610000325</v>
          </cell>
          <cell r="C23666" t="str">
            <v>JCC COB.JU INT GAN REACTI PRE-HONR REPRO4 C</v>
          </cell>
        </row>
        <row r="23667">
          <cell r="B23667" t="str">
            <v>51040610000326</v>
          </cell>
          <cell r="C23667" t="str">
            <v>JCC COB.JU INT GAN REACTI PRE-HONR REPRO4 C</v>
          </cell>
        </row>
        <row r="23668">
          <cell r="B23668" t="str">
            <v>51040610000327</v>
          </cell>
          <cell r="C23668" t="str">
            <v>JCC COB.JU INT GAN REACTI PRE-HONR REPRO4 C</v>
          </cell>
        </row>
        <row r="23669">
          <cell r="B23669" t="str">
            <v>51040610000328</v>
          </cell>
          <cell r="C23669" t="str">
            <v>JCC COB.JU INT GAN REACTI PRE-HONR REPRO4 C</v>
          </cell>
        </row>
        <row r="23670">
          <cell r="B23670" t="str">
            <v>51040610000329</v>
          </cell>
          <cell r="C23670" t="str">
            <v>JCC COB.JU INT GAN REACTI PRE-HONR REPRO4 C</v>
          </cell>
        </row>
        <row r="23671">
          <cell r="B23671" t="str">
            <v>51040610000330</v>
          </cell>
          <cell r="C23671" t="str">
            <v>JCC COB.JU INT GAN CRECER PRE-HONRAMIENT4 C</v>
          </cell>
        </row>
        <row r="23672">
          <cell r="B23672" t="str">
            <v>51040610000331</v>
          </cell>
          <cell r="C23672" t="str">
            <v>JCC COB.JU INT GAN CRECER PRE-HONRAMIENT4 C</v>
          </cell>
        </row>
        <row r="23673">
          <cell r="B23673" t="str">
            <v>51040610000332</v>
          </cell>
          <cell r="C23673" t="str">
            <v>JCC COB.JU INT GAN REACTI PRE-HONR REPRO4 C</v>
          </cell>
        </row>
        <row r="23674">
          <cell r="B23674" t="str">
            <v>51040610000333</v>
          </cell>
          <cell r="C23674" t="str">
            <v>JCC COB.JU INT GAN REACTI PRE-HONR REPRO4 C</v>
          </cell>
        </row>
        <row r="23675">
          <cell r="B23675" t="str">
            <v>51040610000334</v>
          </cell>
          <cell r="C23675" t="str">
            <v>JCC COB.JU INT GAN REACTI PRE-HONR REPRO4 C</v>
          </cell>
        </row>
        <row r="23676">
          <cell r="B23676" t="str">
            <v>51040610000335</v>
          </cell>
          <cell r="C23676" t="str">
            <v>JCC COB.JU INT GAN REACTI PRE-HONR REPRO4 C</v>
          </cell>
        </row>
        <row r="23677">
          <cell r="B23677" t="str">
            <v>51040610000336</v>
          </cell>
          <cell r="C23677" t="str">
            <v>JCC COB.JU INT GAN REACTI PRE-HONR REPRO4 C</v>
          </cell>
        </row>
        <row r="23678">
          <cell r="B23678" t="str">
            <v>51040610000337</v>
          </cell>
          <cell r="C23678" t="str">
            <v>JCC COB.JU INT GAN REACTI PRE-HONR REPRO4 C</v>
          </cell>
        </row>
        <row r="23679">
          <cell r="B23679" t="str">
            <v>51040610000338</v>
          </cell>
          <cell r="C23679" t="str">
            <v>JCC COB.JU INT GAN CRECER PRE-HONRAMIENT4 C</v>
          </cell>
        </row>
        <row r="23680">
          <cell r="B23680" t="str">
            <v>51040610000339</v>
          </cell>
          <cell r="C23680" t="str">
            <v>JCC COB.JU INT GAN CRECER PRE-HONRAMIENT4 C</v>
          </cell>
        </row>
        <row r="23681">
          <cell r="B23681" t="str">
            <v>51040610000340</v>
          </cell>
          <cell r="C23681" t="str">
            <v>JCC BC COB.JUD. INT IMPULSO MYPERU PRE-H4 C</v>
          </cell>
        </row>
        <row r="23682">
          <cell r="B23682" t="str">
            <v>51040610000341</v>
          </cell>
          <cell r="C23682" t="str">
            <v>JCC BC COB JUD IMPLUSO MYPERU HONRADO IB4 C</v>
          </cell>
        </row>
        <row r="23683">
          <cell r="B23683" t="str">
            <v>51040611000101</v>
          </cell>
          <cell r="C23683" t="str">
            <v>LPC INT COB JUD LEASING CGEM            4NC</v>
          </cell>
        </row>
        <row r="23684">
          <cell r="B23684" t="str">
            <v>51040611000102</v>
          </cell>
          <cell r="C23684" t="str">
            <v>JCC INT.MORATORIO JUD CGEM              4NC</v>
          </cell>
        </row>
        <row r="23685">
          <cell r="B23685" t="str">
            <v>51040611000201</v>
          </cell>
          <cell r="C23685" t="str">
            <v>CL COB. JUD. DSCTO. DE PAGARE CGEM      4NC</v>
          </cell>
        </row>
        <row r="23686">
          <cell r="B23686" t="str">
            <v>51040611000202</v>
          </cell>
          <cell r="C23686" t="str">
            <v>CL COB. JUD. DSCTO. LETRAS- CGEM CL GL704NC</v>
          </cell>
        </row>
        <row r="23687">
          <cell r="B23687" t="str">
            <v>51040611000203</v>
          </cell>
          <cell r="C23687" t="str">
            <v>CL COB. JUD.GAN RP EXPORT CGEM -GL 7004 4NC</v>
          </cell>
        </row>
        <row r="23688">
          <cell r="B23688" t="str">
            <v>51040611000204</v>
          </cell>
          <cell r="C23688" t="str">
            <v>CL COB.JUD. GAN CAP. DE TRAB. CGEM GL 704NC</v>
          </cell>
        </row>
        <row r="23689">
          <cell r="B23689" t="str">
            <v>51040611000205</v>
          </cell>
          <cell r="C23689" t="str">
            <v>CL COB. JUD. GAN FACTO. LETRAS CGEM GL704NC</v>
          </cell>
        </row>
        <row r="23690">
          <cell r="B23690" t="str">
            <v>51040611000206</v>
          </cell>
          <cell r="C23690" t="str">
            <v>CL COB. JUD. GAN FACT. FACTU. CGEM GL7004NC</v>
          </cell>
        </row>
        <row r="23691">
          <cell r="B23691" t="str">
            <v>51040611000207</v>
          </cell>
          <cell r="C23691" t="str">
            <v>COB.JUD.GANADO CARTA D' CRED. CGEM GL7004NC</v>
          </cell>
        </row>
        <row r="23692">
          <cell r="B23692" t="str">
            <v>51040611000208</v>
          </cell>
          <cell r="C23692" t="str">
            <v>CL COB.JUD.GAN CARTA FIANZA CGEM GL7004 4NC</v>
          </cell>
        </row>
        <row r="23693">
          <cell r="B23693" t="str">
            <v>51040611000209</v>
          </cell>
          <cell r="C23693" t="str">
            <v>CL COB JUD GAN P TV MED PLZ C/FIJ CGEM  4NC</v>
          </cell>
        </row>
        <row r="23694">
          <cell r="B23694" t="str">
            <v>51040611000210</v>
          </cell>
          <cell r="C23694" t="str">
            <v>CL COB. JUD. GAN TARJ. CRED CGEM        4NC</v>
          </cell>
        </row>
        <row r="23695">
          <cell r="B23695" t="str">
            <v>51040611000211</v>
          </cell>
          <cell r="C23695" t="str">
            <v>CL COB. JUD. GANA.T. CRED. AMEX PJ CGEM 4NC</v>
          </cell>
        </row>
        <row r="23696">
          <cell r="B23696" t="str">
            <v>51040611000212</v>
          </cell>
          <cell r="C23696" t="str">
            <v>CL COB.JUD. GANAD.TCMASTERC PJ CGEM     4NC</v>
          </cell>
        </row>
        <row r="23697">
          <cell r="B23697" t="str">
            <v>51040611000213</v>
          </cell>
          <cell r="C23697" t="str">
            <v>COB.JUD GANAD.RFA SUBORD CGEM           4NC</v>
          </cell>
        </row>
        <row r="23698">
          <cell r="B23698" t="str">
            <v>51040611000214</v>
          </cell>
          <cell r="C23698" t="str">
            <v>CL COB.JUD.GANADO RFA FINANC CGEM       4NC</v>
          </cell>
        </row>
        <row r="23699">
          <cell r="B23699" t="str">
            <v>51040611000215</v>
          </cell>
          <cell r="C23699" t="str">
            <v>CL CJ GAN REC.COFIDE CGEM               4NC</v>
          </cell>
        </row>
        <row r="23700">
          <cell r="B23700" t="str">
            <v>51040611000216</v>
          </cell>
          <cell r="C23700" t="str">
            <v>CL C.J GANADO SOBREG CCTE. PJ CGEM      4NC</v>
          </cell>
        </row>
        <row r="23701">
          <cell r="B23701" t="str">
            <v>51040611000217</v>
          </cell>
          <cell r="C23701" t="str">
            <v>CL COB. JUD. GAN ARREN.FINAN PJ CGEM    4NC</v>
          </cell>
        </row>
        <row r="23702">
          <cell r="B23702" t="str">
            <v>51040611000301</v>
          </cell>
          <cell r="C23702" t="str">
            <v>JCC COB. JUD.GAN RP EXPORT CGEM -GL 70044NC</v>
          </cell>
        </row>
        <row r="23703">
          <cell r="B23703" t="str">
            <v>51040611000302</v>
          </cell>
          <cell r="C23703" t="str">
            <v>JCC COB.JUD. GAN CAP. DE TRAB. CGEM GL 74NC</v>
          </cell>
        </row>
        <row r="23704">
          <cell r="B23704" t="str">
            <v>51040611000303</v>
          </cell>
          <cell r="C23704" t="str">
            <v>JCC COB. JUD. DSCTO. DE PAGARE CGEM     4NC</v>
          </cell>
        </row>
        <row r="23705">
          <cell r="B23705" t="str">
            <v>51040611000304</v>
          </cell>
          <cell r="C23705" t="str">
            <v>JCC COB. JUD. DSCTO. LETRAS- CGEM JCC GL4NC</v>
          </cell>
        </row>
        <row r="23706">
          <cell r="B23706" t="str">
            <v>51040611000305</v>
          </cell>
          <cell r="C23706" t="str">
            <v>JCC COB. JUD. GAN FACTO. LETRAS CGEM GL74NC</v>
          </cell>
        </row>
        <row r="23707">
          <cell r="B23707" t="str">
            <v>51040611000306</v>
          </cell>
          <cell r="C23707" t="str">
            <v>JCC COB. JUD. GAN FACT. FACTU. CGEM GL704NC</v>
          </cell>
        </row>
        <row r="23708">
          <cell r="B23708" t="str">
            <v>51040611000307</v>
          </cell>
          <cell r="C23708" t="str">
            <v>JCC COB.JUD.GANADO CARTA D' CRED. CGEM G4NC</v>
          </cell>
        </row>
        <row r="23709">
          <cell r="B23709" t="str">
            <v>51040611000308</v>
          </cell>
          <cell r="C23709" t="str">
            <v>JCC COB.JUD.GAN CARTA FIANZA CGEM GL70044NC</v>
          </cell>
        </row>
        <row r="23710">
          <cell r="B23710" t="str">
            <v>51040611000309</v>
          </cell>
          <cell r="C23710" t="str">
            <v>JCC COB JUD GAN P TV MED PLZ C/FIJ CGEM 4NC</v>
          </cell>
        </row>
        <row r="23711">
          <cell r="B23711" t="str">
            <v>51040611000310</v>
          </cell>
          <cell r="C23711" t="str">
            <v>JCC COB.JUD. GANAD.TCMASTERC PJ CGEM    4NC</v>
          </cell>
        </row>
        <row r="23712">
          <cell r="B23712" t="str">
            <v>51040611000311</v>
          </cell>
          <cell r="C23712" t="str">
            <v>JCC C.J GANADO SOBREG CCTE. PJ CGEM     4NC</v>
          </cell>
        </row>
        <row r="23713">
          <cell r="B23713" t="str">
            <v>51040611000312</v>
          </cell>
          <cell r="C23713" t="str">
            <v>JCC COB. JUD. GAN ARREN.FINAN PJ CGEM   4NC</v>
          </cell>
        </row>
        <row r="23714">
          <cell r="B23714" t="str">
            <v>51040611000313</v>
          </cell>
          <cell r="C23714" t="str">
            <v>JCC COB.JUD GANAD.RFA SUBORD CGEM       4NC</v>
          </cell>
        </row>
        <row r="23715">
          <cell r="B23715" t="str">
            <v>51040611000314</v>
          </cell>
          <cell r="C23715" t="str">
            <v>JCC COB.JUD.GANADO RFA FINANC CGEM      4NC</v>
          </cell>
        </row>
        <row r="23716">
          <cell r="B23716" t="str">
            <v>51040611000315</v>
          </cell>
          <cell r="C23716" t="str">
            <v>JCC COB. JUD. GAN TARJ. CRED CGEM       4NC</v>
          </cell>
        </row>
        <row r="23717">
          <cell r="B23717" t="str">
            <v>51040611000316</v>
          </cell>
          <cell r="C23717" t="str">
            <v>JCC COB. JUD. GANA.T. CRED. AMEX PJ CGEM4NC</v>
          </cell>
        </row>
        <row r="23718">
          <cell r="B23718" t="str">
            <v>51040611000318</v>
          </cell>
          <cell r="C23718" t="str">
            <v>JCC CJ GAN REC.COFIDE CGEM              4NC</v>
          </cell>
        </row>
        <row r="23719">
          <cell r="B23719" t="str">
            <v>51040611000321</v>
          </cell>
          <cell r="C23719" t="str">
            <v>JCC MYP JUD CAP TRAB INT GANÂ  CMED     4NC</v>
          </cell>
        </row>
        <row r="23720">
          <cell r="B23720" t="str">
            <v>51040611000322</v>
          </cell>
          <cell r="C23720" t="str">
            <v>JCC COB.JUD. INT. GAN REACTIVA PERU CGEM4NC</v>
          </cell>
        </row>
        <row r="23721">
          <cell r="B23721" t="str">
            <v>51040611000323</v>
          </cell>
          <cell r="C23721" t="str">
            <v>JCC COB.JUD. INT. GAN REACTIVA PERU CGEM4 C</v>
          </cell>
        </row>
        <row r="23722">
          <cell r="B23722" t="str">
            <v>51040611000324</v>
          </cell>
          <cell r="C23722" t="str">
            <v>JCC COB.JUD. INT. GAN FONDO CRECER CGEM 4 C</v>
          </cell>
        </row>
        <row r="23723">
          <cell r="B23723" t="str">
            <v>51040611000325</v>
          </cell>
          <cell r="C23723" t="str">
            <v>JCC COB.JUD. INT. GAN FONDO CRECER CGEM 4 C</v>
          </cell>
        </row>
        <row r="23724">
          <cell r="B23724" t="str">
            <v>51040611000326</v>
          </cell>
          <cell r="C23724" t="str">
            <v>JCC COB.JUD. INT. GAN REACT PRE-HONRAMIE4 C</v>
          </cell>
        </row>
        <row r="23725">
          <cell r="B23725" t="str">
            <v>51040611000327</v>
          </cell>
          <cell r="C23725" t="str">
            <v>JCC COB.JUD. INT. GAN REACT PRE-HONRAMIE4 C</v>
          </cell>
        </row>
        <row r="23726">
          <cell r="B23726" t="str">
            <v>51040611000328</v>
          </cell>
          <cell r="C23726" t="str">
            <v>JCC COB.JU INT GAN REACTI PRE-HONR REPRO4 C</v>
          </cell>
        </row>
        <row r="23727">
          <cell r="B23727" t="str">
            <v>51040611000329</v>
          </cell>
          <cell r="C23727" t="str">
            <v>JCC COB.JU INT GAN REACTI PRE-HONR REPRO4 C</v>
          </cell>
        </row>
        <row r="23728">
          <cell r="B23728" t="str">
            <v>51040611000330</v>
          </cell>
          <cell r="C23728" t="str">
            <v>JCC COB.JU INT GAN REACTI PRE-HONR REPRO4 C</v>
          </cell>
        </row>
        <row r="23729">
          <cell r="B23729" t="str">
            <v>51040611000331</v>
          </cell>
          <cell r="C23729" t="str">
            <v>JCC COB.JU INT GAN REACTI PRE-HONR REPRO4 C</v>
          </cell>
        </row>
        <row r="23730">
          <cell r="B23730" t="str">
            <v>51040611000332</v>
          </cell>
          <cell r="C23730" t="str">
            <v>JCC COB.JU INT GAN REACTI PRE-HONR REPRO4 C</v>
          </cell>
        </row>
        <row r="23731">
          <cell r="B23731" t="str">
            <v>51040611000333</v>
          </cell>
          <cell r="C23731" t="str">
            <v>JCC COB.JU INT GAN REACTI PRE-HONR REPRO4 C</v>
          </cell>
        </row>
        <row r="23732">
          <cell r="B23732" t="str">
            <v>51040611000334</v>
          </cell>
          <cell r="C23732" t="str">
            <v>JCC COB.JU INT GAN CRECER PRE-HONRAMIENT4 C</v>
          </cell>
        </row>
        <row r="23733">
          <cell r="B23733" t="str">
            <v>51040611000335</v>
          </cell>
          <cell r="C23733" t="str">
            <v>JCC COB.JU INT GAN CRECER PRE-HONRAMIENT4 C</v>
          </cell>
        </row>
        <row r="23734">
          <cell r="B23734" t="str">
            <v>51040611000336</v>
          </cell>
          <cell r="C23734" t="str">
            <v>JCC COB.JU INT GAN REACTI PRE-HONR REPRO4 C</v>
          </cell>
        </row>
        <row r="23735">
          <cell r="B23735" t="str">
            <v>51040611000337</v>
          </cell>
          <cell r="C23735" t="str">
            <v>JCC COB.JU INT GAN REACTI PRE-HONR REPRO4 C</v>
          </cell>
        </row>
        <row r="23736">
          <cell r="B23736" t="str">
            <v>51040611000338</v>
          </cell>
          <cell r="C23736" t="str">
            <v>JCC COB.JU INT GAN REACTI PRE-HONR REPRO4 C</v>
          </cell>
        </row>
        <row r="23737">
          <cell r="B23737" t="str">
            <v>51040611000339</v>
          </cell>
          <cell r="C23737" t="str">
            <v>JCC COB.JU INT GAN REACTI PRE-HONR REPRO4 C</v>
          </cell>
        </row>
        <row r="23738">
          <cell r="B23738" t="str">
            <v>51040611000340</v>
          </cell>
          <cell r="C23738" t="str">
            <v>JCC COB.JU INT GAN REACTI PRE-HONR REPRO4 C</v>
          </cell>
        </row>
        <row r="23739">
          <cell r="B23739" t="str">
            <v>51040611000341</v>
          </cell>
          <cell r="C23739" t="str">
            <v>JCC COB.JU INT GAN REACTI PRE-HONR REPRO4 C</v>
          </cell>
        </row>
        <row r="23740">
          <cell r="B23740" t="str">
            <v>51040611000342</v>
          </cell>
          <cell r="C23740" t="str">
            <v>JCC COB.JU INT GAN CRECER PRE-HONRAMIENT4 C</v>
          </cell>
        </row>
        <row r="23741">
          <cell r="B23741" t="str">
            <v>51040611000343</v>
          </cell>
          <cell r="C23741" t="str">
            <v>JCC COB.JU INT GAN CRECER PRE-HONRAMIENT4 C</v>
          </cell>
        </row>
        <row r="23742">
          <cell r="B23742" t="str">
            <v>51040611000344</v>
          </cell>
          <cell r="C23742" t="str">
            <v>JCC MP COB.JUD. INT. GAN IMPULSO MYPERU 4 C</v>
          </cell>
        </row>
        <row r="23743">
          <cell r="B23743" t="str">
            <v>51040611000345</v>
          </cell>
          <cell r="C23743" t="str">
            <v>JCC BC COB.JUD. INT IMPULSO MYPERU PRE-H4 C</v>
          </cell>
        </row>
        <row r="23744">
          <cell r="B23744" t="str">
            <v>51040611000346</v>
          </cell>
          <cell r="C23744" t="str">
            <v>JCC MP COB JUD IMPLUSO MYPERU HONRADO IB4 C</v>
          </cell>
        </row>
        <row r="23745">
          <cell r="B23745" t="str">
            <v>51040611000347</v>
          </cell>
          <cell r="C23745" t="str">
            <v>JCC CCD COBJUD CAPITAL DE TRABAJO ING CG4 C</v>
          </cell>
        </row>
        <row r="23746">
          <cell r="B23746" t="str">
            <v>51040612000101</v>
          </cell>
          <cell r="C23746" t="str">
            <v>LPC INT COB JUD LEASING CMED            4NC</v>
          </cell>
        </row>
        <row r="23747">
          <cell r="B23747" t="str">
            <v>51040612000102</v>
          </cell>
          <cell r="C23747" t="str">
            <v>LPC INT.GAND.LS COB.JUD BPE CMED        4NC</v>
          </cell>
        </row>
        <row r="23748">
          <cell r="B23748" t="str">
            <v>51040612000103</v>
          </cell>
          <cell r="C23748" t="str">
            <v>JCC NT.MORATORIO JUD CMED               4NC</v>
          </cell>
        </row>
        <row r="23749">
          <cell r="B23749" t="str">
            <v>51040612000104</v>
          </cell>
          <cell r="C23749" t="str">
            <v>JCC INTERESES MORATORIOS JUD MYP CMED   4NC</v>
          </cell>
        </row>
        <row r="23750">
          <cell r="B23750" t="str">
            <v>51040612000201</v>
          </cell>
          <cell r="C23750" t="str">
            <v>CL COB. JUD. DSCTO. DE PAG CMED         4NC</v>
          </cell>
        </row>
        <row r="23751">
          <cell r="B23751" t="str">
            <v>51040612000202</v>
          </cell>
          <cell r="C23751" t="str">
            <v>CL COB. JUD. DSCTO. LETRAS- CMED CL GL704NC</v>
          </cell>
        </row>
        <row r="23752">
          <cell r="B23752" t="str">
            <v>51040612000203</v>
          </cell>
          <cell r="C23752" t="str">
            <v>CL COB. JUD.GAN RP EXPORT CMED -GL 7004 4NC</v>
          </cell>
        </row>
        <row r="23753">
          <cell r="B23753" t="str">
            <v>51040612000204</v>
          </cell>
          <cell r="C23753" t="str">
            <v>COB JUD GANIMPORT. RP GL 7004 CMED      4NC</v>
          </cell>
        </row>
        <row r="23754">
          <cell r="B23754" t="str">
            <v>51040612000205</v>
          </cell>
          <cell r="C23754" t="str">
            <v>CL COB.JUD. GAN CAP. DE TRAB. CMED GL 704NC</v>
          </cell>
        </row>
        <row r="23755">
          <cell r="B23755" t="str">
            <v>51040612000206</v>
          </cell>
          <cell r="C23755" t="str">
            <v>CL COB. JUD. GAN FACTO. LETRAS CMED GL704NC</v>
          </cell>
        </row>
        <row r="23756">
          <cell r="B23756" t="str">
            <v>51040612000207</v>
          </cell>
          <cell r="C23756" t="str">
            <v>CL COB. JUD. GAN FACT. FACTU. CMED GL7004NC</v>
          </cell>
        </row>
        <row r="23757">
          <cell r="B23757" t="str">
            <v>51040612000208</v>
          </cell>
          <cell r="C23757" t="str">
            <v>COB.JUD.GANADO CARTA D' CRED. CMED GL7004NC</v>
          </cell>
        </row>
        <row r="23758">
          <cell r="B23758" t="str">
            <v>51040612000209</v>
          </cell>
          <cell r="C23758" t="str">
            <v>CL COB.JUD.GAN CARTA FIANZA CMED GL7004 4NC</v>
          </cell>
        </row>
        <row r="23759">
          <cell r="B23759" t="str">
            <v>51040612000210</v>
          </cell>
          <cell r="C23759" t="str">
            <v>CL COB JUD GAN P TV MED PLZ C/FIJ CMED  4NC</v>
          </cell>
        </row>
        <row r="23760">
          <cell r="B23760" t="str">
            <v>51040612000211</v>
          </cell>
          <cell r="C23760" t="str">
            <v>CL INT MORATORIOS JUD CMED              4NC</v>
          </cell>
        </row>
        <row r="23761">
          <cell r="B23761" t="str">
            <v>51040612000212</v>
          </cell>
          <cell r="C23761" t="str">
            <v>CL CJ MYP CAP TRAB INT GAN  CMED        4NC</v>
          </cell>
        </row>
        <row r="23762">
          <cell r="B23762" t="str">
            <v>51040612000213</v>
          </cell>
          <cell r="C23762" t="str">
            <v>CL CJ MYP COMP AF INMUEB INT GAN CMED   4NC</v>
          </cell>
        </row>
        <row r="23763">
          <cell r="B23763" t="str">
            <v>51040612000214</v>
          </cell>
          <cell r="C23763" t="str">
            <v>CL CJ MYP COMP AF MUEB INT GAN CMED     4NC</v>
          </cell>
        </row>
        <row r="23764">
          <cell r="B23764" t="str">
            <v>51040612000215</v>
          </cell>
          <cell r="C23764" t="str">
            <v>CL CJ MYP CRED ESTAC INT GAN  CMED      4NC</v>
          </cell>
        </row>
        <row r="23765">
          <cell r="B23765" t="str">
            <v>51040612000216</v>
          </cell>
          <cell r="C23765" t="str">
            <v>CL CJ MYP AF CYBERPL INT GAN CMED       4NC</v>
          </cell>
        </row>
        <row r="23766">
          <cell r="B23766" t="str">
            <v>51040612000217</v>
          </cell>
          <cell r="C23766" t="str">
            <v>CL COB. JUD. GAN TARJ. CRED CMED        4NC</v>
          </cell>
        </row>
        <row r="23767">
          <cell r="B23767" t="str">
            <v>51040612000218</v>
          </cell>
          <cell r="C23767" t="str">
            <v>CL COB. JUD. GANA.T. CRED. AMEX PJ CMED 4NC</v>
          </cell>
        </row>
        <row r="23768">
          <cell r="B23768" t="str">
            <v>51040612000219</v>
          </cell>
          <cell r="C23768" t="str">
            <v>CL COB.JUD. GANAD.TCMASTERC PJ CMED     4NC</v>
          </cell>
        </row>
        <row r="23769">
          <cell r="B23769" t="str">
            <v>51040612000220</v>
          </cell>
          <cell r="C23769" t="str">
            <v>COB.JUD GANAD.RFA SUBORD CMED           4NC</v>
          </cell>
        </row>
        <row r="23770">
          <cell r="B23770" t="str">
            <v>51040612000221</v>
          </cell>
          <cell r="C23770" t="str">
            <v>CL COB.JUD.GANADO RFA FINANC CMED       4NC</v>
          </cell>
        </row>
        <row r="23771">
          <cell r="B23771" t="str">
            <v>51040612000222</v>
          </cell>
          <cell r="C23771" t="str">
            <v>CL CJ GAN REC.COFIDE CMED               4NC</v>
          </cell>
        </row>
        <row r="23772">
          <cell r="B23772" t="str">
            <v>51040612000223</v>
          </cell>
          <cell r="C23772" t="str">
            <v>CL C.J GANADO SOBREG CCTE. PJ CMED      4NC</v>
          </cell>
        </row>
        <row r="23773">
          <cell r="B23773" t="str">
            <v>51040612000224</v>
          </cell>
          <cell r="C23773" t="str">
            <v>CL COB. JUD. GAN ARREN.FINAN PJ CMED    4NC</v>
          </cell>
        </row>
        <row r="23774">
          <cell r="B23774" t="str">
            <v>51040612000225</v>
          </cell>
          <cell r="C23774" t="str">
            <v>CL COB.JUD.CRED EFEC NR INT.GAN CMED    4NC</v>
          </cell>
        </row>
        <row r="23775">
          <cell r="B23775" t="str">
            <v>51040612000226</v>
          </cell>
          <cell r="C23775" t="str">
            <v>CL COB.JUD.CRED CONSUMO NR INT.GAN CMED 4NC</v>
          </cell>
        </row>
        <row r="23776">
          <cell r="B23776" t="str">
            <v>51040612000227</v>
          </cell>
          <cell r="C23776" t="str">
            <v>CL COB. JUD.GAN CRED VEHIC CMED         4NC</v>
          </cell>
        </row>
        <row r="23777">
          <cell r="B23777" t="str">
            <v>51040612000228</v>
          </cell>
          <cell r="C23777" t="str">
            <v>CL COB. JUD. GAN EX CONV CMED           4NC</v>
          </cell>
        </row>
        <row r="23778">
          <cell r="B23778" t="str">
            <v>51040612000229</v>
          </cell>
          <cell r="C23778" t="str">
            <v>CL COB. JUD. GAN REFIN. IC CMED         4NC</v>
          </cell>
        </row>
        <row r="23779">
          <cell r="B23779" t="str">
            <v>51040612000230</v>
          </cell>
          <cell r="C23779" t="str">
            <v>CL COBJUD GAN CRED CONS ADEL SUELDO     4NC</v>
          </cell>
        </row>
        <row r="23780">
          <cell r="B23780" t="str">
            <v>51040612000231</v>
          </cell>
          <cell r="C23780" t="str">
            <v>CL COBJUD INT CRED CONS PREF CMED       4NC</v>
          </cell>
        </row>
        <row r="23781">
          <cell r="B23781" t="str">
            <v>51040612000232</v>
          </cell>
          <cell r="C23781" t="str">
            <v>CL INT GAN JUD VISA PN  DIS EFE CMED    4NC</v>
          </cell>
        </row>
        <row r="23782">
          <cell r="B23782" t="str">
            <v>51040612000233</v>
          </cell>
          <cell r="C23782" t="str">
            <v>CL GAN JUD AMEX PN DISP EFEC CMED       4NC</v>
          </cell>
        </row>
        <row r="23783">
          <cell r="B23783" t="str">
            <v>51040612000234</v>
          </cell>
          <cell r="C23783" t="str">
            <v>CL GAN JUD MASTER C PN DISP EF CMED     4NC</v>
          </cell>
        </row>
        <row r="23784">
          <cell r="B23784" t="str">
            <v>51040612000235</v>
          </cell>
          <cell r="C23784" t="str">
            <v>CL INT GAN JUD VISA PN  CONSUMO CMED    4NC</v>
          </cell>
        </row>
        <row r="23785">
          <cell r="B23785" t="str">
            <v>51040612000236</v>
          </cell>
          <cell r="C23785" t="str">
            <v>CL GAN JUD AMEX PN CONSUMO CMED         4NC</v>
          </cell>
        </row>
        <row r="23786">
          <cell r="B23786" t="str">
            <v>51040612000237</v>
          </cell>
          <cell r="C23786" t="str">
            <v>CL GAN JUD MASTER C PN DISP EF CMED     4NC</v>
          </cell>
        </row>
        <row r="23787">
          <cell r="B23787" t="str">
            <v>51040612000238</v>
          </cell>
          <cell r="C23787" t="str">
            <v>CL INT GAN C.JUD CRED EFEC GTIA HIPOT CM4NC</v>
          </cell>
        </row>
        <row r="23788">
          <cell r="B23788" t="str">
            <v>51040612000239</v>
          </cell>
          <cell r="C23788" t="str">
            <v>CL INT GAN PRE JUD SOBREG C.CTE PN CMED 4NC</v>
          </cell>
        </row>
        <row r="23789">
          <cell r="B23789" t="str">
            <v>51040612000240</v>
          </cell>
          <cell r="C23789" t="str">
            <v>CL COB.JUD.CRE.EFECTIVO INT.GAN         4NC</v>
          </cell>
        </row>
        <row r="23790">
          <cell r="B23790" t="str">
            <v>51040612000241</v>
          </cell>
          <cell r="C23790" t="str">
            <v>CL MYP JUD.C.TRAB.INT.GAN.REV.CMED      4NC</v>
          </cell>
        </row>
        <row r="23791">
          <cell r="B23791" t="str">
            <v>51040612000242</v>
          </cell>
          <cell r="C23791" t="str">
            <v>CL INT COB JUD. HIPOTEC. VIVIENDA CMED  4NC</v>
          </cell>
        </row>
        <row r="23792">
          <cell r="B23792" t="str">
            <v>51040612000301</v>
          </cell>
          <cell r="C23792" t="str">
            <v>LPC INT COB JUD LEASING COFIDE CMED     4NC</v>
          </cell>
        </row>
        <row r="23793">
          <cell r="B23793" t="str">
            <v>51040612000401</v>
          </cell>
          <cell r="C23793" t="str">
            <v>LPC INT COB JUD LEASE-BACK COFIDE CMED  4NC</v>
          </cell>
        </row>
        <row r="23794">
          <cell r="B23794" t="str">
            <v>51040612000501</v>
          </cell>
          <cell r="C23794" t="str">
            <v>JCC COB.JUD. GAN CAP. DE TRAB. CMED GL 74NC</v>
          </cell>
        </row>
        <row r="23795">
          <cell r="B23795" t="str">
            <v>51040612000502</v>
          </cell>
          <cell r="C23795" t="str">
            <v>JCC COB.JUD.CRED EFEC NR INT.GAN CMED   4NC</v>
          </cell>
        </row>
        <row r="23796">
          <cell r="B23796" t="str">
            <v>51040612000503</v>
          </cell>
          <cell r="C23796" t="str">
            <v>JCC COB. JUD.GAN CRED VEHIC CMED        4NC</v>
          </cell>
        </row>
        <row r="23797">
          <cell r="B23797" t="str">
            <v>51040612000504</v>
          </cell>
          <cell r="C23797" t="str">
            <v>COB JUD GANIMPORT. RP GL 7004 CMED      4NC</v>
          </cell>
        </row>
        <row r="23798">
          <cell r="B23798" t="str">
            <v>51040612000505</v>
          </cell>
          <cell r="C23798" t="str">
            <v>JCC COB. JUD.GAN RP EXPORT CMED -GL 70044NC</v>
          </cell>
        </row>
        <row r="23799">
          <cell r="B23799" t="str">
            <v>51040612000506</v>
          </cell>
          <cell r="C23799" t="str">
            <v>JCC COB. JUD. GAN EX CONV CMED REF      4NC</v>
          </cell>
        </row>
        <row r="23800">
          <cell r="B23800" t="str">
            <v>51040612000507</v>
          </cell>
          <cell r="C23800" t="str">
            <v>JCC CJ MYP COMP AF INMUEB INT GAN CMED  4NC</v>
          </cell>
        </row>
        <row r="23801">
          <cell r="B23801" t="str">
            <v>51040612000508</v>
          </cell>
          <cell r="C23801" t="str">
            <v>JCC CJ MYP COMP AF MUEB INT GAN CMED    4NC</v>
          </cell>
        </row>
        <row r="23802">
          <cell r="B23802" t="str">
            <v>51040612000509</v>
          </cell>
          <cell r="C23802" t="str">
            <v>JCC COB. JUD. DSCTO. DE PAG CMED        4NC</v>
          </cell>
        </row>
        <row r="23803">
          <cell r="B23803" t="str">
            <v>51040612000510</v>
          </cell>
          <cell r="C23803" t="str">
            <v>JCC COB. JUD. DSCTO. LETRAS- CMED JCC GL4NC</v>
          </cell>
        </row>
        <row r="23804">
          <cell r="B23804" t="str">
            <v>51040612000511</v>
          </cell>
          <cell r="C23804" t="str">
            <v>JCC COB. JUD. GAN FACTO. LETRAS CMED GL74NC</v>
          </cell>
        </row>
        <row r="23805">
          <cell r="B23805" t="str">
            <v>51040612000512</v>
          </cell>
          <cell r="C23805" t="str">
            <v>JCC COB. JUD. GAN FACT. FACTU. CMED GL704NC</v>
          </cell>
        </row>
        <row r="23806">
          <cell r="B23806" t="str">
            <v>51040612000513</v>
          </cell>
          <cell r="C23806" t="str">
            <v>JCC COB.JUD.GANADO CARTA D' CRED. CMED G4NC</v>
          </cell>
        </row>
        <row r="23807">
          <cell r="B23807" t="str">
            <v>51040612000514</v>
          </cell>
          <cell r="C23807" t="str">
            <v>JCC COB.JUD.GAN CARTA FIANZA CMED GL70044NC</v>
          </cell>
        </row>
        <row r="23808">
          <cell r="B23808" t="str">
            <v>51040612000515</v>
          </cell>
          <cell r="C23808" t="str">
            <v>JCC COB JUD GAN P TV MED PLZ C/FIJ CMED 4NC</v>
          </cell>
        </row>
        <row r="23809">
          <cell r="B23809" t="str">
            <v>51040612000516</v>
          </cell>
          <cell r="C23809" t="str">
            <v>JCC INT MORATORIOS JUD CMED             4NC</v>
          </cell>
        </row>
        <row r="23810">
          <cell r="B23810" t="str">
            <v>51040612000517</v>
          </cell>
          <cell r="C23810" t="str">
            <v>JCC  MYP CAP TRAB INT GAN  CMED         4NC</v>
          </cell>
        </row>
        <row r="23811">
          <cell r="B23811" t="str">
            <v>51040612000518</v>
          </cell>
          <cell r="C23811" t="str">
            <v>JCC CJ MYP CRED ESTAC INT GAN  CMED     4NC</v>
          </cell>
        </row>
        <row r="23812">
          <cell r="B23812" t="str">
            <v>51040612000519</v>
          </cell>
          <cell r="C23812" t="str">
            <v>JCC  MYP AF CYBERPL INT GAN CMED        4NC</v>
          </cell>
        </row>
        <row r="23813">
          <cell r="B23813" t="str">
            <v>51040612000520</v>
          </cell>
          <cell r="C23813" t="str">
            <v>JCC COB.JUD. GANAD.TCMASTERC PJ CMED    4NC</v>
          </cell>
        </row>
        <row r="23814">
          <cell r="B23814" t="str">
            <v>51040612000521</v>
          </cell>
          <cell r="C23814" t="str">
            <v>JCC C.J GANADO SOBREG CCTE. PJ CMED     4NC</v>
          </cell>
        </row>
        <row r="23815">
          <cell r="B23815" t="str">
            <v>51040612000522</v>
          </cell>
          <cell r="C23815" t="str">
            <v>JCC COB. JUD. GAN ARREN.FINAN PJ CMED   4NC</v>
          </cell>
        </row>
        <row r="23816">
          <cell r="B23816" t="str">
            <v>51040612000523</v>
          </cell>
          <cell r="C23816" t="str">
            <v>JCC COB.JUD GANAD.RFA SUBORD CMED       4NC</v>
          </cell>
        </row>
        <row r="23817">
          <cell r="B23817" t="str">
            <v>51040612000524</v>
          </cell>
          <cell r="C23817" t="str">
            <v>JCC COB.JUD.GANADO RFA FINANC CMED      4NC</v>
          </cell>
        </row>
        <row r="23818">
          <cell r="B23818" t="str">
            <v>51040612000526</v>
          </cell>
          <cell r="C23818" t="str">
            <v>JCC COB. JUD. GAN TARJ. CRED CMED       4NC</v>
          </cell>
        </row>
        <row r="23819">
          <cell r="B23819" t="str">
            <v>51040612000527</v>
          </cell>
          <cell r="C23819" t="str">
            <v>JCC COB. JUD. GANA.T. CRED. AMEX PJ CMED4NC</v>
          </cell>
        </row>
        <row r="23820">
          <cell r="B23820" t="str">
            <v>51040612000529</v>
          </cell>
          <cell r="C23820" t="str">
            <v>JCC CJ GAN REC.COFIDE CMED              4NC</v>
          </cell>
        </row>
        <row r="23821">
          <cell r="B23821" t="str">
            <v>51040612000532</v>
          </cell>
          <cell r="C23821" t="str">
            <v>JCC MYP JUD.C.TRAB.INT.GAN.REV.CMED     4NC</v>
          </cell>
        </row>
        <row r="23822">
          <cell r="B23822" t="str">
            <v>51040612000533</v>
          </cell>
          <cell r="C23822" t="str">
            <v>JCC INT.GANADO JUD.MYP LS BPE CMED      4NC</v>
          </cell>
        </row>
        <row r="23823">
          <cell r="B23823" t="str">
            <v>51040612000534</v>
          </cell>
          <cell r="C23823" t="str">
            <v>JCC COB.JUD. INT. GAN REACTIVA PERU CMED4NC</v>
          </cell>
        </row>
        <row r="23824">
          <cell r="B23824" t="str">
            <v>51040612000535</v>
          </cell>
          <cell r="C23824" t="str">
            <v>JCC COB.JUD. INT. GAN REACTIVA PERU CMED4 C</v>
          </cell>
        </row>
        <row r="23825">
          <cell r="B23825" t="str">
            <v>51040612000536</v>
          </cell>
          <cell r="C23825" t="str">
            <v>JCC COB.JUD. INT. GAN FONDO CRECER CMED 4 C</v>
          </cell>
        </row>
        <row r="23826">
          <cell r="B23826" t="str">
            <v>51040612000537</v>
          </cell>
          <cell r="C23826" t="str">
            <v>JCC COB.JUD. INT. GAN FONDO CRECER CMED 4 C</v>
          </cell>
        </row>
        <row r="23827">
          <cell r="B23827" t="str">
            <v>51040612000538</v>
          </cell>
          <cell r="C23827" t="str">
            <v>JCC COB.JUD. INT. GAN REACT PRE-HONRAMIE4 C</v>
          </cell>
        </row>
        <row r="23828">
          <cell r="B23828" t="str">
            <v>51040612000539</v>
          </cell>
          <cell r="C23828" t="str">
            <v>JCC COB.JUD. INT. GAN REACT PRE-HONRAMIE4 C</v>
          </cell>
        </row>
        <row r="23829">
          <cell r="B23829" t="str">
            <v>51040612000540</v>
          </cell>
          <cell r="C23829" t="str">
            <v>JCC COB.JUD CONSU PREFERENTE CMED       4NC</v>
          </cell>
        </row>
        <row r="23830">
          <cell r="B23830" t="str">
            <v>51040612000541</v>
          </cell>
          <cell r="C23830" t="str">
            <v>JCC COB.JU INT GAN REACTI PRE-HONR REPRO4 C</v>
          </cell>
        </row>
        <row r="23831">
          <cell r="B23831" t="str">
            <v>51040612000542</v>
          </cell>
          <cell r="C23831" t="str">
            <v>JCC COB.JU INT GAN REACTI PRE-HONR REPRO4 C</v>
          </cell>
        </row>
        <row r="23832">
          <cell r="B23832" t="str">
            <v>51040612000543</v>
          </cell>
          <cell r="C23832" t="str">
            <v>JCC COB.JU INT GAN REACTI PRE-HONR REPRO4 C</v>
          </cell>
        </row>
        <row r="23833">
          <cell r="B23833" t="str">
            <v>51040612000544</v>
          </cell>
          <cell r="C23833" t="str">
            <v>JCC COB.JU INT GAN REACTI PRE-HONR REPRO4 C</v>
          </cell>
        </row>
        <row r="23834">
          <cell r="B23834" t="str">
            <v>51040612000545</v>
          </cell>
          <cell r="C23834" t="str">
            <v>JCC COB.JU INT GAN REACTI PRE-HONR REPRO4 C</v>
          </cell>
        </row>
        <row r="23835">
          <cell r="B23835" t="str">
            <v>51040612000546</v>
          </cell>
          <cell r="C23835" t="str">
            <v>JCC COB.JU INT GAN REACTI PRE-HONR REPRO4 C</v>
          </cell>
        </row>
        <row r="23836">
          <cell r="B23836" t="str">
            <v>51040612000547</v>
          </cell>
          <cell r="C23836" t="str">
            <v>JCC COB.JU INT GAN CRECER PRE-HONRAMIENT4 C</v>
          </cell>
        </row>
        <row r="23837">
          <cell r="B23837" t="str">
            <v>51040612000548</v>
          </cell>
          <cell r="C23837" t="str">
            <v>JCC COB.JU INT GAN CRECER PRE-HONRAMIENT4 C</v>
          </cell>
        </row>
        <row r="23838">
          <cell r="B23838" t="str">
            <v>51040612000549</v>
          </cell>
          <cell r="C23838" t="str">
            <v>JCC COB.JU INT GAN REACTI PRE-HONR REPRO4 C</v>
          </cell>
        </row>
        <row r="23839">
          <cell r="B23839" t="str">
            <v>51040612000550</v>
          </cell>
          <cell r="C23839" t="str">
            <v>JCC COB.JU INT GAN REACTI PRE-HONR REPRO4 C</v>
          </cell>
        </row>
        <row r="23840">
          <cell r="B23840" t="str">
            <v>51040612000551</v>
          </cell>
          <cell r="C23840" t="str">
            <v>JCC COB.JU INT GAN REACTI PRE-HONR REPRO4 C</v>
          </cell>
        </row>
        <row r="23841">
          <cell r="B23841" t="str">
            <v>51040612000552</v>
          </cell>
          <cell r="C23841" t="str">
            <v>JCC COB.JU INT GAN REACTI PRE-HONR REPRO4 C</v>
          </cell>
        </row>
        <row r="23842">
          <cell r="B23842" t="str">
            <v>51040612000553</v>
          </cell>
          <cell r="C23842" t="str">
            <v>JCC COB.JU INT GAN REACTI PRE-HONR REPRO4 C</v>
          </cell>
        </row>
        <row r="23843">
          <cell r="B23843" t="str">
            <v>51040612000554</v>
          </cell>
          <cell r="C23843" t="str">
            <v>JCC COB.JU INT GAN REACTI PRE-HONR REPRO4 C</v>
          </cell>
        </row>
        <row r="23844">
          <cell r="B23844" t="str">
            <v>51040612000555</v>
          </cell>
          <cell r="C23844" t="str">
            <v>JCC COB.JU INT GAN CRECER PRE-HONRAMIENT4 C</v>
          </cell>
        </row>
        <row r="23845">
          <cell r="B23845" t="str">
            <v>51040612000556</v>
          </cell>
          <cell r="C23845" t="str">
            <v>JCC COB.JU INT GAN CRECER PRE-HONRAMIENT4 C</v>
          </cell>
        </row>
        <row r="23846">
          <cell r="B23846" t="str">
            <v>51040612000557</v>
          </cell>
          <cell r="C23846" t="str">
            <v>JCC MP COB.JUD. INT. GAN IMPULSO MYPERU 4 C</v>
          </cell>
        </row>
        <row r="23847">
          <cell r="B23847" t="str">
            <v>51040612000558</v>
          </cell>
          <cell r="C23847" t="str">
            <v>JCC BC COB.JUD. INT IMPULSO MYPERU PRE-H4 C</v>
          </cell>
        </row>
        <row r="23848">
          <cell r="B23848" t="str">
            <v>51040612000559</v>
          </cell>
          <cell r="C23848" t="str">
            <v>JCC MP COB JUD IMPLUSO MYPERU HONRADO IB4 C</v>
          </cell>
        </row>
        <row r="23849">
          <cell r="B23849" t="str">
            <v>51040612000560</v>
          </cell>
          <cell r="C23849" t="str">
            <v>JCC CCD COBJUD CAPITAL DE TRABAJO ING CM4 C</v>
          </cell>
        </row>
        <row r="23850">
          <cell r="B23850" t="str">
            <v>51040613000101</v>
          </cell>
          <cell r="C23850" t="str">
            <v>LPC INT COB JUD LEASING CCPEM           4NC</v>
          </cell>
        </row>
        <row r="23851">
          <cell r="B23851" t="str">
            <v>51040613000102</v>
          </cell>
          <cell r="C23851" t="str">
            <v>LPC INT.GAND.LS COB.JUD BPE CPEM        4NC</v>
          </cell>
        </row>
        <row r="23852">
          <cell r="B23852" t="str">
            <v>51040613000103</v>
          </cell>
          <cell r="C23852" t="str">
            <v>LPC INT COB JUD LEASEBACK BIEN CCPEM    4NC</v>
          </cell>
        </row>
        <row r="23853">
          <cell r="B23853" t="str">
            <v>51040613000104</v>
          </cell>
          <cell r="C23853" t="str">
            <v>JCC INT.MORATORIO JUD CPEM              4NC</v>
          </cell>
        </row>
        <row r="23854">
          <cell r="B23854" t="str">
            <v>51040613000105</v>
          </cell>
          <cell r="C23854" t="str">
            <v>JCC INTERESES MORATORIOS JUD MYP CPEM   4NC</v>
          </cell>
        </row>
        <row r="23855">
          <cell r="B23855" t="str">
            <v>51040613000201</v>
          </cell>
          <cell r="C23855" t="str">
            <v>CL COB. JUD. DSCTO. DE PAGARE CPEM      4NC</v>
          </cell>
        </row>
        <row r="23856">
          <cell r="B23856" t="str">
            <v>51040613000202</v>
          </cell>
          <cell r="C23856" t="str">
            <v>CL COB. JUD. DSCTO. LETRAS- CPEM CL GL704NC</v>
          </cell>
        </row>
        <row r="23857">
          <cell r="B23857" t="str">
            <v>51040613000203</v>
          </cell>
          <cell r="C23857" t="str">
            <v>CL COB. JUD.GAN RP EXPORT CPEM -GL 7004 4NC</v>
          </cell>
        </row>
        <row r="23858">
          <cell r="B23858" t="str">
            <v>51040613000204</v>
          </cell>
          <cell r="C23858" t="str">
            <v>CL COB JUD GANIMPORT. RP GL 7004 CPEM   4NC</v>
          </cell>
        </row>
        <row r="23859">
          <cell r="B23859" t="str">
            <v>51040613000205</v>
          </cell>
          <cell r="C23859" t="str">
            <v>CL COB.JUD. GAN CAP. DE TRAB. CPEM GL 704NC</v>
          </cell>
        </row>
        <row r="23860">
          <cell r="B23860" t="str">
            <v>51040613000206</v>
          </cell>
          <cell r="C23860" t="str">
            <v>CL COB. JUD. GAN FACTO. LETRAS CPEM GL704NC</v>
          </cell>
        </row>
        <row r="23861">
          <cell r="B23861" t="str">
            <v>51040613000207</v>
          </cell>
          <cell r="C23861" t="str">
            <v>CL COB. JUD. GAN FACT. FACTU. CPEM GL7004NC</v>
          </cell>
        </row>
        <row r="23862">
          <cell r="B23862" t="str">
            <v>51040613000208</v>
          </cell>
          <cell r="C23862" t="str">
            <v>CL COB.JUD.GANADO CARTA CRED. CPEM GL7004NC</v>
          </cell>
        </row>
        <row r="23863">
          <cell r="B23863" t="str">
            <v>51040613000209</v>
          </cell>
          <cell r="C23863" t="str">
            <v>CL COB.JUD.GAN CARTA FIANZA CPEM GL7004 4NC</v>
          </cell>
        </row>
        <row r="23864">
          <cell r="B23864" t="str">
            <v>51040613000210</v>
          </cell>
          <cell r="C23864" t="str">
            <v>CL COB JUD GAN P TV MED PLZ C/FIJ CPEM  4NC</v>
          </cell>
        </row>
        <row r="23865">
          <cell r="B23865" t="str">
            <v>51040613000211</v>
          </cell>
          <cell r="C23865" t="str">
            <v>CL INT MORATORIOS JUD CPEM              4NC</v>
          </cell>
        </row>
        <row r="23866">
          <cell r="B23866" t="str">
            <v>51040613000212</v>
          </cell>
          <cell r="C23866" t="str">
            <v>CL CJ MYP CAP TRAB INT GAN  CPEM        4NC</v>
          </cell>
        </row>
        <row r="23867">
          <cell r="B23867" t="str">
            <v>51040613000213</v>
          </cell>
          <cell r="C23867" t="str">
            <v>CL CJ MYP COMP AF INMUEB INT GAN CPEM   4NC</v>
          </cell>
        </row>
        <row r="23868">
          <cell r="B23868" t="str">
            <v>51040613000214</v>
          </cell>
          <cell r="C23868" t="str">
            <v>CL CJ MYP COMP AF MUEB INT GAN CPEM     4NC</v>
          </cell>
        </row>
        <row r="23869">
          <cell r="B23869" t="str">
            <v>51040613000215</v>
          </cell>
          <cell r="C23869" t="str">
            <v>CL CJ MYP CRED ESTAC INT GAN CPEM       4NC</v>
          </cell>
        </row>
        <row r="23870">
          <cell r="B23870" t="str">
            <v>51040613000216</v>
          </cell>
          <cell r="C23870" t="str">
            <v>CL CJ MYP AF CYBERPL INT GAN CPEM       4NC</v>
          </cell>
        </row>
        <row r="23871">
          <cell r="B23871" t="str">
            <v>51040613000217</v>
          </cell>
          <cell r="C23871" t="str">
            <v>CL COB. JUD. GAN TARJ. CRED CPEM        4NC</v>
          </cell>
        </row>
        <row r="23872">
          <cell r="B23872" t="str">
            <v>51040613000218</v>
          </cell>
          <cell r="C23872" t="str">
            <v>CL COB. JUD. GANA.T. CRED. AMEX PJ CPEM 4NC</v>
          </cell>
        </row>
        <row r="23873">
          <cell r="B23873" t="str">
            <v>51040613000219</v>
          </cell>
          <cell r="C23873" t="str">
            <v>CL COB.JUD. GANAD.TCMASTERC PJ CPEM     4NC</v>
          </cell>
        </row>
        <row r="23874">
          <cell r="B23874" t="str">
            <v>51040613000220</v>
          </cell>
          <cell r="C23874" t="str">
            <v>COB.JUD GANAD.RFA SUBORD CPEM           4NC</v>
          </cell>
        </row>
        <row r="23875">
          <cell r="B23875" t="str">
            <v>51040613000221</v>
          </cell>
          <cell r="C23875" t="str">
            <v>CL COB.JUD.GANADO RFA FINANC CPEM       4NC</v>
          </cell>
        </row>
        <row r="23876">
          <cell r="B23876" t="str">
            <v>51040613000222</v>
          </cell>
          <cell r="C23876" t="str">
            <v>CL CJ GAN REC.COFIDE CPEM               4NC</v>
          </cell>
        </row>
        <row r="23877">
          <cell r="B23877" t="str">
            <v>51040613000223</v>
          </cell>
          <cell r="C23877" t="str">
            <v>CL C.J GANADO SOBREG CCTE. PJ CPEM      4NC</v>
          </cell>
        </row>
        <row r="23878">
          <cell r="B23878" t="str">
            <v>51040613000224</v>
          </cell>
          <cell r="C23878" t="str">
            <v>CL COB. JUD. GAN ARREN.FINAN PJ CPEM    4NC</v>
          </cell>
        </row>
        <row r="23879">
          <cell r="B23879" t="str">
            <v>51040613000225</v>
          </cell>
          <cell r="C23879" t="str">
            <v>CL MYP JUD.C.TRAB.INT.GAN.REV.CPEM      4NC</v>
          </cell>
        </row>
        <row r="23880">
          <cell r="B23880" t="str">
            <v>51040613000226</v>
          </cell>
          <cell r="C23880" t="str">
            <v>CL COB JUD TC MASTER INT GAN PN-DIS.EFE 4NC</v>
          </cell>
        </row>
        <row r="23881">
          <cell r="B23881" t="str">
            <v>51040613000301</v>
          </cell>
          <cell r="C23881" t="str">
            <v>JCC COB JUD GANIMPORT. RP GL 7004 CPEM  4NC</v>
          </cell>
        </row>
        <row r="23882">
          <cell r="B23882" t="str">
            <v>51040613000302</v>
          </cell>
          <cell r="C23882" t="str">
            <v>JCC COB.JUD. GAN CAP. DE TRAB. CPEM GL 74NC</v>
          </cell>
        </row>
        <row r="23883">
          <cell r="B23883" t="str">
            <v>51040613000303</v>
          </cell>
          <cell r="C23883" t="str">
            <v>JCC COB. JUD.GAN RP EXPORT CPEM -GL 70044NC</v>
          </cell>
        </row>
        <row r="23884">
          <cell r="B23884" t="str">
            <v>51040613000304</v>
          </cell>
          <cell r="C23884" t="str">
            <v>JCC CJ MYP COMP AF INMUEB INT GAN CPEM  4NC</v>
          </cell>
        </row>
        <row r="23885">
          <cell r="B23885" t="str">
            <v>51040613000305</v>
          </cell>
          <cell r="C23885" t="str">
            <v>JCC CJ MYP COMP AF MUEB INT GAN CPEM    4NC</v>
          </cell>
        </row>
        <row r="23886">
          <cell r="B23886" t="str">
            <v>51040613000306</v>
          </cell>
          <cell r="C23886" t="str">
            <v>JCC COB. JUD. DSCTO. DE PAGARE CPEM     4NC</v>
          </cell>
        </row>
        <row r="23887">
          <cell r="B23887" t="str">
            <v>51040613000307</v>
          </cell>
          <cell r="C23887" t="str">
            <v>JCC COB. JUD. DSCTO. LETRAS- CPEM JCC GL4NC</v>
          </cell>
        </row>
        <row r="23888">
          <cell r="B23888" t="str">
            <v>51040613000308</v>
          </cell>
          <cell r="C23888" t="str">
            <v>JCC COB. JUD. GAN FACTO. LETRAS CPEM GL74NC</v>
          </cell>
        </row>
        <row r="23889">
          <cell r="B23889" t="str">
            <v>51040613000309</v>
          </cell>
          <cell r="C23889" t="str">
            <v>JCC COB. JUD. GAN FACT. FACTU. CPEM GL704NC</v>
          </cell>
        </row>
        <row r="23890">
          <cell r="B23890" t="str">
            <v>51040613000310</v>
          </cell>
          <cell r="C23890" t="str">
            <v>JCC COB.JUD.GANADO CARTA CRED. CPEM GL704NC</v>
          </cell>
        </row>
        <row r="23891">
          <cell r="B23891" t="str">
            <v>51040613000311</v>
          </cell>
          <cell r="C23891" t="str">
            <v>JCC COB.JUD.GAN CARTA FIANZA CPEM GL70044NC</v>
          </cell>
        </row>
        <row r="23892">
          <cell r="B23892" t="str">
            <v>51040613000312</v>
          </cell>
          <cell r="C23892" t="str">
            <v>JCC COB JUD GAN P TV MED PLZ C/FIJ CPEM 4NC</v>
          </cell>
        </row>
        <row r="23893">
          <cell r="B23893" t="str">
            <v>51040613000313</v>
          </cell>
          <cell r="C23893" t="str">
            <v>JCC INT MORATORIOS JUD CPEM             4NC</v>
          </cell>
        </row>
        <row r="23894">
          <cell r="B23894" t="str">
            <v>51040613000314</v>
          </cell>
          <cell r="C23894" t="str">
            <v>JCC  MYP CAP TRAB INT GAN  CPEM         4NC</v>
          </cell>
        </row>
        <row r="23895">
          <cell r="B23895" t="str">
            <v>51040613000315</v>
          </cell>
          <cell r="C23895" t="str">
            <v>JCC CJ MYP CRED ESTAC INT GAN CPEM      4NC</v>
          </cell>
        </row>
        <row r="23896">
          <cell r="B23896" t="str">
            <v>51040613000316</v>
          </cell>
          <cell r="C23896" t="str">
            <v>JCC  MYP AF CYBERPL INT GAN CPEM        4NC</v>
          </cell>
        </row>
        <row r="23897">
          <cell r="B23897" t="str">
            <v>51040613000317</v>
          </cell>
          <cell r="C23897" t="str">
            <v>JCC COB.JUD. GANAD.TCMASTERC PJ CPEM    4NC</v>
          </cell>
        </row>
        <row r="23898">
          <cell r="B23898" t="str">
            <v>51040613000318</v>
          </cell>
          <cell r="C23898" t="str">
            <v>JCC C.J GANADO SOBREG CCTE. PJ CPEM     4NC</v>
          </cell>
        </row>
        <row r="23899">
          <cell r="B23899" t="str">
            <v>51040613000319</v>
          </cell>
          <cell r="C23899" t="str">
            <v>JCC COB. JUD. GAN ARREN.FINAN PJ CPEM   4NC</v>
          </cell>
        </row>
        <row r="23900">
          <cell r="B23900" t="str">
            <v>51040613000320</v>
          </cell>
          <cell r="C23900" t="str">
            <v>JCC COB.JUD GANAD.RFA SUBORD CPEM       4NC</v>
          </cell>
        </row>
        <row r="23901">
          <cell r="B23901" t="str">
            <v>51040613000321</v>
          </cell>
          <cell r="C23901" t="str">
            <v>JCC COB.JUD.GANADO RFA FINANC CPEM      4NC</v>
          </cell>
        </row>
        <row r="23902">
          <cell r="B23902" t="str">
            <v>51040613000323</v>
          </cell>
          <cell r="C23902" t="str">
            <v>JCC COB. JUD. GAN TARJ. CRED CPEM       4NC</v>
          </cell>
        </row>
        <row r="23903">
          <cell r="B23903" t="str">
            <v>51040613000324</v>
          </cell>
          <cell r="C23903" t="str">
            <v>JCC COB. JUD. GANA.T. CRED. AMEX PJ CPEM4NC</v>
          </cell>
        </row>
        <row r="23904">
          <cell r="B23904" t="str">
            <v>51040613000326</v>
          </cell>
          <cell r="C23904" t="str">
            <v>JCC CJ GAN REC.COFIDE CPEM              4NC</v>
          </cell>
        </row>
        <row r="23905">
          <cell r="B23905" t="str">
            <v>51040613000329</v>
          </cell>
          <cell r="C23905" t="str">
            <v>JCC MYP JUD.C.TRAB.INT.GAN.REV.CPEM     4NC</v>
          </cell>
        </row>
        <row r="23906">
          <cell r="B23906" t="str">
            <v>51040613000330</v>
          </cell>
          <cell r="C23906" t="str">
            <v>JCC INT.GANADO JUD.MYP LS BPE CPEM      4NC</v>
          </cell>
        </row>
        <row r="23907">
          <cell r="B23907" t="str">
            <v>51040613000331</v>
          </cell>
          <cell r="C23907" t="str">
            <v>JCC COB. JUD. GAN ARREN.FINAN CPEM      4NC</v>
          </cell>
        </row>
        <row r="23908">
          <cell r="B23908" t="str">
            <v>51040613000332</v>
          </cell>
          <cell r="C23908" t="str">
            <v>JCC COB.JUD. INT. GAN REACTIVA PERU CPEM4NC</v>
          </cell>
        </row>
        <row r="23909">
          <cell r="B23909" t="str">
            <v>51040613000333</v>
          </cell>
          <cell r="C23909" t="str">
            <v>JCC COB.JUD. INT. GAN REACTIVA PERU CPEM4 C</v>
          </cell>
        </row>
        <row r="23910">
          <cell r="B23910" t="str">
            <v>51040613000334</v>
          </cell>
          <cell r="C23910" t="str">
            <v>JCC COB.JUD. INT. GAN FONDO CRECER CPEM 4 C</v>
          </cell>
        </row>
        <row r="23911">
          <cell r="B23911" t="str">
            <v>51040613000335</v>
          </cell>
          <cell r="C23911" t="str">
            <v>JCC COB.JUD. INT. GAN FONDO CRECER CPEM 4 C</v>
          </cell>
        </row>
        <row r="23912">
          <cell r="B23912" t="str">
            <v>51040613000336</v>
          </cell>
          <cell r="C23912" t="str">
            <v>JCC COB.JUD. INT. GAN REACT PRE-HONRAMIE4 C</v>
          </cell>
        </row>
        <row r="23913">
          <cell r="B23913" t="str">
            <v>51040613000337</v>
          </cell>
          <cell r="C23913" t="str">
            <v>JCC COB.JUD. INT. GAN REACT PRE-HONRAMIE4 C</v>
          </cell>
        </row>
        <row r="23914">
          <cell r="B23914" t="str">
            <v>51040613000338</v>
          </cell>
          <cell r="C23914" t="str">
            <v>JCC COB.JU INT GAN REACTI PRE-HONR REPRO4 C</v>
          </cell>
        </row>
        <row r="23915">
          <cell r="B23915" t="str">
            <v>51040613000339</v>
          </cell>
          <cell r="C23915" t="str">
            <v>JCC COB.JU INT GAN REACTI PRE-HONR REPRO4 C</v>
          </cell>
        </row>
        <row r="23916">
          <cell r="B23916" t="str">
            <v>51040613000340</v>
          </cell>
          <cell r="C23916" t="str">
            <v>JCC COB.JU INT GAN REACTI PRE-HONR REPRO4 C</v>
          </cell>
        </row>
        <row r="23917">
          <cell r="B23917" t="str">
            <v>51040613000341</v>
          </cell>
          <cell r="C23917" t="str">
            <v>JCC COB.JU INT GAN REACTI PRE-HONR REPRO4 C</v>
          </cell>
        </row>
        <row r="23918">
          <cell r="B23918" t="str">
            <v>51040613000342</v>
          </cell>
          <cell r="C23918" t="str">
            <v>JCC COB.JU INT GAN REACTI PRE-HONR REPRO4 C</v>
          </cell>
        </row>
        <row r="23919">
          <cell r="B23919" t="str">
            <v>51040613000343</v>
          </cell>
          <cell r="C23919" t="str">
            <v>JCC COB.JU INT GAN REACTI PRE-HONR REPRO4 C</v>
          </cell>
        </row>
        <row r="23920">
          <cell r="B23920" t="str">
            <v>51040613000344</v>
          </cell>
          <cell r="C23920" t="str">
            <v>JCC COB.JU INT GAN CRECER PRE-HONRAMIENT4 C</v>
          </cell>
        </row>
        <row r="23921">
          <cell r="B23921" t="str">
            <v>51040613000345</v>
          </cell>
          <cell r="C23921" t="str">
            <v>JCC COB.JU INT GAN CRECER PRE-HONRAMIENT4 C</v>
          </cell>
        </row>
        <row r="23922">
          <cell r="B23922" t="str">
            <v>51040613000346</v>
          </cell>
          <cell r="C23922" t="str">
            <v>JCC COB.JU INT GAN REACTI PRE-HONR REPRO4 C</v>
          </cell>
        </row>
        <row r="23923">
          <cell r="B23923" t="str">
            <v>51040613000347</v>
          </cell>
          <cell r="C23923" t="str">
            <v>JCC COB.JU INT GAN REACTI PRE-HONR REPRO4 C</v>
          </cell>
        </row>
        <row r="23924">
          <cell r="B23924" t="str">
            <v>51040613000348</v>
          </cell>
          <cell r="C23924" t="str">
            <v>JCC COB.JU INT GAN REACTI PRE-HONR REPRO4 C</v>
          </cell>
        </row>
        <row r="23925">
          <cell r="B23925" t="str">
            <v>51040613000349</v>
          </cell>
          <cell r="C23925" t="str">
            <v>JCC COB.JU INT GAN REACTI PRE-HONR REPRO4 C</v>
          </cell>
        </row>
        <row r="23926">
          <cell r="B23926" t="str">
            <v>51040613000350</v>
          </cell>
          <cell r="C23926" t="str">
            <v>JCC COB.JU INT GAN REACTI PRE-HONR REPRO4 C</v>
          </cell>
        </row>
        <row r="23927">
          <cell r="B23927" t="str">
            <v>51040613000351</v>
          </cell>
          <cell r="C23927" t="str">
            <v>JCC COB.JU INT GAN REACTI PRE-HONR REPRO4 C</v>
          </cell>
        </row>
        <row r="23928">
          <cell r="B23928" t="str">
            <v>51040613000352</v>
          </cell>
          <cell r="C23928" t="str">
            <v>JCC COB.JU INT GAN CRECER PRE-HONRAMIENT4 C</v>
          </cell>
        </row>
        <row r="23929">
          <cell r="B23929" t="str">
            <v>51040613000353</v>
          </cell>
          <cell r="C23929" t="str">
            <v>JCC COB.JU INT GAN CRECER PRE-HONRAMIENT4 C</v>
          </cell>
        </row>
        <row r="23930">
          <cell r="B23930" t="str">
            <v>51040613000354</v>
          </cell>
          <cell r="C23930" t="str">
            <v>JCC MP COB.JUD. INT. GAN IMPULSO MYPERU 4 C</v>
          </cell>
        </row>
        <row r="23931">
          <cell r="B23931" t="str">
            <v>51040613000355</v>
          </cell>
          <cell r="C23931" t="str">
            <v>JCC BC COB.JUD. INT IMPULSO MYPERU PRE-H4 C</v>
          </cell>
        </row>
        <row r="23932">
          <cell r="B23932" t="str">
            <v>51040613000356</v>
          </cell>
          <cell r="C23932" t="str">
            <v>JCC MP COB JUD IMPLUSO MYPERU HONRADO IB4 C</v>
          </cell>
        </row>
        <row r="23933">
          <cell r="B23933" t="str">
            <v>51040613000357</v>
          </cell>
          <cell r="C23933" t="str">
            <v>JCC CCD COBJUD CAPITAL DE TRABAJO ING CP4 C</v>
          </cell>
        </row>
        <row r="23934">
          <cell r="B23934" t="str">
            <v>51040702000101</v>
          </cell>
          <cell r="C23934" t="str">
            <v>CREDITOS A MICROEMPRESA                 4NC</v>
          </cell>
        </row>
        <row r="23935">
          <cell r="B23935" t="str">
            <v>51040702000102</v>
          </cell>
          <cell r="C23935" t="str">
            <v>CREDITOS A MICROEMPRESA                 4NC</v>
          </cell>
        </row>
        <row r="23936">
          <cell r="B23936" t="str">
            <v>51050702000101</v>
          </cell>
          <cell r="C23936" t="str">
            <v>INT ADELANTO VACACIONAL702000101        4NC</v>
          </cell>
        </row>
        <row r="23937">
          <cell r="B23937" t="str">
            <v>51050709000202</v>
          </cell>
          <cell r="C23937" t="str">
            <v>FDO SIGMA - RENDIMIENTO                 4NC</v>
          </cell>
        </row>
        <row r="23938">
          <cell r="B23938" t="str">
            <v>51050709000203</v>
          </cell>
          <cell r="C23938" t="str">
            <v>SIGMA RENDIMIENTO EJERC ANTERIORES      4NC</v>
          </cell>
        </row>
        <row r="23939">
          <cell r="B23939" t="str">
            <v>51050709000204</v>
          </cell>
          <cell r="C23939" t="str">
            <v>MDC INT de Repo Inter Banco Continental 4NC</v>
          </cell>
        </row>
        <row r="23940">
          <cell r="B23940" t="str">
            <v>51050709000301</v>
          </cell>
          <cell r="C23940" t="str">
            <v>INT ADELANTO VACACIONAL702000101        4NC</v>
          </cell>
        </row>
        <row r="23941">
          <cell r="B23941" t="str">
            <v>51050711010101</v>
          </cell>
          <cell r="C23941" t="str">
            <v>MDC INT REPO INTERBANCARIO ADQUIRIENTE  4NC</v>
          </cell>
        </row>
        <row r="23942">
          <cell r="B23942" t="str">
            <v>51050719000101</v>
          </cell>
          <cell r="C23942" t="str">
            <v>JCC ING.POR CXC SEG.DESG.CRED.VEH       4NC</v>
          </cell>
        </row>
        <row r="23943">
          <cell r="B23943" t="str">
            <v>51050719000102</v>
          </cell>
          <cell r="C23943" t="str">
            <v>JCC ING.POR CXC SEG.DESG.CRED.PERS      4NC</v>
          </cell>
        </row>
        <row r="23944">
          <cell r="B23944" t="str">
            <v>51050719000103</v>
          </cell>
          <cell r="C23944" t="str">
            <v>JCC ING.POR CXC SEG.DESG.CRED.EFECT     4NC</v>
          </cell>
        </row>
        <row r="23945">
          <cell r="B23945" t="str">
            <v>51050719000104</v>
          </cell>
          <cell r="C23945" t="str">
            <v>JCC ING.POR CXC SEG.DESG.CRED.REF       4NC</v>
          </cell>
        </row>
        <row r="23946">
          <cell r="B23946" t="str">
            <v>51050719000105</v>
          </cell>
          <cell r="C23946" t="str">
            <v>JCC ING.POR CXC SEG.DESG.CRED.HIP       4NC</v>
          </cell>
        </row>
        <row r="23947">
          <cell r="B23947" t="str">
            <v>51050719000202</v>
          </cell>
          <cell r="C23947" t="str">
            <v>FDO SIGMA - RENDIMIENTO                 4NC</v>
          </cell>
        </row>
        <row r="23948">
          <cell r="B23948" t="str">
            <v>51050719000301</v>
          </cell>
          <cell r="C23948" t="str">
            <v>INT ADELANTO VACACIONAL702000101        4NC</v>
          </cell>
        </row>
        <row r="23949">
          <cell r="B23949" t="str">
            <v>51060101000101</v>
          </cell>
          <cell r="C23949" t="str">
            <v>GANANCIA POR VALORIZACION SUBSIDIARIAS  4NC</v>
          </cell>
        </row>
        <row r="23950">
          <cell r="B23950" t="str">
            <v>51060101000102</v>
          </cell>
          <cell r="C23950" t="str">
            <v>GANANCIA VALORIZACION INTERFONDOS       4NC</v>
          </cell>
        </row>
        <row r="23951">
          <cell r="B23951" t="str">
            <v>51060109000101</v>
          </cell>
          <cell r="C23951" t="str">
            <v>GANANCIA POR VALORI OTRAS INV.PERMANENTE4NC</v>
          </cell>
        </row>
        <row r="23952">
          <cell r="B23952" t="str">
            <v>51060209000101</v>
          </cell>
          <cell r="C23952" t="str">
            <v>OTRAS PARTICIP INVERSIONES EXTERIOR     4NC</v>
          </cell>
        </row>
        <row r="23953">
          <cell r="B23953" t="str">
            <v>51070401000118</v>
          </cell>
          <cell r="C23953" t="str">
            <v>COM RENOVACION-CL                       4NC</v>
          </cell>
        </row>
        <row r="23954">
          <cell r="B23954" t="str">
            <v>51070401000121</v>
          </cell>
          <cell r="C23954" t="str">
            <v>COM TRASLACION DE FONDOS-PR             4NC</v>
          </cell>
        </row>
        <row r="23955">
          <cell r="B23955" t="str">
            <v>51070401000203</v>
          </cell>
          <cell r="C23955" t="str">
            <v>TC COM.MORA&lt;30D VISA COMER              4NC</v>
          </cell>
        </row>
        <row r="23956">
          <cell r="B23956" t="str">
            <v>51070401000204</v>
          </cell>
          <cell r="C23956" t="str">
            <v>COMISION SOBREGIRO MASTERCARD COMERCI   4NC</v>
          </cell>
        </row>
        <row r="23957">
          <cell r="B23957" t="str">
            <v>51070401000206</v>
          </cell>
          <cell r="C23957" t="str">
            <v>COMISION SOBREGIRO VISA COMERCIAL       4NC</v>
          </cell>
        </row>
        <row r="23958">
          <cell r="B23958" t="str">
            <v>51070401000207</v>
          </cell>
          <cell r="C23958" t="str">
            <v>BL COM MORA MAYOR 30D MC                4NC</v>
          </cell>
        </row>
        <row r="23959">
          <cell r="B23959" t="str">
            <v>51070401000208</v>
          </cell>
          <cell r="C23959" t="str">
            <v>BL COM. MORA - 30D. COMERCIAL MC        4NC</v>
          </cell>
        </row>
        <row r="23960">
          <cell r="B23960" t="str">
            <v>51070401000210</v>
          </cell>
          <cell r="C23960" t="str">
            <v>IC REF TC IB PN GANAD.COMIS VENC        4NC</v>
          </cell>
        </row>
        <row r="23961">
          <cell r="B23961" t="str">
            <v>51070402000101</v>
          </cell>
          <cell r="C23961" t="str">
            <v>COM.REN/PAG IGV CMIE                    4NC</v>
          </cell>
        </row>
        <row r="23962">
          <cell r="B23962" t="str">
            <v>51070402000102</v>
          </cell>
          <cell r="C23962" t="str">
            <v>COM.TRASL.FONDOS CMIE                   4NC</v>
          </cell>
        </row>
        <row r="23963">
          <cell r="B23963" t="str">
            <v>51070402000201</v>
          </cell>
          <cell r="C23963" t="str">
            <v>PR DSCTOS COM.TRASL.FONDOS CMIE         4NC</v>
          </cell>
        </row>
        <row r="23964">
          <cell r="B23964" t="str">
            <v>51070402000202</v>
          </cell>
          <cell r="C23964" t="str">
            <v>PR FACTNG. COM.TRASL.FONDOS CMIE        4NC</v>
          </cell>
        </row>
        <row r="23965">
          <cell r="B23965" t="str">
            <v>51070402000203</v>
          </cell>
          <cell r="C23965" t="str">
            <v>PR COBR. COM.TRASL.FONDOS CMIE          4NC</v>
          </cell>
        </row>
        <row r="23966">
          <cell r="B23966" t="str">
            <v>51070402000204</v>
          </cell>
          <cell r="C23966" t="str">
            <v>FCD FACT INTER EXPOR. COM.  TRASL.FONDOS4NC</v>
          </cell>
        </row>
        <row r="23967">
          <cell r="B23967" t="str">
            <v>51070402000205</v>
          </cell>
          <cell r="C23967" t="str">
            <v>FCD FACT INTER EXPO. COM.  TRASL.FONDOS 4NC</v>
          </cell>
        </row>
        <row r="23968">
          <cell r="B23968" t="str">
            <v>51070402000301</v>
          </cell>
          <cell r="C23968" t="str">
            <v>MTO. TARJETA ELECTRON MICROEMPRES       4NC</v>
          </cell>
        </row>
        <row r="23969">
          <cell r="B23969" t="str">
            <v>51070402000302</v>
          </cell>
          <cell r="C23969" t="str">
            <v>COM AFILIAC RENOV TC COMERC IBKVISA MICR4NC</v>
          </cell>
        </row>
        <row r="23970">
          <cell r="B23970" t="str">
            <v>51070402000303</v>
          </cell>
          <cell r="C23970" t="str">
            <v>COM AFILIAC RENOV TC CONSUMO IBKVISA MIC4NC</v>
          </cell>
        </row>
        <row r="23971">
          <cell r="B23971" t="str">
            <v>51070402000304</v>
          </cell>
          <cell r="C23971" t="str">
            <v>COM AFILIAC RENOV TC CONS WONGVISA MICRO4NC</v>
          </cell>
        </row>
        <row r="23972">
          <cell r="B23972" t="str">
            <v>51070402000305</v>
          </cell>
          <cell r="C23972" t="str">
            <v>COM AFILIAC RENOV TC CONSUMO AMEX MICROE4NC</v>
          </cell>
        </row>
        <row r="23973">
          <cell r="B23973" t="str">
            <v>51070402000306</v>
          </cell>
          <cell r="C23973" t="str">
            <v>BL COM AFILIAC RENOV TC CONS MC MICROEMP4NC</v>
          </cell>
        </row>
        <row r="23974">
          <cell r="B23974" t="str">
            <v>51070402000307</v>
          </cell>
          <cell r="C23974" t="str">
            <v>COM. AFILIACION/RENOV. TC COMERC.M MICRO4NC</v>
          </cell>
        </row>
        <row r="23975">
          <cell r="B23975" t="str">
            <v>51070402000308</v>
          </cell>
          <cell r="C23975" t="str">
            <v>COMIS. AFILIAC -RENOVACION AVAL MICROEMP4NC</v>
          </cell>
        </row>
        <row r="23976">
          <cell r="B23976" t="str">
            <v>51070402000309</v>
          </cell>
          <cell r="C23976" t="str">
            <v>COMIS. AFILIAC -RENOVAC TC MEGAPLAZA MIC4NC</v>
          </cell>
        </row>
        <row r="23977">
          <cell r="B23977" t="str">
            <v>51070402000310</v>
          </cell>
          <cell r="C23977" t="str">
            <v>COM AFILIAC-RENOV TC VEA MICROEMPRES    4NC</v>
          </cell>
        </row>
        <row r="23978">
          <cell r="B23978" t="str">
            <v>51070402000311</v>
          </cell>
          <cell r="C23978" t="str">
            <v>COM AFILIAC-RENOV TC VEA VISA MICROEMPRE4NC</v>
          </cell>
        </row>
        <row r="23979">
          <cell r="B23979" t="str">
            <v>51070402000312</v>
          </cell>
          <cell r="C23979" t="str">
            <v>COM EMISION REPOSICION TC BANMAT MICROEM4NC</v>
          </cell>
        </row>
        <row r="23980">
          <cell r="B23980" t="str">
            <v>51070402000313</v>
          </cell>
          <cell r="C23980" t="str">
            <v>TC COM D/E VISA MEGAPLAZA MICROEMPRES   4NC</v>
          </cell>
        </row>
        <row r="23981">
          <cell r="B23981" t="str">
            <v>51070402000314</v>
          </cell>
          <cell r="C23981" t="str">
            <v>TC COM D/E VISA VEA MICROEMPRES         4NC</v>
          </cell>
        </row>
        <row r="23982">
          <cell r="B23982" t="str">
            <v>51070402000315</v>
          </cell>
          <cell r="C23982" t="str">
            <v>TC COM RENOV/REPOS VISA MEGAPLAZA MICROE4NC</v>
          </cell>
        </row>
        <row r="23983">
          <cell r="B23983" t="str">
            <v>51070402000316</v>
          </cell>
          <cell r="C23983" t="str">
            <v>TC COM RENOV/REPOS VISA VEA MICROEMPRES 4NC</v>
          </cell>
        </row>
        <row r="23984">
          <cell r="B23984" t="str">
            <v>51070402000317</v>
          </cell>
          <cell r="C23984" t="str">
            <v>CDO TC SERV RETIRO CAJERO / MON VIG MICR4NC</v>
          </cell>
        </row>
        <row r="23985">
          <cell r="B23985" t="str">
            <v>51070402000318</v>
          </cell>
          <cell r="C23985" t="str">
            <v>CDO TC SERV RETIRO CAJERO / MON VENC MIC4NC</v>
          </cell>
        </row>
        <row r="23986">
          <cell r="B23986" t="str">
            <v>51070402000319</v>
          </cell>
          <cell r="C23986" t="str">
            <v>SAT TC SERV RETIRO CAJERO / MON VIG MICR4NC</v>
          </cell>
        </row>
        <row r="23987">
          <cell r="B23987" t="str">
            <v>51070402000320</v>
          </cell>
          <cell r="C23987" t="str">
            <v>SAT TC SERV RETIRO CAJERO / MON VENC MIC4NC</v>
          </cell>
        </row>
        <row r="23988">
          <cell r="B23988" t="str">
            <v>51070402000321</v>
          </cell>
          <cell r="C23988" t="str">
            <v>CDO TC SERV POR MODIFICAC DE PLAZO VIG M4NC</v>
          </cell>
        </row>
        <row r="23989">
          <cell r="B23989" t="str">
            <v>51070402000322</v>
          </cell>
          <cell r="C23989" t="str">
            <v>CDO TC SERV POR MODIFICAC DE PLAZO VENC 4NC</v>
          </cell>
        </row>
        <row r="23990">
          <cell r="B23990" t="str">
            <v>51070402000323</v>
          </cell>
          <cell r="C23990" t="str">
            <v>SAT TC SERV POR MODIFICAC DE PLAZO VIG M4NC</v>
          </cell>
        </row>
        <row r="23991">
          <cell r="B23991" t="str">
            <v>51070402000324</v>
          </cell>
          <cell r="C23991" t="str">
            <v>SAT TC SERV POR MODIFICAC DE PLAZO VENC 4NC</v>
          </cell>
        </row>
        <row r="23992">
          <cell r="B23992" t="str">
            <v>51070402000325</v>
          </cell>
          <cell r="C23992" t="str">
            <v>MANTENIMIENTO TC IB VISA MICROEMPRES    4NC</v>
          </cell>
        </row>
        <row r="23993">
          <cell r="B23993" t="str">
            <v>51070402000326</v>
          </cell>
          <cell r="C23993" t="str">
            <v>MANTENIMIENTO TC CONSUMO IBKVISA MICROEM4NC</v>
          </cell>
        </row>
        <row r="23994">
          <cell r="B23994" t="str">
            <v>51070402000327</v>
          </cell>
          <cell r="C23994" t="str">
            <v>MANTENIMIENTO TC CONSUMO WONG VISA MICRO4NC</v>
          </cell>
        </row>
        <row r="23995">
          <cell r="B23995" t="str">
            <v>51070402000328</v>
          </cell>
          <cell r="C23995" t="str">
            <v>MANTENIMIENTO TC CONSUMO AMEX MICROEMPRE4NC</v>
          </cell>
        </row>
        <row r="23996">
          <cell r="B23996" t="str">
            <v>51070402000329</v>
          </cell>
          <cell r="C23996" t="str">
            <v>SEG DESGRAVAMEN CONSUMO IBK VISA MICROEM4NC</v>
          </cell>
        </row>
        <row r="23997">
          <cell r="B23997" t="str">
            <v>51070402000330</v>
          </cell>
          <cell r="C23997" t="str">
            <v>SEG DESGRAVAMEN CONSUMO WONGVISA MICROEM4NC</v>
          </cell>
        </row>
        <row r="23998">
          <cell r="B23998" t="str">
            <v>51070402000331</v>
          </cell>
          <cell r="C23998" t="str">
            <v>SEG DESGRAVAMEN CONSUMO AMEX MICROEMPRES4NC</v>
          </cell>
        </row>
        <row r="23999">
          <cell r="B23999" t="str">
            <v>51070402000332</v>
          </cell>
          <cell r="C23999" t="str">
            <v>MANTENIMIENTO TC CONSUMO MC MICROEMPRES 4NC</v>
          </cell>
        </row>
        <row r="24000">
          <cell r="B24000" t="str">
            <v>51070402000333</v>
          </cell>
          <cell r="C24000" t="str">
            <v>BL SEG DESGRAVAMEN CONSUMO MC MICROEMPRE4NC</v>
          </cell>
        </row>
        <row r="24001">
          <cell r="B24001" t="str">
            <v>51070402000334</v>
          </cell>
          <cell r="C24001" t="str">
            <v>MANTENIMIENTO TC COMERCIAL MC MICROEMPRE4NC</v>
          </cell>
        </row>
        <row r="24002">
          <cell r="B24002" t="str">
            <v>51070402000335</v>
          </cell>
          <cell r="C24002" t="str">
            <v>TC SEGURO DE DESGRAVAMEN AVAL MICROEMPRE4NC</v>
          </cell>
        </row>
        <row r="24003">
          <cell r="B24003" t="str">
            <v>51070402000336</v>
          </cell>
          <cell r="C24003" t="str">
            <v>MANTENIMIENTO TC AVAL MICROEMPRES       4NC</v>
          </cell>
        </row>
        <row r="24004">
          <cell r="B24004" t="str">
            <v>51070402000337</v>
          </cell>
          <cell r="C24004" t="str">
            <v>SEGURO DESGRAVAMEN TC MEGAPLAZA MICROEMP4NC</v>
          </cell>
        </row>
        <row r="24005">
          <cell r="B24005" t="str">
            <v>51070402000338</v>
          </cell>
          <cell r="C24005" t="str">
            <v>MANTENIMIENTO TC MEGA PLAZA MICROEMPRES 4NC</v>
          </cell>
        </row>
        <row r="24006">
          <cell r="B24006" t="str">
            <v>51070402000339</v>
          </cell>
          <cell r="C24006" t="str">
            <v>SEG DESGRAV TC VEA MICROEMPRES          4NC</v>
          </cell>
        </row>
        <row r="24007">
          <cell r="B24007" t="str">
            <v>51070402000340</v>
          </cell>
          <cell r="C24007" t="str">
            <v>SEG DESGRAV TC VEA VISA MICROEMPRES     4NC</v>
          </cell>
        </row>
        <row r="24008">
          <cell r="B24008" t="str">
            <v>51070402000341</v>
          </cell>
          <cell r="C24008" t="str">
            <v>MANTENIMIENTO TC VEA MICROEMPRES        4NC</v>
          </cell>
        </row>
        <row r="24009">
          <cell r="B24009" t="str">
            <v>51070402000342</v>
          </cell>
          <cell r="C24009" t="str">
            <v>MANTENIMIENTO TC VEA VISA MICROEMPRES   4NC</v>
          </cell>
        </row>
        <row r="24010">
          <cell r="B24010" t="str">
            <v>51070402000343</v>
          </cell>
          <cell r="C24010" t="str">
            <v>COMISIONES SEGURO TC MICROEMPRES        4NC</v>
          </cell>
        </row>
        <row r="24011">
          <cell r="B24011" t="str">
            <v>51070402000344</v>
          </cell>
          <cell r="C24011" t="str">
            <v>TC MANTENIMIENTO VISA MEGAPLAZA MICROEMP4NC</v>
          </cell>
        </row>
        <row r="24012">
          <cell r="B24012" t="str">
            <v>51070402000345</v>
          </cell>
          <cell r="C24012" t="str">
            <v>TC MANTENIMIENTO VISA VEA MICROEMPRES   4NC</v>
          </cell>
        </row>
        <row r="24013">
          <cell r="B24013" t="str">
            <v>51070402000346</v>
          </cell>
          <cell r="C24013" t="str">
            <v>TC SEG DESGRAV VISA MEGAPLAZA MICROEMPRE4NC</v>
          </cell>
        </row>
        <row r="24014">
          <cell r="B24014" t="str">
            <v>51070402000347</v>
          </cell>
          <cell r="C24014" t="str">
            <v>TC SEG DESGRAV VISA VEA MICROEMPRES     4NC</v>
          </cell>
        </row>
        <row r="24015">
          <cell r="B24015" t="str">
            <v>51070402000348</v>
          </cell>
          <cell r="C24015" t="str">
            <v>COM ESTABLEC TC COMERC IBK VISA MICROEMP4NC</v>
          </cell>
        </row>
        <row r="24016">
          <cell r="B24016" t="str">
            <v>51070402000349</v>
          </cell>
          <cell r="C24016" t="str">
            <v>COM ESTABLEC TC CONSUMO IBK VISA MICROEM4NC</v>
          </cell>
        </row>
        <row r="24017">
          <cell r="B24017" t="str">
            <v>51070402000350</v>
          </cell>
          <cell r="C24017" t="str">
            <v>COM ESTABLEC TC CONSUMO WONG VISA MICROE4NC</v>
          </cell>
        </row>
        <row r="24018">
          <cell r="B24018" t="str">
            <v>51070402000351</v>
          </cell>
          <cell r="C24018" t="str">
            <v>COM ESTABLEC TC CONSUMO AMEX MICROEMPRES4NC</v>
          </cell>
        </row>
        <row r="24019">
          <cell r="B24019" t="str">
            <v>51070402000352</v>
          </cell>
          <cell r="C24019" t="str">
            <v>BL COM ESTABLEC TC CONSUMO MC MICROEMPRE4NC</v>
          </cell>
        </row>
        <row r="24020">
          <cell r="B24020" t="str">
            <v>51070402000353</v>
          </cell>
          <cell r="C24020" t="str">
            <v>COM ATM FORANEO VISA MICROEMPRES        4NC</v>
          </cell>
        </row>
        <row r="24021">
          <cell r="B24021" t="str">
            <v>51070402000354</v>
          </cell>
          <cell r="C24021" t="str">
            <v>COM ATM FORANEO AMEX MICROEMPRES        4NC</v>
          </cell>
        </row>
        <row r="24022">
          <cell r="B24022" t="str">
            <v>51070402000355</v>
          </cell>
          <cell r="C24022" t="str">
            <v>COM ATM FORANEO MASTERCARD MICROEMPRES  4NC</v>
          </cell>
        </row>
        <row r="24023">
          <cell r="B24023" t="str">
            <v>51070402000356</v>
          </cell>
          <cell r="C24023" t="str">
            <v>COM ESTABLECIMIENTO TARJ ELECTRON MICROE4NC</v>
          </cell>
        </row>
        <row r="24024">
          <cell r="B24024" t="str">
            <v>51070402000357</v>
          </cell>
          <cell r="C24024" t="str">
            <v>COM ESTABLECIMIENTO TC MEGAPLAZA MICROEM4NC</v>
          </cell>
        </row>
        <row r="24025">
          <cell r="B24025" t="str">
            <v>51070402000358</v>
          </cell>
          <cell r="C24025" t="str">
            <v>COM ESTABLECIM TC VEA MICROEMPRES       4NC</v>
          </cell>
        </row>
        <row r="24026">
          <cell r="B24026" t="str">
            <v>51070402000359</v>
          </cell>
          <cell r="C24026" t="str">
            <v>COM ESTABLECIM TC VEA VISA MICROEMPRES  4NC</v>
          </cell>
        </row>
        <row r="24027">
          <cell r="B24027" t="str">
            <v>51070402000360</v>
          </cell>
          <cell r="C24027" t="str">
            <v>COM USUARIOS TC COMERC IBK VISA MICROEMP4NC</v>
          </cell>
        </row>
        <row r="24028">
          <cell r="B24028" t="str">
            <v>51070402000361</v>
          </cell>
          <cell r="C24028" t="str">
            <v>COM USUARIOS TC CONSUMO IBK VISA MICROEM4NC</v>
          </cell>
        </row>
        <row r="24029">
          <cell r="B24029" t="str">
            <v>51070402000362</v>
          </cell>
          <cell r="C24029" t="str">
            <v>COM USUARIOS TC CONSUMO WONG VISA MICROE4NC</v>
          </cell>
        </row>
        <row r="24030">
          <cell r="B24030" t="str">
            <v>51070402000363</v>
          </cell>
          <cell r="C24030" t="str">
            <v>COM USUARIOS TC CONSUMO AMEX MICROEMPRES4NC</v>
          </cell>
        </row>
        <row r="24031">
          <cell r="B24031" t="str">
            <v>51070402000364</v>
          </cell>
          <cell r="C24031" t="str">
            <v>COM USUARIOS TC CONSUMO MP MICROEMPRES  4NC</v>
          </cell>
        </row>
        <row r="24032">
          <cell r="B24032" t="str">
            <v>51070402000365</v>
          </cell>
          <cell r="C24032" t="str">
            <v>BL COM USUARIOS TC CONSUMO MC MICROEMPRE4NC</v>
          </cell>
        </row>
        <row r="24033">
          <cell r="B24033" t="str">
            <v>51070402000366</v>
          </cell>
          <cell r="C24033" t="str">
            <v>BL COM. USUARIOS TC COMERCIAL MC MICROEM4NC</v>
          </cell>
        </row>
        <row r="24034">
          <cell r="B24034" t="str">
            <v>51070402000367</v>
          </cell>
          <cell r="C24034" t="str">
            <v>COM.USUARIOS TC MEGAPLAZA MICROEMPRES   4NC</v>
          </cell>
        </row>
        <row r="24035">
          <cell r="B24035" t="str">
            <v>51070402000368</v>
          </cell>
          <cell r="C24035" t="str">
            <v>COM USUARIO TC VEA MICROEMPRES          4NC</v>
          </cell>
        </row>
        <row r="24036">
          <cell r="B24036" t="str">
            <v>51070402000369</v>
          </cell>
          <cell r="C24036" t="str">
            <v>COM USUARIO TC VEA VISA MICROEMPRES     4NC</v>
          </cell>
        </row>
        <row r="24037">
          <cell r="B24037" t="str">
            <v>51070402000370</v>
          </cell>
          <cell r="C24037" t="str">
            <v>TC COMIS.REPOS.PLAST.VEA REMESAS MICROEM4NC</v>
          </cell>
        </row>
        <row r="24038">
          <cell r="B24038" t="str">
            <v>51070402000371</v>
          </cell>
          <cell r="C24038" t="str">
            <v>TC COMIS.CONSU.MOVIM VEA REMESAS MICROEM4NC</v>
          </cell>
        </row>
        <row r="24039">
          <cell r="B24039" t="str">
            <v>51070402000372</v>
          </cell>
          <cell r="C24039" t="str">
            <v>TC COM D/E AMEX MICROEMPRES             4NC</v>
          </cell>
        </row>
        <row r="24040">
          <cell r="B24040" t="str">
            <v>51070402000373</v>
          </cell>
          <cell r="C24040" t="str">
            <v>TC COM EXTRACASH AMEX MICROEMPRES       4NC</v>
          </cell>
        </row>
        <row r="24041">
          <cell r="B24041" t="str">
            <v>51070402000374</v>
          </cell>
          <cell r="C24041" t="str">
            <v>TC COM RENOV/REPOS AMEX MICROEMPRES     4NC</v>
          </cell>
        </row>
        <row r="24042">
          <cell r="B24042" t="str">
            <v>51070402000375</v>
          </cell>
          <cell r="C24042" t="str">
            <v>TC MANTENIMIENTO AMEX MICROEMPRES       4NC</v>
          </cell>
        </row>
        <row r="24043">
          <cell r="B24043" t="str">
            <v>51070402000376</v>
          </cell>
          <cell r="C24043" t="str">
            <v>TC SEG DESGRAV AMEX MICROEMPRES         4NC</v>
          </cell>
        </row>
        <row r="24044">
          <cell r="B24044" t="str">
            <v>51070402000377</v>
          </cell>
          <cell r="C24044" t="str">
            <v>TC COM D/E MC MICROEMPRES               4NC</v>
          </cell>
        </row>
        <row r="24045">
          <cell r="B24045" t="str">
            <v>51070402000378</v>
          </cell>
          <cell r="C24045" t="str">
            <v>TC COM EXTRACASH MC MICROEMPRES         4NC</v>
          </cell>
        </row>
        <row r="24046">
          <cell r="B24046" t="str">
            <v>51070402000379</v>
          </cell>
          <cell r="C24046" t="str">
            <v>TC COM RENOV/REPOS MC MICROEMPRES       4NC</v>
          </cell>
        </row>
        <row r="24047">
          <cell r="B24047" t="str">
            <v>51070402000380</v>
          </cell>
          <cell r="C24047" t="str">
            <v>TC MANTENIMIENTO MC MICROEMPRES         4NC</v>
          </cell>
        </row>
        <row r="24048">
          <cell r="B24048" t="str">
            <v>51070402000381</v>
          </cell>
          <cell r="C24048" t="str">
            <v>TC SEG DESGRAV MC MICROEMPRES           4NC</v>
          </cell>
        </row>
        <row r="24049">
          <cell r="B24049" t="str">
            <v>51070402000382</v>
          </cell>
          <cell r="C24049" t="str">
            <v>TC COM D/E VISA MICROEMPRES             4NC</v>
          </cell>
        </row>
        <row r="24050">
          <cell r="B24050" t="str">
            <v>51070402000383</v>
          </cell>
          <cell r="C24050" t="str">
            <v>TC COM EXTRACASH VISA MICROEMPRES       4NC</v>
          </cell>
        </row>
        <row r="24051">
          <cell r="B24051" t="str">
            <v>51070402000384</v>
          </cell>
          <cell r="C24051" t="str">
            <v>TC COM EXTRACASH VISA MEGAPLAZA MICROEMP4NC</v>
          </cell>
        </row>
        <row r="24052">
          <cell r="B24052" t="str">
            <v>51070402000385</v>
          </cell>
          <cell r="C24052" t="str">
            <v>TC COM EXTRACASH VISA VEA MICROEMPRES   4NC</v>
          </cell>
        </row>
        <row r="24053">
          <cell r="B24053" t="str">
            <v>51070402000386</v>
          </cell>
          <cell r="C24053" t="str">
            <v>TC COM RENOV/REPOS VISA MICROEMPRES     4NC</v>
          </cell>
        </row>
        <row r="24054">
          <cell r="B24054" t="str">
            <v>51070402000387</v>
          </cell>
          <cell r="C24054" t="str">
            <v>TC MANTENIMIENTO VISA MICROEMPRES       4NC</v>
          </cell>
        </row>
        <row r="24055">
          <cell r="B24055" t="str">
            <v>51070402000388</v>
          </cell>
          <cell r="C24055" t="str">
            <v>TC SEG DESGRAV VISA MICROEMPRES         4NC</v>
          </cell>
        </row>
        <row r="24056">
          <cell r="B24056" t="str">
            <v>51070402000389</v>
          </cell>
          <cell r="C24056" t="str">
            <v>COMISION RENOVACION TC RECARGA MICROEMPR4NC</v>
          </cell>
        </row>
        <row r="24057">
          <cell r="B24057" t="str">
            <v>51070402000390</v>
          </cell>
          <cell r="C24057" t="str">
            <v>COMISION REPOSICION TC RECARGA MICROEMPR4NC</v>
          </cell>
        </row>
        <row r="24058">
          <cell r="B24058" t="str">
            <v>51070402000391</v>
          </cell>
          <cell r="C24058" t="str">
            <v>COMISION DISP EFECT TC RECARGA MICROEMPR4NC</v>
          </cell>
        </row>
        <row r="24059">
          <cell r="B24059" t="str">
            <v>51070402000392</v>
          </cell>
          <cell r="C24059" t="str">
            <v>COMISION SERV TARJETA TC RECARGA MICROEM4NC</v>
          </cell>
        </row>
        <row r="24060">
          <cell r="B24060" t="str">
            <v>51070402000393</v>
          </cell>
          <cell r="C24060" t="str">
            <v>MANTENIMIENTO TC RECARGA MICROEMPRES    4NC</v>
          </cell>
        </row>
        <row r="24061">
          <cell r="B24061" t="str">
            <v>51070402000394</v>
          </cell>
          <cell r="C24061" t="str">
            <v>SEGURO DESGRAVAMEN TC RECARGA MICROEMPRE4NC</v>
          </cell>
        </row>
        <row r="24062">
          <cell r="B24062" t="str">
            <v>51070402000395</v>
          </cell>
          <cell r="C24062" t="str">
            <v>COM CONSULTA DE SALDOS BANMAT MICROEMPRE4NC</v>
          </cell>
        </row>
        <row r="24063">
          <cell r="B24063" t="str">
            <v>51070402000401</v>
          </cell>
          <cell r="C24063" t="str">
            <v>JCC PENALIDAD INCUMP.PAGO BC CMIE       4NC</v>
          </cell>
        </row>
        <row r="24064">
          <cell r="B24064" t="str">
            <v>51070402000402</v>
          </cell>
          <cell r="C24064" t="str">
            <v>JCC PENALIDAD INCUMP.PAGO MYP CMIE      4NC</v>
          </cell>
        </row>
        <row r="24065">
          <cell r="B24065" t="str">
            <v>51070402000601</v>
          </cell>
          <cell r="C24065" t="str">
            <v>MYP COMISION COBRANZA                   4NC</v>
          </cell>
        </row>
        <row r="24066">
          <cell r="B24066" t="str">
            <v>51070402000602</v>
          </cell>
          <cell r="C24066" t="str">
            <v>MYP COMISION DE PROTESTO                4NC</v>
          </cell>
        </row>
        <row r="24067">
          <cell r="B24067" t="str">
            <v>51070402000603</v>
          </cell>
          <cell r="C24067" t="str">
            <v>MYP COMISION PORTES                     4NC</v>
          </cell>
        </row>
        <row r="24068">
          <cell r="B24068" t="str">
            <v>51070402000604</v>
          </cell>
          <cell r="C24068" t="str">
            <v>MYP PROCUR/ MORA                        4NC</v>
          </cell>
        </row>
        <row r="24069">
          <cell r="B24069" t="str">
            <v>51070402000605</v>
          </cell>
          <cell r="C24069" t="str">
            <v>MYP COM PROC VARIABLES                  4NC</v>
          </cell>
        </row>
        <row r="24070">
          <cell r="B24070" t="str">
            <v>51070402000701</v>
          </cell>
          <cell r="C24070" t="str">
            <v>TC COM MORA AMEX CMIE                   4NC</v>
          </cell>
        </row>
        <row r="24071">
          <cell r="B24071" t="str">
            <v>51070402000702</v>
          </cell>
          <cell r="C24071" t="str">
            <v>TC COM SOBREGIRO AMEX CMIE              4NC</v>
          </cell>
        </row>
        <row r="24072">
          <cell r="B24072" t="str">
            <v>51070402000703</v>
          </cell>
          <cell r="C24072" t="str">
            <v>TC COM MORA MC CMIE                     4NC</v>
          </cell>
        </row>
        <row r="24073">
          <cell r="B24073" t="str">
            <v>51070402000704</v>
          </cell>
          <cell r="C24073" t="str">
            <v>TC COM SOBREGIRO MC CMIE                4NC</v>
          </cell>
        </row>
        <row r="24074">
          <cell r="B24074" t="str">
            <v>51070402000705</v>
          </cell>
          <cell r="C24074" t="str">
            <v>TC COM MORA VISA CMIE                   4NC</v>
          </cell>
        </row>
        <row r="24075">
          <cell r="B24075" t="str">
            <v>51070402000706</v>
          </cell>
          <cell r="C24075" t="str">
            <v>TC COM MORA VISA MEGAPLAZA CMIE         4NC</v>
          </cell>
        </row>
        <row r="24076">
          <cell r="B24076" t="str">
            <v>51070402000707</v>
          </cell>
          <cell r="C24076" t="str">
            <v>TC COM MORA VISA VEA CMIE               4NC</v>
          </cell>
        </row>
        <row r="24077">
          <cell r="B24077" t="str">
            <v>51070402000708</v>
          </cell>
          <cell r="C24077" t="str">
            <v>TC COM SOBREGIRO VISA CMIE              4NC</v>
          </cell>
        </row>
        <row r="24078">
          <cell r="B24078" t="str">
            <v>51070402000709</v>
          </cell>
          <cell r="C24078" t="str">
            <v>TC COM SOBREGIRO VISA MEGAPLAZA CMIE    4NC</v>
          </cell>
        </row>
        <row r="24079">
          <cell r="B24079" t="str">
            <v>51070402000710</v>
          </cell>
          <cell r="C24079" t="str">
            <v>TC COM SOBREGIRO VISA VEA CMIE          4NC</v>
          </cell>
        </row>
        <row r="24080">
          <cell r="B24080" t="str">
            <v>51070403000101</v>
          </cell>
          <cell r="C24080" t="str">
            <v>IC COM GAN VIG GTO ADM CONVENIO         4NC</v>
          </cell>
        </row>
        <row r="24081">
          <cell r="B24081" t="str">
            <v>51070403000102</v>
          </cell>
          <cell r="C24081" t="str">
            <v>IC COM GAN VIG GASTOS ADM               4NC</v>
          </cell>
        </row>
        <row r="24082">
          <cell r="B24082" t="str">
            <v>51070403000108</v>
          </cell>
          <cell r="C24082" t="str">
            <v>IC COM. MORA                            4NC</v>
          </cell>
        </row>
        <row r="24083">
          <cell r="B24083" t="str">
            <v>51070403000113</v>
          </cell>
          <cell r="C24083" t="str">
            <v>COM TC VISA RECUPERAD                   4NC</v>
          </cell>
        </row>
        <row r="24084">
          <cell r="B24084" t="str">
            <v>51070403000119</v>
          </cell>
          <cell r="C24084" t="str">
            <v>COM GTOS ADM REF IC                     4NC</v>
          </cell>
        </row>
        <row r="24085">
          <cell r="B24085" t="str">
            <v>51070403000123</v>
          </cell>
          <cell r="C24085" t="str">
            <v>IC S COM GTO ADM VIG                    4NC</v>
          </cell>
        </row>
        <row r="24086">
          <cell r="B24086" t="str">
            <v>51070403000128</v>
          </cell>
          <cell r="C24086" t="str">
            <v>LIC COMISION ADELANTO DE SUELDO         4NC</v>
          </cell>
        </row>
        <row r="24087">
          <cell r="B24087" t="str">
            <v>51070403000129</v>
          </cell>
          <cell r="C24087" t="str">
            <v>HPC COM GASTOS ADMINISTRAT              4NC</v>
          </cell>
        </row>
        <row r="24088">
          <cell r="B24088" t="str">
            <v>51070403000130</v>
          </cell>
          <cell r="C24088" t="str">
            <v>HPC COM GASTOS ADMINISTRAT              4NC</v>
          </cell>
        </row>
        <row r="24089">
          <cell r="B24089" t="str">
            <v>51070403000201</v>
          </cell>
          <cell r="C24089" t="str">
            <v>COM SERVICIOS TC- CONSUMO               4NC</v>
          </cell>
        </row>
        <row r="24090">
          <cell r="B24090" t="str">
            <v>51070403000204</v>
          </cell>
          <cell r="C24090" t="str">
            <v>COM MORA CONSUMO - 30D IBK VISA         4NC</v>
          </cell>
        </row>
        <row r="24091">
          <cell r="B24091" t="str">
            <v>51070403000205</v>
          </cell>
          <cell r="C24091" t="str">
            <v>COM MORA CONSUMO - 30D WONG VISA        4NC</v>
          </cell>
        </row>
        <row r="24092">
          <cell r="B24092" t="str">
            <v>51070403000206</v>
          </cell>
          <cell r="C24092" t="str">
            <v>COM SOBREGIRO CONSUMO IBK VISA          4NC</v>
          </cell>
        </row>
        <row r="24093">
          <cell r="B24093" t="str">
            <v>51070403000207</v>
          </cell>
          <cell r="C24093" t="str">
            <v>COM SOBREGIRO CONSUMO WONG VISA         4NC</v>
          </cell>
        </row>
        <row r="24094">
          <cell r="B24094" t="str">
            <v>51070403000208</v>
          </cell>
          <cell r="C24094" t="str">
            <v>COM SOBREGIRO AMEX                      4NC</v>
          </cell>
        </row>
        <row r="24095">
          <cell r="B24095" t="str">
            <v>51070403000210</v>
          </cell>
          <cell r="C24095" t="str">
            <v>COM MORA CONSUMO + 30D IBK VISA         4NC</v>
          </cell>
        </row>
        <row r="24096">
          <cell r="B24096" t="str">
            <v>51070403000211</v>
          </cell>
          <cell r="C24096" t="str">
            <v>COM MORA CONSUMO + 30D WONG VISA        4NC</v>
          </cell>
        </row>
        <row r="24097">
          <cell r="B24097" t="str">
            <v>51070403000212</v>
          </cell>
          <cell r="C24097" t="str">
            <v>COM MORA TC CONSUMO AMEX +30D           4NC</v>
          </cell>
        </row>
        <row r="24098">
          <cell r="B24098" t="str">
            <v>51070403000213</v>
          </cell>
          <cell r="C24098" t="str">
            <v>COM VENC TC CONSUMO IBK VISA            4NC</v>
          </cell>
        </row>
        <row r="24099">
          <cell r="B24099" t="str">
            <v>51070403000225</v>
          </cell>
          <cell r="C24099" t="str">
            <v>COM MORA TC CONSUMO AMEX-30D            4NC</v>
          </cell>
        </row>
        <row r="24100">
          <cell r="B24100" t="str">
            <v>51070403000230</v>
          </cell>
          <cell r="C24100" t="str">
            <v>BL COM MORA CONSUMO - 30D MC            4NC</v>
          </cell>
        </row>
        <row r="24101">
          <cell r="B24101" t="str">
            <v>51070403000231</v>
          </cell>
          <cell r="C24101" t="str">
            <v>BL COM MORA CONSUMO + 30D MC            4NC</v>
          </cell>
        </row>
        <row r="24102">
          <cell r="B24102" t="str">
            <v>51070403000232</v>
          </cell>
          <cell r="C24102" t="str">
            <v>BL COM SOBREGIRO CONSUMO MC             4NC</v>
          </cell>
        </row>
        <row r="24103">
          <cell r="B24103" t="str">
            <v>51070403000238</v>
          </cell>
          <cell r="C24103" t="str">
            <v>COMIS. MORA MENOR 30 DIAS AVAL          4NC</v>
          </cell>
        </row>
        <row r="24104">
          <cell r="B24104" t="str">
            <v>51070403000240</v>
          </cell>
          <cell r="C24104" t="str">
            <v>COMISION POR SOBREGIRO AVAL             4NC</v>
          </cell>
        </row>
        <row r="24105">
          <cell r="B24105" t="str">
            <v>51070403000242</v>
          </cell>
          <cell r="C24105" t="str">
            <v>COMISION MORA MAS 30D AVAL              4NC</v>
          </cell>
        </row>
        <row r="24106">
          <cell r="B24106" t="str">
            <v>51070403000244</v>
          </cell>
          <cell r="C24106" t="str">
            <v>COMISION USUARIO AVAL                   4NC</v>
          </cell>
        </row>
        <row r="24107">
          <cell r="B24107" t="str">
            <v>51070403000246</v>
          </cell>
          <cell r="C24107" t="str">
            <v>COMISION POR ESTABLECIMIENTO AVAL       4NC</v>
          </cell>
        </row>
        <row r="24108">
          <cell r="B24108" t="str">
            <v>51070403000248</v>
          </cell>
          <cell r="C24108" t="str">
            <v>COM MORA MENOR 30 DIAS TC MEGAPLAZA     4NC</v>
          </cell>
        </row>
        <row r="24109">
          <cell r="B24109" t="str">
            <v>51070403000249</v>
          </cell>
          <cell r="C24109" t="str">
            <v>COM.SOBREGIRO TC MEGAPLAZA              4NC</v>
          </cell>
        </row>
        <row r="24110">
          <cell r="B24110" t="str">
            <v>51070403000251</v>
          </cell>
          <cell r="C24110" t="str">
            <v>COM MORA MAYOR 30 DIAS TC MEGAPLAZA     4NC</v>
          </cell>
        </row>
        <row r="24111">
          <cell r="B24111" t="str">
            <v>51070403000252</v>
          </cell>
          <cell r="C24111" t="str">
            <v>COM MORA -30 DIAS TC VEA                4NC</v>
          </cell>
        </row>
        <row r="24112">
          <cell r="B24112" t="str">
            <v>51070403000253</v>
          </cell>
          <cell r="C24112" t="str">
            <v>COM MORA -30 DIAS TC VEA VISA           4NC</v>
          </cell>
        </row>
        <row r="24113">
          <cell r="B24113" t="str">
            <v>51070403000254</v>
          </cell>
          <cell r="C24113" t="str">
            <v>COM SOBREGIRO TC VALIDA CERRADA         4NC</v>
          </cell>
        </row>
        <row r="24114">
          <cell r="B24114" t="str">
            <v>51070403000255</v>
          </cell>
          <cell r="C24114" t="str">
            <v>COM SOBREGIRO TC VEA VISA               4NC</v>
          </cell>
        </row>
        <row r="24115">
          <cell r="B24115" t="str">
            <v>51070403000258</v>
          </cell>
          <cell r="C24115" t="str">
            <v>COM MORA +30 DIAS TC VALIDA CERRADA     4NC</v>
          </cell>
        </row>
        <row r="24116">
          <cell r="B24116" t="str">
            <v>51070403000259</v>
          </cell>
          <cell r="C24116" t="str">
            <v>COM MORA +30 DIAS TC VALIDA IB VISA     4NC</v>
          </cell>
        </row>
        <row r="24117">
          <cell r="B24117" t="str">
            <v>51070403000260</v>
          </cell>
          <cell r="C24117" t="str">
            <v>IC REF TC IB PN GANAD.COMIS VIG         4NC</v>
          </cell>
        </row>
        <row r="24118">
          <cell r="B24118" t="str">
            <v>51070403000261</v>
          </cell>
          <cell r="C24118" t="str">
            <v>IC REF TC IB PN GANAD.COMIS VENC        4NC</v>
          </cell>
        </row>
        <row r="24119">
          <cell r="B24119" t="str">
            <v>51070403000262</v>
          </cell>
          <cell r="C24119" t="str">
            <v>IC REF CONV PREST RV GAN. INT VIG       4NC</v>
          </cell>
        </row>
        <row r="24120">
          <cell r="B24120" t="str">
            <v>51070403000263</v>
          </cell>
          <cell r="C24120" t="str">
            <v>IC REF CONV PREST RV GAN. INT VENC      4NC</v>
          </cell>
        </row>
        <row r="24121">
          <cell r="B24121" t="str">
            <v>51070403000266</v>
          </cell>
          <cell r="C24121" t="str">
            <v>HPC  GAN.GTO ADM .VIG EFECT.FINAN.PROV.R4NC</v>
          </cell>
        </row>
        <row r="24122">
          <cell r="B24122" t="str">
            <v>51070403000267</v>
          </cell>
          <cell r="C24122" t="str">
            <v>HPC GAN. GTO  ADM  .VENC EFECT.FINAN.PRO4NC</v>
          </cell>
        </row>
        <row r="24123">
          <cell r="B24123" t="str">
            <v>51070403000268</v>
          </cell>
          <cell r="C24123" t="str">
            <v>HPC COM.PAGO.ADEL EFEC..FINAN.PROV.REFIN4NC</v>
          </cell>
        </row>
        <row r="24124">
          <cell r="B24124" t="str">
            <v>51070403000269</v>
          </cell>
          <cell r="C24124" t="str">
            <v>HPCÂ  GAN.GTO ADM VIG .EFECT            4NC</v>
          </cell>
        </row>
        <row r="24125">
          <cell r="B24125" t="str">
            <v>51070403000270</v>
          </cell>
          <cell r="C24125" t="str">
            <v>HPCÂ  GAN.GTO ADM VENC.EFECT.           4NC</v>
          </cell>
        </row>
        <row r="24126">
          <cell r="B24126" t="str">
            <v>51070403000271</v>
          </cell>
          <cell r="C24126" t="str">
            <v>HPC COM.PAGO ADEL .EFECT.               4NC</v>
          </cell>
        </row>
        <row r="24127">
          <cell r="B24127" t="str">
            <v>51070403000272</v>
          </cell>
          <cell r="C24127" t="str">
            <v>HPC COM.POR SERV. COBRANZA.EFECT.       4NC</v>
          </cell>
        </row>
        <row r="24128">
          <cell r="B24128" t="str">
            <v>51070403000273</v>
          </cell>
          <cell r="C24128" t="str">
            <v>HPC COM PORTES .EFECT                   4NC</v>
          </cell>
        </row>
        <row r="24129">
          <cell r="B24129" t="str">
            <v>51070403000274</v>
          </cell>
          <cell r="C24129" t="str">
            <v>HPC COM PROCURACION .EFECT              4NC</v>
          </cell>
        </row>
        <row r="24130">
          <cell r="B24130" t="str">
            <v>51070403000275</v>
          </cell>
          <cell r="C24130" t="str">
            <v>HPC.REF.GAN.GTO ADM VIG.EFECT           4NC</v>
          </cell>
        </row>
        <row r="24131">
          <cell r="B24131" t="str">
            <v>51070403000276</v>
          </cell>
          <cell r="C24131" t="str">
            <v>HPC .REF. GAN.GTO ADM VENC.EFECT        4NC</v>
          </cell>
        </row>
        <row r="24132">
          <cell r="B24132" t="str">
            <v>51070403000277</v>
          </cell>
          <cell r="C24132" t="str">
            <v>HPC .REF. COM.PAGO.ADEL.EFECT.(VIG.VENC)4NC</v>
          </cell>
        </row>
        <row r="24133">
          <cell r="B24133" t="str">
            <v>51070403000278</v>
          </cell>
          <cell r="C24133" t="str">
            <v>HPC.REF. COM.POR SERV.COBRAN.EFEC       4NC</v>
          </cell>
        </row>
        <row r="24134">
          <cell r="B24134" t="str">
            <v>51070403000279</v>
          </cell>
          <cell r="C24134" t="str">
            <v>HPC. REF. COM PORTES .EFECT             4NC</v>
          </cell>
        </row>
        <row r="24135">
          <cell r="B24135" t="str">
            <v>51070403000280</v>
          </cell>
          <cell r="C24135" t="str">
            <v>HPC.REF. COM PROCURACION .EFECT         4NC</v>
          </cell>
        </row>
        <row r="24136">
          <cell r="B24136" t="str">
            <v>51070403000281</v>
          </cell>
          <cell r="C24136" t="str">
            <v>HPC COM.POR SERV.COBRAN.EFEC. FINAN.PROV4NC</v>
          </cell>
        </row>
        <row r="24137">
          <cell r="B24137" t="str">
            <v>51070403000282</v>
          </cell>
          <cell r="C24137" t="str">
            <v>HPC COM PORTES .EFEC. FINAN.PROV.REFIN  4NC</v>
          </cell>
        </row>
        <row r="24138">
          <cell r="B24138" t="str">
            <v>51070403000283</v>
          </cell>
          <cell r="C24138" t="str">
            <v>HPC COM PROCURACION.EFEC. FINAN.PROV.REF4NC</v>
          </cell>
        </row>
        <row r="24139">
          <cell r="B24139" t="str">
            <v>51070403000284</v>
          </cell>
          <cell r="C24139" t="str">
            <v>TC COM MORA VISA MEGAPLAZA CCRV         4NC</v>
          </cell>
        </row>
        <row r="24140">
          <cell r="B24140" t="str">
            <v>51070403000285</v>
          </cell>
          <cell r="C24140" t="str">
            <v>TC COM MORA VISA VEA CCRV               4NC</v>
          </cell>
        </row>
        <row r="24141">
          <cell r="B24141" t="str">
            <v>51070403000286</v>
          </cell>
          <cell r="C24141" t="str">
            <v>TC COM SOBREGIRO VISA MEGAPLAZA CCRV    4NC</v>
          </cell>
        </row>
        <row r="24142">
          <cell r="B24142" t="str">
            <v>51070403000287</v>
          </cell>
          <cell r="C24142" t="str">
            <v>TC COM SOBREGIRO VISA VEA CCRV          4NC</v>
          </cell>
        </row>
        <row r="24143">
          <cell r="B24143" t="str">
            <v>51070403000288</v>
          </cell>
          <cell r="C24143" t="str">
            <v>TC COMISION ENVIO EECC PORTES           4NC</v>
          </cell>
        </row>
        <row r="24144">
          <cell r="B24144" t="str">
            <v>51070403000289</v>
          </cell>
          <cell r="C24144" t="str">
            <v>TC AMEX COMISÂ  ENVIO EECC PORTES       4NC</v>
          </cell>
        </row>
        <row r="24145">
          <cell r="B24145" t="str">
            <v>51070403000290</v>
          </cell>
          <cell r="C24145" t="str">
            <v>TC MC COMIS ENVIO EECC PORTES           4NC</v>
          </cell>
        </row>
        <row r="24146">
          <cell r="B24146" t="str">
            <v>51070403000291</v>
          </cell>
          <cell r="C24146" t="str">
            <v>TC DUPLICIDAD DE EECC                   4NC</v>
          </cell>
        </row>
        <row r="24147">
          <cell r="B24147" t="str">
            <v>51070403000301</v>
          </cell>
          <cell r="C24147" t="str">
            <v>MTO. TARJETA ELECTRON CONSUMO           4NC</v>
          </cell>
        </row>
        <row r="24148">
          <cell r="B24148" t="str">
            <v>51070403000302</v>
          </cell>
          <cell r="C24148" t="str">
            <v>COM AFILIAC RENOV TC COMERC IBKVISA CONS4NC</v>
          </cell>
        </row>
        <row r="24149">
          <cell r="B24149" t="str">
            <v>51070403000303</v>
          </cell>
          <cell r="C24149" t="str">
            <v>COM AFILIAC RENOV TC CONSUMO IBKVISA CON4NC</v>
          </cell>
        </row>
        <row r="24150">
          <cell r="B24150" t="str">
            <v>51070403000304</v>
          </cell>
          <cell r="C24150" t="str">
            <v>COM AFILIAC RENOV TC CONS WONGVISA CONSU4NC</v>
          </cell>
        </row>
        <row r="24151">
          <cell r="B24151" t="str">
            <v>51070403000305</v>
          </cell>
          <cell r="C24151" t="str">
            <v>COM AFILIAC RENOV TC CONSUMO AMEX CONSUM4NC</v>
          </cell>
        </row>
        <row r="24152">
          <cell r="B24152" t="str">
            <v>51070403000306</v>
          </cell>
          <cell r="C24152" t="str">
            <v>BL COM AFILIAC RENOV TC CONS MC CONSUMO 4NC</v>
          </cell>
        </row>
        <row r="24153">
          <cell r="B24153" t="str">
            <v>51070403000307</v>
          </cell>
          <cell r="C24153" t="str">
            <v>COM. AFILIACION/RENOV. TC COMERC.M CONSU4NC</v>
          </cell>
        </row>
        <row r="24154">
          <cell r="B24154" t="str">
            <v>51070403000308</v>
          </cell>
          <cell r="C24154" t="str">
            <v>COMIS. AFILIAC -RENOVACION AVAL CONSUMO 4NC</v>
          </cell>
        </row>
        <row r="24155">
          <cell r="B24155" t="str">
            <v>51070403000309</v>
          </cell>
          <cell r="C24155" t="str">
            <v>COMIS. AFILIAC -RENOVAC TC MEGAPLAZA CON4NC</v>
          </cell>
        </row>
        <row r="24156">
          <cell r="B24156" t="str">
            <v>51070403000310</v>
          </cell>
          <cell r="C24156" t="str">
            <v>COM AFILIAC-RENOV TC VEA CONSUMO        4NC</v>
          </cell>
        </row>
        <row r="24157">
          <cell r="B24157" t="str">
            <v>51070403000311</v>
          </cell>
          <cell r="C24157" t="str">
            <v>COM AFILIAC-RENOV TC VEA VISA CONSUMO   4NC</v>
          </cell>
        </row>
        <row r="24158">
          <cell r="B24158" t="str">
            <v>51070403000312</v>
          </cell>
          <cell r="C24158" t="str">
            <v>COM EMISION REPOSICION TC BANMAT CONSUMO4NC</v>
          </cell>
        </row>
        <row r="24159">
          <cell r="B24159" t="str">
            <v>51070403000313</v>
          </cell>
          <cell r="C24159" t="str">
            <v>TC COM D/E VISA MEGAPLAZA CONSUMO       4NC</v>
          </cell>
        </row>
        <row r="24160">
          <cell r="B24160" t="str">
            <v>51070403000314</v>
          </cell>
          <cell r="C24160" t="str">
            <v>TC COM D/E VISA VEA CONSUMO             4NC</v>
          </cell>
        </row>
        <row r="24161">
          <cell r="B24161" t="str">
            <v>51070403000315</v>
          </cell>
          <cell r="C24161" t="str">
            <v>TC COM RENOV/REPOS VISA MEGAPLAZA CONSUM4NC</v>
          </cell>
        </row>
        <row r="24162">
          <cell r="B24162" t="str">
            <v>51070403000316</v>
          </cell>
          <cell r="C24162" t="str">
            <v>TC COM RENOV/REPOS VISA VEA CONSUMO     4NC</v>
          </cell>
        </row>
        <row r="24163">
          <cell r="B24163" t="str">
            <v>51070403000317</v>
          </cell>
          <cell r="C24163" t="str">
            <v>CDO TC SERV RETIRO CAJERO / MON VIG CONS4NC</v>
          </cell>
        </row>
        <row r="24164">
          <cell r="B24164" t="str">
            <v>51070403000318</v>
          </cell>
          <cell r="C24164" t="str">
            <v>CDO TC SERV RETIRO CAJERO / MON VENC CON4NC</v>
          </cell>
        </row>
        <row r="24165">
          <cell r="B24165" t="str">
            <v>51070403000319</v>
          </cell>
          <cell r="C24165" t="str">
            <v>SAT TC SERV RETIRO CAJERO / MON VIG CONS4NC</v>
          </cell>
        </row>
        <row r="24166">
          <cell r="B24166" t="str">
            <v>51070403000320</v>
          </cell>
          <cell r="C24166" t="str">
            <v>SAT TC SERV RETIRO CAJERO / MON VENC CON4NC</v>
          </cell>
        </row>
        <row r="24167">
          <cell r="B24167" t="str">
            <v>51070403000321</v>
          </cell>
          <cell r="C24167" t="str">
            <v>CDO TC SERV POR MODIFICAC DE PLAZO VIG C4NC</v>
          </cell>
        </row>
        <row r="24168">
          <cell r="B24168" t="str">
            <v>51070403000322</v>
          </cell>
          <cell r="C24168" t="str">
            <v>CDO TC SERV POR MODIFICAC DE PLAZO VENC 4NC</v>
          </cell>
        </row>
        <row r="24169">
          <cell r="B24169" t="str">
            <v>51070403000323</v>
          </cell>
          <cell r="C24169" t="str">
            <v>SAT TC SERV POR MODIFICAC DE PLAZO VIG C4NC</v>
          </cell>
        </row>
        <row r="24170">
          <cell r="B24170" t="str">
            <v>51070403000324</v>
          </cell>
          <cell r="C24170" t="str">
            <v>SAT TC SERV POR MODIFICAC DE PLAZO VENC 4NC</v>
          </cell>
        </row>
        <row r="24171">
          <cell r="B24171" t="str">
            <v>51070403000325</v>
          </cell>
          <cell r="C24171" t="str">
            <v>MANTENIMIENTO TC IB VISA CONSUMO        4NC</v>
          </cell>
        </row>
        <row r="24172">
          <cell r="B24172" t="str">
            <v>51070403000326</v>
          </cell>
          <cell r="C24172" t="str">
            <v>MANTENIMIENTO TC CONSUMO IBKVISA CONSUMO4NC</v>
          </cell>
        </row>
        <row r="24173">
          <cell r="B24173" t="str">
            <v>51070403000327</v>
          </cell>
          <cell r="C24173" t="str">
            <v>MANTENIMIENTO TC CONSUMO WONG VISA CONSU4NC</v>
          </cell>
        </row>
        <row r="24174">
          <cell r="B24174" t="str">
            <v>51070403000328</v>
          </cell>
          <cell r="C24174" t="str">
            <v>MANTENIMIENTO TC CONSUMO AMEX CONSUMO   4NC</v>
          </cell>
        </row>
        <row r="24175">
          <cell r="B24175" t="str">
            <v>51070403000329</v>
          </cell>
          <cell r="C24175" t="str">
            <v>SEG DESGRAVAMEN CONSUMO IBK VISA CONSUMO4NC</v>
          </cell>
        </row>
        <row r="24176">
          <cell r="B24176" t="str">
            <v>51070403000330</v>
          </cell>
          <cell r="C24176" t="str">
            <v>SEG DESGRAVAMEN CONSUMO WONGVISA CONSUMO4NC</v>
          </cell>
        </row>
        <row r="24177">
          <cell r="B24177" t="str">
            <v>51070403000331</v>
          </cell>
          <cell r="C24177" t="str">
            <v>SEG DESGRAVAMEN CONSUMO AMEX CONSUMO    4NC</v>
          </cell>
        </row>
        <row r="24178">
          <cell r="B24178" t="str">
            <v>51070403000332</v>
          </cell>
          <cell r="C24178" t="str">
            <v>MANTENIMIENTO TC CONSUMO MC CONSUMO     4NC</v>
          </cell>
        </row>
        <row r="24179">
          <cell r="B24179" t="str">
            <v>51070403000333</v>
          </cell>
          <cell r="C24179" t="str">
            <v>BL SEG DESGRAVAMEN CONSUMO MC CONSUMO   4NC</v>
          </cell>
        </row>
        <row r="24180">
          <cell r="B24180" t="str">
            <v>51070403000334</v>
          </cell>
          <cell r="C24180" t="str">
            <v>MANTENIMIENTO TC COMERCIAL MC CONSUMO   4NC</v>
          </cell>
        </row>
        <row r="24181">
          <cell r="B24181" t="str">
            <v>51070403000335</v>
          </cell>
          <cell r="C24181" t="str">
            <v>TC SEGURO DE DESGRAVAMEN AVAL CONSUMO   4NC</v>
          </cell>
        </row>
        <row r="24182">
          <cell r="B24182" t="str">
            <v>51070403000336</v>
          </cell>
          <cell r="C24182" t="str">
            <v>MANTENIMIENTO TC AVAL CONSUMO           4NC</v>
          </cell>
        </row>
        <row r="24183">
          <cell r="B24183" t="str">
            <v>51070403000337</v>
          </cell>
          <cell r="C24183" t="str">
            <v>SEGURO DESGRAVAMEN TC MEGAPLAZA CONSUMO 4NC</v>
          </cell>
        </row>
        <row r="24184">
          <cell r="B24184" t="str">
            <v>51070403000338</v>
          </cell>
          <cell r="C24184" t="str">
            <v>MANTENIMIENTO TC MEGA PLAZA CONSUMO     4NC</v>
          </cell>
        </row>
        <row r="24185">
          <cell r="B24185" t="str">
            <v>51070403000339</v>
          </cell>
          <cell r="C24185" t="str">
            <v>SEG DESGRAV TC VEA CONSUMO              4NC</v>
          </cell>
        </row>
        <row r="24186">
          <cell r="B24186" t="str">
            <v>51070403000340</v>
          </cell>
          <cell r="C24186" t="str">
            <v>SEG DESGRAV TC VEA VISA CONSUMO         4NC</v>
          </cell>
        </row>
        <row r="24187">
          <cell r="B24187" t="str">
            <v>51070403000341</v>
          </cell>
          <cell r="C24187" t="str">
            <v>MANTENIMIENTO TC VEA CONSUMO            4NC</v>
          </cell>
        </row>
        <row r="24188">
          <cell r="B24188" t="str">
            <v>51070403000342</v>
          </cell>
          <cell r="C24188" t="str">
            <v>MANTENIMIENTO TC VEA VISA CONSUMO       4NC</v>
          </cell>
        </row>
        <row r="24189">
          <cell r="B24189" t="str">
            <v>51070403000343</v>
          </cell>
          <cell r="C24189" t="str">
            <v>COMISIONES SEGURO TC CONSUMO            4NC</v>
          </cell>
        </row>
        <row r="24190">
          <cell r="B24190" t="str">
            <v>51070403000344</v>
          </cell>
          <cell r="C24190" t="str">
            <v>TC MANTENIMIENTO VISA MEGAPLAZA CONSUMO 4NC</v>
          </cell>
        </row>
        <row r="24191">
          <cell r="B24191" t="str">
            <v>51070403000345</v>
          </cell>
          <cell r="C24191" t="str">
            <v>TC MANTENIMIENTO VISA VEA CONSUMO       4NC</v>
          </cell>
        </row>
        <row r="24192">
          <cell r="B24192" t="str">
            <v>51070403000346</v>
          </cell>
          <cell r="C24192" t="str">
            <v>TC SEG DESGRAV VISA MEGAPLAZA CONSUMO   4NC</v>
          </cell>
        </row>
        <row r="24193">
          <cell r="B24193" t="str">
            <v>51070403000347</v>
          </cell>
          <cell r="C24193" t="str">
            <v>TC SEG DESGRAV VISA VEA CONSUMO         4NC</v>
          </cell>
        </row>
        <row r="24194">
          <cell r="B24194" t="str">
            <v>51070403000348</v>
          </cell>
          <cell r="C24194" t="str">
            <v>COM ESTABLEC TC COMERC IBK VISA CONSUMO 4NC</v>
          </cell>
        </row>
        <row r="24195">
          <cell r="B24195" t="str">
            <v>51070403000349</v>
          </cell>
          <cell r="C24195" t="str">
            <v>COM ESTABLEC TC CONSUMO IBK VISA CONSUMO4NC</v>
          </cell>
        </row>
        <row r="24196">
          <cell r="B24196" t="str">
            <v>51070403000350</v>
          </cell>
          <cell r="C24196" t="str">
            <v>COM ESTABLEC TC CONSUMO WONG VISA CONSUM4NC</v>
          </cell>
        </row>
        <row r="24197">
          <cell r="B24197" t="str">
            <v>51070403000351</v>
          </cell>
          <cell r="C24197" t="str">
            <v>COM ESTABLEC TC CONSUMO AMEX CONSUMO    4NC</v>
          </cell>
        </row>
        <row r="24198">
          <cell r="B24198" t="str">
            <v>51070403000352</v>
          </cell>
          <cell r="C24198" t="str">
            <v>BL COM ESTABLEC TC CONSUMO MC CONSUMO   4NC</v>
          </cell>
        </row>
        <row r="24199">
          <cell r="B24199" t="str">
            <v>51070403000353</v>
          </cell>
          <cell r="C24199" t="str">
            <v>COM ATM FORANEO VISA CONSUMO            4NC</v>
          </cell>
        </row>
        <row r="24200">
          <cell r="B24200" t="str">
            <v>51070403000354</v>
          </cell>
          <cell r="C24200" t="str">
            <v>COM ATM FORANEO AMEX CONSUMO            4NC</v>
          </cell>
        </row>
        <row r="24201">
          <cell r="B24201" t="str">
            <v>51070403000355</v>
          </cell>
          <cell r="C24201" t="str">
            <v>COM ATM FORANEO MASTERCARD CONSUMO      4NC</v>
          </cell>
        </row>
        <row r="24202">
          <cell r="B24202" t="str">
            <v>51070403000356</v>
          </cell>
          <cell r="C24202" t="str">
            <v>COM ESTABLECIMIENTO TARJ ELECTRON CONSUM4NC</v>
          </cell>
        </row>
        <row r="24203">
          <cell r="B24203" t="str">
            <v>51070403000357</v>
          </cell>
          <cell r="C24203" t="str">
            <v>COM ESTABLECIMIENTO TC MEGAPLAZA CONSUMO4NC</v>
          </cell>
        </row>
        <row r="24204">
          <cell r="B24204" t="str">
            <v>51070403000358</v>
          </cell>
          <cell r="C24204" t="str">
            <v>COM ESTABLECIM TC VEA CONSUMO           4NC</v>
          </cell>
        </row>
        <row r="24205">
          <cell r="B24205" t="str">
            <v>51070403000359</v>
          </cell>
          <cell r="C24205" t="str">
            <v>COM ESTABLECIM TC VEA VISA CONSUMO      4NC</v>
          </cell>
        </row>
        <row r="24206">
          <cell r="B24206" t="str">
            <v>51070403000360</v>
          </cell>
          <cell r="C24206" t="str">
            <v>COM USUARIOS TC COMERC IBK VISA CONSUMO 4NC</v>
          </cell>
        </row>
        <row r="24207">
          <cell r="B24207" t="str">
            <v>51070403000361</v>
          </cell>
          <cell r="C24207" t="str">
            <v>COM USUARIOS TC CONSUMO IBK VISA CONSUMO4NC</v>
          </cell>
        </row>
        <row r="24208">
          <cell r="B24208" t="str">
            <v>51070403000362</v>
          </cell>
          <cell r="C24208" t="str">
            <v>COM USUARIOS TC CONSUMO WONG VISA CONSUM4NC</v>
          </cell>
        </row>
        <row r="24209">
          <cell r="B24209" t="str">
            <v>51070403000363</v>
          </cell>
          <cell r="C24209" t="str">
            <v>COM USUARIOS TC CONSUMO AMEX CONSUMO    4NC</v>
          </cell>
        </row>
        <row r="24210">
          <cell r="B24210" t="str">
            <v>51070403000364</v>
          </cell>
          <cell r="C24210" t="str">
            <v>COM USUARIOS TC CONSUMO MP CONSUMO      4NC</v>
          </cell>
        </row>
        <row r="24211">
          <cell r="B24211" t="str">
            <v>51070403000365</v>
          </cell>
          <cell r="C24211" t="str">
            <v>BL COM USUARIOS TC CONSUMO MC CONSUMO   4NC</v>
          </cell>
        </row>
        <row r="24212">
          <cell r="B24212" t="str">
            <v>51070403000366</v>
          </cell>
          <cell r="C24212" t="str">
            <v>BL COM. USUARIOS TC COMERCIAL MC CONSUMO4NC</v>
          </cell>
        </row>
        <row r="24213">
          <cell r="B24213" t="str">
            <v>51070403000367</v>
          </cell>
          <cell r="C24213" t="str">
            <v>COM.USUARIOS TC MEGAPLAZA CONSUMO       4NC</v>
          </cell>
        </row>
        <row r="24214">
          <cell r="B24214" t="str">
            <v>51070403000368</v>
          </cell>
          <cell r="C24214" t="str">
            <v>COM USUARIO TC VEA CONSUMO              4NC</v>
          </cell>
        </row>
        <row r="24215">
          <cell r="B24215" t="str">
            <v>51070403000369</v>
          </cell>
          <cell r="C24215" t="str">
            <v>COM USUARIO TC VEA VISA CONSUMO         4NC</v>
          </cell>
        </row>
        <row r="24216">
          <cell r="B24216" t="str">
            <v>51070403000370</v>
          </cell>
          <cell r="C24216" t="str">
            <v>TC COMIS.REPOS.PLAST.VEA REMESAS CONSUMO4NC</v>
          </cell>
        </row>
        <row r="24217">
          <cell r="B24217" t="str">
            <v>51070403000371</v>
          </cell>
          <cell r="C24217" t="str">
            <v>TC COMIS.CONSU.MOVIM VEA REMESAS CONSUMO4NC</v>
          </cell>
        </row>
        <row r="24218">
          <cell r="B24218" t="str">
            <v>51070403000372</v>
          </cell>
          <cell r="C24218" t="str">
            <v>TC COM D/E AMEX CONSUMO                 4NC</v>
          </cell>
        </row>
        <row r="24219">
          <cell r="B24219" t="str">
            <v>51070403000373</v>
          </cell>
          <cell r="C24219" t="str">
            <v>TC COM EXTRACASH AMEX CONSUMO           4NC</v>
          </cell>
        </row>
        <row r="24220">
          <cell r="B24220" t="str">
            <v>51070403000374</v>
          </cell>
          <cell r="C24220" t="str">
            <v>TC COM RENOV/REPOS AMEX CONSUMO         4NC</v>
          </cell>
        </row>
        <row r="24221">
          <cell r="B24221" t="str">
            <v>51070403000375</v>
          </cell>
          <cell r="C24221" t="str">
            <v>TC MANTENIMIENTO AMEX CONSUMO           4NC</v>
          </cell>
        </row>
        <row r="24222">
          <cell r="B24222" t="str">
            <v>51070403000376</v>
          </cell>
          <cell r="C24222" t="str">
            <v>TC SEG DESGRAV AMEX CONSUMO             4NC</v>
          </cell>
        </row>
        <row r="24223">
          <cell r="B24223" t="str">
            <v>51070403000377</v>
          </cell>
          <cell r="C24223" t="str">
            <v>TC COM D/E MC CONSUMO                   4NC</v>
          </cell>
        </row>
        <row r="24224">
          <cell r="B24224" t="str">
            <v>51070403000378</v>
          </cell>
          <cell r="C24224" t="str">
            <v>TC COM EXTRACASH MC CONSUMO             4NC</v>
          </cell>
        </row>
        <row r="24225">
          <cell r="B24225" t="str">
            <v>51070403000379</v>
          </cell>
          <cell r="C24225" t="str">
            <v>TC COM RENOV/REPOS MC CONSUMO           4NC</v>
          </cell>
        </row>
        <row r="24226">
          <cell r="B24226" t="str">
            <v>51070403000380</v>
          </cell>
          <cell r="C24226" t="str">
            <v>TC MANTENIMIENTO MC CONSUMO             4NC</v>
          </cell>
        </row>
        <row r="24227">
          <cell r="B24227" t="str">
            <v>51070403000381</v>
          </cell>
          <cell r="C24227" t="str">
            <v>TC SEG DESGRAV MC CONSUMO               4NC</v>
          </cell>
        </row>
        <row r="24228">
          <cell r="B24228" t="str">
            <v>51070403000382</v>
          </cell>
          <cell r="C24228" t="str">
            <v>TC COM D/E VISA CONSUMO                 4NC</v>
          </cell>
        </row>
        <row r="24229">
          <cell r="B24229" t="str">
            <v>51070403000383</v>
          </cell>
          <cell r="C24229" t="str">
            <v>TC COM EXTRACASH VISA CONSUMO           4NC</v>
          </cell>
        </row>
        <row r="24230">
          <cell r="B24230" t="str">
            <v>51070403000384</v>
          </cell>
          <cell r="C24230" t="str">
            <v>TC COM EXTRACASH VISA MEGAPLAZA CONSUMO 4NC</v>
          </cell>
        </row>
        <row r="24231">
          <cell r="B24231" t="str">
            <v>51070403000385</v>
          </cell>
          <cell r="C24231" t="str">
            <v>TC COM EXTRACASH VISA VEA CONSUMO       4NC</v>
          </cell>
        </row>
        <row r="24232">
          <cell r="B24232" t="str">
            <v>51070403000386</v>
          </cell>
          <cell r="C24232" t="str">
            <v>TC COM RENOV/REPOS VISA CONSUMO         4NC</v>
          </cell>
        </row>
        <row r="24233">
          <cell r="B24233" t="str">
            <v>51070403000387</v>
          </cell>
          <cell r="C24233" t="str">
            <v>TC MANTENIMIENTO VISA CONSUMO           4NC</v>
          </cell>
        </row>
        <row r="24234">
          <cell r="B24234" t="str">
            <v>51070403000388</v>
          </cell>
          <cell r="C24234" t="str">
            <v>TC SEG DESGRAV VISA CONSUMO             4NC</v>
          </cell>
        </row>
        <row r="24235">
          <cell r="B24235" t="str">
            <v>51070403000389</v>
          </cell>
          <cell r="C24235" t="str">
            <v>COMISION RENOVACION TC RECARGA CONSUMO  4NC</v>
          </cell>
        </row>
        <row r="24236">
          <cell r="B24236" t="str">
            <v>51070403000390</v>
          </cell>
          <cell r="C24236" t="str">
            <v>COMISION REPOSICION TC RECARGA CONSUMO  4NC</v>
          </cell>
        </row>
        <row r="24237">
          <cell r="B24237" t="str">
            <v>51070403000391</v>
          </cell>
          <cell r="C24237" t="str">
            <v>COMISION DISP EFECT TC RECARGA CONSUMO  4NC</v>
          </cell>
        </row>
        <row r="24238">
          <cell r="B24238" t="str">
            <v>51070403000392</v>
          </cell>
          <cell r="C24238" t="str">
            <v>COMISION SERV TARJETA TC RECARGA CONSUMO4NC</v>
          </cell>
        </row>
        <row r="24239">
          <cell r="B24239" t="str">
            <v>51070403000393</v>
          </cell>
          <cell r="C24239" t="str">
            <v>MANTENIMIENTO TC RECARGA CONSUMO        4NC</v>
          </cell>
        </row>
        <row r="24240">
          <cell r="B24240" t="str">
            <v>51070403000394</v>
          </cell>
          <cell r="C24240" t="str">
            <v>SEGURO DESGRAVAMEN TC RECARGA CONSUMO   4NC</v>
          </cell>
        </row>
        <row r="24241">
          <cell r="B24241" t="str">
            <v>51070403000395</v>
          </cell>
          <cell r="C24241" t="str">
            <v>COM CONSULTA DE SALDOS BANMAT CONSUMO   4NC</v>
          </cell>
        </row>
        <row r="24242">
          <cell r="B24242" t="str">
            <v>51070403000396</v>
          </cell>
          <cell r="C24242" t="str">
            <v>COMISIÃ“N ESTABLECIMIENTO ORO CHIP      4NC</v>
          </cell>
        </row>
        <row r="24243">
          <cell r="B24243" t="str">
            <v>51070403000401</v>
          </cell>
          <cell r="C24243" t="str">
            <v>JCC PENALIDAD INCUMP.PAGO BP EFECTIVO   4NC</v>
          </cell>
        </row>
        <row r="24244">
          <cell r="B24244" t="str">
            <v>51070403000402</v>
          </cell>
          <cell r="C24244" t="str">
            <v>JCC PENALIDAD INCUMP.PAGO BP VEHICULAR  4NC</v>
          </cell>
        </row>
        <row r="24245">
          <cell r="B24245" t="str">
            <v>51070403000403</v>
          </cell>
          <cell r="C24245" t="str">
            <v>JCC PENALIDAD INCUMP.PAGO BP ADEL SUELDO4NC</v>
          </cell>
        </row>
        <row r="24246">
          <cell r="B24246" t="str">
            <v>51070403000404</v>
          </cell>
          <cell r="C24246" t="str">
            <v>JCC PENALIDAD INCUMP.PAGO BP TARJ CREDIT4NC</v>
          </cell>
        </row>
        <row r="24247">
          <cell r="B24247" t="str">
            <v>51070403000405</v>
          </cell>
          <cell r="C24247" t="str">
            <v>JCC PENALIDAD INCUMP.PAGO BP            4NC</v>
          </cell>
        </row>
        <row r="24248">
          <cell r="B24248" t="str">
            <v>51070403000501</v>
          </cell>
          <cell r="C24248" t="str">
            <v>IC COM GAN VENC CONSUMO                 4NC</v>
          </cell>
        </row>
        <row r="24249">
          <cell r="B24249" t="str">
            <v>51070403000504</v>
          </cell>
          <cell r="C24249" t="str">
            <v>IC COM ADM VENC CONVENIOS               4NC</v>
          </cell>
        </row>
        <row r="24250">
          <cell r="B24250" t="str">
            <v>51070403000505</v>
          </cell>
          <cell r="C24250" t="str">
            <v>LIC COM GAN CREDXCONVENIO VIG           4NC</v>
          </cell>
        </row>
        <row r="24251">
          <cell r="B24251" t="str">
            <v>51070403000506</v>
          </cell>
          <cell r="C24251" t="str">
            <v>LIC COM GAN CREDXCONVENIO VEN           4NC</v>
          </cell>
        </row>
        <row r="24252">
          <cell r="B24252" t="str">
            <v>51070403000507</v>
          </cell>
          <cell r="C24252" t="str">
            <v>LIC COM DE MORA CREDXCONVENIO           4NC</v>
          </cell>
        </row>
        <row r="24253">
          <cell r="B24253" t="str">
            <v>51070403000508</v>
          </cell>
          <cell r="C24253" t="str">
            <v>LIC COM GAN CREDXCONVENIO D/P VIG       4NC</v>
          </cell>
        </row>
        <row r="24254">
          <cell r="B24254" t="str">
            <v>51070403000509</v>
          </cell>
          <cell r="C24254" t="str">
            <v>LIC COM GAN CREDXCONVENIO D/P VEN       4NC</v>
          </cell>
        </row>
        <row r="24255">
          <cell r="B24255" t="str">
            <v>51070403000517</v>
          </cell>
          <cell r="C24255" t="str">
            <v>CHI COM GAN PAGO ADEL MI VIVI CLI       4NC</v>
          </cell>
        </row>
        <row r="24256">
          <cell r="B24256" t="str">
            <v>51070403000530</v>
          </cell>
          <cell r="C24256" t="str">
            <v>LIC DUPLICADO DE CRONOGRAMA CONVENIO    4NC</v>
          </cell>
        </row>
        <row r="24257">
          <cell r="B24257" t="str">
            <v>51070403000601</v>
          </cell>
          <cell r="C24257" t="str">
            <v>COMISIONES ESTABLECIMIENTO DE TD JOVEN  4NC</v>
          </cell>
        </row>
        <row r="24258">
          <cell r="B24258" t="str">
            <v>51070403000701</v>
          </cell>
          <cell r="C24258" t="str">
            <v>COM.REN/PAGIGVCONSUMO                   4NC</v>
          </cell>
        </row>
        <row r="24259">
          <cell r="B24259" t="str">
            <v>51070403000702</v>
          </cell>
          <cell r="C24259" t="str">
            <v>COM.TRASL.FONDO SCONSUMO                4NC</v>
          </cell>
        </row>
        <row r="24260">
          <cell r="B24260" t="str">
            <v>51070403000801</v>
          </cell>
          <cell r="C24260" t="str">
            <v>TC COM MORA AMEX CCRV                   4NC</v>
          </cell>
        </row>
        <row r="24261">
          <cell r="B24261" t="str">
            <v>51070403000802</v>
          </cell>
          <cell r="C24261" t="str">
            <v>TC COM SOBREGIRO AMEX CCRV              4NC</v>
          </cell>
        </row>
        <row r="24262">
          <cell r="B24262" t="str">
            <v>51070403000803</v>
          </cell>
          <cell r="C24262" t="str">
            <v>TC COM MORA MC CCRV                     4NC</v>
          </cell>
        </row>
        <row r="24263">
          <cell r="B24263" t="str">
            <v>51070403000804</v>
          </cell>
          <cell r="C24263" t="str">
            <v>TC COM SOBREGIRO MC CCRV                4NC</v>
          </cell>
        </row>
        <row r="24264">
          <cell r="B24264" t="str">
            <v>51070403000805</v>
          </cell>
          <cell r="C24264" t="str">
            <v>TC COM MORA VISA CCRV                   4NC</v>
          </cell>
        </row>
        <row r="24265">
          <cell r="B24265" t="str">
            <v>51070403000806</v>
          </cell>
          <cell r="C24265" t="str">
            <v>TC COM SOBREGIRO VISA CCRV              4NC</v>
          </cell>
        </row>
        <row r="24266">
          <cell r="B24266" t="str">
            <v>51070403000807</v>
          </cell>
          <cell r="C24266" t="str">
            <v>TC USO CAJERO AUTOMATICO OTRO BANCO VISA4NC</v>
          </cell>
        </row>
        <row r="24267">
          <cell r="B24267" t="str">
            <v>51070403000808</v>
          </cell>
          <cell r="C24267" t="str">
            <v>TC USO CAJERO AUTOMATICO EXTRANJERO VISA4NC</v>
          </cell>
        </row>
        <row r="24268">
          <cell r="B24268" t="str">
            <v>51070403000809</v>
          </cell>
          <cell r="C24268" t="str">
            <v>TC USO CAJERO AUTOMATICO GLOBALNET VISA 4NC</v>
          </cell>
        </row>
        <row r="24269">
          <cell r="B24269" t="str">
            <v>51070403000810</v>
          </cell>
          <cell r="C24269" t="str">
            <v>TC COMISION POR D.E. EN VENTANILLA VISA 4NC</v>
          </cell>
        </row>
        <row r="24270">
          <cell r="B24270" t="str">
            <v>51070403000811</v>
          </cell>
          <cell r="C24270" t="str">
            <v>TC INCUMP. PAGO DIA 1 VISA CONSUMO      4NC</v>
          </cell>
        </row>
        <row r="24271">
          <cell r="B24271" t="str">
            <v>51070403000812</v>
          </cell>
          <cell r="C24271" t="str">
            <v>TC INCUMP. PAGO DIA 20 VISA CONSUMO     4NC</v>
          </cell>
        </row>
        <row r="24272">
          <cell r="B24272" t="str">
            <v>51070403000813</v>
          </cell>
          <cell r="C24272" t="str">
            <v>TC INCUMP. PAGO DIA 40 VISA CONSUMO     4NC</v>
          </cell>
        </row>
        <row r="24273">
          <cell r="B24273" t="str">
            <v>51070403000814</v>
          </cell>
          <cell r="C24273" t="str">
            <v>TC INCUMP. PAGO DIA 60 VISA CONSUMO     4NC</v>
          </cell>
        </row>
        <row r="24274">
          <cell r="B24274" t="str">
            <v>51070403000815</v>
          </cell>
          <cell r="C24274" t="str">
            <v>TC INCUMP. PAGO DIA 80 VISA CONSUMO     4NC</v>
          </cell>
        </row>
        <row r="24275">
          <cell r="B24275" t="str">
            <v>51070403000816</v>
          </cell>
          <cell r="C24275" t="str">
            <v>TC INCUMP. PAGO DIA 100 VISA CONSUMO    4NC</v>
          </cell>
        </row>
        <row r="24276">
          <cell r="B24276" t="str">
            <v>51070403000817</v>
          </cell>
          <cell r="C24276" t="str">
            <v>TC IMPUESTO ITF 1 - 2 VISA CONSUMO      4NC</v>
          </cell>
        </row>
        <row r="24277">
          <cell r="B24277" t="str">
            <v>51070403000818</v>
          </cell>
          <cell r="C24277" t="str">
            <v>TC MEMBRESIA VISA CONSUMO               4NC</v>
          </cell>
        </row>
        <row r="24278">
          <cell r="B24278" t="str">
            <v>51070403000819</v>
          </cell>
          <cell r="C24278" t="str">
            <v>TC COMISION REPOSICION PLASTICO VISA - T4NC</v>
          </cell>
        </row>
        <row r="24279">
          <cell r="B24279" t="str">
            <v>51070403000820</v>
          </cell>
          <cell r="C24279" t="str">
            <v>TC COMISION REPOSICIPON PLASTICO VISA - 4NC</v>
          </cell>
        </row>
        <row r="24280">
          <cell r="B24280" t="str">
            <v>51070403000821</v>
          </cell>
          <cell r="C24280" t="str">
            <v>TC USO CAJERO AUTOMATICO OTRO BANCO AMEX4NC</v>
          </cell>
        </row>
        <row r="24281">
          <cell r="B24281" t="str">
            <v>51070403000822</v>
          </cell>
          <cell r="C24281" t="str">
            <v>TC USO CAJERO AUTOMATICO EXTRANJERO AMEX4NC</v>
          </cell>
        </row>
        <row r="24282">
          <cell r="B24282" t="str">
            <v>51070403000823</v>
          </cell>
          <cell r="C24282" t="str">
            <v>TC USO CAJERO AUTOMATICO GLOBALNET AMEX 4NC</v>
          </cell>
        </row>
        <row r="24283">
          <cell r="B24283" t="str">
            <v>51070403000824</v>
          </cell>
          <cell r="C24283" t="str">
            <v>TC COMISION POR D.E. EN VENTANILLA AMEX 4NC</v>
          </cell>
        </row>
        <row r="24284">
          <cell r="B24284" t="str">
            <v>51070403000825</v>
          </cell>
          <cell r="C24284" t="str">
            <v>TC INCUMP. PAGO DIA 1 AMEX CONSUMO      4NC</v>
          </cell>
        </row>
        <row r="24285">
          <cell r="B24285" t="str">
            <v>51070403000826</v>
          </cell>
          <cell r="C24285" t="str">
            <v>TC INCUMP. PAGO DIA 20 AMEX CONSUMO     4NC</v>
          </cell>
        </row>
        <row r="24286">
          <cell r="B24286" t="str">
            <v>51070403000827</v>
          </cell>
          <cell r="C24286" t="str">
            <v>TC INCUMP. PAGO DIA 40 AMEX CONSUMO     4NC</v>
          </cell>
        </row>
        <row r="24287">
          <cell r="B24287" t="str">
            <v>51070403000828</v>
          </cell>
          <cell r="C24287" t="str">
            <v>TC INCUMP. PAGO DIA 60 AMEX CONSUMO     4NC</v>
          </cell>
        </row>
        <row r="24288">
          <cell r="B24288" t="str">
            <v>51070403000829</v>
          </cell>
          <cell r="C24288" t="str">
            <v>TC INCUMP. PAGO DIA 80 AMEX CONSUMO     4NC</v>
          </cell>
        </row>
        <row r="24289">
          <cell r="B24289" t="str">
            <v>51070403000830</v>
          </cell>
          <cell r="C24289" t="str">
            <v>TC INCUMP. PAGO DIA 100 AMEX CONSUMO    4NC</v>
          </cell>
        </row>
        <row r="24290">
          <cell r="B24290" t="str">
            <v>51070403000831</v>
          </cell>
          <cell r="C24290" t="str">
            <v>TC IMPUESTO ITF 1 - 2 AMEX CONSUMO      4NC</v>
          </cell>
        </row>
        <row r="24291">
          <cell r="B24291" t="str">
            <v>51070403000832</v>
          </cell>
          <cell r="C24291" t="str">
            <v>TC MEMBRESIA AMEX CONSUMO               4NC</v>
          </cell>
        </row>
        <row r="24292">
          <cell r="B24292" t="str">
            <v>51070403000833</v>
          </cell>
          <cell r="C24292" t="str">
            <v>TC COMISION REPOSICION PLASTICO AMEX - T4NC</v>
          </cell>
        </row>
        <row r="24293">
          <cell r="B24293" t="str">
            <v>51070403000834</v>
          </cell>
          <cell r="C24293" t="str">
            <v>TC COMISION REPOSICIPON PLASTICO AMEX - 4NC</v>
          </cell>
        </row>
        <row r="24294">
          <cell r="B24294" t="str">
            <v>51070403000835</v>
          </cell>
          <cell r="C24294" t="str">
            <v>TC USO CAJERO AUTOMATICO OTRO BANCO MC C4NC</v>
          </cell>
        </row>
        <row r="24295">
          <cell r="B24295" t="str">
            <v>51070403000836</v>
          </cell>
          <cell r="C24295" t="str">
            <v>TC USO CAJERO AUTOMATICO EXTRANJERO MC C4NC</v>
          </cell>
        </row>
        <row r="24296">
          <cell r="B24296" t="str">
            <v>51070403000837</v>
          </cell>
          <cell r="C24296" t="str">
            <v>TC USO CAJERO AUTOMATICO GLOBALNET MC CO4NC</v>
          </cell>
        </row>
        <row r="24297">
          <cell r="B24297" t="str">
            <v>51070403000838</v>
          </cell>
          <cell r="C24297" t="str">
            <v>TC COMISION POR D.E. EN VENTANILLA MC CO4NC</v>
          </cell>
        </row>
        <row r="24298">
          <cell r="B24298" t="str">
            <v>51070403000839</v>
          </cell>
          <cell r="C24298" t="str">
            <v>TC INCUMP. PAGO DIA 1 MC CONSUMO        4NC</v>
          </cell>
        </row>
        <row r="24299">
          <cell r="B24299" t="str">
            <v>51070403000840</v>
          </cell>
          <cell r="C24299" t="str">
            <v>TC INCUMP. PAGO DIA 20 MC CONSUMO       4NC</v>
          </cell>
        </row>
        <row r="24300">
          <cell r="B24300" t="str">
            <v>51070403000841</v>
          </cell>
          <cell r="C24300" t="str">
            <v>TC INCUMP. PAGO DIA 40 MC CONSUMO       4NC</v>
          </cell>
        </row>
        <row r="24301">
          <cell r="B24301" t="str">
            <v>51070403000842</v>
          </cell>
          <cell r="C24301" t="str">
            <v>TC INCUMP. PAGO DIA 60 MC CONSUMO       4NC</v>
          </cell>
        </row>
        <row r="24302">
          <cell r="B24302" t="str">
            <v>51070403000843</v>
          </cell>
          <cell r="C24302" t="str">
            <v>TC INCUMP. PAGO DIA 80 MC CONSUMO       4NC</v>
          </cell>
        </row>
        <row r="24303">
          <cell r="B24303" t="str">
            <v>51070403000844</v>
          </cell>
          <cell r="C24303" t="str">
            <v>TC INCUMP. PAGO DIA 100 MC CONSUMO      4NC</v>
          </cell>
        </row>
        <row r="24304">
          <cell r="B24304" t="str">
            <v>51070403000845</v>
          </cell>
          <cell r="C24304" t="str">
            <v>TC IMPUESTO ITF 1 - 2 MC CONSUMO        4NC</v>
          </cell>
        </row>
        <row r="24305">
          <cell r="B24305" t="str">
            <v>51070403000846</v>
          </cell>
          <cell r="C24305" t="str">
            <v>TC MEMBRESIA MC CONSUMO                 4NC</v>
          </cell>
        </row>
        <row r="24306">
          <cell r="B24306" t="str">
            <v>51070403000847</v>
          </cell>
          <cell r="C24306" t="str">
            <v>TC COMISION REPOSICION PLASTICO MC - TIT4NC</v>
          </cell>
        </row>
        <row r="24307">
          <cell r="B24307" t="str">
            <v>51070403000848</v>
          </cell>
          <cell r="C24307" t="str">
            <v>TC COMISION REPOSICIPON PLASTICO MC - BE4NC</v>
          </cell>
        </row>
        <row r="24308">
          <cell r="B24308" t="str">
            <v>51070403000849</v>
          </cell>
          <cell r="C24308" t="str">
            <v>HPC MICROPRESTAMOS COM GTO ADM          4 C</v>
          </cell>
        </row>
        <row r="24309">
          <cell r="B24309" t="str">
            <v>51070403000850</v>
          </cell>
          <cell r="C24309" t="str">
            <v>HPC MICROPRESTAMOS COM GTO ADM          4 C</v>
          </cell>
        </row>
        <row r="24310">
          <cell r="B24310" t="str">
            <v>51070404000101</v>
          </cell>
          <cell r="C24310" t="str">
            <v>JCC PENALIDAD INCUMP.PAGO BP HIPOTECARIO4NC</v>
          </cell>
        </row>
        <row r="24311">
          <cell r="B24311" t="str">
            <v>51070404000601</v>
          </cell>
          <cell r="C24311" t="str">
            <v>HPC COM.PAGO ADEL REC. PROPIOS HI       4NC</v>
          </cell>
        </row>
        <row r="24312">
          <cell r="B24312" t="str">
            <v>51070404000602</v>
          </cell>
          <cell r="C24312" t="str">
            <v>COMISION SOBREGIRO TC RECARGA           4NC</v>
          </cell>
        </row>
        <row r="24313">
          <cell r="B24313" t="str">
            <v>51070404001901</v>
          </cell>
          <cell r="C24313" t="str">
            <v>COM GAN PAGO ADEL PH REC PROP           4NC</v>
          </cell>
        </row>
        <row r="24314">
          <cell r="B24314" t="str">
            <v>51070404001902</v>
          </cell>
          <cell r="C24314" t="str">
            <v>COM.EXTRAORD.PREST.HIPOTECARIO          4NC</v>
          </cell>
        </row>
        <row r="24315">
          <cell r="B24315" t="str">
            <v>51070404001903</v>
          </cell>
          <cell r="C24315" t="str">
            <v>IC COM GAN CRED REFIN HIPOTEC .         4NC</v>
          </cell>
        </row>
        <row r="24316">
          <cell r="B24316" t="str">
            <v>51070404001907</v>
          </cell>
          <cell r="C24316" t="str">
            <v>CHI LEVANTAMIENTO DE HIPOTECA           4NC</v>
          </cell>
        </row>
        <row r="24317">
          <cell r="B24317" t="str">
            <v>51070404001910</v>
          </cell>
          <cell r="C24317" t="str">
            <v>HPC GAN.GTO ADM VIG HIPOT               4NC</v>
          </cell>
        </row>
        <row r="24318">
          <cell r="B24318" t="str">
            <v>51070404001911</v>
          </cell>
          <cell r="C24318" t="str">
            <v>HPC GAN.GTO ADM VENC HIPOT              4NC</v>
          </cell>
        </row>
        <row r="24319">
          <cell r="B24319" t="str">
            <v>51070404001912</v>
          </cell>
          <cell r="C24319" t="str">
            <v>HPC COM.POR SERV .COBRANZA.HIPOT        4NC</v>
          </cell>
        </row>
        <row r="24320">
          <cell r="B24320" t="str">
            <v>51070404001913</v>
          </cell>
          <cell r="C24320" t="str">
            <v>HPC COM PORTES HIPOT                    4NC</v>
          </cell>
        </row>
        <row r="24321">
          <cell r="B24321" t="str">
            <v>51070404001914</v>
          </cell>
          <cell r="C24321" t="str">
            <v>HPC COM PROCURACION HIPOT               4NC</v>
          </cell>
        </row>
        <row r="24322">
          <cell r="B24322" t="str">
            <v>51070404001915</v>
          </cell>
          <cell r="C24322" t="str">
            <v>HPC .REF. GAN.GTO ADM VIG HIPOT         4NC</v>
          </cell>
        </row>
        <row r="24323">
          <cell r="B24323" t="str">
            <v>51070404001916</v>
          </cell>
          <cell r="C24323" t="str">
            <v>HPC .REF. GAN.GTO ADM VENC HIPOT        4NC</v>
          </cell>
        </row>
        <row r="24324">
          <cell r="B24324" t="str">
            <v>51070404001918</v>
          </cell>
          <cell r="C24324" t="str">
            <v>HPC .REF. COM.PAGO.ADEL(VIG VEN12005    4NC</v>
          </cell>
        </row>
        <row r="24325">
          <cell r="B24325" t="str">
            <v>51070404001919</v>
          </cell>
          <cell r="C24325" t="str">
            <v>HPC. POR PAGO.COM.DESEM.FINANC          4NC</v>
          </cell>
        </row>
        <row r="24326">
          <cell r="B24326" t="str">
            <v>51070404001920</v>
          </cell>
          <cell r="C24326" t="str">
            <v>HPCÂ  GAN.GTO ADM .VIG HIPOT.FINAN.PROV.4NC</v>
          </cell>
        </row>
        <row r="24327">
          <cell r="B24327" t="str">
            <v>51070404001921</v>
          </cell>
          <cell r="C24327" t="str">
            <v>HPCÂ  GAN.GTO .ADM. VENC HIPOT.FINAN.PRO4NC</v>
          </cell>
        </row>
        <row r="24328">
          <cell r="B24328" t="str">
            <v>51070404001922</v>
          </cell>
          <cell r="C24328" t="str">
            <v>HPC COM.PAGO.ADEL. HIPOT.FINAN.PROV.REFI4NC</v>
          </cell>
        </row>
        <row r="24329">
          <cell r="B24329" t="str">
            <v>51070404001924</v>
          </cell>
          <cell r="C24329" t="str">
            <v>HPC.REF. COM.POR SERV.COBRAN.HIPOT      4NC</v>
          </cell>
        </row>
        <row r="24330">
          <cell r="B24330" t="str">
            <v>51070404001925</v>
          </cell>
          <cell r="C24330" t="str">
            <v>HPC .REF.COM PORTES HIPOT               4NC</v>
          </cell>
        </row>
        <row r="24331">
          <cell r="B24331" t="str">
            <v>51070404001926</v>
          </cell>
          <cell r="C24331" t="str">
            <v>HPC.REF. COM PROCURACION HIPOT          4NC</v>
          </cell>
        </row>
        <row r="24332">
          <cell r="B24332" t="str">
            <v>51070404001927</v>
          </cell>
          <cell r="C24332" t="str">
            <v>HPC COM.POR SERV.COBRAN.HIPOT.FINAN.PROV4NC</v>
          </cell>
        </row>
        <row r="24333">
          <cell r="B24333" t="str">
            <v>51070404001928</v>
          </cell>
          <cell r="C24333" t="str">
            <v>HPC COM PORTES HIPOT.FINAN.PROV.REFIN   4NC</v>
          </cell>
        </row>
        <row r="24334">
          <cell r="B24334" t="str">
            <v>51070404001929</v>
          </cell>
          <cell r="C24334" t="str">
            <v>HPC COM PROCURACION HIPOT.FINAN.PROV.REF4NC</v>
          </cell>
        </row>
        <row r="24335">
          <cell r="B24335" t="str">
            <v>51070404001930</v>
          </cell>
          <cell r="C24335" t="str">
            <v>HPC CV. COM GASTOS ADMINISTRAT VIG      4NC</v>
          </cell>
        </row>
        <row r="24336">
          <cell r="B24336" t="str">
            <v>51070404001931</v>
          </cell>
          <cell r="C24336" t="str">
            <v>HPC REF. TC. COM GASTOS ADMINISTRAT VIG 4NC</v>
          </cell>
        </row>
        <row r="24337">
          <cell r="B24337" t="str">
            <v>51070404001932</v>
          </cell>
          <cell r="C24337" t="str">
            <v>HPC CV. COM GASTOS ADMINISTRAT VENC     4NC</v>
          </cell>
        </row>
        <row r="24338">
          <cell r="B24338" t="str">
            <v>51070404001933</v>
          </cell>
          <cell r="C24338" t="str">
            <v>HPC REF. TC. COM GASTOS ADMINISTRAT VENC4NC</v>
          </cell>
        </row>
        <row r="24339">
          <cell r="B24339" t="str">
            <v>51070404002001</v>
          </cell>
          <cell r="C24339" t="str">
            <v>HPC COM.PAGO ADEL REC. COFIDE           4NC</v>
          </cell>
        </row>
        <row r="24340">
          <cell r="B24340" t="str">
            <v>51070404002301</v>
          </cell>
          <cell r="C24340" t="str">
            <v>CHI COM GT.AD.GAN VIG MI VIVIEN         4NC</v>
          </cell>
        </row>
        <row r="24341">
          <cell r="B24341" t="str">
            <v>51070404002302</v>
          </cell>
          <cell r="C24341" t="str">
            <v>CHI COM FLAT MIVIVIENDA .               4NC</v>
          </cell>
        </row>
        <row r="24342">
          <cell r="B24342" t="str">
            <v>51070404002305</v>
          </cell>
          <cell r="C24342" t="str">
            <v>CHI COM GT.AD.GAN VENC MI VIVIE         4NC</v>
          </cell>
        </row>
        <row r="24343">
          <cell r="B24343" t="str">
            <v>51070404002310</v>
          </cell>
          <cell r="C24343" t="str">
            <v>COMISIONES GANADOS PH TECHO PROPIO VI   4NC</v>
          </cell>
        </row>
        <row r="24344">
          <cell r="B24344" t="str">
            <v>51070404002311</v>
          </cell>
          <cell r="C24344" t="str">
            <v>COM GANADOS VENC PH TECHO PROPIO        4NC</v>
          </cell>
        </row>
        <row r="24345">
          <cell r="B24345" t="str">
            <v>51070404002314</v>
          </cell>
          <cell r="C24345" t="str">
            <v>COM.GAN. PAGO ADELANT TECHO PROPIO      4NC</v>
          </cell>
        </row>
        <row r="24346">
          <cell r="B24346" t="str">
            <v>51070404002319</v>
          </cell>
          <cell r="C24346" t="str">
            <v>CHI COM GANAD MI VIVIEND EMPLEAD ME V   4NC</v>
          </cell>
        </row>
        <row r="24347">
          <cell r="B24347" t="str">
            <v>51070404002335</v>
          </cell>
          <cell r="C24347" t="str">
            <v>CHI COM ADM GAN VIG MI HOGAR            4NC</v>
          </cell>
        </row>
        <row r="24348">
          <cell r="B24348" t="str">
            <v>51070404002336</v>
          </cell>
          <cell r="C24348" t="str">
            <v>CHI COM ADM GAN VENC MI HOGAR           4NC</v>
          </cell>
        </row>
        <row r="24349">
          <cell r="B24349" t="str">
            <v>51070404002337</v>
          </cell>
          <cell r="C24349" t="str">
            <v>CHI COM GAN PAGO ADELANT MI HOGAR       4NC</v>
          </cell>
        </row>
        <row r="24350">
          <cell r="B24350" t="str">
            <v>51070404002339</v>
          </cell>
          <cell r="C24350" t="str">
            <v>CHI COM GT.AD. GAN VIG MI VIVIENDA      4NC</v>
          </cell>
        </row>
        <row r="24351">
          <cell r="B24351" t="str">
            <v>51070404002340</v>
          </cell>
          <cell r="C24351" t="str">
            <v>CHI COM GT.AD. GAN VENC MI VIVIENDA     4NC</v>
          </cell>
        </row>
        <row r="24352">
          <cell r="B24352" t="str">
            <v>51070404002341</v>
          </cell>
          <cell r="C24352" t="str">
            <v>CHI COM GAN PAGO ADEL BT MI VIVI        4NC</v>
          </cell>
        </row>
        <row r="24353">
          <cell r="B24353" t="str">
            <v>51070404002401</v>
          </cell>
          <cell r="C24353" t="str">
            <v>CHI COM GT AD GAN VIG MIVIVIE           4NC</v>
          </cell>
        </row>
        <row r="24354">
          <cell r="B24354" t="str">
            <v>51070404002402</v>
          </cell>
          <cell r="C24354" t="str">
            <v>CHI COM GT AD GAN VENC MIVIV RP         4NC</v>
          </cell>
        </row>
        <row r="24355">
          <cell r="B24355" t="str">
            <v>51070404002403</v>
          </cell>
          <cell r="C24355" t="str">
            <v>CHI COM GAN CANC ADEL MV REC PROP       4NC</v>
          </cell>
        </row>
        <row r="24356">
          <cell r="B24356" t="str">
            <v>51070404002501</v>
          </cell>
          <cell r="C24356" t="str">
            <v>COM.REN/PAGIGVCHPV                      4NC</v>
          </cell>
        </row>
        <row r="24357">
          <cell r="B24357" t="str">
            <v>51070405000101</v>
          </cell>
          <cell r="C24357" t="str">
            <v>COM.REN/PAGIGVCBMD                      4NC</v>
          </cell>
        </row>
        <row r="24358">
          <cell r="B24358" t="str">
            <v>51070405000102</v>
          </cell>
          <cell r="C24358" t="str">
            <v>COM.TRASL.FONDO SCBMD                   4NC</v>
          </cell>
        </row>
        <row r="24359">
          <cell r="B24359" t="str">
            <v>51070405000201</v>
          </cell>
          <cell r="C24359" t="str">
            <v>TC COM MORA AMEX CBMD                   4NC</v>
          </cell>
        </row>
        <row r="24360">
          <cell r="B24360" t="str">
            <v>51070405000202</v>
          </cell>
          <cell r="C24360" t="str">
            <v>TC COM SOBREGIRO AMEX CBMD              4NC</v>
          </cell>
        </row>
        <row r="24361">
          <cell r="B24361" t="str">
            <v>51070405000203</v>
          </cell>
          <cell r="C24361" t="str">
            <v>TC COM MORA MC CBMD                     4NC</v>
          </cell>
        </row>
        <row r="24362">
          <cell r="B24362" t="str">
            <v>51070405000204</v>
          </cell>
          <cell r="C24362" t="str">
            <v>TC COM SOBREGIRO MC CBMD                4NC</v>
          </cell>
        </row>
        <row r="24363">
          <cell r="B24363" t="str">
            <v>51070405000205</v>
          </cell>
          <cell r="C24363" t="str">
            <v>TC COM MORA VISA CBMD                   4NC</v>
          </cell>
        </row>
        <row r="24364">
          <cell r="B24364" t="str">
            <v>51070405000206</v>
          </cell>
          <cell r="C24364" t="str">
            <v>TC COM MORA VISA MEGAPLAZA CBMD         4NC</v>
          </cell>
        </row>
        <row r="24365">
          <cell r="B24365" t="str">
            <v>51070405000207</v>
          </cell>
          <cell r="C24365" t="str">
            <v>TC COM MORA VISA VEA CBMD               4NC</v>
          </cell>
        </row>
        <row r="24366">
          <cell r="B24366" t="str">
            <v>51070405000208</v>
          </cell>
          <cell r="C24366" t="str">
            <v>TC COM SOBREGIRO VISA CBMD              4NC</v>
          </cell>
        </row>
        <row r="24367">
          <cell r="B24367" t="str">
            <v>51070405000209</v>
          </cell>
          <cell r="C24367" t="str">
            <v>TC COM SOBREGIRO VISA MEGAPLAZA CBMD    4NC</v>
          </cell>
        </row>
        <row r="24368">
          <cell r="B24368" t="str">
            <v>51070405000210</v>
          </cell>
          <cell r="C24368" t="str">
            <v>TC COM SOBREGIRO VISA VEA CBMD          4NC</v>
          </cell>
        </row>
        <row r="24369">
          <cell r="B24369" t="str">
            <v>51070405000301</v>
          </cell>
          <cell r="C24369" t="str">
            <v>PR DSCTOS COM.TRASL.FONDOS CBMD         4NC</v>
          </cell>
        </row>
        <row r="24370">
          <cell r="B24370" t="str">
            <v>51070405000302</v>
          </cell>
          <cell r="C24370" t="str">
            <v>PR FACTNG. COM.TRASL.FONDOS CBMD        4NC</v>
          </cell>
        </row>
        <row r="24371">
          <cell r="B24371" t="str">
            <v>51070405000303</v>
          </cell>
          <cell r="C24371" t="str">
            <v>PR COBR.COM.TRASL.FONDOS CBMD           4NC</v>
          </cell>
        </row>
        <row r="24372">
          <cell r="B24372" t="str">
            <v>51070405000304</v>
          </cell>
          <cell r="C24372" t="str">
            <v>FCD FACT INTER EXPOR. COM.  TRASL.FONDOS4NC</v>
          </cell>
        </row>
        <row r="24373">
          <cell r="B24373" t="str">
            <v>51070405000305</v>
          </cell>
          <cell r="C24373" t="str">
            <v>FCD FACT INTER EXPO. COM.  TRASL.FONDOS 4NC</v>
          </cell>
        </row>
        <row r="24374">
          <cell r="B24374" t="str">
            <v>51070406000101</v>
          </cell>
          <cell r="C24374" t="str">
            <v>COM.REN/PAGIGVCSOB                      4NC</v>
          </cell>
        </row>
        <row r="24375">
          <cell r="B24375" t="str">
            <v>51070406000102</v>
          </cell>
          <cell r="C24375" t="str">
            <v>COM.TRASL.FONDO SCSOB                   4NC</v>
          </cell>
        </row>
        <row r="24376">
          <cell r="B24376" t="str">
            <v>51070406000201</v>
          </cell>
          <cell r="C24376" t="str">
            <v>TC COM MORA AMEX CSOB                   4NC</v>
          </cell>
        </row>
        <row r="24377">
          <cell r="B24377" t="str">
            <v>51070406000202</v>
          </cell>
          <cell r="C24377" t="str">
            <v>TC COM SOBREGIRO AMEX CSOB              4NC</v>
          </cell>
        </row>
        <row r="24378">
          <cell r="B24378" t="str">
            <v>51070406000203</v>
          </cell>
          <cell r="C24378" t="str">
            <v>TC COM MORA MC CSOB                     4NC</v>
          </cell>
        </row>
        <row r="24379">
          <cell r="B24379" t="str">
            <v>51070406000204</v>
          </cell>
          <cell r="C24379" t="str">
            <v>TC COM SOBREGIRO MC CSOB                4NC</v>
          </cell>
        </row>
        <row r="24380">
          <cell r="B24380" t="str">
            <v>51070406000205</v>
          </cell>
          <cell r="C24380" t="str">
            <v>TC COM MORA VISA CSOB                   4NC</v>
          </cell>
        </row>
        <row r="24381">
          <cell r="B24381" t="str">
            <v>51070406000206</v>
          </cell>
          <cell r="C24381" t="str">
            <v>TC COM MORA VISA MEGAPLAZA CSOB         4NC</v>
          </cell>
        </row>
        <row r="24382">
          <cell r="B24382" t="str">
            <v>51070406000207</v>
          </cell>
          <cell r="C24382" t="str">
            <v>TC COM MORA VISA VEA CSOB               4NC</v>
          </cell>
        </row>
        <row r="24383">
          <cell r="B24383" t="str">
            <v>51070406000208</v>
          </cell>
          <cell r="C24383" t="str">
            <v>TC COM SOBREGIRO VISA CSOB              4NC</v>
          </cell>
        </row>
        <row r="24384">
          <cell r="B24384" t="str">
            <v>51070406000209</v>
          </cell>
          <cell r="C24384" t="str">
            <v>TC COM SOBREGIRO VISA MEGAPLAZA CSOB    4NC</v>
          </cell>
        </row>
        <row r="24385">
          <cell r="B24385" t="str">
            <v>51070406000210</v>
          </cell>
          <cell r="C24385" t="str">
            <v>TC COM SOBREGIRO VISA VEA CSOB          4NC</v>
          </cell>
        </row>
        <row r="24386">
          <cell r="B24386" t="str">
            <v>51070406000301</v>
          </cell>
          <cell r="C24386" t="str">
            <v>PR DSCTOS COM.TRASL.FONDOS CSOB         4NC</v>
          </cell>
        </row>
        <row r="24387">
          <cell r="B24387" t="str">
            <v>51070406000302</v>
          </cell>
          <cell r="C24387" t="str">
            <v>PR FACTNG. COM.TRASL.FONDOS CSOB        4NC</v>
          </cell>
        </row>
        <row r="24388">
          <cell r="B24388" t="str">
            <v>51070406000303</v>
          </cell>
          <cell r="C24388" t="str">
            <v>PR COBR. COM.TRASL.FONDOS CSOB          4NC</v>
          </cell>
        </row>
        <row r="24389">
          <cell r="B24389" t="str">
            <v>51070406000304</v>
          </cell>
          <cell r="C24389" t="str">
            <v>FCD FACT INTER EXPOR. COM.  TRASL.FONDOS4NC</v>
          </cell>
        </row>
        <row r="24390">
          <cell r="B24390" t="str">
            <v>51070406000305</v>
          </cell>
          <cell r="C24390" t="str">
            <v>FCD FACT INTER EXPO. COM.  TRASL.FONDOS 4NC</v>
          </cell>
        </row>
        <row r="24391">
          <cell r="B24391" t="str">
            <v>51070407000101</v>
          </cell>
          <cell r="C24391" t="str">
            <v>COM.REN/PAGIGVCESP                      4NC</v>
          </cell>
        </row>
        <row r="24392">
          <cell r="B24392" t="str">
            <v>51070407000102</v>
          </cell>
          <cell r="C24392" t="str">
            <v>COM.TRASL.FONDO SCESP                   4NC</v>
          </cell>
        </row>
        <row r="24393">
          <cell r="B24393" t="str">
            <v>51070407000201</v>
          </cell>
          <cell r="C24393" t="str">
            <v>TC COM MORA AMEX CESP                   4NC</v>
          </cell>
        </row>
        <row r="24394">
          <cell r="B24394" t="str">
            <v>51070407000202</v>
          </cell>
          <cell r="C24394" t="str">
            <v>TC COM SOBREGIRO AMEX CESP              4NC</v>
          </cell>
        </row>
        <row r="24395">
          <cell r="B24395" t="str">
            <v>51070407000203</v>
          </cell>
          <cell r="C24395" t="str">
            <v>TC COM MORA MC CESP                     4NC</v>
          </cell>
        </row>
        <row r="24396">
          <cell r="B24396" t="str">
            <v>51070407000204</v>
          </cell>
          <cell r="C24396" t="str">
            <v>TC COM SOBREGIRO MC CESP                4NC</v>
          </cell>
        </row>
        <row r="24397">
          <cell r="B24397" t="str">
            <v>51070407000205</v>
          </cell>
          <cell r="C24397" t="str">
            <v>TC COM MORA VISA CESP                   4NC</v>
          </cell>
        </row>
        <row r="24398">
          <cell r="B24398" t="str">
            <v>51070407000206</v>
          </cell>
          <cell r="C24398" t="str">
            <v>TC COM MORA VISA MEGAPLAZA CESP         4NC</v>
          </cell>
        </row>
        <row r="24399">
          <cell r="B24399" t="str">
            <v>51070407000207</v>
          </cell>
          <cell r="C24399" t="str">
            <v>TC COM MORA VISA VEA CESP               4NC</v>
          </cell>
        </row>
        <row r="24400">
          <cell r="B24400" t="str">
            <v>51070407000208</v>
          </cell>
          <cell r="C24400" t="str">
            <v>TC COM SOBREGIRO VISA CESP              4NC</v>
          </cell>
        </row>
        <row r="24401">
          <cell r="B24401" t="str">
            <v>51070407000209</v>
          </cell>
          <cell r="C24401" t="str">
            <v>TC COM SOBREGIRO VISA MEGAPLAZA CESP    4NC</v>
          </cell>
        </row>
        <row r="24402">
          <cell r="B24402" t="str">
            <v>51070407000210</v>
          </cell>
          <cell r="C24402" t="str">
            <v>TC COM SOBREGIRO VISA VEA CESP          4NC</v>
          </cell>
        </row>
        <row r="24403">
          <cell r="B24403" t="str">
            <v>51070407000301</v>
          </cell>
          <cell r="C24403" t="str">
            <v>LPC COM MORA LEASING CESP               4NC</v>
          </cell>
        </row>
        <row r="24404">
          <cell r="B24404" t="str">
            <v>51070407000401</v>
          </cell>
          <cell r="C24404" t="str">
            <v>PR DSCTOS COM.TRASL.FONDOS CESP         4NC</v>
          </cell>
        </row>
        <row r="24405">
          <cell r="B24405" t="str">
            <v>51070407000402</v>
          </cell>
          <cell r="C24405" t="str">
            <v>PR FACTNG. COM.TRASL.FONDOS CESP        4NC</v>
          </cell>
        </row>
        <row r="24406">
          <cell r="B24406" t="str">
            <v>51070407000403</v>
          </cell>
          <cell r="C24406" t="str">
            <v>PR COBR. COM.TRASL.FONDOS CESP          4NC</v>
          </cell>
        </row>
        <row r="24407">
          <cell r="B24407" t="str">
            <v>51070407000404</v>
          </cell>
          <cell r="C24407" t="str">
            <v>FCD FACT INTER EXPOR. COM.  TRASL.FONDOS4NC</v>
          </cell>
        </row>
        <row r="24408">
          <cell r="B24408" t="str">
            <v>51070407000405</v>
          </cell>
          <cell r="C24408" t="str">
            <v>FCD FACT INTER EXPO. COM.  TRASL.FONDOS 4NC</v>
          </cell>
        </row>
        <row r="24409">
          <cell r="B24409" t="str">
            <v>51070408000101</v>
          </cell>
          <cell r="C24409" t="str">
            <v>COM.REN/PAGIGV                          4NC</v>
          </cell>
        </row>
        <row r="24410">
          <cell r="B24410" t="str">
            <v>51070408000102</v>
          </cell>
          <cell r="C24410" t="str">
            <v>COM.TRASL.FONDO SCIVA                   4NC</v>
          </cell>
        </row>
        <row r="24411">
          <cell r="B24411" t="str">
            <v>51070408000201</v>
          </cell>
          <cell r="C24411" t="str">
            <v>TC COM MORA AMEX CIVA                   4NC</v>
          </cell>
        </row>
        <row r="24412">
          <cell r="B24412" t="str">
            <v>51070408000202</v>
          </cell>
          <cell r="C24412" t="str">
            <v>TC COM SOBREGIRO AMEX CIVA              4NC</v>
          </cell>
        </row>
        <row r="24413">
          <cell r="B24413" t="str">
            <v>51070408000203</v>
          </cell>
          <cell r="C24413" t="str">
            <v>TC COM MORA MC CIVA                     4NC</v>
          </cell>
        </row>
        <row r="24414">
          <cell r="B24414" t="str">
            <v>51070408000204</v>
          </cell>
          <cell r="C24414" t="str">
            <v>TC COM SOBREGIRO MC CIVA                4NC</v>
          </cell>
        </row>
        <row r="24415">
          <cell r="B24415" t="str">
            <v>51070408000205</v>
          </cell>
          <cell r="C24415" t="str">
            <v>TC COM MORA VISA CIVA                   4NC</v>
          </cell>
        </row>
        <row r="24416">
          <cell r="B24416" t="str">
            <v>51070408000206</v>
          </cell>
          <cell r="C24416" t="str">
            <v>TC COM MORA VISA MEGAPLAZA CIVA         4NC</v>
          </cell>
        </row>
        <row r="24417">
          <cell r="B24417" t="str">
            <v>51070408000207</v>
          </cell>
          <cell r="C24417" t="str">
            <v>TC COM MORA VISA VEA CIVA               4NC</v>
          </cell>
        </row>
        <row r="24418">
          <cell r="B24418" t="str">
            <v>51070408000208</v>
          </cell>
          <cell r="C24418" t="str">
            <v>TC COM SOBREGIRO VISA CIVA              4NC</v>
          </cell>
        </row>
        <row r="24419">
          <cell r="B24419" t="str">
            <v>51070408000209</v>
          </cell>
          <cell r="C24419" t="str">
            <v>TC COM SOBREGIRO VISA MEGAPLAZA CIVA    4NC</v>
          </cell>
        </row>
        <row r="24420">
          <cell r="B24420" t="str">
            <v>51070408000210</v>
          </cell>
          <cell r="C24420" t="str">
            <v>TC COM SOBREGIRO VISA VEA CIVA          4NC</v>
          </cell>
        </row>
        <row r="24421">
          <cell r="B24421" t="str">
            <v>51070408000301</v>
          </cell>
          <cell r="C24421" t="str">
            <v>PR DSCTOS COM.TRASL.FONDOS CIVA         4NC</v>
          </cell>
        </row>
        <row r="24422">
          <cell r="B24422" t="str">
            <v>51070408000302</v>
          </cell>
          <cell r="C24422" t="str">
            <v>PR FACTNG. COM.TRASL.FONDOS CIVA        4NC</v>
          </cell>
        </row>
        <row r="24423">
          <cell r="B24423" t="str">
            <v>51070408000303</v>
          </cell>
          <cell r="C24423" t="str">
            <v>PR COBR. COM.TRASL.FONDOS CIVA          4NC</v>
          </cell>
        </row>
        <row r="24424">
          <cell r="B24424" t="str">
            <v>51070408000304</v>
          </cell>
          <cell r="C24424" t="str">
            <v>FCD FACT INTER EXPOR. COM.  TRASL.FONDOS4NC</v>
          </cell>
        </row>
        <row r="24425">
          <cell r="B24425" t="str">
            <v>51070408000305</v>
          </cell>
          <cell r="C24425" t="str">
            <v>FCD FACT INTER EXPO. COM.  TRASL.FONDOS 4NC</v>
          </cell>
        </row>
        <row r="24426">
          <cell r="B24426" t="str">
            <v>51070410000101</v>
          </cell>
          <cell r="C24426" t="str">
            <v>COM.REN/PAGIGV                          4NC</v>
          </cell>
        </row>
        <row r="24427">
          <cell r="B24427" t="str">
            <v>51070410000102</v>
          </cell>
          <cell r="C24427" t="str">
            <v>COM.TRASL.FONDO SCCOR                   4NC</v>
          </cell>
        </row>
        <row r="24428">
          <cell r="B24428" t="str">
            <v>51070410000201</v>
          </cell>
          <cell r="C24428" t="str">
            <v>TC COM MORA AMEX CCOR                   4NC</v>
          </cell>
        </row>
        <row r="24429">
          <cell r="B24429" t="str">
            <v>51070410000202</v>
          </cell>
          <cell r="C24429" t="str">
            <v>TC COM SOBREGIRO AMEX CCOR              4NC</v>
          </cell>
        </row>
        <row r="24430">
          <cell r="B24430" t="str">
            <v>51070410000203</v>
          </cell>
          <cell r="C24430" t="str">
            <v>TC COM MORA MC CCOR                     4NC</v>
          </cell>
        </row>
        <row r="24431">
          <cell r="B24431" t="str">
            <v>51070410000204</v>
          </cell>
          <cell r="C24431" t="str">
            <v>TC COM SOBREGIRO MC CCOR                4NC</v>
          </cell>
        </row>
        <row r="24432">
          <cell r="B24432" t="str">
            <v>51070410000205</v>
          </cell>
          <cell r="C24432" t="str">
            <v>TC COM MORA VISA CCOR                   4NC</v>
          </cell>
        </row>
        <row r="24433">
          <cell r="B24433" t="str">
            <v>51070410000206</v>
          </cell>
          <cell r="C24433" t="str">
            <v>TC COM MORA VISA MEGAPLAZA CCOR         4NC</v>
          </cell>
        </row>
        <row r="24434">
          <cell r="B24434" t="str">
            <v>51070410000207</v>
          </cell>
          <cell r="C24434" t="str">
            <v>TC COM MORA VISA VEA CCOR               4NC</v>
          </cell>
        </row>
        <row r="24435">
          <cell r="B24435" t="str">
            <v>51070410000208</v>
          </cell>
          <cell r="C24435" t="str">
            <v>TC COM SOBREGIRO VISA CCOR              4NC</v>
          </cell>
        </row>
        <row r="24436">
          <cell r="B24436" t="str">
            <v>51070410000209</v>
          </cell>
          <cell r="C24436" t="str">
            <v>TC COM SOBREGIRO VISA MEGAPLAZA CCOR    4NC</v>
          </cell>
        </row>
        <row r="24437">
          <cell r="B24437" t="str">
            <v>51070410000210</v>
          </cell>
          <cell r="C24437" t="str">
            <v>TC COM SOBREGIRO VISA VEA CCOR          4NC</v>
          </cell>
        </row>
        <row r="24438">
          <cell r="B24438" t="str">
            <v>51070410000301</v>
          </cell>
          <cell r="C24438" t="str">
            <v>FCD DSCTOS COM.TRASL.FONDOS CCOR        4NC</v>
          </cell>
        </row>
        <row r="24439">
          <cell r="B24439" t="str">
            <v>51070410000302</v>
          </cell>
          <cell r="C24439" t="str">
            <v>PR FACTNG COM.TRASL.FONDOS CCOR         4NC</v>
          </cell>
        </row>
        <row r="24440">
          <cell r="B24440" t="str">
            <v>51070410000303</v>
          </cell>
          <cell r="C24440" t="str">
            <v>PR COBR. COM.TRASL.FONDOS CCOR          4NC</v>
          </cell>
        </row>
        <row r="24441">
          <cell r="B24441" t="str">
            <v>51070410000304</v>
          </cell>
          <cell r="C24441" t="str">
            <v>COMISION PAGARE PRE CANCELACION         4NC</v>
          </cell>
        </row>
        <row r="24442">
          <cell r="B24442" t="str">
            <v>51070410000305</v>
          </cell>
          <cell r="C24442" t="str">
            <v>FCD FACT INTER EXPOR COM.  TRASL.FONDOS 4NC</v>
          </cell>
        </row>
        <row r="24443">
          <cell r="B24443" t="str">
            <v>51070410000306</v>
          </cell>
          <cell r="C24443" t="str">
            <v>FCD FACT INTER EXPO COM.  TRASL.FONDOS D4NC</v>
          </cell>
        </row>
        <row r="24444">
          <cell r="B24444" t="str">
            <v>51070410000401</v>
          </cell>
          <cell r="C24444" t="str">
            <v>MTO. TARJETA ELECTRON CORPORATIVO       4NC</v>
          </cell>
        </row>
        <row r="24445">
          <cell r="B24445" t="str">
            <v>51070410000402</v>
          </cell>
          <cell r="C24445" t="str">
            <v>COM AFILIAC RENOV TC COMERC IBKVISA CORP4NC</v>
          </cell>
        </row>
        <row r="24446">
          <cell r="B24446" t="str">
            <v>51070410000403</v>
          </cell>
          <cell r="C24446" t="str">
            <v>COM AFILIAC RENOV TC CONSUMO IBKVISA COR4NC</v>
          </cell>
        </row>
        <row r="24447">
          <cell r="B24447" t="str">
            <v>51070410000404</v>
          </cell>
          <cell r="C24447" t="str">
            <v>COM AFILIAC RENOV TC CONS WONGVISA CORPO4NC</v>
          </cell>
        </row>
        <row r="24448">
          <cell r="B24448" t="str">
            <v>51070410000405</v>
          </cell>
          <cell r="C24448" t="str">
            <v>COM AFILIAC RENOV TC CONSUMO AMEX CORPOR4NC</v>
          </cell>
        </row>
        <row r="24449">
          <cell r="B24449" t="str">
            <v>51070410000406</v>
          </cell>
          <cell r="C24449" t="str">
            <v>BL COM AFILIAC RENOV TC CONS MC CORPORAT4NC</v>
          </cell>
        </row>
        <row r="24450">
          <cell r="B24450" t="str">
            <v>51070410000407</v>
          </cell>
          <cell r="C24450" t="str">
            <v>COM. AFILIACION/RENOV. TC COMERC.M CORPO4NC</v>
          </cell>
        </row>
        <row r="24451">
          <cell r="B24451" t="str">
            <v>51070410000408</v>
          </cell>
          <cell r="C24451" t="str">
            <v>COMIS. AFILIAC -RENOVACION AVAL CORPORAT4NC</v>
          </cell>
        </row>
        <row r="24452">
          <cell r="B24452" t="str">
            <v>51070410000409</v>
          </cell>
          <cell r="C24452" t="str">
            <v>COMIS. AFILIAC -RENOVAC TC MEGAPLAZA COR4NC</v>
          </cell>
        </row>
        <row r="24453">
          <cell r="B24453" t="str">
            <v>51070410000410</v>
          </cell>
          <cell r="C24453" t="str">
            <v>COM AFILIAC-RENOV TC VEA CORPORATIVO    4NC</v>
          </cell>
        </row>
        <row r="24454">
          <cell r="B24454" t="str">
            <v>51070410000411</v>
          </cell>
          <cell r="C24454" t="str">
            <v>COM AFILIAC-RENOV TC VEA VISA CORPORATIV4NC</v>
          </cell>
        </row>
        <row r="24455">
          <cell r="B24455" t="str">
            <v>51070410000412</v>
          </cell>
          <cell r="C24455" t="str">
            <v>COM EMISION REPOSICION TC BANMAT CORPORA4NC</v>
          </cell>
        </row>
        <row r="24456">
          <cell r="B24456" t="str">
            <v>51070410000413</v>
          </cell>
          <cell r="C24456" t="str">
            <v>TC COM D/E VISA MEGAPLAZA CORPORATIVO   4NC</v>
          </cell>
        </row>
        <row r="24457">
          <cell r="B24457" t="str">
            <v>51070410000414</v>
          </cell>
          <cell r="C24457" t="str">
            <v>TC COM D/E VISA VEA CORPORATIVO         4NC</v>
          </cell>
        </row>
        <row r="24458">
          <cell r="B24458" t="str">
            <v>51070410000415</v>
          </cell>
          <cell r="C24458" t="str">
            <v>TC COM RENOV/REPOS VISA MEGAPLAZA CORPOR4NC</v>
          </cell>
        </row>
        <row r="24459">
          <cell r="B24459" t="str">
            <v>51070410000416</v>
          </cell>
          <cell r="C24459" t="str">
            <v>TC COM RENOV/REPOS VISA VEA CORPORATIVO 4NC</v>
          </cell>
        </row>
        <row r="24460">
          <cell r="B24460" t="str">
            <v>51070410000417</v>
          </cell>
          <cell r="C24460" t="str">
            <v>CDO TC SERV RETIRO CAJERO / MON VIG CORP4NC</v>
          </cell>
        </row>
        <row r="24461">
          <cell r="B24461" t="str">
            <v>51070410000418</v>
          </cell>
          <cell r="C24461" t="str">
            <v>CDO TC SERV RETIRO CAJERO / MON VENC COR4NC</v>
          </cell>
        </row>
        <row r="24462">
          <cell r="B24462" t="str">
            <v>51070410000419</v>
          </cell>
          <cell r="C24462" t="str">
            <v>SAT TC SERV RETIRO CAJERO / MON VIG CORP4NC</v>
          </cell>
        </row>
        <row r="24463">
          <cell r="B24463" t="str">
            <v>51070410000420</v>
          </cell>
          <cell r="C24463" t="str">
            <v>SAT TC SERV RETIRO CAJERO / MON VENC COR4NC</v>
          </cell>
        </row>
        <row r="24464">
          <cell r="B24464" t="str">
            <v>51070410000421</v>
          </cell>
          <cell r="C24464" t="str">
            <v>CDO TC SERV POR MODIFICAC DE PLAZO VIG C4NC</v>
          </cell>
        </row>
        <row r="24465">
          <cell r="B24465" t="str">
            <v>51070410000422</v>
          </cell>
          <cell r="C24465" t="str">
            <v>CDO TC SERV POR MODIFICAC DE PLAZO VENC 4NC</v>
          </cell>
        </row>
        <row r="24466">
          <cell r="B24466" t="str">
            <v>51070410000423</v>
          </cell>
          <cell r="C24466" t="str">
            <v>SAT TC SERV POR MODIFICAC DE PLAZO VIG C4NC</v>
          </cell>
        </row>
        <row r="24467">
          <cell r="B24467" t="str">
            <v>51070410000424</v>
          </cell>
          <cell r="C24467" t="str">
            <v>SAT TC SERV POR MODIFICAC DE PLAZO VENC 4NC</v>
          </cell>
        </row>
        <row r="24468">
          <cell r="B24468" t="str">
            <v>51070410000425</v>
          </cell>
          <cell r="C24468" t="str">
            <v>MANTENIMIENTO TC IB VISA CORPORATIVO    4NC</v>
          </cell>
        </row>
        <row r="24469">
          <cell r="B24469" t="str">
            <v>51070410000426</v>
          </cell>
          <cell r="C24469" t="str">
            <v>MANTENIMIENTO TC CONSUMO IBKVISA CORPORA4NC</v>
          </cell>
        </row>
        <row r="24470">
          <cell r="B24470" t="str">
            <v>51070410000427</v>
          </cell>
          <cell r="C24470" t="str">
            <v>MANTENIMIENTO TC CONSUMO WONG VISA CORPO4NC</v>
          </cell>
        </row>
        <row r="24471">
          <cell r="B24471" t="str">
            <v>51070410000428</v>
          </cell>
          <cell r="C24471" t="str">
            <v>MANTENIMIENTO TC CONSUMO AMEX CORPORATIV4NC</v>
          </cell>
        </row>
        <row r="24472">
          <cell r="B24472" t="str">
            <v>51070410000429</v>
          </cell>
          <cell r="C24472" t="str">
            <v>SEG DESGRAVAMEN CONSUMO IBK VISA CORPORA4NC</v>
          </cell>
        </row>
        <row r="24473">
          <cell r="B24473" t="str">
            <v>51070410000430</v>
          </cell>
          <cell r="C24473" t="str">
            <v>SEG DESGRAVAMEN CONSUMO WONGVISA CORPORA4NC</v>
          </cell>
        </row>
        <row r="24474">
          <cell r="B24474" t="str">
            <v>51070410000431</v>
          </cell>
          <cell r="C24474" t="str">
            <v>SEG DESGRAVAMEN CONSUMO AMEX CORPORATIVO4NC</v>
          </cell>
        </row>
        <row r="24475">
          <cell r="B24475" t="str">
            <v>51070410000432</v>
          </cell>
          <cell r="C24475" t="str">
            <v>MANTENIMIENTO TC CONSUMO MC CORPORATIVO 4NC</v>
          </cell>
        </row>
        <row r="24476">
          <cell r="B24476" t="str">
            <v>51070410000433</v>
          </cell>
          <cell r="C24476" t="str">
            <v>BL SEG DESGRAVAMEN CONSUMO MC CORPORATIV4NC</v>
          </cell>
        </row>
        <row r="24477">
          <cell r="B24477" t="str">
            <v>51070410000434</v>
          </cell>
          <cell r="C24477" t="str">
            <v>MANTENIMIENTO TC COMERCIAL MC CORPORATIV4NC</v>
          </cell>
        </row>
        <row r="24478">
          <cell r="B24478" t="str">
            <v>51070410000435</v>
          </cell>
          <cell r="C24478" t="str">
            <v>TC SEGURO DE DESGRAVAMEN AVAL CORPORATIV4NC</v>
          </cell>
        </row>
        <row r="24479">
          <cell r="B24479" t="str">
            <v>51070410000436</v>
          </cell>
          <cell r="C24479" t="str">
            <v>MANTENIMIENTO TC AVAL CORPORATIVO       4NC</v>
          </cell>
        </row>
        <row r="24480">
          <cell r="B24480" t="str">
            <v>51070410000437</v>
          </cell>
          <cell r="C24480" t="str">
            <v>SEGURO DESGRAVAMEN TC MEGAPLAZA CORPORAT4NC</v>
          </cell>
        </row>
        <row r="24481">
          <cell r="B24481" t="str">
            <v>51070410000438</v>
          </cell>
          <cell r="C24481" t="str">
            <v>MANTENIMIENTO TC MEGA PLAZA CORPORATIVO 4NC</v>
          </cell>
        </row>
        <row r="24482">
          <cell r="B24482" t="str">
            <v>51070410000439</v>
          </cell>
          <cell r="C24482" t="str">
            <v>SEG DESGRAV TC VEA CORPORATIVO          4NC</v>
          </cell>
        </row>
        <row r="24483">
          <cell r="B24483" t="str">
            <v>51070410000440</v>
          </cell>
          <cell r="C24483" t="str">
            <v>SEG DESGRAV TC VEA VISA CORPORATIVO     4NC</v>
          </cell>
        </row>
        <row r="24484">
          <cell r="B24484" t="str">
            <v>51070410000441</v>
          </cell>
          <cell r="C24484" t="str">
            <v>MANTENIMIENTO TC VEA CORPORATIVO        4NC</v>
          </cell>
        </row>
        <row r="24485">
          <cell r="B24485" t="str">
            <v>51070410000442</v>
          </cell>
          <cell r="C24485" t="str">
            <v>MANTENIMIENTO TC VEA VISA CORPORATIVO   4NC</v>
          </cell>
        </row>
        <row r="24486">
          <cell r="B24486" t="str">
            <v>51070410000443</v>
          </cell>
          <cell r="C24486" t="str">
            <v>COMISIONES SEGURO TC CORPORATIVO        4NC</v>
          </cell>
        </row>
        <row r="24487">
          <cell r="B24487" t="str">
            <v>51070410000444</v>
          </cell>
          <cell r="C24487" t="str">
            <v>TC MANTENIMIENTO VISA MEGAPLAZA CORPORAT4NC</v>
          </cell>
        </row>
        <row r="24488">
          <cell r="B24488" t="str">
            <v>51070410000445</v>
          </cell>
          <cell r="C24488" t="str">
            <v>TC MANTENIMIENTO VISA VEA CORPORATIVO   4NC</v>
          </cell>
        </row>
        <row r="24489">
          <cell r="B24489" t="str">
            <v>51070410000446</v>
          </cell>
          <cell r="C24489" t="str">
            <v>TC SEG DESGRAV VISA MEGAPLAZA CORPORATIV4NC</v>
          </cell>
        </row>
        <row r="24490">
          <cell r="B24490" t="str">
            <v>51070410000447</v>
          </cell>
          <cell r="C24490" t="str">
            <v>TC SEG DESGRAV VISA VEA CORPORATIVO     4NC</v>
          </cell>
        </row>
        <row r="24491">
          <cell r="B24491" t="str">
            <v>51070410000448</v>
          </cell>
          <cell r="C24491" t="str">
            <v>COM ESTABLEC TC COMERC IBK VISA CORPORAT4NC</v>
          </cell>
        </row>
        <row r="24492">
          <cell r="B24492" t="str">
            <v>51070410000449</v>
          </cell>
          <cell r="C24492" t="str">
            <v>COM ESTABLEC TC CONSUMO IBK VISA CORPORA4NC</v>
          </cell>
        </row>
        <row r="24493">
          <cell r="B24493" t="str">
            <v>51070410000450</v>
          </cell>
          <cell r="C24493" t="str">
            <v>COM ESTABLEC TC CONSUMO WONG VISA CORPOR4NC</v>
          </cell>
        </row>
        <row r="24494">
          <cell r="B24494" t="str">
            <v>51070410000451</v>
          </cell>
          <cell r="C24494" t="str">
            <v>COM ESTABLEC TC CONSUMO AMEX CORPORATIVO4NC</v>
          </cell>
        </row>
        <row r="24495">
          <cell r="B24495" t="str">
            <v>51070410000452</v>
          </cell>
          <cell r="C24495" t="str">
            <v>BL COM ESTABLEC TC CONSUMO MC CORPORATIV4NC</v>
          </cell>
        </row>
        <row r="24496">
          <cell r="B24496" t="str">
            <v>51070410000453</v>
          </cell>
          <cell r="C24496" t="str">
            <v>COM ATM FORANEO VISA CORPORATIVO        4NC</v>
          </cell>
        </row>
        <row r="24497">
          <cell r="B24497" t="str">
            <v>51070410000454</v>
          </cell>
          <cell r="C24497" t="str">
            <v>COM ATM FORANEO AMEX CORPORATIVO        4NC</v>
          </cell>
        </row>
        <row r="24498">
          <cell r="B24498" t="str">
            <v>51070410000455</v>
          </cell>
          <cell r="C24498" t="str">
            <v>COM ATM FORANEO MASTERCARD CORPORATIVO  4NC</v>
          </cell>
        </row>
        <row r="24499">
          <cell r="B24499" t="str">
            <v>51070410000456</v>
          </cell>
          <cell r="C24499" t="str">
            <v>COM ESTABLECIMIENTO TARJ ELECTRON CORPOR4NC</v>
          </cell>
        </row>
        <row r="24500">
          <cell r="B24500" t="str">
            <v>51070410000457</v>
          </cell>
          <cell r="C24500" t="str">
            <v>COM ESTABLECIMIENTO TC MEGAPLAZA CORPORA4NC</v>
          </cell>
        </row>
        <row r="24501">
          <cell r="B24501" t="str">
            <v>51070410000458</v>
          </cell>
          <cell r="C24501" t="str">
            <v>COM ESTABLECIM TC VEA CORPORATIVO       4NC</v>
          </cell>
        </row>
        <row r="24502">
          <cell r="B24502" t="str">
            <v>51070410000459</v>
          </cell>
          <cell r="C24502" t="str">
            <v>COM ESTABLECIM TC VEA VISA CORPORATIVO  4NC</v>
          </cell>
        </row>
        <row r="24503">
          <cell r="B24503" t="str">
            <v>51070410000460</v>
          </cell>
          <cell r="C24503" t="str">
            <v>COM USUARIOS TC COMERC IBK VISA CORPORAT4NC</v>
          </cell>
        </row>
        <row r="24504">
          <cell r="B24504" t="str">
            <v>51070410000461</v>
          </cell>
          <cell r="C24504" t="str">
            <v>COM USUARIOS TC CONSUMO IBK VISA CORPORA4NC</v>
          </cell>
        </row>
        <row r="24505">
          <cell r="B24505" t="str">
            <v>51070410000462</v>
          </cell>
          <cell r="C24505" t="str">
            <v>COM USUARIOS TC CONSUMO WONG VISA CORPOR4NC</v>
          </cell>
        </row>
        <row r="24506">
          <cell r="B24506" t="str">
            <v>51070410000463</v>
          </cell>
          <cell r="C24506" t="str">
            <v>COM USUARIOS TC CONSUMO AMEX CORPORATIVO4NC</v>
          </cell>
        </row>
        <row r="24507">
          <cell r="B24507" t="str">
            <v>51070410000464</v>
          </cell>
          <cell r="C24507" t="str">
            <v>COM USUARIOS TC CONSUMO MP CORPORATIVO  4NC</v>
          </cell>
        </row>
        <row r="24508">
          <cell r="B24508" t="str">
            <v>51070410000465</v>
          </cell>
          <cell r="C24508" t="str">
            <v>BL COM USUARIOS TC CONSUMO MC CORPORATIV4NC</v>
          </cell>
        </row>
        <row r="24509">
          <cell r="B24509" t="str">
            <v>51070410000466</v>
          </cell>
          <cell r="C24509" t="str">
            <v>BL COM. USUARIOS TC COMERCIAL MC CORPORA4NC</v>
          </cell>
        </row>
        <row r="24510">
          <cell r="B24510" t="str">
            <v>51070410000467</v>
          </cell>
          <cell r="C24510" t="str">
            <v>COM.USUARIOS TC MEGAPLAZA CORPORATIVO   4NC</v>
          </cell>
        </row>
        <row r="24511">
          <cell r="B24511" t="str">
            <v>51070410000468</v>
          </cell>
          <cell r="C24511" t="str">
            <v>COM USUARIO TC VEA CORPORATIVO          4NC</v>
          </cell>
        </row>
        <row r="24512">
          <cell r="B24512" t="str">
            <v>51070410000469</v>
          </cell>
          <cell r="C24512" t="str">
            <v>COM USUARIO TC VEA VISA CORPORATIVO     4NC</v>
          </cell>
        </row>
        <row r="24513">
          <cell r="B24513" t="str">
            <v>51070410000470</v>
          </cell>
          <cell r="C24513" t="str">
            <v>TC COMIS.REPOS.PLAST.VEA REMESAS CORPORA4NC</v>
          </cell>
        </row>
        <row r="24514">
          <cell r="B24514" t="str">
            <v>51070410000471</v>
          </cell>
          <cell r="C24514" t="str">
            <v>TC COMIS.CONSU.MOVIM VEA REMESAS CORPORA4NC</v>
          </cell>
        </row>
        <row r="24515">
          <cell r="B24515" t="str">
            <v>51070410000472</v>
          </cell>
          <cell r="C24515" t="str">
            <v>TC COM D/E AMEX CORPORATIVO             4NC</v>
          </cell>
        </row>
        <row r="24516">
          <cell r="B24516" t="str">
            <v>51070410000473</v>
          </cell>
          <cell r="C24516" t="str">
            <v>TC COM EXTRACASH AMEX CORPORATIVO       4NC</v>
          </cell>
        </row>
        <row r="24517">
          <cell r="B24517" t="str">
            <v>51070410000474</v>
          </cell>
          <cell r="C24517" t="str">
            <v>TC COM RENOV/REPOS AMEX CORPORATIVO     4NC</v>
          </cell>
        </row>
        <row r="24518">
          <cell r="B24518" t="str">
            <v>51070410000475</v>
          </cell>
          <cell r="C24518" t="str">
            <v>TC MANTENIMIENTO AMEX CORPORATIVO       4NC</v>
          </cell>
        </row>
        <row r="24519">
          <cell r="B24519" t="str">
            <v>51070410000476</v>
          </cell>
          <cell r="C24519" t="str">
            <v>TC SEG DESGRAV AMEX CORPORATIVO         4NC</v>
          </cell>
        </row>
        <row r="24520">
          <cell r="B24520" t="str">
            <v>51070410000477</v>
          </cell>
          <cell r="C24520" t="str">
            <v>TC COM D/E MC CORPORATIVO               4NC</v>
          </cell>
        </row>
        <row r="24521">
          <cell r="B24521" t="str">
            <v>51070410000478</v>
          </cell>
          <cell r="C24521" t="str">
            <v>TC COM EXTRACASH MC CORPORATIVO         4NC</v>
          </cell>
        </row>
        <row r="24522">
          <cell r="B24522" t="str">
            <v>51070410000479</v>
          </cell>
          <cell r="C24522" t="str">
            <v>TC COM RENOV/REPOS MC CORPORATIVO       4NC</v>
          </cell>
        </row>
        <row r="24523">
          <cell r="B24523" t="str">
            <v>51070410000480</v>
          </cell>
          <cell r="C24523" t="str">
            <v>TC MANTENIMIENTO MC CORPORATIVO         4NC</v>
          </cell>
        </row>
        <row r="24524">
          <cell r="B24524" t="str">
            <v>51070410000481</v>
          </cell>
          <cell r="C24524" t="str">
            <v>TC SEG DESGRAV MC CORPORATIVO           4NC</v>
          </cell>
        </row>
        <row r="24525">
          <cell r="B24525" t="str">
            <v>51070410000482</v>
          </cell>
          <cell r="C24525" t="str">
            <v>TC COM D/E VISA CORPORATIVO             4NC</v>
          </cell>
        </row>
        <row r="24526">
          <cell r="B24526" t="str">
            <v>51070410000483</v>
          </cell>
          <cell r="C24526" t="str">
            <v>TC COM EXTRACASH VISA CORPORATIVO       4NC</v>
          </cell>
        </row>
        <row r="24527">
          <cell r="B24527" t="str">
            <v>51070410000484</v>
          </cell>
          <cell r="C24527" t="str">
            <v>TC COM EXTRACASH VISA MEGAPLAZA CORPORAT4NC</v>
          </cell>
        </row>
        <row r="24528">
          <cell r="B24528" t="str">
            <v>51070410000485</v>
          </cell>
          <cell r="C24528" t="str">
            <v>TC COM EXTRACASH VISA VEA CORPORATIVO   4NC</v>
          </cell>
        </row>
        <row r="24529">
          <cell r="B24529" t="str">
            <v>51070410000486</v>
          </cell>
          <cell r="C24529" t="str">
            <v>TC COM RENOV/REPOS VISA CORPORATIVO     4NC</v>
          </cell>
        </row>
        <row r="24530">
          <cell r="B24530" t="str">
            <v>51070410000487</v>
          </cell>
          <cell r="C24530" t="str">
            <v>TC MANTENIMIENTO VISA CORPORATIVO       4NC</v>
          </cell>
        </row>
        <row r="24531">
          <cell r="B24531" t="str">
            <v>51070410000488</v>
          </cell>
          <cell r="C24531" t="str">
            <v>TC SEG DESGRAV VISA CORPORATIVO         4NC</v>
          </cell>
        </row>
        <row r="24532">
          <cell r="B24532" t="str">
            <v>51070410000489</v>
          </cell>
          <cell r="C24532" t="str">
            <v>COMISION RENOVACION TC RECARGA CORPORATI4NC</v>
          </cell>
        </row>
        <row r="24533">
          <cell r="B24533" t="str">
            <v>51070410000490</v>
          </cell>
          <cell r="C24533" t="str">
            <v>COMISION REPOSICION TC RECARGA CORPORATI4NC</v>
          </cell>
        </row>
        <row r="24534">
          <cell r="B24534" t="str">
            <v>51070410000491</v>
          </cell>
          <cell r="C24534" t="str">
            <v>COMISION DISP EFECT TC RECARGA CORPORATI4NC</v>
          </cell>
        </row>
        <row r="24535">
          <cell r="B24535" t="str">
            <v>51070410000492</v>
          </cell>
          <cell r="C24535" t="str">
            <v>COMISION SERV TARJETA TC RECARGA CORPORA4NC</v>
          </cell>
        </row>
        <row r="24536">
          <cell r="B24536" t="str">
            <v>51070410000493</v>
          </cell>
          <cell r="C24536" t="str">
            <v>MANTENIMIENTO TC RECARGA CORPORATIVO    4NC</v>
          </cell>
        </row>
        <row r="24537">
          <cell r="B24537" t="str">
            <v>51070410000494</v>
          </cell>
          <cell r="C24537" t="str">
            <v>SEGURO DESGRAVAMEN TC RECARGA CORPORATIV4NC</v>
          </cell>
        </row>
        <row r="24538">
          <cell r="B24538" t="str">
            <v>51070410000495</v>
          </cell>
          <cell r="C24538" t="str">
            <v>COM CONSULTA DE SALDOS BANMAT CORPORATIV4NC</v>
          </cell>
        </row>
        <row r="24539">
          <cell r="B24539" t="str">
            <v>51070410000501</v>
          </cell>
          <cell r="C24539" t="str">
            <v>JCC PENALIDAD INCUMP.PAGO BC CCOR       4NC</v>
          </cell>
        </row>
        <row r="24540">
          <cell r="B24540" t="str">
            <v>51070410000502</v>
          </cell>
          <cell r="C24540" t="str">
            <v>LPC COMISION COMEX PRE CANCELACION      4NC</v>
          </cell>
        </row>
        <row r="24541">
          <cell r="B24541" t="str">
            <v>51070411000101</v>
          </cell>
          <cell r="C24541" t="str">
            <v>COM.REN/PAGIGV                          4NC</v>
          </cell>
        </row>
        <row r="24542">
          <cell r="B24542" t="str">
            <v>51070411000102</v>
          </cell>
          <cell r="C24542" t="str">
            <v>COM.TRASL.FONDO SCGEM                   4NC</v>
          </cell>
        </row>
        <row r="24543">
          <cell r="B24543" t="str">
            <v>51070411000201</v>
          </cell>
          <cell r="C24543" t="str">
            <v>TC COM MORA AMEX CGEM                   4NC</v>
          </cell>
        </row>
        <row r="24544">
          <cell r="B24544" t="str">
            <v>51070411000202</v>
          </cell>
          <cell r="C24544" t="str">
            <v>TC COM SOBREGIRO AMEX CGEM              4NC</v>
          </cell>
        </row>
        <row r="24545">
          <cell r="B24545" t="str">
            <v>51070411000203</v>
          </cell>
          <cell r="C24545" t="str">
            <v>TC COM MORA MC CGEM                     4NC</v>
          </cell>
        </row>
        <row r="24546">
          <cell r="B24546" t="str">
            <v>51070411000204</v>
          </cell>
          <cell r="C24546" t="str">
            <v>TC COM SOBREGIRO MC CGEM                4NC</v>
          </cell>
        </row>
        <row r="24547">
          <cell r="B24547" t="str">
            <v>51070411000205</v>
          </cell>
          <cell r="C24547" t="str">
            <v>TC COM MORA VISA CGEM                   4NC</v>
          </cell>
        </row>
        <row r="24548">
          <cell r="B24548" t="str">
            <v>51070411000206</v>
          </cell>
          <cell r="C24548" t="str">
            <v>TC COM MORA VISA MEGAPLAZA CGEM         4NC</v>
          </cell>
        </row>
        <row r="24549">
          <cell r="B24549" t="str">
            <v>51070411000207</v>
          </cell>
          <cell r="C24549" t="str">
            <v>TC COM MORA VISA VEA CGEM               4NC</v>
          </cell>
        </row>
        <row r="24550">
          <cell r="B24550" t="str">
            <v>51070411000208</v>
          </cell>
          <cell r="C24550" t="str">
            <v>TC COM SOBREGIRO VISA CGEM              4NC</v>
          </cell>
        </row>
        <row r="24551">
          <cell r="B24551" t="str">
            <v>51070411000209</v>
          </cell>
          <cell r="C24551" t="str">
            <v>TC COM SOBREGIRO VISA MEGAPLAZA CGEM    4NC</v>
          </cell>
        </row>
        <row r="24552">
          <cell r="B24552" t="str">
            <v>51070411000210</v>
          </cell>
          <cell r="C24552" t="str">
            <v>TC COM SOBREGIRO VISA VEA CGEM          4NC</v>
          </cell>
        </row>
        <row r="24553">
          <cell r="B24553" t="str">
            <v>51070411000301</v>
          </cell>
          <cell r="C24553" t="str">
            <v>FCD DSCTOS COM.TRASL.FONDOS CGEM        4NC</v>
          </cell>
        </row>
        <row r="24554">
          <cell r="B24554" t="str">
            <v>51070411000302</v>
          </cell>
          <cell r="C24554" t="str">
            <v>PR FACTNG. COM.TRASL.FONDOS CGEM        4NC</v>
          </cell>
        </row>
        <row r="24555">
          <cell r="B24555" t="str">
            <v>51070411000303</v>
          </cell>
          <cell r="C24555" t="str">
            <v>PR COBR. COM.TRASL.FONDOS CGEM          4NC</v>
          </cell>
        </row>
        <row r="24556">
          <cell r="B24556" t="str">
            <v>51070411000304</v>
          </cell>
          <cell r="C24556" t="str">
            <v>FCD FACT INTER EXPOR. COM.  TRASL.FONDOS4NC</v>
          </cell>
        </row>
        <row r="24557">
          <cell r="B24557" t="str">
            <v>51070411000305</v>
          </cell>
          <cell r="C24557" t="str">
            <v>FCD FACT INTER EXPO. COM.  TRASL.FONDOS 4NC</v>
          </cell>
        </row>
        <row r="24558">
          <cell r="B24558" t="str">
            <v>51070411000401</v>
          </cell>
          <cell r="C24558" t="str">
            <v>MTO. TARJETA ELECTRON GRANDES EMPRESAS  4NC</v>
          </cell>
        </row>
        <row r="24559">
          <cell r="B24559" t="str">
            <v>51070411000402</v>
          </cell>
          <cell r="C24559" t="str">
            <v>COM AFILIAC RENOV TC COMERC IBKVISA  GRA4NC</v>
          </cell>
        </row>
        <row r="24560">
          <cell r="B24560" t="str">
            <v>51070411000403</v>
          </cell>
          <cell r="C24560" t="str">
            <v>COM AFILIAC RENOV TC CONSUMO IBKVISA GRA4NC</v>
          </cell>
        </row>
        <row r="24561">
          <cell r="B24561" t="str">
            <v>51070411000404</v>
          </cell>
          <cell r="C24561" t="str">
            <v>COM AFILIAC RENOV TC CONS WONGVISA GRAND4NC</v>
          </cell>
        </row>
        <row r="24562">
          <cell r="B24562" t="str">
            <v>51070411000405</v>
          </cell>
          <cell r="C24562" t="str">
            <v>COM AFILIAC RENOV TC CONSUMO AMEX GRANDE4NC</v>
          </cell>
        </row>
        <row r="24563">
          <cell r="B24563" t="str">
            <v>51070411000406</v>
          </cell>
          <cell r="C24563" t="str">
            <v>BL COM AFILIAC RENOV TC CONS MC GRANDES 4NC</v>
          </cell>
        </row>
        <row r="24564">
          <cell r="B24564" t="str">
            <v>51070411000407</v>
          </cell>
          <cell r="C24564" t="str">
            <v>COM. AFILIACION/RENOV. TC COMERC.M GRAND4NC</v>
          </cell>
        </row>
        <row r="24565">
          <cell r="B24565" t="str">
            <v>51070411000408</v>
          </cell>
          <cell r="C24565" t="str">
            <v>COMIS. AFILIAC -RENOVACION AVAL GRANDES 4NC</v>
          </cell>
        </row>
        <row r="24566">
          <cell r="B24566" t="str">
            <v>51070411000409</v>
          </cell>
          <cell r="C24566" t="str">
            <v>COMIS. AFILIAC -RENOVAC TC MEGAPLAZA GRA4NC</v>
          </cell>
        </row>
        <row r="24567">
          <cell r="B24567" t="str">
            <v>51070411000410</v>
          </cell>
          <cell r="C24567" t="str">
            <v>COM AFILIAC-RENOV TC VEA GRANDES EMPRESA4NC</v>
          </cell>
        </row>
        <row r="24568">
          <cell r="B24568" t="str">
            <v>51070411000411</v>
          </cell>
          <cell r="C24568" t="str">
            <v>COM AFILIAC-RENOV TC VEA VISA GRANDES EM4NC</v>
          </cell>
        </row>
        <row r="24569">
          <cell r="B24569" t="str">
            <v>51070411000412</v>
          </cell>
          <cell r="C24569" t="str">
            <v>COM EMISION REPOSICION TC BANMAT GRANDES4NC</v>
          </cell>
        </row>
        <row r="24570">
          <cell r="B24570" t="str">
            <v>51070411000413</v>
          </cell>
          <cell r="C24570" t="str">
            <v>TC COM D/E VISA MEGAPLAZA GRANDES EMPRES4NC</v>
          </cell>
        </row>
        <row r="24571">
          <cell r="B24571" t="str">
            <v>51070411000414</v>
          </cell>
          <cell r="C24571" t="str">
            <v>TC COM D/E VISA VEA GRANDES EMPRESAS    4NC</v>
          </cell>
        </row>
        <row r="24572">
          <cell r="B24572" t="str">
            <v>51070411000415</v>
          </cell>
          <cell r="C24572" t="str">
            <v>TC COM RENOV/REPOS VISA MEGAPLAZA GRANDE4NC</v>
          </cell>
        </row>
        <row r="24573">
          <cell r="B24573" t="str">
            <v>51070411000416</v>
          </cell>
          <cell r="C24573" t="str">
            <v>TC COM RENOV/REPOS VISA VEA GRANDES EMPR4NC</v>
          </cell>
        </row>
        <row r="24574">
          <cell r="B24574" t="str">
            <v>51070411000417</v>
          </cell>
          <cell r="C24574" t="str">
            <v>CDO TC SERV RETIRO CAJERO / MON VIG GRAN4NC</v>
          </cell>
        </row>
        <row r="24575">
          <cell r="B24575" t="str">
            <v>51070411000418</v>
          </cell>
          <cell r="C24575" t="str">
            <v>CDO TC SERV RETIRO CAJERO / MON VENC GRA4NC</v>
          </cell>
        </row>
        <row r="24576">
          <cell r="B24576" t="str">
            <v>51070411000419</v>
          </cell>
          <cell r="C24576" t="str">
            <v>SAT TC SERV RETIRO CAJERO / MON VIG GRAN4NC</v>
          </cell>
        </row>
        <row r="24577">
          <cell r="B24577" t="str">
            <v>51070411000420</v>
          </cell>
          <cell r="C24577" t="str">
            <v>SAT TC SERV RETIRO CAJERO / MON VENC GRA4NC</v>
          </cell>
        </row>
        <row r="24578">
          <cell r="B24578" t="str">
            <v>51070411000421</v>
          </cell>
          <cell r="C24578" t="str">
            <v>CDO TC SERV POR MODIFICAC DE PLAZO VIG G4NC</v>
          </cell>
        </row>
        <row r="24579">
          <cell r="B24579" t="str">
            <v>51070411000422</v>
          </cell>
          <cell r="C24579" t="str">
            <v>CDO TC SERV POR MODIFICAC DE PLAZO VENC 4NC</v>
          </cell>
        </row>
        <row r="24580">
          <cell r="B24580" t="str">
            <v>51070411000423</v>
          </cell>
          <cell r="C24580" t="str">
            <v>SAT TC SERV POR MODIFICAC DE PLAZO VIG G4NC</v>
          </cell>
        </row>
        <row r="24581">
          <cell r="B24581" t="str">
            <v>51070411000424</v>
          </cell>
          <cell r="C24581" t="str">
            <v>SAT TC SERV POR MODIFICAC DE PLAZO VENC 4NC</v>
          </cell>
        </row>
        <row r="24582">
          <cell r="B24582" t="str">
            <v>51070411000425</v>
          </cell>
          <cell r="C24582" t="str">
            <v>MANTENIMIENTO TC IB VISA GRANDES EMPRESA4NC</v>
          </cell>
        </row>
        <row r="24583">
          <cell r="B24583" t="str">
            <v>51070411000426</v>
          </cell>
          <cell r="C24583" t="str">
            <v>MANTENIMIENTO TC CONSUMO IBKVISA GRANDES4NC</v>
          </cell>
        </row>
        <row r="24584">
          <cell r="B24584" t="str">
            <v>51070411000427</v>
          </cell>
          <cell r="C24584" t="str">
            <v>MANTENIMIENTO TC CONSUMO WONG VISA GRAND4NC</v>
          </cell>
        </row>
        <row r="24585">
          <cell r="B24585" t="str">
            <v>51070411000428</v>
          </cell>
          <cell r="C24585" t="str">
            <v>MANTENIMIENTO TC CONSUMO AMEX GRANDES EM4NC</v>
          </cell>
        </row>
        <row r="24586">
          <cell r="B24586" t="str">
            <v>51070411000429</v>
          </cell>
          <cell r="C24586" t="str">
            <v>SEG DESGRAVAMEN CONSUMO IBK VISA GRANDES4NC</v>
          </cell>
        </row>
        <row r="24587">
          <cell r="B24587" t="str">
            <v>51070411000430</v>
          </cell>
          <cell r="C24587" t="str">
            <v>SEG DESGRAVAMEN CONSUMO WONGVISA GRANDES4NC</v>
          </cell>
        </row>
        <row r="24588">
          <cell r="B24588" t="str">
            <v>51070411000431</v>
          </cell>
          <cell r="C24588" t="str">
            <v>SEG DESGRAVAMEN CONSUMO AMEX GRANDES EMP4NC</v>
          </cell>
        </row>
        <row r="24589">
          <cell r="B24589" t="str">
            <v>51070411000432</v>
          </cell>
          <cell r="C24589" t="str">
            <v>MANTENIMIENTO TC CONSUMO MC GRANDES EMPR4NC</v>
          </cell>
        </row>
        <row r="24590">
          <cell r="B24590" t="str">
            <v>51070411000433</v>
          </cell>
          <cell r="C24590" t="str">
            <v>BL SEG DESGRAVAMEN CONSUMO MC GRANDES EM4NC</v>
          </cell>
        </row>
        <row r="24591">
          <cell r="B24591" t="str">
            <v>51070411000434</v>
          </cell>
          <cell r="C24591" t="str">
            <v>MANTENIMIENTO TC COMERCIAL MC GRANDES EM4NC</v>
          </cell>
        </row>
        <row r="24592">
          <cell r="B24592" t="str">
            <v>51070411000435</v>
          </cell>
          <cell r="C24592" t="str">
            <v>TC SEGURO DE DESGRAVAMEN AVAL GRANDES EM4NC</v>
          </cell>
        </row>
        <row r="24593">
          <cell r="B24593" t="str">
            <v>51070411000436</v>
          </cell>
          <cell r="C24593" t="str">
            <v>MANTENIMIENTO TC AVAL GRANDES EMPRESAS  4NC</v>
          </cell>
        </row>
        <row r="24594">
          <cell r="B24594" t="str">
            <v>51070411000437</v>
          </cell>
          <cell r="C24594" t="str">
            <v>SEGURO DESGRAVAMEN TC MEGAPLAZA GRANDES 4NC</v>
          </cell>
        </row>
        <row r="24595">
          <cell r="B24595" t="str">
            <v>51070411000438</v>
          </cell>
          <cell r="C24595" t="str">
            <v>MANTENIMIENTO TC MEGA PLAZA GRANDES EMPR4NC</v>
          </cell>
        </row>
        <row r="24596">
          <cell r="B24596" t="str">
            <v>51070411000439</v>
          </cell>
          <cell r="C24596" t="str">
            <v>SEG DESGRAV TC VEA GRANDES EMPRESAS     4NC</v>
          </cell>
        </row>
        <row r="24597">
          <cell r="B24597" t="str">
            <v>51070411000440</v>
          </cell>
          <cell r="C24597" t="str">
            <v>SEG DESGRAV TC VEA VISA GRANDES EMPRESAS4NC</v>
          </cell>
        </row>
        <row r="24598">
          <cell r="B24598" t="str">
            <v>51070411000441</v>
          </cell>
          <cell r="C24598" t="str">
            <v>MANTENIMIENTO TC VEA GRANDES EMPRESAS   4NC</v>
          </cell>
        </row>
        <row r="24599">
          <cell r="B24599" t="str">
            <v>51070411000442</v>
          </cell>
          <cell r="C24599" t="str">
            <v>MANTENIMIENTO TC VEA VISA GRANDES EMPRES4NC</v>
          </cell>
        </row>
        <row r="24600">
          <cell r="B24600" t="str">
            <v>51070411000443</v>
          </cell>
          <cell r="C24600" t="str">
            <v>COMISIONES SEGURO TC GRANDES EMPRESAS   4NC</v>
          </cell>
        </row>
        <row r="24601">
          <cell r="B24601" t="str">
            <v>51070411000444</v>
          </cell>
          <cell r="C24601" t="str">
            <v>TC MANTENIMIENTO VISA MEGAPLAZA GRANDES 4NC</v>
          </cell>
        </row>
        <row r="24602">
          <cell r="B24602" t="str">
            <v>51070411000445</v>
          </cell>
          <cell r="C24602" t="str">
            <v>TC MANTENIMIENTO VISA VEA GRANDES EMPRES4NC</v>
          </cell>
        </row>
        <row r="24603">
          <cell r="B24603" t="str">
            <v>51070411000446</v>
          </cell>
          <cell r="C24603" t="str">
            <v>TC SEG DESGRAV VISA MEGAPLAZA GRANDES EM4NC</v>
          </cell>
        </row>
        <row r="24604">
          <cell r="B24604" t="str">
            <v>51070411000447</v>
          </cell>
          <cell r="C24604" t="str">
            <v>TC SEG DESGRAV VISA VEA GRANDES EMPRESAS4NC</v>
          </cell>
        </row>
        <row r="24605">
          <cell r="B24605" t="str">
            <v>51070411000448</v>
          </cell>
          <cell r="C24605" t="str">
            <v>COM ESTABLEC TC COMERC IBK VISA GRANDES 4NC</v>
          </cell>
        </row>
        <row r="24606">
          <cell r="B24606" t="str">
            <v>51070411000449</v>
          </cell>
          <cell r="C24606" t="str">
            <v>COM ESTABLEC TC CONSUMO IBK VISA GRANDES4NC</v>
          </cell>
        </row>
        <row r="24607">
          <cell r="B24607" t="str">
            <v>51070411000450</v>
          </cell>
          <cell r="C24607" t="str">
            <v>COM ESTABLEC TC CONSUMO WONG VISA GRANDE4NC</v>
          </cell>
        </row>
        <row r="24608">
          <cell r="B24608" t="str">
            <v>51070411000451</v>
          </cell>
          <cell r="C24608" t="str">
            <v>COM ESTABLEC TC CONSUMO AMEX GRANDES EMP4NC</v>
          </cell>
        </row>
        <row r="24609">
          <cell r="B24609" t="str">
            <v>51070411000452</v>
          </cell>
          <cell r="C24609" t="str">
            <v>BL COM ESTABLEC TC CONSUMO MC GRANDES EM4NC</v>
          </cell>
        </row>
        <row r="24610">
          <cell r="B24610" t="str">
            <v>51070411000453</v>
          </cell>
          <cell r="C24610" t="str">
            <v>COM ATM FORANEO VISA GRANDES EMPRESAS   4NC</v>
          </cell>
        </row>
        <row r="24611">
          <cell r="B24611" t="str">
            <v>51070411000454</v>
          </cell>
          <cell r="C24611" t="str">
            <v>COM ATM FORANEO AMEX GRANDES EMPRESAS   4NC</v>
          </cell>
        </row>
        <row r="24612">
          <cell r="B24612" t="str">
            <v>51070411000455</v>
          </cell>
          <cell r="C24612" t="str">
            <v>COM ATM FORANEO MASTERCARD GRANDES EMPRE4NC</v>
          </cell>
        </row>
        <row r="24613">
          <cell r="B24613" t="str">
            <v>51070411000456</v>
          </cell>
          <cell r="C24613" t="str">
            <v>COM ESTABLECIMIENTO TARJ ELECTRON GRANDE4NC</v>
          </cell>
        </row>
        <row r="24614">
          <cell r="B24614" t="str">
            <v>51070411000457</v>
          </cell>
          <cell r="C24614" t="str">
            <v>COM ESTABLECIMIENTO TC MEGAPLAZA GRANDES4NC</v>
          </cell>
        </row>
        <row r="24615">
          <cell r="B24615" t="str">
            <v>51070411000458</v>
          </cell>
          <cell r="C24615" t="str">
            <v>COM ESTABLECIM TC VEA GRANDES EMPRESAS  4NC</v>
          </cell>
        </row>
        <row r="24616">
          <cell r="B24616" t="str">
            <v>51070411000459</v>
          </cell>
          <cell r="C24616" t="str">
            <v>COM ESTABLECIM TC VEA VISA GRANDES EMPRE4NC</v>
          </cell>
        </row>
        <row r="24617">
          <cell r="B24617" t="str">
            <v>51070411000460</v>
          </cell>
          <cell r="C24617" t="str">
            <v>COM USUARIOS TC COMERC IBK VISA GRANDES 4NC</v>
          </cell>
        </row>
        <row r="24618">
          <cell r="B24618" t="str">
            <v>51070411000461</v>
          </cell>
          <cell r="C24618" t="str">
            <v>COM USUARIOS TC CONSUMO IBK VISA GRANDES4NC</v>
          </cell>
        </row>
        <row r="24619">
          <cell r="B24619" t="str">
            <v>51070411000462</v>
          </cell>
          <cell r="C24619" t="str">
            <v>COM USUARIOS TC CONSUMO WONG VISA GRANDE4NC</v>
          </cell>
        </row>
        <row r="24620">
          <cell r="B24620" t="str">
            <v>51070411000463</v>
          </cell>
          <cell r="C24620" t="str">
            <v>COM USUARIOS TC CONSUMO AMEX GRANDES EMP4NC</v>
          </cell>
        </row>
        <row r="24621">
          <cell r="B24621" t="str">
            <v>51070411000464</v>
          </cell>
          <cell r="C24621" t="str">
            <v>COM USUARIOS TC CONSUMO MP GRANDES EMPRE4NC</v>
          </cell>
        </row>
        <row r="24622">
          <cell r="B24622" t="str">
            <v>51070411000465</v>
          </cell>
          <cell r="C24622" t="str">
            <v>BL COM USUARIOS TC CONSUMO MC GRANDES EM4NC</v>
          </cell>
        </row>
        <row r="24623">
          <cell r="B24623" t="str">
            <v>51070411000466</v>
          </cell>
          <cell r="C24623" t="str">
            <v>BL COM. USUARIOS TC COMERCIAL MC GRANDES4NC</v>
          </cell>
        </row>
        <row r="24624">
          <cell r="B24624" t="str">
            <v>51070411000467</v>
          </cell>
          <cell r="C24624" t="str">
            <v>COM.USUARIOS TC MEGAPLAZA GRANDES EMPRES4NC</v>
          </cell>
        </row>
        <row r="24625">
          <cell r="B24625" t="str">
            <v>51070411000468</v>
          </cell>
          <cell r="C24625" t="str">
            <v>COM USUARIO TC VEA GRANDES EMPRESAS     4NC</v>
          </cell>
        </row>
        <row r="24626">
          <cell r="B24626" t="str">
            <v>51070411000469</v>
          </cell>
          <cell r="C24626" t="str">
            <v>COM USUARIO TC VEA VISA GRANDES EMPRESAS4NC</v>
          </cell>
        </row>
        <row r="24627">
          <cell r="B24627" t="str">
            <v>51070411000470</v>
          </cell>
          <cell r="C24627" t="str">
            <v>TC COMIS.REPOS.PLAST.VEA REMESAS GRANDES4NC</v>
          </cell>
        </row>
        <row r="24628">
          <cell r="B24628" t="str">
            <v>51070411000471</v>
          </cell>
          <cell r="C24628" t="str">
            <v>TC COMIS.CONSU.MOVIM VEA REMESAS GRANDES4NC</v>
          </cell>
        </row>
        <row r="24629">
          <cell r="B24629" t="str">
            <v>51070411000472</v>
          </cell>
          <cell r="C24629" t="str">
            <v>TC COM D/E AMEX GRANDES EMPRESAS        4NC</v>
          </cell>
        </row>
        <row r="24630">
          <cell r="B24630" t="str">
            <v>51070411000473</v>
          </cell>
          <cell r="C24630" t="str">
            <v>TC COM EXTRACASH AMEX GRANDES EMPRESAS  4NC</v>
          </cell>
        </row>
        <row r="24631">
          <cell r="B24631" t="str">
            <v>51070411000474</v>
          </cell>
          <cell r="C24631" t="str">
            <v>TC COM RENOV/REPOS AMEX GRANDES EMPRESAS4NC</v>
          </cell>
        </row>
        <row r="24632">
          <cell r="B24632" t="str">
            <v>51070411000475</v>
          </cell>
          <cell r="C24632" t="str">
            <v>TC MANTENIMIENTO AMEX GRANDES EMPRESAS  4NC</v>
          </cell>
        </row>
        <row r="24633">
          <cell r="B24633" t="str">
            <v>51070411000476</v>
          </cell>
          <cell r="C24633" t="str">
            <v>TC SEG DESGRAV AMEX GRANDES EMPRESAS    4NC</v>
          </cell>
        </row>
        <row r="24634">
          <cell r="B24634" t="str">
            <v>51070411000477</v>
          </cell>
          <cell r="C24634" t="str">
            <v>TC COM D/E MC GRANDES EMPRESAS          4NC</v>
          </cell>
        </row>
        <row r="24635">
          <cell r="B24635" t="str">
            <v>51070411000478</v>
          </cell>
          <cell r="C24635" t="str">
            <v>TC COM EXTRACASH MC GRANDES EMPRESAS    4NC</v>
          </cell>
        </row>
        <row r="24636">
          <cell r="B24636" t="str">
            <v>51070411000479</v>
          </cell>
          <cell r="C24636" t="str">
            <v>TC COM RENOV/REPOS MC GRANDES EMPRESAS  4NC</v>
          </cell>
        </row>
        <row r="24637">
          <cell r="B24637" t="str">
            <v>51070411000480</v>
          </cell>
          <cell r="C24637" t="str">
            <v>TC MANTENIMIENTO MC GRANDES EMPRESAS    4NC</v>
          </cell>
        </row>
        <row r="24638">
          <cell r="B24638" t="str">
            <v>51070411000481</v>
          </cell>
          <cell r="C24638" t="str">
            <v>TC SEG DESGRAV MC GRANDES EMPRESAS      4NC</v>
          </cell>
        </row>
        <row r="24639">
          <cell r="B24639" t="str">
            <v>51070411000482</v>
          </cell>
          <cell r="C24639" t="str">
            <v>TC COM D/E VISA GRANDES EMPRESAS        4NC</v>
          </cell>
        </row>
        <row r="24640">
          <cell r="B24640" t="str">
            <v>51070411000483</v>
          </cell>
          <cell r="C24640" t="str">
            <v>TC COM EXTRACASH VISA GRANDES EMPRESAS  4NC</v>
          </cell>
        </row>
        <row r="24641">
          <cell r="B24641" t="str">
            <v>51070411000484</v>
          </cell>
          <cell r="C24641" t="str">
            <v>TC COM EXTRACASH VISA MEGAPLAZA GRANDES 4NC</v>
          </cell>
        </row>
        <row r="24642">
          <cell r="B24642" t="str">
            <v>51070411000485</v>
          </cell>
          <cell r="C24642" t="str">
            <v>TC COM EXTRACASH VISA VEA GRANDES EMPRES4NC</v>
          </cell>
        </row>
        <row r="24643">
          <cell r="B24643" t="str">
            <v>51070411000486</v>
          </cell>
          <cell r="C24643" t="str">
            <v>TC COM RENOV/REPOS VISA GRANDES EMPRESAS4NC</v>
          </cell>
        </row>
        <row r="24644">
          <cell r="B24644" t="str">
            <v>51070411000487</v>
          </cell>
          <cell r="C24644" t="str">
            <v>TC MANTENIMIENTO VISA GRANDES EMPRESAS  4NC</v>
          </cell>
        </row>
        <row r="24645">
          <cell r="B24645" t="str">
            <v>51070411000488</v>
          </cell>
          <cell r="C24645" t="str">
            <v>TC SEG DESGRAV VISA GRANDES EMPRESAS    4NC</v>
          </cell>
        </row>
        <row r="24646">
          <cell r="B24646" t="str">
            <v>51070411000489</v>
          </cell>
          <cell r="C24646" t="str">
            <v>COMISION RENOVACION TC RECARGA GRANDES E4NC</v>
          </cell>
        </row>
        <row r="24647">
          <cell r="B24647" t="str">
            <v>51070411000490</v>
          </cell>
          <cell r="C24647" t="str">
            <v>COMISION REPOSICION TC RECARGA GRANDES E4NC</v>
          </cell>
        </row>
        <row r="24648">
          <cell r="B24648" t="str">
            <v>51070411000491</v>
          </cell>
          <cell r="C24648" t="str">
            <v>COMISION DISP EFECT TC RECARGA GRANDES E4NC</v>
          </cell>
        </row>
        <row r="24649">
          <cell r="B24649" t="str">
            <v>51070411000492</v>
          </cell>
          <cell r="C24649" t="str">
            <v>COMISION SERV TARJETA TC RECARGA GRANDES4NC</v>
          </cell>
        </row>
        <row r="24650">
          <cell r="B24650" t="str">
            <v>51070411000493</v>
          </cell>
          <cell r="C24650" t="str">
            <v>MANTENIMIENTO TC RECARGA GRANDES EMPRESA4NC</v>
          </cell>
        </row>
        <row r="24651">
          <cell r="B24651" t="str">
            <v>51070411000494</v>
          </cell>
          <cell r="C24651" t="str">
            <v>SEGURO DESGRAVAMEN TC RECARGA GRANDES EM4NC</v>
          </cell>
        </row>
        <row r="24652">
          <cell r="B24652" t="str">
            <v>51070411000495</v>
          </cell>
          <cell r="C24652" t="str">
            <v>COM CONSULTA DE SALDOS BANMAT GRANDES EM4NC</v>
          </cell>
        </row>
        <row r="24653">
          <cell r="B24653" t="str">
            <v>51070411000501</v>
          </cell>
          <cell r="C24653" t="str">
            <v>JCC PENALIDAD INCUMP.PAGO BC CGEM       4NC</v>
          </cell>
        </row>
        <row r="24654">
          <cell r="B24654" t="str">
            <v>51070412000101</v>
          </cell>
          <cell r="C24654" t="str">
            <v>FCD COM RENOVACION VIG MED              4NC</v>
          </cell>
        </row>
        <row r="24655">
          <cell r="B24655" t="str">
            <v>51070412000102</v>
          </cell>
          <cell r="C24655" t="str">
            <v>LIC COM GAN CREDITOS VEN MED EMP        4NC</v>
          </cell>
        </row>
        <row r="24656">
          <cell r="B24656" t="str">
            <v>51070412000103</v>
          </cell>
          <cell r="C24656" t="str">
            <v>LIC COM DE MORA CREDITOS MED EMPR       4NC</v>
          </cell>
        </row>
        <row r="24657">
          <cell r="B24657" t="str">
            <v>51070412000104</v>
          </cell>
          <cell r="C24657" t="str">
            <v>LIC COMISION ADELANTO DE SUELDO         4NC</v>
          </cell>
        </row>
        <row r="24658">
          <cell r="B24658" t="str">
            <v>51070412000105</v>
          </cell>
          <cell r="C24658" t="str">
            <v>LIC COM GAN CONV VIG MED EMP            4NC</v>
          </cell>
        </row>
        <row r="24659">
          <cell r="B24659" t="str">
            <v>51070412000201</v>
          </cell>
          <cell r="C24659" t="str">
            <v>HPC ME COM GASTOS ADMINISTRAT VIGENTE (B4NC</v>
          </cell>
        </row>
        <row r="24660">
          <cell r="B24660" t="str">
            <v>51070412000202</v>
          </cell>
          <cell r="C24660" t="str">
            <v>HPC ME COM GASTOS ADMINISTRAT VENCIDO (B4NC</v>
          </cell>
        </row>
        <row r="24661">
          <cell r="B24661" t="str">
            <v>51070412000203</v>
          </cell>
          <cell r="C24661" t="str">
            <v>HPC ME COM. MORA IC                     4NC</v>
          </cell>
        </row>
        <row r="24662">
          <cell r="B24662" t="str">
            <v>51070412000204</v>
          </cell>
          <cell r="C24662" t="str">
            <v>TC COM SOBREGIRO MC CMED                4NC</v>
          </cell>
        </row>
        <row r="24663">
          <cell r="B24663" t="str">
            <v>51070412000205</v>
          </cell>
          <cell r="C24663" t="str">
            <v>TC COM MORA VISA CMED                   4NC</v>
          </cell>
        </row>
        <row r="24664">
          <cell r="B24664" t="str">
            <v>51070412000206</v>
          </cell>
          <cell r="C24664" t="str">
            <v>TC COM MORA VISA MEGAPLAZA CMED         4NC</v>
          </cell>
        </row>
        <row r="24665">
          <cell r="B24665" t="str">
            <v>51070412000207</v>
          </cell>
          <cell r="C24665" t="str">
            <v>TC COM MORA VISA VEA CMED               4NC</v>
          </cell>
        </row>
        <row r="24666">
          <cell r="B24666" t="str">
            <v>51070412000208</v>
          </cell>
          <cell r="C24666" t="str">
            <v>TC COM SOBREGIRO VISA CMED              4NC</v>
          </cell>
        </row>
        <row r="24667">
          <cell r="B24667" t="str">
            <v>51070412000209</v>
          </cell>
          <cell r="C24667" t="str">
            <v>TC COM SOBREGIRO VISA MEGAPLAZA CMED    4NC</v>
          </cell>
        </row>
        <row r="24668">
          <cell r="B24668" t="str">
            <v>51070412000210</v>
          </cell>
          <cell r="C24668" t="str">
            <v>TC COM SOBREGIRO VISA VEA CMED          4NC</v>
          </cell>
        </row>
        <row r="24669">
          <cell r="B24669" t="str">
            <v>51070412000301</v>
          </cell>
          <cell r="C24669" t="str">
            <v>FCD COM.TRASL.FONDOS(G)                 4NC</v>
          </cell>
        </row>
        <row r="24670">
          <cell r="B24670" t="str">
            <v>51070412000302</v>
          </cell>
          <cell r="C24670" t="str">
            <v>COM. MORA MENOR 30D MC COMER. CMED      4NC</v>
          </cell>
        </row>
        <row r="24671">
          <cell r="B24671" t="str">
            <v>51070412000303</v>
          </cell>
          <cell r="C24671" t="str">
            <v>COM SOBREGIRO MC COMERCIAL. CMED        4NC</v>
          </cell>
        </row>
        <row r="24672">
          <cell r="B24672" t="str">
            <v>51070412000304</v>
          </cell>
          <cell r="C24672" t="str">
            <v>COM. SOBREGIRO VISA COMERCIAL CMED      4NC</v>
          </cell>
        </row>
        <row r="24673">
          <cell r="B24673" t="str">
            <v>51070412000305</v>
          </cell>
          <cell r="C24673" t="str">
            <v>COM MORA MAYOR 30D MC COMER. CMED       4NC</v>
          </cell>
        </row>
        <row r="24674">
          <cell r="B24674" t="str">
            <v>51070412000306</v>
          </cell>
          <cell r="C24674" t="str">
            <v>COM MORA MAYOR 30D VISA COMER. CMED     4NC</v>
          </cell>
        </row>
        <row r="24675">
          <cell r="B24675" t="str">
            <v>51070412000307</v>
          </cell>
          <cell r="C24675" t="str">
            <v>HPC ME CV. COM GASTOS ADMINISTRAT VIG   4NC</v>
          </cell>
        </row>
        <row r="24676">
          <cell r="B24676" t="str">
            <v>51070412000308</v>
          </cell>
          <cell r="C24676" t="str">
            <v>HPC ME REF. TC. COM GASTOS ADMINISTVIG  4NC</v>
          </cell>
        </row>
        <row r="24677">
          <cell r="B24677" t="str">
            <v>51070412000309</v>
          </cell>
          <cell r="C24677" t="str">
            <v>HPC ME CV. COM GASTOS ADMINISTVENC      4NC</v>
          </cell>
        </row>
        <row r="24678">
          <cell r="B24678" t="str">
            <v>51070412000310</v>
          </cell>
          <cell r="C24678" t="str">
            <v>HPC ME REF. TC. COM GASTOS ADMINIST VENC4NC</v>
          </cell>
        </row>
        <row r="24679">
          <cell r="B24679" t="str">
            <v>51070412000311</v>
          </cell>
          <cell r="C24679" t="str">
            <v>PR COBR. COM.TRASL.FONDOS CMED          4NC</v>
          </cell>
        </row>
        <row r="24680">
          <cell r="B24680" t="str">
            <v>51070412000312</v>
          </cell>
          <cell r="C24680" t="str">
            <v>FCD FACT INTER EXPOR. COM.  TRASL.FONDOS4NC</v>
          </cell>
        </row>
        <row r="24681">
          <cell r="B24681" t="str">
            <v>51070412000313</v>
          </cell>
          <cell r="C24681" t="str">
            <v>FCD FACT INTER EXPO. COM.  TRASL.FONDOS 4NC</v>
          </cell>
        </row>
        <row r="24682">
          <cell r="B24682" t="str">
            <v>51070412000401</v>
          </cell>
          <cell r="C24682" t="str">
            <v>COM.REN/PAGIGV                          4NC</v>
          </cell>
        </row>
        <row r="24683">
          <cell r="B24683" t="str">
            <v>51070412000402</v>
          </cell>
          <cell r="C24683" t="str">
            <v>COM.TRASL.FONDO SCMED                   4NC</v>
          </cell>
        </row>
        <row r="24684">
          <cell r="B24684" t="str">
            <v>51070412000403</v>
          </cell>
          <cell r="C24684" t="str">
            <v>TC COM MORA AMEX CMED                   4NC</v>
          </cell>
        </row>
        <row r="24685">
          <cell r="B24685" t="str">
            <v>51070412000404</v>
          </cell>
          <cell r="C24685" t="str">
            <v>COM. MORA MENOR 30D VISA COMER. CMED    4NC</v>
          </cell>
        </row>
        <row r="24686">
          <cell r="B24686" t="str">
            <v>51070412000405</v>
          </cell>
          <cell r="C24686" t="str">
            <v>COM SOBREGIRO MC COMERCIAL. CMED        4NC</v>
          </cell>
        </row>
        <row r="24687">
          <cell r="B24687" t="str">
            <v>51070412000406</v>
          </cell>
          <cell r="C24687" t="str">
            <v>COMISION FACTURA NEGOCIABLE CMED        4NC</v>
          </cell>
        </row>
        <row r="24688">
          <cell r="B24688" t="str">
            <v>51070412000501</v>
          </cell>
          <cell r="C24688" t="str">
            <v>MTO. TARJETA ELECTRON MEDIANAS EMPRESAS 4NC</v>
          </cell>
        </row>
        <row r="24689">
          <cell r="B24689" t="str">
            <v>51070412000502</v>
          </cell>
          <cell r="C24689" t="str">
            <v>COM AFILIAC RENOV TC COMERC IBKVISA MEDI4NC</v>
          </cell>
        </row>
        <row r="24690">
          <cell r="B24690" t="str">
            <v>51070412000503</v>
          </cell>
          <cell r="C24690" t="str">
            <v>COM AFILIAC RENOV TC CONSUMO IBKVISA MED4NC</v>
          </cell>
        </row>
        <row r="24691">
          <cell r="B24691" t="str">
            <v>51070412000504</v>
          </cell>
          <cell r="C24691" t="str">
            <v>COM AFILIAC RENOV TC CONS WONGVISA MEDIA4NC</v>
          </cell>
        </row>
        <row r="24692">
          <cell r="B24692" t="str">
            <v>51070412000505</v>
          </cell>
          <cell r="C24692" t="str">
            <v>COM AFILIAC RENOV TC CONSUMO AMEX MEDIAN4NC</v>
          </cell>
        </row>
        <row r="24693">
          <cell r="B24693" t="str">
            <v>51070412000506</v>
          </cell>
          <cell r="C24693" t="str">
            <v>BL COM AFILIAC RENOV TC CONS MC MEDIANAS4NC</v>
          </cell>
        </row>
        <row r="24694">
          <cell r="B24694" t="str">
            <v>51070412000507</v>
          </cell>
          <cell r="C24694" t="str">
            <v>COM. AFILIACION/RENOV. TC COMERC.M MEDIA4NC</v>
          </cell>
        </row>
        <row r="24695">
          <cell r="B24695" t="str">
            <v>51070412000508</v>
          </cell>
          <cell r="C24695" t="str">
            <v>COMIS. AFILIAC -RENOVACION AVAL MEDIANAS4NC</v>
          </cell>
        </row>
        <row r="24696">
          <cell r="B24696" t="str">
            <v>51070412000509</v>
          </cell>
          <cell r="C24696" t="str">
            <v>COMIS. AFILIAC -RENOVAC TC MEGAPLAZA MED4NC</v>
          </cell>
        </row>
        <row r="24697">
          <cell r="B24697" t="str">
            <v>51070412000510</v>
          </cell>
          <cell r="C24697" t="str">
            <v>COM AFILIAC-RENOV TC VEA MEDIANAS EMPRES4NC</v>
          </cell>
        </row>
        <row r="24698">
          <cell r="B24698" t="str">
            <v>51070412000511</v>
          </cell>
          <cell r="C24698" t="str">
            <v>COM AFILIAC-RENOV TC VEA VISA MEDIANAS E4NC</v>
          </cell>
        </row>
        <row r="24699">
          <cell r="B24699" t="str">
            <v>51070412000512</v>
          </cell>
          <cell r="C24699" t="str">
            <v>COM EMISION REPOSICION TC BANMAT MEDIANA4NC</v>
          </cell>
        </row>
        <row r="24700">
          <cell r="B24700" t="str">
            <v>51070412000513</v>
          </cell>
          <cell r="C24700" t="str">
            <v>TC COM D/E VISA MEGAPLAZA MEDIANAS EMPRE4NC</v>
          </cell>
        </row>
        <row r="24701">
          <cell r="B24701" t="str">
            <v>51070412000514</v>
          </cell>
          <cell r="C24701" t="str">
            <v>TC COM D/E VISA VEA MEDIANAS EMPRESAS   4NC</v>
          </cell>
        </row>
        <row r="24702">
          <cell r="B24702" t="str">
            <v>51070412000515</v>
          </cell>
          <cell r="C24702" t="str">
            <v>TC COM RENOV/REPOS VISA MEGAPLAZA MEDIAN4NC</v>
          </cell>
        </row>
        <row r="24703">
          <cell r="B24703" t="str">
            <v>51070412000516</v>
          </cell>
          <cell r="C24703" t="str">
            <v>TC COM RENOV/REPOS VISA VEA MEDIANAS EMP4NC</v>
          </cell>
        </row>
        <row r="24704">
          <cell r="B24704" t="str">
            <v>51070412000517</v>
          </cell>
          <cell r="C24704" t="str">
            <v>CDO TC SERV RETIRO CAJERO / MON VIG MEDI4NC</v>
          </cell>
        </row>
        <row r="24705">
          <cell r="B24705" t="str">
            <v>51070412000518</v>
          </cell>
          <cell r="C24705" t="str">
            <v>CDO TC SERV RETIRO CAJERO / MON VENC MED4NC</v>
          </cell>
        </row>
        <row r="24706">
          <cell r="B24706" t="str">
            <v>51070412000519</v>
          </cell>
          <cell r="C24706" t="str">
            <v>SAT TC SERV RETIRO CAJERO / MON VIG MEDI4NC</v>
          </cell>
        </row>
        <row r="24707">
          <cell r="B24707" t="str">
            <v>51070412000520</v>
          </cell>
          <cell r="C24707" t="str">
            <v>SAT TC SERV RETIRO CAJERO / MON VENC MED4NC</v>
          </cell>
        </row>
        <row r="24708">
          <cell r="B24708" t="str">
            <v>51070412000521</v>
          </cell>
          <cell r="C24708" t="str">
            <v>CDO TC SERV POR MODIFICAC DE PLAZO VIG M4NC</v>
          </cell>
        </row>
        <row r="24709">
          <cell r="B24709" t="str">
            <v>51070412000522</v>
          </cell>
          <cell r="C24709" t="str">
            <v>CDO TC SERV POR MODIFICAC DE PLAZO VENC 4NC</v>
          </cell>
        </row>
        <row r="24710">
          <cell r="B24710" t="str">
            <v>51070412000523</v>
          </cell>
          <cell r="C24710" t="str">
            <v>SAT TC SERV POR MODIFICAC DE PLAZO VIG M4NC</v>
          </cell>
        </row>
        <row r="24711">
          <cell r="B24711" t="str">
            <v>51070412000524</v>
          </cell>
          <cell r="C24711" t="str">
            <v>SAT TC SERV POR MODIFICAC DE PLAZO VENC 4NC</v>
          </cell>
        </row>
        <row r="24712">
          <cell r="B24712" t="str">
            <v>51070412000525</v>
          </cell>
          <cell r="C24712" t="str">
            <v>MANTENIMIENTO TC IB VISA MEDIANAS EMPRES4NC</v>
          </cell>
        </row>
        <row r="24713">
          <cell r="B24713" t="str">
            <v>51070412000526</v>
          </cell>
          <cell r="C24713" t="str">
            <v>MANTENIMIENTO TC CONSUMO IBKVISA MEDIANA4NC</v>
          </cell>
        </row>
        <row r="24714">
          <cell r="B24714" t="str">
            <v>51070412000527</v>
          </cell>
          <cell r="C24714" t="str">
            <v>MANTENIMIENTO TC CONSUMO WONG VISA MEDIA4NC</v>
          </cell>
        </row>
        <row r="24715">
          <cell r="B24715" t="str">
            <v>51070412000528</v>
          </cell>
          <cell r="C24715" t="str">
            <v>MANTENIMIENTO TC CONSUMO AMEX MEDIANAS E4NC</v>
          </cell>
        </row>
        <row r="24716">
          <cell r="B24716" t="str">
            <v>51070412000529</v>
          </cell>
          <cell r="C24716" t="str">
            <v>SEG DESGRAVAMEN CONSUMO IBK VISA MEDIANA4NC</v>
          </cell>
        </row>
        <row r="24717">
          <cell r="B24717" t="str">
            <v>51070412000530</v>
          </cell>
          <cell r="C24717" t="str">
            <v>SEG DESGRAVAMEN CONSUMO WONGVISA MEDIANA4NC</v>
          </cell>
        </row>
        <row r="24718">
          <cell r="B24718" t="str">
            <v>51070412000531</v>
          </cell>
          <cell r="C24718" t="str">
            <v>SEG DESGRAVAMEN CONSUMO AMEX MEDIANAS EM4NC</v>
          </cell>
        </row>
        <row r="24719">
          <cell r="B24719" t="str">
            <v>51070412000532</v>
          </cell>
          <cell r="C24719" t="str">
            <v>MANTENIMIENTO TC CONSUMO MC MEDIANAS EMP4NC</v>
          </cell>
        </row>
        <row r="24720">
          <cell r="B24720" t="str">
            <v>51070412000533</v>
          </cell>
          <cell r="C24720" t="str">
            <v>BL SEG DESGRAVAMEN CONSUMO MC MEDIANAS E4NC</v>
          </cell>
        </row>
        <row r="24721">
          <cell r="B24721" t="str">
            <v>51070412000534</v>
          </cell>
          <cell r="C24721" t="str">
            <v>MANTENIMIENTO TC COMERCIAL MC MEDIANAS E4NC</v>
          </cell>
        </row>
        <row r="24722">
          <cell r="B24722" t="str">
            <v>51070412000535</v>
          </cell>
          <cell r="C24722" t="str">
            <v>TC SEGURO DE DESGRAVAMEN AVAL MEDIANAS E4NC</v>
          </cell>
        </row>
        <row r="24723">
          <cell r="B24723" t="str">
            <v>51070412000536</v>
          </cell>
          <cell r="C24723" t="str">
            <v>MANTENIMIENTO TC AVAL MEDIANAS EMPRESAS 4NC</v>
          </cell>
        </row>
        <row r="24724">
          <cell r="B24724" t="str">
            <v>51070412000537</v>
          </cell>
          <cell r="C24724" t="str">
            <v>SEGURO DESGRAVAMEN TC MEGAPLAZA MEDIANAS4NC</v>
          </cell>
        </row>
        <row r="24725">
          <cell r="B24725" t="str">
            <v>51070412000538</v>
          </cell>
          <cell r="C24725" t="str">
            <v>MANTENIMIENTO TC MEGA PLAZA MEDIANAS EMP4NC</v>
          </cell>
        </row>
        <row r="24726">
          <cell r="B24726" t="str">
            <v>51070412000539</v>
          </cell>
          <cell r="C24726" t="str">
            <v>SEG DESGRAV TC VEA MEDIANAS EMPRESAS    4NC</v>
          </cell>
        </row>
        <row r="24727">
          <cell r="B24727" t="str">
            <v>51070412000540</v>
          </cell>
          <cell r="C24727" t="str">
            <v>SEG DESGRAV TC VEA VISA MEDIANAS EMPRESA4NC</v>
          </cell>
        </row>
        <row r="24728">
          <cell r="B24728" t="str">
            <v>51070412000541</v>
          </cell>
          <cell r="C24728" t="str">
            <v>MANTENIMIENTO TC VEA MEDIANAS EMPRESAS  4NC</v>
          </cell>
        </row>
        <row r="24729">
          <cell r="B24729" t="str">
            <v>51070412000542</v>
          </cell>
          <cell r="C24729" t="str">
            <v>MANTENIMIENTO TC VEA VISA MEDIANAS EMPRE4NC</v>
          </cell>
        </row>
        <row r="24730">
          <cell r="B24730" t="str">
            <v>51070412000543</v>
          </cell>
          <cell r="C24730" t="str">
            <v>COMISIONES SEGURO TC MEDIANAS EMPRESAS  4NC</v>
          </cell>
        </row>
        <row r="24731">
          <cell r="B24731" t="str">
            <v>51070412000544</v>
          </cell>
          <cell r="C24731" t="str">
            <v>TC MANTENIMIENTO VISA MEGAPLAZA MEDIANAS4NC</v>
          </cell>
        </row>
        <row r="24732">
          <cell r="B24732" t="str">
            <v>51070412000545</v>
          </cell>
          <cell r="C24732" t="str">
            <v>TC MANTENIMIENTO VISA VEA MEDIANAS EMPRE4NC</v>
          </cell>
        </row>
        <row r="24733">
          <cell r="B24733" t="str">
            <v>51070412000546</v>
          </cell>
          <cell r="C24733" t="str">
            <v>TC SEG DESGRAV VISA MEGAPLAZA MEDIANAS E4NC</v>
          </cell>
        </row>
        <row r="24734">
          <cell r="B24734" t="str">
            <v>51070412000547</v>
          </cell>
          <cell r="C24734" t="str">
            <v>TC SEG DESGRAV VISA VEA MEDIANAS EMPRESA4NC</v>
          </cell>
        </row>
        <row r="24735">
          <cell r="B24735" t="str">
            <v>51070412000548</v>
          </cell>
          <cell r="C24735" t="str">
            <v>COM ESTABLEC TC COMERC IBK VISA MEDIANAS4NC</v>
          </cell>
        </row>
        <row r="24736">
          <cell r="B24736" t="str">
            <v>51070412000549</v>
          </cell>
          <cell r="C24736" t="str">
            <v>COM ESTABLEC TC CONSUMO IBK VISA MEDIANA4NC</v>
          </cell>
        </row>
        <row r="24737">
          <cell r="B24737" t="str">
            <v>51070412000550</v>
          </cell>
          <cell r="C24737" t="str">
            <v>COM ESTABLEC TC CONSUMO WONG VISA MEDIAN4NC</v>
          </cell>
        </row>
        <row r="24738">
          <cell r="B24738" t="str">
            <v>51070412000551</v>
          </cell>
          <cell r="C24738" t="str">
            <v>COM ESTABLEC TC CONSUMO AMEX MEDIANAS EM4NC</v>
          </cell>
        </row>
        <row r="24739">
          <cell r="B24739" t="str">
            <v>51070412000552</v>
          </cell>
          <cell r="C24739" t="str">
            <v>BL COM ESTABLEC TC CONSUMO MC MEDIANAS E4NC</v>
          </cell>
        </row>
        <row r="24740">
          <cell r="B24740" t="str">
            <v>51070412000553</v>
          </cell>
          <cell r="C24740" t="str">
            <v>COM ATM FORANEO VISA MEDIANAS EMPRESAS  4NC</v>
          </cell>
        </row>
        <row r="24741">
          <cell r="B24741" t="str">
            <v>51070412000554</v>
          </cell>
          <cell r="C24741" t="str">
            <v>COM ATM FORANEO AMEX MEDIANAS EMPRESAS  4NC</v>
          </cell>
        </row>
        <row r="24742">
          <cell r="B24742" t="str">
            <v>51070412000555</v>
          </cell>
          <cell r="C24742" t="str">
            <v>COM ATM FORANEO MASTERCARD MEDIANAS EMPR4NC</v>
          </cell>
        </row>
        <row r="24743">
          <cell r="B24743" t="str">
            <v>51070412000556</v>
          </cell>
          <cell r="C24743" t="str">
            <v>COM ESTABLECIMIENTO TARJ ELECTRON MEDIAN4NC</v>
          </cell>
        </row>
        <row r="24744">
          <cell r="B24744" t="str">
            <v>51070412000557</v>
          </cell>
          <cell r="C24744" t="str">
            <v>COM ESTABLECIMIENTO TC MEGAPLAZA MEDIANA4NC</v>
          </cell>
        </row>
        <row r="24745">
          <cell r="B24745" t="str">
            <v>51070412000558</v>
          </cell>
          <cell r="C24745" t="str">
            <v>COM ESTABLECIM TC VEA MEDIANAS EMPRESAS 4NC</v>
          </cell>
        </row>
        <row r="24746">
          <cell r="B24746" t="str">
            <v>51070412000559</v>
          </cell>
          <cell r="C24746" t="str">
            <v>COM ESTABLECIM TC VEA VISA MEDIANAS EMPR4NC</v>
          </cell>
        </row>
        <row r="24747">
          <cell r="B24747" t="str">
            <v>51070412000560</v>
          </cell>
          <cell r="C24747" t="str">
            <v>COM USUARIOS TC COMERC IBK VISA MEDIANAS4NC</v>
          </cell>
        </row>
        <row r="24748">
          <cell r="B24748" t="str">
            <v>51070412000561</v>
          </cell>
          <cell r="C24748" t="str">
            <v>COM USUARIOS TC CONSUMO IBK VISA MEDIANA4NC</v>
          </cell>
        </row>
        <row r="24749">
          <cell r="B24749" t="str">
            <v>51070412000562</v>
          </cell>
          <cell r="C24749" t="str">
            <v>COM USUARIOS TC CONSUMO WONG VISA MEDIAN4NC</v>
          </cell>
        </row>
        <row r="24750">
          <cell r="B24750" t="str">
            <v>51070412000563</v>
          </cell>
          <cell r="C24750" t="str">
            <v>COM USUARIOS TC CONSUMO AMEX MEDIANAS EM4NC</v>
          </cell>
        </row>
        <row r="24751">
          <cell r="B24751" t="str">
            <v>51070412000564</v>
          </cell>
          <cell r="C24751" t="str">
            <v>COM USUARIOS TC CONSUMO MP MEDIANAS EMPR4NC</v>
          </cell>
        </row>
        <row r="24752">
          <cell r="B24752" t="str">
            <v>51070412000565</v>
          </cell>
          <cell r="C24752" t="str">
            <v>BL COM USUARIOS TC CONSUMO MC MEDIANAS E4NC</v>
          </cell>
        </row>
        <row r="24753">
          <cell r="B24753" t="str">
            <v>51070412000566</v>
          </cell>
          <cell r="C24753" t="str">
            <v>BL COM. USUARIOS TC COMERCIAL MC MEDIANA4NC</v>
          </cell>
        </row>
        <row r="24754">
          <cell r="B24754" t="str">
            <v>51070412000567</v>
          </cell>
          <cell r="C24754" t="str">
            <v>COM.USUARIOS TC MEGAPLAZA MEDIANAS EMPRE4NC</v>
          </cell>
        </row>
        <row r="24755">
          <cell r="B24755" t="str">
            <v>51070412000568</v>
          </cell>
          <cell r="C24755" t="str">
            <v>COM USUARIO TC VEA MEDIANAS EMPRESAS    4NC</v>
          </cell>
        </row>
        <row r="24756">
          <cell r="B24756" t="str">
            <v>51070412000569</v>
          </cell>
          <cell r="C24756" t="str">
            <v>COM USUARIO TC VEA VISA MEDIANAS EMPRESA4NC</v>
          </cell>
        </row>
        <row r="24757">
          <cell r="B24757" t="str">
            <v>51070412000570</v>
          </cell>
          <cell r="C24757" t="str">
            <v>TC COMIS.REPOS.PLAST.VEA REMESAS MEDIANA4NC</v>
          </cell>
        </row>
        <row r="24758">
          <cell r="B24758" t="str">
            <v>51070412000571</v>
          </cell>
          <cell r="C24758" t="str">
            <v>TC COMIS.CONSU.MOVIM VEA REMESAS MEDIANA4NC</v>
          </cell>
        </row>
        <row r="24759">
          <cell r="B24759" t="str">
            <v>51070412000572</v>
          </cell>
          <cell r="C24759" t="str">
            <v>TC COM D/E AMEX MEDIANAS EMPRESAS       4NC</v>
          </cell>
        </row>
        <row r="24760">
          <cell r="B24760" t="str">
            <v>51070412000573</v>
          </cell>
          <cell r="C24760" t="str">
            <v>TC COM EXTRACASH AMEX MEDIANAS EMPRESAS 4NC</v>
          </cell>
        </row>
        <row r="24761">
          <cell r="B24761" t="str">
            <v>51070412000574</v>
          </cell>
          <cell r="C24761" t="str">
            <v>TC COM RENOV/REPOS AMEX MEDIANAS EMPRESA4NC</v>
          </cell>
        </row>
        <row r="24762">
          <cell r="B24762" t="str">
            <v>51070412000575</v>
          </cell>
          <cell r="C24762" t="str">
            <v>TC MANTENIMIENTO AMEX MEDIANAS EMPRESAS 4NC</v>
          </cell>
        </row>
        <row r="24763">
          <cell r="B24763" t="str">
            <v>51070412000576</v>
          </cell>
          <cell r="C24763" t="str">
            <v>TC SEG DESGRAV AMEX MEDIANAS EMPRESAS   4NC</v>
          </cell>
        </row>
        <row r="24764">
          <cell r="B24764" t="str">
            <v>51070412000577</v>
          </cell>
          <cell r="C24764" t="str">
            <v>TC COM D/E MC MEDIANAS EMPRESAS         4NC</v>
          </cell>
        </row>
        <row r="24765">
          <cell r="B24765" t="str">
            <v>51070412000578</v>
          </cell>
          <cell r="C24765" t="str">
            <v>TC COM EXTRACASH MC MEDIANAS EMPRESAS   4NC</v>
          </cell>
        </row>
        <row r="24766">
          <cell r="B24766" t="str">
            <v>51070412000579</v>
          </cell>
          <cell r="C24766" t="str">
            <v>TC COM RENOV/REPOS MC MEDIANAS EMPRESAS 4NC</v>
          </cell>
        </row>
        <row r="24767">
          <cell r="B24767" t="str">
            <v>51070412000580</v>
          </cell>
          <cell r="C24767" t="str">
            <v>TC MANTENIMIENTO MC MEDIANAS EMPRESAS   4NC</v>
          </cell>
        </row>
        <row r="24768">
          <cell r="B24768" t="str">
            <v>51070412000581</v>
          </cell>
          <cell r="C24768" t="str">
            <v>TC SEG DESGRAV MC MEDIANAS EMPRESAS     4NC</v>
          </cell>
        </row>
        <row r="24769">
          <cell r="B24769" t="str">
            <v>51070412000582</v>
          </cell>
          <cell r="C24769" t="str">
            <v>TC COM D/E VISA MEDIANAS EMPRESAS       4NC</v>
          </cell>
        </row>
        <row r="24770">
          <cell r="B24770" t="str">
            <v>51070412000583</v>
          </cell>
          <cell r="C24770" t="str">
            <v>TC COM EXTRACASH VISA MEDIANAS EMPRESAS 4NC</v>
          </cell>
        </row>
        <row r="24771">
          <cell r="B24771" t="str">
            <v>51070412000584</v>
          </cell>
          <cell r="C24771" t="str">
            <v>TC COM EXTRACASH VISA MEGAPLAZA MEDIANAS4NC</v>
          </cell>
        </row>
        <row r="24772">
          <cell r="B24772" t="str">
            <v>51070412000585</v>
          </cell>
          <cell r="C24772" t="str">
            <v>TC COM EXTRACASH VISA VEA MEDIANAS EMPRE4NC</v>
          </cell>
        </row>
        <row r="24773">
          <cell r="B24773" t="str">
            <v>51070412000586</v>
          </cell>
          <cell r="C24773" t="str">
            <v>TC COM RENOV/REPOS VISA MEDIANAS EMPRESA4NC</v>
          </cell>
        </row>
        <row r="24774">
          <cell r="B24774" t="str">
            <v>51070412000587</v>
          </cell>
          <cell r="C24774" t="str">
            <v>TC MANTENIMIENTO VISA MEDIANAS EMPRESAS 4NC</v>
          </cell>
        </row>
        <row r="24775">
          <cell r="B24775" t="str">
            <v>51070412000588</v>
          </cell>
          <cell r="C24775" t="str">
            <v>TC SEG DESGRAV VISA MEDIANAS EMPRESAS   4NC</v>
          </cell>
        </row>
        <row r="24776">
          <cell r="B24776" t="str">
            <v>51070412000589</v>
          </cell>
          <cell r="C24776" t="str">
            <v>COMISION RENOVACION TC RECARGA MEDIANAS 4NC</v>
          </cell>
        </row>
        <row r="24777">
          <cell r="B24777" t="str">
            <v>51070412000590</v>
          </cell>
          <cell r="C24777" t="str">
            <v>COMISION REPOSICION TC RECARGA MEDIANAS 4NC</v>
          </cell>
        </row>
        <row r="24778">
          <cell r="B24778" t="str">
            <v>51070412000591</v>
          </cell>
          <cell r="C24778" t="str">
            <v>COMISION DISP EFECT TC RECARGA MEDIANAS 4NC</v>
          </cell>
        </row>
        <row r="24779">
          <cell r="B24779" t="str">
            <v>51070412000592</v>
          </cell>
          <cell r="C24779" t="str">
            <v>COMISION SERV TARJETA TC RECARGA MEDIANA4NC</v>
          </cell>
        </row>
        <row r="24780">
          <cell r="B24780" t="str">
            <v>51070412000593</v>
          </cell>
          <cell r="C24780" t="str">
            <v>MANTENIMIENTO TC RECARGA MEDIANAS EMPRES4NC</v>
          </cell>
        </row>
        <row r="24781">
          <cell r="B24781" t="str">
            <v>51070412000594</v>
          </cell>
          <cell r="C24781" t="str">
            <v>SEGURO DESGRAVAMEN TC RECARGA MEDIANAS E4NC</v>
          </cell>
        </row>
        <row r="24782">
          <cell r="B24782" t="str">
            <v>51070412000595</v>
          </cell>
          <cell r="C24782" t="str">
            <v>COM CONSULTA DE SALDOS BANMAT MEDIANAS E4NC</v>
          </cell>
        </row>
        <row r="24783">
          <cell r="B24783" t="str">
            <v>51070412000601</v>
          </cell>
          <cell r="C24783" t="str">
            <v>JCC PENALIDAD INCUMP.PAGO BC CMED       4NC</v>
          </cell>
        </row>
        <row r="24784">
          <cell r="B24784" t="str">
            <v>51070412000602</v>
          </cell>
          <cell r="C24784" t="str">
            <v>JCC PENALIDAD INCUMP.PAGO MYP CMED      4NC</v>
          </cell>
        </row>
        <row r="24785">
          <cell r="B24785" t="str">
            <v>51070413000101</v>
          </cell>
          <cell r="C24785" t="str">
            <v>COM.REN/PAGIGV                          4NC</v>
          </cell>
        </row>
        <row r="24786">
          <cell r="B24786" t="str">
            <v>51070413000102</v>
          </cell>
          <cell r="C24786" t="str">
            <v>COM.TRASL.FONDO SCPEM                   4NC</v>
          </cell>
        </row>
        <row r="24787">
          <cell r="B24787" t="str">
            <v>51070413000201</v>
          </cell>
          <cell r="C24787" t="str">
            <v>TC COM MORA AMEX CPEM                   4NC</v>
          </cell>
        </row>
        <row r="24788">
          <cell r="B24788" t="str">
            <v>51070413000202</v>
          </cell>
          <cell r="C24788" t="str">
            <v>TC COM SOBREGIRO AMEX CPEM              4NC</v>
          </cell>
        </row>
        <row r="24789">
          <cell r="B24789" t="str">
            <v>51070413000203</v>
          </cell>
          <cell r="C24789" t="str">
            <v>TC COM MORA MC CPEM                     4NC</v>
          </cell>
        </row>
        <row r="24790">
          <cell r="B24790" t="str">
            <v>51070413000204</v>
          </cell>
          <cell r="C24790" t="str">
            <v>TC COM SOBREGIRO MC CPEM                4NC</v>
          </cell>
        </row>
        <row r="24791">
          <cell r="B24791" t="str">
            <v>51070413000205</v>
          </cell>
          <cell r="C24791" t="str">
            <v>TC COM MORA VISA CPEM                   4NC</v>
          </cell>
        </row>
        <row r="24792">
          <cell r="B24792" t="str">
            <v>51070413000206</v>
          </cell>
          <cell r="C24792" t="str">
            <v>TC COM MORA VISA MEGAPLAZA CPEM         4NC</v>
          </cell>
        </row>
        <row r="24793">
          <cell r="B24793" t="str">
            <v>51070413000207</v>
          </cell>
          <cell r="C24793" t="str">
            <v>TC COM MORA VISA VEA CPEM               4NC</v>
          </cell>
        </row>
        <row r="24794">
          <cell r="B24794" t="str">
            <v>51070413000208</v>
          </cell>
          <cell r="C24794" t="str">
            <v>TC COM SOBREGIRO VISA CPEM              4NC</v>
          </cell>
        </row>
        <row r="24795">
          <cell r="B24795" t="str">
            <v>51070413000209</v>
          </cell>
          <cell r="C24795" t="str">
            <v>TC COM SOBREGIRO VISA MEGAPLAZA CPEM    4NC</v>
          </cell>
        </row>
        <row r="24796">
          <cell r="B24796" t="str">
            <v>51070413000210</v>
          </cell>
          <cell r="C24796" t="str">
            <v>TC COM SOBREGIRO VISA VEA CPEM          4NC</v>
          </cell>
        </row>
        <row r="24797">
          <cell r="B24797" t="str">
            <v>51070413000301</v>
          </cell>
          <cell r="C24797" t="str">
            <v>FCD DSCTOS COM.TRASL.FONDOS CPEM        4NC</v>
          </cell>
        </row>
        <row r="24798">
          <cell r="B24798" t="str">
            <v>51070413000302</v>
          </cell>
          <cell r="C24798" t="str">
            <v>PR FACTNG. COM.TRASL.FONDOS CPEM        4NC</v>
          </cell>
        </row>
        <row r="24799">
          <cell r="B24799" t="str">
            <v>51070413000303</v>
          </cell>
          <cell r="C24799" t="str">
            <v>PR COBR. COM.TRASL.FONDOS CPEM          4NC</v>
          </cell>
        </row>
        <row r="24800">
          <cell r="B24800" t="str">
            <v>51070413000304</v>
          </cell>
          <cell r="C24800" t="str">
            <v>FCD FACT INTER EXPOR. COM.  TRASL.FONDOS4NC</v>
          </cell>
        </row>
        <row r="24801">
          <cell r="B24801" t="str">
            <v>51070413000305</v>
          </cell>
          <cell r="C24801" t="str">
            <v>FCD FACT INTER EXPO. COM.  TRASL.FONDOS 4NC</v>
          </cell>
        </row>
        <row r="24802">
          <cell r="B24802" t="str">
            <v>51070413000401</v>
          </cell>
          <cell r="C24802" t="str">
            <v>MTO. TARJETA ELECTRON PEQUEÃ‘AS EMPRESAS4NC</v>
          </cell>
        </row>
        <row r="24803">
          <cell r="B24803" t="str">
            <v>51070413000402</v>
          </cell>
          <cell r="C24803" t="str">
            <v>COM AFILIAC RENOV TC COMERC IBKVISA PEQU4NC</v>
          </cell>
        </row>
        <row r="24804">
          <cell r="B24804" t="str">
            <v>51070413000403</v>
          </cell>
          <cell r="C24804" t="str">
            <v>COM AFILIAC RENOV TC CONSUMO IBKVISA PEQ4NC</v>
          </cell>
        </row>
        <row r="24805">
          <cell r="B24805" t="str">
            <v>51070413000404</v>
          </cell>
          <cell r="C24805" t="str">
            <v>COM AFILIAC RENOV TC CONS WONGVISA PEQUE4NC</v>
          </cell>
        </row>
        <row r="24806">
          <cell r="B24806" t="str">
            <v>51070413000405</v>
          </cell>
          <cell r="C24806" t="str">
            <v>COM AFILIAC RENOV TC CONSUMO AMEX PEQUEÃ4NC</v>
          </cell>
        </row>
        <row r="24807">
          <cell r="B24807" t="str">
            <v>51070413000406</v>
          </cell>
          <cell r="C24807" t="str">
            <v>BL COM AFILIAC RENOV TC CONS MC PEQUEÃ‘A4NC</v>
          </cell>
        </row>
        <row r="24808">
          <cell r="B24808" t="str">
            <v>51070413000407</v>
          </cell>
          <cell r="C24808" t="str">
            <v>COM. AFILIACION/RENOV. TC COMERC.M PEQUE4NC</v>
          </cell>
        </row>
        <row r="24809">
          <cell r="B24809" t="str">
            <v>51070413000408</v>
          </cell>
          <cell r="C24809" t="str">
            <v>COMIS. AFILIAC -RENOVACION AVAL PEQUEÃ‘A4NC</v>
          </cell>
        </row>
        <row r="24810">
          <cell r="B24810" t="str">
            <v>51070413000409</v>
          </cell>
          <cell r="C24810" t="str">
            <v>COMIS. AFILIAC -RENOVAC TC MEGAPLAZA PEQ4NC</v>
          </cell>
        </row>
        <row r="24811">
          <cell r="B24811" t="str">
            <v>51070413000410</v>
          </cell>
          <cell r="C24811" t="str">
            <v>COM AFILIAC-RENOV TC VEA PEQUEÃ‘AS EMPRE4NC</v>
          </cell>
        </row>
        <row r="24812">
          <cell r="B24812" t="str">
            <v>51070413000411</v>
          </cell>
          <cell r="C24812" t="str">
            <v>COM AFILIAC-RENOV TC VEA VISA PEQUEÃ‘AS 4NC</v>
          </cell>
        </row>
        <row r="24813">
          <cell r="B24813" t="str">
            <v>51070413000412</v>
          </cell>
          <cell r="C24813" t="str">
            <v>COM EMISION REPOSICION TC BANMAT PEQUEÃ‘4NC</v>
          </cell>
        </row>
        <row r="24814">
          <cell r="B24814" t="str">
            <v>51070413000413</v>
          </cell>
          <cell r="C24814" t="str">
            <v>TC COM D/E VISA MEGAPLAZA PEQUEÃ‘AS EMPR4NC</v>
          </cell>
        </row>
        <row r="24815">
          <cell r="B24815" t="str">
            <v>51070413000414</v>
          </cell>
          <cell r="C24815" t="str">
            <v>TC COM D/E VISA VEA PEQUEÃ‘AS EMPRESAS  4NC</v>
          </cell>
        </row>
        <row r="24816">
          <cell r="B24816" t="str">
            <v>51070413000415</v>
          </cell>
          <cell r="C24816" t="str">
            <v>TC COM RENOV/REPOS VISA MEGAPLAZA PEQUEÃ4NC</v>
          </cell>
        </row>
        <row r="24817">
          <cell r="B24817" t="str">
            <v>51070413000416</v>
          </cell>
          <cell r="C24817" t="str">
            <v>TC COM RENOV/REPOS VISA VEA PEQUEÃ‘AS EM4NC</v>
          </cell>
        </row>
        <row r="24818">
          <cell r="B24818" t="str">
            <v>51070413000417</v>
          </cell>
          <cell r="C24818" t="str">
            <v>CDO TC SERV RETIRO CAJERO / MON VIG PEQU4NC</v>
          </cell>
        </row>
        <row r="24819">
          <cell r="B24819" t="str">
            <v>51070413000418</v>
          </cell>
          <cell r="C24819" t="str">
            <v>CDO TC SERV RETIRO CAJERO / MON VENC PEQ4NC</v>
          </cell>
        </row>
        <row r="24820">
          <cell r="B24820" t="str">
            <v>51070413000419</v>
          </cell>
          <cell r="C24820" t="str">
            <v>SAT TC SERV RETIRO CAJERO / MON VIG PEQU4NC</v>
          </cell>
        </row>
        <row r="24821">
          <cell r="B24821" t="str">
            <v>51070413000420</v>
          </cell>
          <cell r="C24821" t="str">
            <v>SAT TC SERV RETIRO CAJERO / MON VENC PEQ4NC</v>
          </cell>
        </row>
        <row r="24822">
          <cell r="B24822" t="str">
            <v>51070413000421</v>
          </cell>
          <cell r="C24822" t="str">
            <v>CDO TC SERV POR MODIFICAC DE PLAZO VIG P4NC</v>
          </cell>
        </row>
        <row r="24823">
          <cell r="B24823" t="str">
            <v>51070413000422</v>
          </cell>
          <cell r="C24823" t="str">
            <v>CDO TC SERV POR MODIFICAC DE PLAZO VENC 4NC</v>
          </cell>
        </row>
        <row r="24824">
          <cell r="B24824" t="str">
            <v>51070413000423</v>
          </cell>
          <cell r="C24824" t="str">
            <v>SAT TC SERV POR MODIFICAC DE PLAZO VIG P4NC</v>
          </cell>
        </row>
        <row r="24825">
          <cell r="B24825" t="str">
            <v>51070413000424</v>
          </cell>
          <cell r="C24825" t="str">
            <v>SAT TC SERV POR MODIFICAC DE PLAZO VENC 4NC</v>
          </cell>
        </row>
        <row r="24826">
          <cell r="B24826" t="str">
            <v>51070413000425</v>
          </cell>
          <cell r="C24826" t="str">
            <v>MANTENIMIENTO TC IB VISA PEQUEÃ‘AS EMPRE4NC</v>
          </cell>
        </row>
        <row r="24827">
          <cell r="B24827" t="str">
            <v>51070413000426</v>
          </cell>
          <cell r="C24827" t="str">
            <v>MANTENIMIENTO TC CONSUMO IBKVISA PEQUEÃ‘4NC</v>
          </cell>
        </row>
        <row r="24828">
          <cell r="B24828" t="str">
            <v>51070413000427</v>
          </cell>
          <cell r="C24828" t="str">
            <v>MANTENIMIENTO TC CONSUMO WONG VISA PEQUE4NC</v>
          </cell>
        </row>
        <row r="24829">
          <cell r="B24829" t="str">
            <v>51070413000428</v>
          </cell>
          <cell r="C24829" t="str">
            <v>MANTENIMIENTO TC CONSUMO AMEX PEQUEÃ‘AS 4NC</v>
          </cell>
        </row>
        <row r="24830">
          <cell r="B24830" t="str">
            <v>51070413000429</v>
          </cell>
          <cell r="C24830" t="str">
            <v>SEG DESGRAVAMEN CONSUMO IBK VISA PEQUEÃ‘4NC</v>
          </cell>
        </row>
        <row r="24831">
          <cell r="B24831" t="str">
            <v>51070413000430</v>
          </cell>
          <cell r="C24831" t="str">
            <v>SEG DESGRAVAMEN CONSUMO WONGVISA PEQUEÃ‘4NC</v>
          </cell>
        </row>
        <row r="24832">
          <cell r="B24832" t="str">
            <v>51070413000431</v>
          </cell>
          <cell r="C24832" t="str">
            <v>SEG DESGRAVAMEN CONSUMO AMEX PEQUEÃ‘AS E4NC</v>
          </cell>
        </row>
        <row r="24833">
          <cell r="B24833" t="str">
            <v>51070413000432</v>
          </cell>
          <cell r="C24833" t="str">
            <v>MANTENIMIENTO TC CONSUMO MC PEQUEÃ‘AS EM4NC</v>
          </cell>
        </row>
        <row r="24834">
          <cell r="B24834" t="str">
            <v>51070413000433</v>
          </cell>
          <cell r="C24834" t="str">
            <v>BL SEG DESGRAVAMEN CONSUMO MC PEQUEÃ‘AS 4NC</v>
          </cell>
        </row>
        <row r="24835">
          <cell r="B24835" t="str">
            <v>51070413000434</v>
          </cell>
          <cell r="C24835" t="str">
            <v>MANTENIMIENTO TC COMERCIAL MC PEQUEÃ‘AS 4NC</v>
          </cell>
        </row>
        <row r="24836">
          <cell r="B24836" t="str">
            <v>51070413000435</v>
          </cell>
          <cell r="C24836" t="str">
            <v>TC SEGURO DE DESGRAVAMEN AVAL PEQUEÃ‘AS 4NC</v>
          </cell>
        </row>
        <row r="24837">
          <cell r="B24837" t="str">
            <v>51070413000436</v>
          </cell>
          <cell r="C24837" t="str">
            <v>MANTENIMIENTO TC AVAL PEQUEÃ‘AS EMPRESAS4NC</v>
          </cell>
        </row>
        <row r="24838">
          <cell r="B24838" t="str">
            <v>51070413000437</v>
          </cell>
          <cell r="C24838" t="str">
            <v>SEGURO DESGRAVAMEN TC MEGAPLAZA PEQUEÃ‘A4NC</v>
          </cell>
        </row>
        <row r="24839">
          <cell r="B24839" t="str">
            <v>51070413000438</v>
          </cell>
          <cell r="C24839" t="str">
            <v>MANTENIMIENTO TC MEGA PLAZA PEQUEÃ‘AS EM4NC</v>
          </cell>
        </row>
        <row r="24840">
          <cell r="B24840" t="str">
            <v>51070413000439</v>
          </cell>
          <cell r="C24840" t="str">
            <v>SEG DESGRAV TC VEA PEQUEÃ‘AS EMPRESAS   4NC</v>
          </cell>
        </row>
        <row r="24841">
          <cell r="B24841" t="str">
            <v>51070413000440</v>
          </cell>
          <cell r="C24841" t="str">
            <v>SEG DESGRAV TC VEA VISA PEQUEÃ‘AS EMPRES4NC</v>
          </cell>
        </row>
        <row r="24842">
          <cell r="B24842" t="str">
            <v>51070413000441</v>
          </cell>
          <cell r="C24842" t="str">
            <v>MANTENIMIENTO TC VEA PEQUEÃ‘AS EMPRESAS 4NC</v>
          </cell>
        </row>
        <row r="24843">
          <cell r="B24843" t="str">
            <v>51070413000442</v>
          </cell>
          <cell r="C24843" t="str">
            <v>MANTENIMIENTO TC VEA VISA PEQUEÃ‘AS EMPR4NC</v>
          </cell>
        </row>
        <row r="24844">
          <cell r="B24844" t="str">
            <v>51070413000443</v>
          </cell>
          <cell r="C24844" t="str">
            <v>COMISIONES SEGURO TC PEQUEÃ‘AS EMPRESAS 4NC</v>
          </cell>
        </row>
        <row r="24845">
          <cell r="B24845" t="str">
            <v>51070413000444</v>
          </cell>
          <cell r="C24845" t="str">
            <v>TC MANTENIMIENTO VISA MEGAPLAZA PEQUEÃ‘A4NC</v>
          </cell>
        </row>
        <row r="24846">
          <cell r="B24846" t="str">
            <v>51070413000445</v>
          </cell>
          <cell r="C24846" t="str">
            <v>TC MANTENIMIENTO VISA VEA PEQUEÃ‘AS EMPR4NC</v>
          </cell>
        </row>
        <row r="24847">
          <cell r="B24847" t="str">
            <v>51070413000446</v>
          </cell>
          <cell r="C24847" t="str">
            <v>TC SEG DESGRAV VISA MEGAPLAZA PEQUEÃ‘AS 4NC</v>
          </cell>
        </row>
        <row r="24848">
          <cell r="B24848" t="str">
            <v>51070413000447</v>
          </cell>
          <cell r="C24848" t="str">
            <v>TC SEG DESGRAV VISA VEA PEQUEÃ‘AS EMPRES4NC</v>
          </cell>
        </row>
        <row r="24849">
          <cell r="B24849" t="str">
            <v>51070413000448</v>
          </cell>
          <cell r="C24849" t="str">
            <v>COM ESTABLEC TC COMERC IBK VISA PEQUEÃ‘A4NC</v>
          </cell>
        </row>
        <row r="24850">
          <cell r="B24850" t="str">
            <v>51070413000449</v>
          </cell>
          <cell r="C24850" t="str">
            <v>COM ESTABLEC TC CONSUMO IBK VISA PEQUEÃ‘4NC</v>
          </cell>
        </row>
        <row r="24851">
          <cell r="B24851" t="str">
            <v>51070413000450</v>
          </cell>
          <cell r="C24851" t="str">
            <v>COM ESTABLEC TC CONSUMO WONG VISA PEQUEÃ4NC</v>
          </cell>
        </row>
        <row r="24852">
          <cell r="B24852" t="str">
            <v>51070413000451</v>
          </cell>
          <cell r="C24852" t="str">
            <v>COM ESTABLEC TC CONSUMO AMEX PEQUEÃ‘AS E4NC</v>
          </cell>
        </row>
        <row r="24853">
          <cell r="B24853" t="str">
            <v>51070413000452</v>
          </cell>
          <cell r="C24853" t="str">
            <v>BL COM ESTABLEC TC CONSUMO MC PEQUEÃ‘AS 4NC</v>
          </cell>
        </row>
        <row r="24854">
          <cell r="B24854" t="str">
            <v>51070413000453</v>
          </cell>
          <cell r="C24854" t="str">
            <v>COM ATM FORANEO VISA PEQUEÃ‘AS EMPRESAS 4NC</v>
          </cell>
        </row>
        <row r="24855">
          <cell r="B24855" t="str">
            <v>51070413000454</v>
          </cell>
          <cell r="C24855" t="str">
            <v>COM ATM FORANEO AMEX PEQUEÃ‘AS EMPRESAS 4NC</v>
          </cell>
        </row>
        <row r="24856">
          <cell r="B24856" t="str">
            <v>51070413000455</v>
          </cell>
          <cell r="C24856" t="str">
            <v>COM ATM FORANEO MASTERCARD PEQUEÃ‘AS EMP4NC</v>
          </cell>
        </row>
        <row r="24857">
          <cell r="B24857" t="str">
            <v>51070413000456</v>
          </cell>
          <cell r="C24857" t="str">
            <v>COM ESTABLECIMIENTO TARJ ELECTRON PEQUEÃ4NC</v>
          </cell>
        </row>
        <row r="24858">
          <cell r="B24858" t="str">
            <v>51070413000457</v>
          </cell>
          <cell r="C24858" t="str">
            <v>COM ESTABLECIMIENTO TC MEGAPLAZA PEQUEÃ‘4NC</v>
          </cell>
        </row>
        <row r="24859">
          <cell r="B24859" t="str">
            <v>51070413000458</v>
          </cell>
          <cell r="C24859" t="str">
            <v>COM ESTABLECIM TC VEA PEQUEÃ‘AS EMPRESAS4NC</v>
          </cell>
        </row>
        <row r="24860">
          <cell r="B24860" t="str">
            <v>51070413000459</v>
          </cell>
          <cell r="C24860" t="str">
            <v>COM ESTABLECIM TC VEA VISA PEQUEÃ‘AS EMP4NC</v>
          </cell>
        </row>
        <row r="24861">
          <cell r="B24861" t="str">
            <v>51070413000460</v>
          </cell>
          <cell r="C24861" t="str">
            <v>COM USUARIOS TC COMERC IBK VISA PEQUEÃ‘A4NC</v>
          </cell>
        </row>
        <row r="24862">
          <cell r="B24862" t="str">
            <v>51070413000461</v>
          </cell>
          <cell r="C24862" t="str">
            <v>COM USUARIOS TC CONSUMO IBK VISA PEQUEÃ‘4NC</v>
          </cell>
        </row>
        <row r="24863">
          <cell r="B24863" t="str">
            <v>51070413000462</v>
          </cell>
          <cell r="C24863" t="str">
            <v>COM USUARIOS TC CONSUMO WONG VISA PEQUEÃ4NC</v>
          </cell>
        </row>
        <row r="24864">
          <cell r="B24864" t="str">
            <v>51070413000463</v>
          </cell>
          <cell r="C24864" t="str">
            <v>COM USUARIOS TC CONSUMO AMEX PEQUEÃ‘AS E4NC</v>
          </cell>
        </row>
        <row r="24865">
          <cell r="B24865" t="str">
            <v>51070413000464</v>
          </cell>
          <cell r="C24865" t="str">
            <v>COM USUARIOS TC CONSUMO MP PEQUEÃ‘AS EMP4NC</v>
          </cell>
        </row>
        <row r="24866">
          <cell r="B24866" t="str">
            <v>51070413000465</v>
          </cell>
          <cell r="C24866" t="str">
            <v>BL COM USUARIOS TC CONSUMO MC PEQUEÃ‘AS 4NC</v>
          </cell>
        </row>
        <row r="24867">
          <cell r="B24867" t="str">
            <v>51070413000466</v>
          </cell>
          <cell r="C24867" t="str">
            <v>BL COM. USUARIOS TC COMERCIAL MC PEQUEÃ‘4NC</v>
          </cell>
        </row>
        <row r="24868">
          <cell r="B24868" t="str">
            <v>51070413000467</v>
          </cell>
          <cell r="C24868" t="str">
            <v>COM.USUARIOS TC MEGAPLAZA PEQUEÃ‘AS EMPR4NC</v>
          </cell>
        </row>
        <row r="24869">
          <cell r="B24869" t="str">
            <v>51070413000468</v>
          </cell>
          <cell r="C24869" t="str">
            <v>COM USUARIO TC VEA PEQUEÃ‘AS EMPRESAS   4NC</v>
          </cell>
        </row>
        <row r="24870">
          <cell r="B24870" t="str">
            <v>51070413000469</v>
          </cell>
          <cell r="C24870" t="str">
            <v>COM USUARIO TC VEA VISA PEQUEÃ‘AS EMPRES4NC</v>
          </cell>
        </row>
        <row r="24871">
          <cell r="B24871" t="str">
            <v>51070413000470</v>
          </cell>
          <cell r="C24871" t="str">
            <v>TC COMIS.REPOS.PLAST.VEA REMESAS PEQUEÃ‘4NC</v>
          </cell>
        </row>
        <row r="24872">
          <cell r="B24872" t="str">
            <v>51070413000471</v>
          </cell>
          <cell r="C24872" t="str">
            <v>TC COMIS.CONSU.MOVIM VEA REMESAS PEQUEÃ‘4NC</v>
          </cell>
        </row>
        <row r="24873">
          <cell r="B24873" t="str">
            <v>51070413000472</v>
          </cell>
          <cell r="C24873" t="str">
            <v>TC COM D/E AMEX PEQUEÃ‘AS EMPRESAS      4NC</v>
          </cell>
        </row>
        <row r="24874">
          <cell r="B24874" t="str">
            <v>51070413000473</v>
          </cell>
          <cell r="C24874" t="str">
            <v>TC COM EXTRACASH AMEX PEQUEÃ‘AS EMPRESAS4NC</v>
          </cell>
        </row>
        <row r="24875">
          <cell r="B24875" t="str">
            <v>51070413000474</v>
          </cell>
          <cell r="C24875" t="str">
            <v>TC COM RENOV/REPOS AMEX PEQUEÃ‘AS EMPRES4NC</v>
          </cell>
        </row>
        <row r="24876">
          <cell r="B24876" t="str">
            <v>51070413000475</v>
          </cell>
          <cell r="C24876" t="str">
            <v>TC MANTENIMIENTO AMEX PEQUEÃ‘AS EMPRESAS4NC</v>
          </cell>
        </row>
        <row r="24877">
          <cell r="B24877" t="str">
            <v>51070413000476</v>
          </cell>
          <cell r="C24877" t="str">
            <v>TC SEG DESGRAV AMEX PEQUEÃ‘AS EMPRESAS  4NC</v>
          </cell>
        </row>
        <row r="24878">
          <cell r="B24878" t="str">
            <v>51070413000477</v>
          </cell>
          <cell r="C24878" t="str">
            <v>TC COM D/E MC PEQUEÃ‘AS EMPRESAS        4NC</v>
          </cell>
        </row>
        <row r="24879">
          <cell r="B24879" t="str">
            <v>51070413000478</v>
          </cell>
          <cell r="C24879" t="str">
            <v>TC COM EXTRACASH MC PEQUEÃ‘AS EMPRESAS  4NC</v>
          </cell>
        </row>
        <row r="24880">
          <cell r="B24880" t="str">
            <v>51070413000479</v>
          </cell>
          <cell r="C24880" t="str">
            <v>TC COM RENOV/REPOS MC PEQUEÃ‘AS EMPRESAS4NC</v>
          </cell>
        </row>
        <row r="24881">
          <cell r="B24881" t="str">
            <v>51070413000480</v>
          </cell>
          <cell r="C24881" t="str">
            <v>TC MANTENIMIENTO MC PEQUEÃ‘AS EMPRESAS  4NC</v>
          </cell>
        </row>
        <row r="24882">
          <cell r="B24882" t="str">
            <v>51070413000481</v>
          </cell>
          <cell r="C24882" t="str">
            <v>TC SEG DESGRAV MC PEQUEÃ‘AS EMPRESAS    4NC</v>
          </cell>
        </row>
        <row r="24883">
          <cell r="B24883" t="str">
            <v>51070413000482</v>
          </cell>
          <cell r="C24883" t="str">
            <v>TC COM D/E VISA PEQUEÃ‘AS EMPRESAS      4NC</v>
          </cell>
        </row>
        <row r="24884">
          <cell r="B24884" t="str">
            <v>51070413000483</v>
          </cell>
          <cell r="C24884" t="str">
            <v>TC COM EXTRACASH VISA PEQUEÃ‘AS EMPRESAS4NC</v>
          </cell>
        </row>
        <row r="24885">
          <cell r="B24885" t="str">
            <v>51070413000484</v>
          </cell>
          <cell r="C24885" t="str">
            <v>TC COM EXTRACASH VISA MEGAPLAZA PEQUEÃ‘A4NC</v>
          </cell>
        </row>
        <row r="24886">
          <cell r="B24886" t="str">
            <v>51070413000485</v>
          </cell>
          <cell r="C24886" t="str">
            <v>TC COM EXTRACASH VISA VEA PEQUEÃ‘AS EMPR4NC</v>
          </cell>
        </row>
        <row r="24887">
          <cell r="B24887" t="str">
            <v>51070413000486</v>
          </cell>
          <cell r="C24887" t="str">
            <v>TC COM RENOV/REPOS VISA PEQUEÃ‘AS EMPRES4NC</v>
          </cell>
        </row>
        <row r="24888">
          <cell r="B24888" t="str">
            <v>51070413000487</v>
          </cell>
          <cell r="C24888" t="str">
            <v>TC MANTENIMIENTO VISA PEQUEÃ‘AS EMPRESAS4NC</v>
          </cell>
        </row>
        <row r="24889">
          <cell r="B24889" t="str">
            <v>51070413000488</v>
          </cell>
          <cell r="C24889" t="str">
            <v>TC SEG DESGRAV VISA PEQUEÃ‘AS EMPRESAS  4NC</v>
          </cell>
        </row>
        <row r="24890">
          <cell r="B24890" t="str">
            <v>51070413000489</v>
          </cell>
          <cell r="C24890" t="str">
            <v>COMISION RENOVACION TC RECARGA PEQUEÃ‘AS4NC</v>
          </cell>
        </row>
        <row r="24891">
          <cell r="B24891" t="str">
            <v>51070413000490</v>
          </cell>
          <cell r="C24891" t="str">
            <v>COMISION REPOSICION TC RECARGA PEQUEÃ‘AS4NC</v>
          </cell>
        </row>
        <row r="24892">
          <cell r="B24892" t="str">
            <v>51070413000491</v>
          </cell>
          <cell r="C24892" t="str">
            <v>COMISION DISP EFECT TC RECARGA PEQUEÃ‘AS4NC</v>
          </cell>
        </row>
        <row r="24893">
          <cell r="B24893" t="str">
            <v>51070413000492</v>
          </cell>
          <cell r="C24893" t="str">
            <v>COMISION SERV TARJETA TC RECARGA PEQUEÃ‘4NC</v>
          </cell>
        </row>
        <row r="24894">
          <cell r="B24894" t="str">
            <v>51070413000493</v>
          </cell>
          <cell r="C24894" t="str">
            <v>MANTENIMIENTO TC RECARGA PEQUEÃ‘AS EMPRE4NC</v>
          </cell>
        </row>
        <row r="24895">
          <cell r="B24895" t="str">
            <v>51070413000494</v>
          </cell>
          <cell r="C24895" t="str">
            <v>SEGURO DESGRAVAMEN TC RECARGA PEQUEÃ‘AS 4NC</v>
          </cell>
        </row>
        <row r="24896">
          <cell r="B24896" t="str">
            <v>51070413000495</v>
          </cell>
          <cell r="C24896" t="str">
            <v>COM CONSULTA DE SALDOS BANMAT PEQUEÃ‘AS 4NC</v>
          </cell>
        </row>
        <row r="24897">
          <cell r="B24897" t="str">
            <v>51070413000501</v>
          </cell>
          <cell r="C24897" t="str">
            <v>JCC PENALIDAD INCUMP.PAGO BC CPEM       4NC</v>
          </cell>
        </row>
        <row r="24898">
          <cell r="B24898" t="str">
            <v>51070413000502</v>
          </cell>
          <cell r="C24898" t="str">
            <v>JCC PENALIDAD INCUMP.PAGO MYP CPEM      4NC</v>
          </cell>
        </row>
        <row r="24899">
          <cell r="B24899" t="str">
            <v>51070900000101</v>
          </cell>
          <cell r="C24899" t="str">
            <v>HPC COM.POR SERV.COBRANZA.TITULIZADORA  4NC</v>
          </cell>
        </row>
        <row r="24900">
          <cell r="B24900" t="str">
            <v>51070900000102</v>
          </cell>
          <cell r="C24900" t="str">
            <v>HPC COM PORTES .TITULIZADORA            4NC</v>
          </cell>
        </row>
        <row r="24901">
          <cell r="B24901" t="str">
            <v>51070900000103</v>
          </cell>
          <cell r="C24901" t="str">
            <v>HPC COM.POR SERV .COBRANZA.TITULIZADORA.4NC</v>
          </cell>
        </row>
        <row r="24902">
          <cell r="B24902" t="str">
            <v>51070900000104</v>
          </cell>
          <cell r="C24902" t="str">
            <v>HPC COM PORTES .TITULIZADORA REFINANCIAD4NC</v>
          </cell>
        </row>
        <row r="24903">
          <cell r="B24903" t="str">
            <v>51070900000107</v>
          </cell>
          <cell r="C24903" t="str">
            <v>HPC COM POR PAGO ADELANTADO .TITULIZADOR4NC</v>
          </cell>
        </row>
        <row r="24904">
          <cell r="B24904" t="str">
            <v>51080100000101</v>
          </cell>
          <cell r="C24904" t="str">
            <v>UTILID.DIF.CAMBIO - OFERTA Y DEM        4NC</v>
          </cell>
        </row>
        <row r="24905">
          <cell r="B24905" t="str">
            <v>51080100000102</v>
          </cell>
          <cell r="C24905" t="str">
            <v>UTILIDAD DIF.CAMBIO - ARBITRAJE         4NC</v>
          </cell>
        </row>
        <row r="24906">
          <cell r="B24906" t="str">
            <v>51080100000103</v>
          </cell>
          <cell r="C24906" t="str">
            <v>UT DIF.CAMBIO - OF Y DEMANDA CAP        4NC</v>
          </cell>
        </row>
        <row r="24907">
          <cell r="B24907" t="str">
            <v>51080100000105</v>
          </cell>
          <cell r="C24907" t="str">
            <v>UTILIDAD DIF.CAMBIO - OP.A FUT          4NC</v>
          </cell>
        </row>
        <row r="24908">
          <cell r="B24908" t="str">
            <v>51080100000106</v>
          </cell>
          <cell r="C24908" t="str">
            <v>UTILIDAD DIF.CAMBIO - SPOT              4NC</v>
          </cell>
        </row>
        <row r="24909">
          <cell r="B24909" t="str">
            <v>51080100000107</v>
          </cell>
          <cell r="C24909" t="str">
            <v>UTILIDAD DIF.CAMBIO SWAP(CFE)           4NC</v>
          </cell>
        </row>
        <row r="24910">
          <cell r="B24910" t="str">
            <v>51080100000108</v>
          </cell>
          <cell r="C24910" t="str">
            <v>UTILI DIF.CAMBIO OP. COBERTURA SWAP SCCS4NC</v>
          </cell>
        </row>
        <row r="24911">
          <cell r="B24911" t="str">
            <v>51080100000111</v>
          </cell>
          <cell r="C24911" t="str">
            <v>UTILIDAD SPOT FWD OTRAS MONEDAS         4NC</v>
          </cell>
        </row>
        <row r="24912">
          <cell r="B24912" t="str">
            <v>51080100000112</v>
          </cell>
          <cell r="C24912" t="str">
            <v>UTILID.DIF.CAMBIO-OPERACIONES CON PROVEE4NC</v>
          </cell>
        </row>
        <row r="24913">
          <cell r="B24913" t="str">
            <v>51080100000115</v>
          </cell>
          <cell r="C24913" t="str">
            <v>UTILIDAD DIF.CAMBIO - OP. COBERTURA OPCI4NC</v>
          </cell>
        </row>
        <row r="24914">
          <cell r="B24914" t="str">
            <v>51080100000116</v>
          </cell>
          <cell r="C24914" t="str">
            <v>UTIL.DIF.CAMBIO-OP.SPOT FWD OTRAS MONEDA4NC</v>
          </cell>
        </row>
        <row r="24915">
          <cell r="B24915" t="str">
            <v>51080100000117</v>
          </cell>
          <cell r="C24915" t="str">
            <v>UTILI DIF.CAMBIO -  POSICION OPC OTRAS M4NC</v>
          </cell>
        </row>
        <row r="24916">
          <cell r="B24916" t="str">
            <v>51080100000118</v>
          </cell>
          <cell r="C24916" t="str">
            <v>UTILIDAD DIF.CAMBIO - POSICION SPTX     4NC</v>
          </cell>
        </row>
        <row r="24917">
          <cell r="B24917" t="str">
            <v>51080100000119</v>
          </cell>
          <cell r="C24917" t="str">
            <v>UTILI DIF.CAMBIO - CCS                  4NC</v>
          </cell>
        </row>
        <row r="24918">
          <cell r="B24918" t="str">
            <v>51080100000120</v>
          </cell>
          <cell r="C24918" t="str">
            <v>UTILIDAD DIF.CAMBIO - IRS               4NC</v>
          </cell>
        </row>
        <row r="24919">
          <cell r="B24919" t="str">
            <v>51080100000121</v>
          </cell>
          <cell r="C24919" t="str">
            <v>UTILIDAD DIF.CAMBIO - SPOT Estra        4NC</v>
          </cell>
        </row>
        <row r="24920">
          <cell r="B24920" t="str">
            <v>51080100000122</v>
          </cell>
          <cell r="C24920" t="str">
            <v>UTILIDAD DIF.CAMBIO - SWAP COMPRA COB   4NC</v>
          </cell>
        </row>
        <row r="24921">
          <cell r="B24921" t="str">
            <v>51080100000123</v>
          </cell>
          <cell r="C24921" t="str">
            <v>UTILIDAD DIF.CAMBIO - OPC DIVISA        4NC</v>
          </cell>
        </row>
        <row r="24922">
          <cell r="B24922" t="str">
            <v>51080100000124</v>
          </cell>
          <cell r="C24922" t="str">
            <v>Ingreso Spot Fwd Opciones               4NC</v>
          </cell>
        </row>
        <row r="24923">
          <cell r="B24923" t="str">
            <v>51080100000125</v>
          </cell>
          <cell r="C24923" t="str">
            <v>Ingreso Spot Fwd Op Divisas             4NC</v>
          </cell>
        </row>
        <row r="24924">
          <cell r="B24924" t="str">
            <v>51080100000126</v>
          </cell>
          <cell r="C24924" t="str">
            <v>UTILIDAD DIF.CAMBIO - SWAP CAMBIARIO    4NC</v>
          </cell>
        </row>
        <row r="24925">
          <cell r="B24925" t="str">
            <v>51080100000127</v>
          </cell>
          <cell r="C24925" t="str">
            <v>UTILIDAD CAMBIARIO POSICIÃ“N  SWAP (SBCR4NC</v>
          </cell>
        </row>
        <row r="24926">
          <cell r="B24926" t="str">
            <v>51080100000128</v>
          </cell>
          <cell r="C24926" t="str">
            <v>Utilidad  Derivados PosiciÃ³n Neg  Finan4NC</v>
          </cell>
        </row>
        <row r="24927">
          <cell r="B24927" t="str">
            <v>51080100000129</v>
          </cell>
          <cell r="C24927" t="str">
            <v>UTILIDAD POSICIÃ“N DE DIVISAS ESTRATEGIC4NC</v>
          </cell>
        </row>
        <row r="24928">
          <cell r="B24928" t="str">
            <v>51080100000130</v>
          </cell>
          <cell r="C24928" t="str">
            <v>MDC INGRESO COBERTURAS CDR              4NC</v>
          </cell>
        </row>
        <row r="24929">
          <cell r="B24929" t="str">
            <v>51080100000201</v>
          </cell>
          <cell r="C24929" t="str">
            <v>CDO DIF.CAMBIO - OPERACIONES TARJETA DE 4NC</v>
          </cell>
        </row>
        <row r="24930">
          <cell r="B24930" t="str">
            <v>51080100000202</v>
          </cell>
          <cell r="C24930" t="str">
            <v>POSICION SPOT UW                        4 C</v>
          </cell>
        </row>
        <row r="24931">
          <cell r="B24931" t="str">
            <v>51080100000203</v>
          </cell>
          <cell r="C24931" t="str">
            <v>MRX SPOT COBERTURA CCS ESTRATEGICO      4NC</v>
          </cell>
        </row>
        <row r="24932">
          <cell r="B24932" t="str">
            <v>51080100000204</v>
          </cell>
          <cell r="C24932" t="str">
            <v>MRX ING POSICION NEGOCIACION CCS ESTRATE4NC</v>
          </cell>
        </row>
        <row r="24933">
          <cell r="B24933" t="str">
            <v>51080100000205</v>
          </cell>
          <cell r="C24933" t="str">
            <v>MRX ING POSICION FWD TESORERIA          4NC</v>
          </cell>
        </row>
        <row r="24934">
          <cell r="B24934" t="str">
            <v>51080100000206</v>
          </cell>
          <cell r="C24934" t="str">
            <v>ING OPCIONES ESTRATEGICO MERCADO LIBRE  4NC</v>
          </cell>
        </row>
        <row r="24935">
          <cell r="B24935" t="str">
            <v>51080100000207</v>
          </cell>
          <cell r="C24935" t="str">
            <v>ING OPCIONES ESTRATEGICO ARBITRAJE      4NC</v>
          </cell>
        </row>
        <row r="24936">
          <cell r="B24936" t="str">
            <v>51080100000210</v>
          </cell>
          <cell r="C24936" t="str">
            <v>MDC GANANCIA FX SPOTS MERCADO LIBRE     4 C</v>
          </cell>
        </row>
        <row r="24937">
          <cell r="B24937" t="str">
            <v>51080100000211</v>
          </cell>
          <cell r="C24937" t="str">
            <v>MDC GANANCIA FX SPOTS ARBITRAJE         4 C</v>
          </cell>
        </row>
        <row r="24938">
          <cell r="B24938" t="str">
            <v>51080100000212</v>
          </cell>
          <cell r="C24938" t="str">
            <v>MDC GANANCIA FWD SPOT HEGDE MERCADO LIBR4 C</v>
          </cell>
        </row>
        <row r="24939">
          <cell r="B24939" t="str">
            <v>51080100000213</v>
          </cell>
          <cell r="C24939" t="str">
            <v>MDC GANANCIA FWD SPOT HEGDE ARBITRAJE   4 C</v>
          </cell>
        </row>
        <row r="24940">
          <cell r="B24940" t="str">
            <v>51080100000214</v>
          </cell>
          <cell r="C24940" t="str">
            <v>MDC GANANCIA INVERSIONES CCS MERCADO LIB4 C</v>
          </cell>
        </row>
        <row r="24941">
          <cell r="B24941" t="str">
            <v>51080100000215</v>
          </cell>
          <cell r="C24941" t="str">
            <v>MDC GANANCIA MESA INVERSIONES (GDN BIMON4 C</v>
          </cell>
        </row>
        <row r="24942">
          <cell r="B24942" t="str">
            <v>51080100000216</v>
          </cell>
          <cell r="C24942" t="str">
            <v>MDC GANANCIA MESA FX OPCIONES ARBITRAJE 4NC</v>
          </cell>
        </row>
        <row r="24943">
          <cell r="B24943" t="str">
            <v>51080100000217</v>
          </cell>
          <cell r="C24943" t="str">
            <v>MDC GANANCIA MESA FX OPCIONES MERCADO LI4NC</v>
          </cell>
        </row>
        <row r="24944">
          <cell r="B24944" t="str">
            <v>51080100000218</v>
          </cell>
          <cell r="C24944" t="str">
            <v>MDC GANACIA MESA DRV FWD ARBITRAJE      4NC</v>
          </cell>
        </row>
        <row r="24945">
          <cell r="B24945" t="str">
            <v>51080103000801</v>
          </cell>
          <cell r="C24945" t="str">
            <v>PAN DIF EN CAMBIO OPERAC SPOT           4NC</v>
          </cell>
        </row>
        <row r="24946">
          <cell r="B24946" t="str">
            <v>51080201000201</v>
          </cell>
          <cell r="C24946" t="str">
            <v>VENTAS A FUTURO-SWAPS(NEGOCIACION)      4NC</v>
          </cell>
        </row>
        <row r="24947">
          <cell r="B24947" t="str">
            <v>51080201000302</v>
          </cell>
          <cell r="C24947" t="str">
            <v>COMPRAS A FUTURO - SWAP                 4NC</v>
          </cell>
        </row>
        <row r="24948">
          <cell r="B24948" t="str">
            <v>51080202000101</v>
          </cell>
          <cell r="C24948" t="str">
            <v>COMPRAS A FUT-FWD.DELIVERY ESPEC ME     4NC</v>
          </cell>
        </row>
        <row r="24949">
          <cell r="B24949" t="str">
            <v>51080202000102</v>
          </cell>
          <cell r="C24949" t="str">
            <v>COMPRAS A FUTURO - FWD.NON DELIVERY E   4NC</v>
          </cell>
        </row>
        <row r="24950">
          <cell r="B24950" t="str">
            <v>51080202000103</v>
          </cell>
          <cell r="C24950" t="str">
            <v>ING DIFERENCIAL FORWARD TASA PAG FIJO   4NC</v>
          </cell>
        </row>
        <row r="24951">
          <cell r="B24951" t="str">
            <v>51080202000104</v>
          </cell>
          <cell r="C24951" t="str">
            <v>ING DIF. FORWARD TASA PAG FLOTANTE      4NC</v>
          </cell>
        </row>
        <row r="24952">
          <cell r="B24952" t="str">
            <v>51080202000105</v>
          </cell>
          <cell r="C24952" t="str">
            <v>FWD NDF GANANCIA  COBERTURA COMPRA OPCIO4NC</v>
          </cell>
        </row>
        <row r="24953">
          <cell r="B24953" t="str">
            <v>51080202000106</v>
          </cell>
          <cell r="C24953" t="str">
            <v>INGRESO POR COBERTURA VENTA OPCIONES    4NC</v>
          </cell>
        </row>
        <row r="24954">
          <cell r="B24954" t="str">
            <v>51080202000107</v>
          </cell>
          <cell r="C24954" t="str">
            <v>FWD NDF GANANCIA COBERTURA ENTREGA COMPR4NC</v>
          </cell>
        </row>
        <row r="24955">
          <cell r="B24955" t="str">
            <v>51080202000108</v>
          </cell>
          <cell r="C24955" t="str">
            <v>FWD NDF GANANCIA COBERTURA ENTREGA VENTA4NC</v>
          </cell>
        </row>
        <row r="24956">
          <cell r="B24956" t="str">
            <v>51080202000109</v>
          </cell>
          <cell r="C24956" t="str">
            <v>FWD NDF Ganancia  cobertura compra swaps4NC</v>
          </cell>
        </row>
        <row r="24957">
          <cell r="B24957" t="str">
            <v>51080202000110</v>
          </cell>
          <cell r="C24957" t="str">
            <v>Ingreso por cobertura venta swaps       4NC</v>
          </cell>
        </row>
        <row r="24958">
          <cell r="B24958" t="str">
            <v>51080202000111</v>
          </cell>
          <cell r="C24958" t="str">
            <v>FWD NDF ganancia cobertura entrega compr4NC</v>
          </cell>
        </row>
        <row r="24959">
          <cell r="B24959" t="str">
            <v>51080202000112</v>
          </cell>
          <cell r="C24959" t="str">
            <v>FWD NDF ganancia cobertura entrega venta4NC</v>
          </cell>
        </row>
        <row r="24960">
          <cell r="B24960" t="str">
            <v>51080202000201</v>
          </cell>
          <cell r="C24960" t="str">
            <v>VENTAS A FUTURO - FWD.DELIVERY ESPECU   4NC</v>
          </cell>
        </row>
        <row r="24961">
          <cell r="B24961" t="str">
            <v>51080202000202</v>
          </cell>
          <cell r="C24961" t="str">
            <v>VENTAS A FUTURO - FWD.NON DELIVERY ES   4NC</v>
          </cell>
        </row>
        <row r="24962">
          <cell r="B24962" t="str">
            <v>51080205000101</v>
          </cell>
          <cell r="C24962" t="str">
            <v>DERIVAD GANANCIA OPC COMPRAS CALL AMERIC4NC</v>
          </cell>
        </row>
        <row r="24963">
          <cell r="B24963" t="str">
            <v>51080205000102</v>
          </cell>
          <cell r="C24963" t="str">
            <v>DERIVAD GANANCIA OPC DEUD VTA CALL AMERI4NC</v>
          </cell>
        </row>
        <row r="24964">
          <cell r="B24964" t="str">
            <v>51080205000103</v>
          </cell>
          <cell r="C24964" t="str">
            <v>DERIVAD GANANCIA OPC COMPRAS PUTS AMERIC4NC</v>
          </cell>
        </row>
        <row r="24965">
          <cell r="B24965" t="str">
            <v>51080205000104</v>
          </cell>
          <cell r="C24965" t="str">
            <v>DERIVAD GANANCIA OPC VENTAS PUTS AMERICA4NC</v>
          </cell>
        </row>
        <row r="24966">
          <cell r="B24966" t="str">
            <v>51080205000201</v>
          </cell>
          <cell r="C24966" t="str">
            <v>DERIVAD GANANCIA OPC COMPRAS CALL EUROPE4NC</v>
          </cell>
        </row>
        <row r="24967">
          <cell r="B24967" t="str">
            <v>51080205000202</v>
          </cell>
          <cell r="C24967" t="str">
            <v>DERIVAD GANANCIA OPC DEUD VTA CALL EUROP4NC</v>
          </cell>
        </row>
        <row r="24968">
          <cell r="B24968" t="str">
            <v>51080205000203</v>
          </cell>
          <cell r="C24968" t="str">
            <v>DERIVAD GANANCIA OPC COMPRAS PUTS EUROPE4NC</v>
          </cell>
        </row>
        <row r="24969">
          <cell r="B24969" t="str">
            <v>51080205000204</v>
          </cell>
          <cell r="C24969" t="str">
            <v>DERIVAD GANANCIA OPC VENTAS PUTS EUROPEO4NC</v>
          </cell>
        </row>
        <row r="24970">
          <cell r="B24970" t="str">
            <v>51080900000001</v>
          </cell>
          <cell r="C24970" t="str">
            <v>AJUSTE POR DIF. DE CAMBIO-PROVEEDORES LP4NC</v>
          </cell>
        </row>
        <row r="24971">
          <cell r="B24971" t="str">
            <v>51090100000203</v>
          </cell>
          <cell r="C24971" t="str">
            <v>REAJ POR INDEX- 1ER PROG.BS 3RA EMISI   4NC</v>
          </cell>
        </row>
        <row r="24972">
          <cell r="B24972" t="str">
            <v>51090100000304</v>
          </cell>
          <cell r="C24972" t="str">
            <v>CHI CAPIT INDX MI VIVIENDA              4NC</v>
          </cell>
        </row>
        <row r="24973">
          <cell r="B24973" t="str">
            <v>51090100000305</v>
          </cell>
          <cell r="C24973" t="str">
            <v>CHI REAJ INDX CAPIT MV-EMPL             4NC</v>
          </cell>
        </row>
        <row r="24974">
          <cell r="B24974" t="str">
            <v>51090100000306</v>
          </cell>
          <cell r="C24974" t="str">
            <v>CHI INT INDX VIG MI VIVIENDA            4NC</v>
          </cell>
        </row>
        <row r="24975">
          <cell r="B24975" t="str">
            <v>51090100000308</v>
          </cell>
          <cell r="C24975" t="str">
            <v>CHI REAJ INDX INT MV-EMPL               4NC</v>
          </cell>
        </row>
        <row r="24976">
          <cell r="B24976" t="str">
            <v>51090100000313</v>
          </cell>
          <cell r="C24976" t="str">
            <v>CHI INT INDX VENC MI VIVIEND            4NC</v>
          </cell>
        </row>
        <row r="24977">
          <cell r="B24977" t="str">
            <v>51090100000314</v>
          </cell>
          <cell r="C24977" t="str">
            <v>CHI INT INDX HIPOT REC PRP VIG VAC      4NC</v>
          </cell>
        </row>
        <row r="24978">
          <cell r="B24978" t="str">
            <v>51090100000315</v>
          </cell>
          <cell r="C24978" t="str">
            <v>CHI CAP INDX HIP REC PRP VIG VAC        4NC</v>
          </cell>
        </row>
        <row r="24979">
          <cell r="B24979" t="str">
            <v>51090100000316</v>
          </cell>
          <cell r="C24979" t="str">
            <v>BL INT P.COB.REAJ .PAG.T/V VAC          4NC</v>
          </cell>
        </row>
        <row r="24980">
          <cell r="B24980" t="str">
            <v>51090100000317</v>
          </cell>
          <cell r="C24980" t="str">
            <v>BL REAJUSTE CAP. POR INDEX PAG.T/V VAC  4NC</v>
          </cell>
        </row>
        <row r="24981">
          <cell r="B24981" t="str">
            <v>51090100000318</v>
          </cell>
          <cell r="C24981" t="str">
            <v>INT.GAN.VENC.REAJ.INT                   4NC</v>
          </cell>
        </row>
        <row r="24982">
          <cell r="B24982" t="str">
            <v>51090100000319</v>
          </cell>
          <cell r="C24982" t="str">
            <v>INT.GAN.VENC.REAJ.CAP                   4NC</v>
          </cell>
        </row>
        <row r="24983">
          <cell r="B24983" t="str">
            <v>51090100000320</v>
          </cell>
          <cell r="C24983" t="str">
            <v>LPC INT VEN REAJ INDX PTV VAC -OTROS SUS4NC</v>
          </cell>
        </row>
        <row r="24984">
          <cell r="B24984" t="str">
            <v>51090100000321</v>
          </cell>
          <cell r="C24984" t="str">
            <v>LPC RJ INDX K PTV VAC VEN-OTROS SUSP (IN4NC</v>
          </cell>
        </row>
        <row r="24985">
          <cell r="B24985" t="str">
            <v>51090100000323</v>
          </cell>
          <cell r="C24985" t="str">
            <v>REAJ INDEX CAPITAL VENC PH MI VIVIEND   4NC</v>
          </cell>
        </row>
        <row r="24986">
          <cell r="B24986" t="str">
            <v>51090100000403</v>
          </cell>
          <cell r="C24986" t="str">
            <v>CHI INDX COM GT AD VIG MI VIVIEND       4NC</v>
          </cell>
        </row>
        <row r="24987">
          <cell r="B24987" t="str">
            <v>51090100000406</v>
          </cell>
          <cell r="C24987" t="str">
            <v>CHI INDEX COM G ADM MVV EMPLEADOS       4NC</v>
          </cell>
        </row>
        <row r="24988">
          <cell r="B24988" t="str">
            <v>51090100000413</v>
          </cell>
          <cell r="C24988" t="str">
            <v>CHI CAPITAL INDEX BT MI VIVIENDA        4NC</v>
          </cell>
        </row>
        <row r="24989">
          <cell r="B24989" t="str">
            <v>51090100000414</v>
          </cell>
          <cell r="C24989" t="str">
            <v>CHI INT INDEX VIG BT MI VIVIENDA        4NC</v>
          </cell>
        </row>
        <row r="24990">
          <cell r="B24990" t="str">
            <v>51090100000415</v>
          </cell>
          <cell r="C24990" t="str">
            <v>CHI INT INDEX VENC BT MI VIVIEND        4NC</v>
          </cell>
        </row>
        <row r="24991">
          <cell r="B24991" t="str">
            <v>51090100000416</v>
          </cell>
          <cell r="C24991" t="str">
            <v>CHI INDEX COM GAST ADM VIG BT MI VIVI   4NC</v>
          </cell>
        </row>
        <row r="24992">
          <cell r="B24992" t="str">
            <v>51090100000417</v>
          </cell>
          <cell r="C24992" t="str">
            <v>CHI INDEX COM GAST ADM VENC BT MIVIVI   4NC</v>
          </cell>
        </row>
        <row r="24993">
          <cell r="B24993" t="str">
            <v>51090100000423</v>
          </cell>
          <cell r="C24993" t="str">
            <v>HPC CAPIT INDX MI VIVIENDA              4NC</v>
          </cell>
        </row>
        <row r="24994">
          <cell r="B24994" t="str">
            <v>51090100000424</v>
          </cell>
          <cell r="C24994" t="str">
            <v>HPC INT INDX VIG MI VIVIENDA            4NC</v>
          </cell>
        </row>
        <row r="24995">
          <cell r="B24995" t="str">
            <v>51090100000425</v>
          </cell>
          <cell r="C24995" t="str">
            <v>HPC INT INDX VENC MI VIVIENDA           4NC</v>
          </cell>
        </row>
        <row r="24996">
          <cell r="B24996" t="str">
            <v>51090100000428</v>
          </cell>
          <cell r="C24996" t="str">
            <v>HPC COM GTO ADM  INDX VIG MIVIVI        4NC</v>
          </cell>
        </row>
        <row r="24997">
          <cell r="B24997" t="str">
            <v>51090100000429</v>
          </cell>
          <cell r="C24997" t="str">
            <v>HPC COM GTO ADM  INDX VENC MIVIVI       4NC</v>
          </cell>
        </row>
        <row r="24998">
          <cell r="B24998" t="str">
            <v>51090100000601</v>
          </cell>
          <cell r="C24998" t="str">
            <v>CAPITALIZAC INDEX DEPOSITO A PLAZO      4NC</v>
          </cell>
        </row>
        <row r="24999">
          <cell r="B24999" t="str">
            <v>51090100000602</v>
          </cell>
          <cell r="C24999" t="str">
            <v>REAJ.POR INDEX DEPOSITO A PLAZO         4NC</v>
          </cell>
        </row>
        <row r="25000">
          <cell r="B25000" t="str">
            <v>51090100000603</v>
          </cell>
          <cell r="C25000" t="str">
            <v>REAJ.POR INDEX DEPOSITO A PLAZO PJSL    4NC</v>
          </cell>
        </row>
        <row r="25001">
          <cell r="B25001" t="str">
            <v>51090300000101</v>
          </cell>
          <cell r="C25001" t="str">
            <v>INGRESO VENTA DE SUBSIDIARIA            4NC</v>
          </cell>
        </row>
        <row r="25002">
          <cell r="B25002" t="str">
            <v>51090300000208</v>
          </cell>
          <cell r="C25002" t="str">
            <v>COMPRAVTA BONOS SOBERANOS TRADING       4NC</v>
          </cell>
        </row>
        <row r="25003">
          <cell r="B25003" t="str">
            <v>51090300000402</v>
          </cell>
          <cell r="C25003" t="str">
            <v>COMPRAVENTA CDN BCRP AL DSCTO.          4NC</v>
          </cell>
        </row>
        <row r="25004">
          <cell r="B25004" t="str">
            <v>51090300000403</v>
          </cell>
          <cell r="C25004" t="str">
            <v>COMPVTA BONOS SOC.NO FINANCIERAS        4NC</v>
          </cell>
        </row>
        <row r="25005">
          <cell r="B25005" t="str">
            <v>51090300000408</v>
          </cell>
          <cell r="C25005" t="str">
            <v>COMPRAVENTA BONOS GLOBALES              4NC</v>
          </cell>
        </row>
        <row r="25006">
          <cell r="B25006" t="str">
            <v>51090300000411</v>
          </cell>
          <cell r="C25006" t="str">
            <v>COMPRVTA BONOS SOBERANOS PAIS           4NC</v>
          </cell>
        </row>
        <row r="25007">
          <cell r="B25007" t="str">
            <v>51090300000414</v>
          </cell>
          <cell r="C25007" t="str">
            <v>COMPRAVTA CDN SOC FINANCIERAS           4NC</v>
          </cell>
        </row>
        <row r="25008">
          <cell r="B25008" t="str">
            <v>51090300000415</v>
          </cell>
          <cell r="C25008" t="str">
            <v>COMPRAVTA BONOS SUBORDINADOS            4NC</v>
          </cell>
        </row>
        <row r="25009">
          <cell r="B25009" t="str">
            <v>51090300000418</v>
          </cell>
          <cell r="C25009" t="str">
            <v>VTA INV VENC. SOB                       4NC</v>
          </cell>
        </row>
        <row r="25010">
          <cell r="B25010" t="str">
            <v>51090400000101</v>
          </cell>
          <cell r="C25010" t="str">
            <v>VALORIZACION EMPRESAS SUBSIDIARIAS      4NC</v>
          </cell>
        </row>
        <row r="25011">
          <cell r="B25011" t="str">
            <v>51090400000102</v>
          </cell>
          <cell r="C25011" t="str">
            <v>VALORIZACION INTERFONDOS                4NC</v>
          </cell>
        </row>
        <row r="25012">
          <cell r="B25012" t="str">
            <v>51090400000103</v>
          </cell>
          <cell r="C25012" t="str">
            <v>VALORIZACION EMPRESAS ASOCIADAS         4NC</v>
          </cell>
        </row>
        <row r="25013">
          <cell r="B25013" t="str">
            <v>51090400000104</v>
          </cell>
          <cell r="C25013" t="str">
            <v>GANANCIA EN INVERSIONES OTRAS PARTICI   4NC</v>
          </cell>
        </row>
        <row r="25014">
          <cell r="B25014" t="str">
            <v>51090400000105</v>
          </cell>
          <cell r="C25014" t="str">
            <v>PAGOS DIGITALES PERUANOS                4NC</v>
          </cell>
        </row>
        <row r="25015">
          <cell r="B25015" t="str">
            <v>51090400000801</v>
          </cell>
          <cell r="C25015" t="str">
            <v>VALORIZACIÃ“N INVERSION PANAMA          4NC</v>
          </cell>
        </row>
        <row r="25016">
          <cell r="B25016" t="str">
            <v>51090400000901</v>
          </cell>
          <cell r="C25016" t="str">
            <v>VALORIZACION INVERSION OR BRASIL        4NC</v>
          </cell>
        </row>
        <row r="25017">
          <cell r="B25017" t="str">
            <v>51090800000101</v>
          </cell>
          <cell r="C25017" t="str">
            <v>ARREND FINANCIERO - OPCION DE CO        4NC</v>
          </cell>
        </row>
        <row r="25018">
          <cell r="B25018" t="str">
            <v>51091107050101</v>
          </cell>
          <cell r="C25018" t="str">
            <v>VALR CTAS DE PART FDO INV SIGMA         4NC</v>
          </cell>
        </row>
        <row r="25019">
          <cell r="B25019" t="str">
            <v>51091201010106</v>
          </cell>
          <cell r="C25019" t="str">
            <v>GANANCIA REALIZADA BONOS SOBERANOS TRADI4NC</v>
          </cell>
        </row>
        <row r="25020">
          <cell r="B25020" t="str">
            <v>51091201010107</v>
          </cell>
          <cell r="C25020" t="str">
            <v>GANANCIA REALIZADA BONOS GLOBALES PERU T4NC</v>
          </cell>
        </row>
        <row r="25021">
          <cell r="B25021" t="str">
            <v>51091201010108</v>
          </cell>
          <cell r="C25021" t="str">
            <v>GANANCIA REALIZADA BONOS GLOBALES PERU T4NC</v>
          </cell>
        </row>
        <row r="25022">
          <cell r="B25022" t="str">
            <v>51091201010109</v>
          </cell>
          <cell r="C25022" t="str">
            <v>GANANCIA REALIZADA BONOS SOBERANOS TRADI4NC</v>
          </cell>
        </row>
        <row r="25023">
          <cell r="B25023" t="str">
            <v>51091201010110</v>
          </cell>
          <cell r="C25023" t="str">
            <v>VALORIZACION B GLOB G INV TRD           4NC</v>
          </cell>
        </row>
        <row r="25024">
          <cell r="B25024" t="str">
            <v>51091201010111</v>
          </cell>
          <cell r="C25024" t="str">
            <v>GANANCIA REALIZADA US TREASURIES TRADING4NC</v>
          </cell>
        </row>
        <row r="25025">
          <cell r="B25025" t="str">
            <v>51091201010112</v>
          </cell>
          <cell r="C25025" t="str">
            <v>VALORIZACION BONOS SOBERANOS TRADING MES4NC</v>
          </cell>
        </row>
        <row r="25026">
          <cell r="B25026" t="str">
            <v>51091201010113</v>
          </cell>
          <cell r="C25026" t="str">
            <v>VALORIZACION BONOS SOBERANOS TRADING ESP4NC</v>
          </cell>
        </row>
        <row r="25027">
          <cell r="B25027" t="str">
            <v>51091201010114</v>
          </cell>
          <cell r="C25027" t="str">
            <v>VALORIZACION BONOS GLOBALES TRADING MESA4NC</v>
          </cell>
        </row>
        <row r="25028">
          <cell r="B25028" t="str">
            <v>51091201010115</v>
          </cell>
          <cell r="C25028" t="str">
            <v>GANANCIA REALIZADA US TREASURIES TRADING4NC</v>
          </cell>
        </row>
        <row r="25029">
          <cell r="B25029" t="str">
            <v>51091201010116</v>
          </cell>
          <cell r="C25029" t="str">
            <v>VALORIZACION BONOS GLOBALES TRAD ESP    4NC</v>
          </cell>
        </row>
        <row r="25030">
          <cell r="B25030" t="str">
            <v>51091201010117</v>
          </cell>
          <cell r="C25030" t="str">
            <v>VALORIZACION US TREASURIES TRADING ESP  4NC</v>
          </cell>
        </row>
        <row r="25031">
          <cell r="B25031" t="str">
            <v>51091201010118</v>
          </cell>
          <cell r="C25031" t="str">
            <v>GANANCIA REALIZADA US TREASURIES TRADING4NC</v>
          </cell>
        </row>
        <row r="25032">
          <cell r="B25032" t="str">
            <v>51091201010119</v>
          </cell>
          <cell r="C25032" t="str">
            <v>ING LIQ EXTEMPORANEA US TREASURIES      4NC</v>
          </cell>
        </row>
        <row r="25033">
          <cell r="B25033" t="str">
            <v>51091201010120</v>
          </cell>
          <cell r="C25033" t="str">
            <v>VALORIZ BONOS GOB COLOMBIA TRADING MESA 4NC</v>
          </cell>
        </row>
        <row r="25034">
          <cell r="B25034" t="str">
            <v>51091201010121</v>
          </cell>
          <cell r="C25034" t="str">
            <v>GAN BONOS GOB COLOMBIA TRADING MESA     4NC</v>
          </cell>
        </row>
        <row r="25035">
          <cell r="B25035" t="str">
            <v>51091201010122</v>
          </cell>
          <cell r="C25035" t="str">
            <v>VALORIZ BONOS GOB COLOMBIA TRADING ESP  4NC</v>
          </cell>
        </row>
        <row r="25036">
          <cell r="B25036" t="str">
            <v>51091201010123</v>
          </cell>
          <cell r="C25036" t="str">
            <v>GAN BONOS GOB COLOMBIA TRADING ESP      4NC</v>
          </cell>
        </row>
        <row r="25037">
          <cell r="B25037" t="str">
            <v>51091201010124</v>
          </cell>
          <cell r="C25037" t="str">
            <v>VALORIZ BONOS GOB MEXICO TRADING MESA   4NC</v>
          </cell>
        </row>
        <row r="25038">
          <cell r="B25038" t="str">
            <v>51091201010125</v>
          </cell>
          <cell r="C25038" t="str">
            <v>GAN BONOS GOB MEXICO TRADING MESA       4NC</v>
          </cell>
        </row>
        <row r="25039">
          <cell r="B25039" t="str">
            <v>51091201010126</v>
          </cell>
          <cell r="C25039" t="str">
            <v>VALORIZ BONOS GOB MEXICO TRADING ESP    4NC</v>
          </cell>
        </row>
        <row r="25040">
          <cell r="B25040" t="str">
            <v>51091201010127</v>
          </cell>
          <cell r="C25040" t="str">
            <v>GAN BONOS GOB MEXICO TRADING ESP        4NC</v>
          </cell>
        </row>
        <row r="25041">
          <cell r="B25041" t="str">
            <v>51091201010128</v>
          </cell>
          <cell r="C25041" t="str">
            <v>UTIL VALORIZ BONOS GLOB BRASIL TRADING M4NC</v>
          </cell>
        </row>
        <row r="25042">
          <cell r="B25042" t="str">
            <v>51091201010129</v>
          </cell>
          <cell r="C25042" t="str">
            <v>GANANCIA REALIZADA BONOS GLOBALES BRASIL4NC</v>
          </cell>
        </row>
        <row r="25043">
          <cell r="B25043" t="str">
            <v>51091201010130</v>
          </cell>
          <cell r="C25043" t="str">
            <v>UTIL VALORIZ GLOB COLOMBIA TRAD ESPECIAL4NC</v>
          </cell>
        </row>
        <row r="25044">
          <cell r="B25044" t="str">
            <v>51091201010131</v>
          </cell>
          <cell r="C25044" t="str">
            <v>UTIL REALIZADA GLOB COLOMBIA TRAD ESPECI4NC</v>
          </cell>
        </row>
        <row r="25045">
          <cell r="B25045" t="str">
            <v>51091201010132</v>
          </cell>
          <cell r="C25045" t="str">
            <v>UTIL VALORIZ GLOB COLOMBIA TRADING MESA 4NC</v>
          </cell>
        </row>
        <row r="25046">
          <cell r="B25046" t="str">
            <v>51091201010133</v>
          </cell>
          <cell r="C25046" t="str">
            <v>UTIL REALIZADA GLOB COLOMBIA TRADING MES4NC</v>
          </cell>
        </row>
        <row r="25047">
          <cell r="B25047" t="str">
            <v>51091201010134</v>
          </cell>
          <cell r="C25047" t="str">
            <v>UTIL VALORIZ GLOB MEXICO TRAD ESPECIAL  4NC</v>
          </cell>
        </row>
        <row r="25048">
          <cell r="B25048" t="str">
            <v>51091201010135</v>
          </cell>
          <cell r="C25048" t="str">
            <v>UTIL REALIZADA GLOB MEXICO TRAD ESPECIAL4NC</v>
          </cell>
        </row>
        <row r="25049">
          <cell r="B25049" t="str">
            <v>51091201010136</v>
          </cell>
          <cell r="C25049" t="str">
            <v>UTIL VALORIZ GLOB MEXICO TRADING MESA   4NC</v>
          </cell>
        </row>
        <row r="25050">
          <cell r="B25050" t="str">
            <v>51091201010137</v>
          </cell>
          <cell r="C25050" t="str">
            <v>UTIL REALIZADA GLOB MEXICO TRADING MESA 4NC</v>
          </cell>
        </row>
        <row r="25051">
          <cell r="B25051" t="str">
            <v>51091201010138</v>
          </cell>
          <cell r="C25051" t="str">
            <v>UTIL VALORIZ GLOB CHILE TRAD ESPECIAL   4NC</v>
          </cell>
        </row>
        <row r="25052">
          <cell r="B25052" t="str">
            <v>51091201010139</v>
          </cell>
          <cell r="C25052" t="str">
            <v>UTIL REALIZADA GLOB CHILE TRAD ESPECIAL 4NC</v>
          </cell>
        </row>
        <row r="25053">
          <cell r="B25053" t="str">
            <v>51091201010140</v>
          </cell>
          <cell r="C25053" t="str">
            <v>UTIL VALORIZ GLOB CHILE TRADING MESA    4NC</v>
          </cell>
        </row>
        <row r="25054">
          <cell r="B25054" t="str">
            <v>51091201010141</v>
          </cell>
          <cell r="C25054" t="str">
            <v>UTIL REALIZADA GLOB CHILE TRADING MESA  4NC</v>
          </cell>
        </row>
        <row r="25055">
          <cell r="B25055" t="str">
            <v>51091201010142</v>
          </cell>
          <cell r="C25055" t="str">
            <v>UTIL VAL BONOS SOBERANOS TR  PLUS       4NC</v>
          </cell>
        </row>
        <row r="25056">
          <cell r="B25056" t="str">
            <v>51091201010143</v>
          </cell>
          <cell r="C25056" t="str">
            <v>UTIL VTA BONOS SOBERANOS TRADING PLUS   4NC</v>
          </cell>
        </row>
        <row r="25057">
          <cell r="B25057" t="str">
            <v>51091201010144</v>
          </cell>
          <cell r="C25057" t="str">
            <v>UTIL VAL BONOS GLOBALES TRAD PLUS       4NC</v>
          </cell>
        </row>
        <row r="25058">
          <cell r="B25058" t="str">
            <v>51091201010145</v>
          </cell>
          <cell r="C25058" t="str">
            <v>UTIL VTA BONOS GLOBALES TRADING PLUS    4NC</v>
          </cell>
        </row>
        <row r="25059">
          <cell r="B25059" t="str">
            <v>51091201090101</v>
          </cell>
          <cell r="C25059" t="str">
            <v>UTIL VAL US TREASURIES TRADING PLUS     4NC</v>
          </cell>
        </row>
        <row r="25060">
          <cell r="B25060" t="str">
            <v>51091201090102</v>
          </cell>
          <cell r="C25060" t="str">
            <v>UTIL VTA US TREASURIES TRADING PLUS     4NC</v>
          </cell>
        </row>
        <row r="25061">
          <cell r="B25061" t="str">
            <v>51091202000101</v>
          </cell>
          <cell r="C25061" t="str">
            <v>VALORIZ CDBCRP TRADING ESP              4NC</v>
          </cell>
        </row>
        <row r="25062">
          <cell r="B25062" t="str">
            <v>51091202000201</v>
          </cell>
          <cell r="C25062" t="str">
            <v>GANANCIA REALIZADA CDBCRP TRADING ESPECI4NC</v>
          </cell>
        </row>
        <row r="25063">
          <cell r="B25063" t="str">
            <v>51091202000202</v>
          </cell>
          <cell r="C25063" t="str">
            <v>MDC  UTIL VALORIZACION CDR TRADING ESP  4NC</v>
          </cell>
        </row>
        <row r="25064">
          <cell r="B25064" t="str">
            <v>51091202000203</v>
          </cell>
          <cell r="C25064" t="str">
            <v>MDC  UTIL REALIZADA CDR TRADING ESP  BCR4NC</v>
          </cell>
        </row>
        <row r="25065">
          <cell r="B25065" t="str">
            <v>51091203000101</v>
          </cell>
          <cell r="C25065" t="str">
            <v>UTIL VALORIZ BONOS COFIDE TRD ESP       4NC</v>
          </cell>
        </row>
        <row r="25066">
          <cell r="B25066" t="str">
            <v>51091203000102</v>
          </cell>
          <cell r="C25066" t="str">
            <v>UTIL REALIZADA BONOS COFIDE TRD ESP     4NC</v>
          </cell>
        </row>
        <row r="25067">
          <cell r="B25067" t="str">
            <v>51091205080101</v>
          </cell>
          <cell r="C25067" t="str">
            <v>VALORIZ BONOS CORP EMP FIN TRADING ESP  4NC</v>
          </cell>
        </row>
        <row r="25068">
          <cell r="B25068" t="str">
            <v>51091205080102</v>
          </cell>
          <cell r="C25068" t="str">
            <v>GANANCIA REALIZADA BONOS CORP EMP FIN TR4NC</v>
          </cell>
        </row>
        <row r="25069">
          <cell r="B25069" t="str">
            <v>51091205080103</v>
          </cell>
          <cell r="C25069" t="str">
            <v>VALORIZ BONOS CORP EMP FIN TRADING MESA 4NC</v>
          </cell>
        </row>
        <row r="25070">
          <cell r="B25070" t="str">
            <v>51091205080104</v>
          </cell>
          <cell r="C25070" t="str">
            <v>GAN BONOS CORP EMP FIN TRADING MESA     4NC</v>
          </cell>
        </row>
        <row r="25071">
          <cell r="B25071" t="str">
            <v>51091205080105</v>
          </cell>
          <cell r="C25071" t="str">
            <v>VALORIZ BONOS CORP SIST FIN COLOMBIA TRA4NC</v>
          </cell>
        </row>
        <row r="25072">
          <cell r="B25072" t="str">
            <v>51091205080106</v>
          </cell>
          <cell r="C25072" t="str">
            <v>GAN BONOS CORP SIST FIN COLOMBIA TRADING4NC</v>
          </cell>
        </row>
        <row r="25073">
          <cell r="B25073" t="str">
            <v>51091205080107</v>
          </cell>
          <cell r="C25073" t="str">
            <v>VALORIZ BONOS CORP SIST FIN COLOMBIA TRA4NC</v>
          </cell>
        </row>
        <row r="25074">
          <cell r="B25074" t="str">
            <v>51091205080108</v>
          </cell>
          <cell r="C25074" t="str">
            <v>GAN BONOS CORP SIST FIN COLOMBIA TRADING4NC</v>
          </cell>
        </row>
        <row r="25075">
          <cell r="B25075" t="str">
            <v>51091205080201</v>
          </cell>
          <cell r="C25075" t="str">
            <v>UTIL VALORIZ CORP EMP FIN TRADING MESA  4NC</v>
          </cell>
        </row>
        <row r="25076">
          <cell r="B25076" t="str">
            <v>51091205080301</v>
          </cell>
          <cell r="C25076" t="str">
            <v>GANANCIA REALIZADA BONOS CORP EMP FIN TR4NC</v>
          </cell>
        </row>
        <row r="25077">
          <cell r="B25077" t="str">
            <v>51091205080302</v>
          </cell>
          <cell r="C25077" t="str">
            <v>UTIL VAL BONOS CORP EMP FIN TRAD PLUS   4NC</v>
          </cell>
        </row>
        <row r="25078">
          <cell r="B25078" t="str">
            <v>51091205080303</v>
          </cell>
          <cell r="C25078" t="str">
            <v>GAN BONOS CORP EMP FIN TRAD PLUS        4NC</v>
          </cell>
        </row>
        <row r="25079">
          <cell r="B25079" t="str">
            <v>51091207080102</v>
          </cell>
          <cell r="C25079" t="str">
            <v>VALORIZACION BONOS CORP EMP NO FIN TRADI4NC</v>
          </cell>
        </row>
        <row r="25080">
          <cell r="B25080" t="str">
            <v>51091207080103</v>
          </cell>
          <cell r="C25080" t="str">
            <v>GANANCIA REALIZADA BONOS CORP EMP NO FIN4NC</v>
          </cell>
        </row>
        <row r="25081">
          <cell r="B25081" t="str">
            <v>51091207080104</v>
          </cell>
          <cell r="C25081" t="str">
            <v>UTIL VALORIZ BONOS ORD SOC NO FIN TRADIN4NC</v>
          </cell>
        </row>
        <row r="25082">
          <cell r="B25082" t="str">
            <v>51091207080105</v>
          </cell>
          <cell r="C25082" t="str">
            <v>GANANCIA REALIZADA BONOS CORP EMP NO FIN4NC</v>
          </cell>
        </row>
        <row r="25083">
          <cell r="B25083" t="str">
            <v>51091207080106</v>
          </cell>
          <cell r="C25083" t="str">
            <v>FLUCT B CORP SOC NO FIN TRAD PLUS       4NC</v>
          </cell>
        </row>
        <row r="25084">
          <cell r="B25084" t="str">
            <v>51091207080107</v>
          </cell>
          <cell r="C25084" t="str">
            <v>GAN BONOS CORP SOC NO FIN TRAD PLUS     4NC</v>
          </cell>
        </row>
        <row r="25085">
          <cell r="B25085" t="str">
            <v>51091301010106</v>
          </cell>
          <cell r="C25085" t="str">
            <v>DSCTO-BONOS SOBERANOS                   4NC</v>
          </cell>
        </row>
        <row r="25086">
          <cell r="B25086" t="str">
            <v>51091301010107</v>
          </cell>
          <cell r="C25086" t="str">
            <v>DSCTO-BONOS GLOBALES DISPONIBLES        4NC</v>
          </cell>
        </row>
        <row r="25087">
          <cell r="B25087" t="str">
            <v>51091301010108</v>
          </cell>
          <cell r="C25087" t="str">
            <v>DESCTO.FINANC.CD BCRP NR AL DESCUENTO   4NC</v>
          </cell>
        </row>
        <row r="25088">
          <cell r="B25088" t="str">
            <v>51091302000102</v>
          </cell>
          <cell r="C25088" t="str">
            <v>DESCTO.FINANC.CDN BCRP AL DESCUENTO     4NC</v>
          </cell>
        </row>
        <row r="25089">
          <cell r="B25089" t="str">
            <v>51091305010101</v>
          </cell>
          <cell r="C25089" t="str">
            <v>VALORIZ ACC COM SIST FINANCIERO         4NC</v>
          </cell>
        </row>
        <row r="25090">
          <cell r="B25090" t="str">
            <v>51091305030101</v>
          </cell>
          <cell r="C25090" t="str">
            <v>DESCTO FINANC CDN EMP FINANCIERAS       4NC</v>
          </cell>
        </row>
        <row r="25091">
          <cell r="B25091" t="str">
            <v>51091305060101</v>
          </cell>
          <cell r="C25091" t="str">
            <v>DSCTO-BONOS HIPOTECARIOS                4NC</v>
          </cell>
        </row>
        <row r="25092">
          <cell r="B25092" t="str">
            <v>51091305070101</v>
          </cell>
          <cell r="C25092" t="str">
            <v>DSCTO-BONOS DE ARRENDAMIENTO FINANCIE   4NC</v>
          </cell>
        </row>
        <row r="25093">
          <cell r="B25093" t="str">
            <v>51091305080101</v>
          </cell>
          <cell r="C25093" t="str">
            <v>DSCTO-BONOS ORDINARIOS SOCIEDADES FIN   4NC</v>
          </cell>
        </row>
        <row r="25094">
          <cell r="B25094" t="str">
            <v>51091305100101</v>
          </cell>
          <cell r="C25094" t="str">
            <v>DESCUENTO-BONOS SUBORDINADOS            4NC</v>
          </cell>
        </row>
        <row r="25095">
          <cell r="B25095" t="str">
            <v>51091305190101</v>
          </cell>
          <cell r="C25095" t="str">
            <v>DESCUENTO BONOS TITULIZADOS             4NC</v>
          </cell>
        </row>
        <row r="25096">
          <cell r="B25096" t="str">
            <v>51091306010101</v>
          </cell>
          <cell r="C25096" t="str">
            <v>GANANCIA REALIZADA ACC COMUNES EMP DE SE4NC</v>
          </cell>
        </row>
        <row r="25097">
          <cell r="B25097" t="str">
            <v>51091307010101</v>
          </cell>
          <cell r="C25097" t="str">
            <v>GANANCIA REALIZADA ACC COMUNES OTRAS EMP4NC</v>
          </cell>
        </row>
        <row r="25098">
          <cell r="B25098" t="str">
            <v>51091307020101</v>
          </cell>
          <cell r="C25098" t="str">
            <v>VALORIZ ACC DE INV SOC.NO FINANCIERAS   4NC</v>
          </cell>
        </row>
        <row r="25099">
          <cell r="B25099" t="str">
            <v>51091307050101</v>
          </cell>
          <cell r="C25099" t="str">
            <v>UTIL REALIZADA FONDOS MUTUOS DPV ESP    4NC</v>
          </cell>
        </row>
        <row r="25100">
          <cell r="B25100" t="str">
            <v>51091307050102</v>
          </cell>
          <cell r="C25100" t="str">
            <v>GANANCIA REALIZADA FFMM ESTRATEGICO     4NC</v>
          </cell>
        </row>
        <row r="25101">
          <cell r="B25101" t="str">
            <v>51091307080101</v>
          </cell>
          <cell r="C25101" t="str">
            <v>DESCTO.FINANC.BONOS ORD.- SOC.NO FINANCI4NC</v>
          </cell>
        </row>
        <row r="25102">
          <cell r="B25102" t="str">
            <v>51091309010101</v>
          </cell>
          <cell r="C25102" t="str">
            <v>GANANCIA REALIZADA DPV HOLDING          4NC</v>
          </cell>
        </row>
        <row r="25103">
          <cell r="B25103" t="str">
            <v>51091309010102</v>
          </cell>
          <cell r="C25103" t="str">
            <v>GAN CAPITAL ACC COM HOLDING ESTRATEGICO 4NC</v>
          </cell>
        </row>
        <row r="25104">
          <cell r="B25104" t="str">
            <v>51091309190101</v>
          </cell>
          <cell r="C25104" t="str">
            <v>GANANCIA REALIZADA FFMM HOLDING         4NC</v>
          </cell>
        </row>
        <row r="25105">
          <cell r="B25105" t="str">
            <v>51091310000101</v>
          </cell>
          <cell r="C25105" t="str">
            <v>DSCTO CDN BCRP-OPERAC.REPORTE           4NC</v>
          </cell>
        </row>
        <row r="25106">
          <cell r="B25106" t="str">
            <v>51091310000102</v>
          </cell>
          <cell r="C25106" t="str">
            <v>DSCTO CD BCRP NR OPERAC.REPORTE         4NC</v>
          </cell>
        </row>
        <row r="25107">
          <cell r="B25107" t="str">
            <v>51091319000101</v>
          </cell>
          <cell r="C25107" t="str">
            <v>GANANCIA REALIZADA ETF DPV MESA         4NC</v>
          </cell>
        </row>
        <row r="25108">
          <cell r="B25108" t="str">
            <v>51091401010101</v>
          </cell>
          <cell r="C25108" t="str">
            <v>GANANCIA REALIZADA BONOS SOBERANOS DPV M4NC</v>
          </cell>
        </row>
        <row r="25109">
          <cell r="B25109" t="str">
            <v>51091401010102</v>
          </cell>
          <cell r="C25109" t="str">
            <v>GANANCIA REALIZADA BONOS GLOBALES PERU D4NC</v>
          </cell>
        </row>
        <row r="25110">
          <cell r="B25110" t="str">
            <v>51091401010103</v>
          </cell>
          <cell r="C25110" t="str">
            <v>GANANCIA REALIZADA DPV CD BCRP NR AL DES4NC</v>
          </cell>
        </row>
        <row r="25111">
          <cell r="B25111" t="str">
            <v>51091401010104</v>
          </cell>
          <cell r="C25111" t="str">
            <v>GANANCIA REALIZADA BONOS GLOBALES BRASIL4NC</v>
          </cell>
        </row>
        <row r="25112">
          <cell r="B25112" t="str">
            <v>51091401010105</v>
          </cell>
          <cell r="C25112" t="str">
            <v>GANANCIA REALIZADA BONOS SOBERANOS DPV E4NC</v>
          </cell>
        </row>
        <row r="25113">
          <cell r="B25113" t="str">
            <v>51091401010106</v>
          </cell>
          <cell r="C25113" t="str">
            <v>GANANCIA REALIZADA BONOS GLOBALES BRASIL4NC</v>
          </cell>
        </row>
        <row r="25114">
          <cell r="B25114" t="str">
            <v>51091401010107</v>
          </cell>
          <cell r="C25114" t="str">
            <v>GANANCIA REALIZADA BONOS GLOBALES DPV ES4NC</v>
          </cell>
        </row>
        <row r="25115">
          <cell r="B25115" t="str">
            <v>51091401010108</v>
          </cell>
          <cell r="C25115" t="str">
            <v>GANANCIA REALIZADA US TREASURIES DPV MES4NC</v>
          </cell>
        </row>
        <row r="25116">
          <cell r="B25116" t="str">
            <v>51091401010109</v>
          </cell>
          <cell r="C25116" t="str">
            <v>GANANCIA REALIZADA BONOS GLOBALES PERU D4NC</v>
          </cell>
        </row>
        <row r="25117">
          <cell r="B25117" t="str">
            <v>51091401010110</v>
          </cell>
          <cell r="C25117" t="str">
            <v>GANANCIA REALIZADA BONOS SOBERANOS DPV E4NC</v>
          </cell>
        </row>
        <row r="25118">
          <cell r="B25118" t="str">
            <v>51091401010111</v>
          </cell>
          <cell r="C25118" t="str">
            <v>GANANCIA REALIZADA BONOS GLOBALES BRASIL4NC</v>
          </cell>
        </row>
        <row r="25119">
          <cell r="B25119" t="str">
            <v>51091401010112</v>
          </cell>
          <cell r="C25119" t="str">
            <v>GANANCIA REALIZADA US TREASURIES DPV ESP4NC</v>
          </cell>
        </row>
        <row r="25120">
          <cell r="B25120" t="str">
            <v>51091401010113</v>
          </cell>
          <cell r="C25120" t="str">
            <v>GANANCIA REALIZADA US TREASURIES DPV EST4NC</v>
          </cell>
        </row>
        <row r="25121">
          <cell r="B25121" t="str">
            <v>51091401010114</v>
          </cell>
          <cell r="C25121" t="str">
            <v>GAN BONOS GOB COLOMBIA DPV MESA         4NC</v>
          </cell>
        </row>
        <row r="25122">
          <cell r="B25122" t="str">
            <v>51091401010115</v>
          </cell>
          <cell r="C25122" t="str">
            <v>GAN BONOS GOB COLOMBIA DPV EST          4NC</v>
          </cell>
        </row>
        <row r="25123">
          <cell r="B25123" t="str">
            <v>51091401010116</v>
          </cell>
          <cell r="C25123" t="str">
            <v>GAN BONOS GOB MEXICO DPV MESA           4NC</v>
          </cell>
        </row>
        <row r="25124">
          <cell r="B25124" t="str">
            <v>51091401010117</v>
          </cell>
          <cell r="C25124" t="str">
            <v>GAN BONOS GOB MEXICO DPV EST            4NC</v>
          </cell>
        </row>
        <row r="25125">
          <cell r="B25125" t="str">
            <v>51091401010118</v>
          </cell>
          <cell r="C25125" t="str">
            <v>UTIL BONOS SOBERANOS CARTERA RESTRINGIDA4NC</v>
          </cell>
        </row>
        <row r="25126">
          <cell r="B25126" t="str">
            <v>51091401010119</v>
          </cell>
          <cell r="C25126" t="str">
            <v>UTIL REALIZADA GLOB COLOMBIA DISPO VENTA4NC</v>
          </cell>
        </row>
        <row r="25127">
          <cell r="B25127" t="str">
            <v>51091401010120</v>
          </cell>
          <cell r="C25127" t="str">
            <v>UTIL REALIZADA GLOB COLOMBIA DPV ESPECIA4NC</v>
          </cell>
        </row>
        <row r="25128">
          <cell r="B25128" t="str">
            <v>51091401010121</v>
          </cell>
          <cell r="C25128" t="str">
            <v>UTIL REALIZADA GLOB COLOMBIA DPV ESTRATE4NC</v>
          </cell>
        </row>
        <row r="25129">
          <cell r="B25129" t="str">
            <v>51091401010122</v>
          </cell>
          <cell r="C25129" t="str">
            <v>UTIL REALIZADA GLOB MEXICO DISPO VENTA  4NC</v>
          </cell>
        </row>
        <row r="25130">
          <cell r="B25130" t="str">
            <v>51091401010123</v>
          </cell>
          <cell r="C25130" t="str">
            <v>UTIL REALIZADA GLOB MEXICO DPV ESPECIAL 4NC</v>
          </cell>
        </row>
        <row r="25131">
          <cell r="B25131" t="str">
            <v>51091401010124</v>
          </cell>
          <cell r="C25131" t="str">
            <v>UTIL REALIZADA GLOB MEXICO DPV ESTRATEGI4NC</v>
          </cell>
        </row>
        <row r="25132">
          <cell r="B25132" t="str">
            <v>51091401010125</v>
          </cell>
          <cell r="C25132" t="str">
            <v>UTIL REALIZADA GLOB CHILE DISPO VENTA   4NC</v>
          </cell>
        </row>
        <row r="25133">
          <cell r="B25133" t="str">
            <v>51091401010126</v>
          </cell>
          <cell r="C25133" t="str">
            <v>UTIL REALIZADA GLOB CHILE DPV ESPECIAL  4NC</v>
          </cell>
        </row>
        <row r="25134">
          <cell r="B25134" t="str">
            <v>51091401010127</v>
          </cell>
          <cell r="C25134" t="str">
            <v>UTIL REALIZADA GLOB CHILE DPV ESTRATEGIC4NC</v>
          </cell>
        </row>
        <row r="25135">
          <cell r="B25135" t="str">
            <v>51091401010128</v>
          </cell>
          <cell r="C25135" t="str">
            <v>UTIL REALIZADA BONOS SOB ALM DPV ESTRATE4NC</v>
          </cell>
        </row>
        <row r="25136">
          <cell r="B25136" t="str">
            <v>51091401010129</v>
          </cell>
          <cell r="C25136" t="str">
            <v>UTIL REALIZADA BONOS TESORO US ALM DPV E4NC</v>
          </cell>
        </row>
        <row r="25137">
          <cell r="B25137" t="str">
            <v>51091401010130</v>
          </cell>
          <cell r="C25137" t="str">
            <v>UTIL REALIZADA BONOS GLOB PERU ALM DPV E4NC</v>
          </cell>
        </row>
        <row r="25138">
          <cell r="B25138" t="str">
            <v>51091401010131</v>
          </cell>
          <cell r="C25138" t="str">
            <v>UTIL REALIZADA GLOB COLOMBIA ALM DPV EST4NC</v>
          </cell>
        </row>
        <row r="25139">
          <cell r="B25139" t="str">
            <v>51091401010132</v>
          </cell>
          <cell r="C25139" t="str">
            <v>UTIL REALIZADA GLOB MEXICO ALM DPV ESTRA4NC</v>
          </cell>
        </row>
        <row r="25140">
          <cell r="B25140" t="str">
            <v>51091401010133</v>
          </cell>
          <cell r="C25140" t="str">
            <v>UTIL REALIZADA GLOB CHILE ALM DPV ESTRAT4NC</v>
          </cell>
        </row>
        <row r="25141">
          <cell r="B25141" t="str">
            <v>51091401010134</v>
          </cell>
          <cell r="C25141" t="str">
            <v>UTIL REALIZADA GLOB BRASIL ALM DPV ESTRA4NC</v>
          </cell>
        </row>
        <row r="25142">
          <cell r="B25142" t="str">
            <v>51091401010135</v>
          </cell>
          <cell r="C25142" t="str">
            <v>UTIL REALIZADA GLOB COLOMBIA IB-RESTRING4NC</v>
          </cell>
        </row>
        <row r="25143">
          <cell r="B25143" t="str">
            <v>51091401010136</v>
          </cell>
          <cell r="C25143" t="str">
            <v>UTILIDADÂ  LETRAS MEF ALM ESTRAT        4NC</v>
          </cell>
        </row>
        <row r="25144">
          <cell r="B25144" t="str">
            <v>51091401010137</v>
          </cell>
          <cell r="C25144" t="str">
            <v>VALORIZ UTILIDAD DPV GLOBALES DPV PLUS  4NC</v>
          </cell>
        </row>
        <row r="25145">
          <cell r="B25145" t="str">
            <v>51091401010138</v>
          </cell>
          <cell r="C25145" t="str">
            <v>GANANCIA REALIZADA BONOS SOBERANOS DPV P4NC</v>
          </cell>
        </row>
        <row r="25146">
          <cell r="B25146" t="str">
            <v>51091401010139</v>
          </cell>
          <cell r="C25146" t="str">
            <v>VALORIZ UTILIDAD BONOS DEL TESORO USA DV4NC</v>
          </cell>
        </row>
        <row r="25147">
          <cell r="B25147" t="str">
            <v>51091401010201</v>
          </cell>
          <cell r="C25147" t="str">
            <v>ING EXTRAORDINARIOS TREASURY FAIL CHARGE4NC</v>
          </cell>
        </row>
        <row r="25148">
          <cell r="B25148" t="str">
            <v>51091401010202</v>
          </cell>
          <cell r="C25148" t="str">
            <v>UTIL REALIZADA BONOS SOB DPV BANKING BOO4NC</v>
          </cell>
        </row>
        <row r="25149">
          <cell r="B25149" t="str">
            <v>51091401010203</v>
          </cell>
          <cell r="C25149" t="str">
            <v>MDC UTILIDADÂ  LETRAS GLOBALES DPV ESPEC4NC</v>
          </cell>
        </row>
        <row r="25150">
          <cell r="B25150" t="str">
            <v>51091401010204</v>
          </cell>
          <cell r="C25150" t="str">
            <v>ING  TREASURIES CSDR                    4NC</v>
          </cell>
        </row>
        <row r="25151">
          <cell r="B25151" t="str">
            <v>51091401090101</v>
          </cell>
          <cell r="C25151" t="str">
            <v>GANANCIA REALIZADA B FOPE Y RFA DISP VTA4NC</v>
          </cell>
        </row>
        <row r="25152">
          <cell r="B25152" t="str">
            <v>51091402000101</v>
          </cell>
          <cell r="C25152" t="str">
            <v>GANANCIA REALIZADA CDBCRP DPV MESA      4NC</v>
          </cell>
        </row>
        <row r="25153">
          <cell r="B25153" t="str">
            <v>51091402000102</v>
          </cell>
          <cell r="C25153" t="str">
            <v>CERTIFICADO DEP TASA VAR GANANCIA EN VEN4NC</v>
          </cell>
        </row>
        <row r="25154">
          <cell r="B25154" t="str">
            <v>51091402000103</v>
          </cell>
          <cell r="C25154" t="str">
            <v>GAN CDBCRP DPV ESP                      4NC</v>
          </cell>
        </row>
        <row r="25155">
          <cell r="B25155" t="str">
            <v>51091402000104</v>
          </cell>
          <cell r="C25155" t="str">
            <v>UTIL REALIZADA CDBCRP ALM DPV ESTRATEGIC4NC</v>
          </cell>
        </row>
        <row r="25156">
          <cell r="B25156" t="str">
            <v>51091402000105</v>
          </cell>
          <cell r="C25156" t="str">
            <v>UTIL CDLDALMESTRATEGICO                 4NC</v>
          </cell>
        </row>
        <row r="25157">
          <cell r="B25157" t="str">
            <v>51091402000106</v>
          </cell>
          <cell r="C25157" t="str">
            <v>UTIL CDBCRP DPVESTRAT                   4NC</v>
          </cell>
        </row>
        <row r="25158">
          <cell r="B25158" t="str">
            <v>51091402000107</v>
          </cell>
          <cell r="C25158" t="str">
            <v>UTIL VTA CD ION ALM EST                 4 C</v>
          </cell>
        </row>
        <row r="25159">
          <cell r="B25159" t="str">
            <v>51091402000108</v>
          </cell>
          <cell r="C25159" t="str">
            <v>UTIL VAL CERTIFICADOS DEPÃ“SITO TASA VAR4NC</v>
          </cell>
        </row>
        <row r="25160">
          <cell r="B25160" t="str">
            <v>51091402000109</v>
          </cell>
          <cell r="C25160" t="str">
            <v>PERD VAL CERTIFICADOS DEPÃ“SITO         4NC</v>
          </cell>
        </row>
        <row r="25161">
          <cell r="B25161" t="str">
            <v>51091402000110</v>
          </cell>
          <cell r="C25161" t="str">
            <v>MDC  UTIL REALIZADA CDR ALM ESTRAT  BCRP4NC</v>
          </cell>
        </row>
        <row r="25162">
          <cell r="B25162" t="str">
            <v>51091402000111</v>
          </cell>
          <cell r="C25162" t="str">
            <v>MDC UTIL REALIZADA CDBCRP TRADING MESA  4NC</v>
          </cell>
        </row>
        <row r="25163">
          <cell r="B25163" t="str">
            <v>51091403000101</v>
          </cell>
          <cell r="C25163" t="str">
            <v>GANANCIA REALIZADA BONOS ORG FINANCIEROS4NC</v>
          </cell>
        </row>
        <row r="25164">
          <cell r="B25164" t="str">
            <v>51091403000102</v>
          </cell>
          <cell r="C25164" t="str">
            <v>GAN REALIZADA BONOS CAF                 4NC</v>
          </cell>
        </row>
        <row r="25165">
          <cell r="B25165" t="str">
            <v>51091403000103</v>
          </cell>
          <cell r="C25165" t="str">
            <v>GANANCIA REALIZADA BONOS COFIDE DPV EPEC4NC</v>
          </cell>
        </row>
        <row r="25166">
          <cell r="B25166" t="str">
            <v>51091403000104</v>
          </cell>
          <cell r="C25166" t="str">
            <v>GANANCIA REALIZADA BONOS COFIDE DPV ESTR4NC</v>
          </cell>
        </row>
        <row r="25167">
          <cell r="B25167" t="str">
            <v>51091403000105</v>
          </cell>
          <cell r="C25167" t="str">
            <v>UTIL CERTIFICADO DE DEPOSITO A VCTO     4NC</v>
          </cell>
        </row>
        <row r="25168">
          <cell r="B25168" t="str">
            <v>51091403000106</v>
          </cell>
          <cell r="C25168" t="str">
            <v>UTIL VTA CD YANKEE DIS VENTA            4NC</v>
          </cell>
        </row>
        <row r="25169">
          <cell r="B25169" t="str">
            <v>51091405040101</v>
          </cell>
          <cell r="C25169" t="str">
            <v>VALORZ DPV CD NEGOCIABLES SOC FINAN     4NC</v>
          </cell>
        </row>
        <row r="25170">
          <cell r="B25170" t="str">
            <v>51091405060101</v>
          </cell>
          <cell r="C25170" t="str">
            <v>VALORZ DPV B HIPOTECARIOS SOC FINAN     4NC</v>
          </cell>
        </row>
        <row r="25171">
          <cell r="B25171" t="str">
            <v>51091405070101</v>
          </cell>
          <cell r="C25171" t="str">
            <v>VALORZ DPV -B ARRENDAMIENTO FINANCIE    4NC</v>
          </cell>
        </row>
        <row r="25172">
          <cell r="B25172" t="str">
            <v>51091405080101</v>
          </cell>
          <cell r="C25172" t="str">
            <v>GANANCIA REALIZADA BONOS CORP EMP FIN DP4NC</v>
          </cell>
        </row>
        <row r="25173">
          <cell r="B25173" t="str">
            <v>51091405080102</v>
          </cell>
          <cell r="C25173" t="str">
            <v>GANANCIA REALIZADA BONOS CORP EMP FIN DP4NC</v>
          </cell>
        </row>
        <row r="25174">
          <cell r="B25174" t="str">
            <v>51091405080103</v>
          </cell>
          <cell r="C25174" t="str">
            <v>GANANCIA REALIZADA BONOS CORP EMP FIN DP4NC</v>
          </cell>
        </row>
        <row r="25175">
          <cell r="B25175" t="str">
            <v>51091405080104</v>
          </cell>
          <cell r="C25175" t="str">
            <v>GAN BONOS CORP SIST FIN COLOMBIA DPV MES4NC</v>
          </cell>
        </row>
        <row r="25176">
          <cell r="B25176" t="str">
            <v>51091405080105</v>
          </cell>
          <cell r="C25176" t="str">
            <v>GAN BONOS CORP SIST FIN COLOMBIA DPV EST4NC</v>
          </cell>
        </row>
        <row r="25177">
          <cell r="B25177" t="str">
            <v>51091405080106</v>
          </cell>
          <cell r="C25177" t="str">
            <v>GAN BONOS CORP SIST FIN ALM EST         4NC</v>
          </cell>
        </row>
        <row r="25178">
          <cell r="B25178" t="str">
            <v>51091405080107</v>
          </cell>
          <cell r="C25178" t="str">
            <v>GAN REALIZ CORP EMP FIN DPLUS           4NC</v>
          </cell>
        </row>
        <row r="25179">
          <cell r="B25179" t="str">
            <v>51091405100101</v>
          </cell>
          <cell r="C25179" t="str">
            <v>GANANCIA REALIZADA BONOS SUBORDIN EMP FI4NC</v>
          </cell>
        </row>
        <row r="25180">
          <cell r="B25180" t="str">
            <v>51091405100102</v>
          </cell>
          <cell r="C25180" t="str">
            <v>VALORIZ GAN BONO SUBORDINADO DPV FINANZA4NC</v>
          </cell>
        </row>
        <row r="25181">
          <cell r="B25181" t="str">
            <v>51091405190101</v>
          </cell>
          <cell r="C25181" t="str">
            <v>GANANCIA REALIZADA BONOS TITULIZADOS EMP4NC</v>
          </cell>
        </row>
        <row r="25182">
          <cell r="B25182" t="str">
            <v>51091405190102</v>
          </cell>
          <cell r="C25182" t="str">
            <v>UTIL REALIZADA BONOS TITUL SOC FIN DPV E4NC</v>
          </cell>
        </row>
        <row r="25183">
          <cell r="B25183" t="str">
            <v>51091405190104</v>
          </cell>
          <cell r="C25183" t="str">
            <v>MDC UTIL VTA CD NEGOC ALM EST           4NC</v>
          </cell>
        </row>
        <row r="25184">
          <cell r="B25184" t="str">
            <v>51091407080101</v>
          </cell>
          <cell r="C25184" t="str">
            <v>GANANCIA REALIZADA BONOS CORP EMP NO FIN4NC</v>
          </cell>
        </row>
        <row r="25185">
          <cell r="B25185" t="str">
            <v>51091407080102</v>
          </cell>
          <cell r="C25185" t="str">
            <v>GANANCIA REALIZADA BONOS CORP EMP NO FIN4NC</v>
          </cell>
        </row>
        <row r="25186">
          <cell r="B25186" t="str">
            <v>51091407080104</v>
          </cell>
          <cell r="C25186" t="str">
            <v>GANANCIA REALIZADA BONOS CORP EMP NO FIN4NC</v>
          </cell>
        </row>
        <row r="25187">
          <cell r="B25187" t="str">
            <v>51091407080105</v>
          </cell>
          <cell r="C25187" t="str">
            <v>GAN BONOS CORP ORD ALM EST              4NC</v>
          </cell>
        </row>
        <row r="25188">
          <cell r="B25188" t="str">
            <v>51091407080106</v>
          </cell>
          <cell r="C25188" t="str">
            <v>GAN REALIZ CORP SOC.NO FINANCIERAS DPL  4NC</v>
          </cell>
        </row>
        <row r="25189">
          <cell r="B25189" t="str">
            <v>51091410020101</v>
          </cell>
          <cell r="C25189" t="str">
            <v>VALORZ DPV CDN BCRP - OPERAC.REPORTE    4NC</v>
          </cell>
        </row>
        <row r="25190">
          <cell r="B25190" t="str">
            <v>51091410020102</v>
          </cell>
          <cell r="C25190" t="str">
            <v>VALORZ DPV CD BCRP NR OPERAC.REPORTE    4NC</v>
          </cell>
        </row>
        <row r="25191">
          <cell r="B25191" t="str">
            <v>51091601010103</v>
          </cell>
          <cell r="C25191" t="str">
            <v>ING VALRZ SWAPS MONEDAS ESPECULATIVO    4NC</v>
          </cell>
        </row>
        <row r="25192">
          <cell r="B25192" t="str">
            <v>51091601010104</v>
          </cell>
          <cell r="C25192" t="str">
            <v>INTERESES SWAPS MONEDAS ESPECULATIVO    4NC</v>
          </cell>
        </row>
        <row r="25193">
          <cell r="B25193" t="str">
            <v>51091601010105</v>
          </cell>
          <cell r="C25193" t="str">
            <v>ING VALRZ SWAPS MONEDAS ESPECULATIVO    4NC</v>
          </cell>
        </row>
        <row r="25194">
          <cell r="B25194" t="str">
            <v>51091601010106</v>
          </cell>
          <cell r="C25194" t="str">
            <v>INT SWAPS MONEDAS ESPECULATIVO VTA      4NC</v>
          </cell>
        </row>
        <row r="25195">
          <cell r="B25195" t="str">
            <v>51091601010201</v>
          </cell>
          <cell r="C25195" t="str">
            <v>VENTAS A FUTURO-SWAPS(NEGOCIACION)      4NC</v>
          </cell>
        </row>
        <row r="25196">
          <cell r="B25196" t="str">
            <v>51091601010202</v>
          </cell>
          <cell r="C25196" t="str">
            <v>VENTAS A FUTURO-SWAPS INT(NEGOCIACION   4NC</v>
          </cell>
        </row>
        <row r="25197">
          <cell r="B25197" t="str">
            <v>51091601010203</v>
          </cell>
          <cell r="C25197" t="str">
            <v>INT SWAP CURVA SOBERANA                 4NC</v>
          </cell>
        </row>
        <row r="25198">
          <cell r="B25198" t="str">
            <v>51091601010204</v>
          </cell>
          <cell r="C25198" t="str">
            <v>VAL SWAP CURVA SOBERANA                 4NC</v>
          </cell>
        </row>
        <row r="25199">
          <cell r="B25199" t="str">
            <v>51091601010205</v>
          </cell>
          <cell r="C25199" t="str">
            <v>INGRESO POR VALORIZACIÃ“N CCS-CITI      4NC</v>
          </cell>
        </row>
        <row r="25200">
          <cell r="B25200" t="str">
            <v>51091601010301</v>
          </cell>
          <cell r="C25200" t="str">
            <v>ING VALRZ SWAPS CAMBIARIO               4NC</v>
          </cell>
        </row>
        <row r="25201">
          <cell r="B25201" t="str">
            <v>51091601010302</v>
          </cell>
          <cell r="C25201" t="str">
            <v>ING VALRZ SWAPS MONEDA NEG              4NC</v>
          </cell>
        </row>
        <row r="25202">
          <cell r="B25202" t="str">
            <v>51091601010303</v>
          </cell>
          <cell r="C25202" t="str">
            <v>ING VALRZ SWAPS MONEDASÂ  COMPRA        4NC</v>
          </cell>
        </row>
        <row r="25203">
          <cell r="B25203" t="str">
            <v>51091601010401</v>
          </cell>
          <cell r="C25203" t="str">
            <v>ING INTERES SWAPS CAMBIARIO             4NC</v>
          </cell>
        </row>
        <row r="25204">
          <cell r="B25204" t="str">
            <v>51091601010402</v>
          </cell>
          <cell r="C25204" t="str">
            <v>ING INTERES SWAPS MON NEG               4NC</v>
          </cell>
        </row>
        <row r="25205">
          <cell r="B25205" t="str">
            <v>51091601010403</v>
          </cell>
          <cell r="C25205" t="str">
            <v>INTERESES SWAPS MONEDASÂ  COMPRA        4NC</v>
          </cell>
        </row>
        <row r="25206">
          <cell r="B25206" t="str">
            <v>51091601010404</v>
          </cell>
          <cell r="C25206" t="str">
            <v>MDC  Utilidad Swaps de Monedas Vta NEGO 4NC</v>
          </cell>
        </row>
        <row r="25207">
          <cell r="B25207" t="str">
            <v>51091601010405</v>
          </cell>
          <cell r="C25207" t="str">
            <v>MDC  Utilidad Swaps de Monedas COMP NEGO4NC</v>
          </cell>
        </row>
        <row r="25208">
          <cell r="B25208" t="str">
            <v>51091601010406</v>
          </cell>
          <cell r="C25208" t="str">
            <v>MDC  Ing Swaps de Monedas Vta NEGO FINAN4NC</v>
          </cell>
        </row>
        <row r="25209">
          <cell r="B25209" t="str">
            <v>51091601010407</v>
          </cell>
          <cell r="C25209" t="str">
            <v>MDC  Ing Swaps de Monedas COMP NEGO FINA4NC</v>
          </cell>
        </row>
        <row r="25210">
          <cell r="B25210" t="str">
            <v>51091601010408</v>
          </cell>
          <cell r="C25210" t="str">
            <v>MRX ING SWAPS MONEDAS ESPECULATIVO_UW   4 C</v>
          </cell>
        </row>
        <row r="25211">
          <cell r="B25211" t="str">
            <v>51091601010409</v>
          </cell>
          <cell r="C25211" t="str">
            <v>MRX ING INTERES SWAPS CAMBIARIO VTA     4NC</v>
          </cell>
        </row>
        <row r="25212">
          <cell r="B25212" t="str">
            <v>51091601010410</v>
          </cell>
          <cell r="C25212" t="str">
            <v>MRX ING VALRZ SWAPS CAMBIARIO VTA       4NC</v>
          </cell>
        </row>
        <row r="25213">
          <cell r="B25213" t="str">
            <v>51091601010411</v>
          </cell>
          <cell r="C25213" t="str">
            <v>MRX ING SWAPS TASA INTERES NEG_ FIN_UW  4NC</v>
          </cell>
        </row>
        <row r="25214">
          <cell r="B25214" t="str">
            <v>51091601090101</v>
          </cell>
          <cell r="C25214" t="str">
            <v>VALORIZACION OPC COMPRAS CALL AMERICANO 4NC</v>
          </cell>
        </row>
        <row r="25215">
          <cell r="B25215" t="str">
            <v>51091601090102</v>
          </cell>
          <cell r="C25215" t="str">
            <v>VALORIZACION OPC DEUD VTA CALL AMERICANO4NC</v>
          </cell>
        </row>
        <row r="25216">
          <cell r="B25216" t="str">
            <v>51091601090103</v>
          </cell>
          <cell r="C25216" t="str">
            <v>VALORIZACION OPC COMPRAS PUTS AMERICANO 4NC</v>
          </cell>
        </row>
        <row r="25217">
          <cell r="B25217" t="str">
            <v>51091601090104</v>
          </cell>
          <cell r="C25217" t="str">
            <v>VALORIZACION OPC VENTAS PUTS AMERICANO  4NC</v>
          </cell>
        </row>
        <row r="25218">
          <cell r="B25218" t="str">
            <v>51091601090105</v>
          </cell>
          <cell r="C25218" t="str">
            <v>INGRESO OPC COMPRAS CALL AMERICANO      4NC</v>
          </cell>
        </row>
        <row r="25219">
          <cell r="B25219" t="str">
            <v>51091601090106</v>
          </cell>
          <cell r="C25219" t="str">
            <v>INGRESO OPC DEUD VTA CALL AMERICANO     4NC</v>
          </cell>
        </row>
        <row r="25220">
          <cell r="B25220" t="str">
            <v>51091601090107</v>
          </cell>
          <cell r="C25220" t="str">
            <v>INGRESO OPC COMPRAS PUTS AMERICANO      4NC</v>
          </cell>
        </row>
        <row r="25221">
          <cell r="B25221" t="str">
            <v>51091601090108</v>
          </cell>
          <cell r="C25221" t="str">
            <v>INGRESO OPC VENTAS PUTS AMERICANO       4NC</v>
          </cell>
        </row>
        <row r="25222">
          <cell r="B25222" t="str">
            <v>51091601090109</v>
          </cell>
          <cell r="C25222" t="str">
            <v>MDC ING OP COMP CALL EUR  DEP DIV       4NC</v>
          </cell>
        </row>
        <row r="25223">
          <cell r="B25223" t="str">
            <v>51091601090110</v>
          </cell>
          <cell r="C25223" t="str">
            <v>MDC GANANC OPC COMP CALL EUR  DEP DIV   4NC</v>
          </cell>
        </row>
        <row r="25224">
          <cell r="B25224" t="str">
            <v>51091601090111</v>
          </cell>
          <cell r="C25224" t="str">
            <v>MDC ING OP VENT CALL EUR  DEP DIV       4NC</v>
          </cell>
        </row>
        <row r="25225">
          <cell r="B25225" t="str">
            <v>51091601090112</v>
          </cell>
          <cell r="C25225" t="str">
            <v>MDC GANANC OPC VENT CALL EUR  DEP DIV   4NC</v>
          </cell>
        </row>
        <row r="25226">
          <cell r="B25226" t="str">
            <v>51091601090113</v>
          </cell>
          <cell r="C25226" t="str">
            <v>MDC ING OP COMP PUT EUR  DEP DIV        4NC</v>
          </cell>
        </row>
        <row r="25227">
          <cell r="B25227" t="str">
            <v>51091601090114</v>
          </cell>
          <cell r="C25227" t="str">
            <v>MDC GANANC OPC COMP PUT EUR  DEP DIV    4NC</v>
          </cell>
        </row>
        <row r="25228">
          <cell r="B25228" t="str">
            <v>51091601090115</v>
          </cell>
          <cell r="C25228" t="str">
            <v>MDC ING OP VENT PUT EUR  DEP DIV        4NC</v>
          </cell>
        </row>
        <row r="25229">
          <cell r="B25229" t="str">
            <v>51091601090116</v>
          </cell>
          <cell r="C25229" t="str">
            <v>MDC GANANC OPC VENT PUT EUR  DEP DIV    4NC</v>
          </cell>
        </row>
        <row r="25230">
          <cell r="B25230" t="str">
            <v>51091601090117</v>
          </cell>
          <cell r="C25230" t="str">
            <v>MDC ING OP COMP CALL  OPC DIV           4NC</v>
          </cell>
        </row>
        <row r="25231">
          <cell r="B25231" t="str">
            <v>51091601090118</v>
          </cell>
          <cell r="C25231" t="str">
            <v>MDC GANANC OPC COMP CALL  OPC DIV       4NC</v>
          </cell>
        </row>
        <row r="25232">
          <cell r="B25232" t="str">
            <v>51091601090119</v>
          </cell>
          <cell r="C25232" t="str">
            <v>MDC ING OP VENT CALL  OPC DIV           4NC</v>
          </cell>
        </row>
        <row r="25233">
          <cell r="B25233" t="str">
            <v>51091601090120</v>
          </cell>
          <cell r="C25233" t="str">
            <v>MDC GANANC OPC VENT CALL  OPC DIV       4NC</v>
          </cell>
        </row>
        <row r="25234">
          <cell r="B25234" t="str">
            <v>51091601090121</v>
          </cell>
          <cell r="C25234" t="str">
            <v>MDC ING OP COMP PUT  OPC DIV            4NC</v>
          </cell>
        </row>
        <row r="25235">
          <cell r="B25235" t="str">
            <v>51091601090122</v>
          </cell>
          <cell r="C25235" t="str">
            <v>MDC GANANC OPC COMP PUT  OPC DIV        4NC</v>
          </cell>
        </row>
        <row r="25236">
          <cell r="B25236" t="str">
            <v>51091601090123</v>
          </cell>
          <cell r="C25236" t="str">
            <v>MDC ING OP VENT PUT  OPC DIV            4NC</v>
          </cell>
        </row>
        <row r="25237">
          <cell r="B25237" t="str">
            <v>51091601090124</v>
          </cell>
          <cell r="C25237" t="str">
            <v>MDC GANANC OPC VENT PUT  OPC DIV        4NC</v>
          </cell>
        </row>
        <row r="25238">
          <cell r="B25238" t="str">
            <v>51091601090125</v>
          </cell>
          <cell r="C25238" t="str">
            <v>Ing Val FWD Vta OPC NDF                 4NC</v>
          </cell>
        </row>
        <row r="25239">
          <cell r="B25239" t="str">
            <v>51091601090126</v>
          </cell>
          <cell r="C25239" t="str">
            <v>Ing Val FWD Vta OPC Full                4NC</v>
          </cell>
        </row>
        <row r="25240">
          <cell r="B25240" t="str">
            <v>51091601090127</v>
          </cell>
          <cell r="C25240" t="str">
            <v>Ing Val FWD Comp OPC NDF                4NC</v>
          </cell>
        </row>
        <row r="25241">
          <cell r="B25241" t="str">
            <v>51091601090128</v>
          </cell>
          <cell r="C25241" t="str">
            <v>Ing Val FWD Comp OPC FULL               4NC</v>
          </cell>
        </row>
        <row r="25242">
          <cell r="B25242" t="str">
            <v>51091601090201</v>
          </cell>
          <cell r="C25242" t="str">
            <v>VALORIZACION OPC COMPRAS CALL EUROPEO   4NC</v>
          </cell>
        </row>
        <row r="25243">
          <cell r="B25243" t="str">
            <v>51091601090202</v>
          </cell>
          <cell r="C25243" t="str">
            <v>VALORIZACION OPC DEUD VTA CALL EUROPEO  4NC</v>
          </cell>
        </row>
        <row r="25244">
          <cell r="B25244" t="str">
            <v>51091601090203</v>
          </cell>
          <cell r="C25244" t="str">
            <v>VALORIZACION OPC COMPRAS PUTS EUROPEO   4NC</v>
          </cell>
        </row>
        <row r="25245">
          <cell r="B25245" t="str">
            <v>51091601090204</v>
          </cell>
          <cell r="C25245" t="str">
            <v>VALORIZACION OPC VENTAS PUTS EUROPEO    4NC</v>
          </cell>
        </row>
        <row r="25246">
          <cell r="B25246" t="str">
            <v>51091601090205</v>
          </cell>
          <cell r="C25246" t="str">
            <v>INGRESO OPC COMPRAS CALL EUROPEO        4NC</v>
          </cell>
        </row>
        <row r="25247">
          <cell r="B25247" t="str">
            <v>51091601090206</v>
          </cell>
          <cell r="C25247" t="str">
            <v>INGRESO OPC DEUD VTA CALL EUROPEO       4NC</v>
          </cell>
        </row>
        <row r="25248">
          <cell r="B25248" t="str">
            <v>51091601090207</v>
          </cell>
          <cell r="C25248" t="str">
            <v>INGRESO OPC COMPRAS PUTS EUROPEO        4NC</v>
          </cell>
        </row>
        <row r="25249">
          <cell r="B25249" t="str">
            <v>51091601090208</v>
          </cell>
          <cell r="C25249" t="str">
            <v>INGRESO OPC VENTAS PUTS EUROPEO         4NC</v>
          </cell>
        </row>
        <row r="25250">
          <cell r="B25250" t="str">
            <v>51091601090209</v>
          </cell>
          <cell r="C25250" t="str">
            <v>MDC ING OP COMP CALL EUR - DEP ESTRUCT  4NC</v>
          </cell>
        </row>
        <row r="25251">
          <cell r="B25251" t="str">
            <v>51091601090210</v>
          </cell>
          <cell r="C25251" t="str">
            <v>MDC GANANC OPC COMP CALL EUR - DEP ESTRU4NC</v>
          </cell>
        </row>
        <row r="25252">
          <cell r="B25252" t="str">
            <v>51091601090211</v>
          </cell>
          <cell r="C25252" t="str">
            <v>MDC ING OPC DEUD VTA CALL EUR - DEP ESTR4NC</v>
          </cell>
        </row>
        <row r="25253">
          <cell r="B25253" t="str">
            <v>51091601090212</v>
          </cell>
          <cell r="C25253" t="str">
            <v>MDC GANANC OPC DEUD VTA CALL EUR - DEP E4NC</v>
          </cell>
        </row>
        <row r="25254">
          <cell r="B25254" t="str">
            <v>51091601090213</v>
          </cell>
          <cell r="C25254" t="str">
            <v>MDC ING OPC COMP PUTS EUR - DEP ESTRUCT 4NC</v>
          </cell>
        </row>
        <row r="25255">
          <cell r="B25255" t="str">
            <v>51091601090214</v>
          </cell>
          <cell r="C25255" t="str">
            <v>MDC GANANCIA OPC COMP PUTS EUR - DEP EST4NC</v>
          </cell>
        </row>
        <row r="25256">
          <cell r="B25256" t="str">
            <v>51091601090215</v>
          </cell>
          <cell r="C25256" t="str">
            <v>MDC ING OPC VENTAS PUTS EUR - DEP ESTRUC4NC</v>
          </cell>
        </row>
        <row r="25257">
          <cell r="B25257" t="str">
            <v>51091601090216</v>
          </cell>
          <cell r="C25257" t="str">
            <v>MDC GANANCIA OPC VENTAS PUTS EUR - DEP E4NC</v>
          </cell>
        </row>
        <row r="25258">
          <cell r="B25258" t="str">
            <v>51091601090217</v>
          </cell>
          <cell r="C25258" t="str">
            <v>DIF.CAMBIOCOMPRAS A FUT-FWD.DELIVERY ESP4NC</v>
          </cell>
        </row>
        <row r="25259">
          <cell r="B25259" t="str">
            <v>51091601090218</v>
          </cell>
          <cell r="C25259" t="str">
            <v>DIF.CAMBIOCOMPRAS A FUTURO - FWD.NON DEL4NC</v>
          </cell>
        </row>
        <row r="25260">
          <cell r="B25260" t="str">
            <v>51091601090219</v>
          </cell>
          <cell r="C25260" t="str">
            <v>DIF.CAMBIOVENTAS A FUTURO - FWD.DELIVERY4NC</v>
          </cell>
        </row>
        <row r="25261">
          <cell r="B25261" t="str">
            <v>51091601090220</v>
          </cell>
          <cell r="C25261" t="str">
            <v>DIF.CAMBIOVENTAS A FUTURO - FWD.NON DELI4NC</v>
          </cell>
        </row>
        <row r="25262">
          <cell r="B25262" t="str">
            <v>51091601090221</v>
          </cell>
          <cell r="C25262" t="str">
            <v>MDC ING OP COMP CALL EUR - FWD LIMITADO 4NC</v>
          </cell>
        </row>
        <row r="25263">
          <cell r="B25263" t="str">
            <v>51091601090222</v>
          </cell>
          <cell r="C25263" t="str">
            <v>MDC GANANC OPC COMP CALL EUR - FWD LIMIT4NC</v>
          </cell>
        </row>
        <row r="25264">
          <cell r="B25264" t="str">
            <v>51091601090223</v>
          </cell>
          <cell r="C25264" t="str">
            <v>MDC ING OPC DEUD VTA CALL EUR - FWD ACOT4NC</v>
          </cell>
        </row>
        <row r="25265">
          <cell r="B25265" t="str">
            <v>51091601090224</v>
          </cell>
          <cell r="C25265" t="str">
            <v>MDC GANANC OPC DEUD VTA CALL EUR - FWD A4NC</v>
          </cell>
        </row>
        <row r="25266">
          <cell r="B25266" t="str">
            <v>51091601090225</v>
          </cell>
          <cell r="C25266" t="str">
            <v>MDC ING OPC COMP PUTS EUR - FWD ACOT    4NC</v>
          </cell>
        </row>
        <row r="25267">
          <cell r="B25267" t="str">
            <v>51091601090226</v>
          </cell>
          <cell r="C25267" t="str">
            <v>MDC GANANCIA OPC COMP PUTS EUR - FWD ACO4NC</v>
          </cell>
        </row>
        <row r="25268">
          <cell r="B25268" t="str">
            <v>51091601090227</v>
          </cell>
          <cell r="C25268" t="str">
            <v>MDC ING OPC VENTAS PUTS EUR - FWD ACOT  4NC</v>
          </cell>
        </row>
        <row r="25269">
          <cell r="B25269" t="str">
            <v>51091601090228</v>
          </cell>
          <cell r="C25269" t="str">
            <v>MDC GANANCIA OPC VENTAS PUTS EUR - FWD A4NC</v>
          </cell>
        </row>
        <row r="25270">
          <cell r="B25270" t="str">
            <v>51091601090229</v>
          </cell>
          <cell r="C25270" t="str">
            <v>MDC INGRESO FWD ACOT- COMPRA            4NC</v>
          </cell>
        </row>
        <row r="25271">
          <cell r="B25271" t="str">
            <v>51091601090230</v>
          </cell>
          <cell r="C25271" t="str">
            <v>MDC INGRESO FWD LIMITADO- VENTA         4NC</v>
          </cell>
        </row>
        <row r="25272">
          <cell r="B25272" t="str">
            <v>51091601090231</v>
          </cell>
          <cell r="C25272" t="str">
            <v>PRIMA OPCION INGRESO                    4NC</v>
          </cell>
        </row>
        <row r="25273">
          <cell r="B25273" t="str">
            <v>51091601090232</v>
          </cell>
          <cell r="C25273" t="str">
            <v>MDC  Utilidad Forward de Monedas COMP NE4NC</v>
          </cell>
        </row>
        <row r="25274">
          <cell r="B25274" t="str">
            <v>51091601090233</v>
          </cell>
          <cell r="C25274" t="str">
            <v>MDC  Utilidad Forward de Monedas Vta NEG4NC</v>
          </cell>
        </row>
        <row r="25275">
          <cell r="B25275" t="str">
            <v>51091601090234</v>
          </cell>
          <cell r="C25275" t="str">
            <v>DIF.CAMBIOVENTAS A FUTURO - FWD.DIVISAS 4 C</v>
          </cell>
        </row>
        <row r="25276">
          <cell r="B25276" t="str">
            <v>51091601090235</v>
          </cell>
          <cell r="C25276" t="str">
            <v>DIF.CAMBIOCOMPRAS A FUT-FWD.DIVISAS TESO4 C</v>
          </cell>
        </row>
        <row r="25277">
          <cell r="B25277" t="str">
            <v>51091601090238</v>
          </cell>
          <cell r="C25277" t="str">
            <v>MRX  UTILIDAD FORWARD DE MONEDAS COMPRA 4NC</v>
          </cell>
        </row>
        <row r="25278">
          <cell r="B25278" t="str">
            <v>51091601090239</v>
          </cell>
          <cell r="C25278" t="str">
            <v>INGRESO FORWARD UNWIND NEGOCIACION      4NC</v>
          </cell>
        </row>
        <row r="25279">
          <cell r="B25279" t="str">
            <v>51091602010301</v>
          </cell>
          <cell r="C25279" t="str">
            <v>SWAPS DE TASA DE INTERES-NEGOCIACION    4NC</v>
          </cell>
        </row>
        <row r="25280">
          <cell r="B25280" t="str">
            <v>51091602010302</v>
          </cell>
          <cell r="C25280" t="str">
            <v>ING INTERESES SWAPS TASA INTERES NEG    4NC</v>
          </cell>
        </row>
        <row r="25281">
          <cell r="B25281" t="str">
            <v>51091602010303</v>
          </cell>
          <cell r="C25281" t="str">
            <v>ING INT OVERNIGHT INTEREST SWAP         4NC</v>
          </cell>
        </row>
        <row r="25282">
          <cell r="B25282" t="str">
            <v>51091602010304</v>
          </cell>
          <cell r="C25282" t="str">
            <v>INGÂ  VAL OVERNIGHT INTEREST SWAP       4NC</v>
          </cell>
        </row>
        <row r="25283">
          <cell r="B25283" t="str">
            <v>51091602010305</v>
          </cell>
          <cell r="C25283" t="str">
            <v>MDC  Ing Swaps de Monedas Vta NEGO FINAN4NC</v>
          </cell>
        </row>
        <row r="25284">
          <cell r="B25284" t="str">
            <v>51091602010306</v>
          </cell>
          <cell r="C25284" t="str">
            <v>MDC  Ing Swaps de Monedas COMP NEGO FINA4NC</v>
          </cell>
        </row>
        <row r="25285">
          <cell r="B25285" t="str">
            <v>51091602010307</v>
          </cell>
          <cell r="C25285" t="str">
            <v>MRX ING SWAPS TASA INTERES NEG_UW       4 C</v>
          </cell>
        </row>
        <row r="25286">
          <cell r="B25286" t="str">
            <v>51091602010308</v>
          </cell>
          <cell r="C25286" t="str">
            <v>MRX ING SWAPS TASA INTERES NEG_ FIN_UW  4 C</v>
          </cell>
        </row>
        <row r="25287">
          <cell r="B25287" t="str">
            <v>51091602020101</v>
          </cell>
          <cell r="C25287" t="str">
            <v>ING VALORIZ FWD TASA PAGO FIJO          4NC</v>
          </cell>
        </row>
        <row r="25288">
          <cell r="B25288" t="str">
            <v>51091602020102</v>
          </cell>
          <cell r="C25288" t="str">
            <v>ING VALORIZ FWD TASA PAGO FLOTANTE      4NC</v>
          </cell>
        </row>
        <row r="25289">
          <cell r="B25289" t="str">
            <v>51091702010201</v>
          </cell>
          <cell r="C25289" t="str">
            <v>VENTAS A FUTURO-SWAP(CFC)               4NC</v>
          </cell>
        </row>
        <row r="25290">
          <cell r="B25290" t="str">
            <v>51091702010202</v>
          </cell>
          <cell r="C25290" t="str">
            <v>VENTAS A FUTURO-SWAP INT (CFC)          4NC</v>
          </cell>
        </row>
        <row r="25291">
          <cell r="B25291" t="str">
            <v>51091702010203</v>
          </cell>
          <cell r="C25291" t="str">
            <v>UTILIDAD  COMPRA SWAP MONEDAS           4NC</v>
          </cell>
        </row>
        <row r="25292">
          <cell r="B25292" t="str">
            <v>51091702010204</v>
          </cell>
          <cell r="C25292" t="str">
            <v>INGRESO POR INTERESES CCS BONO 2020     4NC</v>
          </cell>
        </row>
        <row r="25293">
          <cell r="B25293" t="str">
            <v>51091702010205</v>
          </cell>
          <cell r="C25293" t="str">
            <v>INGRESO POR INTERESES CCS BONO 2023     4NC</v>
          </cell>
        </row>
        <row r="25294">
          <cell r="B25294" t="str">
            <v>51091702010206</v>
          </cell>
          <cell r="C25294" t="str">
            <v>ING. INT COMPRAS SWAPS MON COB-2023     4NC</v>
          </cell>
        </row>
        <row r="25295">
          <cell r="B25295" t="str">
            <v>51091702010301</v>
          </cell>
          <cell r="C25295" t="str">
            <v>ING. INT COMPRAS SWAPS MON COB-2020     4NC</v>
          </cell>
        </row>
        <row r="25296">
          <cell r="B25296" t="str">
            <v>51091702010302</v>
          </cell>
          <cell r="C25296" t="str">
            <v>MRX ING SWAPS MONEDAS COB_UW            4 C</v>
          </cell>
        </row>
        <row r="25297">
          <cell r="B25297" t="str">
            <v>51091702010303</v>
          </cell>
          <cell r="C25297" t="str">
            <v>MRX ING SWAPS MONEDAS COB_UW            4 C</v>
          </cell>
        </row>
        <row r="25298">
          <cell r="B25298" t="str">
            <v>51091702010304</v>
          </cell>
          <cell r="C25298" t="str">
            <v>MRX ING SWAPS MONEDAS COB               4 C</v>
          </cell>
        </row>
        <row r="25299">
          <cell r="B25299" t="str">
            <v>51091702010305</v>
          </cell>
          <cell r="C25299" t="str">
            <v>ING POR COBRAR CCS COBERTURA MESA COMPRA4NC</v>
          </cell>
        </row>
        <row r="25300">
          <cell r="B25300" t="str">
            <v>51091702010306</v>
          </cell>
          <cell r="C25300" t="str">
            <v>ING POR COBRAR CCS COBERTURA MESA VENTA 4NC</v>
          </cell>
        </row>
        <row r="25301">
          <cell r="B25301" t="str">
            <v>51091702010307</v>
          </cell>
          <cell r="C25301" t="str">
            <v>ING SWAPS MONEDAS COB GDL MESA_UW       4NC</v>
          </cell>
        </row>
        <row r="25302">
          <cell r="B25302" t="str">
            <v>51091702010308</v>
          </cell>
          <cell r="C25302" t="str">
            <v>ING FORWARD TRADING_UW                  4NC</v>
          </cell>
        </row>
        <row r="25303">
          <cell r="B25303" t="str">
            <v>51091702010309</v>
          </cell>
          <cell r="C25303" t="str">
            <v>ING FORWARD FINANZAS_UW                 4NC</v>
          </cell>
        </row>
        <row r="25304">
          <cell r="B25304" t="str">
            <v>51091702010310</v>
          </cell>
          <cell r="C25304" t="str">
            <v>ING OPCIONES_UW                         4NC</v>
          </cell>
        </row>
        <row r="25305">
          <cell r="B25305" t="str">
            <v>51091702020101</v>
          </cell>
          <cell r="C25305" t="str">
            <v>ING INTERESES SWAPS TASA INTERES COB    4NC</v>
          </cell>
        </row>
        <row r="25306">
          <cell r="B25306" t="str">
            <v>51091702020102</v>
          </cell>
          <cell r="C25306" t="str">
            <v>INT SWAPS DE TASAS DE INT ASOC. A DPRS  4NC</v>
          </cell>
        </row>
        <row r="25307">
          <cell r="B25307" t="str">
            <v>51091702020201</v>
          </cell>
          <cell r="C25307" t="str">
            <v>FORWARDS TASA DE INTERES                4NC</v>
          </cell>
        </row>
        <row r="25308">
          <cell r="B25308" t="str">
            <v>51091702020202</v>
          </cell>
          <cell r="C25308" t="str">
            <v>MRX ING SWAPS TASA INTERES COB_FIN_UW   4 C</v>
          </cell>
        </row>
        <row r="25309">
          <cell r="B25309" t="str">
            <v>51091900000301</v>
          </cell>
          <cell r="C25309" t="str">
            <v>LPC IIG IGV LEASING RECUPERADO          4NC</v>
          </cell>
        </row>
        <row r="25310">
          <cell r="B25310" t="str">
            <v>51091900000302</v>
          </cell>
          <cell r="C25310" t="str">
            <v>IGV RECUPERADO ARR.FIN.2001             4NC</v>
          </cell>
        </row>
        <row r="25311">
          <cell r="B25311" t="str">
            <v>51092500000101</v>
          </cell>
          <cell r="C25311" t="str">
            <v>UTILIDAD POR COMPRA DE CARTERA          4NC</v>
          </cell>
        </row>
        <row r="25312">
          <cell r="B25312" t="str">
            <v>51092500000102</v>
          </cell>
          <cell r="C25312" t="str">
            <v>UTILIDAD POR COMPRA DE CARTERA NAUTILUS 4NC</v>
          </cell>
        </row>
        <row r="25313">
          <cell r="B25313" t="str">
            <v>51092500000103</v>
          </cell>
          <cell r="C25313" t="str">
            <v>UTILIDAD POR COMPRA DE CARTERA CIA MINER4NC</v>
          </cell>
        </row>
        <row r="25314">
          <cell r="B25314" t="str">
            <v>51092500000104</v>
          </cell>
          <cell r="C25314" t="str">
            <v>UTILIDAD POR COMPRA DE CARTERA VOLCAN CI4NC</v>
          </cell>
        </row>
        <row r="25315">
          <cell r="B25315" t="str">
            <v>51092600000101</v>
          </cell>
          <cell r="C25315" t="str">
            <v>CL ING.EXTRAO.DEU.VTA.CARTE             4NC</v>
          </cell>
        </row>
        <row r="25316">
          <cell r="B25316" t="str">
            <v>51092600000102</v>
          </cell>
          <cell r="C25316" t="str">
            <v>UTILIDAD POR VTA DE CARTERA CREDITICIA  4NC</v>
          </cell>
        </row>
        <row r="25317">
          <cell r="B25317" t="str">
            <v>51092700000101</v>
          </cell>
          <cell r="C25317" t="str">
            <v>CL INGRES.RECUP.INTERES CASTIG          4NC</v>
          </cell>
        </row>
        <row r="25318">
          <cell r="B25318" t="str">
            <v>51092700000102</v>
          </cell>
          <cell r="C25318" t="str">
            <v>CL INGRES.RECUP.CAPITAL CASTIG          4NC</v>
          </cell>
        </row>
        <row r="25319">
          <cell r="B25319" t="str">
            <v>51092700000103</v>
          </cell>
          <cell r="C25319" t="str">
            <v>CL RECUP CAPITAL CTAS CASTG PN MES GL70 4NC</v>
          </cell>
        </row>
        <row r="25320">
          <cell r="B25320" t="str">
            <v>51092700000104</v>
          </cell>
          <cell r="C25320" t="str">
            <v>CL RECUP INTERES CAST MES GL7024        4NC</v>
          </cell>
        </row>
        <row r="25321">
          <cell r="B25321" t="str">
            <v>51092700000105</v>
          </cell>
          <cell r="C25321" t="str">
            <v>JCC INGRES.RECUP.INTERES CASTIG         4NC</v>
          </cell>
        </row>
        <row r="25322">
          <cell r="B25322" t="str">
            <v>51092700000106</v>
          </cell>
          <cell r="C25322" t="str">
            <v>JCC INGRES.RECUP.CAPITAL CASTIG         4NC</v>
          </cell>
        </row>
        <row r="25323">
          <cell r="B25323" t="str">
            <v>51092700000107</v>
          </cell>
          <cell r="C25323" t="str">
            <v>JCC INGRES.RECUP.INTERES CASTIG         4NC</v>
          </cell>
        </row>
        <row r="25324">
          <cell r="B25324" t="str">
            <v>51092700000108</v>
          </cell>
          <cell r="C25324" t="str">
            <v>JCC INGRES.RECUP.CAPITAL CASTIG         4NC</v>
          </cell>
        </row>
        <row r="25325">
          <cell r="B25325" t="str">
            <v>51092700000109</v>
          </cell>
          <cell r="C25325" t="str">
            <v>JCC INGRES.RECUP.INTERES CASTIG         4NC</v>
          </cell>
        </row>
        <row r="25326">
          <cell r="B25326" t="str">
            <v>51092700000110</v>
          </cell>
          <cell r="C25326" t="str">
            <v>JCC INGRES.RECUP.CAPITAL CASTIG         4NC</v>
          </cell>
        </row>
        <row r="25327">
          <cell r="B25327" t="str">
            <v>51092700000111</v>
          </cell>
          <cell r="C25327" t="str">
            <v>JCC INGRES.RECUP.INTERES CASTIG         4NC</v>
          </cell>
        </row>
        <row r="25328">
          <cell r="B25328" t="str">
            <v>51092700000112</v>
          </cell>
          <cell r="C25328" t="str">
            <v>JCC INGRES.RECUP.CAPITAL CASTIG         4NC</v>
          </cell>
        </row>
        <row r="25329">
          <cell r="B25329" t="str">
            <v>51092700000113</v>
          </cell>
          <cell r="C25329" t="str">
            <v>JCC INGRES.RECUP.INTERES CASTIG         4NC</v>
          </cell>
        </row>
        <row r="25330">
          <cell r="B25330" t="str">
            <v>51092700000114</v>
          </cell>
          <cell r="C25330" t="str">
            <v>JCC INGRES.RECUP.CAPITAL CASTIG         4NC</v>
          </cell>
        </row>
        <row r="25331">
          <cell r="B25331" t="str">
            <v>51092700000115</v>
          </cell>
          <cell r="C25331" t="str">
            <v>JCC INGRES.RECUP.INTERES CASTIG         4NC</v>
          </cell>
        </row>
        <row r="25332">
          <cell r="B25332" t="str">
            <v>51092700000116</v>
          </cell>
          <cell r="C25332" t="str">
            <v>JCC INGRES.RECUP.CAPITAL CASTIG         4NC</v>
          </cell>
        </row>
        <row r="25333">
          <cell r="B25333" t="str">
            <v>51092700000117</v>
          </cell>
          <cell r="C25333" t="str">
            <v>JCC INGRES.RECUP.INTERES CASTIG CONV    4NC</v>
          </cell>
        </row>
        <row r="25334">
          <cell r="B25334" t="str">
            <v>51092700000118</v>
          </cell>
          <cell r="C25334" t="str">
            <v>JCC INGRES.RECUP.CAPITAL CASTIG CONV    4NC</v>
          </cell>
        </row>
        <row r="25335">
          <cell r="B25335" t="str">
            <v>51092700000119</v>
          </cell>
          <cell r="C25335" t="str">
            <v>JCC INGRES.RECUP.INTERES CASTIG REF     4NC</v>
          </cell>
        </row>
        <row r="25336">
          <cell r="B25336" t="str">
            <v>51092700000120</v>
          </cell>
          <cell r="C25336" t="str">
            <v>JCC INGRES.RECUP.CAPITAL CASTIG REF     4NC</v>
          </cell>
        </row>
        <row r="25337">
          <cell r="B25337" t="str">
            <v>51092700000121</v>
          </cell>
          <cell r="C25337" t="str">
            <v>JCC INGRES.RECUP.INTERES CASTIG MIVIV   4NC</v>
          </cell>
        </row>
        <row r="25338">
          <cell r="B25338" t="str">
            <v>51092700000122</v>
          </cell>
          <cell r="C25338" t="str">
            <v>JCC INGRES.RECUP.CAPITAL CASTIG MIVIV   4NC</v>
          </cell>
        </row>
        <row r="25339">
          <cell r="B25339" t="str">
            <v>51092700000123</v>
          </cell>
          <cell r="C25339" t="str">
            <v>JCC INGRES.RECUP.INTERES CASTIG.COB.JUD 4NC</v>
          </cell>
        </row>
        <row r="25340">
          <cell r="B25340" t="str">
            <v>51092700000124</v>
          </cell>
          <cell r="C25340" t="str">
            <v>JCC INGRES.RECUP.CAPITAL CASTIG COB.JUD 4NC</v>
          </cell>
        </row>
        <row r="25341">
          <cell r="B25341" t="str">
            <v>51092700000125</v>
          </cell>
          <cell r="C25341" t="str">
            <v>JCC INGRES.RECUP.INTERES CASTIG.ADEL.SUE4NC</v>
          </cell>
        </row>
        <row r="25342">
          <cell r="B25342" t="str">
            <v>51092700000126</v>
          </cell>
          <cell r="C25342" t="str">
            <v>JCC INGRES.RECUP.CAPITAL CASTIG         4NC</v>
          </cell>
        </row>
        <row r="25343">
          <cell r="B25343" t="str">
            <v>51092700000127</v>
          </cell>
          <cell r="C25343" t="str">
            <v>JCC INGRES.RECUP.INTERES CASTIG PREFEREN4NC</v>
          </cell>
        </row>
        <row r="25344">
          <cell r="B25344" t="str">
            <v>51092700000128</v>
          </cell>
          <cell r="C25344" t="str">
            <v>JCC INGRES.RECUP.CAPITAL CASTIG PREFEREN4NC</v>
          </cell>
        </row>
        <row r="25345">
          <cell r="B25345" t="str">
            <v>51092700000129</v>
          </cell>
          <cell r="C25345" t="str">
            <v>JCC INGRES.RECUP.INTERES CASTIG.MASTER  4NC</v>
          </cell>
        </row>
        <row r="25346">
          <cell r="B25346" t="str">
            <v>51092700000130</v>
          </cell>
          <cell r="C25346" t="str">
            <v>JCC INGRES.RECUP.CAPITAL CASTIG.MASTER  4NC</v>
          </cell>
        </row>
        <row r="25347">
          <cell r="B25347" t="str">
            <v>51092700000131</v>
          </cell>
          <cell r="C25347" t="str">
            <v>JCC INGRES.RECUP.INTERES CASTIG COMP AF 4NC</v>
          </cell>
        </row>
        <row r="25348">
          <cell r="B25348" t="str">
            <v>51092700000132</v>
          </cell>
          <cell r="C25348" t="str">
            <v>JCC INGRES.RECUP.CAPITAL CASTIG COMP AF 4NC</v>
          </cell>
        </row>
        <row r="25349">
          <cell r="B25349" t="str">
            <v>51092700000133</v>
          </cell>
          <cell r="C25349" t="str">
            <v>JCC INGRES.RECUP.INTERES CASTIG.COMP A  4NC</v>
          </cell>
        </row>
        <row r="25350">
          <cell r="B25350" t="str">
            <v>51092700000134</v>
          </cell>
          <cell r="C25350" t="str">
            <v>JCC INGRES.RECUP.CAPITAL CASTIG.COMP A  4NC</v>
          </cell>
        </row>
        <row r="25351">
          <cell r="B25351" t="str">
            <v>51092700000135</v>
          </cell>
          <cell r="C25351" t="str">
            <v>JCC INGRES.RECUP.INTERES CASTIG.TC MASTE4NC</v>
          </cell>
        </row>
        <row r="25352">
          <cell r="B25352" t="str">
            <v>51092700000136</v>
          </cell>
          <cell r="C25352" t="str">
            <v>JCC INGRES.RECUP.CAPITAL CASTIG.TC MASTE4NC</v>
          </cell>
        </row>
        <row r="25353">
          <cell r="B25353" t="str">
            <v>51092700000137</v>
          </cell>
          <cell r="C25353" t="str">
            <v>JCC INGRES.RECUP.INTERES CASTIG.JUD.SOB 4NC</v>
          </cell>
        </row>
        <row r="25354">
          <cell r="B25354" t="str">
            <v>51092700000138</v>
          </cell>
          <cell r="C25354" t="str">
            <v>JCC INGRES.RECUP.CAPITAL CASTIG.JUD.SOB 4NC</v>
          </cell>
        </row>
        <row r="25355">
          <cell r="B25355" t="str">
            <v>51092700000139</v>
          </cell>
          <cell r="C25355" t="str">
            <v>JCC INGRES.RECUP.INT CASTIG.ARREN.FINAN 4NC</v>
          </cell>
        </row>
        <row r="25356">
          <cell r="B25356" t="str">
            <v>51092700000140</v>
          </cell>
          <cell r="C25356" t="str">
            <v>JCC INGRES.RECUP.CAPITAL CASTIG.ARREN.FI4NC</v>
          </cell>
        </row>
        <row r="25357">
          <cell r="B25357" t="str">
            <v>51092700000141</v>
          </cell>
          <cell r="C25357" t="str">
            <v>JCC INGRES.RECUP.INTERES CASTIG.DIRECT  4NC</v>
          </cell>
        </row>
        <row r="25358">
          <cell r="B25358" t="str">
            <v>51092700000142</v>
          </cell>
          <cell r="C25358" t="str">
            <v>JCC INGRES.RECUP.CAPITAL CASTIG..DIRECT 4NC</v>
          </cell>
        </row>
        <row r="25359">
          <cell r="B25359" t="str">
            <v>51092700000143</v>
          </cell>
          <cell r="C25359" t="str">
            <v>JCC INGRES.RECUP.INTERES CAST.MI HOGAR  4NC</v>
          </cell>
        </row>
        <row r="25360">
          <cell r="B25360" t="str">
            <v>51092700000144</v>
          </cell>
          <cell r="C25360" t="str">
            <v>JCC INGRES.RECUP.CAPITAL CASTIG.MI HOGAR4NC</v>
          </cell>
        </row>
        <row r="25361">
          <cell r="B25361" t="str">
            <v>51092700000145</v>
          </cell>
          <cell r="C25361" t="str">
            <v>JCC INGRES.RECUP.INTERES CASTIG.EFEC GTI4NC</v>
          </cell>
        </row>
        <row r="25362">
          <cell r="B25362" t="str">
            <v>51092700000146</v>
          </cell>
          <cell r="C25362" t="str">
            <v>JCC INGRES.RECUP.CAPITAL CASTIG.EFEC GTI4NC</v>
          </cell>
        </row>
        <row r="25363">
          <cell r="B25363" t="str">
            <v>51092700000147</v>
          </cell>
          <cell r="C25363" t="str">
            <v>JCC INGRES.RECUP.INT.CASTIG.TECH.PROPIO 4NC</v>
          </cell>
        </row>
        <row r="25364">
          <cell r="B25364" t="str">
            <v>51092700000148</v>
          </cell>
          <cell r="C25364" t="str">
            <v>JCC INGRES.RECUP.CAPITAL CASTIG.TECH.PRO4NC</v>
          </cell>
        </row>
        <row r="25365">
          <cell r="B25365" t="str">
            <v>51092700000149</v>
          </cell>
          <cell r="C25365" t="str">
            <v>JCC INGRES.RECUP.INTERES CASTIG.BCA PERS4NC</v>
          </cell>
        </row>
        <row r="25366">
          <cell r="B25366" t="str">
            <v>51092700000150</v>
          </cell>
          <cell r="C25366" t="str">
            <v>JCC INGRES.RECUP.CAPITAL CASTIG.BCA PERS4NC</v>
          </cell>
        </row>
        <row r="25367">
          <cell r="B25367" t="str">
            <v>51092700000151</v>
          </cell>
          <cell r="C25367" t="str">
            <v>JCC INGRES.RECUP.INT.CASTIG.CONDONADO   4NC</v>
          </cell>
        </row>
        <row r="25368">
          <cell r="B25368" t="str">
            <v>51092700000152</v>
          </cell>
          <cell r="C25368" t="str">
            <v>JCC INGRES.RECUP.INTERES CASTIG.VISA    4NC</v>
          </cell>
        </row>
        <row r="25369">
          <cell r="B25369" t="str">
            <v>51092700000153</v>
          </cell>
          <cell r="C25369" t="str">
            <v>JCC INGRES.RECUP.CAPITAL CASTIG.VISA    4NC</v>
          </cell>
        </row>
        <row r="25370">
          <cell r="B25370" t="str">
            <v>51092700000154</v>
          </cell>
          <cell r="C25370" t="str">
            <v>JCC INGRES.RECUP.INTERES CASTIG.AMEX    4NC</v>
          </cell>
        </row>
        <row r="25371">
          <cell r="B25371" t="str">
            <v>51092700000155</v>
          </cell>
          <cell r="C25371" t="str">
            <v>JCC INGRES.RECUP.CAPITAL CASTIG.AMEX    4NC</v>
          </cell>
        </row>
        <row r="25372">
          <cell r="B25372" t="str">
            <v>51092700000156</v>
          </cell>
          <cell r="C25372" t="str">
            <v>JCC INGRES.RECUP.INTERES AMEX PN-CONSUMO4NC</v>
          </cell>
        </row>
        <row r="25373">
          <cell r="B25373" t="str">
            <v>51092700000157</v>
          </cell>
          <cell r="C25373" t="str">
            <v>JCC INGRES.RECUP.CAPITAL .AMEX PN-CONSUM4NC</v>
          </cell>
        </row>
        <row r="25374">
          <cell r="B25374" t="str">
            <v>51092700000158</v>
          </cell>
          <cell r="C25374" t="str">
            <v>JCC RECUP CAPITAL CTAS CASTG TC MASTER  4NC</v>
          </cell>
        </row>
        <row r="25375">
          <cell r="B25375" t="str">
            <v>51092700000159</v>
          </cell>
          <cell r="C25375" t="str">
            <v>JCC RECUP INTERES CAST MES GL7024. TC VI4NC</v>
          </cell>
        </row>
        <row r="25376">
          <cell r="B25376" t="str">
            <v>51092700000160</v>
          </cell>
          <cell r="C25376" t="str">
            <v>JCC  INGRES.RECUP.INT.COND.BCA PERSONAL 4NC</v>
          </cell>
        </row>
        <row r="25377">
          <cell r="B25377" t="str">
            <v>51092700000161</v>
          </cell>
          <cell r="C25377" t="str">
            <v>JCC  INGRES.RECUP.INT.COND.BCA COMERCIAL4NC</v>
          </cell>
        </row>
        <row r="25378">
          <cell r="B25378" t="str">
            <v>51092700000162</v>
          </cell>
          <cell r="C25378" t="str">
            <v>JCC  INGRES.RECUP.INT.COND.MYPES        4NC</v>
          </cell>
        </row>
        <row r="25379">
          <cell r="B25379" t="str">
            <v>51092700000163</v>
          </cell>
          <cell r="C25379" t="str">
            <v>JCC INGRES.RECUP.INTERES CASTIG BCA PERS4NC</v>
          </cell>
        </row>
        <row r="25380">
          <cell r="B25380" t="str">
            <v>51092700000164</v>
          </cell>
          <cell r="C25380" t="str">
            <v>JCC INGRES.RECUP.CAPITAL CASTIG BCA PERS4NC</v>
          </cell>
        </row>
        <row r="25381">
          <cell r="B25381" t="str">
            <v>51092700000165</v>
          </cell>
          <cell r="C25381" t="str">
            <v>JCC INGRES.RECUP.INTERES CASTIG MYPES   4NC</v>
          </cell>
        </row>
        <row r="25382">
          <cell r="B25382" t="str">
            <v>51092700000166</v>
          </cell>
          <cell r="C25382" t="str">
            <v>JCC INGRES.RECUP.CAPITAL CASTIG MYPES   4NC</v>
          </cell>
        </row>
        <row r="25383">
          <cell r="B25383" t="str">
            <v>51092700000167</v>
          </cell>
          <cell r="C25383" t="str">
            <v>JCC RECUP INTERES CAST BCA COMERCIAL    4NC</v>
          </cell>
        </row>
        <row r="25384">
          <cell r="B25384" t="str">
            <v>51092700000168</v>
          </cell>
          <cell r="C25384" t="str">
            <v>JCC RECUP CAPITAL CTAS CASTG BCA COMRECI4NC</v>
          </cell>
        </row>
        <row r="25385">
          <cell r="B25385" t="str">
            <v>51092700000169</v>
          </cell>
          <cell r="C25385" t="str">
            <v>CL MYP RECUP CAPITAL CTAS CASTG CAP. TRA4NC</v>
          </cell>
        </row>
        <row r="25386">
          <cell r="B25386" t="str">
            <v>51092700000170</v>
          </cell>
          <cell r="C25386" t="str">
            <v>CL MYP RECUP INTERESES CTAS CASTG CAP. T4NC</v>
          </cell>
        </row>
        <row r="25387">
          <cell r="B25387" t="str">
            <v>51092700000171</v>
          </cell>
          <cell r="C25387" t="str">
            <v>JCC CASTIG PRINC RECUP. MYP C.TRAB REV  4NC</v>
          </cell>
        </row>
        <row r="25388">
          <cell r="B25388" t="str">
            <v>51092700000172</v>
          </cell>
          <cell r="C25388" t="str">
            <v>JCC CASTIG INT RECUP. MYP C.TRAB REV    4NC</v>
          </cell>
        </row>
        <row r="25389">
          <cell r="B25389" t="str">
            <v>51092700000173</v>
          </cell>
          <cell r="C25389" t="str">
            <v>JCC CS PENALIDAD INCUMP.PAGO BC CMIE    4NC</v>
          </cell>
        </row>
        <row r="25390">
          <cell r="B25390" t="str">
            <v>51092700000174</v>
          </cell>
          <cell r="C25390" t="str">
            <v>JCC CS PENALIDAD INCUMP.PAGO MYP CMIE   4NC</v>
          </cell>
        </row>
        <row r="25391">
          <cell r="B25391" t="str">
            <v>51092700000175</v>
          </cell>
          <cell r="C25391" t="str">
            <v>JCC CS PENALIDAD INCUMP.PAGO BP EFECTIVO4NC</v>
          </cell>
        </row>
        <row r="25392">
          <cell r="B25392" t="str">
            <v>51092700000176</v>
          </cell>
          <cell r="C25392" t="str">
            <v>JCC CS PENALIDAD INCUMP.PAGO BP VEHICULA4NC</v>
          </cell>
        </row>
        <row r="25393">
          <cell r="B25393" t="str">
            <v>51092700000177</v>
          </cell>
          <cell r="C25393" t="str">
            <v>JCC CS PENALIDAD INCUMP.PAGO BP ADEL SUE4NC</v>
          </cell>
        </row>
        <row r="25394">
          <cell r="B25394" t="str">
            <v>51092700000178</v>
          </cell>
          <cell r="C25394" t="str">
            <v>JCC CS PENALIDAD INCUMP.PAGO BP TARJ CRE4NC</v>
          </cell>
        </row>
        <row r="25395">
          <cell r="B25395" t="str">
            <v>51092700000179</v>
          </cell>
          <cell r="C25395" t="str">
            <v>JCC CS PENALIDAD INCUMP.PAGO BP         4NC</v>
          </cell>
        </row>
        <row r="25396">
          <cell r="B25396" t="str">
            <v>51092700000180</v>
          </cell>
          <cell r="C25396" t="str">
            <v>JCC CS PENALIDAD INCUMP.PAGO BP HIPOTECA4NC</v>
          </cell>
        </row>
        <row r="25397">
          <cell r="B25397" t="str">
            <v>51092700000181</v>
          </cell>
          <cell r="C25397" t="str">
            <v>JCC CS PENALIDAD INCUMP.PAGO BC CCOR    4NC</v>
          </cell>
        </row>
        <row r="25398">
          <cell r="B25398" t="str">
            <v>51092700000182</v>
          </cell>
          <cell r="C25398" t="str">
            <v>JCC CS PENALIDAD INCUMP.PAGO BC CGEM    4NC</v>
          </cell>
        </row>
        <row r="25399">
          <cell r="B25399" t="str">
            <v>51092700000183</v>
          </cell>
          <cell r="C25399" t="str">
            <v>JCC CS PENALIDAD INCUMP.PAGO BC CMED    4NC</v>
          </cell>
        </row>
        <row r="25400">
          <cell r="B25400" t="str">
            <v>51092700000184</v>
          </cell>
          <cell r="C25400" t="str">
            <v>JCC CS PENALIDAD INCUMP.PAGO MYP CMED   4NC</v>
          </cell>
        </row>
        <row r="25401">
          <cell r="B25401" t="str">
            <v>51092700000185</v>
          </cell>
          <cell r="C25401" t="str">
            <v>JCC CS PENALIDAD INCUMP.PAGO BC CPEM    4NC</v>
          </cell>
        </row>
        <row r="25402">
          <cell r="B25402" t="str">
            <v>51092700000186</v>
          </cell>
          <cell r="C25402" t="str">
            <v>JCC CS PENALIDAD INCUMP.PAGO MYP CPEM   4NC</v>
          </cell>
        </row>
        <row r="25403">
          <cell r="B25403" t="str">
            <v>51092700000187</v>
          </cell>
          <cell r="C25403" t="str">
            <v>JCC CS SEGUROS JUD ORIGEN.BANCA COMERCIA4NC</v>
          </cell>
        </row>
        <row r="25404">
          <cell r="B25404" t="str">
            <v>51092700000188</v>
          </cell>
          <cell r="C25404" t="str">
            <v>JCC CS SEGUROS JUD ORIGEN.BANCA PERSONAL4NC</v>
          </cell>
        </row>
        <row r="25405">
          <cell r="B25405" t="str">
            <v>51092700000189</v>
          </cell>
          <cell r="C25405" t="str">
            <v>JCC  CS SEGUROS JUD ORIGEN.MYPES        4NC</v>
          </cell>
        </row>
        <row r="25406">
          <cell r="B25406" t="str">
            <v>51092700000190</v>
          </cell>
          <cell r="C25406" t="str">
            <v>JCC CS GASTOS JUD .BANCA COMERCIAL      4NC</v>
          </cell>
        </row>
        <row r="25407">
          <cell r="B25407" t="str">
            <v>51092700000191</v>
          </cell>
          <cell r="C25407" t="str">
            <v>JCC CS GASTOS JUD .BANCA PERSONAL       4NC</v>
          </cell>
        </row>
        <row r="25408">
          <cell r="B25408" t="str">
            <v>51092700000192</v>
          </cell>
          <cell r="C25408" t="str">
            <v>JCC CS GASTOS JUD .MYPES                4NC</v>
          </cell>
        </row>
        <row r="25409">
          <cell r="B25409" t="str">
            <v>51092700000193</v>
          </cell>
          <cell r="C25409" t="str">
            <v>JCC CS COMISION .BANCA COMERCIAL        4NC</v>
          </cell>
        </row>
        <row r="25410">
          <cell r="B25410" t="str">
            <v>51092700000194</v>
          </cell>
          <cell r="C25410" t="str">
            <v>JCC CS COMISION.BANCA PERSONAL          4NC</v>
          </cell>
        </row>
        <row r="25411">
          <cell r="B25411" t="str">
            <v>51092700000195</v>
          </cell>
          <cell r="C25411" t="str">
            <v>JCC CS COMISION .MYPES                  4NC</v>
          </cell>
        </row>
        <row r="25412">
          <cell r="B25412" t="str">
            <v>51092700000196</v>
          </cell>
          <cell r="C25412" t="str">
            <v>JCC CS GASTOSÂ  DE ORIGEN BANCA COMERCIA4NC</v>
          </cell>
        </row>
        <row r="25413">
          <cell r="B25413" t="str">
            <v>51092700000197</v>
          </cell>
          <cell r="C25413" t="str">
            <v>JCC CS GASTOSÂ  DE ORIGEN BANCA PERSONAL4NC</v>
          </cell>
        </row>
        <row r="25414">
          <cell r="B25414" t="str">
            <v>51092700000198</v>
          </cell>
          <cell r="C25414" t="str">
            <v>JCC CS GASTOS PROTESTO .BANCA COMERCIAL 4NC</v>
          </cell>
        </row>
        <row r="25415">
          <cell r="B25415" t="str">
            <v>51092700000199</v>
          </cell>
          <cell r="C25415" t="str">
            <v>JCC CS GASTOS PROTESTO .BANCA PERSONAL  4NC</v>
          </cell>
        </row>
        <row r="25416">
          <cell r="B25416" t="str">
            <v>51092700000201</v>
          </cell>
          <cell r="C25416" t="str">
            <v>JCC CS GASTOSÂ  DE ORIGEN MYP           4NC</v>
          </cell>
        </row>
        <row r="25417">
          <cell r="B25417" t="str">
            <v>51092700000202</v>
          </cell>
          <cell r="C25417" t="str">
            <v>JCC-BP ING.RECUP.INTERES CASTIG COMP AF 4NC</v>
          </cell>
        </row>
        <row r="25418">
          <cell r="B25418" t="str">
            <v>51092700000203</v>
          </cell>
          <cell r="C25418" t="str">
            <v>JCC-BP ING.RECUP.CAPITAL CASTIG COMP AF 4NC</v>
          </cell>
        </row>
        <row r="25419">
          <cell r="B25419" t="str">
            <v>51092700000204</v>
          </cell>
          <cell r="C25419" t="str">
            <v>JCC-BP  RECUP CAPITAL CASTG TC MASTER   4NC</v>
          </cell>
        </row>
        <row r="25420">
          <cell r="B25420" t="str">
            <v>51092700000205</v>
          </cell>
          <cell r="C25420" t="str">
            <v>JCC-BP RECUP INT. CAST MES TC           4NC</v>
          </cell>
        </row>
        <row r="25421">
          <cell r="B25421" t="str">
            <v>51092700000206</v>
          </cell>
          <cell r="C25421" t="str">
            <v>JCC-BP  ING.RECUP.INT.COND.             4NC</v>
          </cell>
        </row>
        <row r="25422">
          <cell r="B25422" t="str">
            <v>51092700000207</v>
          </cell>
          <cell r="C25422" t="str">
            <v>JCC-BP  ING.RECUP.INT.COND.IM           4NC</v>
          </cell>
        </row>
        <row r="25423">
          <cell r="B25423" t="str">
            <v>51092700000208</v>
          </cell>
          <cell r="C25423" t="str">
            <v>JCC-BP ING.RECUP.INTERES CASTIG TC      4NC</v>
          </cell>
        </row>
        <row r="25424">
          <cell r="B25424" t="str">
            <v>51092700000209</v>
          </cell>
          <cell r="C25424" t="str">
            <v>JCC-BP ING.RECUP.CAPITAL CASTIG TC      4NC</v>
          </cell>
        </row>
        <row r="25425">
          <cell r="B25425" t="str">
            <v>51092700000210</v>
          </cell>
          <cell r="C25425" t="str">
            <v>JCC-MYP ING.RECUP.INT. CASTIG COMP AF   4NC</v>
          </cell>
        </row>
        <row r="25426">
          <cell r="B25426" t="str">
            <v>51092700000211</v>
          </cell>
          <cell r="C25426" t="str">
            <v>JCC-MYP ING.RECUP.CAP. CASTIG COMP AF   4NC</v>
          </cell>
        </row>
        <row r="25427">
          <cell r="B25427" t="str">
            <v>51092700000212</v>
          </cell>
          <cell r="C25427" t="str">
            <v>JCC-MYP ING.RECUP.INT.COND.             4NC</v>
          </cell>
        </row>
        <row r="25428">
          <cell r="B25428" t="str">
            <v>51092700000301</v>
          </cell>
          <cell r="C25428" t="str">
            <v>JCC INGRES RECUP CAP REF TC             4NC</v>
          </cell>
        </row>
        <row r="25429">
          <cell r="B25429" t="str">
            <v>51092700000302</v>
          </cell>
          <cell r="C25429" t="str">
            <v>JCC INGRES RECUP INT REF TC             4NC</v>
          </cell>
        </row>
        <row r="25430">
          <cell r="B25430" t="str">
            <v>51092700000303</v>
          </cell>
          <cell r="C25430" t="str">
            <v>JCC INGRES.RECUP.INTERES CASTIG REACTIVA4NC</v>
          </cell>
        </row>
        <row r="25431">
          <cell r="B25431" t="str">
            <v>51092700000304</v>
          </cell>
          <cell r="C25431" t="str">
            <v>JCC INGRES.RECUP.CAPITAL CASTIG REACTIVA4NC</v>
          </cell>
        </row>
        <row r="25432">
          <cell r="B25432" t="str">
            <v>51092700000305</v>
          </cell>
          <cell r="C25432" t="str">
            <v>JCC INGRES.RECUP. REACTIVA PERU         4NC</v>
          </cell>
        </row>
        <row r="25433">
          <cell r="B25433" t="str">
            <v>51092700000306</v>
          </cell>
          <cell r="C25433" t="str">
            <v>JCC INGRES.RECUP.INTERES CASTIG REACTIVA4 C</v>
          </cell>
        </row>
        <row r="25434">
          <cell r="B25434" t="str">
            <v>51092700000307</v>
          </cell>
          <cell r="C25434" t="str">
            <v>JCC INGRES.RECUP.CAPITAL CASTIG REACTIVA4 C</v>
          </cell>
        </row>
        <row r="25435">
          <cell r="B25435" t="str">
            <v>51092700000308</v>
          </cell>
          <cell r="C25435" t="str">
            <v>JCC INGRES.RECUP. REACTIVA PERU         4 C</v>
          </cell>
        </row>
        <row r="25436">
          <cell r="B25436" t="str">
            <v>51092700000309</v>
          </cell>
          <cell r="C25436" t="str">
            <v>JCC INGRES.RECUP.INTERES CASTIG FONDO CR4 C</v>
          </cell>
        </row>
        <row r="25437">
          <cell r="B25437" t="str">
            <v>51092700000310</v>
          </cell>
          <cell r="C25437" t="str">
            <v>JCC INGRES.RECUP.CAPITAL CASTIG FONDO CR4 C</v>
          </cell>
        </row>
        <row r="25438">
          <cell r="B25438" t="str">
            <v>51092700000311</v>
          </cell>
          <cell r="C25438" t="str">
            <v>JCC INGRES.RECUP. FONDO CRECER          4 C</v>
          </cell>
        </row>
        <row r="25439">
          <cell r="B25439" t="str">
            <v>51092700000312</v>
          </cell>
          <cell r="C25439" t="str">
            <v>JCC INGRES.RECUP.INTERES CASTIG FONDO CR4 C</v>
          </cell>
        </row>
        <row r="25440">
          <cell r="B25440" t="str">
            <v>51092700000313</v>
          </cell>
          <cell r="C25440" t="str">
            <v>JCC INGRES.RECUP.CAPITAL CASTIG FONDO CR4 C</v>
          </cell>
        </row>
        <row r="25441">
          <cell r="B25441" t="str">
            <v>51092700000314</v>
          </cell>
          <cell r="C25441" t="str">
            <v>JCC INGRES.RECUP. FONDO CRECER          4 C</v>
          </cell>
        </row>
        <row r="25442">
          <cell r="B25442" t="str">
            <v>51092700000315</v>
          </cell>
          <cell r="C25442" t="str">
            <v>JCC INGRES.RECUP.INT CASTIG REACT PRE-HO4 C</v>
          </cell>
        </row>
        <row r="25443">
          <cell r="B25443" t="str">
            <v>51092700000316</v>
          </cell>
          <cell r="C25443" t="str">
            <v>JCC ING.RECUP.CAPITAL CASTIG REACT PRE-H4 C</v>
          </cell>
        </row>
        <row r="25444">
          <cell r="B25444" t="str">
            <v>51092700000317</v>
          </cell>
          <cell r="C25444" t="str">
            <v>JCC INGRES.RECUP. REACTIVA PRE-HONRAMIEN4 C</v>
          </cell>
        </row>
        <row r="25445">
          <cell r="B25445" t="str">
            <v>51092700000318</v>
          </cell>
          <cell r="C25445" t="str">
            <v>JCC ING.RECUP.INT CASTIG REACTIVA PRE-HO4 C</v>
          </cell>
        </row>
        <row r="25446">
          <cell r="B25446" t="str">
            <v>51092700000319</v>
          </cell>
          <cell r="C25446" t="str">
            <v>JCC ING.RECUP.CAPITAL CASTIG REACT PRE-H4 C</v>
          </cell>
        </row>
        <row r="25447">
          <cell r="B25447" t="str">
            <v>51092700000320</v>
          </cell>
          <cell r="C25447" t="str">
            <v>JCC INGRES.RECUP. REACTIVA PRE-HONRAMIEN4 C</v>
          </cell>
        </row>
        <row r="25448">
          <cell r="B25448" t="str">
            <v>51092700000321</v>
          </cell>
          <cell r="C25448" t="str">
            <v>JCC RECUP.INT.COND.REACTIVA MYP         4 C</v>
          </cell>
        </row>
        <row r="25449">
          <cell r="B25449" t="str">
            <v>51092700000322</v>
          </cell>
          <cell r="C25449" t="str">
            <v>JCC RECUP.INT.COND.FDO CRECER MYP       4 C</v>
          </cell>
        </row>
        <row r="25450">
          <cell r="B25450" t="str">
            <v>51092700000323</v>
          </cell>
          <cell r="C25450" t="str">
            <v>JCC RECUP.INT.COND.REACTIVA HORAMIENTO M4 C</v>
          </cell>
        </row>
        <row r="25451">
          <cell r="B25451" t="str">
            <v>51092700000324</v>
          </cell>
          <cell r="C25451" t="str">
            <v>JCC RECUP.INT.COND.REACTIVA LPC         4 C</v>
          </cell>
        </row>
        <row r="25452">
          <cell r="B25452" t="str">
            <v>51092700000325</v>
          </cell>
          <cell r="C25452" t="str">
            <v>JCC RECUP.INT.COND.FDO CRECER LPC       4 C</v>
          </cell>
        </row>
        <row r="25453">
          <cell r="B25453" t="str">
            <v>51092700000326</v>
          </cell>
          <cell r="C25453" t="str">
            <v>JCC RECUP.INT.COND.REACTIVA HORAMIENTO L4 C</v>
          </cell>
        </row>
        <row r="25454">
          <cell r="B25454" t="str">
            <v>51092700000327</v>
          </cell>
          <cell r="C25454" t="str">
            <v>JCC INGRES.RECUP.INTERES CASTIG RAPPIBAN4 C</v>
          </cell>
        </row>
        <row r="25455">
          <cell r="B25455" t="str">
            <v>51092700000328</v>
          </cell>
          <cell r="C25455" t="str">
            <v>JCC INGRES.RECUP.CAPITAL CASTIG RAPPIBAN4 C</v>
          </cell>
        </row>
        <row r="25456">
          <cell r="B25456" t="str">
            <v>51092700000329</v>
          </cell>
          <cell r="C25456" t="str">
            <v>JCC MP INGRES.RECUP.INT CASTIG IMPULSO M4 C</v>
          </cell>
        </row>
        <row r="25457">
          <cell r="B25457" t="str">
            <v>51092700000330</v>
          </cell>
          <cell r="C25457" t="str">
            <v>JCC MP INGRES.RECUP.CAP CASTIG IMPULSO M4 C</v>
          </cell>
        </row>
        <row r="25458">
          <cell r="B25458" t="str">
            <v>51092700000331</v>
          </cell>
          <cell r="C25458" t="str">
            <v>JCC BC ING.RECUP.INT CASTIG IMPULSO MYPE4 C</v>
          </cell>
        </row>
        <row r="25459">
          <cell r="B25459" t="str">
            <v>51092700000332</v>
          </cell>
          <cell r="C25459" t="str">
            <v>JCC BC ING.RECUP.CAP CASTIG IMPULSO MYPE4 C</v>
          </cell>
        </row>
        <row r="25460">
          <cell r="B25460" t="str">
            <v>51092700000333</v>
          </cell>
          <cell r="C25460" t="str">
            <v>JCC MP CASTIGO IMPLUSO MYPERU HONRADO IB4 C</v>
          </cell>
        </row>
        <row r="25461">
          <cell r="B25461" t="str">
            <v>51092700000334</v>
          </cell>
          <cell r="C25461" t="str">
            <v>JCC MP CASTIGO IMPLUSO MYPERU HONRADO IB4 C</v>
          </cell>
        </row>
        <row r="25462">
          <cell r="B25462" t="str">
            <v>51092700000335</v>
          </cell>
          <cell r="C25462" t="str">
            <v>JCC CCD RECUPERO CAPITAL DE TRABAJO CMIE4 C</v>
          </cell>
        </row>
        <row r="25463">
          <cell r="B25463" t="str">
            <v>52010100000101</v>
          </cell>
          <cell r="C25463" t="str">
            <v>COMISION AVALES                         4NC</v>
          </cell>
        </row>
        <row r="25464">
          <cell r="B25464" t="str">
            <v>52010200000101</v>
          </cell>
          <cell r="C25464" t="str">
            <v>CARTAS FIANZA                           4NC</v>
          </cell>
        </row>
        <row r="25465">
          <cell r="B25465" t="str">
            <v>52010200000102</v>
          </cell>
          <cell r="C25465" t="str">
            <v>CARTA FIANZA DELIVERY                   4NC</v>
          </cell>
        </row>
        <row r="25466">
          <cell r="B25466" t="str">
            <v>52010300000101</v>
          </cell>
          <cell r="C25466" t="str">
            <v>COM PAGO DIFERIDO C/C IMPORTACION       4NC</v>
          </cell>
        </row>
        <row r="25467">
          <cell r="B25467" t="str">
            <v>52010300000102</v>
          </cell>
          <cell r="C25467" t="str">
            <v>INT REEMBOLSO-C/C IMPORTACION           4NC</v>
          </cell>
        </row>
        <row r="25468">
          <cell r="B25468" t="str">
            <v>52010300000103</v>
          </cell>
          <cell r="C25468" t="str">
            <v>COM.C/C EXPO.CONFIRMADAS                4NC</v>
          </cell>
        </row>
        <row r="25469">
          <cell r="B25469" t="str">
            <v>52010300000104</v>
          </cell>
          <cell r="C25469" t="str">
            <v>COM VISTA C/C IMPORTACION               4NC</v>
          </cell>
        </row>
        <row r="25470">
          <cell r="B25470" t="str">
            <v>52010300000105</v>
          </cell>
          <cell r="C25470" t="str">
            <v>COM.C/C EXPO.AVISADAS                   4NC</v>
          </cell>
        </row>
        <row r="25471">
          <cell r="B25471" t="str">
            <v>52010300000106</v>
          </cell>
          <cell r="C25471" t="str">
            <v>COM.C/C EXPO.ALADI                      4NC</v>
          </cell>
        </row>
        <row r="25472">
          <cell r="B25472" t="str">
            <v>52010300000107</v>
          </cell>
          <cell r="C25472" t="str">
            <v>COM.COBRANZAS DE EXPORTACION            4NC</v>
          </cell>
        </row>
        <row r="25473">
          <cell r="B25473" t="str">
            <v>52010300000108</v>
          </cell>
          <cell r="C25473" t="str">
            <v>COM COB DE IMPORTACION SIMPLE           4NC</v>
          </cell>
        </row>
        <row r="25474">
          <cell r="B25474" t="str">
            <v>52010300000109</v>
          </cell>
          <cell r="C25474" t="str">
            <v>COM.REBATES C.CREDITO EXTERIOR-IMPO     4NC</v>
          </cell>
        </row>
        <row r="25475">
          <cell r="B25475" t="str">
            <v>52010300000110</v>
          </cell>
          <cell r="C25475" t="str">
            <v>COM.REBATES COBRANZAS DE EXPORTACION    4NC</v>
          </cell>
        </row>
        <row r="25476">
          <cell r="B25476" t="str">
            <v>52010300000111</v>
          </cell>
          <cell r="C25476" t="str">
            <v>COM FACTORING INT                       4NC</v>
          </cell>
        </row>
        <row r="25477">
          <cell r="B25477" t="str">
            <v>52010300000112</v>
          </cell>
          <cell r="C25477" t="str">
            <v>COM VAL IMP FACTORING INT               4NC</v>
          </cell>
        </row>
        <row r="25478">
          <cell r="B25478" t="str">
            <v>52010300000801</v>
          </cell>
          <cell r="C25478" t="str">
            <v>PAN CARTAS DE CREDITO                   4NC</v>
          </cell>
        </row>
        <row r="25479">
          <cell r="B25479" t="str">
            <v>52010400000101</v>
          </cell>
          <cell r="C25479" t="str">
            <v>COM ACEPTACION C/C IMPORTACION          4NC</v>
          </cell>
        </row>
        <row r="25480">
          <cell r="B25480" t="str">
            <v>52010400000102</v>
          </cell>
          <cell r="C25480" t="str">
            <v>COM ACEPTACION C/C EXPORTACION          4NC</v>
          </cell>
        </row>
        <row r="25481">
          <cell r="B25481" t="str">
            <v>52020100000101</v>
          </cell>
          <cell r="C25481" t="str">
            <v>IB COM MANT CTA CTE PN REG              4NC</v>
          </cell>
        </row>
        <row r="25482">
          <cell r="B25482" t="str">
            <v>52020100000102</v>
          </cell>
          <cell r="C25482" t="str">
            <v>IB COM MANT CTA CTE PJ C/F REG          4NC</v>
          </cell>
        </row>
        <row r="25483">
          <cell r="B25483" t="str">
            <v>52020100000105</v>
          </cell>
          <cell r="C25483" t="str">
            <v>IB COM MANT CTA CTE PJ S/F REG          4NC</v>
          </cell>
        </row>
        <row r="25484">
          <cell r="B25484" t="str">
            <v>52020100000107</v>
          </cell>
          <cell r="C25484" t="str">
            <v>IB COM MANT CTA CTE PN VENC             4NC</v>
          </cell>
        </row>
        <row r="25485">
          <cell r="B25485" t="str">
            <v>52020100000108</v>
          </cell>
          <cell r="C25485" t="str">
            <v>IB COM MANT CTA CTE PJ C/F VENC         4NC</v>
          </cell>
        </row>
        <row r="25486">
          <cell r="B25486" t="str">
            <v>52020100000109</v>
          </cell>
          <cell r="C25486" t="str">
            <v>IB COM MANT CTA CTE PJ S/F VENC         4NC</v>
          </cell>
        </row>
        <row r="25487">
          <cell r="B25487" t="str">
            <v>52020100000110</v>
          </cell>
          <cell r="C25487" t="str">
            <v>CTA CTE NEG PN/PJ MANTENIMIENTO         4NC</v>
          </cell>
        </row>
        <row r="25488">
          <cell r="B25488" t="str">
            <v>52020200000102</v>
          </cell>
          <cell r="C25488" t="str">
            <v>COM COBRANZAS VARIAS-CL                 4NC</v>
          </cell>
        </row>
        <row r="25489">
          <cell r="B25489" t="str">
            <v>52020200000106</v>
          </cell>
          <cell r="C25489" t="str">
            <v>COM LETRAS Y FACTURAS                   4NC</v>
          </cell>
        </row>
        <row r="25490">
          <cell r="B25490" t="str">
            <v>52020200000107</v>
          </cell>
          <cell r="C25490" t="str">
            <v>LPC PORTES LEASING                      4NC</v>
          </cell>
        </row>
        <row r="25491">
          <cell r="B25491" t="str">
            <v>52020300000101</v>
          </cell>
          <cell r="C25491" t="str">
            <v>CUSTODIA DE VALORES                     4NC</v>
          </cell>
        </row>
        <row r="25492">
          <cell r="B25492" t="str">
            <v>52020300000102</v>
          </cell>
          <cell r="C25492" t="str">
            <v>CUSTODIA DE VALORES-INTERFONDOS         4NC</v>
          </cell>
        </row>
        <row r="25493">
          <cell r="B25493" t="str">
            <v>52020400000103</v>
          </cell>
          <cell r="C25493" t="str">
            <v>COM FIDEICOMISO DAEWOO                  4NC</v>
          </cell>
        </row>
        <row r="25494">
          <cell r="B25494" t="str">
            <v>52020400000105</v>
          </cell>
          <cell r="C25494" t="str">
            <v>COM.FIDEICOMISO-BCA.CORPORATIVA         4NC</v>
          </cell>
        </row>
        <row r="25495">
          <cell r="B25495" t="str">
            <v>52020400000111</v>
          </cell>
          <cell r="C25495" t="str">
            <v>COM.FIDEICOMISOS TITULIZADOS            4NC</v>
          </cell>
        </row>
        <row r="25496">
          <cell r="B25496" t="str">
            <v>52020400000201</v>
          </cell>
          <cell r="C25496" t="str">
            <v>HPC COMISION CRED.HIP TITULIZADORA      4NC</v>
          </cell>
        </row>
        <row r="25497">
          <cell r="B25497" t="str">
            <v>52020500000101</v>
          </cell>
          <cell r="C25497" t="str">
            <v>COMISIONES DE CONFIANZA                 4NC</v>
          </cell>
        </row>
        <row r="25498">
          <cell r="B25498" t="str">
            <v>52020500000102</v>
          </cell>
          <cell r="C25498" t="str">
            <v>COMISIONES DE CONFIANZA - ADM PORTAFO   4NC</v>
          </cell>
        </row>
        <row r="25499">
          <cell r="B25499" t="str">
            <v>52020600000219</v>
          </cell>
          <cell r="C25499" t="str">
            <v>CDO TC SERV RETIRO CAJERO / MON VIG     4NC</v>
          </cell>
        </row>
        <row r="25500">
          <cell r="B25500" t="str">
            <v>52020600000220</v>
          </cell>
          <cell r="C25500" t="str">
            <v>CDO TC SERV RETIRO CAJERO / MON VENC    4NC</v>
          </cell>
        </row>
        <row r="25501">
          <cell r="B25501" t="str">
            <v>52020600000221</v>
          </cell>
          <cell r="C25501" t="str">
            <v>SAT TC SERV RETIRO CAJERO / MON VIG     4NC</v>
          </cell>
        </row>
        <row r="25502">
          <cell r="B25502" t="str">
            <v>52020600000222</v>
          </cell>
          <cell r="C25502" t="str">
            <v>SAT TC SERV RETIRO CAJERO / MON VENC    4NC</v>
          </cell>
        </row>
        <row r="25503">
          <cell r="B25503" t="str">
            <v>52020600000223</v>
          </cell>
          <cell r="C25503" t="str">
            <v>CDO TC SERV POR MODIFICAC DE PLAZO VIG  4NC</v>
          </cell>
        </row>
        <row r="25504">
          <cell r="B25504" t="str">
            <v>52020600000224</v>
          </cell>
          <cell r="C25504" t="str">
            <v>CDO TC SERV POR MODIFICAC DE PLAZO VENC 4NC</v>
          </cell>
        </row>
        <row r="25505">
          <cell r="B25505" t="str">
            <v>52020600000225</v>
          </cell>
          <cell r="C25505" t="str">
            <v>SAT TC SERV POR MODIFICAC DE PLAZO VIG  4NC</v>
          </cell>
        </row>
        <row r="25506">
          <cell r="B25506" t="str">
            <v>52020600000226</v>
          </cell>
          <cell r="C25506" t="str">
            <v>SAT TC SERV POR MODIFICAC DE PLAZO VENC 4NC</v>
          </cell>
        </row>
        <row r="25507">
          <cell r="B25507" t="str">
            <v>52020600000701</v>
          </cell>
          <cell r="C25507" t="str">
            <v>COMISION RENOVACION TC RECARGA          4NC</v>
          </cell>
        </row>
        <row r="25508">
          <cell r="B25508" t="str">
            <v>52020600000702</v>
          </cell>
          <cell r="C25508" t="str">
            <v>COMISION REPOSICION TC RECARGA          4NC</v>
          </cell>
        </row>
        <row r="25509">
          <cell r="B25509" t="str">
            <v>52020600000703</v>
          </cell>
          <cell r="C25509" t="str">
            <v>COMISION DISP EFECT TC RECARGA          4NC</v>
          </cell>
        </row>
        <row r="25510">
          <cell r="B25510" t="str">
            <v>52020600000704</v>
          </cell>
          <cell r="C25510" t="str">
            <v>COMISION SERV TARJETA TC RECARGA        4NC</v>
          </cell>
        </row>
        <row r="25511">
          <cell r="B25511" t="str">
            <v>52020600000705</v>
          </cell>
          <cell r="C25511" t="str">
            <v>MANTENIMIENTO TC RECARGA                4NC</v>
          </cell>
        </row>
        <row r="25512">
          <cell r="B25512" t="str">
            <v>52020600000706</v>
          </cell>
          <cell r="C25512" t="str">
            <v>SEGURO DESGRAVAMEN TC RECARGA           4NC</v>
          </cell>
        </row>
        <row r="25513">
          <cell r="B25513" t="str">
            <v>52020600000901</v>
          </cell>
          <cell r="C25513" t="str">
            <v>COM CONSULTA DE SALDOS BANMAT           4NC</v>
          </cell>
        </row>
        <row r="25514">
          <cell r="B25514" t="str">
            <v>52020700000101</v>
          </cell>
          <cell r="C25514" t="str">
            <v>GIROS                                   4NC</v>
          </cell>
        </row>
        <row r="25515">
          <cell r="B25515" t="str">
            <v>52020800000101</v>
          </cell>
          <cell r="C25515" t="str">
            <v>COM.SERV.TRANSFER - WESTERN UNION       4NC</v>
          </cell>
        </row>
        <row r="25516">
          <cell r="B25516" t="str">
            <v>52020800000102</v>
          </cell>
          <cell r="C25516" t="str">
            <v>COM TRANSFERENCIAS OUTGOING             4NC</v>
          </cell>
        </row>
        <row r="25517">
          <cell r="B25517" t="str">
            <v>52020800000103</v>
          </cell>
          <cell r="C25517" t="str">
            <v>IB COM TF OP CTA CTE PN                 4NC</v>
          </cell>
        </row>
        <row r="25518">
          <cell r="B25518" t="str">
            <v>52020800000105</v>
          </cell>
          <cell r="C25518" t="str">
            <v>COM.TRANSFERENCIAS BCR                  4NC</v>
          </cell>
        </row>
        <row r="25519">
          <cell r="B25519" t="str">
            <v>52020800000107</v>
          </cell>
          <cell r="C25519" t="str">
            <v>COM TRANSFERENCIAS-TELEX                4NC</v>
          </cell>
        </row>
        <row r="25520">
          <cell r="B25520" t="str">
            <v>52020800000108</v>
          </cell>
          <cell r="C25520" t="str">
            <v>IB COM TF OP CTA CTE PJ S/F             4NC</v>
          </cell>
        </row>
        <row r="25521">
          <cell r="B25521" t="str">
            <v>52020800000109</v>
          </cell>
          <cell r="C25521" t="str">
            <v>IB COM TF OP CTA CTE PJ C/F             4NC</v>
          </cell>
        </row>
        <row r="25522">
          <cell r="B25522" t="str">
            <v>52020800000113</v>
          </cell>
          <cell r="C25522" t="str">
            <v>COM ITB IB VENTANILLA                   4NC</v>
          </cell>
        </row>
        <row r="25523">
          <cell r="B25523" t="str">
            <v>52020800000114</v>
          </cell>
          <cell r="C25523" t="str">
            <v>COM ITB IB ATM                          4NC</v>
          </cell>
        </row>
        <row r="25524">
          <cell r="B25524" t="str">
            <v>52020800000115</v>
          </cell>
          <cell r="C25524" t="str">
            <v>COM ITB IB NETACTIVA                    4NC</v>
          </cell>
        </row>
        <row r="25525">
          <cell r="B25525" t="str">
            <v>52020800000116</v>
          </cell>
          <cell r="C25525" t="str">
            <v>COM CAMARA COMPENSACION ELECTRON        4NC</v>
          </cell>
        </row>
        <row r="25526">
          <cell r="B25526" t="str">
            <v>52020800000117</v>
          </cell>
          <cell r="C25526" t="str">
            <v>COM TIB OTROS BANCOS                    4NC</v>
          </cell>
        </row>
        <row r="25527">
          <cell r="B25527" t="str">
            <v>52020800000118</v>
          </cell>
          <cell r="C25527" t="str">
            <v>COM TRANSFERENCIAS INCOMING             4NC</v>
          </cell>
        </row>
        <row r="25528">
          <cell r="B25528" t="str">
            <v>52020800000119</v>
          </cell>
          <cell r="C25528" t="str">
            <v>COM.REBATES TRANSFERENCIAS EXTERIOR     4NC</v>
          </cell>
        </row>
        <row r="25529">
          <cell r="B25529" t="str">
            <v>52020800000120</v>
          </cell>
          <cell r="C25529" t="str">
            <v>COMISIONES REMESAS                      4NC</v>
          </cell>
        </row>
        <row r="25530">
          <cell r="B25530" t="str">
            <v>52020800000121</v>
          </cell>
          <cell r="C25530" t="str">
            <v>COM.DE CORRESPONSAL OUR                 4NC</v>
          </cell>
        </row>
        <row r="25531">
          <cell r="B25531" t="str">
            <v>52020800000123</v>
          </cell>
          <cell r="C25531" t="str">
            <v>COMISIONES OUR                          4NC</v>
          </cell>
        </row>
        <row r="25532">
          <cell r="B25532" t="str">
            <v>52020800000125</v>
          </cell>
          <cell r="C25532" t="str">
            <v>COMISION CONFIRM.ABONO ITB              4NC</v>
          </cell>
        </row>
        <row r="25533">
          <cell r="B25533" t="str">
            <v>52020800000126</v>
          </cell>
          <cell r="C25533" t="str">
            <v>COMISION REMESA AL EXTERIOR             4NC</v>
          </cell>
        </row>
        <row r="25534">
          <cell r="B25534" t="str">
            <v>52020800000127</v>
          </cell>
          <cell r="C25534" t="str">
            <v>CTA CTE  NEG PN/PJ COMISION INTEGRACION 4NC</v>
          </cell>
        </row>
        <row r="25535">
          <cell r="B25535" t="str">
            <v>52020800000801</v>
          </cell>
          <cell r="C25535" t="str">
            <v>COM TRANSFERENCIAS - TELEX IB PANAMA    4NC</v>
          </cell>
        </row>
        <row r="25536">
          <cell r="B25536" t="str">
            <v>52020900000101</v>
          </cell>
          <cell r="C25536" t="str">
            <v>CHEQUES DE GERENCIA                     4NC</v>
          </cell>
        </row>
        <row r="25537">
          <cell r="B25537" t="str">
            <v>52021100000101</v>
          </cell>
          <cell r="C25537" t="str">
            <v>CHEQUES DE VIAJERO ACEPTACION           4NC</v>
          </cell>
        </row>
        <row r="25538">
          <cell r="B25538" t="str">
            <v>52021100002001</v>
          </cell>
          <cell r="C25538" t="str">
            <v>COM VENTA DE CHEQUES DE VIAJERO         4NC</v>
          </cell>
        </row>
        <row r="25539">
          <cell r="B25539" t="str">
            <v>52021300000101</v>
          </cell>
          <cell r="C25539" t="str">
            <v>COMISIONES ESTADO DE CUENTA             4NC</v>
          </cell>
        </row>
        <row r="25540">
          <cell r="B25540" t="str">
            <v>52021400000101</v>
          </cell>
          <cell r="C25540" t="str">
            <v>INGRESO POR TASACIONES                  4NC</v>
          </cell>
        </row>
        <row r="25541">
          <cell r="B25541" t="str">
            <v>52021400000102</v>
          </cell>
          <cell r="C25541" t="str">
            <v>COM. SERVICIOS LEGALES                  4NC</v>
          </cell>
        </row>
        <row r="25542">
          <cell r="B25542" t="str">
            <v>52021400000103</v>
          </cell>
          <cell r="C25542" t="str">
            <v>CONTRATOS SERVICIOS LEGALES             4NC</v>
          </cell>
        </row>
        <row r="25543">
          <cell r="B25543" t="str">
            <v>52021400000104</v>
          </cell>
          <cell r="C25543" t="str">
            <v>COMISIONES RETENCIONES LEGALES          4NC</v>
          </cell>
        </row>
        <row r="25544">
          <cell r="B25544" t="str">
            <v>52021400000105</v>
          </cell>
          <cell r="C25544" t="str">
            <v>COMIS. Y GTOS. HIPOTEC.                 4NC</v>
          </cell>
        </row>
        <row r="25545">
          <cell r="B25545" t="str">
            <v>52021400000106</v>
          </cell>
          <cell r="C25545" t="str">
            <v>COMISIONES NEGOCIO INMOBILIARIO         4NC</v>
          </cell>
        </row>
        <row r="25546">
          <cell r="B25546" t="str">
            <v>52021400000108</v>
          </cell>
          <cell r="C25546" t="str">
            <v>REGISTRALES Y NOTARIALES                4NC</v>
          </cell>
        </row>
        <row r="25547">
          <cell r="B25547" t="str">
            <v>52021400000109</v>
          </cell>
          <cell r="C25547" t="str">
            <v>COMISIONES DIV. LEGAL                   4NC</v>
          </cell>
        </row>
        <row r="25548">
          <cell r="B25548" t="str">
            <v>52021400000110</v>
          </cell>
          <cell r="C25548" t="str">
            <v>HPC.GASTOS REGISTRALES NOTARIALES       4NC</v>
          </cell>
        </row>
        <row r="25549">
          <cell r="B25549" t="str">
            <v>52021400000112</v>
          </cell>
          <cell r="C25549" t="str">
            <v>ESTUDIOS TECNICOS Y LEGALES             4NC</v>
          </cell>
        </row>
        <row r="25550">
          <cell r="B25550" t="str">
            <v>52021400000113</v>
          </cell>
          <cell r="C25550" t="str">
            <v>IM COM EST PODERES CTA NEGOCIOS PJ Y PN 4NC</v>
          </cell>
        </row>
        <row r="25551">
          <cell r="B25551" t="str">
            <v>52021400000114</v>
          </cell>
          <cell r="C25551" t="str">
            <v>ST COM EST PODERES CTA AHO PJ           4NC</v>
          </cell>
        </row>
        <row r="25552">
          <cell r="B25552" t="str">
            <v>52021400000115</v>
          </cell>
          <cell r="C25552" t="str">
            <v>COMISION GASTOS NOTARIALES BN           4 C</v>
          </cell>
        </row>
        <row r="25553">
          <cell r="B25553" t="str">
            <v>52021500000101</v>
          </cell>
          <cell r="C25553" t="str">
            <v>COM.SERV.ASESORIA FIN.-BANCA CORP.      4NC</v>
          </cell>
        </row>
        <row r="25554">
          <cell r="B25554" t="str">
            <v>52021500000102</v>
          </cell>
          <cell r="C25554" t="str">
            <v>COMISION POR ESTRUCTURACION BC          4NC</v>
          </cell>
        </row>
        <row r="25555">
          <cell r="B25555" t="str">
            <v>52021500000103</v>
          </cell>
          <cell r="C25555" t="str">
            <v>COMISION POR EXITO Y DESEMBOLSO         4NC</v>
          </cell>
        </row>
        <row r="25556">
          <cell r="B25556" t="str">
            <v>52021500000104</v>
          </cell>
          <cell r="C25556" t="str">
            <v>COMISION POR MANEJO OPERATIVO           4NC</v>
          </cell>
        </row>
        <row r="25557">
          <cell r="B25557" t="str">
            <v>52021500000106</v>
          </cell>
          <cell r="C25557" t="str">
            <v>COMISION ESTRUCTURACION FINANZAS CORPORA4NC</v>
          </cell>
        </row>
        <row r="25558">
          <cell r="B25558" t="str">
            <v>52021500000107</v>
          </cell>
          <cell r="C25558" t="str">
            <v>COMISION POR ESTRUCTURACION - CAJA RURAL4NC</v>
          </cell>
        </row>
        <row r="25559">
          <cell r="B25559" t="str">
            <v>52021500000108</v>
          </cell>
          <cell r="C25559" t="str">
            <v>INGRESO FINCORP                         4NC</v>
          </cell>
        </row>
        <row r="25560">
          <cell r="B25560" t="str">
            <v>52021500000109</v>
          </cell>
          <cell r="C25560" t="str">
            <v>INGRESO COFIDE                          4NC</v>
          </cell>
        </row>
        <row r="25561">
          <cell r="B25561" t="str">
            <v>52021600000101</v>
          </cell>
          <cell r="C25561" t="str">
            <v>COM. COBRO DE TRIBUTOS                  4NC</v>
          </cell>
        </row>
        <row r="25562">
          <cell r="B25562" t="str">
            <v>52022000000101</v>
          </cell>
          <cell r="C25562" t="str">
            <v>COM.C/C EXPO.AVISADAS                   4NC</v>
          </cell>
        </row>
        <row r="25563">
          <cell r="B25563" t="str">
            <v>52022000000102</v>
          </cell>
          <cell r="C25563" t="str">
            <v>COM.C/C EXPO.ALADI                      4NC</v>
          </cell>
        </row>
        <row r="25564">
          <cell r="B25564" t="str">
            <v>52022300000101</v>
          </cell>
          <cell r="C25564" t="str">
            <v>COM.COBRANZAS DE EXPORTACION            4NC</v>
          </cell>
        </row>
        <row r="25565">
          <cell r="B25565" t="str">
            <v>52022300000102</v>
          </cell>
          <cell r="C25565" t="str">
            <v>COM COB DE IMPORTACION SIMPLE           4NC</v>
          </cell>
        </row>
        <row r="25566">
          <cell r="B25566" t="str">
            <v>52022300000103</v>
          </cell>
          <cell r="C25566" t="str">
            <v>COM.REBATES C.CREDITO EXTERIOR-IMPO     4NC</v>
          </cell>
        </row>
        <row r="25567">
          <cell r="B25567" t="str">
            <v>52022300000104</v>
          </cell>
          <cell r="C25567" t="str">
            <v>COM.REBATES COBRANZAS DE EXPORTACION    4NC</v>
          </cell>
        </row>
        <row r="25568">
          <cell r="B25568" t="str">
            <v>52022300000106</v>
          </cell>
          <cell r="C25568" t="str">
            <v>COM FACTORING INT                       4NC</v>
          </cell>
        </row>
        <row r="25569">
          <cell r="B25569" t="str">
            <v>52022300000107</v>
          </cell>
          <cell r="C25569" t="str">
            <v>COM VAL IMP FACTORING INT               4NC</v>
          </cell>
        </row>
        <row r="25570">
          <cell r="B25570" t="str">
            <v>52022900000101</v>
          </cell>
          <cell r="C25570" t="str">
            <v>COM. CHEQUE RECHAZADO - CANJE           4NC</v>
          </cell>
        </row>
        <row r="25571">
          <cell r="B25571" t="str">
            <v>52022900000102</v>
          </cell>
          <cell r="C25571" t="str">
            <v>COM DE ACTIVACION LEASING               4NC</v>
          </cell>
        </row>
        <row r="25572">
          <cell r="B25572" t="str">
            <v>52022900000103</v>
          </cell>
          <cell r="C25572" t="str">
            <v>COMISION DEPOSITO CHEQUE                4NC</v>
          </cell>
        </row>
        <row r="25573">
          <cell r="B25573" t="str">
            <v>52022900000104</v>
          </cell>
          <cell r="C25573" t="str">
            <v>COMISION POR CARGO EN CUENTA            4NC</v>
          </cell>
        </row>
        <row r="25574">
          <cell r="B25574" t="str">
            <v>52022900000112</v>
          </cell>
          <cell r="C25574" t="str">
            <v>COMISIONES - LINEA ACTIVA               4NC</v>
          </cell>
        </row>
        <row r="25575">
          <cell r="B25575" t="str">
            <v>52022900000113</v>
          </cell>
          <cell r="C25575" t="str">
            <v>COM.SERVICIOS LUZ AGUA TELEF-USUARIOS   4NC</v>
          </cell>
        </row>
        <row r="25576">
          <cell r="B25576" t="str">
            <v>52022900000114</v>
          </cell>
          <cell r="C25576" t="str">
            <v>IB COM MOV VENT CTA CTE PN              4NC</v>
          </cell>
        </row>
        <row r="25577">
          <cell r="B25577" t="str">
            <v>52022900000116</v>
          </cell>
          <cell r="C25577" t="str">
            <v>COMISIONES POR SERVICIO - CONVENIO      4NC</v>
          </cell>
        </row>
        <row r="25578">
          <cell r="B25578" t="str">
            <v>52022900000118</v>
          </cell>
          <cell r="C25578" t="str">
            <v>COM INGRESO DE GARANTIAS                4NC</v>
          </cell>
        </row>
        <row r="25579">
          <cell r="B25579" t="str">
            <v>52022900000119</v>
          </cell>
          <cell r="C25579" t="str">
            <v>FCD COM.DE PROTESTO                     4NC</v>
          </cell>
        </row>
        <row r="25580">
          <cell r="B25580" t="str">
            <v>52022900000120</v>
          </cell>
          <cell r="C25580" t="str">
            <v>IB COM CHEQ SUSP PN                     4NC</v>
          </cell>
        </row>
        <row r="25581">
          <cell r="B25581" t="str">
            <v>52022900000121</v>
          </cell>
          <cell r="C25581" t="str">
            <v>COMISIÃ“N SEGURO DEL BIEN CRÃ‰DITO VEHIC4NC</v>
          </cell>
        </row>
        <row r="25582">
          <cell r="B25582" t="str">
            <v>52022900000122</v>
          </cell>
          <cell r="C25582" t="str">
            <v>COMISIÃ“N SEGURO DEL BIEN CRÃ‰DITO HIPOT4NC</v>
          </cell>
        </row>
        <row r="25583">
          <cell r="B25583" t="str">
            <v>52022900000123</v>
          </cell>
          <cell r="C25583" t="str">
            <v>COM.DESEMBOLSO PAGARE OFF SHORE         4NC</v>
          </cell>
        </row>
        <row r="25584">
          <cell r="B25584" t="str">
            <v>52022900000124</v>
          </cell>
          <cell r="C25584" t="str">
            <v>COM.PROTESTO WARRANT                    4NC</v>
          </cell>
        </row>
        <row r="25585">
          <cell r="B25585" t="str">
            <v>52022900000129</v>
          </cell>
          <cell r="C25585" t="str">
            <v>COM. POR EMISION DE CONSTANCIAS         4NC</v>
          </cell>
        </row>
        <row r="25586">
          <cell r="B25586" t="str">
            <v>52022900000130</v>
          </cell>
          <cell r="C25586" t="str">
            <v>COMISIONES DIVERSAS                     4NC</v>
          </cell>
        </row>
        <row r="25587">
          <cell r="B25587" t="str">
            <v>52022900000132</v>
          </cell>
          <cell r="C25587" t="str">
            <v>DISPENSADOR DE DINERO                   4NC</v>
          </cell>
        </row>
        <row r="25588">
          <cell r="B25588" t="str">
            <v>52022900000133</v>
          </cell>
          <cell r="C25588" t="str">
            <v>COM REPOSIC ELECTRON                    4NC</v>
          </cell>
        </row>
        <row r="25589">
          <cell r="B25589" t="str">
            <v>52022900000135</v>
          </cell>
          <cell r="C25589" t="str">
            <v>IB COM TRX EXC VENT CTA CTE PN MEGA     4NC</v>
          </cell>
        </row>
        <row r="25590">
          <cell r="B25590" t="str">
            <v>52022900000136</v>
          </cell>
          <cell r="C25590" t="str">
            <v>IB COM TRX EXC VENT CTA CTE PJ CF MEGA  4NC</v>
          </cell>
        </row>
        <row r="25591">
          <cell r="B25591" t="str">
            <v>52022900000151</v>
          </cell>
          <cell r="C25591" t="str">
            <v>IB COM MOV ATM CTA CTE PN               4NC</v>
          </cell>
        </row>
        <row r="25592">
          <cell r="B25592" t="str">
            <v>52022900000152</v>
          </cell>
          <cell r="C25592" t="str">
            <v>IB COM MOV ATM CTA CTE PJ C/F           4NC</v>
          </cell>
        </row>
        <row r="25593">
          <cell r="B25593" t="str">
            <v>52022900000153</v>
          </cell>
          <cell r="C25593" t="str">
            <v>IB COM TRX EXC ATM CTA CTE PN MEGA      4NC</v>
          </cell>
        </row>
        <row r="25594">
          <cell r="B25594" t="str">
            <v>52022900000154</v>
          </cell>
          <cell r="C25594" t="str">
            <v>IB COM TRX EXC ATM CTA CTE PJ CF MEGA   4NC</v>
          </cell>
        </row>
        <row r="25595">
          <cell r="B25595" t="str">
            <v>52022900000155</v>
          </cell>
          <cell r="C25595" t="str">
            <v>IB COM MANT ELECTRON PN MEGA            4NC</v>
          </cell>
        </row>
        <row r="25596">
          <cell r="B25596" t="str">
            <v>52022900000156</v>
          </cell>
          <cell r="C25596" t="str">
            <v>IB COM MANT ELECTRON PJ C/F MEGA        4NC</v>
          </cell>
        </row>
        <row r="25597">
          <cell r="B25597" t="str">
            <v>52022900000157</v>
          </cell>
          <cell r="C25597" t="str">
            <v>COM CHEQUE RECHAZADO -VENTANILLA        4NC</v>
          </cell>
        </row>
        <row r="25598">
          <cell r="B25598" t="str">
            <v>52022900000159</v>
          </cell>
          <cell r="C25598" t="str">
            <v>COM.PAGOACTIVO VARIOS                   4NC</v>
          </cell>
        </row>
        <row r="25599">
          <cell r="B25599" t="str">
            <v>52022900000160</v>
          </cell>
          <cell r="C25599" t="str">
            <v>IB COM CHEQ REC FF VENT CTA CTE PJ S/F  4NC</v>
          </cell>
        </row>
        <row r="25600">
          <cell r="B25600" t="str">
            <v>52022900000161</v>
          </cell>
          <cell r="C25600" t="str">
            <v>IB COM CHEQ REC FF VENT CTA CTE PJ C/F  4NC</v>
          </cell>
        </row>
        <row r="25601">
          <cell r="B25601" t="str">
            <v>52022900000162</v>
          </cell>
          <cell r="C25601" t="str">
            <v>BL COM CHEQ REC FF VENT CTA CTE PN      4NC</v>
          </cell>
        </row>
        <row r="25602">
          <cell r="B25602" t="str">
            <v>52022900000165</v>
          </cell>
          <cell r="C25602" t="str">
            <v>SERVICIOS VARIOS RR.HH.                 4NC</v>
          </cell>
        </row>
        <row r="25603">
          <cell r="B25603" t="str">
            <v>52022900000166</v>
          </cell>
          <cell r="C25603" t="str">
            <v>CHI-IC ING.VIGENTE (HPC)                4NC</v>
          </cell>
        </row>
        <row r="25604">
          <cell r="B25604" t="str">
            <v>52022900000168</v>
          </cell>
          <cell r="C25604" t="str">
            <v>INGRESO POR SEGUROS RECUPERACIONES      4NC</v>
          </cell>
        </row>
        <row r="25605">
          <cell r="B25605" t="str">
            <v>52022900000169</v>
          </cell>
          <cell r="C25605" t="str">
            <v>IC INGRES X CONV ESTABLECIMIENT         4NC</v>
          </cell>
        </row>
        <row r="25606">
          <cell r="B25606" t="str">
            <v>52022900000170</v>
          </cell>
          <cell r="C25606" t="str">
            <v>CONVENIO POR SERVICIO-CONVENIO AFP      4NC</v>
          </cell>
        </row>
        <row r="25607">
          <cell r="B25607" t="str">
            <v>52022900000173</v>
          </cell>
          <cell r="C25607" t="str">
            <v>AJUSTES AUTOMATICOS CAJA-INGRESOS       4NC</v>
          </cell>
        </row>
        <row r="25608">
          <cell r="B25608" t="str">
            <v>52022900000174</v>
          </cell>
          <cell r="C25608" t="str">
            <v>COM MANT TARJETA INTERACTIVA            4NC</v>
          </cell>
        </row>
        <row r="25609">
          <cell r="B25609" t="str">
            <v>52022900000175</v>
          </cell>
          <cell r="C25609" t="str">
            <v>COMISION CHEQUES PAGADOS                4NC</v>
          </cell>
        </row>
        <row r="25610">
          <cell r="B25610" t="str">
            <v>52022900000176</v>
          </cell>
          <cell r="C25610" t="str">
            <v>CHI-IC ING VENCIDO SEG. DEL BIEN        4NC</v>
          </cell>
        </row>
        <row r="25611">
          <cell r="B25611" t="str">
            <v>52022900000177</v>
          </cell>
          <cell r="C25611" t="str">
            <v>REEMBOLSO DE GASTOS LEASING             4NC</v>
          </cell>
        </row>
        <row r="25612">
          <cell r="B25612" t="str">
            <v>52022900000183</v>
          </cell>
          <cell r="C25612" t="str">
            <v>ING.SEG NO RELAC.CREDITOS               4NC</v>
          </cell>
        </row>
        <row r="25613">
          <cell r="B25613" t="str">
            <v>52022900000186</v>
          </cell>
          <cell r="C25613" t="str">
            <v>ING. SEGURO DESGRAVAMEN CONVENIOS VIGENT4NC</v>
          </cell>
        </row>
        <row r="25614">
          <cell r="B25614" t="str">
            <v>52022900000187</v>
          </cell>
          <cell r="C25614" t="str">
            <v>ING. SEGURO DESGRAVAMEN CONVENIOS VENCID4NC</v>
          </cell>
        </row>
        <row r="25615">
          <cell r="B25615" t="str">
            <v>52022900000188</v>
          </cell>
          <cell r="C25615" t="str">
            <v>ING. SEGURO DESGRAVAMEN CONVENIOS D/P VI4NC</v>
          </cell>
        </row>
        <row r="25616">
          <cell r="B25616" t="str">
            <v>52022900000189</v>
          </cell>
          <cell r="C25616" t="str">
            <v>ING. SEGURO DESGRAVAMEN CONVENIOS D/P VE4NC</v>
          </cell>
        </row>
        <row r="25617">
          <cell r="B25617" t="str">
            <v>52022900000190</v>
          </cell>
          <cell r="C25617" t="str">
            <v>LIC SEG GAN CRED EX-CONVENIO VIG        4NC</v>
          </cell>
        </row>
        <row r="25618">
          <cell r="B25618" t="str">
            <v>52022900000194</v>
          </cell>
          <cell r="C25618" t="str">
            <v>COM PRECANCELACION LEASING              4NC</v>
          </cell>
        </row>
        <row r="25619">
          <cell r="B25619" t="str">
            <v>52022900000195</v>
          </cell>
          <cell r="C25619" t="str">
            <v>COM X OP.COMPRA/VTA M.EXCHANGE          4NC</v>
          </cell>
        </row>
        <row r="25620">
          <cell r="B25620" t="str">
            <v>52022900000196</v>
          </cell>
          <cell r="C25620" t="str">
            <v>IC COMISION PRENDA VEHICULAR            4NC</v>
          </cell>
        </row>
        <row r="25621">
          <cell r="B25621" t="str">
            <v>52022900000197</v>
          </cell>
          <cell r="C25621" t="str">
            <v>COMISION SEGURO PRE e HIP CORP. BE Y BPE4NC</v>
          </cell>
        </row>
        <row r="25622">
          <cell r="B25622" t="str">
            <v>52022900000198</v>
          </cell>
          <cell r="C25622" t="str">
            <v>COMISION SEGURO DESGRAVAMEN             4NC</v>
          </cell>
        </row>
        <row r="25623">
          <cell r="B25623" t="str">
            <v>52022900000201</v>
          </cell>
          <cell r="C25623" t="str">
            <v>FCD PORTES                              4NC</v>
          </cell>
        </row>
        <row r="25624">
          <cell r="B25624" t="str">
            <v>52022900000204</v>
          </cell>
          <cell r="C25624" t="str">
            <v>PORTES TC COMERCIAL IBK VISA            4NC</v>
          </cell>
        </row>
        <row r="25625">
          <cell r="B25625" t="str">
            <v>52022900000205</v>
          </cell>
          <cell r="C25625" t="str">
            <v>PORTES TC CONSUMO IBK VISA              4NC</v>
          </cell>
        </row>
        <row r="25626">
          <cell r="B25626" t="str">
            <v>52022900000206</v>
          </cell>
          <cell r="C25626" t="str">
            <v>PORTES TC CONSUMO WONG VISA             4NC</v>
          </cell>
        </row>
        <row r="25627">
          <cell r="B25627" t="str">
            <v>52022900000207</v>
          </cell>
          <cell r="C25627" t="str">
            <v>PORTES TC CONSUMO AMEX                  4NC</v>
          </cell>
        </row>
        <row r="25628">
          <cell r="B25628" t="str">
            <v>52022900000210</v>
          </cell>
          <cell r="C25628" t="str">
            <v>BL PORTES TC CONSUMO MC                 4NC</v>
          </cell>
        </row>
        <row r="25629">
          <cell r="B25629" t="str">
            <v>52022900000212</v>
          </cell>
          <cell r="C25629" t="str">
            <v>BL PORTES TC COMERCIAL MC               4NC</v>
          </cell>
        </row>
        <row r="25630">
          <cell r="B25630" t="str">
            <v>52022900000213</v>
          </cell>
          <cell r="C25630" t="str">
            <v>BL MEGAPORTES AHORROS PN                4NC</v>
          </cell>
        </row>
        <row r="25631">
          <cell r="B25631" t="str">
            <v>52022900000223</v>
          </cell>
          <cell r="C25631" t="str">
            <v>AHORROS ESPECIAL PORTES PJSL            4NC</v>
          </cell>
        </row>
        <row r="25632">
          <cell r="B25632" t="str">
            <v>52022900000224</v>
          </cell>
          <cell r="C25632" t="str">
            <v>AHORROS ESPECIAL PORTES PJSL MEGA       4NC</v>
          </cell>
        </row>
        <row r="25633">
          <cell r="B25633" t="str">
            <v>52022900000227</v>
          </cell>
          <cell r="C25633" t="str">
            <v>AHORROS PORTES PN                       4NC</v>
          </cell>
        </row>
        <row r="25634">
          <cell r="B25634" t="str">
            <v>52022900000228</v>
          </cell>
          <cell r="C25634" t="str">
            <v>AHORROS PORTES PN MEGA                  4NC</v>
          </cell>
        </row>
        <row r="25635">
          <cell r="B25635" t="str">
            <v>52022900000229</v>
          </cell>
          <cell r="C25635" t="str">
            <v>AHORROS MILLONARIA PORTES               4NC</v>
          </cell>
        </row>
        <row r="25636">
          <cell r="B25636" t="str">
            <v>52022900000230</v>
          </cell>
          <cell r="C25636" t="str">
            <v>AHORROS MILLONARIA PORTES MEGA          4NC</v>
          </cell>
        </row>
        <row r="25637">
          <cell r="B25637" t="str">
            <v>52022900000233</v>
          </cell>
          <cell r="C25637" t="str">
            <v>AHORROS GTIA PORTES PJSL                4NC</v>
          </cell>
        </row>
        <row r="25638">
          <cell r="B25638" t="str">
            <v>52022900000235</v>
          </cell>
          <cell r="C25638" t="str">
            <v>AHORROS GTIA PORTES PJFL                4NC</v>
          </cell>
        </row>
        <row r="25639">
          <cell r="B25639" t="str">
            <v>52022900000236</v>
          </cell>
          <cell r="C25639" t="str">
            <v>AHORROS GTIA PORTES PJFL MEGA           4NC</v>
          </cell>
        </row>
        <row r="25640">
          <cell r="B25640" t="str">
            <v>52022900000237</v>
          </cell>
          <cell r="C25640" t="str">
            <v>AHORROS GTIA PORTES PJSL                4NC</v>
          </cell>
        </row>
        <row r="25641">
          <cell r="B25641" t="str">
            <v>52022900000238</v>
          </cell>
          <cell r="C25641" t="str">
            <v>AHORROS PORTES PJSL MEGA                4NC</v>
          </cell>
        </row>
        <row r="25642">
          <cell r="B25642" t="str">
            <v>52022900000239</v>
          </cell>
          <cell r="C25642" t="str">
            <v>AHORROS PORTES PJFL                     4NC</v>
          </cell>
        </row>
        <row r="25643">
          <cell r="B25643" t="str">
            <v>52022900000240</v>
          </cell>
          <cell r="C25643" t="str">
            <v>AHORROS PORTES PJFL MEGA                4NC</v>
          </cell>
        </row>
        <row r="25644">
          <cell r="B25644" t="str">
            <v>52022900000241</v>
          </cell>
          <cell r="C25644" t="str">
            <v>AHORROS ESPECIAL PORTES PJFL            4NC</v>
          </cell>
        </row>
        <row r="25645">
          <cell r="B25645" t="str">
            <v>52022900000242</v>
          </cell>
          <cell r="C25645" t="str">
            <v>AHORROS ESPECIAL PORTES PJFL MEGA       4NC</v>
          </cell>
        </row>
        <row r="25646">
          <cell r="B25646" t="str">
            <v>52022900000250</v>
          </cell>
          <cell r="C25646" t="str">
            <v>IB COM PORTES CTA CTE PJ C/F MEGA       4NC</v>
          </cell>
        </row>
        <row r="25647">
          <cell r="B25647" t="str">
            <v>52022900000251</v>
          </cell>
          <cell r="C25647" t="str">
            <v>IB COM PORTES CTA CTE PJ S/F MEGA       4NC</v>
          </cell>
        </row>
        <row r="25648">
          <cell r="B25648" t="str">
            <v>52022900000256</v>
          </cell>
          <cell r="C25648" t="str">
            <v>PORTESTC CONSUMO AVAL                   4NC</v>
          </cell>
        </row>
        <row r="25649">
          <cell r="B25649" t="str">
            <v>52022900000258</v>
          </cell>
          <cell r="C25649" t="str">
            <v>PORTES DEP C/GIROS Y TRAVEL CHECKS      4NC</v>
          </cell>
        </row>
        <row r="25650">
          <cell r="B25650" t="str">
            <v>52022900000259</v>
          </cell>
          <cell r="C25650" t="str">
            <v>PORTES DEP C/GIROS Y TRAVEL CHECK NY    4NC</v>
          </cell>
        </row>
        <row r="25651">
          <cell r="B25651" t="str">
            <v>52022900000260</v>
          </cell>
          <cell r="C25651" t="str">
            <v>PORTES TC MEGAPLAZA                     4NC</v>
          </cell>
        </row>
        <row r="25652">
          <cell r="B25652" t="str">
            <v>52022900000261</v>
          </cell>
          <cell r="C25652" t="str">
            <v>PORTES TC VEA                           4NC</v>
          </cell>
        </row>
        <row r="25653">
          <cell r="B25653" t="str">
            <v>52022900000262</v>
          </cell>
          <cell r="C25653" t="str">
            <v>PORTES TC VEA VISA                      4NC</v>
          </cell>
        </row>
        <row r="25654">
          <cell r="B25654" t="str">
            <v>52022900000263</v>
          </cell>
          <cell r="C25654" t="str">
            <v>LIC COMISION POR REPOSICION TARJ CONV   4NC</v>
          </cell>
        </row>
        <row r="25655">
          <cell r="B25655" t="str">
            <v>52022900000264</v>
          </cell>
          <cell r="C25655" t="str">
            <v>COM GIROS NACIONALES                    4NC</v>
          </cell>
        </row>
        <row r="25656">
          <cell r="B25656" t="str">
            <v>52022900000265</v>
          </cell>
          <cell r="C25656" t="str">
            <v>COMISION COBRO POR CLAVE DINAMICA       4NC</v>
          </cell>
        </row>
        <row r="25657">
          <cell r="B25657" t="str">
            <v>52022900000266</v>
          </cell>
          <cell r="C25657" t="str">
            <v>TC COM PORTES VISA MEGAPLAZA            4NC</v>
          </cell>
        </row>
        <row r="25658">
          <cell r="B25658" t="str">
            <v>52022900000267</v>
          </cell>
          <cell r="C25658" t="str">
            <v>TC COM PORTES VISA VEA                  4NC</v>
          </cell>
        </row>
        <row r="25659">
          <cell r="B25659" t="str">
            <v>52022900000268</v>
          </cell>
          <cell r="C25659" t="str">
            <v>TC COM PORTES AMEX                      4NC</v>
          </cell>
        </row>
        <row r="25660">
          <cell r="B25660" t="str">
            <v>52022900000269</v>
          </cell>
          <cell r="C25660" t="str">
            <v>TC COM PORTES MC                        4NC</v>
          </cell>
        </row>
        <row r="25661">
          <cell r="B25661" t="str">
            <v>52022900000270</v>
          </cell>
          <cell r="C25661" t="str">
            <v>TC COM PORTES VISA                      4NC</v>
          </cell>
        </row>
        <row r="25662">
          <cell r="B25662" t="str">
            <v>52022900000271</v>
          </cell>
          <cell r="C25662" t="str">
            <v>COMISION SEGURO DEL BIEN - LEASING      4NC</v>
          </cell>
        </row>
        <row r="25663">
          <cell r="B25663" t="str">
            <v>52022900000272</v>
          </cell>
          <cell r="C25663" t="str">
            <v>COMISION SEGURO DESGRAVAMEN LEASING     4NC</v>
          </cell>
        </row>
        <row r="25664">
          <cell r="B25664" t="str">
            <v>52022900000273</v>
          </cell>
          <cell r="C25664" t="str">
            <v>INGRESOS DCC-MDS                        4NC</v>
          </cell>
        </row>
        <row r="25665">
          <cell r="B25665" t="str">
            <v>52022900000274</v>
          </cell>
          <cell r="C25665" t="str">
            <v>COMISION DE ESTRUCTURACIÃ“N LEASING     4NC</v>
          </cell>
        </row>
        <row r="25666">
          <cell r="B25666" t="str">
            <v>52022900000275</v>
          </cell>
          <cell r="C25666" t="str">
            <v>COM PPA PROVEEDORES                     4NC</v>
          </cell>
        </row>
        <row r="25667">
          <cell r="B25667" t="str">
            <v>52022900000276</v>
          </cell>
          <cell r="C25667" t="str">
            <v>COM PPA PLANILLAS                       4NC</v>
          </cell>
        </row>
        <row r="25668">
          <cell r="B25668" t="str">
            <v>52022900000277</v>
          </cell>
          <cell r="C25668" t="str">
            <v>COM PPA VARIOS                          4NC</v>
          </cell>
        </row>
        <row r="25669">
          <cell r="B25669" t="str">
            <v>52022900000278</v>
          </cell>
          <cell r="C25669" t="str">
            <v>COM PPA CTS                             4NC</v>
          </cell>
        </row>
        <row r="25670">
          <cell r="B25670" t="str">
            <v>52022900000279</v>
          </cell>
          <cell r="C25670" t="str">
            <v>COMISIONES FORFAITING                   4NC</v>
          </cell>
        </row>
        <row r="25671">
          <cell r="B25671" t="str">
            <v>52022900000280</v>
          </cell>
          <cell r="C25671" t="str">
            <v>COM.CORRESPONSALIA BN                   4NC</v>
          </cell>
        </row>
        <row r="25672">
          <cell r="B25672" t="str">
            <v>52022900000281</v>
          </cell>
          <cell r="C25672" t="str">
            <v>COMISION DE ESTRUCTURACIÃ“N-NO GRAVADOS 4NC</v>
          </cell>
        </row>
        <row r="25673">
          <cell r="B25673" t="str">
            <v>52022900000282</v>
          </cell>
          <cell r="C25673" t="str">
            <v>INGRESOS LOCATARIOS                     4NC</v>
          </cell>
        </row>
        <row r="25674">
          <cell r="B25674" t="str">
            <v>52022900000283</v>
          </cell>
          <cell r="C25674" t="str">
            <v>COM DISP EFECT TC FORANEAS VENT         4NC</v>
          </cell>
        </row>
        <row r="25675">
          <cell r="B25675" t="str">
            <v>52022900000284</v>
          </cell>
          <cell r="C25675" t="str">
            <v>SEG DESGRAVAMEN TC                      4NC</v>
          </cell>
        </row>
        <row r="25676">
          <cell r="B25676" t="str">
            <v>52022900000285</v>
          </cell>
          <cell r="C25676" t="str">
            <v>TARJEDA DE DEBITO ORO CHIP - REPOSICION 4NC</v>
          </cell>
        </row>
        <row r="25677">
          <cell r="B25677" t="str">
            <v>52022900000286</v>
          </cell>
          <cell r="C25677" t="str">
            <v>JCC HONORARIOS JUDICIALES MYP           4NC</v>
          </cell>
        </row>
        <row r="25678">
          <cell r="B25678" t="str">
            <v>52022900000287</v>
          </cell>
          <cell r="C25678" t="str">
            <v>COMISIONES VARIAS BPE                   4NC</v>
          </cell>
        </row>
        <row r="25679">
          <cell r="B25679" t="str">
            <v>52022900000288</v>
          </cell>
          <cell r="C25679" t="str">
            <v>COMISIONES PAY PAL                      4NC</v>
          </cell>
        </row>
        <row r="25680">
          <cell r="B25680" t="str">
            <v>52022900000289</v>
          </cell>
          <cell r="C25680" t="str">
            <v>INGRESO SOPORTE ADMINISTRATIVO  IT      4NC</v>
          </cell>
        </row>
        <row r="25681">
          <cell r="B25681" t="str">
            <v>52022900000290</v>
          </cell>
          <cell r="C25681" t="str">
            <v>COMISION DE ESTRUCTURACION BPE          4NC</v>
          </cell>
        </row>
        <row r="25682">
          <cell r="B25682" t="str">
            <v>52022900000291</v>
          </cell>
          <cell r="C25682" t="str">
            <v>SEGURO TARJETA DE DEBITO CHIP ORO       4NC</v>
          </cell>
        </row>
        <row r="25683">
          <cell r="B25683" t="str">
            <v>52022900000292</v>
          </cell>
          <cell r="C25683" t="str">
            <v>COM. DUPLICADO CRONOGRAMA CONVENIOS     4NC</v>
          </cell>
        </row>
        <row r="25684">
          <cell r="B25684" t="str">
            <v>52022900000293</v>
          </cell>
          <cell r="C25684" t="str">
            <v>COM POR MODIFIC CONDIC CRED VEHICULAR   4NC</v>
          </cell>
        </row>
        <row r="25685">
          <cell r="B25685" t="str">
            <v>52022900000294</v>
          </cell>
          <cell r="C25685" t="str">
            <v>COM POR MODIFIC CONDIC CRED EFECTIVO    4NC</v>
          </cell>
        </row>
        <row r="25686">
          <cell r="B25686" t="str">
            <v>52022900000295</v>
          </cell>
          <cell r="C25686" t="str">
            <v>COMISION GESTION MANUAL LETRAS FISICAS  4NC</v>
          </cell>
        </row>
        <row r="25687">
          <cell r="B25687" t="str">
            <v>52022900000296</v>
          </cell>
          <cell r="C25687" t="str">
            <v>COMISION EECC SWIFT                     4NC</v>
          </cell>
        </row>
        <row r="25688">
          <cell r="B25688" t="str">
            <v>52022900000297</v>
          </cell>
          <cell r="C25688" t="str">
            <v>COMISION DE ESTRUCTURACION BPE          4NC</v>
          </cell>
        </row>
        <row r="25689">
          <cell r="B25689" t="str">
            <v>52022900000298</v>
          </cell>
          <cell r="C25689" t="str">
            <v>COMISIÃ“N FIDEICOMISO BANCO AGENTE      4NC</v>
          </cell>
        </row>
        <row r="25690">
          <cell r="B25690" t="str">
            <v>52022900000299</v>
          </cell>
          <cell r="C25690" t="str">
            <v>COMISIÃ“N INTEROPERABILIDAD BILLETERA EL4NC</v>
          </cell>
        </row>
        <row r="25691">
          <cell r="B25691" t="str">
            <v>52022900000300</v>
          </cell>
          <cell r="C25691" t="str">
            <v>COMISIÃ“N POR REPRESENTACIÃ“N DE OBLIGAC4NC</v>
          </cell>
        </row>
        <row r="25692">
          <cell r="B25692" t="str">
            <v>52022900000301</v>
          </cell>
          <cell r="C25692" t="str">
            <v>COM.ESTRUCTURACION POR FIDEICOMISO      4NC</v>
          </cell>
        </row>
        <row r="25693">
          <cell r="B25693" t="str">
            <v>52022900000302</v>
          </cell>
          <cell r="C25693" t="str">
            <v>FCD RECUP- GTOS PROCURACION             4NC</v>
          </cell>
        </row>
        <row r="25694">
          <cell r="B25694" t="str">
            <v>52022900000304</v>
          </cell>
          <cell r="C25694" t="str">
            <v>CL HONORA.PROF.OTROS PRODUCTOS          4NC</v>
          </cell>
        </row>
        <row r="25695">
          <cell r="B25695" t="str">
            <v>52022900000306</v>
          </cell>
          <cell r="C25695" t="str">
            <v>OTROS INGRESOS JUDIC RECUPERAC-CL       4NC</v>
          </cell>
        </row>
        <row r="25696">
          <cell r="B25696" t="str">
            <v>52022900000307</v>
          </cell>
          <cell r="C25696" t="str">
            <v>COM PROCURACION MORA LEASING LPC        4NC</v>
          </cell>
        </row>
        <row r="25697">
          <cell r="B25697" t="str">
            <v>52022900000308</v>
          </cell>
          <cell r="C25697" t="str">
            <v>CL HONORAR.PROF.PROD.EFECTIVO           4NC</v>
          </cell>
        </row>
        <row r="25698">
          <cell r="B25698" t="str">
            <v>52022900000309</v>
          </cell>
          <cell r="C25698" t="str">
            <v>CL HONORAR.PROF.PROD.CONVENIO           4NC</v>
          </cell>
        </row>
        <row r="25699">
          <cell r="B25699" t="str">
            <v>52022900000310</v>
          </cell>
          <cell r="C25699" t="str">
            <v>CL HONOR.PROF.PROD.HIPOTECARIO          4NC</v>
          </cell>
        </row>
        <row r="25700">
          <cell r="B25700" t="str">
            <v>52022900000311</v>
          </cell>
          <cell r="C25700" t="str">
            <v>CL HONOR.PROF.PROD.TARJETAS             4NC</v>
          </cell>
        </row>
        <row r="25701">
          <cell r="B25701" t="str">
            <v>52022900000312</v>
          </cell>
          <cell r="C25701" t="str">
            <v>CL HONOR.PROF.PROD.VEHICULAR            4NC</v>
          </cell>
        </row>
        <row r="25702">
          <cell r="B25702" t="str">
            <v>52022900000313</v>
          </cell>
          <cell r="C25702" t="str">
            <v>CL COM. GPOS NOTARIALES CF              4NC</v>
          </cell>
        </row>
        <row r="25703">
          <cell r="B25703" t="str">
            <v>52022900000314</v>
          </cell>
          <cell r="C25703" t="str">
            <v>CL HONORAR.PROF.PROD.CONVENIO NO REV.CNG4NC</v>
          </cell>
        </row>
        <row r="25704">
          <cell r="B25704" t="str">
            <v>52022900000315</v>
          </cell>
          <cell r="C25704" t="str">
            <v>PAYPAL EMPRESAS                         4NC</v>
          </cell>
        </row>
        <row r="25705">
          <cell r="B25705" t="str">
            <v>52022900000320</v>
          </cell>
          <cell r="C25705" t="str">
            <v>JCC HONOR.PROF.PROD.HIPOTECARIO         4NC</v>
          </cell>
        </row>
        <row r="25706">
          <cell r="B25706" t="str">
            <v>52022900000321</v>
          </cell>
          <cell r="C25706" t="str">
            <v>JCC HONORAR.PROF.PROD.EFECTIVO          4NC</v>
          </cell>
        </row>
        <row r="25707">
          <cell r="B25707" t="str">
            <v>52022900000322</v>
          </cell>
          <cell r="C25707" t="str">
            <v>JCC HONOR.PROF.PROD.VEHICULAR           4NC</v>
          </cell>
        </row>
        <row r="25708">
          <cell r="B25708" t="str">
            <v>52022900000323</v>
          </cell>
          <cell r="C25708" t="str">
            <v>JCC HONORAR.PROF.PROD.CONVENIO NO REV.CN4NC</v>
          </cell>
        </row>
        <row r="25709">
          <cell r="B25709" t="str">
            <v>52022900000324</v>
          </cell>
          <cell r="C25709" t="str">
            <v>CTA  CTE NEG PN/PJ COMISIONES POR ATM'S 4NC</v>
          </cell>
        </row>
        <row r="25710">
          <cell r="B25710" t="str">
            <v>52022900000325</v>
          </cell>
          <cell r="C25710" t="str">
            <v>CTA CTE NEG PN/PJ COMISIONES DEPOSITO CH4NC</v>
          </cell>
        </row>
        <row r="25711">
          <cell r="B25711" t="str">
            <v>52022900000326</v>
          </cell>
          <cell r="C25711" t="str">
            <v>CTA CTE  NEG PN/PJ COMISION RECHAZO CAS 4NC</v>
          </cell>
        </row>
        <row r="25712">
          <cell r="B25712" t="str">
            <v>52022900000327</v>
          </cell>
          <cell r="C25712" t="str">
            <v>CTA CTE NEG PN/PJ COMISION SOLICITUD DE 4NC</v>
          </cell>
        </row>
        <row r="25713">
          <cell r="B25713" t="str">
            <v>52022900000328</v>
          </cell>
          <cell r="C25713" t="str">
            <v>CTA CTE NEG PN/PJ COM. RECAUDACION EMP. 4NC</v>
          </cell>
        </row>
        <row r="25714">
          <cell r="B25714" t="str">
            <v>52022900000329</v>
          </cell>
          <cell r="C25714" t="str">
            <v>CTA CTE NEG PN/PJ COM.TRX.EXCESO ATM    4NC</v>
          </cell>
        </row>
        <row r="25715">
          <cell r="B25715" t="str">
            <v>52022900000330</v>
          </cell>
          <cell r="C25715" t="str">
            <v>CTA CTE NEG PN/PJ COM INTERPLAZA IBK AGE4NC</v>
          </cell>
        </row>
        <row r="25716">
          <cell r="B25716" t="str">
            <v>52022900000331</v>
          </cell>
          <cell r="C25716" t="str">
            <v>CTA CTE NEG PN/PJ COMISION X SUSPENSION 4NC</v>
          </cell>
        </row>
        <row r="25717">
          <cell r="B25717" t="str">
            <v>52022900000332</v>
          </cell>
          <cell r="C25717" t="str">
            <v>CTA CTE NEG PN/PJ COM CANAL             4NC</v>
          </cell>
        </row>
        <row r="25718">
          <cell r="B25718" t="str">
            <v>52022900000333</v>
          </cell>
          <cell r="C25718" t="str">
            <v>CTA  CTE NEG PN/PJ PORTES               4NC</v>
          </cell>
        </row>
        <row r="25719">
          <cell r="B25719" t="str">
            <v>52022900000334</v>
          </cell>
          <cell r="C25719" t="str">
            <v>CTA CTE NEG PN/PJ OTROS                 4NC</v>
          </cell>
        </row>
        <row r="25720">
          <cell r="B25720" t="str">
            <v>52022900000335</v>
          </cell>
          <cell r="C25720" t="str">
            <v>CTA CTE NEG PN/PJ COM CHEQUE MB PAGADO O4NC</v>
          </cell>
        </row>
        <row r="25721">
          <cell r="B25721" t="str">
            <v>52022900000336</v>
          </cell>
          <cell r="C25721" t="str">
            <v>CTA CTE NEG PN/PJ COMISION MEGA Cta. Cte4NC</v>
          </cell>
        </row>
        <row r="25722">
          <cell r="B25722" t="str">
            <v>52022900000337</v>
          </cell>
          <cell r="C25722" t="str">
            <v>CTA CTE NEG PN/PJ MEGA MANTENIMIENTO CTA4NC</v>
          </cell>
        </row>
        <row r="25723">
          <cell r="B25723" t="str">
            <v>52022900000338</v>
          </cell>
          <cell r="C25723" t="str">
            <v>CTA CTE NEG PN/PJ MEGA - PORTES PERSONA 4NC</v>
          </cell>
        </row>
        <row r="25724">
          <cell r="B25724" t="str">
            <v>52022900000339</v>
          </cell>
          <cell r="C25724" t="str">
            <v>CTA CTE NEG PN/PJ MEGA COMISION EECC SWI4NC</v>
          </cell>
        </row>
        <row r="25725">
          <cell r="B25725" t="str">
            <v>52022900000340</v>
          </cell>
          <cell r="C25725" t="str">
            <v>CTA CTE NEG PN/PJ MEGA REPOSI TRJ DEBITO4NC</v>
          </cell>
        </row>
        <row r="25726">
          <cell r="B25726" t="str">
            <v>52022900000341</v>
          </cell>
          <cell r="C25726" t="str">
            <v>CTA CTE  NEG PN/PJ MEGA TRX EXCESO DIR  4NC</v>
          </cell>
        </row>
        <row r="25727">
          <cell r="B25727" t="str">
            <v>52022900000342</v>
          </cell>
          <cell r="C25727" t="str">
            <v>CTA CTE NEG PN/PJ MEGA TRX EXCESO VENTAN4NC</v>
          </cell>
        </row>
        <row r="25728">
          <cell r="B25728" t="str">
            <v>52022900000343</v>
          </cell>
          <cell r="C25728" t="str">
            <v>CTA CTE NEG PN/PJ MEGA TARJETA INTERACTI4NC</v>
          </cell>
        </row>
        <row r="25729">
          <cell r="B25729" t="str">
            <v>52022900000344</v>
          </cell>
          <cell r="C25729" t="str">
            <v>CTA CTE NEG PN/PJ MEGA ADM CHIP ORO     4NC</v>
          </cell>
        </row>
        <row r="25730">
          <cell r="B25730" t="str">
            <v>52022900000345</v>
          </cell>
          <cell r="C25730" t="str">
            <v>CTA CTE  NEG PN/PJ MEGA REP CHIP ORO    4NC</v>
          </cell>
        </row>
        <row r="25731">
          <cell r="B25731" t="str">
            <v>52022900000346</v>
          </cell>
          <cell r="C25731" t="str">
            <v>CTA CTE NEG PN/PJ MEGA ADM TD MILLENI   4NC</v>
          </cell>
        </row>
        <row r="25732">
          <cell r="B25732" t="str">
            <v>52022900000347</v>
          </cell>
          <cell r="C25732" t="str">
            <v>CTA CTE NEG PN/PJ MEGA REP TD MILLENI   4NC</v>
          </cell>
        </row>
        <row r="25733">
          <cell r="B25733" t="str">
            <v>52022900000348</v>
          </cell>
          <cell r="C25733" t="str">
            <v>CTA CTE NEG PN/PJ COM SALDOS Y MOV VENTA4NC</v>
          </cell>
        </row>
        <row r="25734">
          <cell r="B25734" t="str">
            <v>52022900000349</v>
          </cell>
          <cell r="C25734" t="str">
            <v>COMISION CASH POOLING                   4NC</v>
          </cell>
        </row>
        <row r="25735">
          <cell r="B25735" t="str">
            <v>52022900000350</v>
          </cell>
          <cell r="C25735" t="str">
            <v>COMISION USO PACK BPE                   4NC</v>
          </cell>
        </row>
        <row r="25736">
          <cell r="B25736" t="str">
            <v>52022900000351</v>
          </cell>
          <cell r="C25736" t="str">
            <v>REEMBOLSO POR REGALIAS                  4NC</v>
          </cell>
        </row>
        <row r="25737">
          <cell r="B25737" t="str">
            <v>52022900000352</v>
          </cell>
          <cell r="C25737" t="str">
            <v>COMISIÃ“N VISA FEE CONVERSIÃ“N          4NC</v>
          </cell>
        </row>
        <row r="25738">
          <cell r="B25738" t="str">
            <v>52022900000353</v>
          </cell>
          <cell r="C25738" t="str">
            <v>INGRESOS POR INCENTIVOS TC              4NC</v>
          </cell>
        </row>
        <row r="25739">
          <cell r="B25739" t="str">
            <v>52022900000354</v>
          </cell>
          <cell r="C25739" t="str">
            <v>INGRESOS ISHOP                          4NC</v>
          </cell>
        </row>
        <row r="25740">
          <cell r="B25740" t="str">
            <v>52022900000355</v>
          </cell>
          <cell r="C25740" t="str">
            <v>COM. POR TRXS -ATMS                     4NC</v>
          </cell>
        </row>
        <row r="25741">
          <cell r="B25741" t="str">
            <v>52022900000356</v>
          </cell>
          <cell r="C25741" t="str">
            <v>COM POR SEGURO MULTIR CRED HIP          4NC</v>
          </cell>
        </row>
        <row r="25742">
          <cell r="B25742" t="str">
            <v>52022900000357</v>
          </cell>
          <cell r="C25742" t="str">
            <v>SERV. EVALUACION POLIZA CRED HIPOTECARIO4NC</v>
          </cell>
        </row>
        <row r="25743">
          <cell r="B25743" t="str">
            <v>52022900000358</v>
          </cell>
          <cell r="C25743" t="str">
            <v>COMISIÃ“N SEGUROS INMOBILIARIO          4NC</v>
          </cell>
        </row>
        <row r="25744">
          <cell r="B25744" t="str">
            <v>52022900000402</v>
          </cell>
          <cell r="C25744" t="str">
            <v>AHORROS MANTENIMIENTO PN                4NC</v>
          </cell>
        </row>
        <row r="25745">
          <cell r="B25745" t="str">
            <v>52022900000404</v>
          </cell>
          <cell r="C25745" t="str">
            <v>AHORROS TRX EXC VENT PN                 4NC</v>
          </cell>
        </row>
        <row r="25746">
          <cell r="B25746" t="str">
            <v>52022900000406</v>
          </cell>
          <cell r="C25746" t="str">
            <v>AHORROS GTIA MANTENIMIENTO PJSL         4NC</v>
          </cell>
        </row>
        <row r="25747">
          <cell r="B25747" t="str">
            <v>52022900000408</v>
          </cell>
          <cell r="C25747" t="str">
            <v>AHORROS TRX EXC VENT PJSL               4NC</v>
          </cell>
        </row>
        <row r="25748">
          <cell r="B25748" t="str">
            <v>52022900000410</v>
          </cell>
          <cell r="C25748" t="str">
            <v>AHORROS GTIA MANTENIMIENTO PJFL         4NC</v>
          </cell>
        </row>
        <row r="25749">
          <cell r="B25749" t="str">
            <v>52022900000412</v>
          </cell>
          <cell r="C25749" t="str">
            <v>AHORROS TRX EXC VENT PJFL               4NC</v>
          </cell>
        </row>
        <row r="25750">
          <cell r="B25750" t="str">
            <v>52022900000414</v>
          </cell>
          <cell r="C25750" t="str">
            <v>AHORROS GTIA MANTENIMIENTO PN           4NC</v>
          </cell>
        </row>
        <row r="25751">
          <cell r="B25751" t="str">
            <v>52022900000416</v>
          </cell>
          <cell r="C25751" t="str">
            <v>AHORROS TRX EXC ATM PN                  4NC</v>
          </cell>
        </row>
        <row r="25752">
          <cell r="B25752" t="str">
            <v>52022900000418</v>
          </cell>
          <cell r="C25752" t="str">
            <v>AHORROS MILLONARIA Y GTIA MANTENIMIENTO 4NC</v>
          </cell>
        </row>
        <row r="25753">
          <cell r="B25753" t="str">
            <v>52022900000420</v>
          </cell>
          <cell r="C25753" t="str">
            <v>AHORROS MILLONARIA TRX EXC ATM          4NC</v>
          </cell>
        </row>
        <row r="25754">
          <cell r="B25754" t="str">
            <v>52022900000422</v>
          </cell>
          <cell r="C25754" t="str">
            <v>AHORROS ESPECIAL MANTENIMIENTO PN       4NC</v>
          </cell>
        </row>
        <row r="25755">
          <cell r="B25755" t="str">
            <v>52022900000426</v>
          </cell>
          <cell r="C25755" t="str">
            <v>AHORROS MANTENIMIENTO PJSL              4NC</v>
          </cell>
        </row>
        <row r="25756">
          <cell r="B25756" t="str">
            <v>52022900000428</v>
          </cell>
          <cell r="C25756" t="str">
            <v>IB COM TRX EXC VENT CTA CTE PJ SF MEGA  4NC</v>
          </cell>
        </row>
        <row r="25757">
          <cell r="B25757" t="str">
            <v>52022900000432</v>
          </cell>
          <cell r="C25757" t="str">
            <v>COMISIONES POR TX EN EXCESO ATM         4NC</v>
          </cell>
        </row>
        <row r="25758">
          <cell r="B25758" t="str">
            <v>52022900000436</v>
          </cell>
          <cell r="C25758" t="str">
            <v>ST COM TXS EXCESO ATM SFL               4NC</v>
          </cell>
        </row>
        <row r="25759">
          <cell r="B25759" t="str">
            <v>52022900000438</v>
          </cell>
          <cell r="C25759" t="str">
            <v>AHORROS MANTENIMIENTO PJFL              4NC</v>
          </cell>
        </row>
        <row r="25760">
          <cell r="B25760" t="str">
            <v>52022900000440</v>
          </cell>
          <cell r="C25760" t="str">
            <v>ST COM TXS EXCESO ATM FL                4NC</v>
          </cell>
        </row>
        <row r="25761">
          <cell r="B25761" t="str">
            <v>52022900000442</v>
          </cell>
          <cell r="C25761" t="str">
            <v>AHORROS ESPECIAL MANTENIMIENTO PJSL     4NC</v>
          </cell>
        </row>
        <row r="25762">
          <cell r="B25762" t="str">
            <v>52022900000446</v>
          </cell>
          <cell r="C25762" t="str">
            <v>AHORROS ESPECIAL MANTENIMIENTO PJFL     4NC</v>
          </cell>
        </row>
        <row r="25763">
          <cell r="B25763" t="str">
            <v>52022900000504</v>
          </cell>
          <cell r="C25763" t="str">
            <v>AH MILLONARIATRX EXC VENT               4NC</v>
          </cell>
        </row>
        <row r="25764">
          <cell r="B25764" t="str">
            <v>52022900000508</v>
          </cell>
          <cell r="C25764" t="str">
            <v>AH ESPECIAL TRX EXC VENT PJSL           4NC</v>
          </cell>
        </row>
        <row r="25765">
          <cell r="B25765" t="str">
            <v>52022900000510</v>
          </cell>
          <cell r="C25765" t="str">
            <v>AH ESPECIAL TRX EXC VENT PJFL           4NC</v>
          </cell>
        </row>
        <row r="25766">
          <cell r="B25766" t="str">
            <v>52022900000514</v>
          </cell>
          <cell r="C25766" t="str">
            <v>AH Y MILLONARIA MANTENIMIENTO PN MEGA   4NC</v>
          </cell>
        </row>
        <row r="25767">
          <cell r="B25767" t="str">
            <v>52022900000516</v>
          </cell>
          <cell r="C25767" t="str">
            <v>AHORROS MANTENIMIENTO PN MEGA           4NC</v>
          </cell>
        </row>
        <row r="25768">
          <cell r="B25768" t="str">
            <v>52022900000518</v>
          </cell>
          <cell r="C25768" t="str">
            <v>AHORROS MILLONARIA MANTENIMIENTO MEGA   4NC</v>
          </cell>
        </row>
        <row r="25769">
          <cell r="B25769" t="str">
            <v>52022900000520</v>
          </cell>
          <cell r="C25769" t="str">
            <v>AHORROS ESPECIAL MANTENIMIENTO PN MEGA  4NC</v>
          </cell>
        </row>
        <row r="25770">
          <cell r="B25770" t="str">
            <v>52022900000522</v>
          </cell>
          <cell r="C25770" t="str">
            <v>MEGAMANT. AH.ESP.PJ S/F LUCRO           4NC</v>
          </cell>
        </row>
        <row r="25771">
          <cell r="B25771" t="str">
            <v>52022900000523</v>
          </cell>
          <cell r="C25771" t="str">
            <v>IB COM MANT ELECTRON PJ S/F MEGA        4NC</v>
          </cell>
        </row>
        <row r="25772">
          <cell r="B25772" t="str">
            <v>52022900000527</v>
          </cell>
          <cell r="C25772" t="str">
            <v>IB COM MANT CTA CTE PN MEGA             4NC</v>
          </cell>
        </row>
        <row r="25773">
          <cell r="B25773" t="str">
            <v>52022900000528</v>
          </cell>
          <cell r="C25773" t="str">
            <v>IB COM MANT CTA CTE PJ S/F MEGA         4NC</v>
          </cell>
        </row>
        <row r="25774">
          <cell r="B25774" t="str">
            <v>52022900000529</v>
          </cell>
          <cell r="C25774" t="str">
            <v>IB COM MANT CTA CTE PJ C/F MEGA         4NC</v>
          </cell>
        </row>
        <row r="25775">
          <cell r="B25775" t="str">
            <v>52022900000534</v>
          </cell>
          <cell r="C25775" t="str">
            <v>AHORROS GTIA MANTENIMIENTO PJFL MEGA    4NC</v>
          </cell>
        </row>
        <row r="25776">
          <cell r="B25776" t="str">
            <v>52022900000536</v>
          </cell>
          <cell r="C25776" t="str">
            <v>AHORROS MANTENIMIENTO PJSL MEGA         4NC</v>
          </cell>
        </row>
        <row r="25777">
          <cell r="B25777" t="str">
            <v>52022900000538</v>
          </cell>
          <cell r="C25777" t="str">
            <v>AHORROS MANTENIMIENTO PJFL MEGA         4NC</v>
          </cell>
        </row>
        <row r="25778">
          <cell r="B25778" t="str">
            <v>52022900000539</v>
          </cell>
          <cell r="C25778" t="str">
            <v>IB COM  CTA CTE PJ C/F MEGA MM          4NC</v>
          </cell>
        </row>
        <row r="25779">
          <cell r="B25779" t="str">
            <v>52022900000540</v>
          </cell>
          <cell r="C25779" t="str">
            <v>IB COM  CTA CTE PJ S/F MEGA MM          4NC</v>
          </cell>
        </row>
        <row r="25780">
          <cell r="B25780" t="str">
            <v>52022900000541</v>
          </cell>
          <cell r="C25780" t="str">
            <v>IB COM  CONSUMO P.O.S.                  4NC</v>
          </cell>
        </row>
        <row r="25781">
          <cell r="B25781" t="str">
            <v>52022900000607</v>
          </cell>
          <cell r="C25781" t="str">
            <v>AHORROS RET O/PZA VENT PN               4NC</v>
          </cell>
        </row>
        <row r="25782">
          <cell r="B25782" t="str">
            <v>52022900000608</v>
          </cell>
          <cell r="C25782" t="str">
            <v>AHORROS RET O/PZA ATM PN                4NC</v>
          </cell>
        </row>
        <row r="25783">
          <cell r="B25783" t="str">
            <v>52022900000609</v>
          </cell>
          <cell r="C25783" t="str">
            <v>AHORROS MILLONARIA RET O/PZA VENT PN    4NC</v>
          </cell>
        </row>
        <row r="25784">
          <cell r="B25784" t="str">
            <v>52022900000610</v>
          </cell>
          <cell r="C25784" t="str">
            <v>AHORROS MILLONARIA RET O/PZA ATM PN     4NC</v>
          </cell>
        </row>
        <row r="25785">
          <cell r="B25785" t="str">
            <v>52022900000611</v>
          </cell>
          <cell r="C25785" t="str">
            <v>AHORROS RET O/PZA VENT PJSL             4NC</v>
          </cell>
        </row>
        <row r="25786">
          <cell r="B25786" t="str">
            <v>52022900000612</v>
          </cell>
          <cell r="C25786" t="str">
            <v>ST COBRO DE INTEGRACION ATM SFL         4NC</v>
          </cell>
        </row>
        <row r="25787">
          <cell r="B25787" t="str">
            <v>52022900000613</v>
          </cell>
          <cell r="C25787" t="str">
            <v>AHORROS RET O/PZA VENT PJFL             4NC</v>
          </cell>
        </row>
        <row r="25788">
          <cell r="B25788" t="str">
            <v>52022900000614</v>
          </cell>
          <cell r="C25788" t="str">
            <v>ST COBRO DE INTEGRACION ATM FL          4NC</v>
          </cell>
        </row>
        <row r="25789">
          <cell r="B25789" t="str">
            <v>52022900000615</v>
          </cell>
          <cell r="C25789" t="str">
            <v>JCC HONORAR.PROF.PROD.CONVENIO          4NC</v>
          </cell>
        </row>
        <row r="25790">
          <cell r="B25790" t="str">
            <v>52022900000616</v>
          </cell>
          <cell r="C25790" t="str">
            <v>JCC HONORAR.PROF.PROD.ADEL.SUELD        4NC</v>
          </cell>
        </row>
        <row r="25791">
          <cell r="B25791" t="str">
            <v>52022900000617</v>
          </cell>
          <cell r="C25791" t="str">
            <v>JCC HONORAR.PROF.PROD.PREFERENTE        4NC</v>
          </cell>
        </row>
        <row r="25792">
          <cell r="B25792" t="str">
            <v>52022900000618</v>
          </cell>
          <cell r="C25792" t="str">
            <v>JCC HONOR.PROF.PROD.TC MASTER           4NC</v>
          </cell>
        </row>
        <row r="25793">
          <cell r="B25793" t="str">
            <v>52022900000619</v>
          </cell>
          <cell r="C25793" t="str">
            <v>JCC HONOR.PROF.PROD.TAR.VISA            4NC</v>
          </cell>
        </row>
        <row r="25794">
          <cell r="B25794" t="str">
            <v>52022900000620</v>
          </cell>
          <cell r="C25794" t="str">
            <v>JCC HONOR.PROF.AMEX PN-CONSUMOS         4NC</v>
          </cell>
        </row>
        <row r="25795">
          <cell r="B25795" t="str">
            <v>52022900000621</v>
          </cell>
          <cell r="C25795" t="str">
            <v>JCC SEGUROS JUD ORIGEN.BANCA COMERCIAL  4NC</v>
          </cell>
        </row>
        <row r="25796">
          <cell r="B25796" t="str">
            <v>52022900000622</v>
          </cell>
          <cell r="C25796" t="str">
            <v>JCC SEGUROS JUD ORIGEN.BANCA PERSONAL   4NC</v>
          </cell>
        </row>
        <row r="25797">
          <cell r="B25797" t="str">
            <v>52022900000623</v>
          </cell>
          <cell r="C25797" t="str">
            <v>JCC SEGUROS JUD ORIGEN.MYPES            4NC</v>
          </cell>
        </row>
        <row r="25798">
          <cell r="B25798" t="str">
            <v>52022900000624</v>
          </cell>
          <cell r="C25798" t="str">
            <v>JCC GASTOS JUD .BANCA COMERCIAL         4NC</v>
          </cell>
        </row>
        <row r="25799">
          <cell r="B25799" t="str">
            <v>52022900000625</v>
          </cell>
          <cell r="C25799" t="str">
            <v>JCC GASTOS JUD .BANCA PERSONAL          4NC</v>
          </cell>
        </row>
        <row r="25800">
          <cell r="B25800" t="str">
            <v>52022900000626</v>
          </cell>
          <cell r="C25800" t="str">
            <v>JCC GASTOS JUD .MYPES                   4NC</v>
          </cell>
        </row>
        <row r="25801">
          <cell r="B25801" t="str">
            <v>52022900000627</v>
          </cell>
          <cell r="C25801" t="str">
            <v>JCC COMISION .BANCA COMERCIAL           4NC</v>
          </cell>
        </row>
        <row r="25802">
          <cell r="B25802" t="str">
            <v>52022900000628</v>
          </cell>
          <cell r="C25802" t="str">
            <v>JCC COMISION.BANCA PERSONAL             4NC</v>
          </cell>
        </row>
        <row r="25803">
          <cell r="B25803" t="str">
            <v>52022900000629</v>
          </cell>
          <cell r="C25803" t="str">
            <v>JCC COMISION .MYPES                     4NC</v>
          </cell>
        </row>
        <row r="25804">
          <cell r="B25804" t="str">
            <v>52022900000630</v>
          </cell>
          <cell r="C25804" t="str">
            <v>JCC .GASTOSÂ  DE ORIGEN BANCA COMERCIAL 4NC</v>
          </cell>
        </row>
        <row r="25805">
          <cell r="B25805" t="str">
            <v>52022900000631</v>
          </cell>
          <cell r="C25805" t="str">
            <v>JCC .GASTOSÂ  DE ORIGEN BANCA PERSONAL  4NC</v>
          </cell>
        </row>
        <row r="25806">
          <cell r="B25806" t="str">
            <v>52022900000632</v>
          </cell>
          <cell r="C25806" t="str">
            <v>JCC GASTOS PROTESTO .BANCA COMERCIAL    4NC</v>
          </cell>
        </row>
        <row r="25807">
          <cell r="B25807" t="str">
            <v>52022900000633</v>
          </cell>
          <cell r="C25807" t="str">
            <v>JCC GASTOS PROTESTO .BANCA PERSONAL     4NC</v>
          </cell>
        </row>
        <row r="25808">
          <cell r="B25808" t="str">
            <v>52022900000634</v>
          </cell>
          <cell r="C25808" t="str">
            <v>JCC HONORARIOS JUD.BANCA COMERCIAL      4NC</v>
          </cell>
        </row>
        <row r="25809">
          <cell r="B25809" t="str">
            <v>52022900000635</v>
          </cell>
          <cell r="C25809" t="str">
            <v>JCC HONORARIOS JUD.BANCA PERSONAL       4NC</v>
          </cell>
        </row>
        <row r="25810">
          <cell r="B25810" t="str">
            <v>52022900000636</v>
          </cell>
          <cell r="C25810" t="str">
            <v>JCC .GASTOSÂ  DE ORIGEN MYP             4NC</v>
          </cell>
        </row>
        <row r="25811">
          <cell r="B25811" t="str">
            <v>52022900000678</v>
          </cell>
          <cell r="C25811" t="str">
            <v>ST AHORRO EDUCACION SLDOS-MOV VENT PN   4NC</v>
          </cell>
        </row>
        <row r="25812">
          <cell r="B25812" t="str">
            <v>52022900000679</v>
          </cell>
          <cell r="C25812" t="str">
            <v>ST AHORRO EDUCACION RET O/PZA VENT PN   4NC</v>
          </cell>
        </row>
        <row r="25813">
          <cell r="B25813" t="str">
            <v>52022900000680</v>
          </cell>
          <cell r="C25813" t="str">
            <v>ST AHORRO EDUCACION  RET O/PZA ATM PN   4NC</v>
          </cell>
        </row>
        <row r="25814">
          <cell r="B25814" t="str">
            <v>52022900000681</v>
          </cell>
          <cell r="C25814" t="str">
            <v>ST AHORRO EDUCACION TRANSF VENT         4NC</v>
          </cell>
        </row>
        <row r="25815">
          <cell r="B25815" t="str">
            <v>52022900000682</v>
          </cell>
          <cell r="C25815" t="str">
            <v>ST AH EDUCACION DEP O/PZA VENT Y ATM P  4NC</v>
          </cell>
        </row>
        <row r="25816">
          <cell r="B25816" t="str">
            <v>52022900000683</v>
          </cell>
          <cell r="C25816" t="str">
            <v>ST AHORRO EDUCACION TRANSF CANAL/EL     4NC</v>
          </cell>
        </row>
        <row r="25817">
          <cell r="B25817" t="str">
            <v>52022900000684</v>
          </cell>
          <cell r="C25817" t="str">
            <v>ST AHORRO EDUCACION Y GTIA MANTENIMIENTO4NC</v>
          </cell>
        </row>
        <row r="25818">
          <cell r="B25818" t="str">
            <v>52022900000685</v>
          </cell>
          <cell r="C25818" t="str">
            <v>ST AH EDUCACION TRX EXC VENT            4NC</v>
          </cell>
        </row>
        <row r="25819">
          <cell r="B25819" t="str">
            <v>52022900000686</v>
          </cell>
          <cell r="C25819" t="str">
            <v>ST AHORRO EDUCACION MANTENIMIENTO MEGA  4NC</v>
          </cell>
        </row>
        <row r="25820">
          <cell r="B25820" t="str">
            <v>52022900000687</v>
          </cell>
          <cell r="C25820" t="str">
            <v>ST AHORRO EDUCACION PORTES MEGA         4NC</v>
          </cell>
        </row>
        <row r="25821">
          <cell r="B25821" t="str">
            <v>52022900000688</v>
          </cell>
          <cell r="C25821" t="str">
            <v>ST AHORRO EDUCACION TRX EXC ATM         4NC</v>
          </cell>
        </row>
        <row r="25822">
          <cell r="B25822" t="str">
            <v>52022900000689</v>
          </cell>
          <cell r="C25822" t="str">
            <v>ST AHORRO EDUCACION PORTES              4NC</v>
          </cell>
        </row>
        <row r="25823">
          <cell r="B25823" t="str">
            <v>52022900000701</v>
          </cell>
          <cell r="C25823" t="str">
            <v>PORTES TC RECARGA                       4NC</v>
          </cell>
        </row>
        <row r="25824">
          <cell r="B25824" t="str">
            <v>52022900000704</v>
          </cell>
          <cell r="C25824" t="str">
            <v>BL COM.DEP.OP VENT.AH.PJ                4NC</v>
          </cell>
        </row>
        <row r="25825">
          <cell r="B25825" t="str">
            <v>52022900000705</v>
          </cell>
          <cell r="C25825" t="str">
            <v>AH MILLONARIA DEP O/PZA VENT Y ATM P    4NC</v>
          </cell>
        </row>
        <row r="25826">
          <cell r="B25826" t="str">
            <v>52022900000706</v>
          </cell>
          <cell r="C25826" t="str">
            <v>BL COM.DEP.OP VENT.AH.ESP.PJ S/F LUCR   4NC</v>
          </cell>
        </row>
        <row r="25827">
          <cell r="B25827" t="str">
            <v>52022900000707</v>
          </cell>
          <cell r="C25827" t="str">
            <v>COM.DEP.OP AHORROS PJ                   4NC</v>
          </cell>
        </row>
        <row r="25828">
          <cell r="B25828" t="str">
            <v>52022900000815</v>
          </cell>
          <cell r="C25828" t="str">
            <v>COM.CONSULT.MOV.VENT.AH PJ              4NC</v>
          </cell>
        </row>
        <row r="25829">
          <cell r="B25829" t="str">
            <v>52022900000816</v>
          </cell>
          <cell r="C25829" t="str">
            <v>AHORROS SLDOS-MOV VENT PN               4NC</v>
          </cell>
        </row>
        <row r="25830">
          <cell r="B25830" t="str">
            <v>52022900000817</v>
          </cell>
          <cell r="C25830" t="str">
            <v>COM.CONSULT.MOV.VENT AH.GTIA PN         4NC</v>
          </cell>
        </row>
        <row r="25831">
          <cell r="B25831" t="str">
            <v>52022900000818</v>
          </cell>
          <cell r="C25831" t="str">
            <v>AHORROS MILLONARIA SLDOS-MOV VENT PN    4NC</v>
          </cell>
        </row>
        <row r="25832">
          <cell r="B25832" t="str">
            <v>52022900000825</v>
          </cell>
          <cell r="C25832" t="str">
            <v>AHORROS SLDOS-MOV ATM PJSL              4NC</v>
          </cell>
        </row>
        <row r="25833">
          <cell r="B25833" t="str">
            <v>52022900000826</v>
          </cell>
          <cell r="C25833" t="str">
            <v>AHORROS SLDOS-MOV VENT PJSL             4NC</v>
          </cell>
        </row>
        <row r="25834">
          <cell r="B25834" t="str">
            <v>52022900000827</v>
          </cell>
          <cell r="C25834" t="str">
            <v>AHORROS SLDOS-MOV ATM PJFL              4NC</v>
          </cell>
        </row>
        <row r="25835">
          <cell r="B25835" t="str">
            <v>52022900000828</v>
          </cell>
          <cell r="C25835" t="str">
            <v>AHORROS SLDOS-MOV VENT PJFL             4NC</v>
          </cell>
        </row>
        <row r="25836">
          <cell r="B25836" t="str">
            <v>52022900000833</v>
          </cell>
          <cell r="C25836" t="str">
            <v>IB COM MOV-SALDO VENT CTA CTE PJS/F     4NC</v>
          </cell>
        </row>
        <row r="25837">
          <cell r="B25837" t="str">
            <v>52022900000834</v>
          </cell>
          <cell r="C25837" t="str">
            <v>IB COM MOV-SALDO VENT CTA CTE PJC/F     4NC</v>
          </cell>
        </row>
        <row r="25838">
          <cell r="B25838" t="str">
            <v>52022900000838</v>
          </cell>
          <cell r="C25838" t="str">
            <v>IB COM MOV ATM CTA CTE PJ S/F           4NC</v>
          </cell>
        </row>
        <row r="25839">
          <cell r="B25839" t="str">
            <v>52022900000901</v>
          </cell>
          <cell r="C25839" t="str">
            <v>SWIFT-COMERCIO EXTERIOR                 4NC</v>
          </cell>
        </row>
        <row r="25840">
          <cell r="B25840" t="str">
            <v>52022900000904</v>
          </cell>
          <cell r="C25840" t="str">
            <v>COPIAS XEROX                            4NC</v>
          </cell>
        </row>
        <row r="25841">
          <cell r="B25841" t="str">
            <v>52022900000905</v>
          </cell>
          <cell r="C25841" t="str">
            <v>COPIAS MICROFILM                        4NC</v>
          </cell>
        </row>
        <row r="25842">
          <cell r="B25842" t="str">
            <v>52022900000907</v>
          </cell>
          <cell r="C25842" t="str">
            <v>IB COM TALONARIO CHEQ CTA CTE PN        4NC</v>
          </cell>
        </row>
        <row r="25843">
          <cell r="B25843" t="str">
            <v>52022900000917</v>
          </cell>
          <cell r="C25843" t="str">
            <v>COM DEP GIROS Y TRAVEL CHECK NY         4NC</v>
          </cell>
        </row>
        <row r="25844">
          <cell r="B25844" t="str">
            <v>52022900000918</v>
          </cell>
          <cell r="C25844" t="str">
            <v>COMDEPGIROSYTRAVELCHECK9000009          4NC</v>
          </cell>
        </row>
        <row r="25845">
          <cell r="B25845" t="str">
            <v>52022900000919</v>
          </cell>
          <cell r="C25845" t="str">
            <v>OTROS INGRESOS                          4NC</v>
          </cell>
        </row>
        <row r="25846">
          <cell r="B25846" t="str">
            <v>52022900000920</v>
          </cell>
          <cell r="C25846" t="str">
            <v>COM INGRESOS VARIOS                     4NC</v>
          </cell>
        </row>
        <row r="25847">
          <cell r="B25847" t="str">
            <v>52022900000923</v>
          </cell>
          <cell r="C25847" t="str">
            <v>COM ADM PLANILLAS                       4NC</v>
          </cell>
        </row>
        <row r="25848">
          <cell r="B25848" t="str">
            <v>52022900000925</v>
          </cell>
          <cell r="C25848" t="str">
            <v>COM MANT-GTOS ADM IC Y OTROS CJ CL      4NC</v>
          </cell>
        </row>
        <row r="25849">
          <cell r="B25849" t="str">
            <v>52022900000926</v>
          </cell>
          <cell r="C25849" t="str">
            <v>COM. DE SERVICIOS SOAT                  4NC</v>
          </cell>
        </row>
        <row r="25850">
          <cell r="B25850" t="str">
            <v>52022900000928</v>
          </cell>
          <cell r="C25850" t="str">
            <v>INGRESOS POR DIF ATMS                   4NC</v>
          </cell>
        </row>
        <row r="25851">
          <cell r="B25851" t="str">
            <v>52022900000929</v>
          </cell>
          <cell r="C25851" t="str">
            <v>COMISION SURCHAGE ATM                   4NC</v>
          </cell>
        </row>
        <row r="25852">
          <cell r="B25852" t="str">
            <v>52022900000930</v>
          </cell>
          <cell r="C25852" t="str">
            <v>CHI-IC ING.VIGENTE SEG DESGRAVAMEN      4NC</v>
          </cell>
        </row>
        <row r="25853">
          <cell r="B25853" t="str">
            <v>52022900000931</v>
          </cell>
          <cell r="C25853" t="str">
            <v>CHI IC ING.VENCIDO SEG DESGRAVAM        4NC</v>
          </cell>
        </row>
        <row r="25854">
          <cell r="B25854" t="str">
            <v>52022900000932</v>
          </cell>
          <cell r="C25854" t="str">
            <v>COMISION CANAL DE ESTABLECIMIENTO       4NC</v>
          </cell>
        </row>
        <row r="25855">
          <cell r="B25855" t="str">
            <v>52022900000933</v>
          </cell>
          <cell r="C25855" t="str">
            <v>COM PAGO CTA PAGOACTIVO                 4NC</v>
          </cell>
        </row>
        <row r="25856">
          <cell r="B25856" t="str">
            <v>52022900000934</v>
          </cell>
          <cell r="C25856" t="str">
            <v>CHI-IC ING.VIGENTE SEG DESGRAVAMEN      4NC</v>
          </cell>
        </row>
        <row r="25857">
          <cell r="B25857" t="str">
            <v>52022900000940</v>
          </cell>
          <cell r="C25857" t="str">
            <v>COMISIÃ€N RECUENTO DE EXCEDENTE DE MON  4NC</v>
          </cell>
        </row>
        <row r="25858">
          <cell r="B25858" t="str">
            <v>52022900000941</v>
          </cell>
          <cell r="C25858" t="str">
            <v>COMISION CARGO EN CTA TRANSFE MASIVA    4NC</v>
          </cell>
        </row>
        <row r="25859">
          <cell r="B25859" t="str">
            <v>52022900000942</v>
          </cell>
          <cell r="C25859" t="str">
            <v>ALQUILERES DE ESPACIOS DEALERS          4NC</v>
          </cell>
        </row>
        <row r="25860">
          <cell r="B25860" t="str">
            <v>52022900000946</v>
          </cell>
          <cell r="C25860" t="str">
            <v>ALQUILERES DE ESPACIOS DEALERS          4NC</v>
          </cell>
        </row>
        <row r="25861">
          <cell r="B25861" t="str">
            <v>52022900000947</v>
          </cell>
          <cell r="C25861" t="str">
            <v>INGRESOS VARIOS DE FINANZAS CORPORATIVAS4NC</v>
          </cell>
        </row>
        <row r="25862">
          <cell r="B25862" t="str">
            <v>52022900000948</v>
          </cell>
          <cell r="C25862" t="str">
            <v>INGRESO POR CAMPAÃ‘AS DE MARKETING      4NC</v>
          </cell>
        </row>
        <row r="25863">
          <cell r="B25863" t="str">
            <v>52022900000949</v>
          </cell>
          <cell r="C25863" t="str">
            <v>TRANSACCIONES EN EXCESO EN IBK AGENTE   4NC</v>
          </cell>
        </row>
        <row r="25864">
          <cell r="B25864" t="str">
            <v>52022900000950</v>
          </cell>
          <cell r="C25864" t="str">
            <v>DEPÃ“SITOS INTERPLAZA EN IBK AGENTES    4NC</v>
          </cell>
        </row>
        <row r="25865">
          <cell r="B25865" t="str">
            <v>52022900000951</v>
          </cell>
          <cell r="C25865" t="str">
            <v>FCD PORTES FACTORING ELECTRONICO        4NC</v>
          </cell>
        </row>
        <row r="25866">
          <cell r="B25866" t="str">
            <v>52022900000952</v>
          </cell>
          <cell r="C25866" t="str">
            <v>SEGUROS INTERSEGURO                     4NC</v>
          </cell>
        </row>
        <row r="25867">
          <cell r="B25867" t="str">
            <v>52022900000953</v>
          </cell>
          <cell r="C25867" t="str">
            <v>SEGUROS OTRAS CÃAS                     4NC</v>
          </cell>
        </row>
        <row r="25868">
          <cell r="B25868" t="str">
            <v>52022900000954</v>
          </cell>
          <cell r="C25868" t="str">
            <v>INGRESO SEGURO PRE e HIP COMERCIAL      4NC</v>
          </cell>
        </row>
        <row r="25869">
          <cell r="B25869" t="str">
            <v>52022900000955</v>
          </cell>
          <cell r="C25869" t="str">
            <v>CREDITO CREACION DE GDN                 4NC</v>
          </cell>
        </row>
        <row r="25870">
          <cell r="B25870" t="str">
            <v>52022900000956</v>
          </cell>
          <cell r="C25870" t="str">
            <v>AUSPICIOS Â¿ CONVENIOS                  4NC</v>
          </cell>
        </row>
        <row r="25871">
          <cell r="B25871" t="str">
            <v>52022900001001</v>
          </cell>
          <cell r="C25871" t="str">
            <v>IB COM TALONARIO CHEQ CTA CTE PJ S/F    4NC</v>
          </cell>
        </row>
        <row r="25872">
          <cell r="B25872" t="str">
            <v>52022900001002</v>
          </cell>
          <cell r="C25872" t="str">
            <v>IB COM TALONARIO CHEQ CTA CTE PJ C/F    4NC</v>
          </cell>
        </row>
        <row r="25873">
          <cell r="B25873" t="str">
            <v>52022900001101</v>
          </cell>
          <cell r="C25873" t="str">
            <v>IB COM CHEQ SUSP PJ S/F                 4NC</v>
          </cell>
        </row>
        <row r="25874">
          <cell r="B25874" t="str">
            <v>52022900001102</v>
          </cell>
          <cell r="C25874" t="str">
            <v>IB COM CHEQ SUSP PJ C/F                 4NC</v>
          </cell>
        </row>
        <row r="25875">
          <cell r="B25875" t="str">
            <v>52022900001201</v>
          </cell>
          <cell r="C25875" t="str">
            <v>IB COM CHEQUE PAGADO OP PN              4NC</v>
          </cell>
        </row>
        <row r="25876">
          <cell r="B25876" t="str">
            <v>52022900001202</v>
          </cell>
          <cell r="C25876" t="str">
            <v>IB COM CHEQUE PAGADO OP PJ S/F          4NC</v>
          </cell>
        </row>
        <row r="25877">
          <cell r="B25877" t="str">
            <v>52022900001203</v>
          </cell>
          <cell r="C25877" t="str">
            <v>IB COM CHEQUE PAGADO OP PJ C/F          4NC</v>
          </cell>
        </row>
        <row r="25878">
          <cell r="B25878" t="str">
            <v>52022900001207</v>
          </cell>
          <cell r="C25878" t="str">
            <v>AHORROS TRANSF VENT PN                  4NC</v>
          </cell>
        </row>
        <row r="25879">
          <cell r="B25879" t="str">
            <v>52022900001208</v>
          </cell>
          <cell r="C25879" t="str">
            <v>AHORROS TRANSF CANAL ELECTRONICO P      4NC</v>
          </cell>
        </row>
        <row r="25880">
          <cell r="B25880" t="str">
            <v>52022900001209</v>
          </cell>
          <cell r="C25880" t="str">
            <v>AHORROS MILLONARIA TRANSF VENT          4NC</v>
          </cell>
        </row>
        <row r="25881">
          <cell r="B25881" t="str">
            <v>52022900001210</v>
          </cell>
          <cell r="C25881" t="str">
            <v>AHORROS MILLONARIA TRANSF CANAL/EL      4NC</v>
          </cell>
        </row>
        <row r="25882">
          <cell r="B25882" t="str">
            <v>52022900001211</v>
          </cell>
          <cell r="C25882" t="str">
            <v>AHORROS TRANSF VENT PJSL                4NC</v>
          </cell>
        </row>
        <row r="25883">
          <cell r="B25883" t="str">
            <v>52022900001212</v>
          </cell>
          <cell r="C25883" t="str">
            <v>ST COM.POR TRANF.CANALES ELECTRONICO    4NC</v>
          </cell>
        </row>
        <row r="25884">
          <cell r="B25884" t="str">
            <v>52022900001213</v>
          </cell>
          <cell r="C25884" t="str">
            <v>AHORROS TRANSF VENT PJFL                4NC</v>
          </cell>
        </row>
        <row r="25885">
          <cell r="B25885" t="str">
            <v>52022900001214</v>
          </cell>
          <cell r="C25885" t="str">
            <v>ST COM.POR TRANF.CANALES ELECTRONIC     4NC</v>
          </cell>
        </row>
        <row r="25886">
          <cell r="B25886" t="str">
            <v>52022900001215</v>
          </cell>
          <cell r="C25886" t="str">
            <v>MTO. TARJETA ELECTRON  (T DEBITO)       4NC</v>
          </cell>
        </row>
        <row r="25887">
          <cell r="B25887" t="str">
            <v>52022900001216</v>
          </cell>
          <cell r="C25887" t="str">
            <v>MTO. TARJETA ELECTRON  (MARCA)          4NC</v>
          </cell>
        </row>
        <row r="25888">
          <cell r="B25888" t="str">
            <v>52022900001301</v>
          </cell>
          <cell r="C25888" t="str">
            <v>COMISION SEGURO DESGRAVAMEN CONVENIO    4NC</v>
          </cell>
        </row>
        <row r="25889">
          <cell r="B25889" t="str">
            <v>52022900001302</v>
          </cell>
          <cell r="C25889" t="str">
            <v>COMISION SEGURO DESGRAVAMEN HIPOTECARIO 4NC</v>
          </cell>
        </row>
        <row r="25890">
          <cell r="B25890" t="str">
            <v>52022900001303</v>
          </cell>
          <cell r="C25890" t="str">
            <v>COMISION SEGURO DESGRAVAMEN VEHICULAR   4NC</v>
          </cell>
        </row>
        <row r="25891">
          <cell r="B25891" t="str">
            <v>52022900001304</v>
          </cell>
          <cell r="C25891" t="str">
            <v>COMISION SEGURO DESGRAVAMEN EFECTIVO    4NC</v>
          </cell>
        </row>
        <row r="25892">
          <cell r="B25892" t="str">
            <v>52022900001305</v>
          </cell>
          <cell r="C25892" t="str">
            <v>COM. SEGURO DESGRAV REFINAN PN Y LEASING4NC</v>
          </cell>
        </row>
        <row r="25893">
          <cell r="B25893" t="str">
            <v>52022900001306</v>
          </cell>
          <cell r="C25893" t="str">
            <v>COMISION SEGURO DESGRAVAMEN BPE         4NC</v>
          </cell>
        </row>
        <row r="25894">
          <cell r="B25894" t="str">
            <v>52022900001307</v>
          </cell>
          <cell r="C25894" t="str">
            <v>COMISION SEGURO DEL BIEN Â¿ LEASING     4NC</v>
          </cell>
        </row>
        <row r="25895">
          <cell r="B25895" t="str">
            <v>52022900001308</v>
          </cell>
          <cell r="C25895" t="str">
            <v>INGRESO POR COMISION DE SEGUROS VARIOS -4NC</v>
          </cell>
        </row>
        <row r="25896">
          <cell r="B25896" t="str">
            <v>52022900001309</v>
          </cell>
          <cell r="C25896" t="str">
            <v>COMISION POR ADMINISTRACION DE POLIZA EN4NC</v>
          </cell>
        </row>
        <row r="25897">
          <cell r="B25897" t="str">
            <v>52022900001310</v>
          </cell>
          <cell r="C25897" t="str">
            <v>SERVIC. EVALUACION DE POLIZA CRED VEHICU4NC</v>
          </cell>
        </row>
        <row r="25898">
          <cell r="B25898" t="str">
            <v>52022900001311</v>
          </cell>
          <cell r="C25898" t="str">
            <v>COMISIÃ“N TRASLADO EFECTIVO             4NC</v>
          </cell>
        </row>
        <row r="25899">
          <cell r="B25899" t="str">
            <v>52022900001312</v>
          </cell>
          <cell r="C25899" t="str">
            <v>CARTA CONFIRMAC.SALDOS DIV.PRODUCT.Y SER4NC</v>
          </cell>
        </row>
        <row r="25900">
          <cell r="B25900" t="str">
            <v>52022900001313</v>
          </cell>
          <cell r="C25900" t="str">
            <v>COMISION COSTAMAR 2%                    4NC</v>
          </cell>
        </row>
        <row r="25901">
          <cell r="B25901" t="str">
            <v>52022900001314</v>
          </cell>
          <cell r="C25901" t="str">
            <v>AH CTA.ALCANCIA VIRTUAL PORTES          4NC</v>
          </cell>
        </row>
        <row r="25902">
          <cell r="B25902" t="str">
            <v>52022900001315</v>
          </cell>
          <cell r="C25902" t="str">
            <v>AH CTA.ALCANCIA VIRTUAL PORTES MEGA     4NC</v>
          </cell>
        </row>
        <row r="25903">
          <cell r="B25903" t="str">
            <v>52022900001316</v>
          </cell>
          <cell r="C25903" t="str">
            <v>AH CTA.ALCANCIA VIRTUAL Y GTIA MANTENIMI4NC</v>
          </cell>
        </row>
        <row r="25904">
          <cell r="B25904" t="str">
            <v>52022900001317</v>
          </cell>
          <cell r="C25904" t="str">
            <v>AH CTA. ALCANCIA VIRTUAL TRX EXC ATM    4NC</v>
          </cell>
        </row>
        <row r="25905">
          <cell r="B25905" t="str">
            <v>52022900001318</v>
          </cell>
          <cell r="C25905" t="str">
            <v>AH CTA.ALCANCIA VIRTUAL TRX EXC VENT    4NC</v>
          </cell>
        </row>
        <row r="25906">
          <cell r="B25906" t="str">
            <v>52022900001319</v>
          </cell>
          <cell r="C25906" t="str">
            <v>AH CTA.ALCANCIA VIRTUAL MANTENIMIENTO ME4NC</v>
          </cell>
        </row>
        <row r="25907">
          <cell r="B25907" t="str">
            <v>52022900001320</v>
          </cell>
          <cell r="C25907" t="str">
            <v>AH CTA.ALCANCIA VIRTUAL RET O/PZA VENT P4NC</v>
          </cell>
        </row>
        <row r="25908">
          <cell r="B25908" t="str">
            <v>52022900001321</v>
          </cell>
          <cell r="C25908" t="str">
            <v>AH CTA. ALCANCIA VIRTUAL RET O/PZA ATM P4NC</v>
          </cell>
        </row>
        <row r="25909">
          <cell r="B25909" t="str">
            <v>52022900001322</v>
          </cell>
          <cell r="C25909" t="str">
            <v>AH CTA.ALCANCIA VIRTUAL DEP O/PZA VENT Y4NC</v>
          </cell>
        </row>
        <row r="25910">
          <cell r="B25910" t="str">
            <v>52022900001323</v>
          </cell>
          <cell r="C25910" t="str">
            <v>AH CTA.ALCANCIA VIRTUAL COM.CONSULT.MOV.4NC</v>
          </cell>
        </row>
        <row r="25911">
          <cell r="B25911" t="str">
            <v>52022900001324</v>
          </cell>
          <cell r="C25911" t="str">
            <v>AH CTA.ALCANCIA VIRTUAL SLDOS-MOV VENT P4NC</v>
          </cell>
        </row>
        <row r="25912">
          <cell r="B25912" t="str">
            <v>52022900001325</v>
          </cell>
          <cell r="C25912" t="str">
            <v>AH CTA.ALCANCIA VIRTUAL TRANSF VENT     4NC</v>
          </cell>
        </row>
        <row r="25913">
          <cell r="B25913" t="str">
            <v>52022900001326</v>
          </cell>
          <cell r="C25913" t="str">
            <v>AH CTA.ALCANCIA VIRTUAL TRANSF CANAL/EL 4NC</v>
          </cell>
        </row>
        <row r="25914">
          <cell r="B25914" t="str">
            <v>52022900001401</v>
          </cell>
          <cell r="C25914" t="str">
            <v>ING. SEGURO DESGRAV VIGENTE HIPOTECARIO 4NC</v>
          </cell>
        </row>
        <row r="25915">
          <cell r="B25915" t="str">
            <v>52022900001402</v>
          </cell>
          <cell r="C25915" t="str">
            <v>ING. SEGURO DESGRAVAMEN VENCIDO HIPOTECA4NC</v>
          </cell>
        </row>
        <row r="25916">
          <cell r="B25916" t="str">
            <v>52022900001403</v>
          </cell>
          <cell r="C25916" t="str">
            <v>ING. SEG. DEL BIEN CREDITO HIPOTECARIO V4NC</v>
          </cell>
        </row>
        <row r="25917">
          <cell r="B25917" t="str">
            <v>52022900001404</v>
          </cell>
          <cell r="C25917" t="str">
            <v>ING. SEGURO DEL BIEN CREDITO HIPOTECARIO4NC</v>
          </cell>
        </row>
        <row r="25918">
          <cell r="B25918" t="str">
            <v>52022900001405</v>
          </cell>
          <cell r="C25918" t="str">
            <v>HPC .REF. SEG.DESG.GAN.VIG.HIPOT        4NC</v>
          </cell>
        </row>
        <row r="25919">
          <cell r="B25919" t="str">
            <v>52022900001406</v>
          </cell>
          <cell r="C25919" t="str">
            <v>HPC .REF. SEG. DESG.GAN.VENC.HI         4NC</v>
          </cell>
        </row>
        <row r="25920">
          <cell r="B25920" t="str">
            <v>52022900001407</v>
          </cell>
          <cell r="C25920" t="str">
            <v>HPC .REF.SEG INMB GAN.VIG HIPOT         4NC</v>
          </cell>
        </row>
        <row r="25921">
          <cell r="B25921" t="str">
            <v>52022900001408</v>
          </cell>
          <cell r="C25921" t="str">
            <v>HPC .REF.SEG INMB GAN VENC HIPO12005    4NC</v>
          </cell>
        </row>
        <row r="25922">
          <cell r="B25922" t="str">
            <v>52022900001409</v>
          </cell>
          <cell r="C25922" t="str">
            <v>HPCÂ  SEG.DESG.GAN.VIG.HIPOT.FINAN.PROV.4NC</v>
          </cell>
        </row>
        <row r="25923">
          <cell r="B25923" t="str">
            <v>52022900001410</v>
          </cell>
          <cell r="C25923" t="str">
            <v>HPC SEG. DESG.GAN.VENC.HIPOT.FINAN.PROV.4NC</v>
          </cell>
        </row>
        <row r="25924">
          <cell r="B25924" t="str">
            <v>52022900001411</v>
          </cell>
          <cell r="C25924" t="str">
            <v>HPC SEG INMB GAN.VIG HIPOT.FINAN.PROV.RE4NC</v>
          </cell>
        </row>
        <row r="25925">
          <cell r="B25925" t="str">
            <v>52022900001412</v>
          </cell>
          <cell r="C25925" t="str">
            <v>HPC SEG INMB GAN VENC HIPOT.FINAN.PROV.R4NC</v>
          </cell>
        </row>
        <row r="25926">
          <cell r="B25926" t="str">
            <v>52022900001413</v>
          </cell>
          <cell r="C25926" t="str">
            <v>RECAUDACIONES GASTOS REGISTRALES HIPOTEC4NC</v>
          </cell>
        </row>
        <row r="25927">
          <cell r="B25927" t="str">
            <v>52022900001501</v>
          </cell>
          <cell r="C25927" t="str">
            <v>INGRESO SEGURO DESGRAVAMEN VIGENTE BPE  4NC</v>
          </cell>
        </row>
        <row r="25928">
          <cell r="B25928" t="str">
            <v>52022900001502</v>
          </cell>
          <cell r="C25928" t="str">
            <v>INGRESO SEGURO DESGRAVAMEN VENCIDO BPE  4NC</v>
          </cell>
        </row>
        <row r="25929">
          <cell r="B25929" t="str">
            <v>52022900001503</v>
          </cell>
          <cell r="C25929" t="str">
            <v>INGRESO SEGURO DEL BIEN VIGENTE BPE     4NC</v>
          </cell>
        </row>
        <row r="25930">
          <cell r="B25930" t="str">
            <v>52022900001504</v>
          </cell>
          <cell r="C25930" t="str">
            <v>INGRESO SEGURO DEL BIEN VENCIDO BPE     4NC</v>
          </cell>
        </row>
        <row r="25931">
          <cell r="B25931" t="str">
            <v>52022900001505</v>
          </cell>
          <cell r="C25931" t="str">
            <v>ING. SEGURO MULTIRIESGO EXISTENCIAS BPE 4NC</v>
          </cell>
        </row>
        <row r="25932">
          <cell r="B25932" t="str">
            <v>52022900001506</v>
          </cell>
          <cell r="C25932" t="str">
            <v>MYP SEG DESG.GAN.REF.COBRANZAS VIG.     4NC</v>
          </cell>
        </row>
        <row r="25933">
          <cell r="B25933" t="str">
            <v>52022900001507</v>
          </cell>
          <cell r="C25933" t="str">
            <v>MYP SEG DESG.GAN.REF.COBRANZAS VENC.    4NC</v>
          </cell>
        </row>
        <row r="25934">
          <cell r="B25934" t="str">
            <v>52022900001508</v>
          </cell>
          <cell r="C25934" t="str">
            <v>MYP SEG BIEN.GAN.REF.COBRANZAS VIG.     4NC</v>
          </cell>
        </row>
        <row r="25935">
          <cell r="B25935" t="str">
            <v>52022900001509</v>
          </cell>
          <cell r="C25935" t="str">
            <v>MYP SEG BIEN.GAN.REF.COBRANZAS VENC.    4NC</v>
          </cell>
        </row>
        <row r="25936">
          <cell r="B25936" t="str">
            <v>52022900001510</v>
          </cell>
          <cell r="C25936" t="str">
            <v>LPC ISG CIA SEG. LEASING BPEÂ           4NC</v>
          </cell>
        </row>
        <row r="25937">
          <cell r="B25937" t="str">
            <v>52022900001511</v>
          </cell>
          <cell r="C25937" t="str">
            <v>LPC ISG CIA SEG. LEASING 2001           4NC</v>
          </cell>
        </row>
        <row r="25938">
          <cell r="B25938" t="str">
            <v>52022900001512</v>
          </cell>
          <cell r="C25938" t="str">
            <v>LPC ISG CIA SEG. LEASING 2001 Dudoso /Pe4NC</v>
          </cell>
        </row>
        <row r="25939">
          <cell r="B25939" t="str">
            <v>52022900001513</v>
          </cell>
          <cell r="C25939" t="str">
            <v>LPC ISG CIA SEG. LEASEBACK 2001         4NC</v>
          </cell>
        </row>
        <row r="25940">
          <cell r="B25940" t="str">
            <v>52022900001514</v>
          </cell>
          <cell r="C25940" t="str">
            <v>LPC ISG CIA SEG. LEASING 2001 BIEN ADJUD4NC</v>
          </cell>
        </row>
        <row r="25941">
          <cell r="B25941" t="str">
            <v>52022900001515</v>
          </cell>
          <cell r="C25941" t="str">
            <v>LPC ISG CIA SEG. LEASING 2000           4NC</v>
          </cell>
        </row>
        <row r="25942">
          <cell r="B25942" t="str">
            <v>52022900001516</v>
          </cell>
          <cell r="C25942" t="str">
            <v>LPC ISG CIA SEG. LEASEBACK 2000         4NC</v>
          </cell>
        </row>
        <row r="25943">
          <cell r="B25943" t="str">
            <v>52022900001517</v>
          </cell>
          <cell r="C25943" t="str">
            <v>LPC ISG CIA SEG. LEASING COFIGAS        4NC</v>
          </cell>
        </row>
        <row r="25944">
          <cell r="B25944" t="str">
            <v>52022900001518</v>
          </cell>
          <cell r="C25944" t="str">
            <v>LPC ISG CIA SEG. LEASEBACK COFIDE       4NC</v>
          </cell>
        </row>
        <row r="25945">
          <cell r="B25945" t="str">
            <v>52022900001519</v>
          </cell>
          <cell r="C25945" t="str">
            <v>LPC ING. PAPELETAS INFRACCIONES DE TRANS4NC</v>
          </cell>
        </row>
        <row r="25946">
          <cell r="B25946" t="str">
            <v>52022900001520</v>
          </cell>
          <cell r="C25946" t="str">
            <v>LPC ING. IPV IMPUESTO PATRIMONIO VEHICUL4NC</v>
          </cell>
        </row>
        <row r="25947">
          <cell r="B25947" t="str">
            <v>52022900001521</v>
          </cell>
          <cell r="C25947" t="str">
            <v>LPC ING. IPM IMPUESTO PATRIMONIO MUNICIP4NC</v>
          </cell>
        </row>
        <row r="25948">
          <cell r="B25948" t="str">
            <v>52022900001522</v>
          </cell>
          <cell r="C25948" t="str">
            <v>LPC COM.PAPELETAS INFRACCIONES DE TRANSI4NC</v>
          </cell>
        </row>
        <row r="25949">
          <cell r="B25949" t="str">
            <v>52022900001523</v>
          </cell>
          <cell r="C25949" t="str">
            <v>LPC COM. IPV IMPUESTO PATRIMONIO VEHICUL4NC</v>
          </cell>
        </row>
        <row r="25950">
          <cell r="B25950" t="str">
            <v>52022900001524</v>
          </cell>
          <cell r="C25950" t="str">
            <v>LPC COM IPM IMPUESTO PATRIMONIO MUNICIPA4NC</v>
          </cell>
        </row>
        <row r="25951">
          <cell r="B25951" t="str">
            <v>52022900001525</v>
          </cell>
          <cell r="C25951" t="str">
            <v>LPC ISG CIA SEG. LEASING 2001 BPE       4NC</v>
          </cell>
        </row>
        <row r="25952">
          <cell r="B25952" t="str">
            <v>52022900001526</v>
          </cell>
          <cell r="C25952" t="str">
            <v>LPC REF LS SEG BIEN DIF ISG             4NC</v>
          </cell>
        </row>
        <row r="25953">
          <cell r="B25953" t="str">
            <v>52022900001527</v>
          </cell>
          <cell r="C25953" t="str">
            <v>LPC PORTES LEASING                      4NC</v>
          </cell>
        </row>
        <row r="25954">
          <cell r="B25954" t="str">
            <v>52022900001601</v>
          </cell>
          <cell r="C25954" t="str">
            <v>COPIA  DUP. DE DOCUMENTOS Y GEST. CHEQUE4NC</v>
          </cell>
        </row>
        <row r="25955">
          <cell r="B25955" t="str">
            <v>52022900001602</v>
          </cell>
          <cell r="C25955" t="str">
            <v>LPC COM.PRE CANCEL.AVANCE CTACTE        4NC</v>
          </cell>
        </row>
        <row r="25956">
          <cell r="B25956" t="str">
            <v>52022900001603</v>
          </cell>
          <cell r="C25956" t="str">
            <v>ING. SEGURO DESGRAVAMEN VIGENTE VEHI y E4NC</v>
          </cell>
        </row>
        <row r="25957">
          <cell r="B25957" t="str">
            <v>52022900001604</v>
          </cell>
          <cell r="C25957" t="str">
            <v>ING. SEGURO DESGRAVAMEN VENCIDO VEHIC y 4NC</v>
          </cell>
        </row>
        <row r="25958">
          <cell r="B25958" t="str">
            <v>52022900001605</v>
          </cell>
          <cell r="C25958" t="str">
            <v>ING. SEGURO DEL BIEN CREDITO VEHICULAR V4NC</v>
          </cell>
        </row>
        <row r="25959">
          <cell r="B25959" t="str">
            <v>52022900001606</v>
          </cell>
          <cell r="C25959" t="str">
            <v>ING. SEGURO DEL BIEN CREDITO VEHICULAR V4NC</v>
          </cell>
        </row>
        <row r="25960">
          <cell r="B25960" t="str">
            <v>52022900001800</v>
          </cell>
          <cell r="C25960" t="str">
            <v>TC COM.ESTABLECIMIENTO TEBCA            4NC</v>
          </cell>
        </row>
        <row r="25961">
          <cell r="B25961" t="str">
            <v>52022900001801</v>
          </cell>
          <cell r="C25961" t="str">
            <v>TC COM.ESTABLECIMIENTO TEBCA            4NC</v>
          </cell>
        </row>
        <row r="25962">
          <cell r="B25962" t="str">
            <v>52022900001901</v>
          </cell>
          <cell r="C25962" t="str">
            <v>INGRESO COMISION X COBRO TOKEN          4NC</v>
          </cell>
        </row>
        <row r="25963">
          <cell r="B25963" t="str">
            <v>52022900002001</v>
          </cell>
          <cell r="C25963" t="str">
            <v>HPC COM.POR SERV.COBRANZA.TITULIZADORA  4NC</v>
          </cell>
        </row>
        <row r="25964">
          <cell r="B25964" t="str">
            <v>52022900002002</v>
          </cell>
          <cell r="C25964" t="str">
            <v>HPC COM PORTES .TITULIZADORA            4NC</v>
          </cell>
        </row>
        <row r="25965">
          <cell r="B25965" t="str">
            <v>52022900002003</v>
          </cell>
          <cell r="C25965" t="str">
            <v>HPC COM.POR SERV .COBRANZA.TITULIZADORA.4NC</v>
          </cell>
        </row>
        <row r="25966">
          <cell r="B25966" t="str">
            <v>52022900002004</v>
          </cell>
          <cell r="C25966" t="str">
            <v>HPC COM PORTES .TITULIZADORA REFINANCIAD4NC</v>
          </cell>
        </row>
        <row r="25967">
          <cell r="B25967" t="str">
            <v>52022900002005</v>
          </cell>
          <cell r="C25967" t="str">
            <v>HPC COM POR PAGO ADELANTADO .TITULIZADOR4NC</v>
          </cell>
        </row>
        <row r="25968">
          <cell r="B25968" t="str">
            <v>52022900002101</v>
          </cell>
          <cell r="C25968" t="str">
            <v>TD VISA JOVEN ADM.BENEFICIOS            4NC</v>
          </cell>
        </row>
        <row r="25969">
          <cell r="B25969" t="str">
            <v>52022900002102</v>
          </cell>
          <cell r="C25969" t="str">
            <v>TD VISA JOVEN REPOSICIONÂ               4NC</v>
          </cell>
        </row>
        <row r="25970">
          <cell r="B25970" t="str">
            <v>52022900002103</v>
          </cell>
          <cell r="C25970" t="str">
            <v>COM.ESTRUCTURACIÃ“N-FIES NO DEVENGADO   4NC</v>
          </cell>
        </row>
        <row r="25971">
          <cell r="B25971" t="str">
            <v>52022900002104</v>
          </cell>
          <cell r="C25971" t="str">
            <v>COMISIONES FORFAITING                   4NC</v>
          </cell>
        </row>
        <row r="25972">
          <cell r="B25972" t="str">
            <v>52022900002108</v>
          </cell>
          <cell r="C25972" t="str">
            <v>LPC COM.DE PROTESTO                     4NC</v>
          </cell>
        </row>
        <row r="25973">
          <cell r="B25973" t="str">
            <v>52022900002109</v>
          </cell>
          <cell r="C25973" t="str">
            <v>LPC PORTES                              4NC</v>
          </cell>
        </row>
        <row r="25974">
          <cell r="B25974" t="str">
            <v>52022900002110</v>
          </cell>
          <cell r="C25974" t="str">
            <v>LPC RECUP- GTOS PROCURACION             4NC</v>
          </cell>
        </row>
        <row r="25975">
          <cell r="B25975" t="str">
            <v>52022900002111</v>
          </cell>
          <cell r="C25975" t="str">
            <v>COMISION ESTRUCTURACION FIES            4NC</v>
          </cell>
        </row>
        <row r="25976">
          <cell r="B25976" t="str">
            <v>52022900002112</v>
          </cell>
          <cell r="C25976" t="str">
            <v>COMISION SERV.ASESORIA - FIES           4NC</v>
          </cell>
        </row>
        <row r="25977">
          <cell r="B25977" t="str">
            <v>52022900002113</v>
          </cell>
          <cell r="C25977" t="str">
            <v>BOG AHORROS PORTES PN                   4NC</v>
          </cell>
        </row>
        <row r="25978">
          <cell r="B25978" t="str">
            <v>52022900002114</v>
          </cell>
          <cell r="C25978" t="str">
            <v>BOG AHORROS MANTENIMIENTO PN            4NC</v>
          </cell>
        </row>
        <row r="25979">
          <cell r="B25979" t="str">
            <v>52022900002115</v>
          </cell>
          <cell r="C25979" t="str">
            <v>COM. IBK BENEFIT                        4NC</v>
          </cell>
        </row>
        <row r="25980">
          <cell r="B25980" t="str">
            <v>52022900002116</v>
          </cell>
          <cell r="C25980" t="str">
            <v>PREMIOS PRODUCTO ? PREMIA SUBVENCIÃ“N SO4NC</v>
          </cell>
        </row>
        <row r="25981">
          <cell r="B25981" t="str">
            <v>52022900002117</v>
          </cell>
          <cell r="C25981" t="str">
            <v>PAG_ MAE Multibono                      4NC</v>
          </cell>
        </row>
        <row r="25982">
          <cell r="B25982" t="str">
            <v>52022900002118</v>
          </cell>
          <cell r="C25982" t="str">
            <v>MYP CODIFE FONDO CRECER                 4NC</v>
          </cell>
        </row>
        <row r="25983">
          <cell r="B25983" t="str">
            <v>52022900002119</v>
          </cell>
          <cell r="C25983" t="str">
            <v>MYP CODIFE REACTIVA PERU                4NC</v>
          </cell>
        </row>
        <row r="25984">
          <cell r="B25984" t="str">
            <v>52022900002120</v>
          </cell>
          <cell r="C25984" t="str">
            <v>MYP REFINANC. COVID-19  SG VIG          4NC</v>
          </cell>
        </row>
        <row r="25985">
          <cell r="B25985" t="str">
            <v>52022900002121</v>
          </cell>
          <cell r="C25985" t="str">
            <v>COMISIONES SWIFT                        4NC</v>
          </cell>
        </row>
        <row r="25986">
          <cell r="B25986" t="str">
            <v>52022900002122</v>
          </cell>
          <cell r="C25986" t="str">
            <v>COM SWIFT                               4NC</v>
          </cell>
        </row>
        <row r="25987">
          <cell r="B25987" t="str">
            <v>52022900002123</v>
          </cell>
          <cell r="C25987" t="str">
            <v>MAC CENTER                              4NC</v>
          </cell>
        </row>
        <row r="25988">
          <cell r="B25988" t="str">
            <v>52022900002124</v>
          </cell>
          <cell r="C25988" t="str">
            <v>LPC COM PRE CANCELACION O AMORTIZACION R4NC</v>
          </cell>
        </row>
        <row r="25989">
          <cell r="B25989" t="str">
            <v>52022900002125</v>
          </cell>
          <cell r="C25989" t="str">
            <v>LPC COMISION ANUAL REACTIVA             4NC</v>
          </cell>
        </row>
        <row r="25990">
          <cell r="B25990" t="str">
            <v>52022900002126</v>
          </cell>
          <cell r="C25990" t="str">
            <v>MYP COM PRE CANCELACION O AMORTIZACION R4NC</v>
          </cell>
        </row>
        <row r="25991">
          <cell r="B25991" t="str">
            <v>52022900002127</v>
          </cell>
          <cell r="C25991" t="str">
            <v>MYP COMISION ANUAL REACTIVA             4NC</v>
          </cell>
        </row>
        <row r="25992">
          <cell r="B25992" t="str">
            <v>52022900002129</v>
          </cell>
          <cell r="C25992" t="str">
            <v>COMISIONES SEGUROS MARSH REHDER         4NC</v>
          </cell>
        </row>
        <row r="25993">
          <cell r="B25993" t="str">
            <v>52022900002131</v>
          </cell>
          <cell r="C25993" t="str">
            <v>CDO COM INTERCAMBIO BOGOTA              4NC</v>
          </cell>
        </row>
        <row r="25994">
          <cell r="B25994" t="str">
            <v>52022900002132</v>
          </cell>
          <cell r="C25994" t="str">
            <v>PROGRAMA PREMIA                         4NC</v>
          </cell>
        </row>
        <row r="25995">
          <cell r="B25995" t="str">
            <v>52022900002133</v>
          </cell>
          <cell r="C25995" t="str">
            <v>COMISION INTEROPERABILIDAD DINERO ELECTR4NC</v>
          </cell>
        </row>
        <row r="25996">
          <cell r="B25996" t="str">
            <v>52022900002134</v>
          </cell>
          <cell r="C25996" t="str">
            <v>COMISIÃ“N POR ANULACIÃ“N MASIVA         4NC</v>
          </cell>
        </row>
        <row r="25997">
          <cell r="B25997" t="str">
            <v>52022900002135</v>
          </cell>
          <cell r="C25997" t="str">
            <v>COMISIONES VARIAS NEGOCIO INMOBILIARIO  4NC</v>
          </cell>
        </row>
        <row r="25998">
          <cell r="B25998" t="str">
            <v>52022900002136</v>
          </cell>
          <cell r="C25998" t="str">
            <v>BTC COMISION FEE CONVESION RAPPI        4NC</v>
          </cell>
        </row>
        <row r="25999">
          <cell r="B25999" t="str">
            <v>52022900002137</v>
          </cell>
          <cell r="C25999" t="str">
            <v>$IM COMISION PORTES EECC DIGITAL        4 C</v>
          </cell>
        </row>
        <row r="26000">
          <cell r="B26000" t="str">
            <v>52022900002138</v>
          </cell>
          <cell r="C26000" t="str">
            <v>$ST COMISION PORTES EECC DIGITAL        4 C</v>
          </cell>
        </row>
        <row r="26001">
          <cell r="B26001" t="str">
            <v>52022900002139</v>
          </cell>
          <cell r="C26001" t="str">
            <v>$IM COMISION CARTAS                     4 C</v>
          </cell>
        </row>
        <row r="26002">
          <cell r="B26002" t="str">
            <v>52022900002140</v>
          </cell>
          <cell r="C26002" t="str">
            <v>$IM COMISION OPERACIÃ“N                 4 C</v>
          </cell>
        </row>
        <row r="26003">
          <cell r="B26003" t="str">
            <v>52022900002141</v>
          </cell>
          <cell r="C26003" t="str">
            <v>$ST COMISION CARTAS                     4 C</v>
          </cell>
        </row>
        <row r="26004">
          <cell r="B26004" t="str">
            <v>52022900002142</v>
          </cell>
          <cell r="C26004" t="str">
            <v>$ST COMISION OPERACION                  4 C</v>
          </cell>
        </row>
        <row r="26005">
          <cell r="B26005" t="str">
            <v>52022900002143</v>
          </cell>
          <cell r="C26005" t="str">
            <v>MYP COM PRE CANCEL/AMORT REACTIVA REPRO 4 C</v>
          </cell>
        </row>
        <row r="26006">
          <cell r="B26006" t="str">
            <v>52022900002144</v>
          </cell>
          <cell r="C26006" t="str">
            <v>MYP COMISION ANUAL REACTIVA REPRO       4 C</v>
          </cell>
        </row>
        <row r="26007">
          <cell r="B26007" t="str">
            <v>52022900002145</v>
          </cell>
          <cell r="C26007" t="str">
            <v>COM CERTIFICADO DIGITAL                 4 C</v>
          </cell>
        </row>
        <row r="26008">
          <cell r="B26008" t="str">
            <v>52022900002147</v>
          </cell>
          <cell r="C26008" t="str">
            <v>JCC COMISION HONORARIOS REACTIVA        4 C</v>
          </cell>
        </row>
        <row r="26009">
          <cell r="B26009" t="str">
            <v>52022900002148</v>
          </cell>
          <cell r="C26009" t="str">
            <v>MYP REPROG REACTIVA DS.011-2022 COCFAN  4 C</v>
          </cell>
        </row>
        <row r="26010">
          <cell r="B26010" t="str">
            <v>52022900002149</v>
          </cell>
          <cell r="C26010" t="str">
            <v>MYP REPROG REACTIVA DS.011-2022 COCFPR  4 C</v>
          </cell>
        </row>
        <row r="26011">
          <cell r="B26011" t="str">
            <v>52022900002150</v>
          </cell>
          <cell r="C26011" t="str">
            <v>COM EMPRESAS DE TELECOMUNICACIÓN         NC</v>
          </cell>
        </row>
        <row r="26012">
          <cell r="B26012" t="str">
            <v>52022900002152</v>
          </cell>
          <cell r="C26012" t="str">
            <v>COM EMPRESAS DE TELECOMUNICACIÃ“N       4NC</v>
          </cell>
        </row>
        <row r="26013">
          <cell r="B26013" t="str">
            <v>52022900002153</v>
          </cell>
          <cell r="C26013" t="str">
            <v>BTC ING COMISION SEGURO DE DESGRAVAMEN  4NC</v>
          </cell>
        </row>
        <row r="26014">
          <cell r="B26014" t="str">
            <v>52022900002154</v>
          </cell>
          <cell r="C26014" t="str">
            <v>CDO LIQ TUNKI_COM VISA OPCIONAL         4NC</v>
          </cell>
        </row>
        <row r="26015">
          <cell r="B26015" t="str">
            <v>52022900002162</v>
          </cell>
          <cell r="C26015" t="str">
            <v>MYP REPROG REACTIVA 2023 COCFAN         4 C</v>
          </cell>
        </row>
        <row r="26016">
          <cell r="B26016" t="str">
            <v>52022900002163</v>
          </cell>
          <cell r="C26016" t="str">
            <v>MYP REPROG REACTIVA 2023 COCFPR         4 C</v>
          </cell>
        </row>
        <row r="26017">
          <cell r="B26017" t="str">
            <v>52022900002164</v>
          </cell>
          <cell r="C26017" t="str">
            <v>LPC PAG COM.PROTESTO                    4NC</v>
          </cell>
        </row>
        <row r="26018">
          <cell r="B26018" t="str">
            <v>52022900002165</v>
          </cell>
          <cell r="C26018" t="str">
            <v>LPC PAG COM PROCURACION MORA            4NC</v>
          </cell>
        </row>
        <row r="26019">
          <cell r="B26019" t="str">
            <v>52022900002166</v>
          </cell>
          <cell r="C26019" t="str">
            <v>FCD COM SERVICIO H2H                    4NC</v>
          </cell>
        </row>
        <row r="26020">
          <cell r="B26020" t="str">
            <v>52022900002167</v>
          </cell>
          <cell r="C26020" t="str">
            <v>COMISION DE ESTRUCTURACIÃ“N LEASING FINC4NC</v>
          </cell>
        </row>
        <row r="26021">
          <cell r="B26021" t="str">
            <v>52022900002172</v>
          </cell>
          <cell r="C26021" t="str">
            <v>CCD-BPE INGRESO SEGURO DESGRAVAMEN VIGEN4 C</v>
          </cell>
        </row>
        <row r="26022">
          <cell r="B26022" t="str">
            <v>52022900002173</v>
          </cell>
          <cell r="C26022" t="str">
            <v>CCD-BPE INGRESO SEGURO DESGRAVAMEN VENCI4 C</v>
          </cell>
        </row>
        <row r="26023">
          <cell r="B26023" t="str">
            <v>52022900002174</v>
          </cell>
          <cell r="C26023" t="str">
            <v>CCD-BPE INGRESO SEGURO DEL BIEN VIGENTE 4 C</v>
          </cell>
        </row>
        <row r="26024">
          <cell r="B26024" t="str">
            <v>52022900002175</v>
          </cell>
          <cell r="C26024" t="str">
            <v>CCD-BPE INGRESO SEGURO DEL BIEN VENCIDO 4 C</v>
          </cell>
        </row>
        <row r="26025">
          <cell r="B26025" t="str">
            <v>52022900002176</v>
          </cell>
          <cell r="C26025" t="str">
            <v>COMISION PRE CANCELACION IMPULSO        4NC</v>
          </cell>
        </row>
        <row r="26026">
          <cell r="B26026" t="str">
            <v>52022900002177</v>
          </cell>
          <cell r="C26026" t="str">
            <v>CCD COM CAP TRAB PRE CANCELACION        4 C</v>
          </cell>
        </row>
        <row r="26027">
          <cell r="B26027" t="str">
            <v>52022900002178</v>
          </cell>
          <cell r="C26027" t="str">
            <v>FONDO DE MARKETING                      4 C</v>
          </cell>
        </row>
        <row r="26028">
          <cell r="B26028" t="str">
            <v>52022900002179</v>
          </cell>
          <cell r="C26028" t="str">
            <v>DEVOLUCIÃ“N IZIPAY                      4 C</v>
          </cell>
        </row>
        <row r="26029">
          <cell r="B26029" t="str">
            <v>52022900002180</v>
          </cell>
          <cell r="C26029" t="str">
            <v>COMISIONÂ PRE CANCELACION CRECER        4 C</v>
          </cell>
        </row>
        <row r="26030">
          <cell r="B26030" t="str">
            <v>52022900002181</v>
          </cell>
          <cell r="C26030" t="str">
            <v>MYP COMISION DE DESEMBOLSO CRECER-BN    4 C</v>
          </cell>
        </row>
        <row r="26031">
          <cell r="B26031" t="str">
            <v>52022900002182</v>
          </cell>
          <cell r="C26031" t="str">
            <v>LPC COMISION DE DESEMBOLSO CRECER-BC    4 C</v>
          </cell>
        </row>
        <row r="26032">
          <cell r="B26032" t="str">
            <v>52022900002183</v>
          </cell>
          <cell r="C26032" t="str">
            <v>COMISIONÂ ESTRUCTURACION BN             4 C</v>
          </cell>
        </row>
        <row r="26033">
          <cell r="B26033" t="str">
            <v>52022900008001</v>
          </cell>
          <cell r="C26033" t="str">
            <v>PAN PRESTAMOS                           4NC</v>
          </cell>
        </row>
        <row r="26034">
          <cell r="B26034" t="str">
            <v>52022900008002</v>
          </cell>
          <cell r="C26034" t="str">
            <v>PAN INGRESOS VARIOS                     4NC</v>
          </cell>
        </row>
        <row r="26035">
          <cell r="B26035" t="str">
            <v>52023000000113</v>
          </cell>
          <cell r="C26035" t="str">
            <v>COM TC VISA RECUPERAD                   4NC</v>
          </cell>
        </row>
        <row r="26036">
          <cell r="B26036" t="str">
            <v>52023000000116</v>
          </cell>
          <cell r="C26036" t="str">
            <v>INGRESOS MONEX                          4NC</v>
          </cell>
        </row>
        <row r="26037">
          <cell r="B26037" t="str">
            <v>52023000000204</v>
          </cell>
          <cell r="C26037" t="str">
            <v>COM MORA CONSUMO - 30D IBK VISA         4NC</v>
          </cell>
        </row>
        <row r="26038">
          <cell r="B26038" t="str">
            <v>52023000000210</v>
          </cell>
          <cell r="C26038" t="str">
            <v>COM MORA CONSUMO + 30D IBK VISA         4NC</v>
          </cell>
        </row>
        <row r="26039">
          <cell r="B26039" t="str">
            <v>52023000000212</v>
          </cell>
          <cell r="C26039" t="str">
            <v>COM MORA TC CONSUMO AMEX +30D           4NC</v>
          </cell>
        </row>
        <row r="26040">
          <cell r="B26040" t="str">
            <v>52023000000213</v>
          </cell>
          <cell r="C26040" t="str">
            <v>COM VENC TC CONSUMO IBK VISA            4NC</v>
          </cell>
        </row>
        <row r="26041">
          <cell r="B26041" t="str">
            <v>52023000000225</v>
          </cell>
          <cell r="C26041" t="str">
            <v>COM MORA TC CONSUMO AMEX-30D            4NC</v>
          </cell>
        </row>
        <row r="26042">
          <cell r="B26042" t="str">
            <v>52023000000230</v>
          </cell>
          <cell r="C26042" t="str">
            <v>BL COM MORA CONSUMO - 30D MC            4NC</v>
          </cell>
        </row>
        <row r="26043">
          <cell r="B26043" t="str">
            <v>52023000000231</v>
          </cell>
          <cell r="C26043" t="str">
            <v>BL COM MORA CONSUMO + 30D MC            4NC</v>
          </cell>
        </row>
        <row r="26044">
          <cell r="B26044" t="str">
            <v>52023000000238</v>
          </cell>
          <cell r="C26044" t="str">
            <v>COMIS. MORA MENOR 30 DIAS AVAL          4NC</v>
          </cell>
        </row>
        <row r="26045">
          <cell r="B26045" t="str">
            <v>52023000000242</v>
          </cell>
          <cell r="C26045" t="str">
            <v>COMISION MORA MAS 30D AVAL              4NC</v>
          </cell>
        </row>
        <row r="26046">
          <cell r="B26046" t="str">
            <v>52023000000244</v>
          </cell>
          <cell r="C26046" t="str">
            <v>COMISION USUARIO AVAL                   4NC</v>
          </cell>
        </row>
        <row r="26047">
          <cell r="B26047" t="str">
            <v>52023000000246</v>
          </cell>
          <cell r="C26047" t="str">
            <v>COMISION POR ESTABLECIMIENTO AVAL       4NC</v>
          </cell>
        </row>
        <row r="26048">
          <cell r="B26048" t="str">
            <v>52023000000248</v>
          </cell>
          <cell r="C26048" t="str">
            <v>COM MORA MENOR 30 DIAS TC MEGAPLAZA     4NC</v>
          </cell>
        </row>
        <row r="26049">
          <cell r="B26049" t="str">
            <v>52023000000251</v>
          </cell>
          <cell r="C26049" t="str">
            <v>COM MORA MAYOR 30 DIAS TC MEGAPLAZA     4NC</v>
          </cell>
        </row>
        <row r="26050">
          <cell r="B26050" t="str">
            <v>52023000000252</v>
          </cell>
          <cell r="C26050" t="str">
            <v>COM MORA -30 DIAS TC VEA                4NC</v>
          </cell>
        </row>
        <row r="26051">
          <cell r="B26051" t="str">
            <v>52023000000253</v>
          </cell>
          <cell r="C26051" t="str">
            <v>COM MORA -30 DIAS TC VEA VISA           4NC</v>
          </cell>
        </row>
        <row r="26052">
          <cell r="B26052" t="str">
            <v>52023000000258</v>
          </cell>
          <cell r="C26052" t="str">
            <v>COM MORA +30 DIAS TC VALIDA CERRADA     4NC</v>
          </cell>
        </row>
        <row r="26053">
          <cell r="B26053" t="str">
            <v>52023000000259</v>
          </cell>
          <cell r="C26053" t="str">
            <v>COM MORA +30 DIAS TC VALIDA IB VISA     4NC</v>
          </cell>
        </row>
        <row r="26054">
          <cell r="B26054" t="str">
            <v>52023000000284</v>
          </cell>
          <cell r="C26054" t="str">
            <v>TC COM MORA VISA MEGAPLAZA CCRV         4NC</v>
          </cell>
        </row>
        <row r="26055">
          <cell r="B26055" t="str">
            <v>52023000000285</v>
          </cell>
          <cell r="C26055" t="str">
            <v>TC COM MORA VISA VEA CCRV               4NC</v>
          </cell>
        </row>
        <row r="26056">
          <cell r="B26056" t="str">
            <v>52023000000288</v>
          </cell>
          <cell r="C26056" t="str">
            <v>TC COMISION ENVIO EECC PORTES           4NC</v>
          </cell>
        </row>
        <row r="26057">
          <cell r="B26057" t="str">
            <v>52023000000291</v>
          </cell>
          <cell r="C26057" t="str">
            <v>TC DUPLICIDAD DE EECC                   4NC</v>
          </cell>
        </row>
        <row r="26058">
          <cell r="B26058" t="str">
            <v>52023000000303</v>
          </cell>
          <cell r="C26058" t="str">
            <v>TC COM RENOVACION VISA  CONSUMO         4NC</v>
          </cell>
        </row>
        <row r="26059">
          <cell r="B26059" t="str">
            <v>52023000000305</v>
          </cell>
          <cell r="C26059" t="str">
            <v>TC COM RENOVACION AMEX CONSUMO          4NC</v>
          </cell>
        </row>
        <row r="26060">
          <cell r="B26060" t="str">
            <v>52023000000306</v>
          </cell>
          <cell r="C26060" t="str">
            <v>TC COM RENOVACION MC CONSUMO            4NC</v>
          </cell>
        </row>
        <row r="26061">
          <cell r="B26061" t="str">
            <v>52023000000307</v>
          </cell>
          <cell r="C26061" t="str">
            <v>COM. AFILIACION/RENOV. TC COMERC.M CONSU4NC</v>
          </cell>
        </row>
        <row r="26062">
          <cell r="B26062" t="str">
            <v>52023000000308</v>
          </cell>
          <cell r="C26062" t="str">
            <v>COMIS. AFILIAC -RENOVACION AVAL CONSUMO 4NC</v>
          </cell>
        </row>
        <row r="26063">
          <cell r="B26063" t="str">
            <v>52023000000309</v>
          </cell>
          <cell r="C26063" t="str">
            <v>COMIS. AFILIAC -RENOVAC TC MEGAPLAZA CON4NC</v>
          </cell>
        </row>
        <row r="26064">
          <cell r="B26064" t="str">
            <v>52023000000310</v>
          </cell>
          <cell r="C26064" t="str">
            <v>COM AFILIAC-RENOV TC VEA CONSUMO        4NC</v>
          </cell>
        </row>
        <row r="26065">
          <cell r="B26065" t="str">
            <v>52023000000311</v>
          </cell>
          <cell r="C26065" t="str">
            <v>COM AFILIAC-RENOV TC VEA VISA CONSUMO   4NC</v>
          </cell>
        </row>
        <row r="26066">
          <cell r="B26066" t="str">
            <v>52023000000317</v>
          </cell>
          <cell r="C26066" t="str">
            <v>CDO TC SERV RETIRO CAJERO / MON VIG CONS4NC</v>
          </cell>
        </row>
        <row r="26067">
          <cell r="B26067" t="str">
            <v>52023000000329</v>
          </cell>
          <cell r="C26067" t="str">
            <v>SEG DESGRAVAMEN CONSUMO IBK VISA CONSUMO4NC</v>
          </cell>
        </row>
        <row r="26068">
          <cell r="B26068" t="str">
            <v>52023000000331</v>
          </cell>
          <cell r="C26068" t="str">
            <v>SEG DESGRAVAMEN CONSUMO AMEX CONSUMO    4NC</v>
          </cell>
        </row>
        <row r="26069">
          <cell r="B26069" t="str">
            <v>52023000000333</v>
          </cell>
          <cell r="C26069" t="str">
            <v>BL SEG DESGRAVAMEN CONSUMO MC CONSUMO   4NC</v>
          </cell>
        </row>
        <row r="26070">
          <cell r="B26070" t="str">
            <v>52023000000335</v>
          </cell>
          <cell r="C26070" t="str">
            <v>TC SEGURO DE DESGRAVAMEN AVAL CONSUMO   4NC</v>
          </cell>
        </row>
        <row r="26071">
          <cell r="B26071" t="str">
            <v>52023000000337</v>
          </cell>
          <cell r="C26071" t="str">
            <v>SEGURO DESGRAVAMEN TC MEGAPLAZA CONSUMO 4NC</v>
          </cell>
        </row>
        <row r="26072">
          <cell r="B26072" t="str">
            <v>52023000000339</v>
          </cell>
          <cell r="C26072" t="str">
            <v>SEG DESGRAV TC VEA CONSUMO              4NC</v>
          </cell>
        </row>
        <row r="26073">
          <cell r="B26073" t="str">
            <v>52023000000340</v>
          </cell>
          <cell r="C26073" t="str">
            <v>SEG DESGRAV TC VEA VISA CONSUMO         4NC</v>
          </cell>
        </row>
        <row r="26074">
          <cell r="B26074" t="str">
            <v>52023000000346</v>
          </cell>
          <cell r="C26074" t="str">
            <v>TC SEG DESGRAV VISA MEGAPLAZA CONSUMO   4NC</v>
          </cell>
        </row>
        <row r="26075">
          <cell r="B26075" t="str">
            <v>52023000000347</v>
          </cell>
          <cell r="C26075" t="str">
            <v>TC SEG DESGRAV VISA VEA CONSUMO         4NC</v>
          </cell>
        </row>
        <row r="26076">
          <cell r="B26076" t="str">
            <v>52023000000348</v>
          </cell>
          <cell r="C26076" t="str">
            <v>COM ESTABLEC TC COMERC IBK VISA CONSUMO 4NC</v>
          </cell>
        </row>
        <row r="26077">
          <cell r="B26077" t="str">
            <v>52023000000349</v>
          </cell>
          <cell r="C26077" t="str">
            <v>COM ESTABLEC TC CONSUMO IBK VISA CONSUMO4NC</v>
          </cell>
        </row>
        <row r="26078">
          <cell r="B26078" t="str">
            <v>52023000000350</v>
          </cell>
          <cell r="C26078" t="str">
            <v>COM ESTABLEC TC CONSUMO WONG VISA CONSUM4NC</v>
          </cell>
        </row>
        <row r="26079">
          <cell r="B26079" t="str">
            <v>52023000000351</v>
          </cell>
          <cell r="C26079" t="str">
            <v>COM ESTABLEC TC CONSUMO AMEX CONSUMO    4NC</v>
          </cell>
        </row>
        <row r="26080">
          <cell r="B26080" t="str">
            <v>52023000000352</v>
          </cell>
          <cell r="C26080" t="str">
            <v>BL COM ESTABLEC TC CONSUMO MC CONSUMO   4NC</v>
          </cell>
        </row>
        <row r="26081">
          <cell r="B26081" t="str">
            <v>52023000000353</v>
          </cell>
          <cell r="C26081" t="str">
            <v>COM ATM FORANEO VISA CONSUMO            4NC</v>
          </cell>
        </row>
        <row r="26082">
          <cell r="B26082" t="str">
            <v>52023000000354</v>
          </cell>
          <cell r="C26082" t="str">
            <v>COM ATM FORANEO AMEX CONSUMO            4NC</v>
          </cell>
        </row>
        <row r="26083">
          <cell r="B26083" t="str">
            <v>52023000000355</v>
          </cell>
          <cell r="C26083" t="str">
            <v>COM ATM FORANEO MASTERCARD CONSUMO      4NC</v>
          </cell>
        </row>
        <row r="26084">
          <cell r="B26084" t="str">
            <v>52023000000356</v>
          </cell>
          <cell r="C26084" t="str">
            <v>COM ESTABLECIMIENTO TARJ ELECTRON CONSUM4NC</v>
          </cell>
        </row>
        <row r="26085">
          <cell r="B26085" t="str">
            <v>52023000000357</v>
          </cell>
          <cell r="C26085" t="str">
            <v>COM ESTABLECIMIENTO TC MEGAPLAZA CONSUMO4NC</v>
          </cell>
        </row>
        <row r="26086">
          <cell r="B26086" t="str">
            <v>52023000000359</v>
          </cell>
          <cell r="C26086" t="str">
            <v>COM ESTABLECIM TC VEA VISA CONSUMO      4NC</v>
          </cell>
        </row>
        <row r="26087">
          <cell r="B26087" t="str">
            <v>52023000000360</v>
          </cell>
          <cell r="C26087" t="str">
            <v>COM USUARIOS TC COMERC IBK VISA CONSUMO 4NC</v>
          </cell>
        </row>
        <row r="26088">
          <cell r="B26088" t="str">
            <v>52023000000361</v>
          </cell>
          <cell r="C26088" t="str">
            <v>COM USUARIOS TC CONSUMO IBK VISA CONSUMO4NC</v>
          </cell>
        </row>
        <row r="26089">
          <cell r="B26089" t="str">
            <v>52023000000363</v>
          </cell>
          <cell r="C26089" t="str">
            <v>COM USUARIOS TC CONSUMO AMEX CONSUMO    4NC</v>
          </cell>
        </row>
        <row r="26090">
          <cell r="B26090" t="str">
            <v>52023000000365</v>
          </cell>
          <cell r="C26090" t="str">
            <v>BL COM USUARIOS TC CONSUMO MC CONSUMO   4NC</v>
          </cell>
        </row>
        <row r="26091">
          <cell r="B26091" t="str">
            <v>52023000000366</v>
          </cell>
          <cell r="C26091" t="str">
            <v>BL COM. USUARIOS TC COMERCIAL MC CONSUMO4NC</v>
          </cell>
        </row>
        <row r="26092">
          <cell r="B26092" t="str">
            <v>52023000000367</v>
          </cell>
          <cell r="C26092" t="str">
            <v>COM.USUARIOS TC MEGAPLAZA CONSUMO       4NC</v>
          </cell>
        </row>
        <row r="26093">
          <cell r="B26093" t="str">
            <v>52023000000368</v>
          </cell>
          <cell r="C26093" t="str">
            <v>COM USUARIO TC VEA CONSUMO              4NC</v>
          </cell>
        </row>
        <row r="26094">
          <cell r="B26094" t="str">
            <v>52023000000369</v>
          </cell>
          <cell r="C26094" t="str">
            <v>COM USUARIO TC VEA VISA CONSUMO         4NC</v>
          </cell>
        </row>
        <row r="26095">
          <cell r="B26095" t="str">
            <v>52023000000372</v>
          </cell>
          <cell r="C26095" t="str">
            <v>TC COM D/E AMEX CONSUMO                 4NC</v>
          </cell>
        </row>
        <row r="26096">
          <cell r="B26096" t="str">
            <v>52023000000373</v>
          </cell>
          <cell r="C26096" t="str">
            <v>TC COM EXTRACASH AMEX CONSUMO           4NC</v>
          </cell>
        </row>
        <row r="26097">
          <cell r="B26097" t="str">
            <v>52023000000374</v>
          </cell>
          <cell r="C26097" t="str">
            <v>TC COM REPOSICION TC AMEX CONSUMO       4NC</v>
          </cell>
        </row>
        <row r="26098">
          <cell r="B26098" t="str">
            <v>52023000000375</v>
          </cell>
          <cell r="C26098" t="str">
            <v>TC MANTENIMIENTO AMEX CONSUMO           4NC</v>
          </cell>
        </row>
        <row r="26099">
          <cell r="B26099" t="str">
            <v>52023000000376</v>
          </cell>
          <cell r="C26099" t="str">
            <v>TC SEG DESGRAV AMEX CONSUMO             4NC</v>
          </cell>
        </row>
        <row r="26100">
          <cell r="B26100" t="str">
            <v>52023000000377</v>
          </cell>
          <cell r="C26100" t="str">
            <v>TC COM D/E MC CONSUMO                   4NC</v>
          </cell>
        </row>
        <row r="26101">
          <cell r="B26101" t="str">
            <v>52023000000379</v>
          </cell>
          <cell r="C26101" t="str">
            <v>TC COM REPOSICION TC MC CONSUMO         4NC</v>
          </cell>
        </row>
        <row r="26102">
          <cell r="B26102" t="str">
            <v>52023000000380</v>
          </cell>
          <cell r="C26102" t="str">
            <v>TC MANTENIMIENTO MC CONSUMO             4NC</v>
          </cell>
        </row>
        <row r="26103">
          <cell r="B26103" t="str">
            <v>52023000000381</v>
          </cell>
          <cell r="C26103" t="str">
            <v>TC SEG DESGRAV MC CONSUMO               4NC</v>
          </cell>
        </row>
        <row r="26104">
          <cell r="B26104" t="str">
            <v>52023000000382</v>
          </cell>
          <cell r="C26104" t="str">
            <v>TC COM D/E VISA CONSUMO                 4NC</v>
          </cell>
        </row>
        <row r="26105">
          <cell r="B26105" t="str">
            <v>52023000000383</v>
          </cell>
          <cell r="C26105" t="str">
            <v>TC COM EXTRACASH VISA CONSUMO           4NC</v>
          </cell>
        </row>
        <row r="26106">
          <cell r="B26106" t="str">
            <v>52023000000386</v>
          </cell>
          <cell r="C26106" t="str">
            <v>TC COM REPOSICION TC VISA CONSUMO       4NC</v>
          </cell>
        </row>
        <row r="26107">
          <cell r="B26107" t="str">
            <v>52023000000387</v>
          </cell>
          <cell r="C26107" t="str">
            <v>TC MANTENIMIENTO VISA CONSUMO           4NC</v>
          </cell>
        </row>
        <row r="26108">
          <cell r="B26108" t="str">
            <v>52023000000388</v>
          </cell>
          <cell r="C26108" t="str">
            <v>TC SEG DESGRAV VISA CONSUMO             4NC</v>
          </cell>
        </row>
        <row r="26109">
          <cell r="B26109" t="str">
            <v>52023000000396</v>
          </cell>
          <cell r="C26109" t="str">
            <v>COMISIÃ“N ESTABLECIMIENTO ORO CHIP      4NC</v>
          </cell>
        </row>
        <row r="26110">
          <cell r="B26110" t="str">
            <v>52023000000397</v>
          </cell>
          <cell r="C26110" t="str">
            <v>TC COM REPOSICIÃ“N  AMEX CONSUMO        4NC</v>
          </cell>
        </row>
        <row r="26111">
          <cell r="B26111" t="str">
            <v>52023000000398</v>
          </cell>
          <cell r="C26111" t="str">
            <v>TC COM REPOSICIÃ“N  VISA  CONSUMO       4NC</v>
          </cell>
        </row>
        <row r="26112">
          <cell r="B26112" t="str">
            <v>52023000000801</v>
          </cell>
          <cell r="C26112" t="str">
            <v>TC COM MORA AMEX CCRV                   4NC</v>
          </cell>
        </row>
        <row r="26113">
          <cell r="B26113" t="str">
            <v>52023000000803</v>
          </cell>
          <cell r="C26113" t="str">
            <v>TC COM MORA MC CCRV                     4NC</v>
          </cell>
        </row>
        <row r="26114">
          <cell r="B26114" t="str">
            <v>52023000000805</v>
          </cell>
          <cell r="C26114" t="str">
            <v>TC COM MORA VISA CCRV                   4NC</v>
          </cell>
        </row>
        <row r="26115">
          <cell r="B26115" t="str">
            <v>52023002000351</v>
          </cell>
          <cell r="C26115" t="str">
            <v>COM ESTABLEC TC CONSUMO AMEX MICROEMPRES4NC</v>
          </cell>
        </row>
        <row r="26116">
          <cell r="B26116" t="str">
            <v>52023012000205</v>
          </cell>
          <cell r="C26116" t="str">
            <v>TC COM MORA VISA CMED                   4NC</v>
          </cell>
        </row>
        <row r="26117">
          <cell r="B26117" t="str">
            <v>52023012000302</v>
          </cell>
          <cell r="C26117" t="str">
            <v>COM. MORA MENOR 30D MC COMER. CMED      4NC</v>
          </cell>
        </row>
        <row r="26118">
          <cell r="B26118" t="str">
            <v>52023012000303</v>
          </cell>
          <cell r="C26118" t="str">
            <v>COM SOBREGIRO MC COMERCIAL. CMED        4NC</v>
          </cell>
        </row>
        <row r="26119">
          <cell r="B26119" t="str">
            <v>52023012000304</v>
          </cell>
          <cell r="C26119" t="str">
            <v>COM. SOBREGIRO VISA COMERCIAL CMED      4NC</v>
          </cell>
        </row>
        <row r="26120">
          <cell r="B26120" t="str">
            <v>52023012000305</v>
          </cell>
          <cell r="C26120" t="str">
            <v>COM MORA MAYOR 30D MC COMER. CMED       4NC</v>
          </cell>
        </row>
        <row r="26121">
          <cell r="B26121" t="str">
            <v>52023012000306</v>
          </cell>
          <cell r="C26121" t="str">
            <v>COM MORA MAYOR 30D VISA COMER. CMED     4NC</v>
          </cell>
        </row>
        <row r="26122">
          <cell r="B26122" t="str">
            <v>52023012000403</v>
          </cell>
          <cell r="C26122" t="str">
            <v>TC COM MORA AMEX CMED                   4NC</v>
          </cell>
        </row>
        <row r="26123">
          <cell r="B26123" t="str">
            <v>52023012000404</v>
          </cell>
          <cell r="C26123" t="str">
            <v>COM. MORA MENOR 30D VISA COMER. CMED    4NC</v>
          </cell>
        </row>
        <row r="26124">
          <cell r="B26124" t="str">
            <v>52023012000517</v>
          </cell>
          <cell r="C26124" t="str">
            <v>CDO TC SERV RETIRO CAJERO / MON VIG MEDI4NC</v>
          </cell>
        </row>
        <row r="26125">
          <cell r="B26125" t="str">
            <v>52023012000576</v>
          </cell>
          <cell r="C26125" t="str">
            <v>TC SEG DESGRAV AMEX MEDIANAS EMPRESAS   4NC</v>
          </cell>
        </row>
        <row r="26126">
          <cell r="B26126" t="str">
            <v>52023012000588</v>
          </cell>
          <cell r="C26126" t="str">
            <v>TC SEG DESGRAV VISA MEDIANAS EMPRESAS   4NC</v>
          </cell>
        </row>
        <row r="26127">
          <cell r="B26127" t="str">
            <v>52023012000589</v>
          </cell>
          <cell r="C26127" t="str">
            <v>BTC COM DE USO VARIAS                   4NC</v>
          </cell>
        </row>
        <row r="26128">
          <cell r="B26128" t="str">
            <v>52023012000590</v>
          </cell>
          <cell r="C26128" t="str">
            <v>BTC COM RENOVACION VISAÂ  CONSUMO       4NC</v>
          </cell>
        </row>
        <row r="26129">
          <cell r="B26129" t="str">
            <v>52023012000591</v>
          </cell>
          <cell r="C26129" t="str">
            <v>BTC COM D/E VISA CONSUMO                4NC</v>
          </cell>
        </row>
        <row r="26130">
          <cell r="B26130" t="str">
            <v>52023012000592</v>
          </cell>
          <cell r="C26130" t="str">
            <v>BTC COM REPOSICION BTC VISA CONSUMO     4NC</v>
          </cell>
        </row>
        <row r="26131">
          <cell r="B26131" t="str">
            <v>52023012000593</v>
          </cell>
          <cell r="C26131" t="str">
            <v>BTC COM MORA VISA CCRV                  4NC</v>
          </cell>
        </row>
        <row r="26132">
          <cell r="B26132" t="str">
            <v>52023012000594</v>
          </cell>
          <cell r="C26132" t="str">
            <v>BTC INTERCARMBIO TARJETA ELECTRON RAPPI 4NC</v>
          </cell>
        </row>
        <row r="26133">
          <cell r="B26133" t="str">
            <v>52023012000595</v>
          </cell>
          <cell r="C26133" t="str">
            <v>BTC MDR POR COMPRAS EN RAPPI CON TC     4NC</v>
          </cell>
        </row>
        <row r="26134">
          <cell r="B26134" t="str">
            <v>52023012000596</v>
          </cell>
          <cell r="C26134" t="str">
            <v>CDO LIQ TUNKI_COM ESTABLEC CONSUMO VISA 4NC</v>
          </cell>
        </row>
        <row r="26135">
          <cell r="B26135" t="str">
            <v>52030100000101</v>
          </cell>
          <cell r="C26135" t="str">
            <v>MEMBRESIA - ALQUILERES ATM              4NC</v>
          </cell>
        </row>
        <row r="26136">
          <cell r="B26136" t="str">
            <v>52030100000102</v>
          </cell>
          <cell r="C26136" t="str">
            <v>COMISION ALQUILER ATMS                  4NC</v>
          </cell>
        </row>
        <row r="26137">
          <cell r="B26137" t="str">
            <v>52030100000103</v>
          </cell>
          <cell r="C26137" t="str">
            <v>COM.POR TRXS - ALQUILER ATMS            4NC</v>
          </cell>
        </row>
        <row r="26138">
          <cell r="B26138" t="str">
            <v>52030100000104</v>
          </cell>
          <cell r="C26138" t="str">
            <v>ALQUILERES BIENES PROPIOS               4NC</v>
          </cell>
        </row>
        <row r="26139">
          <cell r="B26139" t="str">
            <v>52030100000105</v>
          </cell>
          <cell r="C26139" t="str">
            <v>COMISIÃ“N POR RETIROS Y CONSULTAS JCB   4NC</v>
          </cell>
        </row>
        <row r="26140">
          <cell r="B26140" t="str">
            <v>53010100000111</v>
          </cell>
          <cell r="C26140" t="str">
            <v>GQPRUEBA                                4NC</v>
          </cell>
        </row>
        <row r="26141">
          <cell r="B26141" t="str">
            <v>53010407000101</v>
          </cell>
          <cell r="C26141" t="str">
            <v>REV. POR DETERIORO DE INV. DPV Â¿ OTRAS 4NC</v>
          </cell>
        </row>
        <row r="26142">
          <cell r="B26142" t="str">
            <v>54040100000101</v>
          </cell>
          <cell r="C26142" t="str">
            <v>ING.DISMINUC.PROV.GENERICA-CREDITOS     4NC</v>
          </cell>
        </row>
        <row r="26143">
          <cell r="B26143" t="str">
            <v>54040100000102</v>
          </cell>
          <cell r="C26143" t="str">
            <v>ING.DISMINUC.PROV.ESPECIFICA-CREDITO    4NC</v>
          </cell>
        </row>
        <row r="26144">
          <cell r="B26144" t="str">
            <v>54040100000103</v>
          </cell>
          <cell r="C26144" t="str">
            <v>PROVISION GEN OBLIG RIES CRED DEU DIR - 4NC</v>
          </cell>
        </row>
        <row r="26145">
          <cell r="B26145" t="str">
            <v>54040100000104</v>
          </cell>
          <cell r="C26145" t="str">
            <v>PROVISION ESP OBLIG RIES CRED  DEU DIR -4NC</v>
          </cell>
        </row>
        <row r="26146">
          <cell r="B26146" t="str">
            <v>54040100000105</v>
          </cell>
          <cell r="C26146" t="str">
            <v>PROVISION GEN OBLIG PROCICLICA DEU DIR -4NC</v>
          </cell>
        </row>
        <row r="26147">
          <cell r="B26147" t="str">
            <v>54040100000106</v>
          </cell>
          <cell r="C26147" t="str">
            <v>PROVISION GEN OBLIG RIES CAMB DEU DIR- M4NC</v>
          </cell>
        </row>
        <row r="26148">
          <cell r="B26148" t="str">
            <v>54040100000107</v>
          </cell>
          <cell r="C26148" t="str">
            <v>PROVISION GEN OBLIG RIES SOBREEND DEU DI4NC</v>
          </cell>
        </row>
        <row r="26149">
          <cell r="B26149" t="str">
            <v>54040100000108</v>
          </cell>
          <cell r="C26149" t="str">
            <v>PROVISION GEN OBLIG RIES CRED  -DEU DIR 4NC</v>
          </cell>
        </row>
        <row r="26150">
          <cell r="B26150" t="str">
            <v>54040100000109</v>
          </cell>
          <cell r="C26150" t="str">
            <v>PROVISION ESP OBLIG RIES CRED  -  DEU DI4NC</v>
          </cell>
        </row>
        <row r="26151">
          <cell r="B26151" t="str">
            <v>54040100000110</v>
          </cell>
          <cell r="C26151" t="str">
            <v>PROVISION GEN OBLIG PROCICLICA - DEU DIR4NC</v>
          </cell>
        </row>
        <row r="26152">
          <cell r="B26152" t="str">
            <v>54040100000111</v>
          </cell>
          <cell r="C26152" t="str">
            <v>PROVISION GEN OBLIG RIES CAMB - DEU DIR 4NC</v>
          </cell>
        </row>
        <row r="26153">
          <cell r="B26153" t="str">
            <v>54040100000112</v>
          </cell>
          <cell r="C26153" t="str">
            <v>PROVISION GEN OBLIG RIES SOBREEND DEU DI4NC</v>
          </cell>
        </row>
        <row r="26154">
          <cell r="B26154" t="str">
            <v>54040100000113</v>
          </cell>
          <cell r="C26154" t="str">
            <v>PROVISION GEN OBLIG RIES CRED  - DEU DIR4NC</v>
          </cell>
        </row>
        <row r="26155">
          <cell r="B26155" t="str">
            <v>54040100000114</v>
          </cell>
          <cell r="C26155" t="str">
            <v>PROVISION ESP OBLIG RIES CRED  - DEU DIR4NC</v>
          </cell>
        </row>
        <row r="26156">
          <cell r="B26156" t="str">
            <v>54040100000115</v>
          </cell>
          <cell r="C26156" t="str">
            <v>PROVISION GEN OBLIG PROCICLICA - DEU DIR4NC</v>
          </cell>
        </row>
        <row r="26157">
          <cell r="B26157" t="str">
            <v>54040100000116</v>
          </cell>
          <cell r="C26157" t="str">
            <v>PROVISION GEN OBLIG RIES CAMB - DEU DIR 4NC</v>
          </cell>
        </row>
        <row r="26158">
          <cell r="B26158" t="str">
            <v>54040100000117</v>
          </cell>
          <cell r="C26158" t="str">
            <v>PROVISION GEN OBLIG RIES CRED  DEU DIR- 4NC</v>
          </cell>
        </row>
        <row r="26159">
          <cell r="B26159" t="str">
            <v>54040100000118</v>
          </cell>
          <cell r="C26159" t="str">
            <v>PROVISION ESP OBLIG RIES CRED  DEU DIR- 4NC</v>
          </cell>
        </row>
        <row r="26160">
          <cell r="B26160" t="str">
            <v>54040100000119</v>
          </cell>
          <cell r="C26160" t="str">
            <v>PROVISION GEN OBLIG PROCICLICA - DEU DIR4NC</v>
          </cell>
        </row>
        <row r="26161">
          <cell r="B26161" t="str">
            <v>54040100000120</v>
          </cell>
          <cell r="C26161" t="str">
            <v>PROVISION GEN OBLIG RIES CAMB - DEU DIR 4NC</v>
          </cell>
        </row>
        <row r="26162">
          <cell r="B26162" t="str">
            <v>54040100000121</v>
          </cell>
          <cell r="C26162" t="str">
            <v>PROVISION GEN OBLIG RIES CRED  DEU DIR- 4NC</v>
          </cell>
        </row>
        <row r="26163">
          <cell r="B26163" t="str">
            <v>54040100000122</v>
          </cell>
          <cell r="C26163" t="str">
            <v>PROVISION ESP OBLIG RIES CRED  DEU DIR- 4NC</v>
          </cell>
        </row>
        <row r="26164">
          <cell r="B26164" t="str">
            <v>54040100000123</v>
          </cell>
          <cell r="C26164" t="str">
            <v>PROVISION GEN OBLIG PROCICLICA - DEU DIR4NC</v>
          </cell>
        </row>
        <row r="26165">
          <cell r="B26165" t="str">
            <v>54040100000124</v>
          </cell>
          <cell r="C26165" t="str">
            <v>PROVISION GEN OBLIG RIES CAMB - DEU DIR 4NC</v>
          </cell>
        </row>
        <row r="26166">
          <cell r="B26166" t="str">
            <v>54040100000125</v>
          </cell>
          <cell r="C26166" t="str">
            <v>PROVISION GEN OBLIG RIES CRED  DEU DIR- 4NC</v>
          </cell>
        </row>
        <row r="26167">
          <cell r="B26167" t="str">
            <v>54040100000126</v>
          </cell>
          <cell r="C26167" t="str">
            <v>PROVISION ESP OBLIG RIES CRED  DEU DIR- 4NC</v>
          </cell>
        </row>
        <row r="26168">
          <cell r="B26168" t="str">
            <v>54040100000127</v>
          </cell>
          <cell r="C26168" t="str">
            <v>PROVISION GEN OBLIG PROCICLICA - DEU DIR4NC</v>
          </cell>
        </row>
        <row r="26169">
          <cell r="B26169" t="str">
            <v>54040100000128</v>
          </cell>
          <cell r="C26169" t="str">
            <v>PROVISION GEN OBLIG RIES CAMB - DEU DIR 4NC</v>
          </cell>
        </row>
        <row r="26170">
          <cell r="B26170" t="str">
            <v>54040100000129</v>
          </cell>
          <cell r="C26170" t="str">
            <v>PROVISION GEN OBLIG RIES CRED  DEU DIR- 4NC</v>
          </cell>
        </row>
        <row r="26171">
          <cell r="B26171" t="str">
            <v>54040100000130</v>
          </cell>
          <cell r="C26171" t="str">
            <v>PROVISION ESP OBLIG RIES CRED  DEU DIR- 4NC</v>
          </cell>
        </row>
        <row r="26172">
          <cell r="B26172" t="str">
            <v>54040100000131</v>
          </cell>
          <cell r="C26172" t="str">
            <v>PROVISION GEN OBLIG PROCICLICA - DEU DIR4NC</v>
          </cell>
        </row>
        <row r="26173">
          <cell r="B26173" t="str">
            <v>54040100000132</v>
          </cell>
          <cell r="C26173" t="str">
            <v>PROVISION GEN OBLIG RIES CAMB - DEU DIR 4NC</v>
          </cell>
        </row>
        <row r="26174">
          <cell r="B26174" t="str">
            <v>54040100000133</v>
          </cell>
          <cell r="C26174" t="str">
            <v>PROVISION GEN OBLIG RIES CRED  DEU DIR- 4NC</v>
          </cell>
        </row>
        <row r="26175">
          <cell r="B26175" t="str">
            <v>54040100000134</v>
          </cell>
          <cell r="C26175" t="str">
            <v>PROVISION ESP OBLIG RIES CRED  DEU DIR- 4NC</v>
          </cell>
        </row>
        <row r="26176">
          <cell r="B26176" t="str">
            <v>54040100000135</v>
          </cell>
          <cell r="C26176" t="str">
            <v>PROVISION GEN OBLIG PROCICLICA - DEU DIR4NC</v>
          </cell>
        </row>
        <row r="26177">
          <cell r="B26177" t="str">
            <v>54040100000136</v>
          </cell>
          <cell r="C26177" t="str">
            <v>PROVISION GEN OBLIG RIES CAMB - DEU DIR 4NC</v>
          </cell>
        </row>
        <row r="26178">
          <cell r="B26178" t="str">
            <v>54040100000137</v>
          </cell>
          <cell r="C26178" t="str">
            <v>PROVISION GEN OBLIG RIES CRED  DEU DIR- 4NC</v>
          </cell>
        </row>
        <row r="26179">
          <cell r="B26179" t="str">
            <v>54040100000138</v>
          </cell>
          <cell r="C26179" t="str">
            <v>PROVISION ESP OBLIG RIES CRED  DEU DIR- 4NC</v>
          </cell>
        </row>
        <row r="26180">
          <cell r="B26180" t="str">
            <v>54040100000139</v>
          </cell>
          <cell r="C26180" t="str">
            <v>PROVISION GEN OBLIG PROCICLICA - DEU DIR4NC</v>
          </cell>
        </row>
        <row r="26181">
          <cell r="B26181" t="str">
            <v>54040100000140</v>
          </cell>
          <cell r="C26181" t="str">
            <v>PROVISION GEN OBLIG RIES CAMB - DEU DIR 4NC</v>
          </cell>
        </row>
        <row r="26182">
          <cell r="B26182" t="str">
            <v>54040100000141</v>
          </cell>
          <cell r="C26182" t="str">
            <v>PROVISION GEN OBLIG RIES CRED  DEU DIR- 4NC</v>
          </cell>
        </row>
        <row r="26183">
          <cell r="B26183" t="str">
            <v>54040100000142</v>
          </cell>
          <cell r="C26183" t="str">
            <v>PROVISION ESP OBLIG RIES CRED  DEU DIR- 4NC</v>
          </cell>
        </row>
        <row r="26184">
          <cell r="B26184" t="str">
            <v>54040100000143</v>
          </cell>
          <cell r="C26184" t="str">
            <v>PROVISION GEN OBLIG PROCICLICA - DEU DIR4NC</v>
          </cell>
        </row>
        <row r="26185">
          <cell r="B26185" t="str">
            <v>54040100000144</v>
          </cell>
          <cell r="C26185" t="str">
            <v>PROVISION GEN OBLIG RIES CAMB - DEU DIR 4NC</v>
          </cell>
        </row>
        <row r="26186">
          <cell r="B26186" t="str">
            <v>54040100000145</v>
          </cell>
          <cell r="C26186" t="str">
            <v>PROVISION GEN OBLIG RIES CRED  DEU DIR- 4NC</v>
          </cell>
        </row>
        <row r="26187">
          <cell r="B26187" t="str">
            <v>54040100000146</v>
          </cell>
          <cell r="C26187" t="str">
            <v>PROVISION ESP OBLIG RIES CRED  DEU DIR- 4NC</v>
          </cell>
        </row>
        <row r="26188">
          <cell r="B26188" t="str">
            <v>54040100000147</v>
          </cell>
          <cell r="C26188" t="str">
            <v>PROVISION GEN OBLIG PROCICLICA - DEU DIR4NC</v>
          </cell>
        </row>
        <row r="26189">
          <cell r="B26189" t="str">
            <v>54040100000148</v>
          </cell>
          <cell r="C26189" t="str">
            <v>PROVISION GEN OBLIG RIES CAMB - DEU DIR 4NC</v>
          </cell>
        </row>
        <row r="26190">
          <cell r="B26190" t="str">
            <v>54040100000149</v>
          </cell>
          <cell r="C26190" t="str">
            <v>PROVISION GEN OBLIG RIES CRED  - DEU DIR4NC</v>
          </cell>
        </row>
        <row r="26191">
          <cell r="B26191" t="str">
            <v>54040100000150</v>
          </cell>
          <cell r="C26191" t="str">
            <v>PROVISION ESP OBLIG RIES CRED  -  DEU DI4NC</v>
          </cell>
        </row>
        <row r="26192">
          <cell r="B26192" t="str">
            <v>54040100000151</v>
          </cell>
          <cell r="C26192" t="str">
            <v>PROVISION GEN OBLIG PROCICLICA - DEU DIR4NC</v>
          </cell>
        </row>
        <row r="26193">
          <cell r="B26193" t="str">
            <v>54040100000152</v>
          </cell>
          <cell r="C26193" t="str">
            <v>PROVISION GEN OBLIG RIES CAMB DEU DIR - 4NC</v>
          </cell>
        </row>
        <row r="26194">
          <cell r="B26194" t="str">
            <v>54040100000153</v>
          </cell>
          <cell r="C26194" t="str">
            <v>PROVISION GEN OBLIG RIES SOBREEND DEU DI4NC</v>
          </cell>
        </row>
        <row r="26195">
          <cell r="B26195" t="str">
            <v>54040100000154</v>
          </cell>
          <cell r="C26195" t="str">
            <v>REVERSIÃ“N DE PROV. DE CR. DIRECTOS MYPE4NC</v>
          </cell>
        </row>
        <row r="26196">
          <cell r="B26196" t="str">
            <v>54040100000155</v>
          </cell>
          <cell r="C26196" t="str">
            <v>REVERSIÃ“N DE PROV. DE CR. DIRECTOS COME4NC</v>
          </cell>
        </row>
        <row r="26197">
          <cell r="B26197" t="str">
            <v>54040100000156</v>
          </cell>
          <cell r="C26197" t="str">
            <v>REVERSIÃ“N DE PROV. DE CR. DIRECTOS CONS4NC</v>
          </cell>
        </row>
        <row r="26198">
          <cell r="B26198" t="str">
            <v>54040100000157</v>
          </cell>
          <cell r="C26198" t="str">
            <v>REVERSIÃ“N DE PROV. DE CR. DIRECTOS HIPO4NC</v>
          </cell>
        </row>
        <row r="26199">
          <cell r="B26199" t="str">
            <v>54040100018001</v>
          </cell>
          <cell r="C26199" t="str">
            <v>PAN ING EJERC ANT - PROV CRED CORPORATIV4NC</v>
          </cell>
        </row>
        <row r="26200">
          <cell r="B26200" t="str">
            <v>54040100018002</v>
          </cell>
          <cell r="C26200" t="str">
            <v>PAN ING EJERC ANT - PROV CRED CORPORTATI4NC</v>
          </cell>
        </row>
        <row r="26201">
          <cell r="B26201" t="str">
            <v>54040100018003</v>
          </cell>
          <cell r="C26201" t="str">
            <v>PAN ING EJERC ANT - PROV CRED MED EMPRES4NC</v>
          </cell>
        </row>
        <row r="26202">
          <cell r="B26202" t="str">
            <v>54040100018004</v>
          </cell>
          <cell r="C26202" t="str">
            <v>PAN ING EJERC ANT - PROV CRED ENT SECTOR4NC</v>
          </cell>
        </row>
        <row r="26203">
          <cell r="B26203" t="str">
            <v>54040200000101</v>
          </cell>
          <cell r="C26203" t="str">
            <v>PROVISION GEN OBLIG RIES CRED DEU IND - 4NC</v>
          </cell>
        </row>
        <row r="26204">
          <cell r="B26204" t="str">
            <v>54040200000102</v>
          </cell>
          <cell r="C26204" t="str">
            <v>PROVISION ESP OBLIG RIES CRED  DEU IND- 4NC</v>
          </cell>
        </row>
        <row r="26205">
          <cell r="B26205" t="str">
            <v>54040200000103</v>
          </cell>
          <cell r="C26205" t="str">
            <v>PROVISION GEN OBLIG PROCICLICA DEU IND- 4NC</v>
          </cell>
        </row>
        <row r="26206">
          <cell r="B26206" t="str">
            <v>54040200000104</v>
          </cell>
          <cell r="C26206" t="str">
            <v>PROVISION GEN OBLIG SOBREEND LINEAS - ME4NC</v>
          </cell>
        </row>
        <row r="26207">
          <cell r="B26207" t="str">
            <v>54040200000105</v>
          </cell>
          <cell r="C26207" t="str">
            <v>PROVISION ESP OBLIG SOBREEND LINEAS - ME4NC</v>
          </cell>
        </row>
        <row r="26208">
          <cell r="B26208" t="str">
            <v>54040200000106</v>
          </cell>
          <cell r="C26208" t="str">
            <v>PROVISION GEN OBLIG SOBREEND LINEAS - CO4NC</v>
          </cell>
        </row>
        <row r="26209">
          <cell r="B26209" t="str">
            <v>54040200000107</v>
          </cell>
          <cell r="C26209" t="str">
            <v>PROVISION ESP OBLIG SOBREEND LINEAS - CO4NC</v>
          </cell>
        </row>
        <row r="26210">
          <cell r="B26210" t="str">
            <v>54040200000108</v>
          </cell>
          <cell r="C26210" t="str">
            <v>PROVISION GEN OBLIG RIES CRED  DEU IND -4NC</v>
          </cell>
        </row>
        <row r="26211">
          <cell r="B26211" t="str">
            <v>54040200000109</v>
          </cell>
          <cell r="C26211" t="str">
            <v>PROVISION ESP OBLIG RIES CRED  DEU INDS-4NC</v>
          </cell>
        </row>
        <row r="26212">
          <cell r="B26212" t="str">
            <v>54040200000110</v>
          </cell>
          <cell r="C26212" t="str">
            <v>PROVISION GEN OBLIG PROCICLICA - DEU IND4NC</v>
          </cell>
        </row>
        <row r="26213">
          <cell r="B26213" t="str">
            <v>54040200000111</v>
          </cell>
          <cell r="C26213" t="str">
            <v>PROVISION GEN OBLIG RIES CRED  DEU IND -4NC</v>
          </cell>
        </row>
        <row r="26214">
          <cell r="B26214" t="str">
            <v>54040200000112</v>
          </cell>
          <cell r="C26214" t="str">
            <v>PROVISION ESP OBLIG RIES CRED  DEU INDS-4NC</v>
          </cell>
        </row>
        <row r="26215">
          <cell r="B26215" t="str">
            <v>54040200000113</v>
          </cell>
          <cell r="C26215" t="str">
            <v>PROVISION GEN OBLIG PROCICLICA - DEU IND4NC</v>
          </cell>
        </row>
        <row r="26216">
          <cell r="B26216" t="str">
            <v>54040200000114</v>
          </cell>
          <cell r="C26216" t="str">
            <v>PROVISION GEN OBLIG RIES CRED  DEU IND -4NC</v>
          </cell>
        </row>
        <row r="26217">
          <cell r="B26217" t="str">
            <v>54040200000115</v>
          </cell>
          <cell r="C26217" t="str">
            <v>PROVISION ESP OBLIG RIES CRED  DEU INDS-4NC</v>
          </cell>
        </row>
        <row r="26218">
          <cell r="B26218" t="str">
            <v>54040200000116</v>
          </cell>
          <cell r="C26218" t="str">
            <v>PROVISION GEN OBLIG PROCICLICA - DEU IND4NC</v>
          </cell>
        </row>
        <row r="26219">
          <cell r="B26219" t="str">
            <v>54040200000117</v>
          </cell>
          <cell r="C26219" t="str">
            <v>PROVISION GEN OBLIG RIES CRED  DEU IND -4NC</v>
          </cell>
        </row>
        <row r="26220">
          <cell r="B26220" t="str">
            <v>54040200000118</v>
          </cell>
          <cell r="C26220" t="str">
            <v>PROVISION ESP OBLIG RIES CRED  DEU INDS-4NC</v>
          </cell>
        </row>
        <row r="26221">
          <cell r="B26221" t="str">
            <v>54040200000119</v>
          </cell>
          <cell r="C26221" t="str">
            <v>PROVISION GEN OBLIG PROCICLICA - DEU IND4NC</v>
          </cell>
        </row>
        <row r="26222">
          <cell r="B26222" t="str">
            <v>54040200000120</v>
          </cell>
          <cell r="C26222" t="str">
            <v>PROVISION GEN OBLIG RIES CRED  DEU IND -4NC</v>
          </cell>
        </row>
        <row r="26223">
          <cell r="B26223" t="str">
            <v>54040200000121</v>
          </cell>
          <cell r="C26223" t="str">
            <v>PROVISION ESP OBLIG RIES CRED  DEU INDS-4NC</v>
          </cell>
        </row>
        <row r="26224">
          <cell r="B26224" t="str">
            <v>54040200000122</v>
          </cell>
          <cell r="C26224" t="str">
            <v>PROVISION GEN OBLIG PROCICLICA - DEU IND4NC</v>
          </cell>
        </row>
        <row r="26225">
          <cell r="B26225" t="str">
            <v>54040200000123</v>
          </cell>
          <cell r="C26225" t="str">
            <v>PROVISION GEN OBLIG RIES CRED  DEU IND -4NC</v>
          </cell>
        </row>
        <row r="26226">
          <cell r="B26226" t="str">
            <v>54040200000124</v>
          </cell>
          <cell r="C26226" t="str">
            <v>PROVISION ESP OBLIG RIES CRED  DEU INDS-4NC</v>
          </cell>
        </row>
        <row r="26227">
          <cell r="B26227" t="str">
            <v>54040200000125</v>
          </cell>
          <cell r="C26227" t="str">
            <v>PROVISION GEN OBLIG PROCICLICA - DEU IND4NC</v>
          </cell>
        </row>
        <row r="26228">
          <cell r="B26228" t="str">
            <v>54040200000126</v>
          </cell>
          <cell r="C26228" t="str">
            <v>PROVISION GEN OBLIG RIES CRED  DEU IND -4NC</v>
          </cell>
        </row>
        <row r="26229">
          <cell r="B26229" t="str">
            <v>54040200000127</v>
          </cell>
          <cell r="C26229" t="str">
            <v>PROVISION ESP OBLIG RIES CRED  DEU INDS-4NC</v>
          </cell>
        </row>
        <row r="26230">
          <cell r="B26230" t="str">
            <v>54040200000128</v>
          </cell>
          <cell r="C26230" t="str">
            <v>PROVISION GEN OBLIG PROCICLICA - DEU IND4NC</v>
          </cell>
        </row>
        <row r="26231">
          <cell r="B26231" t="str">
            <v>54040200000129</v>
          </cell>
          <cell r="C26231" t="str">
            <v>PROVISION GEN OBLIG RIES CRED  DEU IND -4NC</v>
          </cell>
        </row>
        <row r="26232">
          <cell r="B26232" t="str">
            <v>54040200000130</v>
          </cell>
          <cell r="C26232" t="str">
            <v>PROVISION ESP OBLIG RIES CRED  DEU INDS-4NC</v>
          </cell>
        </row>
        <row r="26233">
          <cell r="B26233" t="str">
            <v>54040200000131</v>
          </cell>
          <cell r="C26233" t="str">
            <v>PROVISION GEN OBLIG PROCICLICA - DEU IND4NC</v>
          </cell>
        </row>
        <row r="26234">
          <cell r="B26234" t="str">
            <v>54040200000132</v>
          </cell>
          <cell r="C26234" t="str">
            <v>PROVISION GEN OBLIG RIES CRED  - DEU IND4NC</v>
          </cell>
        </row>
        <row r="26235">
          <cell r="B26235" t="str">
            <v>54040200000133</v>
          </cell>
          <cell r="C26235" t="str">
            <v>PROVISION ESP OBLIG RIES CRED  - DEU IND4NC</v>
          </cell>
        </row>
        <row r="26236">
          <cell r="B26236" t="str">
            <v>54040200000134</v>
          </cell>
          <cell r="C26236" t="str">
            <v>PROVISION GEN OBLIG PROCICLICA - DEU IND4NC</v>
          </cell>
        </row>
        <row r="26237">
          <cell r="B26237" t="str">
            <v>54040200000135</v>
          </cell>
          <cell r="C26237" t="str">
            <v>PROVISION GEN OBLIG SOBREEND LINEAS - PE4NC</v>
          </cell>
        </row>
        <row r="26238">
          <cell r="B26238" t="str">
            <v>54040200000136</v>
          </cell>
          <cell r="C26238" t="str">
            <v>PROVISION ESP OBLIG SOBREEND LINEAS - PE4NC</v>
          </cell>
        </row>
        <row r="26239">
          <cell r="B26239" t="str">
            <v>54040200000137</v>
          </cell>
          <cell r="C26239" t="str">
            <v>REVERSIÃ“N DE PROV. DE CR. INDIRECTOS MY4NC</v>
          </cell>
        </row>
        <row r="26240">
          <cell r="B26240" t="str">
            <v>54040200000138</v>
          </cell>
          <cell r="C26240" t="str">
            <v>REVERSIÃ“N DE PROV. DE CR. INDIRECTOS CO4NC</v>
          </cell>
        </row>
        <row r="26241">
          <cell r="B26241" t="str">
            <v>54040200000139</v>
          </cell>
          <cell r="C26241" t="str">
            <v>REVERSIÃ“N DE PROV. DE CR. INDIRECTOS CO4NC</v>
          </cell>
        </row>
        <row r="26242">
          <cell r="B26242" t="str">
            <v>54040200000140</v>
          </cell>
          <cell r="C26242" t="str">
            <v>REVERSIÃ“N DE PROV. DE CR. INDIRECTOS HI4NC</v>
          </cell>
        </row>
        <row r="26243">
          <cell r="B26243" t="str">
            <v>54040200018001</v>
          </cell>
          <cell r="C26243" t="str">
            <v>PAN ING EJERC ANT - PROV CRED CORPORATIV4NC</v>
          </cell>
        </row>
        <row r="26244">
          <cell r="B26244" t="str">
            <v>54040200018002</v>
          </cell>
          <cell r="C26244" t="str">
            <v>PAN ING EJERC ANT - PROV CRED CORPORTATI4NC</v>
          </cell>
        </row>
        <row r="26245">
          <cell r="B26245" t="str">
            <v>54040200018003</v>
          </cell>
          <cell r="C26245" t="str">
            <v>PAN ING EJERC ANT - PROV CRED MED EMPRES4NC</v>
          </cell>
        </row>
        <row r="26246">
          <cell r="B26246" t="str">
            <v>54040200018004</v>
          </cell>
          <cell r="C26246" t="str">
            <v>PAN ING EJERC ANT - PROV CRED ENT SECTOR4NC</v>
          </cell>
        </row>
        <row r="26247">
          <cell r="B26247" t="str">
            <v>54050000000101</v>
          </cell>
          <cell r="C26247" t="str">
            <v>PROV. CTAS X COBRAR                     4NC</v>
          </cell>
        </row>
        <row r="26248">
          <cell r="B26248" t="str">
            <v>54050000000102</v>
          </cell>
          <cell r="C26248" t="str">
            <v>REVERSION DE PROV. CXC FDO SIGMA        4NC</v>
          </cell>
        </row>
        <row r="26249">
          <cell r="B26249" t="str">
            <v>54060000000101</v>
          </cell>
          <cell r="C26249" t="str">
            <v>REVERSION PROV RECUPERADOS              4NC</v>
          </cell>
        </row>
        <row r="26250">
          <cell r="B26250" t="str">
            <v>54060000000102</v>
          </cell>
          <cell r="C26250" t="str">
            <v>REVERSION PROVISION ADJUDICADOS         4NC</v>
          </cell>
        </row>
        <row r="26251">
          <cell r="B26251" t="str">
            <v>56010000000101</v>
          </cell>
          <cell r="C26251" t="str">
            <v>VENTA BS FUERA DE USO                   4NC</v>
          </cell>
        </row>
        <row r="26252">
          <cell r="B26252" t="str">
            <v>56020000000101</v>
          </cell>
          <cell r="C26252" t="str">
            <v>GANANCIA VTA BIENES ADJUDICADOS         4NC</v>
          </cell>
        </row>
        <row r="26253">
          <cell r="B26253" t="str">
            <v>56020000000102</v>
          </cell>
          <cell r="C26253" t="str">
            <v>GANANCIA EN VENTA DE BIENES RECUPERAD   4NC</v>
          </cell>
        </row>
        <row r="26254">
          <cell r="B26254" t="str">
            <v>56090000000101</v>
          </cell>
          <cell r="C26254" t="str">
            <v>CAMPAÃ‘AS CREDITOS VEHICULARES          4NC</v>
          </cell>
        </row>
        <row r="26255">
          <cell r="B26255" t="str">
            <v>56090000000102</v>
          </cell>
          <cell r="C26255" t="str">
            <v>OTROS INGRESOS EXTRAORDINARIOS          4NC</v>
          </cell>
        </row>
        <row r="26256">
          <cell r="B26256" t="str">
            <v>56090000000103</v>
          </cell>
          <cell r="C26256" t="str">
            <v>CONTRIBUCION BID                        4NC</v>
          </cell>
        </row>
        <row r="26257">
          <cell r="B26257" t="str">
            <v>56090000000104</v>
          </cell>
          <cell r="C26257" t="str">
            <v>INGRESO POR REUPERO DEL SEGURO          4NC</v>
          </cell>
        </row>
        <row r="26258">
          <cell r="B26258" t="str">
            <v>56090000000105</v>
          </cell>
          <cell r="C26258" t="str">
            <v>INGRESO POR RECUPERO DE LA GESTIÃ“N DEL 4NC</v>
          </cell>
        </row>
        <row r="26259">
          <cell r="B26259" t="str">
            <v>56090000000106</v>
          </cell>
          <cell r="C26259" t="str">
            <v>EJERCICIOS ANTERIORES - PROVI G11006    4NC</v>
          </cell>
        </row>
        <row r="26260">
          <cell r="B26260" t="str">
            <v>56090000000107</v>
          </cell>
          <cell r="C26260" t="str">
            <v>OTROS INGRESOS DE EJERCICIOS ANTERIORES 4NC</v>
          </cell>
        </row>
        <row r="26261">
          <cell r="B26261" t="str">
            <v>56090000000108</v>
          </cell>
          <cell r="C26261" t="str">
            <v>RESERVA TECNICA                         4NC</v>
          </cell>
        </row>
        <row r="26262">
          <cell r="B26262" t="str">
            <v>56090000000109</v>
          </cell>
          <cell r="C26262" t="str">
            <v>OTROS ING SERVICIOS DE EJERC ANTERIORES 4NC</v>
          </cell>
        </row>
        <row r="26263">
          <cell r="B26263" t="str">
            <v>56090000000110</v>
          </cell>
          <cell r="C26263" t="str">
            <v>INGRESO X VENTA DE VALES                4NC</v>
          </cell>
        </row>
        <row r="26264">
          <cell r="B26264" t="str">
            <v>56090000000111</v>
          </cell>
          <cell r="C26264" t="str">
            <v>Otros ingresos por recuperaciÃ³n        4NC</v>
          </cell>
        </row>
        <row r="26265">
          <cell r="B26265" t="str">
            <v>56090000000112</v>
          </cell>
          <cell r="C26265" t="str">
            <v>REVERSIÃ“N DE PROV. DE CR. DIRECTOS MYPE4NC</v>
          </cell>
        </row>
        <row r="26266">
          <cell r="B26266" t="str">
            <v>56090000000113</v>
          </cell>
          <cell r="C26266" t="str">
            <v>REVERSIÃ“N DE PROV. DE CR. DIRECTOS COME4NC</v>
          </cell>
        </row>
        <row r="26267">
          <cell r="B26267" t="str">
            <v>56090000000114</v>
          </cell>
          <cell r="C26267" t="str">
            <v>REVERSIÃ“N DE PROV. DE CR. DIRECTOS CONS4NC</v>
          </cell>
        </row>
        <row r="26268">
          <cell r="B26268" t="str">
            <v>56090000000115</v>
          </cell>
          <cell r="C26268" t="str">
            <v>REVERSIÃ“N DE PROV. DE CR. DIRECTOS HIPO4NC</v>
          </cell>
        </row>
        <row r="26269">
          <cell r="B26269" t="str">
            <v>56090000000116</v>
          </cell>
          <cell r="C26269" t="str">
            <v>REVERSIÃ“N DE PROV. DE CR. INDIRECTOS MY4NC</v>
          </cell>
        </row>
        <row r="26270">
          <cell r="B26270" t="str">
            <v>56090000000117</v>
          </cell>
          <cell r="C26270" t="str">
            <v>REVERSIÃ“N DE PROV. DE CR. INDIRECTOS CO4NC</v>
          </cell>
        </row>
        <row r="26271">
          <cell r="B26271" t="str">
            <v>56090000000118</v>
          </cell>
          <cell r="C26271" t="str">
            <v>REVERSIÃ“N DE PROV. DE CR. INDIRECTOS CO4NC</v>
          </cell>
        </row>
        <row r="26272">
          <cell r="B26272" t="str">
            <v>56090000000119</v>
          </cell>
          <cell r="C26272" t="str">
            <v>REVERSIÃ“N DE PROV. DE CR. INDIRECTOS HI4NC</v>
          </cell>
        </row>
        <row r="26273">
          <cell r="B26273" t="str">
            <v>56090000000120</v>
          </cell>
          <cell r="C26273" t="str">
            <v>INGRESO RECUPERACIONES DE EJERC ANTERIOR4NC</v>
          </cell>
        </row>
        <row r="26274">
          <cell r="B26274" t="str">
            <v>56090000000121</v>
          </cell>
          <cell r="C26274" t="str">
            <v>OTROS INGRESOS DE EJERCICIOS ANTERIORES 4NC</v>
          </cell>
        </row>
        <row r="26275">
          <cell r="B26275" t="str">
            <v>56090000000122</v>
          </cell>
          <cell r="C26275" t="str">
            <v>OTROS INGRESOS DE EJERCICIOS ANTERIORES 4NC</v>
          </cell>
        </row>
        <row r="26276">
          <cell r="B26276" t="str">
            <v>56090000000123</v>
          </cell>
          <cell r="C26276" t="str">
            <v>INGRESO POR UTILIZACION DE FONDO DE GARA4NC</v>
          </cell>
        </row>
        <row r="26277">
          <cell r="B26277" t="str">
            <v>56090000000124</v>
          </cell>
          <cell r="C26277" t="str">
            <v>COMISIÃ“N INTEROPERABILIDAD BILLETERA EL4NC</v>
          </cell>
        </row>
        <row r="26278">
          <cell r="B26278" t="str">
            <v>56090000000125</v>
          </cell>
          <cell r="C26278" t="str">
            <v>COMISIONES DE AGENTES                   4NC</v>
          </cell>
        </row>
        <row r="26279">
          <cell r="B26279" t="str">
            <v>56090000000126</v>
          </cell>
          <cell r="C26279" t="str">
            <v>COMISION INGRESO DINERO ELECTR. FEES    4NC</v>
          </cell>
        </row>
        <row r="26280">
          <cell r="B26280" t="str">
            <v>56090000000127</v>
          </cell>
          <cell r="C26280" t="str">
            <v>LIBERACIÃ“N DEPOSITOS RIESGO PAÃS      4NC</v>
          </cell>
        </row>
        <row r="26281">
          <cell r="B26281" t="str">
            <v>56090000000128</v>
          </cell>
          <cell r="C26281" t="str">
            <v>INGRESO POR RECUPERO DEL SEGURO-SINIESTR4NC</v>
          </cell>
        </row>
        <row r="26282">
          <cell r="B26282" t="str">
            <v>56090000000129</v>
          </cell>
          <cell r="C26282" t="str">
            <v>PROVISION POR GASTOS NO LIQUIDADOS      4NC</v>
          </cell>
        </row>
        <row r="26283">
          <cell r="B26283" t="str">
            <v>56090000000130</v>
          </cell>
          <cell r="C26283" t="str">
            <v>PENALIDADES IBM                         4NC</v>
          </cell>
        </row>
        <row r="26284">
          <cell r="B26284" t="str">
            <v>56090000000131</v>
          </cell>
          <cell r="C26284" t="str">
            <v>INGRESO EXTRAORDINARIO INVENTARIO       4NC</v>
          </cell>
        </row>
        <row r="26285">
          <cell r="B26285" t="str">
            <v>56090000000801</v>
          </cell>
          <cell r="C26285" t="str">
            <v>PAN OTROS INGRESOS                      4NC</v>
          </cell>
        </row>
        <row r="26286">
          <cell r="B26286" t="str">
            <v>56090000000802</v>
          </cell>
          <cell r="C26286" t="str">
            <v>PENALIDADES IBM                         4NC</v>
          </cell>
        </row>
        <row r="26287">
          <cell r="B26287" t="str">
            <v>57010000000101</v>
          </cell>
          <cell r="C26287" t="str">
            <v>VENTA DE BIENES                         4NC</v>
          </cell>
        </row>
        <row r="26288">
          <cell r="B26288" t="str">
            <v>57010000000102</v>
          </cell>
          <cell r="C26288" t="str">
            <v>VTA BS PROYECTO DE INV REGIONAL         4NC</v>
          </cell>
        </row>
        <row r="26289">
          <cell r="B26289" t="str">
            <v>57020100000101</v>
          </cell>
          <cell r="C26289" t="str">
            <v>SERVICIOS DIVERSOS                      4NC</v>
          </cell>
        </row>
        <row r="26290">
          <cell r="B26290" t="str">
            <v>57020100000102</v>
          </cell>
          <cell r="C26290" t="str">
            <v>SERVICIO DE TELEFONÃˆA                  4NC</v>
          </cell>
        </row>
        <row r="26291">
          <cell r="B26291" t="str">
            <v>57020100000104</v>
          </cell>
          <cell r="C26291" t="str">
            <v>SERVICIO DE MANTENIMIENTO               4NC</v>
          </cell>
        </row>
        <row r="26292">
          <cell r="B26292" t="str">
            <v>57020100000105</v>
          </cell>
          <cell r="C26292" t="str">
            <v>SERVICIOS VARIOS - RECURRENTES          4NC</v>
          </cell>
        </row>
        <row r="26293">
          <cell r="B26293" t="str">
            <v>57020100000107</v>
          </cell>
          <cell r="C26293" t="str">
            <v>SERVICIOS DIV LEGAL                     4NC</v>
          </cell>
        </row>
        <row r="26294">
          <cell r="B26294" t="str">
            <v>57020100000108</v>
          </cell>
          <cell r="C26294" t="str">
            <v>INGRESOS POR INCENTIVOS TC              4NC</v>
          </cell>
        </row>
        <row r="26295">
          <cell r="B26295" t="str">
            <v>57020100000109</v>
          </cell>
          <cell r="C26295" t="str">
            <v>SERV. PROCESAMIENTO TARJETA DEBITO      4NC</v>
          </cell>
        </row>
        <row r="26296">
          <cell r="B26296" t="str">
            <v>57020100000110</v>
          </cell>
          <cell r="C26296" t="str">
            <v>REEMBOLSO DE PUBLICACION                4NC</v>
          </cell>
        </row>
        <row r="26297">
          <cell r="B26297" t="str">
            <v>57020100000112</v>
          </cell>
          <cell r="C26297" t="str">
            <v>SISTEMAS TEBCA                          4NC</v>
          </cell>
        </row>
        <row r="26298">
          <cell r="B26298" t="str">
            <v>57020100000113</v>
          </cell>
          <cell r="C26298" t="str">
            <v>SEGURO DESGRAV.Â HIPOTECARIO-TITULIZACIÃ4NC</v>
          </cell>
        </row>
        <row r="26299">
          <cell r="B26299" t="str">
            <v>57020100000114</v>
          </cell>
          <cell r="C26299" t="str">
            <v>SEGUROÂ BIEN HIPOTECARIOÂ Â¿ TITULIZACIÃ4NC</v>
          </cell>
        </row>
        <row r="26300">
          <cell r="B26300" t="str">
            <v>57020100000115</v>
          </cell>
          <cell r="C26300" t="str">
            <v>SERVICIOS VARIOS TEBCA                  4NC</v>
          </cell>
        </row>
        <row r="26301">
          <cell r="B26301" t="str">
            <v>57020100000116</v>
          </cell>
          <cell r="C26301" t="str">
            <v>SERVICIOS CONTACT CENTER                4NC</v>
          </cell>
        </row>
        <row r="26302">
          <cell r="B26302" t="str">
            <v>57020100000117</v>
          </cell>
          <cell r="C26302" t="str">
            <v>SERVICIOS CORPORATIVOS TI               4NC</v>
          </cell>
        </row>
        <row r="26303">
          <cell r="B26303" t="str">
            <v>57020100000118</v>
          </cell>
          <cell r="C26303" t="str">
            <v>TC CLARO-IBK Incentivos                 4NC</v>
          </cell>
        </row>
        <row r="26304">
          <cell r="B26304" t="str">
            <v>57020100000119</v>
          </cell>
          <cell r="C26304" t="str">
            <v>COM SERV NO FINANCIEROS - CONVENIOS     4NC</v>
          </cell>
        </row>
        <row r="26305">
          <cell r="B26305" t="str">
            <v>57020100000120</v>
          </cell>
          <cell r="C26305" t="str">
            <v>ASESORIA TRIBUTARIA                     4NC</v>
          </cell>
        </row>
        <row r="26306">
          <cell r="B26306" t="str">
            <v>57020100000121</v>
          </cell>
          <cell r="C26306" t="str">
            <v>COM. SERV. NO FINAN CREDITO CONSUMO     4NC</v>
          </cell>
        </row>
        <row r="26307">
          <cell r="B26307" t="str">
            <v>57020100000122</v>
          </cell>
          <cell r="C26307" t="str">
            <v>INGRESOS POR INCENTIVOS TARJETA DE DEBIT4NC</v>
          </cell>
        </row>
        <row r="26308">
          <cell r="B26308" t="str">
            <v>57020100000123</v>
          </cell>
          <cell r="C26308" t="str">
            <v>COMISIÃ“N VISA -FEE CONVERSION          4NC</v>
          </cell>
        </row>
        <row r="26309">
          <cell r="B26309" t="str">
            <v>57020100000124</v>
          </cell>
          <cell r="C26309" t="str">
            <v>PRESTACIÃ“N SERVICIOS LAVADO DE ACTIVOS 4NC</v>
          </cell>
        </row>
        <row r="26310">
          <cell r="B26310" t="str">
            <v>62010200000101</v>
          </cell>
          <cell r="C26310" t="str">
            <v>VENTA BS FUERA DE USO                   5NC</v>
          </cell>
        </row>
        <row r="26311">
          <cell r="B26311" t="str">
            <v>62010901000102</v>
          </cell>
          <cell r="C26311" t="str">
            <v>CL ING.EXTRAO.DEU.VTA.CARTE             5NC</v>
          </cell>
        </row>
        <row r="26312">
          <cell r="B26312" t="str">
            <v>62010903000101</v>
          </cell>
          <cell r="C26312" t="str">
            <v>GANANCIA VTA BIENES ADJUDICADOS         5NC</v>
          </cell>
        </row>
        <row r="26313">
          <cell r="B26313" t="str">
            <v>62010903000102</v>
          </cell>
          <cell r="C26313" t="str">
            <v>GANANCIA EN VENTA DE BIENES RECUPERAD   5NC</v>
          </cell>
        </row>
        <row r="26314">
          <cell r="B26314" t="str">
            <v>62010909000102</v>
          </cell>
          <cell r="C26314" t="str">
            <v>CAMPAÑAS CREDITOS VEHICULARES           5NC</v>
          </cell>
        </row>
        <row r="26315">
          <cell r="B26315" t="str">
            <v>62010909000109</v>
          </cell>
          <cell r="C26315" t="str">
            <v>OTROS INGRESOS EXTRAORDINARIOS          5NC</v>
          </cell>
        </row>
        <row r="26316">
          <cell r="B26316" t="str">
            <v>62010909000110</v>
          </cell>
          <cell r="C26316" t="str">
            <v>CONTRIBUCION BID                        5NC</v>
          </cell>
        </row>
        <row r="26317">
          <cell r="B26317" t="str">
            <v>62010909000111</v>
          </cell>
          <cell r="C26317" t="str">
            <v>INGRESO POR REUPERO DEL SEGURO          5NC</v>
          </cell>
        </row>
        <row r="26318">
          <cell r="B26318" t="str">
            <v>62010909000112</v>
          </cell>
          <cell r="C26318" t="str">
            <v>INGRESO POR RECUPERO DE LA GESTIÓN DEL B5NC</v>
          </cell>
        </row>
        <row r="26319">
          <cell r="B26319" t="str">
            <v>62010909000801</v>
          </cell>
          <cell r="C26319" t="str">
            <v>PAN OTROS INGRESOS                      5NC</v>
          </cell>
        </row>
        <row r="26320">
          <cell r="B26320" t="str">
            <v>63010200000101</v>
          </cell>
          <cell r="C26320" t="str">
            <v>COSTO DE VENTA-BIENES FUERA DE USO      5ND</v>
          </cell>
        </row>
        <row r="26321">
          <cell r="B26321" t="str">
            <v>63010300000101</v>
          </cell>
          <cell r="C26321" t="str">
            <v>INTERESES Y MULTAS - SUNAT              5ND</v>
          </cell>
        </row>
        <row r="26322">
          <cell r="B26322" t="str">
            <v>63010300000201</v>
          </cell>
          <cell r="C26322" t="str">
            <v>SANCIONES ADM. Y FISCALES - MUNICIPALIDA5ND</v>
          </cell>
        </row>
        <row r="26323">
          <cell r="B26323" t="str">
            <v>63010300000202</v>
          </cell>
          <cell r="C26323" t="str">
            <v>INDEMNIZACIÓN A CLIENTES POR MAL ASESORA5ND</v>
          </cell>
        </row>
        <row r="26324">
          <cell r="B26324" t="str">
            <v>63010300000203</v>
          </cell>
          <cell r="C26324" t="str">
            <v>INDEMNIZACIÓN A CLIENTES POR INFRACCIÓN 5ND</v>
          </cell>
        </row>
        <row r="26325">
          <cell r="B26325" t="str">
            <v>63010300000204</v>
          </cell>
          <cell r="C26325" t="str">
            <v>SANCIONES ADM., INDECOPI, SBS           5ND</v>
          </cell>
        </row>
        <row r="26326">
          <cell r="B26326" t="str">
            <v>63010300000205</v>
          </cell>
          <cell r="C26326" t="str">
            <v>INTERESES Y  MULTAS - SUNAT             5ND</v>
          </cell>
        </row>
        <row r="26327">
          <cell r="B26327" t="str">
            <v>63010300000206</v>
          </cell>
          <cell r="C26327" t="str">
            <v>SANCIONES ADMINISTRATIVAS Y FISCALES - A5ND</v>
          </cell>
        </row>
        <row r="26328">
          <cell r="B26328" t="str">
            <v>63010300000301</v>
          </cell>
          <cell r="C26328" t="str">
            <v>SANCIONES ADMIN Y FISCALES -MIN.TRABA   5ND</v>
          </cell>
        </row>
        <row r="26329">
          <cell r="B26329" t="str">
            <v>63010300000302</v>
          </cell>
          <cell r="C26329" t="str">
            <v>INDEMNIZACIÓN A COLABORADORES (O EX) - S5ND</v>
          </cell>
        </row>
        <row r="26330">
          <cell r="B26330" t="str">
            <v>63010300000902</v>
          </cell>
          <cell r="C26330" t="str">
            <v>LEASING MULTAS INFRACCIONES             5ND</v>
          </cell>
        </row>
        <row r="26331">
          <cell r="B26331" t="str">
            <v>63010300000909</v>
          </cell>
          <cell r="C26331" t="str">
            <v>SANCIONES ADM. Y FISCALES - OTRAS INSTIT5ND</v>
          </cell>
        </row>
        <row r="26332">
          <cell r="B26332" t="str">
            <v>63010901000101</v>
          </cell>
          <cell r="C26332" t="str">
            <v>PERD CARTERA CREDITICIA - CRED          5ND</v>
          </cell>
        </row>
        <row r="26333">
          <cell r="B26333" t="str">
            <v>63010903000101</v>
          </cell>
          <cell r="C26333" t="str">
            <v>PERDIDA EN VENTA DE BIENES ADJUDICADO   5ND</v>
          </cell>
        </row>
        <row r="26334">
          <cell r="B26334" t="str">
            <v>63010903000102</v>
          </cell>
          <cell r="C26334" t="str">
            <v>PERDIDA EN VENTA DE BIENES REALIZABLE   5ND</v>
          </cell>
        </row>
        <row r="26335">
          <cell r="B26335" t="str">
            <v>63010904000101</v>
          </cell>
          <cell r="C26335" t="str">
            <v>GTOS LEGAL,NOTARIAL Y OTROS-ADJUDICAD   5ND</v>
          </cell>
        </row>
        <row r="26336">
          <cell r="B26336" t="str">
            <v>63010904000102</v>
          </cell>
          <cell r="C26336" t="str">
            <v>GTOS.MANTENMTO,ALMACENAMNTO Y SEGURID - 5ND</v>
          </cell>
        </row>
        <row r="26337">
          <cell r="B26337" t="str">
            <v>63010904000103</v>
          </cell>
          <cell r="C26337" t="str">
            <v>IMPTOS Y CONTRIBUC - ADJUDICADOS        5ND</v>
          </cell>
        </row>
        <row r="26338">
          <cell r="B26338" t="str">
            <v>63010904000104</v>
          </cell>
          <cell r="C26338" t="str">
            <v>OTR GTOS.RELAC CON ADJUDICADOS          5ND</v>
          </cell>
        </row>
        <row r="26339">
          <cell r="B26339" t="str">
            <v>63010904000105</v>
          </cell>
          <cell r="C26339" t="str">
            <v>GASTOS DE ADJUDICADOS-NO DEDUCIBLES     5ND</v>
          </cell>
        </row>
        <row r="26340">
          <cell r="B26340" t="str">
            <v>63010909000106</v>
          </cell>
          <cell r="C26340" t="str">
            <v>FALTANTE DE EFECTIVO                    5ND</v>
          </cell>
        </row>
        <row r="26341">
          <cell r="B26341" t="str">
            <v>63010909000108</v>
          </cell>
          <cell r="C26341" t="str">
            <v>GASTOS DE CAJEROS                       5ND</v>
          </cell>
        </row>
        <row r="26342">
          <cell r="B26342" t="str">
            <v>63010909000109</v>
          </cell>
          <cell r="C26342" t="str">
            <v>GASTOS EXTRAORDINARIOS DIVERSOS         5ND</v>
          </cell>
        </row>
        <row r="26343">
          <cell r="B26343" t="str">
            <v>63010909000112</v>
          </cell>
          <cell r="C26343" t="str">
            <v>GASTOS EXTRAORDINARIOS DIVERSOS DEDUCIBL5ND</v>
          </cell>
        </row>
        <row r="26344">
          <cell r="B26344" t="str">
            <v>63010909000114</v>
          </cell>
          <cell r="C26344" t="str">
            <v>GASTOS MONEDEROS                        5ND</v>
          </cell>
        </row>
        <row r="26345">
          <cell r="B26345" t="str">
            <v>63010909000115</v>
          </cell>
          <cell r="C26345" t="str">
            <v>GASTOS ATM RECLAMOS NO DISPENDIO        5ND</v>
          </cell>
        </row>
        <row r="26346">
          <cell r="B26346" t="str">
            <v>63010909000116</v>
          </cell>
          <cell r="C26346" t="str">
            <v>ITF ASUMIDO POR CTA TERCEROS            5ND</v>
          </cell>
        </row>
        <row r="26347">
          <cell r="B26347" t="str">
            <v>63010909000119</v>
          </cell>
          <cell r="C26347" t="str">
            <v>RECLAMO BANCA SEGUROS                   5ND</v>
          </cell>
        </row>
        <row r="26348">
          <cell r="B26348" t="str">
            <v>63010909000122</v>
          </cell>
          <cell r="C26348" t="str">
            <v>ERRORES OPERATIVOS TC                   5ND</v>
          </cell>
        </row>
        <row r="26349">
          <cell r="B26349" t="str">
            <v>63010909000124</v>
          </cell>
          <cell r="C26349" t="str">
            <v>FRAUDE EN VENTANILLA TD - NO DEDUCIBL   5ND</v>
          </cell>
        </row>
        <row r="26350">
          <cell r="B26350" t="str">
            <v>63010909000125</v>
          </cell>
          <cell r="C26350" t="str">
            <v>GASTOS DE CAJEROS CUADRE FINAL PY ATM   5ND</v>
          </cell>
        </row>
        <row r="26351">
          <cell r="B26351" t="str">
            <v>63010909000126</v>
          </cell>
          <cell r="C26351" t="str">
            <v>GASTOS MON CUADRE FINAL PY ATM          5ND</v>
          </cell>
        </row>
        <row r="26352">
          <cell r="B26352" t="str">
            <v>63010909000127</v>
          </cell>
          <cell r="C26352" t="str">
            <v>PACMAN GASTO FINAL                      5ND</v>
          </cell>
        </row>
        <row r="26353">
          <cell r="B26353" t="str">
            <v>63010909000128</v>
          </cell>
          <cell r="C26353" t="str">
            <v>PACMAN GASTO FINAL                      5ND</v>
          </cell>
        </row>
        <row r="26354">
          <cell r="B26354" t="str">
            <v>63010909000129</v>
          </cell>
          <cell r="C26354" t="str">
            <v>RECLAMO POR RIESGO ENTIDAD REGUL.       5ND</v>
          </cell>
        </row>
        <row r="26355">
          <cell r="B26355" t="str">
            <v>63010909000130</v>
          </cell>
          <cell r="C26355" t="str">
            <v>RECEP, EJEC Y MANTEN. OPERAC.           5ND</v>
          </cell>
        </row>
        <row r="26356">
          <cell r="B26356" t="str">
            <v>63010909000201</v>
          </cell>
          <cell r="C26356" t="str">
            <v>PÉRDIDAS POR DOCUMENTOS INEXISTENTES E I5ND</v>
          </cell>
        </row>
        <row r="26357">
          <cell r="B26357" t="str">
            <v>63010909000202</v>
          </cell>
          <cell r="C26357" t="str">
            <v>PÉRDIDA O DAÑO DE ACTIVOS DE CLIENTES PO5ND</v>
          </cell>
        </row>
        <row r="26358">
          <cell r="B26358" t="str">
            <v>63010909000203</v>
          </cell>
          <cell r="C26358" t="str">
            <v>FALLAS EN EL USO DE DE MODELOS / SISTEMA5ND</v>
          </cell>
        </row>
        <row r="26359">
          <cell r="B26359" t="str">
            <v>63010909000204</v>
          </cell>
          <cell r="C26359" t="str">
            <v>FALLAS EN EL PROCESAMIENTO DE TRANSACCIO5ND</v>
          </cell>
        </row>
        <row r="26360">
          <cell r="B26360" t="str">
            <v>63010909000205</v>
          </cell>
          <cell r="C26360" t="str">
            <v>FALTANTE DE EFECTIVO                    5ND</v>
          </cell>
        </row>
        <row r="26361">
          <cell r="B26361" t="str">
            <v>63010909000206</v>
          </cell>
          <cell r="C26361" t="str">
            <v>INCUMPLIMIENTO DE PLAZOS O DE RESPONSABI5ND</v>
          </cell>
        </row>
        <row r="26362">
          <cell r="B26362" t="str">
            <v>63010909000207</v>
          </cell>
          <cell r="C26362" t="str">
            <v>PÉRDIDAS POR CONTINGENCIAS LEGALES (DIFE5ND</v>
          </cell>
        </row>
        <row r="26363">
          <cell r="B26363" t="str">
            <v>63010909000208</v>
          </cell>
          <cell r="C26363" t="str">
            <v>SANCIONES ADMINISTRATIVAS Y FISCALES-MUN5ND</v>
          </cell>
        </row>
        <row r="26364">
          <cell r="B26364" t="str">
            <v>63010909000209</v>
          </cell>
          <cell r="C26364" t="str">
            <v>SANCIONES ADMIN Y FISCALES - OTRAS INSTI5ND</v>
          </cell>
        </row>
        <row r="26365">
          <cell r="B26365" t="str">
            <v>63010909000301</v>
          </cell>
          <cell r="C26365" t="str">
            <v>DAÑO DE ACTIVOS Y/O CON ROBO DE EFECTIVO5ND</v>
          </cell>
        </row>
        <row r="26366">
          <cell r="B26366" t="str">
            <v>63010909000302</v>
          </cell>
          <cell r="C26366" t="str">
            <v>PERDIDA POR HURTO O ROBO                5ND</v>
          </cell>
        </row>
        <row r="26367">
          <cell r="B26367" t="str">
            <v>63010909000303</v>
          </cell>
          <cell r="C26367" t="str">
            <v>DAÑOS POR ATAQUES INFORMÁTICOS (CON PÉRD5ND</v>
          </cell>
        </row>
        <row r="26368">
          <cell r="B26368" t="str">
            <v>63010909000304</v>
          </cell>
          <cell r="C26368" t="str">
            <v>PÉRDIDAS POR FRAUDE EXTERNO DIFERENTES A5ND</v>
          </cell>
        </row>
        <row r="26369">
          <cell r="B26369" t="str">
            <v>63010909000401</v>
          </cell>
          <cell r="C26369" t="str">
            <v>OPERACIONES NO AUTORIZADAS (CON PÉRDIDAS5ND</v>
          </cell>
        </row>
        <row r="26370">
          <cell r="B26370" t="str">
            <v>63010909000402</v>
          </cell>
          <cell r="C26370" t="str">
            <v>VALORACIÓN ERRÓNEA DE POSICIONES (INTENC5ND</v>
          </cell>
        </row>
        <row r="26371">
          <cell r="B26371" t="str">
            <v>63010909000403</v>
          </cell>
          <cell r="C26371" t="str">
            <v>APROPIACIÓN INDEBIDA DE ACTIVOS         5ND</v>
          </cell>
        </row>
        <row r="26372">
          <cell r="B26372" t="str">
            <v>63010909000404</v>
          </cell>
          <cell r="C26372" t="str">
            <v>APROPIACIÓN DE CUENTAS DE CLIENTES, DE I5ND</v>
          </cell>
        </row>
        <row r="26373">
          <cell r="B26373" t="str">
            <v>63010909000501</v>
          </cell>
          <cell r="C26373" t="str">
            <v>PÉRDIDAS POR DESASTRES NATURALES        5ND</v>
          </cell>
        </row>
        <row r="26374">
          <cell r="B26374" t="str">
            <v>63010909000502</v>
          </cell>
          <cell r="C26374" t="str">
            <v>PÉRDIDAS POR ACCIDENTES EN GENERAL (VAND5ND</v>
          </cell>
        </row>
        <row r="26375">
          <cell r="B26375" t="str">
            <v>63010909000601</v>
          </cell>
          <cell r="C26375" t="str">
            <v>GASTOS DE CAJEROS                       5ND</v>
          </cell>
        </row>
        <row r="26376">
          <cell r="B26376" t="str">
            <v>63010909000602</v>
          </cell>
          <cell r="C26376" t="str">
            <v>GASTOS DE MONEDEROS                     5ND</v>
          </cell>
        </row>
        <row r="26377">
          <cell r="B26377" t="str">
            <v>63010909000603</v>
          </cell>
          <cell r="C26377" t="str">
            <v>GASTOS ATM - RECLAMOS NO DISPENDIÓ      5ND</v>
          </cell>
        </row>
        <row r="26378">
          <cell r="B26378" t="str">
            <v>63010909000604</v>
          </cell>
          <cell r="C26378" t="str">
            <v>GASTOS POR FALLAS DE HARDWARE (DIFERENTE5ND</v>
          </cell>
        </row>
        <row r="26379">
          <cell r="B26379" t="str">
            <v>63010909000605</v>
          </cell>
          <cell r="C26379" t="str">
            <v>GASTOS POR FALLAS DE SOFTWARE           5ND</v>
          </cell>
        </row>
        <row r="26380">
          <cell r="B26380" t="str">
            <v>63010909000606</v>
          </cell>
          <cell r="C26380" t="str">
            <v>GASTOS POR FALLAS DE TELECOMUNICACIONES 5ND</v>
          </cell>
        </row>
        <row r="26381">
          <cell r="B26381" t="str">
            <v>64010100000102</v>
          </cell>
          <cell r="C26381" t="str">
            <v>INTERESES EJERCICIOS ANTERIORES         5NC</v>
          </cell>
        </row>
        <row r="26382">
          <cell r="B26382" t="str">
            <v>64010200000101</v>
          </cell>
          <cell r="C26382" t="str">
            <v>DIVIDENDOS Y PARTICIPACIONES            5NC</v>
          </cell>
        </row>
        <row r="26383">
          <cell r="B26383" t="str">
            <v>64010401000101</v>
          </cell>
          <cell r="C26383" t="str">
            <v>ING.DISMINUC.PROV.-INVERSIONES          5NC</v>
          </cell>
        </row>
        <row r="26384">
          <cell r="B26384" t="str">
            <v>64010402010101</v>
          </cell>
          <cell r="C26384" t="str">
            <v>ING.DISMINUC.PROV.GENERICA-CREDITOS     5NC</v>
          </cell>
        </row>
        <row r="26385">
          <cell r="B26385" t="str">
            <v>64010402010102</v>
          </cell>
          <cell r="C26385" t="str">
            <v>ING.DISMINUC.PROV.ESPECIFICA-CREDITO    5NC</v>
          </cell>
        </row>
        <row r="26386">
          <cell r="B26386" t="str">
            <v>64010402010201</v>
          </cell>
          <cell r="C26386" t="str">
            <v>PROVISION GEN OBLIG RIES CRED DEU DIR - 5NC</v>
          </cell>
        </row>
        <row r="26387">
          <cell r="B26387" t="str">
            <v>64010402010202</v>
          </cell>
          <cell r="C26387" t="str">
            <v>PROVISION GEN OBLIG RIES CRED DEU IND - 5NC</v>
          </cell>
        </row>
        <row r="26388">
          <cell r="B26388" t="str">
            <v>64010402010203</v>
          </cell>
          <cell r="C26388" t="str">
            <v>PROVISION ESP OBLIG RIES CRED  DEU DIR -5NC</v>
          </cell>
        </row>
        <row r="26389">
          <cell r="B26389" t="str">
            <v>64010402010204</v>
          </cell>
          <cell r="C26389" t="str">
            <v>PROVISION ESP OBLIG RIES CRED  DEU IND- 5NC</v>
          </cell>
        </row>
        <row r="26390">
          <cell r="B26390" t="str">
            <v>64010402010205</v>
          </cell>
          <cell r="C26390" t="str">
            <v>PROVISION GEN OBLIG PROCICLICA DEU DIR -5NC</v>
          </cell>
        </row>
        <row r="26391">
          <cell r="B26391" t="str">
            <v>64010402010206</v>
          </cell>
          <cell r="C26391" t="str">
            <v>PROVISION GEN OBLIG PROCICLICA DEU IND- 5NC</v>
          </cell>
        </row>
        <row r="26392">
          <cell r="B26392" t="str">
            <v>64010402010207</v>
          </cell>
          <cell r="C26392" t="str">
            <v>PROVISION GEN OBLIG RIES CAMB DEU DIR- M5NC</v>
          </cell>
        </row>
        <row r="26393">
          <cell r="B26393" t="str">
            <v>64010402010208</v>
          </cell>
          <cell r="C26393" t="str">
            <v>PROVISION GEN OBLIG RIES SOBREEND DEU DI5NC</v>
          </cell>
        </row>
        <row r="26394">
          <cell r="B26394" t="str">
            <v>64010402010209</v>
          </cell>
          <cell r="C26394" t="str">
            <v>PROVISION GEN OBLIG SOBREEND LINEAS - ME5NC</v>
          </cell>
        </row>
        <row r="26395">
          <cell r="B26395" t="str">
            <v>64010402010210</v>
          </cell>
          <cell r="C26395" t="str">
            <v>PROVISION ESP OBLIG SOBREEND LINEAS - ME5NC</v>
          </cell>
        </row>
        <row r="26396">
          <cell r="B26396" t="str">
            <v>64010402010211</v>
          </cell>
          <cell r="C26396" t="str">
            <v>PROV VOLUNT.RGO CRED MES                5NC</v>
          </cell>
        </row>
        <row r="26397">
          <cell r="B26397" t="str">
            <v>64010402010301</v>
          </cell>
          <cell r="C26397" t="str">
            <v>PROVISION GEN OBLIG RIES CRED  -DEU DIR 5NC</v>
          </cell>
        </row>
        <row r="26398">
          <cell r="B26398" t="str">
            <v>64010402010302</v>
          </cell>
          <cell r="C26398" t="str">
            <v>PROVISION ESP OBLIG RIES CRED  -  DEU DI5NC</v>
          </cell>
        </row>
        <row r="26399">
          <cell r="B26399" t="str">
            <v>64010402010303</v>
          </cell>
          <cell r="C26399" t="str">
            <v>PROVISION GEN OBLIG PROCICLICA - DEU DIR5NC</v>
          </cell>
        </row>
        <row r="26400">
          <cell r="B26400" t="str">
            <v>64010402010304</v>
          </cell>
          <cell r="C26400" t="str">
            <v>PROVISION GEN OBLIG RIES CAMB - DEU DIR 5NC</v>
          </cell>
        </row>
        <row r="26401">
          <cell r="B26401" t="str">
            <v>64010402010305</v>
          </cell>
          <cell r="C26401" t="str">
            <v>PROVISION GEN OBLIG RIES SOBREEND DEU DI5NC</v>
          </cell>
        </row>
        <row r="26402">
          <cell r="B26402" t="str">
            <v>64010402010306</v>
          </cell>
          <cell r="C26402" t="str">
            <v>PROVISION GEN OBLIG SOBREEND LINEAS - CO5NC</v>
          </cell>
        </row>
        <row r="26403">
          <cell r="B26403" t="str">
            <v>64010402010307</v>
          </cell>
          <cell r="C26403" t="str">
            <v>PROVISION ESP OBLIG SOBREEND LINEAS - CO5NC</v>
          </cell>
        </row>
        <row r="26404">
          <cell r="B26404" t="str">
            <v>64010402010401</v>
          </cell>
          <cell r="C26404" t="str">
            <v>PROVISION GEN OBLIG RIES CRED  - DEU DIR5NC</v>
          </cell>
        </row>
        <row r="26405">
          <cell r="B26405" t="str">
            <v>64010402010402</v>
          </cell>
          <cell r="C26405" t="str">
            <v>PROVISION ESP OBLIG RIES CRED  - DEU DIR5NC</v>
          </cell>
        </row>
        <row r="26406">
          <cell r="B26406" t="str">
            <v>64010402010403</v>
          </cell>
          <cell r="C26406" t="str">
            <v>PROVISION GEN OBLIG PROCICLICA - DEU DIR5NC</v>
          </cell>
        </row>
        <row r="26407">
          <cell r="B26407" t="str">
            <v>64010402010404</v>
          </cell>
          <cell r="C26407" t="str">
            <v>PROVISION GEN OBLIG RIES CAMB - DEU DIR 5NC</v>
          </cell>
        </row>
        <row r="26408">
          <cell r="B26408" t="str">
            <v>64010402010501</v>
          </cell>
          <cell r="C26408" t="str">
            <v>PROVISION GEN OBLIG RIES CRED  DEU DIR- 5NC</v>
          </cell>
        </row>
        <row r="26409">
          <cell r="B26409" t="str">
            <v>64010402010502</v>
          </cell>
          <cell r="C26409" t="str">
            <v>PROVISION GEN OBLIG RIES CRED  DEU IND -5NC</v>
          </cell>
        </row>
        <row r="26410">
          <cell r="B26410" t="str">
            <v>64010402010503</v>
          </cell>
          <cell r="C26410" t="str">
            <v>PROVISION ESP OBLIG RIES CRED  DEU DIR- 5NC</v>
          </cell>
        </row>
        <row r="26411">
          <cell r="B26411" t="str">
            <v>64010402010504</v>
          </cell>
          <cell r="C26411" t="str">
            <v>PROVISION ESP OBLIG RIES CRED  DEU INDS-5NC</v>
          </cell>
        </row>
        <row r="26412">
          <cell r="B26412" t="str">
            <v>64010402010505</v>
          </cell>
          <cell r="C26412" t="str">
            <v>PROVISION GEN OBLIG PROCICLICA - DEU DIR5NC</v>
          </cell>
        </row>
        <row r="26413">
          <cell r="B26413" t="str">
            <v>64010402010506</v>
          </cell>
          <cell r="C26413" t="str">
            <v>PROVISION GEN OBLIG PROCICLICA - DEU IND5NC</v>
          </cell>
        </row>
        <row r="26414">
          <cell r="B26414" t="str">
            <v>64010402010507</v>
          </cell>
          <cell r="C26414" t="str">
            <v>PROVISION GEN OBLIG RIES CAMB - DEU DIR 5NC</v>
          </cell>
        </row>
        <row r="26415">
          <cell r="B26415" t="str">
            <v>64010402010601</v>
          </cell>
          <cell r="C26415" t="str">
            <v>PROVISION GEN OBLIG RIES CRED  DEU DIR- 5NC</v>
          </cell>
        </row>
        <row r="26416">
          <cell r="B26416" t="str">
            <v>64010402010602</v>
          </cell>
          <cell r="C26416" t="str">
            <v>PROVISION GEN OBLIG RIES CRED  DEU IND -5NC</v>
          </cell>
        </row>
        <row r="26417">
          <cell r="B26417" t="str">
            <v>64010402010603</v>
          </cell>
          <cell r="C26417" t="str">
            <v>PROVISION ESP OBLIG RIES CRED  DEU DIR- 5NC</v>
          </cell>
        </row>
        <row r="26418">
          <cell r="B26418" t="str">
            <v>64010402010604</v>
          </cell>
          <cell r="C26418" t="str">
            <v>PROVISION ESP OBLIG RIES CRED  DEU INDS-5NC</v>
          </cell>
        </row>
        <row r="26419">
          <cell r="B26419" t="str">
            <v>64010402010605</v>
          </cell>
          <cell r="C26419" t="str">
            <v>PROVISION GEN OBLIG PROCICLICA - DEU DIR5NC</v>
          </cell>
        </row>
        <row r="26420">
          <cell r="B26420" t="str">
            <v>64010402010606</v>
          </cell>
          <cell r="C26420" t="str">
            <v>PROVISION GEN OBLIG PROCICLICA - DEU IND5NC</v>
          </cell>
        </row>
        <row r="26421">
          <cell r="B26421" t="str">
            <v>64010402010607</v>
          </cell>
          <cell r="C26421" t="str">
            <v>PROVISION GEN OBLIG RIES CAMB - DEU DIR 5NC</v>
          </cell>
        </row>
        <row r="26422">
          <cell r="B26422" t="str">
            <v>64010402010701</v>
          </cell>
          <cell r="C26422" t="str">
            <v>PROVISION GEN OBLIG RIES CRED  DEU DIR- 5NC</v>
          </cell>
        </row>
        <row r="26423">
          <cell r="B26423" t="str">
            <v>64010402010702</v>
          </cell>
          <cell r="C26423" t="str">
            <v>PROVISION GEN OBLIG RIES CRED  DEU IND -5NC</v>
          </cell>
        </row>
        <row r="26424">
          <cell r="B26424" t="str">
            <v>64010402010703</v>
          </cell>
          <cell r="C26424" t="str">
            <v>PROVISION ESP OBLIG RIES CRED  DEU DIR- 5NC</v>
          </cell>
        </row>
        <row r="26425">
          <cell r="B26425" t="str">
            <v>64010402010704</v>
          </cell>
          <cell r="C26425" t="str">
            <v>PROVISION ESP OBLIG RIES CRED  DEU INDS-5NC</v>
          </cell>
        </row>
        <row r="26426">
          <cell r="B26426" t="str">
            <v>64010402010705</v>
          </cell>
          <cell r="C26426" t="str">
            <v>PROVISION GEN OBLIG PROCICLICA - DEU DIR5NC</v>
          </cell>
        </row>
        <row r="26427">
          <cell r="B26427" t="str">
            <v>64010402010706</v>
          </cell>
          <cell r="C26427" t="str">
            <v>PROVISION GEN OBLIG PROCICLICA - DEU IND5NC</v>
          </cell>
        </row>
        <row r="26428">
          <cell r="B26428" t="str">
            <v>64010402010707</v>
          </cell>
          <cell r="C26428" t="str">
            <v>PROVISION GEN OBLIG RIES CAMB - DEU DIR 5NC</v>
          </cell>
        </row>
        <row r="26429">
          <cell r="B26429" t="str">
            <v>64010402010801</v>
          </cell>
          <cell r="C26429" t="str">
            <v>PROVISION GEN OBLIG RIES CRED  DEU DIR- 5NC</v>
          </cell>
        </row>
        <row r="26430">
          <cell r="B26430" t="str">
            <v>64010402010802</v>
          </cell>
          <cell r="C26430" t="str">
            <v>PROVISION GEN OBLIG RIES CRED  DEU IND -5NC</v>
          </cell>
        </row>
        <row r="26431">
          <cell r="B26431" t="str">
            <v>64010402010803</v>
          </cell>
          <cell r="C26431" t="str">
            <v>PROVISION ESP OBLIG RIES CRED  DEU DIR- 5NC</v>
          </cell>
        </row>
        <row r="26432">
          <cell r="B26432" t="str">
            <v>64010402010804</v>
          </cell>
          <cell r="C26432" t="str">
            <v>PROVISION ESP OBLIG RIES CRED  DEU INDS-5NC</v>
          </cell>
        </row>
        <row r="26433">
          <cell r="B26433" t="str">
            <v>64010402010805</v>
          </cell>
          <cell r="C26433" t="str">
            <v>PROVISION GEN OBLIG PROCICLICA - DEU DIR5NC</v>
          </cell>
        </row>
        <row r="26434">
          <cell r="B26434" t="str">
            <v>64010402010806</v>
          </cell>
          <cell r="C26434" t="str">
            <v>PROVISION GEN OBLIG PROCICLICA - DEU IND5NC</v>
          </cell>
        </row>
        <row r="26435">
          <cell r="B26435" t="str">
            <v>64010402010807</v>
          </cell>
          <cell r="C26435" t="str">
            <v>PROVISION GEN OBLIG RIES CAMB - DEU DIR 5NC</v>
          </cell>
        </row>
        <row r="26436">
          <cell r="B26436" t="str">
            <v>64010402010901</v>
          </cell>
          <cell r="C26436" t="str">
            <v>PROVISION GEN OBLIG RIES CRED  DEU DIR- 5NC</v>
          </cell>
        </row>
        <row r="26437">
          <cell r="B26437" t="str">
            <v>64010402010902</v>
          </cell>
          <cell r="C26437" t="str">
            <v>PROVISION GEN OBLIG RIES CRED  DEU IND -5NC</v>
          </cell>
        </row>
        <row r="26438">
          <cell r="B26438" t="str">
            <v>64010402010903</v>
          </cell>
          <cell r="C26438" t="str">
            <v>PROVISION ESP OBLIG RIES CRED  DEU DIR- 5NC</v>
          </cell>
        </row>
        <row r="26439">
          <cell r="B26439" t="str">
            <v>64010402010904</v>
          </cell>
          <cell r="C26439" t="str">
            <v>PROVISION ESP OBLIG RIES CRED  DEU INDS-5NC</v>
          </cell>
        </row>
        <row r="26440">
          <cell r="B26440" t="str">
            <v>64010402010905</v>
          </cell>
          <cell r="C26440" t="str">
            <v>PROVISION GEN OBLIG PROCICLICA - DEU DIR5NC</v>
          </cell>
        </row>
        <row r="26441">
          <cell r="B26441" t="str">
            <v>64010402010906</v>
          </cell>
          <cell r="C26441" t="str">
            <v>PROVISION GEN OBLIG PROCICLICA - DEU IND5NC</v>
          </cell>
        </row>
        <row r="26442">
          <cell r="B26442" t="str">
            <v>64010402010907</v>
          </cell>
          <cell r="C26442" t="str">
            <v>PROVISION GEN OBLIG RIES CAMB - DEU DIR 5NC</v>
          </cell>
        </row>
        <row r="26443">
          <cell r="B26443" t="str">
            <v>64010402011001</v>
          </cell>
          <cell r="C26443" t="str">
            <v>PROVISION GEN OBLIG RIES CRED  DEU DIR- 5NC</v>
          </cell>
        </row>
        <row r="26444">
          <cell r="B26444" t="str">
            <v>64010402011002</v>
          </cell>
          <cell r="C26444" t="str">
            <v>PROVISION GEN OBLIG RIES CRED  DEU IND -5NC</v>
          </cell>
        </row>
        <row r="26445">
          <cell r="B26445" t="str">
            <v>64010402011003</v>
          </cell>
          <cell r="C26445" t="str">
            <v>PROVISION ESP OBLIG RIES CRED  DEU DIR- 5NC</v>
          </cell>
        </row>
        <row r="26446">
          <cell r="B26446" t="str">
            <v>64010402011004</v>
          </cell>
          <cell r="C26446" t="str">
            <v>PROVISION ESP OBLIG RIES CRED  DEU INDS-5NC</v>
          </cell>
        </row>
        <row r="26447">
          <cell r="B26447" t="str">
            <v>64010402011005</v>
          </cell>
          <cell r="C26447" t="str">
            <v>PROVISION GEN OBLIG PROCICLICA - DEU DIR5NC</v>
          </cell>
        </row>
        <row r="26448">
          <cell r="B26448" t="str">
            <v>64010402011006</v>
          </cell>
          <cell r="C26448" t="str">
            <v>PROVISION GEN OBLIG PROCICLICA - DEU IND5NC</v>
          </cell>
        </row>
        <row r="26449">
          <cell r="B26449" t="str">
            <v>64010402011007</v>
          </cell>
          <cell r="C26449" t="str">
            <v>PROVISION GEN OBLIG RIES CAMB - DEU DIR 5NC</v>
          </cell>
        </row>
        <row r="26450">
          <cell r="B26450" t="str">
            <v>64010402011101</v>
          </cell>
          <cell r="C26450" t="str">
            <v>PROVISION GEN OBLIG RIES CRED  DEU DIR- 5NC</v>
          </cell>
        </row>
        <row r="26451">
          <cell r="B26451" t="str">
            <v>64010402011102</v>
          </cell>
          <cell r="C26451" t="str">
            <v>PROVISION GEN OBLIG RIES CRED  DEU IND -5NC</v>
          </cell>
        </row>
        <row r="26452">
          <cell r="B26452" t="str">
            <v>64010402011103</v>
          </cell>
          <cell r="C26452" t="str">
            <v>PROVISION ESP OBLIG RIES CRED  DEU DIR- 5NC</v>
          </cell>
        </row>
        <row r="26453">
          <cell r="B26453" t="str">
            <v>64010402011104</v>
          </cell>
          <cell r="C26453" t="str">
            <v>PROVISION ESP OBLIG RIES CRED  DEU INDS-5NC</v>
          </cell>
        </row>
        <row r="26454">
          <cell r="B26454" t="str">
            <v>64010402011105</v>
          </cell>
          <cell r="C26454" t="str">
            <v>PROVISION GEN OBLIG PROCICLICA - DEU DIR5NC</v>
          </cell>
        </row>
        <row r="26455">
          <cell r="B26455" t="str">
            <v>64010402011106</v>
          </cell>
          <cell r="C26455" t="str">
            <v>PROVISION GEN OBLIG PROCICLICA - DEU IND5NC</v>
          </cell>
        </row>
        <row r="26456">
          <cell r="B26456" t="str">
            <v>64010402011107</v>
          </cell>
          <cell r="C26456" t="str">
            <v>PROVISION GEN OBLIG RIES CAMB - DEU DIR 5NC</v>
          </cell>
        </row>
        <row r="26457">
          <cell r="B26457" t="str">
            <v>64010402011201</v>
          </cell>
          <cell r="C26457" t="str">
            <v>PROVISION GEN OBLIG RIES CRED  DEU DIR- 5NC</v>
          </cell>
        </row>
        <row r="26458">
          <cell r="B26458" t="str">
            <v>64010402011202</v>
          </cell>
          <cell r="C26458" t="str">
            <v>PROVISION GEN OBLIG RIES CRED  DEU IND -5NC</v>
          </cell>
        </row>
        <row r="26459">
          <cell r="B26459" t="str">
            <v>64010402011203</v>
          </cell>
          <cell r="C26459" t="str">
            <v>PROVISION ESP OBLIG RIES CRED  DEU DIR- 5NC</v>
          </cell>
        </row>
        <row r="26460">
          <cell r="B26460" t="str">
            <v>64010402011204</v>
          </cell>
          <cell r="C26460" t="str">
            <v>PROVISION ESP OBLIG RIES CRED  DEU INDS-5NC</v>
          </cell>
        </row>
        <row r="26461">
          <cell r="B26461" t="str">
            <v>64010402011205</v>
          </cell>
          <cell r="C26461" t="str">
            <v>PROVISION GEN OBLIG PROCICLICA - DEU DIR5NC</v>
          </cell>
        </row>
        <row r="26462">
          <cell r="B26462" t="str">
            <v>64010402011206</v>
          </cell>
          <cell r="C26462" t="str">
            <v>PROVISION GEN OBLIG PROCICLICA - DEU IND5NC</v>
          </cell>
        </row>
        <row r="26463">
          <cell r="B26463" t="str">
            <v>64010402011207</v>
          </cell>
          <cell r="C26463" t="str">
            <v>PROVISION GEN OBLIG RIES CAMB - DEU DIR 5NC</v>
          </cell>
        </row>
        <row r="26464">
          <cell r="B26464" t="str">
            <v>64010402011301</v>
          </cell>
          <cell r="C26464" t="str">
            <v>PROVISION GEN OBLIG RIES CRED  - DEU DIR5NC</v>
          </cell>
        </row>
        <row r="26465">
          <cell r="B26465" t="str">
            <v>64010402011302</v>
          </cell>
          <cell r="C26465" t="str">
            <v>PROVISION GEN OBLIG RIES CRED  - DEU IND5NC</v>
          </cell>
        </row>
        <row r="26466">
          <cell r="B26466" t="str">
            <v>64010402011303</v>
          </cell>
          <cell r="C26466" t="str">
            <v>PROVISION ESP OBLIG RIES CRED  -  DEU DI5NC</v>
          </cell>
        </row>
        <row r="26467">
          <cell r="B26467" t="str">
            <v>64010402011304</v>
          </cell>
          <cell r="C26467" t="str">
            <v>PROVISION ESP OBLIG RIES CRED  - DEU IND5NC</v>
          </cell>
        </row>
        <row r="26468">
          <cell r="B26468" t="str">
            <v>64010402011305</v>
          </cell>
          <cell r="C26468" t="str">
            <v>PROVISION GEN OBLIG PROCICLICA - DEU DIR5NC</v>
          </cell>
        </row>
        <row r="26469">
          <cell r="B26469" t="str">
            <v>64010402011306</v>
          </cell>
          <cell r="C26469" t="str">
            <v>PROVISION GEN OBLIG PROCICLICA - DEU IND5NC</v>
          </cell>
        </row>
        <row r="26470">
          <cell r="B26470" t="str">
            <v>64010402011307</v>
          </cell>
          <cell r="C26470" t="str">
            <v>PROVISION GEN OBLIG RIES CAMB DEU DIR - 5NC</v>
          </cell>
        </row>
        <row r="26471">
          <cell r="B26471" t="str">
            <v>64010402011308</v>
          </cell>
          <cell r="C26471" t="str">
            <v>PROVISION GEN OBLIG RIES SOBREEND DEU DI5NC</v>
          </cell>
        </row>
        <row r="26472">
          <cell r="B26472" t="str">
            <v>64010402011309</v>
          </cell>
          <cell r="C26472" t="str">
            <v>PROVISION GEN OBLIG SOBREEND LINEAS - PE5NC</v>
          </cell>
        </row>
        <row r="26473">
          <cell r="B26473" t="str">
            <v>64010402011310</v>
          </cell>
          <cell r="C26473" t="str">
            <v>PROVISION ESP OBLIG SOBREEND LINEAS - PE5NC</v>
          </cell>
        </row>
        <row r="26474">
          <cell r="B26474" t="str">
            <v>64010402018001</v>
          </cell>
          <cell r="C26474" t="str">
            <v>PAN ING EJERC ANT - PROV CRED CORPORATIV5NC</v>
          </cell>
        </row>
        <row r="26475">
          <cell r="B26475" t="str">
            <v>64010402018002</v>
          </cell>
          <cell r="C26475" t="str">
            <v>PAN ING EJERC ANT - PROV CRED CORPORTATI5NC</v>
          </cell>
        </row>
        <row r="26476">
          <cell r="B26476" t="str">
            <v>64010402018003</v>
          </cell>
          <cell r="C26476" t="str">
            <v>PAN ING EJERC ANT - PROV CRED MED EMPRES5NC</v>
          </cell>
        </row>
        <row r="26477">
          <cell r="B26477" t="str">
            <v>64010402018004</v>
          </cell>
          <cell r="C26477" t="str">
            <v>PAN ING EJERC ANT - PROV CRED ENT SECTOR5NC</v>
          </cell>
        </row>
        <row r="26478">
          <cell r="B26478" t="str">
            <v>64010402090101</v>
          </cell>
          <cell r="C26478" t="str">
            <v>PROV. CTAS X COBRAR                     5NC</v>
          </cell>
        </row>
        <row r="26479">
          <cell r="B26479" t="str">
            <v>64010413010211</v>
          </cell>
          <cell r="C26479" t="str">
            <v>PROV VOLUNT. RGO CRED PEQ.EMP           5NC</v>
          </cell>
        </row>
        <row r="26480">
          <cell r="B26480" t="str">
            <v>64010600000101</v>
          </cell>
          <cell r="C26480" t="str">
            <v>OTROS INGRESOS DE EJERCICIOS ANTERIOR   5NC</v>
          </cell>
        </row>
        <row r="26481">
          <cell r="B26481" t="str">
            <v>64010700000101</v>
          </cell>
          <cell r="C26481" t="str">
            <v>CL INGRES.RECUP.INTERES CASTIG          5NC</v>
          </cell>
        </row>
        <row r="26482">
          <cell r="B26482" t="str">
            <v>64010700000102</v>
          </cell>
          <cell r="C26482" t="str">
            <v>CL INGRES.RECUP.CAPITAL CASTIG          5NC</v>
          </cell>
        </row>
        <row r="26483">
          <cell r="B26483" t="str">
            <v>64010700000103</v>
          </cell>
          <cell r="C26483" t="str">
            <v>CL RECUP CAPITAL CTAS CASTG PN MES GL70 5NC</v>
          </cell>
        </row>
        <row r="26484">
          <cell r="B26484" t="str">
            <v>64010700000104</v>
          </cell>
          <cell r="C26484" t="str">
            <v>CL RECUP INTERES CAST MES GL7024        5NC</v>
          </cell>
        </row>
        <row r="26485">
          <cell r="B26485" t="str">
            <v>64010700000201</v>
          </cell>
          <cell r="C26485" t="str">
            <v>JCC INGRES.RECUP.INTERES CASTIG         5NC</v>
          </cell>
        </row>
        <row r="26486">
          <cell r="B26486" t="str">
            <v>64010700000202</v>
          </cell>
          <cell r="C26486" t="str">
            <v>JCC INGRES.RECUP.CAPITAL CASTIG         5NC</v>
          </cell>
        </row>
        <row r="26487">
          <cell r="B26487" t="str">
            <v>64010700000203</v>
          </cell>
          <cell r="C26487" t="str">
            <v>JCC INGRES.RECUP.INTERES CASTIG         5NC</v>
          </cell>
        </row>
        <row r="26488">
          <cell r="B26488" t="str">
            <v>64010700000204</v>
          </cell>
          <cell r="C26488" t="str">
            <v>JCC INGRES.RECUP.CAPITAL CASTIG         5NC</v>
          </cell>
        </row>
        <row r="26489">
          <cell r="B26489" t="str">
            <v>64010700000205</v>
          </cell>
          <cell r="C26489" t="str">
            <v>JCC INGRES.RECUP.INTERES CASTIG         5NC</v>
          </cell>
        </row>
        <row r="26490">
          <cell r="B26490" t="str">
            <v>64010700000206</v>
          </cell>
          <cell r="C26490" t="str">
            <v>JCC INGRES.RECUP.CAPITAL CASTIG         5NC</v>
          </cell>
        </row>
        <row r="26491">
          <cell r="B26491" t="str">
            <v>64010700000207</v>
          </cell>
          <cell r="C26491" t="str">
            <v>JCC INGRES.RECUP.INTERES CASTIG         5NC</v>
          </cell>
        </row>
        <row r="26492">
          <cell r="B26492" t="str">
            <v>64010700000208</v>
          </cell>
          <cell r="C26492" t="str">
            <v>JCC INGRES.RECUP.CAPITAL CASTIG         5NC</v>
          </cell>
        </row>
        <row r="26493">
          <cell r="B26493" t="str">
            <v>64010700000209</v>
          </cell>
          <cell r="C26493" t="str">
            <v>JCC INGRES.RECUP.INTERES CASTIG         5NC</v>
          </cell>
        </row>
        <row r="26494">
          <cell r="B26494" t="str">
            <v>64010700000210</v>
          </cell>
          <cell r="C26494" t="str">
            <v>JCC INGRES.RECUP.CAPITAL CASTIG         5NC</v>
          </cell>
        </row>
        <row r="26495">
          <cell r="B26495" t="str">
            <v>64010700000211</v>
          </cell>
          <cell r="C26495" t="str">
            <v>JCC INGRES.RECUP.INTERES CASTIG         5NC</v>
          </cell>
        </row>
        <row r="26496">
          <cell r="B26496" t="str">
            <v>64010700000212</v>
          </cell>
          <cell r="C26496" t="str">
            <v>JCC INGRES.RECUP.CAPITAL CASTIG         5NC</v>
          </cell>
        </row>
        <row r="26497">
          <cell r="B26497" t="str">
            <v>64010700000213</v>
          </cell>
          <cell r="C26497" t="str">
            <v>JCC INGRES.RECUP.INTERES CASTIG CONV    5NC</v>
          </cell>
        </row>
        <row r="26498">
          <cell r="B26498" t="str">
            <v>64010700000214</v>
          </cell>
          <cell r="C26498" t="str">
            <v>JCC INGRES.RECUP.CAPITAL CASTIG CONV    5NC</v>
          </cell>
        </row>
        <row r="26499">
          <cell r="B26499" t="str">
            <v>64010700000215</v>
          </cell>
          <cell r="C26499" t="str">
            <v>JCC INGRES.RECUP.INTERES CASTIG REF     5NC</v>
          </cell>
        </row>
        <row r="26500">
          <cell r="B26500" t="str">
            <v>64010700000216</v>
          </cell>
          <cell r="C26500" t="str">
            <v>JCC INGRES.RECUP.CAPITAL CASTIG REF     5NC</v>
          </cell>
        </row>
        <row r="26501">
          <cell r="B26501" t="str">
            <v>64010700000217</v>
          </cell>
          <cell r="C26501" t="str">
            <v>JCC INGRES.RECUP.INTERES CASTIG MIVIV   5NC</v>
          </cell>
        </row>
        <row r="26502">
          <cell r="B26502" t="str">
            <v>64010700000218</v>
          </cell>
          <cell r="C26502" t="str">
            <v>JCC INGRES.RECUP.CAPITAL CASTIG MIVIV   5NC</v>
          </cell>
        </row>
        <row r="26503">
          <cell r="B26503" t="str">
            <v>64010700000219</v>
          </cell>
          <cell r="C26503" t="str">
            <v>JCC INGRES.RECUP.INTERES CASTIG.COB.JUD 5NC</v>
          </cell>
        </row>
        <row r="26504">
          <cell r="B26504" t="str">
            <v>64010700000220</v>
          </cell>
          <cell r="C26504" t="str">
            <v>JCC INGRES.RECUP.CAPITAL CASTIG COB.JUD 5NC</v>
          </cell>
        </row>
        <row r="26505">
          <cell r="B26505" t="str">
            <v>64010700000221</v>
          </cell>
          <cell r="C26505" t="str">
            <v>JCC INGRES.RECUP.INTERES CASTIG.ADEL.SUE5NC</v>
          </cell>
        </row>
        <row r="26506">
          <cell r="B26506" t="str">
            <v>64010700000222</v>
          </cell>
          <cell r="C26506" t="str">
            <v>JCC INGRES.RECUP.CAPITAL CASTIG         5NC</v>
          </cell>
        </row>
        <row r="26507">
          <cell r="B26507" t="str">
            <v>64010700000223</v>
          </cell>
          <cell r="C26507" t="str">
            <v>JCC INGRES.RECUP.INTERES CASTIG PREFEREN5NC</v>
          </cell>
        </row>
        <row r="26508">
          <cell r="B26508" t="str">
            <v>64010700000224</v>
          </cell>
          <cell r="C26508" t="str">
            <v>JCC INGRES.RECUP.CAPITAL CASTIG PREFEREN5NC</v>
          </cell>
        </row>
        <row r="26509">
          <cell r="B26509" t="str">
            <v>64010700000225</v>
          </cell>
          <cell r="C26509" t="str">
            <v>JCC INGRES.RECUP.INTERES CASTIG.MASTER  5NC</v>
          </cell>
        </row>
        <row r="26510">
          <cell r="B26510" t="str">
            <v>64010700000226</v>
          </cell>
          <cell r="C26510" t="str">
            <v>JCC INGRES.RECUP.CAPITAL CASTIG.MASTER  5NC</v>
          </cell>
        </row>
        <row r="26511">
          <cell r="B26511" t="str">
            <v>64010700000227</v>
          </cell>
          <cell r="C26511" t="str">
            <v>JCC INGRES.RECUP.INTERES CASTIG COMP AF 5NC</v>
          </cell>
        </row>
        <row r="26512">
          <cell r="B26512" t="str">
            <v>64010700000228</v>
          </cell>
          <cell r="C26512" t="str">
            <v>JCC INGRES.RECUP.CAPITAL CASTIG COMP AF 5NC</v>
          </cell>
        </row>
        <row r="26513">
          <cell r="B26513" t="str">
            <v>64010700000229</v>
          </cell>
          <cell r="C26513" t="str">
            <v>JCC INGRES.RECUP.INTERES CASTIG.COMP A  5NC</v>
          </cell>
        </row>
        <row r="26514">
          <cell r="B26514" t="str">
            <v>64010700000230</v>
          </cell>
          <cell r="C26514" t="str">
            <v>JCC INGRES.RECUP.CAPITAL CASTIG.COMP A  5NC</v>
          </cell>
        </row>
        <row r="26515">
          <cell r="B26515" t="str">
            <v>64010700000231</v>
          </cell>
          <cell r="C26515" t="str">
            <v>JCC INGRES.RECUP.INTERES CASTIG.TC MASTE5NC</v>
          </cell>
        </row>
        <row r="26516">
          <cell r="B26516" t="str">
            <v>64010700000232</v>
          </cell>
          <cell r="C26516" t="str">
            <v>JCC INGRES.RECUP.CAPITAL CASTIG.TC MASTE5NC</v>
          </cell>
        </row>
        <row r="26517">
          <cell r="B26517" t="str">
            <v>64010700000233</v>
          </cell>
          <cell r="C26517" t="str">
            <v>JCC INGRES.RECUP.INTERES CASTIG.JUD.SOB 5NC</v>
          </cell>
        </row>
        <row r="26518">
          <cell r="B26518" t="str">
            <v>64010700000234</v>
          </cell>
          <cell r="C26518" t="str">
            <v>JCC INGRES.RECUP.CAPITAL CASTIG.JUD.SOB 5NC</v>
          </cell>
        </row>
        <row r="26519">
          <cell r="B26519" t="str">
            <v>64010700000235</v>
          </cell>
          <cell r="C26519" t="str">
            <v>JCC INGRES.RECUP.INT CASTIG.ARREN.FINAN 5NC</v>
          </cell>
        </row>
        <row r="26520">
          <cell r="B26520" t="str">
            <v>64010700000236</v>
          </cell>
          <cell r="C26520" t="str">
            <v>JCC INGRES.RECUP.CAPITAL CASTIG.ARREN.FI5NC</v>
          </cell>
        </row>
        <row r="26521">
          <cell r="B26521" t="str">
            <v>64010700000237</v>
          </cell>
          <cell r="C26521" t="str">
            <v>JCC INGRES.RECUP.INTERES CASTIG.DIRECT  5NC</v>
          </cell>
        </row>
        <row r="26522">
          <cell r="B26522" t="str">
            <v>64010700000238</v>
          </cell>
          <cell r="C26522" t="str">
            <v>JCC INGRES.RECUP.CAPITAL CASTIG..DIRECT 5NC</v>
          </cell>
        </row>
        <row r="26523">
          <cell r="B26523" t="str">
            <v>64010700000239</v>
          </cell>
          <cell r="C26523" t="str">
            <v>JCC INGRES.RECUP.INTERES CAST.MI HOGAR  5NC</v>
          </cell>
        </row>
        <row r="26524">
          <cell r="B26524" t="str">
            <v>64010700000240</v>
          </cell>
          <cell r="C26524" t="str">
            <v>JCC INGRES.RECUP.CAPITAL CASTIG.MI HOGAR5NC</v>
          </cell>
        </row>
        <row r="26525">
          <cell r="B26525" t="str">
            <v>64010700000241</v>
          </cell>
          <cell r="C26525" t="str">
            <v>JCC INGRES.RECUP.INTERES CASTIG.EFEC GTI5NC</v>
          </cell>
        </row>
        <row r="26526">
          <cell r="B26526" t="str">
            <v>64010700000242</v>
          </cell>
          <cell r="C26526" t="str">
            <v>JCC INGRES.RECUP.CAPITAL CASTIG.EFEC GTI5NC</v>
          </cell>
        </row>
        <row r="26527">
          <cell r="B26527" t="str">
            <v>64010700000243</v>
          </cell>
          <cell r="C26527" t="str">
            <v>JCC INGRES.RECUP.INT.CASTIG.TECH.PROPIO 5NC</v>
          </cell>
        </row>
        <row r="26528">
          <cell r="B26528" t="str">
            <v>64010700000244</v>
          </cell>
          <cell r="C26528" t="str">
            <v>JCC INGRES.RECUP.CAPITAL CASTIG.TECH.PRO5NC</v>
          </cell>
        </row>
        <row r="26529">
          <cell r="B26529" t="str">
            <v>64010700000245</v>
          </cell>
          <cell r="C26529" t="str">
            <v>JCC INGRES.RECUP.INTERES CASTIG.BCA PERS5NC</v>
          </cell>
        </row>
        <row r="26530">
          <cell r="B26530" t="str">
            <v>64010700000246</v>
          </cell>
          <cell r="C26530" t="str">
            <v>JCC INGRES.RECUP.CAPITAL CASTIG.BCA PERS5NC</v>
          </cell>
        </row>
        <row r="26531">
          <cell r="B26531" t="str">
            <v>64010700000247</v>
          </cell>
          <cell r="C26531" t="str">
            <v>JCC INGRES.RECUP.INT.CASTIG.CONDONADO   5NC</v>
          </cell>
        </row>
        <row r="26532">
          <cell r="B26532" t="str">
            <v>64010700000248</v>
          </cell>
          <cell r="C26532" t="str">
            <v>JCC INGRES.RECUP.INTERES CASTIG.VISA    5NC</v>
          </cell>
        </row>
        <row r="26533">
          <cell r="B26533" t="str">
            <v>64010700000249</v>
          </cell>
          <cell r="C26533" t="str">
            <v>JCC INGRES.RECUP.CAPITAL CASTIG.VISA    5NC</v>
          </cell>
        </row>
        <row r="26534">
          <cell r="B26534" t="str">
            <v>64010700000250</v>
          </cell>
          <cell r="C26534" t="str">
            <v>JCC INGRES.RECUP.INTERES CASTIG.AMEX    5NC</v>
          </cell>
        </row>
        <row r="26535">
          <cell r="B26535" t="str">
            <v>64010700000251</v>
          </cell>
          <cell r="C26535" t="str">
            <v>JCC INGRES.RECUP.CAPITAL CASTIG.AMEX    5NC</v>
          </cell>
        </row>
        <row r="26536">
          <cell r="B26536" t="str">
            <v>64010700000252</v>
          </cell>
          <cell r="C26536" t="str">
            <v>JCC INGRES.RECUP.INTERES AMEX PN-CONSUMO5NC</v>
          </cell>
        </row>
        <row r="26537">
          <cell r="B26537" t="str">
            <v>64010700000253</v>
          </cell>
          <cell r="C26537" t="str">
            <v>JCC INGRES.RECUP.CAPITAL .AMEX PN-CONSUM5NC</v>
          </cell>
        </row>
        <row r="26538">
          <cell r="B26538" t="str">
            <v>64010700000275</v>
          </cell>
          <cell r="C26538" t="str">
            <v>JCC RECUP CAPITAL CTAS CASTG TC MASTER  5NC</v>
          </cell>
        </row>
        <row r="26539">
          <cell r="B26539" t="str">
            <v>64010700000304</v>
          </cell>
          <cell r="C26539" t="str">
            <v>JCC RECUP INTERES CAST MES GL7024. TC VI5NC</v>
          </cell>
        </row>
        <row r="26540">
          <cell r="B26540" t="str">
            <v>64010700000335</v>
          </cell>
          <cell r="C26540" t="str">
            <v>JCC  INGRES.RECUP.INT.COND.BCA PERSONAL 5NC</v>
          </cell>
        </row>
        <row r="26541">
          <cell r="B26541" t="str">
            <v>64010700000336</v>
          </cell>
          <cell r="C26541" t="str">
            <v>JCC  INGRES.RECUP.INT.COND.BCA COMERCIAL5NC</v>
          </cell>
        </row>
        <row r="26542">
          <cell r="B26542" t="str">
            <v>64010700000337</v>
          </cell>
          <cell r="C26542" t="str">
            <v>JCC  INGRES.RECUP.INT.COND.MYPES        5NC</v>
          </cell>
        </row>
        <row r="26543">
          <cell r="B26543" t="str">
            <v>64010700000338</v>
          </cell>
          <cell r="C26543" t="str">
            <v>JCC INGRES.RECUP.INTERES CASTIG BCA PERS5NC</v>
          </cell>
        </row>
        <row r="26544">
          <cell r="B26544" t="str">
            <v>64010700000339</v>
          </cell>
          <cell r="C26544" t="str">
            <v>JCC INGRES.RECUP.CAPITAL CASTIG BCA PERS5NC</v>
          </cell>
        </row>
        <row r="26545">
          <cell r="B26545" t="str">
            <v>64010700000340</v>
          </cell>
          <cell r="C26545" t="str">
            <v>JCC INGRES.RECUP.INTERES CASTIG MYPES   5NC</v>
          </cell>
        </row>
        <row r="26546">
          <cell r="B26546" t="str">
            <v>64010700000341</v>
          </cell>
          <cell r="C26546" t="str">
            <v>JCC INGRES.RECUP.CAPITAL CASTIG MYPES   5NC</v>
          </cell>
        </row>
        <row r="26547">
          <cell r="B26547" t="str">
            <v>64010700000342</v>
          </cell>
          <cell r="C26547" t="str">
            <v>JCC RECUP INTERES CAST BCA COMERCIAL    5NC</v>
          </cell>
        </row>
        <row r="26548">
          <cell r="B26548" t="str">
            <v>64010700000343</v>
          </cell>
          <cell r="C26548" t="str">
            <v>JCC RECUP CAPITAL CTAS CASTG BCA COMRECI5NC</v>
          </cell>
        </row>
        <row r="26549">
          <cell r="B26549" t="str">
            <v>64010900000109</v>
          </cell>
          <cell r="C26549" t="str">
            <v>OTROS INGRESOS DE EJERCICIOS ANTERIOR   5NC</v>
          </cell>
        </row>
        <row r="26550">
          <cell r="B26550" t="str">
            <v>64010903000101</v>
          </cell>
          <cell r="C26550" t="str">
            <v>REVERSION PROV RECUPERADOS              5NC</v>
          </cell>
        </row>
        <row r="26551">
          <cell r="B26551" t="str">
            <v>64010903000102</v>
          </cell>
          <cell r="C26551" t="str">
            <v>REVERSION PROVISION ADJUDICADOS         5NC</v>
          </cell>
        </row>
        <row r="26552">
          <cell r="B26552" t="str">
            <v>64010909000101</v>
          </cell>
          <cell r="C26552" t="str">
            <v>EJERCICIOS ANTERIORES - PROVI G11006    5NC</v>
          </cell>
        </row>
        <row r="26553">
          <cell r="B26553" t="str">
            <v>64010909000201</v>
          </cell>
          <cell r="C26553" t="str">
            <v>OTROS INGRESOS DE EJERCICIOS ANTERIORES 5NC</v>
          </cell>
        </row>
        <row r="26554">
          <cell r="B26554" t="str">
            <v>64010909000202</v>
          </cell>
          <cell r="C26554" t="str">
            <v>REVERSION DE PROV. CXC FDO SIGMA        5NC</v>
          </cell>
        </row>
        <row r="26555">
          <cell r="B26555" t="str">
            <v>65010100000101</v>
          </cell>
          <cell r="C26555" t="str">
            <v>PÉRDIDA EJERCICIOS ANTERIORES           5ND</v>
          </cell>
        </row>
        <row r="26556">
          <cell r="B26556" t="str">
            <v>65010100000102</v>
          </cell>
          <cell r="C26556" t="str">
            <v>PÉRDIDAS DE EJERC ANTERIORES COMISIONES 5ND</v>
          </cell>
        </row>
        <row r="26557">
          <cell r="B26557" t="str">
            <v>65010100000103</v>
          </cell>
          <cell r="C26557" t="str">
            <v>GASTOS EJERC ANTERIORES INTER VALORES   5ND</v>
          </cell>
        </row>
        <row r="26558">
          <cell r="B26558" t="str">
            <v>65010100000104</v>
          </cell>
          <cell r="C26558" t="str">
            <v>FDO SIGMA - GASTO DE INTERESES          5ND</v>
          </cell>
        </row>
        <row r="26559">
          <cell r="B26559" t="str">
            <v>65010600000101</v>
          </cell>
          <cell r="C26559" t="str">
            <v>PERDIDAS DE EJERCICIOS ANTER- TRIBUTO   5ND</v>
          </cell>
        </row>
        <row r="26560">
          <cell r="B26560" t="str">
            <v>65010900000101</v>
          </cell>
          <cell r="C26560" t="str">
            <v>OTROS GASTOS DE EJERCICIOS ANTERIORES   5ND</v>
          </cell>
        </row>
        <row r="26561">
          <cell r="B26561" t="str">
            <v>68010000000101</v>
          </cell>
          <cell r="C26561" t="str">
            <v>IMPUESTO A LA RENTA-CORRIENTE           5ND</v>
          </cell>
        </row>
        <row r="26562">
          <cell r="B26562" t="str">
            <v>68010000000102</v>
          </cell>
          <cell r="C26562" t="str">
            <v>IMPUESTO RENTA DIFERIDO                 5ND</v>
          </cell>
        </row>
        <row r="26563">
          <cell r="B26563" t="str">
            <v>69020300000201</v>
          </cell>
          <cell r="C26563" t="str">
            <v>DEP.INMUEBLES,MAQUINARIA Y EQUIPO       5ND</v>
          </cell>
        </row>
        <row r="26564">
          <cell r="B26564" t="str">
            <v>69020300000702</v>
          </cell>
          <cell r="C26564" t="str">
            <v>AMORTIZACION - MEJORAS EN PROP ALQUIL   5ND</v>
          </cell>
        </row>
        <row r="26565">
          <cell r="B26565" t="str">
            <v>69020400000320</v>
          </cell>
          <cell r="C26565" t="str">
            <v>AMORTIZ SOFTWARE -SISTEMAS              5ND</v>
          </cell>
        </row>
        <row r="26566">
          <cell r="B26566" t="str">
            <v>71010000000101</v>
          </cell>
          <cell r="C26566" t="str">
            <v>DCHO X AVAL AL ESTADO O GTIZADO POR E   7ND</v>
          </cell>
        </row>
        <row r="26567">
          <cell r="B26567" t="str">
            <v>71010000000102</v>
          </cell>
          <cell r="C26567" t="str">
            <v>DCHO COBRANZA AVALADA PJ S/CTRA GTIA    7ND</v>
          </cell>
        </row>
        <row r="26568">
          <cell r="B26568" t="str">
            <v>71010100000101</v>
          </cell>
          <cell r="C26568" t="str">
            <v>DCHO X AVAL AL ESTADO O GTIZADO POR E   7ND</v>
          </cell>
        </row>
        <row r="26569">
          <cell r="B26569" t="str">
            <v>71010600000105</v>
          </cell>
          <cell r="C26569" t="str">
            <v>710106000001050000                      7ND</v>
          </cell>
        </row>
        <row r="26570">
          <cell r="B26570" t="str">
            <v>71020000000101</v>
          </cell>
          <cell r="C26570" t="str">
            <v>CL CARTA FIANZA SECTOR PUBLICO          7ND</v>
          </cell>
        </row>
        <row r="26571">
          <cell r="B26571" t="str">
            <v>71020000000102</v>
          </cell>
          <cell r="C26571" t="str">
            <v>CL CARTA FIANZA MES SEC.PUBLICO         7ND</v>
          </cell>
        </row>
        <row r="26572">
          <cell r="B26572" t="str">
            <v>71020000000103</v>
          </cell>
          <cell r="C26572" t="str">
            <v>SCF CARTA FIANZA SECTOR PUBLICO         7ND</v>
          </cell>
        </row>
        <row r="26573">
          <cell r="B26573" t="str">
            <v>71020000000104</v>
          </cell>
          <cell r="C26573" t="str">
            <v>SCF C.FIANZA CONTRAG.1ERA CATEG         7ND</v>
          </cell>
        </row>
        <row r="26574">
          <cell r="B26574" t="str">
            <v>71020000000105</v>
          </cell>
          <cell r="C26574" t="str">
            <v>BL CARTA FIANZA BCOS.EXT.1ERA CATG.-CL  7ND</v>
          </cell>
        </row>
        <row r="26575">
          <cell r="B26575" t="str">
            <v>71020000000106</v>
          </cell>
          <cell r="C26575" t="str">
            <v>CL C.FI.CONTRAG.1ERA CATEG MES          7ND</v>
          </cell>
        </row>
        <row r="26576">
          <cell r="B26576" t="str">
            <v>71020000000107</v>
          </cell>
          <cell r="C26576" t="str">
            <v>SCF C.FIANZA CONTRAG.1ERA CATEG         7ND</v>
          </cell>
        </row>
        <row r="26577">
          <cell r="B26577" t="str">
            <v>71020000000108</v>
          </cell>
          <cell r="C26577" t="str">
            <v>SCF C.FIANZA CONTRAG.2DA CATEG          7ND</v>
          </cell>
        </row>
        <row r="26578">
          <cell r="B26578" t="str">
            <v>71020000000109</v>
          </cell>
          <cell r="C26578" t="str">
            <v>CL C.FI.CONTRAG.2DA CATEG MES           7ND</v>
          </cell>
        </row>
        <row r="26579">
          <cell r="B26579" t="str">
            <v>71020000000110</v>
          </cell>
          <cell r="C26579" t="str">
            <v>SCF C.FIANZA CONTRAG.2DA.CAT.ORG.SIMILAR7ND</v>
          </cell>
        </row>
        <row r="26580">
          <cell r="B26580" t="str">
            <v>71020000000111</v>
          </cell>
          <cell r="C26580" t="str">
            <v>SCF CARTA FIANZA S/ CONTRA GARANTIA     7ND</v>
          </cell>
        </row>
        <row r="26581">
          <cell r="B26581" t="str">
            <v>71020000000112</v>
          </cell>
          <cell r="C26581" t="str">
            <v>CL CARTA FIANZA P.JURIDICA              7ND</v>
          </cell>
        </row>
        <row r="26582">
          <cell r="B26582" t="str">
            <v>71020000000113</v>
          </cell>
          <cell r="C26582" t="str">
            <v>SCF C.FIANZA BPE S/CONTRA GARANTIA      7ND</v>
          </cell>
        </row>
        <row r="26583">
          <cell r="B26583" t="str">
            <v>71020000000114</v>
          </cell>
          <cell r="C26583" t="str">
            <v>CL CARTA FIANZA PJURIDICA MES           7ND</v>
          </cell>
        </row>
        <row r="26584">
          <cell r="B26584" t="str">
            <v>71020000000115</v>
          </cell>
          <cell r="C26584" t="str">
            <v>SCF C.FIANZA NEG.INMOBIL S/CTRA GARANTIA7ND</v>
          </cell>
        </row>
        <row r="26585">
          <cell r="B26585" t="str">
            <v>71020000000116</v>
          </cell>
          <cell r="C26585" t="str">
            <v>SCF CARTA FIANZA                        7ND</v>
          </cell>
        </row>
        <row r="26586">
          <cell r="B26586" t="str">
            <v>71020000000117</v>
          </cell>
          <cell r="C26586" t="str">
            <v>SCF C.FIANZA BPE CONTRAG.2DA CATEG      7ND</v>
          </cell>
        </row>
        <row r="26587">
          <cell r="B26587" t="str">
            <v>71020000000118</v>
          </cell>
          <cell r="C26587" t="str">
            <v>SCF FIANZAS SOLIDARIAS FMV              7ND</v>
          </cell>
        </row>
        <row r="26588">
          <cell r="B26588" t="str">
            <v>71020100000101</v>
          </cell>
          <cell r="C26588" t="str">
            <v>CL CARTA FIANZA SECTOR PUBLICO          7ND</v>
          </cell>
        </row>
        <row r="26589">
          <cell r="B26589" t="str">
            <v>71020100000102</v>
          </cell>
          <cell r="C26589" t="str">
            <v>CL CARTA FIANZA MES SEC.PUBLICO         7ND</v>
          </cell>
        </row>
        <row r="26590">
          <cell r="B26590" t="str">
            <v>71020100000103</v>
          </cell>
          <cell r="C26590" t="str">
            <v>SCF CARTA FIANZA SECTOR PUBLICO         7ND</v>
          </cell>
        </row>
        <row r="26591">
          <cell r="B26591" t="str">
            <v>71020200000101</v>
          </cell>
          <cell r="C26591" t="str">
            <v>SCF C.FIANZA CONTRAG.1ERA CATEG         7ND</v>
          </cell>
        </row>
        <row r="26592">
          <cell r="B26592" t="str">
            <v>71020200000102</v>
          </cell>
          <cell r="C26592" t="str">
            <v>BL CARTA FIANZA BCOS.EXT.1ERA CATG.-CL  7ND</v>
          </cell>
        </row>
        <row r="26593">
          <cell r="B26593" t="str">
            <v>71020200000103</v>
          </cell>
          <cell r="C26593" t="str">
            <v>CL C.FI.CONTRAG.1ERA CATEG MES          7ND</v>
          </cell>
        </row>
        <row r="26594">
          <cell r="B26594" t="str">
            <v>71020200000104</v>
          </cell>
          <cell r="C26594" t="str">
            <v>SCF C.FIANZA CONTRAG.1ERA CATEG         7ND</v>
          </cell>
        </row>
        <row r="26595">
          <cell r="B26595" t="str">
            <v>71020300000101</v>
          </cell>
          <cell r="C26595" t="str">
            <v>SCF C.FIANZA CONTRAG.2DA CATEG          7ND</v>
          </cell>
        </row>
        <row r="26596">
          <cell r="B26596" t="str">
            <v>71020300000102</v>
          </cell>
          <cell r="C26596" t="str">
            <v>CL C.FI.CONTRAG.2DA CATEG MES           7ND</v>
          </cell>
        </row>
        <row r="26597">
          <cell r="B26597" t="str">
            <v>71020300000103</v>
          </cell>
          <cell r="C26597" t="str">
            <v>SCF C.FIANZA CONTRAG.2DA.CAT.ORG.SIMILAR7ND</v>
          </cell>
        </row>
        <row r="26598">
          <cell r="B26598" t="str">
            <v>71020600000101</v>
          </cell>
          <cell r="C26598" t="str">
            <v>SCF CARTA FIANZA S/ CONTRA GARANTIA     7ND</v>
          </cell>
        </row>
        <row r="26599">
          <cell r="B26599" t="str">
            <v>71020600000102</v>
          </cell>
          <cell r="C26599" t="str">
            <v>CL CARTA FIANZA P.JURIDICA              7ND</v>
          </cell>
        </row>
        <row r="26600">
          <cell r="B26600" t="str">
            <v>71020600000107</v>
          </cell>
          <cell r="C26600" t="str">
            <v>SCF C.FIANZA BPE S/CONTRA GARANTIA      7ND</v>
          </cell>
        </row>
        <row r="26601">
          <cell r="B26601" t="str">
            <v>71020600000108</v>
          </cell>
          <cell r="C26601" t="str">
            <v>CL CARTA FIANZA PJURIDICA MES           7ND</v>
          </cell>
        </row>
        <row r="26602">
          <cell r="B26602" t="str">
            <v>71020600000110</v>
          </cell>
          <cell r="C26602" t="str">
            <v>SCF C.FIANZA NEG.INMOBIL S/CTRA GARANTIA7ND</v>
          </cell>
        </row>
        <row r="26603">
          <cell r="B26603" t="str">
            <v>71020600000111</v>
          </cell>
          <cell r="C26603" t="str">
            <v>SCF CARTA FIANZA                        7ND</v>
          </cell>
        </row>
        <row r="26604">
          <cell r="B26604" t="str">
            <v>71030000000101</v>
          </cell>
          <cell r="C26604" t="str">
            <v>DCHO C/C EMIT NO NEG S/CTRAGTIA-PJ      7ND</v>
          </cell>
        </row>
        <row r="26605">
          <cell r="B26605" t="str">
            <v>71030000000102</v>
          </cell>
          <cell r="C26605" t="str">
            <v>DCHO C/C EMIT NO NEG S/CGTIA-STAND BY   7ND</v>
          </cell>
        </row>
        <row r="26606">
          <cell r="B26606" t="str">
            <v>71030000000103</v>
          </cell>
          <cell r="C26606" t="str">
            <v>BL DCHO C/C EMIT NONEG S/CGTIA-STAND    7ND</v>
          </cell>
        </row>
        <row r="26607">
          <cell r="B26607" t="str">
            <v>71030000000104</v>
          </cell>
          <cell r="C26607" t="str">
            <v>AVAL POR ACEPTACION PJ MES              7ND</v>
          </cell>
        </row>
        <row r="26608">
          <cell r="B26608" t="str">
            <v>71030000000106</v>
          </cell>
          <cell r="C26608" t="str">
            <v>DCHO C/C CONF. NONEG C/GARANT 1ERA CATEG7ND</v>
          </cell>
        </row>
        <row r="26609">
          <cell r="B26609" t="str">
            <v>71030000000107</v>
          </cell>
          <cell r="C26609" t="str">
            <v>STAND BY CONFIRMAD-BCOS SUP ORG SIM S   7ND</v>
          </cell>
        </row>
        <row r="26610">
          <cell r="B26610" t="str">
            <v>71030000000108</v>
          </cell>
          <cell r="C26610" t="str">
            <v>DCHOS C/C PJ CONFIRMADAS                7ND</v>
          </cell>
        </row>
        <row r="26611">
          <cell r="B26611" t="str">
            <v>71030000000109</v>
          </cell>
          <cell r="C26611" t="str">
            <v>DCHO C/C CONF. NONEG S/GARANT 1ERA CATEG7ND</v>
          </cell>
        </row>
        <row r="26612">
          <cell r="B26612" t="str">
            <v>71030000000111</v>
          </cell>
          <cell r="C26612" t="str">
            <v>BKT STAND BY Confirmados   1ER CATEGORIA7ND</v>
          </cell>
        </row>
        <row r="26613">
          <cell r="B26613" t="str">
            <v>71030000000801</v>
          </cell>
          <cell r="C26613" t="str">
            <v>PANAM DERECHOS POR CARTAS DE CREDITO EMI7ND</v>
          </cell>
        </row>
        <row r="26614">
          <cell r="B26614" t="str">
            <v>71030101060101</v>
          </cell>
          <cell r="C26614" t="str">
            <v>DCHO C/C EMIT NO NEG S/CTRAGTIA-PJ      7ND</v>
          </cell>
        </row>
        <row r="26615">
          <cell r="B26615" t="str">
            <v>71030101060102</v>
          </cell>
          <cell r="C26615" t="str">
            <v>DCHO C/C EMIT NO NEG S/CGTIA-STAND BY   7ND</v>
          </cell>
        </row>
        <row r="26616">
          <cell r="B26616" t="str">
            <v>71030101060104</v>
          </cell>
          <cell r="C26616" t="str">
            <v>BL DCHO C/C EMIT NONEG S/CGTIA-STAND    7ND</v>
          </cell>
        </row>
        <row r="26617">
          <cell r="B26617" t="str">
            <v>71030101060106</v>
          </cell>
          <cell r="C26617" t="str">
            <v>AVAL POR ACEPTACION PJ MES              7ND</v>
          </cell>
        </row>
        <row r="26618">
          <cell r="B26618" t="str">
            <v>71030101060801</v>
          </cell>
          <cell r="C26618" t="str">
            <v>PANAM DERECHOS POR CARTAS DE CREDITO EMI7ND</v>
          </cell>
        </row>
        <row r="26619">
          <cell r="B26619" t="str">
            <v>71030202000103</v>
          </cell>
          <cell r="C26619" t="str">
            <v>DCHO C/C CONF. NONEG C/GARANT 1ERA CATEG7ND</v>
          </cell>
        </row>
        <row r="26620">
          <cell r="B26620" t="str">
            <v>71030203000102</v>
          </cell>
          <cell r="C26620" t="str">
            <v>STAND BY CONFIRMAD-BCOS SUP ORG SIM S   7ND</v>
          </cell>
        </row>
        <row r="26621">
          <cell r="B26621" t="str">
            <v>71030206000105</v>
          </cell>
          <cell r="C26621" t="str">
            <v>DCHOS C/C PJ CONFIRMADAS                7ND</v>
          </cell>
        </row>
        <row r="26622">
          <cell r="B26622" t="str">
            <v>71030206000106</v>
          </cell>
          <cell r="C26622" t="str">
            <v>DCHO C/C CONF. NONEG S/GARANT 1ERA CATEG7ND</v>
          </cell>
        </row>
        <row r="26623">
          <cell r="B26623" t="str">
            <v>71040000000101</v>
          </cell>
          <cell r="C26623" t="str">
            <v>DERECHOS POR ACEPTACIONES BCARIAS SIN CT7ND</v>
          </cell>
        </row>
        <row r="26624">
          <cell r="B26624" t="str">
            <v>71040000000102</v>
          </cell>
          <cell r="C26624" t="str">
            <v>DCHO ACEPTACIONES C/C CONFIRM S/CGTIA   7ND</v>
          </cell>
        </row>
        <row r="26625">
          <cell r="B26625" t="str">
            <v>71040102060101</v>
          </cell>
          <cell r="C26625" t="str">
            <v>DERECHOS POR ACEPTACIONES BCARIAS SIN CT7ND</v>
          </cell>
        </row>
        <row r="26626">
          <cell r="B26626" t="str">
            <v>71040206000101</v>
          </cell>
          <cell r="C26626" t="str">
            <v>DCHO ACEPTACIONES C/C CONFIRM S/CGTIA   7ND</v>
          </cell>
        </row>
        <row r="26627">
          <cell r="B26627" t="str">
            <v>71050000000101</v>
          </cell>
          <cell r="C26627" t="str">
            <v>LINEA CRED NO UTILIZADO -CTA CTE        7ND</v>
          </cell>
        </row>
        <row r="26628">
          <cell r="B26628" t="str">
            <v>71050000000102</v>
          </cell>
          <cell r="C26628" t="str">
            <v>CL CRA CTA LIN.CRED.DESCUENTO .         7ND</v>
          </cell>
        </row>
        <row r="26629">
          <cell r="B26629" t="str">
            <v>71050000000103</v>
          </cell>
          <cell r="C26629" t="str">
            <v>CL CRTA CTA LIN.P.TASA VENC. .          7ND</v>
          </cell>
        </row>
        <row r="26630">
          <cell r="B26630" t="str">
            <v>71050000000104</v>
          </cell>
          <cell r="C26630" t="str">
            <v>CL CRTA CTA LIN.C.FIANZA .              7ND</v>
          </cell>
        </row>
        <row r="26631">
          <cell r="B26631" t="str">
            <v>71050000000105</v>
          </cell>
          <cell r="C26631" t="str">
            <v>LINEA CRED NO UTILIZADO - CARTAS DE CRED7ND</v>
          </cell>
        </row>
        <row r="26632">
          <cell r="B26632" t="str">
            <v>71050000000106</v>
          </cell>
          <cell r="C26632" t="str">
            <v>LINEA CRED NO UTILIZADO - TARJEDITO     7ND</v>
          </cell>
        </row>
        <row r="26633">
          <cell r="B26633" t="str">
            <v>71050000000107</v>
          </cell>
          <cell r="C26633" t="str">
            <v>CL CR CTA LIN.CRED.OTOR.NO DESEM. .     7ND</v>
          </cell>
        </row>
        <row r="26634">
          <cell r="B26634" t="str">
            <v>71050000000108</v>
          </cell>
          <cell r="C26634" t="str">
            <v>LINEA CRED NO UTILIZADO -CTA CTE-IMPA   7ND</v>
          </cell>
        </row>
        <row r="26635">
          <cell r="B26635" t="str">
            <v>71050000000109</v>
          </cell>
          <cell r="C26635" t="str">
            <v>BL LINEA CRED NO UTILIZADO -CTA CTE- BL 7ND</v>
          </cell>
        </row>
        <row r="26636">
          <cell r="B26636" t="str">
            <v>71050000000118</v>
          </cell>
          <cell r="C26636" t="str">
            <v>CL CRTA CTA LINEA FOREX .               7ND</v>
          </cell>
        </row>
        <row r="26637">
          <cell r="B26637" t="str">
            <v>71050000000119</v>
          </cell>
          <cell r="C26637" t="str">
            <v>CL CRA CTA LINEA FORWARD                7ND</v>
          </cell>
        </row>
        <row r="26638">
          <cell r="B26638" t="str">
            <v>71050000000120</v>
          </cell>
          <cell r="C26638" t="str">
            <v>LIC CTRA CTA LINEAS CRED.POR CONV       7ND</v>
          </cell>
        </row>
        <row r="26639">
          <cell r="B26639" t="str">
            <v>71050000000121</v>
          </cell>
          <cell r="C26639" t="str">
            <v>LIN CRED REMESAS UNO MONEY TRANS        7ND</v>
          </cell>
        </row>
        <row r="26640">
          <cell r="B26640" t="str">
            <v>71050000000122</v>
          </cell>
          <cell r="C26640" t="str">
            <v>LIN CREDITO REMESAS COSTA MAR           7ND</v>
          </cell>
        </row>
        <row r="26641">
          <cell r="B26641" t="str">
            <v>71050000000123</v>
          </cell>
          <cell r="C26641" t="str">
            <v>LIN CREDITO REMESAS AFEX                7ND</v>
          </cell>
        </row>
        <row r="26642">
          <cell r="B26642" t="str">
            <v>71050000000124</v>
          </cell>
          <cell r="C26642" t="str">
            <v>LIN CREDITO REMESAS BANCOMERCIO         7ND</v>
          </cell>
        </row>
        <row r="26643">
          <cell r="B26643" t="str">
            <v>71050000000125</v>
          </cell>
          <cell r="C26643" t="str">
            <v>LIN CREDITO REMESAS DOLEX               7ND</v>
          </cell>
        </row>
        <row r="26644">
          <cell r="B26644" t="str">
            <v>71050000000126</v>
          </cell>
          <cell r="C26644" t="str">
            <v>LIN CREDITO REMESAS BTS                 7ND</v>
          </cell>
        </row>
        <row r="26645">
          <cell r="B26645" t="str">
            <v>71050000000127</v>
          </cell>
          <cell r="C26645" t="str">
            <v>LIN CREDITO REMESAS TRAVELEX            7ND</v>
          </cell>
        </row>
        <row r="26646">
          <cell r="B26646" t="str">
            <v>71050000000128</v>
          </cell>
          <cell r="C26646" t="str">
            <v>LIN CREDITO REMESAS UNITELLER           7ND</v>
          </cell>
        </row>
        <row r="26647">
          <cell r="B26647" t="str">
            <v>71050000000129</v>
          </cell>
          <cell r="C26647" t="str">
            <v>UNITED EXPERT                           7ND</v>
          </cell>
        </row>
        <row r="26648">
          <cell r="B26648" t="str">
            <v>71050000000130</v>
          </cell>
          <cell r="C26648" t="str">
            <v>GARMEY                                  7ND</v>
          </cell>
        </row>
        <row r="26649">
          <cell r="B26649" t="str">
            <v>71050000000131</v>
          </cell>
          <cell r="C26649" t="str">
            <v>GLOBAL ACCESS                           7ND</v>
          </cell>
        </row>
        <row r="26650">
          <cell r="B26650" t="str">
            <v>71050000000132</v>
          </cell>
          <cell r="C26650" t="str">
            <v>LIN CREDITO REMESAS B.H.D               7ND</v>
          </cell>
        </row>
        <row r="26651">
          <cell r="B26651" t="str">
            <v>71050000000133</v>
          </cell>
          <cell r="C26651" t="str">
            <v>LIN CREDITO REMESAS SIGUE               7ND</v>
          </cell>
        </row>
        <row r="26652">
          <cell r="B26652" t="str">
            <v>71050000000134</v>
          </cell>
          <cell r="C26652" t="str">
            <v>VIAMERICAS                              7ND</v>
          </cell>
        </row>
        <row r="26653">
          <cell r="B26653" t="str">
            <v>71050000000135</v>
          </cell>
          <cell r="C26653" t="str">
            <v>LIN CREDITO REMESAS RIAENVIA            7ND</v>
          </cell>
        </row>
        <row r="26654">
          <cell r="B26654" t="str">
            <v>71050000000136</v>
          </cell>
          <cell r="C26654" t="str">
            <v>VIGO                                    7ND</v>
          </cell>
        </row>
        <row r="26655">
          <cell r="B26655" t="str">
            <v>71050000000137</v>
          </cell>
          <cell r="C26655" t="str">
            <v>CHAVIN CASH                             7ND</v>
          </cell>
        </row>
        <row r="26656">
          <cell r="B26656" t="str">
            <v>71050000000138</v>
          </cell>
          <cell r="C26656" t="str">
            <v>PRONTO ENVÍOS                           7ND</v>
          </cell>
        </row>
        <row r="26657">
          <cell r="B26657" t="str">
            <v>71050000000140</v>
          </cell>
          <cell r="C26657" t="str">
            <v>XOOM                                    7ND</v>
          </cell>
        </row>
        <row r="26658">
          <cell r="B26658" t="str">
            <v>71050000000142</v>
          </cell>
          <cell r="C26658" t="str">
            <v>TRANSFAST                               7ND</v>
          </cell>
        </row>
        <row r="26659">
          <cell r="B26659" t="str">
            <v>71050000000143</v>
          </cell>
          <cell r="C26659" t="str">
            <v>MEXICO EXPRESS                          7ND</v>
          </cell>
        </row>
        <row r="26660">
          <cell r="B26660" t="str">
            <v>71050000000144</v>
          </cell>
          <cell r="C26660" t="str">
            <v>AFEX-USA                                7ND</v>
          </cell>
        </row>
        <row r="26661">
          <cell r="B26661" t="str">
            <v>71050000000145</v>
          </cell>
          <cell r="C26661" t="str">
            <v>LIN CRED REMESAS GIROSOL                7ND</v>
          </cell>
        </row>
        <row r="26662">
          <cell r="B26662" t="str">
            <v>71050000000146</v>
          </cell>
          <cell r="C26662" t="str">
            <v>BOB TRAVEL                              7ND</v>
          </cell>
        </row>
        <row r="26663">
          <cell r="B26663" t="str">
            <v>71050000000147</v>
          </cell>
          <cell r="C26663" t="str">
            <v>R &amp; TÂ Â Â Â Â Â Â Â Â Â Â Â Â Â        7ND</v>
          </cell>
        </row>
        <row r="26664">
          <cell r="B26664" t="str">
            <v>71050000000150</v>
          </cell>
          <cell r="C26664" t="str">
            <v>INTERSERVICE                            7ND</v>
          </cell>
        </row>
        <row r="26665">
          <cell r="B26665" t="str">
            <v>71050000000151</v>
          </cell>
          <cell r="C26665" t="str">
            <v>MFI-CORP                                7ND</v>
          </cell>
        </row>
        <row r="26666">
          <cell r="B26666" t="str">
            <v>71050000000152</v>
          </cell>
          <cell r="C26666" t="str">
            <v>MONEY KING                              7ND</v>
          </cell>
        </row>
        <row r="26667">
          <cell r="B26667" t="str">
            <v>71050000000153</v>
          </cell>
          <cell r="C26667" t="str">
            <v>IM CRTACTA LIN.CTACTE CONS REVO         7ND</v>
          </cell>
        </row>
        <row r="26668">
          <cell r="B26668" t="str">
            <v>71050000000154</v>
          </cell>
          <cell r="C26668" t="str">
            <v>IM CRTACTA LIN.CTACTE COM REVO          7ND</v>
          </cell>
        </row>
        <row r="26669">
          <cell r="B26669" t="str">
            <v>71050000000155</v>
          </cell>
          <cell r="C26669" t="str">
            <v>CL CRTACTA LIN AVANC CTACTE COM         7ND</v>
          </cell>
        </row>
        <row r="26670">
          <cell r="B26670" t="str">
            <v>71050000000156</v>
          </cell>
          <cell r="C26670" t="str">
            <v>IM RESP.LINEAS REVOL CTACTE CTS         7ND</v>
          </cell>
        </row>
        <row r="26671">
          <cell r="B26671" t="str">
            <v>71050000000157</v>
          </cell>
          <cell r="C26671" t="str">
            <v>TC LINEAS DE CREDITO NO UTILIZADAS      7ND</v>
          </cell>
        </row>
        <row r="26672">
          <cell r="B26672" t="str">
            <v>71050000000158</v>
          </cell>
          <cell r="C26672" t="str">
            <v>LIN CREDITO REMESAS MONEY GRAM          7ND</v>
          </cell>
        </row>
        <row r="26673">
          <cell r="B26673" t="str">
            <v>71050000000159</v>
          </cell>
          <cell r="C26673" t="str">
            <v>LIN CRED REMESAS SIGUE GLOBAL           7ND</v>
          </cell>
        </row>
        <row r="26674">
          <cell r="B26674" t="str">
            <v>71050000000160</v>
          </cell>
          <cell r="C26674" t="str">
            <v>CRÃ‰DITOS OTORGADOS NO DESEMBOLSADOS    7ND</v>
          </cell>
        </row>
        <row r="26675">
          <cell r="B26675" t="str">
            <v>71050000000201</v>
          </cell>
          <cell r="C26675" t="str">
            <v>WBC CR CTA LIN.CRED.PERU FACTORING      7ND</v>
          </cell>
        </row>
        <row r="26676">
          <cell r="B26676" t="str">
            <v>71050000000202</v>
          </cell>
          <cell r="C26676" t="str">
            <v>LIN CREDITO ANULACION REM MONEY GRAM    7ND</v>
          </cell>
        </row>
        <row r="26677">
          <cell r="B26677" t="str">
            <v>71050000000203</v>
          </cell>
          <cell r="C26677" t="str">
            <v>WBC CTRA CTA LEASING ESPECIALIZADO      7ND</v>
          </cell>
        </row>
        <row r="26678">
          <cell r="B26678" t="str">
            <v>71050000000204</v>
          </cell>
          <cell r="C26678" t="str">
            <v>WBC CTRA CTA LEASEBACK ESPECIALIZADO    7ND</v>
          </cell>
        </row>
        <row r="26679">
          <cell r="B26679" t="str">
            <v>71050000000205</v>
          </cell>
          <cell r="C26679" t="str">
            <v>WBC CTRA CTA PAG TASA VENC ESPECIALIZADO7ND</v>
          </cell>
        </row>
        <row r="26680">
          <cell r="B26680" t="str">
            <v>71050000000206</v>
          </cell>
          <cell r="C26680" t="str">
            <v>WBC CTRA CTA PAG MED PLZO ESPECIALIZADO 7ND</v>
          </cell>
        </row>
        <row r="26681">
          <cell r="B26681" t="str">
            <v>71050000000207</v>
          </cell>
          <cell r="C26681" t="str">
            <v>WBC CTRA CTA PAG INMOB T VENC ESPECIALIZ7ND</v>
          </cell>
        </row>
        <row r="26682">
          <cell r="B26682" t="str">
            <v>71050000000501</v>
          </cell>
          <cell r="C26682" t="str">
            <v>CL CRTA CTA LIN.C.FIANZA MES            7ND</v>
          </cell>
        </row>
        <row r="26683">
          <cell r="B26683" t="str">
            <v>71050000000502</v>
          </cell>
          <cell r="C26683" t="str">
            <v>CL CRTA CTA LIN.CARTA CRED.MES          7ND</v>
          </cell>
        </row>
        <row r="26684">
          <cell r="B26684" t="str">
            <v>71050000000503</v>
          </cell>
          <cell r="C26684" t="str">
            <v>CL CRTA CTA LIN.PAG.TV MES              7ND</v>
          </cell>
        </row>
        <row r="26685">
          <cell r="B26685" t="str">
            <v>71050000000504</v>
          </cell>
          <cell r="C26685" t="str">
            <v>CL CRTA CTA LIN.DESCUENTOS MES          7ND</v>
          </cell>
        </row>
        <row r="26686">
          <cell r="B26686" t="str">
            <v>71050000000505</v>
          </cell>
          <cell r="C26686" t="str">
            <v>IM CRTACTA LIN.CTACTE MES REVOL         7ND</v>
          </cell>
        </row>
        <row r="26687">
          <cell r="B26687" t="str">
            <v>71050000000506</v>
          </cell>
          <cell r="C26687" t="str">
            <v>CL CRTACTA LIN AVANC CTACTE MES         7ND</v>
          </cell>
        </row>
        <row r="26688">
          <cell r="B26688" t="str">
            <v>71050000000507</v>
          </cell>
          <cell r="C26688" t="str">
            <v>MYP CCTA LINEAS REVOLVENTES             7ND</v>
          </cell>
        </row>
        <row r="26689">
          <cell r="B26689" t="str">
            <v>71050000000508</v>
          </cell>
          <cell r="C26689" t="str">
            <v>MYP CC CTA REVOLVENTE COMERCIAL         7ND</v>
          </cell>
        </row>
        <row r="26690">
          <cell r="B26690" t="str">
            <v>71050000000510</v>
          </cell>
          <cell r="C26690" t="str">
            <v>CL LINEA PARA FACTORING CRTA CTA        7ND</v>
          </cell>
        </row>
        <row r="26691">
          <cell r="B26691" t="str">
            <v>71050000000515</v>
          </cell>
          <cell r="C26691" t="str">
            <v>MYP LIN IMPORT CAP TRAB-COM             7ND</v>
          </cell>
        </row>
        <row r="26692">
          <cell r="B26692" t="str">
            <v>71050000000516</v>
          </cell>
          <cell r="C26692" t="str">
            <v>MYP LIN IMPORT ACT FIJO-COMERC          7ND</v>
          </cell>
        </row>
        <row r="26693">
          <cell r="B26693" t="str">
            <v>71050000000517</v>
          </cell>
          <cell r="C26693" t="str">
            <v>MYP LIN IMPORT CAP TRAB-MES             7ND</v>
          </cell>
        </row>
        <row r="26694">
          <cell r="B26694" t="str">
            <v>71050000000600</v>
          </cell>
          <cell r="C26694" t="str">
            <v>MYP CCTA LINEAS REVOLV CPEM             7ND</v>
          </cell>
        </row>
        <row r="26695">
          <cell r="B26695" t="str">
            <v>71050000000601</v>
          </cell>
          <cell r="C26695" t="str">
            <v>MYP CCTA LINEAS REVOLV CMED             7ND</v>
          </cell>
        </row>
        <row r="26696">
          <cell r="B26696" t="str">
            <v>71050000000602</v>
          </cell>
          <cell r="C26696" t="str">
            <v>MYP CCTA LINEAS REVOLVE CPEM            7ND</v>
          </cell>
        </row>
        <row r="26697">
          <cell r="B26697" t="str">
            <v>71050000000603</v>
          </cell>
          <cell r="C26697" t="str">
            <v>MYP CCTA LINEAS REVOLVE CMED            7ND</v>
          </cell>
        </row>
        <row r="26698">
          <cell r="B26698" t="str">
            <v>71050000000604</v>
          </cell>
          <cell r="C26698" t="str">
            <v>MYP LIN  IMP CAP TRAB-CPEM              7ND</v>
          </cell>
        </row>
        <row r="26699">
          <cell r="B26699" t="str">
            <v>71050000000605</v>
          </cell>
          <cell r="C26699" t="str">
            <v>MYP LIN  IMP CAP TRAB-CMED              7ND</v>
          </cell>
        </row>
        <row r="26700">
          <cell r="B26700" t="str">
            <v>71050000000606</v>
          </cell>
          <cell r="C26700" t="str">
            <v>MYP LIN  IMPORT  ACT FIJO- CPEM         7ND</v>
          </cell>
        </row>
        <row r="26701">
          <cell r="B26701" t="str">
            <v>71050000000607</v>
          </cell>
          <cell r="C26701" t="str">
            <v>MYP LIN  IMPORT  ACT FIJO- CMED         7ND</v>
          </cell>
        </row>
        <row r="26702">
          <cell r="B26702" t="str">
            <v>71050000000608</v>
          </cell>
          <cell r="C26702" t="str">
            <v>MYP CCTA LINEAS REVOLV CPEM             7ND</v>
          </cell>
        </row>
        <row r="26703">
          <cell r="B26703" t="str">
            <v>71050000000609</v>
          </cell>
          <cell r="C26703" t="str">
            <v>MYP CCTA LINEA REVOLVENTE CGEM          7ND</v>
          </cell>
        </row>
        <row r="26704">
          <cell r="B26704" t="str">
            <v>71050000000701</v>
          </cell>
          <cell r="C26704" t="str">
            <v>WBC CRA CTA LIN.CRED.DESCUENTO          7ND</v>
          </cell>
        </row>
        <row r="26705">
          <cell r="B26705" t="str">
            <v>71050000000702</v>
          </cell>
          <cell r="C26705" t="str">
            <v>WBC LINEA CRED NO UTILIZADO -PREST      7ND</v>
          </cell>
        </row>
        <row r="26706">
          <cell r="B26706" t="str">
            <v>71050000000703</v>
          </cell>
          <cell r="C26706" t="str">
            <v>WBC CRTA CTA LIN.C.FIANZA               7ND</v>
          </cell>
        </row>
        <row r="26707">
          <cell r="B26707" t="str">
            <v>71050000000704</v>
          </cell>
          <cell r="C26707" t="str">
            <v>WBC CRTA CTA LIN.CAR.CREDITO            7ND</v>
          </cell>
        </row>
        <row r="26708">
          <cell r="B26708" t="str">
            <v>71050000000705</v>
          </cell>
          <cell r="C26708" t="str">
            <v>WBC CR CTA LIN.CRED.OTOR.NO DESEM.      7ND</v>
          </cell>
        </row>
        <row r="26709">
          <cell r="B26709" t="str">
            <v>71050000000706</v>
          </cell>
          <cell r="C26709" t="str">
            <v>WBC CRTACTA LIN AVANC CTACTE COM        7ND</v>
          </cell>
        </row>
        <row r="26710">
          <cell r="B26710" t="str">
            <v>71050000000707</v>
          </cell>
          <cell r="C26710" t="str">
            <v>WBC CRTA CTA LIN.C.FIANZA MES           7ND</v>
          </cell>
        </row>
        <row r="26711">
          <cell r="B26711" t="str">
            <v>71050000000708</v>
          </cell>
          <cell r="C26711" t="str">
            <v>WBC CRTA CTA LIN.CARTA CRED.MES         7ND</v>
          </cell>
        </row>
        <row r="26712">
          <cell r="B26712" t="str">
            <v>71050000000709</v>
          </cell>
          <cell r="C26712" t="str">
            <v>WBC CRTA CTA LIN.PAG.TV MES             7ND</v>
          </cell>
        </row>
        <row r="26713">
          <cell r="B26713" t="str">
            <v>71050000000710</v>
          </cell>
          <cell r="C26713" t="str">
            <v>WBC CRTA CTA LIN.DESCUENTOS MES         7ND</v>
          </cell>
        </row>
        <row r="26714">
          <cell r="B26714" t="str">
            <v>71050000000711</v>
          </cell>
          <cell r="C26714" t="str">
            <v>WBC CRTACTA LIN AVANC CTACTE MES        7ND</v>
          </cell>
        </row>
        <row r="26715">
          <cell r="B26715" t="str">
            <v>71050000000712</v>
          </cell>
          <cell r="C26715" t="str">
            <v>WBC LINEA PARA FACTORING CRTA CTA       7ND</v>
          </cell>
        </row>
        <row r="26716">
          <cell r="B26716" t="str">
            <v>71050000000713</v>
          </cell>
          <cell r="C26716" t="str">
            <v>WBC LI DSCT FACT CONFORM COM REV C.CT   7ND</v>
          </cell>
        </row>
        <row r="26717">
          <cell r="B26717" t="str">
            <v>71050000000714</v>
          </cell>
          <cell r="C26717" t="str">
            <v>WBC LI DSCT FACT CONFORM COM NR C.CT    7ND</v>
          </cell>
        </row>
        <row r="26718">
          <cell r="B26718" t="str">
            <v>71050000000715</v>
          </cell>
          <cell r="C26718" t="str">
            <v>WBC LI DSCT FACT CONFORM MES NR C.CTA   7ND</v>
          </cell>
        </row>
        <row r="26719">
          <cell r="B26719" t="str">
            <v>71050000000716</v>
          </cell>
          <cell r="C26719" t="str">
            <v>WBC LI DSCT FACT CONFORM MES REV C.CT   7ND</v>
          </cell>
        </row>
        <row r="26720">
          <cell r="B26720" t="str">
            <v>71050000000901</v>
          </cell>
          <cell r="C26720" t="str">
            <v>LIC ME LINEAS CRED.PREST CONS CONVENI   7ND</v>
          </cell>
        </row>
        <row r="26721">
          <cell r="B26721" t="str">
            <v>71050000000902</v>
          </cell>
          <cell r="C26721" t="str">
            <v>LIC CCNR LINEAS CRED.PREST CONS CONVENIO7ND</v>
          </cell>
        </row>
        <row r="26722">
          <cell r="B26722" t="str">
            <v>71050000000903</v>
          </cell>
          <cell r="C26722" t="str">
            <v>BTC LINEAS DE CREDITO NO UTILIZADAS     7ND</v>
          </cell>
        </row>
        <row r="26723">
          <cell r="B26723" t="str">
            <v>71050000000904</v>
          </cell>
          <cell r="C26723" t="str">
            <v>LIN CREDITO REMESAS BANCO ESTADO DE CHIL7 D</v>
          </cell>
        </row>
        <row r="26724">
          <cell r="B26724" t="str">
            <v>71060101010101</v>
          </cell>
          <cell r="C26724" t="str">
            <v>COMPRAS A FUTURO - SWAP                 7ND</v>
          </cell>
        </row>
        <row r="26725">
          <cell r="B26725" t="str">
            <v>71060101010103</v>
          </cell>
          <cell r="C26725" t="str">
            <v>SWAP DE MONEDAS ESPECULATIVO            7ND</v>
          </cell>
        </row>
        <row r="26726">
          <cell r="B26726" t="str">
            <v>71060101010104</v>
          </cell>
          <cell r="C26726" t="str">
            <v>SWAP CAMBIARIO BCR COMPRA               7ND</v>
          </cell>
        </row>
        <row r="26727">
          <cell r="B26727" t="str">
            <v>71060101010105</v>
          </cell>
          <cell r="C26727" t="str">
            <v>SWAP DE MONEDASÂ  COMPRA COBERTURA      7ND</v>
          </cell>
        </row>
        <row r="26728">
          <cell r="B26728" t="str">
            <v>71060101010106</v>
          </cell>
          <cell r="C26728" t="str">
            <v>SWAP DE MONEDAS ESPECU COMPRAS          7ND</v>
          </cell>
        </row>
        <row r="26729">
          <cell r="B26729" t="str">
            <v>71060101010107</v>
          </cell>
          <cell r="C26729" t="str">
            <v>MDC Swaps de Monedas COMP NEGO FINAN    7ND</v>
          </cell>
        </row>
        <row r="26730">
          <cell r="B26730" t="str">
            <v>71060101010108</v>
          </cell>
          <cell r="C26730" t="str">
            <v>SWAP CC  COBERTURA  COMPRA              7ND</v>
          </cell>
        </row>
        <row r="26731">
          <cell r="B26731" t="str">
            <v>71060101020101</v>
          </cell>
          <cell r="C26731" t="str">
            <v>SWAP DE MONEDAS Curva Sob.              7ND</v>
          </cell>
        </row>
        <row r="26732">
          <cell r="B26732" t="str">
            <v>71060101020102</v>
          </cell>
          <cell r="C26732" t="str">
            <v>SWAP DE MONEDAS ESPECULATIVO VTA        7ND</v>
          </cell>
        </row>
        <row r="26733">
          <cell r="B26733" t="str">
            <v>71060101020103</v>
          </cell>
          <cell r="C26733" t="str">
            <v>SWAP CAMBIARIO BCR                      7ND</v>
          </cell>
        </row>
        <row r="26734">
          <cell r="B26734" t="str">
            <v>71060101020104</v>
          </cell>
          <cell r="C26734" t="str">
            <v>SWAP DE MONEDASÂ  VENTAS                7ND</v>
          </cell>
        </row>
        <row r="26735">
          <cell r="B26735" t="str">
            <v>71060101020105</v>
          </cell>
          <cell r="C26735" t="str">
            <v>MDC Swaps de Monedas VTA NEGO FINAN     7ND</v>
          </cell>
        </row>
        <row r="26736">
          <cell r="B26736" t="str">
            <v>71060101020106</v>
          </cell>
          <cell r="C26736" t="str">
            <v>SWAP CC  COBERTURA  VENTA               7ND</v>
          </cell>
        </row>
        <row r="26737">
          <cell r="B26737" t="str">
            <v>71060102010101</v>
          </cell>
          <cell r="C26737" t="str">
            <v>COMPRA A FUTURO - FWD DELIVERY ESPEC    7ND</v>
          </cell>
        </row>
        <row r="26738">
          <cell r="B26738" t="str">
            <v>71060102010102</v>
          </cell>
          <cell r="C26738" t="str">
            <v>COMPRAS A FUTURO - FWD NON DELIVERY E   7ND</v>
          </cell>
        </row>
        <row r="26739">
          <cell r="B26739" t="str">
            <v>71060102010103</v>
          </cell>
          <cell r="C26739" t="str">
            <v>FWD NDF COBERTURA COMPRA OPCIONES       7ND</v>
          </cell>
        </row>
        <row r="26740">
          <cell r="B26740" t="str">
            <v>71060102010104</v>
          </cell>
          <cell r="C26740" t="str">
            <v>FWD NDF COBERTURA ENTREGA COMPRA OPCIONE7ND</v>
          </cell>
        </row>
        <row r="26741">
          <cell r="B26741" t="str">
            <v>71060102010105</v>
          </cell>
          <cell r="C26741" t="str">
            <v>FWD NDF cobertura compra swaps          7ND</v>
          </cell>
        </row>
        <row r="26742">
          <cell r="B26742" t="str">
            <v>71060102010106</v>
          </cell>
          <cell r="C26742" t="str">
            <v>FWD NDF cobertura entrega compra swaps  7ND</v>
          </cell>
        </row>
        <row r="26743">
          <cell r="B26743" t="str">
            <v>71060102010107</v>
          </cell>
          <cell r="C26743" t="str">
            <v>MDC COMPRA FWD LIMITADO                 7ND</v>
          </cell>
        </row>
        <row r="26744">
          <cell r="B26744" t="str">
            <v>71060102010108</v>
          </cell>
          <cell r="C26744" t="str">
            <v>FWD Compra OPC NDF                      7ND</v>
          </cell>
        </row>
        <row r="26745">
          <cell r="B26745" t="str">
            <v>71060102010109</v>
          </cell>
          <cell r="C26745" t="str">
            <v>FWD Compra OPC DELIVERY FULL            7ND</v>
          </cell>
        </row>
        <row r="26746">
          <cell r="B26746" t="str">
            <v>71060102010110</v>
          </cell>
          <cell r="C26746" t="str">
            <v>MDC Forward de Monedas COMP FINAN       7ND</v>
          </cell>
        </row>
        <row r="26747">
          <cell r="B26747" t="str">
            <v>71060102010111</v>
          </cell>
          <cell r="C26747" t="str">
            <v>ACREEDORES POR COMPRA - FWD.DIVISAS TESO7 D</v>
          </cell>
        </row>
        <row r="26748">
          <cell r="B26748" t="str">
            <v>71060102010113</v>
          </cell>
          <cell r="C26748" t="str">
            <v>MRX FORWARD DE MONEDAS COMPRA NEGO FINAN7ND</v>
          </cell>
        </row>
        <row r="26749">
          <cell r="B26749" t="str">
            <v>71060102020101</v>
          </cell>
          <cell r="C26749" t="str">
            <v>DEUDORES POR VENTA - FWD DELIVERY ESPEC 7ND</v>
          </cell>
        </row>
        <row r="26750">
          <cell r="B26750" t="str">
            <v>71060102020102</v>
          </cell>
          <cell r="C26750" t="str">
            <v>DEUDORES POR VENTAS A FUTURO - FWD NO   7ND</v>
          </cell>
        </row>
        <row r="26751">
          <cell r="B26751" t="str">
            <v>71060102020103</v>
          </cell>
          <cell r="C26751" t="str">
            <v>FORWARD NDF COBERTURA DEUDORA VENTA OPCI7ND</v>
          </cell>
        </row>
        <row r="26752">
          <cell r="B26752" t="str">
            <v>71060102020104</v>
          </cell>
          <cell r="C26752" t="str">
            <v>FWD NDF COBERTURA ENTREGA VENTA OPCIONES7ND</v>
          </cell>
        </row>
        <row r="26753">
          <cell r="B26753" t="str">
            <v>71060102020105</v>
          </cell>
          <cell r="C26753" t="str">
            <v>Forward NDF cobertura deudora venta swap7ND</v>
          </cell>
        </row>
        <row r="26754">
          <cell r="B26754" t="str">
            <v>71060102020106</v>
          </cell>
          <cell r="C26754" t="str">
            <v>FWD NDF cobertura entrega venta swaps   7ND</v>
          </cell>
        </row>
        <row r="26755">
          <cell r="B26755" t="str">
            <v>71060102020107</v>
          </cell>
          <cell r="C26755" t="str">
            <v>MDC VENTA FWD LIMITADO                  7ND</v>
          </cell>
        </row>
        <row r="26756">
          <cell r="B26756" t="str">
            <v>71060102020108</v>
          </cell>
          <cell r="C26756" t="str">
            <v>FWD Venta OPC NDF                       7ND</v>
          </cell>
        </row>
        <row r="26757">
          <cell r="B26757" t="str">
            <v>71060102020109</v>
          </cell>
          <cell r="C26757" t="str">
            <v>FWD Venta OPC DELIVERY FULL             7ND</v>
          </cell>
        </row>
        <row r="26758">
          <cell r="B26758" t="str">
            <v>71060102020110</v>
          </cell>
          <cell r="C26758" t="str">
            <v>MDC Forward de Monedas VTA NEGO FINAN   7ND</v>
          </cell>
        </row>
        <row r="26759">
          <cell r="B26759" t="str">
            <v>71060102020111</v>
          </cell>
          <cell r="C26759" t="str">
            <v>DEUDORES POR VENTA - FWD.DIVISAS TESORER7 D</v>
          </cell>
        </row>
        <row r="26760">
          <cell r="B26760" t="str">
            <v>71060105010101</v>
          </cell>
          <cell r="C26760" t="str">
            <v>DERIVADOS OPC COMPRAS CALL AMERICANO    7ND</v>
          </cell>
        </row>
        <row r="26761">
          <cell r="B26761" t="str">
            <v>71060105010201</v>
          </cell>
          <cell r="C26761" t="str">
            <v>DERIVADOS OPC COMPRAS CALL EUROPEO      7ND</v>
          </cell>
        </row>
        <row r="26762">
          <cell r="B26762" t="str">
            <v>71060105010202</v>
          </cell>
          <cell r="C26762" t="str">
            <v>MDC OPC COMPRA CALL EUR - DEP ESTRUCT   7ND</v>
          </cell>
        </row>
        <row r="26763">
          <cell r="B26763" t="str">
            <v>71060105010203</v>
          </cell>
          <cell r="C26763" t="str">
            <v>MDC OPC COMPRA CALL EUR - FWD LIMITADO  7ND</v>
          </cell>
        </row>
        <row r="26764">
          <cell r="B26764" t="str">
            <v>71060105010204</v>
          </cell>
          <cell r="C26764" t="str">
            <v>MDC OPC COMP CALL EUR  DEP DIV          7ND</v>
          </cell>
        </row>
        <row r="26765">
          <cell r="B26765" t="str">
            <v>71060105010301</v>
          </cell>
          <cell r="C26765" t="str">
            <v>MDC OPC COMP CALL  OPC DIV              7ND</v>
          </cell>
        </row>
        <row r="26766">
          <cell r="B26766" t="str">
            <v>71060105020101</v>
          </cell>
          <cell r="C26766" t="str">
            <v>DERIVADOS OPC DEUD VTA CALL AMERICANO   7ND</v>
          </cell>
        </row>
        <row r="26767">
          <cell r="B26767" t="str">
            <v>71060105020201</v>
          </cell>
          <cell r="C26767" t="str">
            <v>DERIVADOS OPC DEUD VTA CALL EUROPEO     7ND</v>
          </cell>
        </row>
        <row r="26768">
          <cell r="B26768" t="str">
            <v>71060105020202</v>
          </cell>
          <cell r="C26768" t="str">
            <v>MDC OPC DEUD VTA CALL EUR - DEP ESTRUCT 7ND</v>
          </cell>
        </row>
        <row r="26769">
          <cell r="B26769" t="str">
            <v>71060105020203</v>
          </cell>
          <cell r="C26769" t="str">
            <v>MDC OPC DEUD VTA CALL EUR - FWD LIMITADO7ND</v>
          </cell>
        </row>
        <row r="26770">
          <cell r="B26770" t="str">
            <v>71060105020204</v>
          </cell>
          <cell r="C26770" t="str">
            <v>MDC OPC VENT CALL EUR  DEP DIV          7ND</v>
          </cell>
        </row>
        <row r="26771">
          <cell r="B26771" t="str">
            <v>71060105020301</v>
          </cell>
          <cell r="C26771" t="str">
            <v>MDC OPC VENT CALL  OPC DIV              7ND</v>
          </cell>
        </row>
        <row r="26772">
          <cell r="B26772" t="str">
            <v>71060105030101</v>
          </cell>
          <cell r="C26772" t="str">
            <v>DERIVADOS OPC COMPRAS PUTS AMERICANO    7ND</v>
          </cell>
        </row>
        <row r="26773">
          <cell r="B26773" t="str">
            <v>71060105030201</v>
          </cell>
          <cell r="C26773" t="str">
            <v>DERIVADOS OPC COMPRAS PUTS EUROPEO      7ND</v>
          </cell>
        </row>
        <row r="26774">
          <cell r="B26774" t="str">
            <v>71060105030202</v>
          </cell>
          <cell r="C26774" t="str">
            <v>MDC OPC COMP PUTS EUR - DEP ESTRUCT     7ND</v>
          </cell>
        </row>
        <row r="26775">
          <cell r="B26775" t="str">
            <v>71060105030203</v>
          </cell>
          <cell r="C26775" t="str">
            <v>MDC OPC COMP PUTS EUR - FWD ACOT        7ND</v>
          </cell>
        </row>
        <row r="26776">
          <cell r="B26776" t="str">
            <v>71060105030204</v>
          </cell>
          <cell r="C26776" t="str">
            <v>MDC OPC COMP PUT EUR  DEP DIV           7ND</v>
          </cell>
        </row>
        <row r="26777">
          <cell r="B26777" t="str">
            <v>71060105030301</v>
          </cell>
          <cell r="C26777" t="str">
            <v>MDC OPC COMP PUT  OPC DIV               7ND</v>
          </cell>
        </row>
        <row r="26778">
          <cell r="B26778" t="str">
            <v>71060105040101</v>
          </cell>
          <cell r="C26778" t="str">
            <v>DERIVADOS OPC VENTAS PUTS AMERICANO     7ND</v>
          </cell>
        </row>
        <row r="26779">
          <cell r="B26779" t="str">
            <v>71060105040201</v>
          </cell>
          <cell r="C26779" t="str">
            <v>DERIVADOS OPC VENTAS PUTS EUROPEO       7ND</v>
          </cell>
        </row>
        <row r="26780">
          <cell r="B26780" t="str">
            <v>71060105040202</v>
          </cell>
          <cell r="C26780" t="str">
            <v>MDC OPC VENTAS PUTS EUR - DEP ESTRUCT   7ND</v>
          </cell>
        </row>
        <row r="26781">
          <cell r="B26781" t="str">
            <v>71060105040203</v>
          </cell>
          <cell r="C26781" t="str">
            <v>MDC OPC VENTAS PUTS EUR - FWD ACOT      7ND</v>
          </cell>
        </row>
        <row r="26782">
          <cell r="B26782" t="str">
            <v>71060105040204</v>
          </cell>
          <cell r="C26782" t="str">
            <v>MDC OPC VENT PUT EUR  DEP DIV           7ND</v>
          </cell>
        </row>
        <row r="26783">
          <cell r="B26783" t="str">
            <v>71060105040301</v>
          </cell>
          <cell r="C26783" t="str">
            <v>MDC OPC VENT PUT  OPC DIV               7ND</v>
          </cell>
        </row>
        <row r="26784">
          <cell r="B26784" t="str">
            <v>71060305010101</v>
          </cell>
          <cell r="C26784" t="str">
            <v>OPCIONES COMPRA CALLS                   7ND</v>
          </cell>
        </row>
        <row r="26785">
          <cell r="B26785" t="str">
            <v>71060305020101</v>
          </cell>
          <cell r="C26785" t="str">
            <v>OPCIONES DEUDORES POR VTA CALL          7ND</v>
          </cell>
        </row>
        <row r="26786">
          <cell r="B26786" t="str">
            <v>71060305030101</v>
          </cell>
          <cell r="C26786" t="str">
            <v>OPCIONES COMPRAS PUTS                   7ND</v>
          </cell>
        </row>
        <row r="26787">
          <cell r="B26787" t="str">
            <v>71060305040101</v>
          </cell>
          <cell r="C26787" t="str">
            <v>OPCIONES DEUDORES POR VTAS PUTS         7ND</v>
          </cell>
        </row>
        <row r="26788">
          <cell r="B26788" t="str">
            <v>71060305050101</v>
          </cell>
          <cell r="C26788" t="str">
            <v>OPCIONES COMPRAS OTROS                  7ND</v>
          </cell>
        </row>
        <row r="26789">
          <cell r="B26789" t="str">
            <v>71060305060101</v>
          </cell>
          <cell r="C26789" t="str">
            <v>OPCIONES DEUDORES POR VTAS OTROS        7ND</v>
          </cell>
        </row>
        <row r="26790">
          <cell r="B26790" t="str">
            <v>71070000000001</v>
          </cell>
          <cell r="C26790" t="str">
            <v>IM RESP COMPROMISO CTA CTE CONS REVOL   7 D</v>
          </cell>
        </row>
        <row r="26791">
          <cell r="B26791" t="str">
            <v>71070000000002</v>
          </cell>
          <cell r="C26791" t="str">
            <v>IM RESP COMPROMISO CTA CTE COM REVO     7 D</v>
          </cell>
        </row>
        <row r="26792">
          <cell r="B26792" t="str">
            <v>71070000000003</v>
          </cell>
          <cell r="C26792" t="str">
            <v>CDO COMPROMISOS NO UTILIZADOS           7 D</v>
          </cell>
        </row>
        <row r="26793">
          <cell r="B26793" t="str">
            <v>71070000000004</v>
          </cell>
          <cell r="C26793" t="str">
            <v>WBC DSCTO ELECT FACT COMPROMISOS NO UTIL7 D</v>
          </cell>
        </row>
        <row r="26794">
          <cell r="B26794" t="str">
            <v>71070000000005</v>
          </cell>
          <cell r="C26794" t="str">
            <v>WBC FIN PROY COMPROMISOS NO UTILIZADOS  7 D</v>
          </cell>
        </row>
        <row r="26795">
          <cell r="B26795" t="str">
            <v>71070000000006</v>
          </cell>
          <cell r="C26795" t="str">
            <v>LSG COMPROMISOS NO UTILIZADOS           7 D</v>
          </cell>
        </row>
        <row r="26796">
          <cell r="B26796" t="str">
            <v>71070000000007</v>
          </cell>
          <cell r="C26796" t="str">
            <v>WBC PAG INMOB COMPROMISOS NO UTILIZADOS 7 D</v>
          </cell>
        </row>
        <row r="26797">
          <cell r="B26797" t="str">
            <v>71070000000008</v>
          </cell>
          <cell r="C26797" t="str">
            <v>WBC PAG MED PLAZO COMPROMISOS NO UTILIZA7 D</v>
          </cell>
        </row>
        <row r="26798">
          <cell r="B26798" t="str">
            <v>71070000000009</v>
          </cell>
          <cell r="C26798" t="str">
            <v>WBC LEASEBACK COMPROMISOS NO UTILIZADOS 7 D</v>
          </cell>
        </row>
        <row r="26799">
          <cell r="B26799" t="str">
            <v>71070000000010</v>
          </cell>
          <cell r="C26799" t="str">
            <v>WBC DESEMB L. AUTOMAT COMPROMISOS NO UTI7 D</v>
          </cell>
        </row>
        <row r="26800">
          <cell r="B26800" t="str">
            <v>71070000000011</v>
          </cell>
          <cell r="C26800" t="str">
            <v>WBC FACTORING ELECT FACT COMPROMISOS NO 7 D</v>
          </cell>
        </row>
        <row r="26801">
          <cell r="B26801" t="str">
            <v>71070000000012</v>
          </cell>
          <cell r="C26801" t="str">
            <v>MYP RESP COMPROMISO IC LINEA REVOL MIE  7 D</v>
          </cell>
        </row>
        <row r="26802">
          <cell r="B26802" t="str">
            <v>71070000000013</v>
          </cell>
          <cell r="C26802" t="str">
            <v>MYP RESP COMPROMISO LINEA REVOL CMED    7 D</v>
          </cell>
        </row>
        <row r="26803">
          <cell r="B26803" t="str">
            <v>71070000000014</v>
          </cell>
          <cell r="C26803" t="str">
            <v>MYP RESP COMPROMISO LINEA REVOL CPEM    7 D</v>
          </cell>
        </row>
        <row r="26804">
          <cell r="B26804" t="str">
            <v>71070000000015</v>
          </cell>
          <cell r="C26804" t="str">
            <v>LIC RESP COMPROMISO CC PTMO ADEL SUELDO 7 D</v>
          </cell>
        </row>
        <row r="26805">
          <cell r="B26805" t="str">
            <v>71070000000016</v>
          </cell>
          <cell r="C26805" t="str">
            <v>LIC RESP COMPROMISO CC PTMO CONVENIO CCN7 D</v>
          </cell>
        </row>
        <row r="26806">
          <cell r="B26806" t="str">
            <v>71090000000206</v>
          </cell>
          <cell r="C26806" t="str">
            <v>CONTINGENCIAS VARIAS                    7ND</v>
          </cell>
        </row>
        <row r="26807">
          <cell r="B26807" t="str">
            <v>71090000000207</v>
          </cell>
          <cell r="C26807" t="str">
            <v>REGISTRO NO ASENTADOS                   7ND</v>
          </cell>
        </row>
        <row r="26808">
          <cell r="B26808" t="str">
            <v>71090000000208</v>
          </cell>
          <cell r="C26808" t="str">
            <v>REGISTRO NO ASENTADOS                   7ND</v>
          </cell>
        </row>
        <row r="26809">
          <cell r="B26809" t="str">
            <v>71090000000301</v>
          </cell>
          <cell r="C26809" t="str">
            <v>ACTIVO CONTINGENTE PARA COMPRAS INVER   7ND</v>
          </cell>
        </row>
        <row r="26810">
          <cell r="B26810" t="str">
            <v>71090000000302</v>
          </cell>
          <cell r="C26810" t="str">
            <v>ACTIVO CONTINGENTE PARA VENTAS INVERS   7ND</v>
          </cell>
        </row>
        <row r="26811">
          <cell r="B26811" t="str">
            <v>71090000000303</v>
          </cell>
          <cell r="C26811" t="str">
            <v>CTA CTA FIANZA SOLIDARIA PROYECTOS TECHO7ND</v>
          </cell>
        </row>
        <row r="26812">
          <cell r="B26812" t="str">
            <v>71090000000401</v>
          </cell>
          <cell r="C26812" t="str">
            <v>BKT ACEPTACIÃ“N POR AVAL IBK            7ND</v>
          </cell>
        </row>
        <row r="26813">
          <cell r="B26813" t="str">
            <v>71090000000402</v>
          </cell>
          <cell r="C26813" t="str">
            <v>BKT CARTA DE CREDITO IBK                7ND</v>
          </cell>
        </row>
        <row r="26814">
          <cell r="B26814" t="str">
            <v>71090000000801</v>
          </cell>
          <cell r="C26814" t="str">
            <v>PAN LINEAS CRED CON GARANTIAS           7ND</v>
          </cell>
        </row>
        <row r="26815">
          <cell r="B26815" t="str">
            <v>71090000000901</v>
          </cell>
          <cell r="C26815" t="str">
            <v>CONTINGENTES NO ASENTADOS DEUDORAS      7ND</v>
          </cell>
        </row>
        <row r="26816">
          <cell r="B26816" t="str">
            <v>71090000000902</v>
          </cell>
          <cell r="C26816" t="str">
            <v>DCHO C/CRED MISMO BANCO                 7ND</v>
          </cell>
        </row>
        <row r="26817">
          <cell r="B26817" t="str">
            <v>71090000000903</v>
          </cell>
          <cell r="C26817" t="str">
            <v>DCHO C/C MISMO BANCO STAND BY           7ND</v>
          </cell>
        </row>
        <row r="26818">
          <cell r="B26818" t="str">
            <v>71090000000905</v>
          </cell>
          <cell r="C26818" t="str">
            <v>CONTINGENCIAS VARIAS /CC IMPO           7ND</v>
          </cell>
        </row>
        <row r="26819">
          <cell r="B26819" t="str">
            <v>71090000000906</v>
          </cell>
          <cell r="C26819" t="str">
            <v>CC IBK DPR SECURITIZADORA               7ND</v>
          </cell>
        </row>
        <row r="26820">
          <cell r="B26820" t="str">
            <v>71090000000909</v>
          </cell>
          <cell r="C26820" t="str">
            <v>CARTAS DE CREDITO CONTIGENTE SBLC       7ND</v>
          </cell>
        </row>
        <row r="26821">
          <cell r="B26821" t="str">
            <v>72010000000101</v>
          </cell>
          <cell r="C26821" t="str">
            <v>RESPONSABILIDAD POR AVALES OTORGADOS    7NC</v>
          </cell>
        </row>
        <row r="26822">
          <cell r="B26822" t="str">
            <v>72010000000102</v>
          </cell>
          <cell r="C26822" t="str">
            <v>BKT CONTRA CUENTA CONTINGENTE           7NC</v>
          </cell>
        </row>
        <row r="26823">
          <cell r="B26823" t="str">
            <v>72020000000103</v>
          </cell>
          <cell r="C26823" t="str">
            <v>SCF RESP X CARTAS FIANZA                7NC</v>
          </cell>
        </row>
        <row r="26824">
          <cell r="B26824" t="str">
            <v>72020000000104</v>
          </cell>
          <cell r="C26824" t="str">
            <v>SCF CTRA CTA FIANZAS SOLIDARIAS FMV     7NC</v>
          </cell>
        </row>
        <row r="26825">
          <cell r="B26825" t="str">
            <v>72020000000601</v>
          </cell>
          <cell r="C26825" t="str">
            <v>SCF CONTRA CTA C.F.NEG.INMB.S/CTRA GTIA 7NC</v>
          </cell>
        </row>
        <row r="26826">
          <cell r="B26826" t="str">
            <v>72020000000603</v>
          </cell>
          <cell r="C26826" t="str">
            <v>SCF CONTRA CTA C.F.BPE S/CONTRA GARANTIA7NC</v>
          </cell>
        </row>
        <row r="26827">
          <cell r="B26827" t="str">
            <v>72030000000101</v>
          </cell>
          <cell r="C26827" t="str">
            <v>RESP POR CARTAS DE CREDITO              7NC</v>
          </cell>
        </row>
        <row r="26828">
          <cell r="B26828" t="str">
            <v>72030000000102</v>
          </cell>
          <cell r="C26828" t="str">
            <v>BL RESPONSABILIDAD POR CARTAS DE CREDITO7NC</v>
          </cell>
        </row>
        <row r="26829">
          <cell r="B26829" t="str">
            <v>72030000000107</v>
          </cell>
          <cell r="C26829" t="str">
            <v>RESP STAND BY CONFIR BCOS SUP ORG SBS   7NC</v>
          </cell>
        </row>
        <row r="26830">
          <cell r="B26830" t="str">
            <v>72030000000108</v>
          </cell>
          <cell r="C26830" t="str">
            <v>CTRA CTA CARTA DE CREDITO MES           7NC</v>
          </cell>
        </row>
        <row r="26831">
          <cell r="B26831" t="str">
            <v>72030000000111</v>
          </cell>
          <cell r="C26831" t="str">
            <v>BKT STAND BY CONFIRMAD-BCOS 1er         7NC</v>
          </cell>
        </row>
        <row r="26832">
          <cell r="B26832" t="str">
            <v>72030000000801</v>
          </cell>
          <cell r="C26832" t="str">
            <v>PAN RESP POR CARTAS DE CREDITO          7NC</v>
          </cell>
        </row>
        <row r="26833">
          <cell r="B26833" t="str">
            <v>72040000000101</v>
          </cell>
          <cell r="C26833" t="str">
            <v>RESPONSABILIDAD POR ACEPTACIONES BANCARI7NC</v>
          </cell>
        </row>
        <row r="26834">
          <cell r="B26834" t="str">
            <v>72040000000104</v>
          </cell>
          <cell r="C26834" t="str">
            <v>RESP ACEPTACIONES C/C CONFIRM S/CGTIA   7NC</v>
          </cell>
        </row>
        <row r="26835">
          <cell r="B26835" t="str">
            <v>72050100000101</v>
          </cell>
          <cell r="C26835" t="str">
            <v>RESP POR LINEAS DE CREDITO EN CTA CTE   7NC</v>
          </cell>
        </row>
        <row r="26836">
          <cell r="B26836" t="str">
            <v>72050100000102</v>
          </cell>
          <cell r="C26836" t="str">
            <v>BL RESP POR LINEAS CRED CTA CTE BL      7NC</v>
          </cell>
        </row>
        <row r="26837">
          <cell r="B26837" t="str">
            <v>72050100000103</v>
          </cell>
          <cell r="C26837" t="str">
            <v>CL LINEA FOREX .                        7NC</v>
          </cell>
        </row>
        <row r="26838">
          <cell r="B26838" t="str">
            <v>72050100000104</v>
          </cell>
          <cell r="C26838" t="str">
            <v>CL LINEA FORWARD .                      7NC</v>
          </cell>
        </row>
        <row r="26839">
          <cell r="B26839" t="str">
            <v>72050101010101</v>
          </cell>
          <cell r="C26839" t="str">
            <v>IM LIN.CTA CTE COMERCIAL REVOL          7NC</v>
          </cell>
        </row>
        <row r="26840">
          <cell r="B26840" t="str">
            <v>72050101010102</v>
          </cell>
          <cell r="C26840" t="str">
            <v>CL LINEA REVO.AVANCE CTACTE COM         7NC</v>
          </cell>
        </row>
        <row r="26841">
          <cell r="B26841" t="str">
            <v>72050101010103</v>
          </cell>
          <cell r="C26841" t="str">
            <v>WBC LINEA REVO.AVANCE CTACTE COM        7NC</v>
          </cell>
        </row>
        <row r="26842">
          <cell r="B26842" t="str">
            <v>72050101020102</v>
          </cell>
          <cell r="C26842" t="str">
            <v>WBC LIN NO REVO.AVANC CTACTE COM        7NC</v>
          </cell>
        </row>
        <row r="26843">
          <cell r="B26843" t="str">
            <v>72050102010101</v>
          </cell>
          <cell r="C26843" t="str">
            <v>IM LIN.CTA CTE MES REVOLVENTE           7NC</v>
          </cell>
        </row>
        <row r="26844">
          <cell r="B26844" t="str">
            <v>72050102010102</v>
          </cell>
          <cell r="C26844" t="str">
            <v>CL LINEA REVO.AVANCE CTACTE MES         7NC</v>
          </cell>
        </row>
        <row r="26845">
          <cell r="B26845" t="str">
            <v>72050102010103</v>
          </cell>
          <cell r="C26845" t="str">
            <v>WBC LIN NO REVO.AVANC CTACTE COM        7NC</v>
          </cell>
        </row>
        <row r="26846">
          <cell r="B26846" t="str">
            <v>72050102020101</v>
          </cell>
          <cell r="C26846" t="str">
            <v>CL LIN NO REVO.AVANC CTACTE MES         7NC</v>
          </cell>
        </row>
        <row r="26847">
          <cell r="B26847" t="str">
            <v>72050102020102</v>
          </cell>
          <cell r="C26847" t="str">
            <v>WBC LIN NO REVO.AVANC CTACTE MES        7NC</v>
          </cell>
        </row>
        <row r="26848">
          <cell r="B26848" t="str">
            <v>72050103010101</v>
          </cell>
          <cell r="C26848" t="str">
            <v>IM LIN.CTA CTE CONSUMO REVOL            7NC</v>
          </cell>
        </row>
        <row r="26849">
          <cell r="B26849" t="str">
            <v>72050105000101</v>
          </cell>
          <cell r="C26849" t="str">
            <v>WBC CBMD RESP POR LINEAS DE CREDITO EN C7NC</v>
          </cell>
        </row>
        <row r="26850">
          <cell r="B26850" t="str">
            <v>72050105010101</v>
          </cell>
          <cell r="C26850" t="str">
            <v>WBC.CBMD.LIN.AV.CTA CTE ESPECIAL REVOLV 7NC</v>
          </cell>
        </row>
        <row r="26851">
          <cell r="B26851" t="str">
            <v>72050105010151</v>
          </cell>
          <cell r="C26851" t="str">
            <v>IM LIN NO UTILIZADA CTA CTE REVOL CBMD  7NC</v>
          </cell>
        </row>
        <row r="26852">
          <cell r="B26852" t="str">
            <v>72050105020101</v>
          </cell>
          <cell r="C26852" t="str">
            <v>WBC.CBMD.LIN.AV.CTA CTE ESPECIAL NO REVO7NC</v>
          </cell>
        </row>
        <row r="26853">
          <cell r="B26853" t="str">
            <v>72050106000101</v>
          </cell>
          <cell r="C26853" t="str">
            <v>WBC CSOB RESP POR LINEAS DE CREDITO EN C7NC</v>
          </cell>
        </row>
        <row r="26854">
          <cell r="B26854" t="str">
            <v>72050106010101</v>
          </cell>
          <cell r="C26854" t="str">
            <v>WBC.CSOB.LIN.AV.CTA CTE ESPECIAL REVOLV 7NC</v>
          </cell>
        </row>
        <row r="26855">
          <cell r="B26855" t="str">
            <v>72050106010151</v>
          </cell>
          <cell r="C26855" t="str">
            <v>IM LIN NO UTILIZADA CTA CTE REVOL CSOB  7NC</v>
          </cell>
        </row>
        <row r="26856">
          <cell r="B26856" t="str">
            <v>72050106020101</v>
          </cell>
          <cell r="C26856" t="str">
            <v>WBC.CSOB.LIN.AV.CTA CTE ESPECIAL NO REVO7NC</v>
          </cell>
        </row>
        <row r="26857">
          <cell r="B26857" t="str">
            <v>72050107000101</v>
          </cell>
          <cell r="C26857" t="str">
            <v>WBC CESP RESP POR LINEAS DE CREDITO EN C7NC</v>
          </cell>
        </row>
        <row r="26858">
          <cell r="B26858" t="str">
            <v>72050107010101</v>
          </cell>
          <cell r="C26858" t="str">
            <v>WBC.CESP.LIN.AV.CTA CTE ESPECIAL REVOLV 7NC</v>
          </cell>
        </row>
        <row r="26859">
          <cell r="B26859" t="str">
            <v>72050107010151</v>
          </cell>
          <cell r="C26859" t="str">
            <v>IM LIN NO UTILIZADA CTA CTE REVOL CESP  7NC</v>
          </cell>
        </row>
        <row r="26860">
          <cell r="B26860" t="str">
            <v>72050107020101</v>
          </cell>
          <cell r="C26860" t="str">
            <v>WBC.CESP.LIN.AV.CTA CTE ESPECIAL NO REVO7NC</v>
          </cell>
        </row>
        <row r="26861">
          <cell r="B26861" t="str">
            <v>72050108000101</v>
          </cell>
          <cell r="C26861" t="str">
            <v>WBC CIVA RESP POR LINEAS DE CREDITO EN C7NC</v>
          </cell>
        </row>
        <row r="26862">
          <cell r="B26862" t="str">
            <v>72050108010101</v>
          </cell>
          <cell r="C26862" t="str">
            <v>WBC.CIVA.LIN.AV.CTA CTE ESPECIAL REVOLV 7NC</v>
          </cell>
        </row>
        <row r="26863">
          <cell r="B26863" t="str">
            <v>72050108010151</v>
          </cell>
          <cell r="C26863" t="str">
            <v>IM LIN NO UTILIZADA CTA CTE REVOL CIVA  7NC</v>
          </cell>
        </row>
        <row r="26864">
          <cell r="B26864" t="str">
            <v>72050108020101</v>
          </cell>
          <cell r="C26864" t="str">
            <v>WBC.CIVA.LIN.AV.CTA CTE ESPECIAL NO REVO7NC</v>
          </cell>
        </row>
        <row r="26865">
          <cell r="B26865" t="str">
            <v>72050109000101</v>
          </cell>
          <cell r="C26865" t="str">
            <v>WBC CESF RESP POR LINEAS DE CREDITO EN C7NC</v>
          </cell>
        </row>
        <row r="26866">
          <cell r="B26866" t="str">
            <v>72050109010101</v>
          </cell>
          <cell r="C26866" t="str">
            <v>WBC.CESF.LIN.AV.CTA CTE ESPECIAL REVOLV 7NC</v>
          </cell>
        </row>
        <row r="26867">
          <cell r="B26867" t="str">
            <v>72050109010151</v>
          </cell>
          <cell r="C26867" t="str">
            <v>IM LIN NO UTILIZADA CTA CTE REVOL CESF  7NC</v>
          </cell>
        </row>
        <row r="26868">
          <cell r="B26868" t="str">
            <v>72050109020101</v>
          </cell>
          <cell r="C26868" t="str">
            <v>WBC.CESF.LIN.AV.CTA CTE ESPECIAL NO REVO7NC</v>
          </cell>
        </row>
        <row r="26869">
          <cell r="B26869" t="str">
            <v>72050110000101</v>
          </cell>
          <cell r="C26869" t="str">
            <v>WBC CCOR RESP POR LINEAS DE CREDITO EN C7NC</v>
          </cell>
        </row>
        <row r="26870">
          <cell r="B26870" t="str">
            <v>72050110010101</v>
          </cell>
          <cell r="C26870" t="str">
            <v>WBC.CCOR.LIN.AV.CTA CTE ESPECIAL REVOLV 7NC</v>
          </cell>
        </row>
        <row r="26871">
          <cell r="B26871" t="str">
            <v>72050110010151</v>
          </cell>
          <cell r="C26871" t="str">
            <v>IM LIN NO UTILIZADA CTA CTE REVOL CCOR  7NC</v>
          </cell>
        </row>
        <row r="26872">
          <cell r="B26872" t="str">
            <v>72050110020101</v>
          </cell>
          <cell r="C26872" t="str">
            <v>WBC.CCOR.LIN.AV.CTA CTE ESPECIAL NO REVO7NC</v>
          </cell>
        </row>
        <row r="26873">
          <cell r="B26873" t="str">
            <v>72050111000101</v>
          </cell>
          <cell r="C26873" t="str">
            <v>WBC CGEM RESP POR LINEAS DE CREDITO EN C7NC</v>
          </cell>
        </row>
        <row r="26874">
          <cell r="B26874" t="str">
            <v>72050111010101</v>
          </cell>
          <cell r="C26874" t="str">
            <v>WBC.CGEM.LIN.AV.CTA CTE ESPECIAL REVOLV 7NC</v>
          </cell>
        </row>
        <row r="26875">
          <cell r="B26875" t="str">
            <v>72050111010151</v>
          </cell>
          <cell r="C26875" t="str">
            <v>IM LIN NO UTILIZADA CTA CTE REVOL CGEM  7NC</v>
          </cell>
        </row>
        <row r="26876">
          <cell r="B26876" t="str">
            <v>72050111020101</v>
          </cell>
          <cell r="C26876" t="str">
            <v>WBC.CGEM.LIN.AV.CTA CTE ESPECIAL NO REVO7NC</v>
          </cell>
        </row>
        <row r="26877">
          <cell r="B26877" t="str">
            <v>72050112000101</v>
          </cell>
          <cell r="C26877" t="str">
            <v>WBC CMED RESP POR LINEAS DE CREDITO EN C7NC</v>
          </cell>
        </row>
        <row r="26878">
          <cell r="B26878" t="str">
            <v>72050112010101</v>
          </cell>
          <cell r="C26878" t="str">
            <v>WBC.CMED.LIN.AV.CTA CTE ESPECIAL REVOLV 7NC</v>
          </cell>
        </row>
        <row r="26879">
          <cell r="B26879" t="str">
            <v>72050112010151</v>
          </cell>
          <cell r="C26879" t="str">
            <v>IM LIN NO UTILIZADA CTA CTE REVOL CMED  7NC</v>
          </cell>
        </row>
        <row r="26880">
          <cell r="B26880" t="str">
            <v>72050112010152</v>
          </cell>
          <cell r="C26880" t="str">
            <v>IM LIN NO UTILIZ PN CTA CTE REVOL CMED  7NC</v>
          </cell>
        </row>
        <row r="26881">
          <cell r="B26881" t="str">
            <v>72050112010153</v>
          </cell>
          <cell r="C26881" t="str">
            <v>IM LINEA NO UTILIZ CTS EMPL CMED        7NC</v>
          </cell>
        </row>
        <row r="26882">
          <cell r="B26882" t="str">
            <v>72050112010154</v>
          </cell>
          <cell r="C26882" t="str">
            <v>IM LINEA NO UTILIZ CTS PUB CMED         7NC</v>
          </cell>
        </row>
        <row r="26883">
          <cell r="B26883" t="str">
            <v>72050112020101</v>
          </cell>
          <cell r="C26883" t="str">
            <v>WBC.CMED.LIN.AV.CTA CTE ESPECIAL NO REVO7NC</v>
          </cell>
        </row>
        <row r="26884">
          <cell r="B26884" t="str">
            <v>72050113000101</v>
          </cell>
          <cell r="C26884" t="str">
            <v>WBC CPEM RESP POR LINEAS DE CREDITO EN C7NC</v>
          </cell>
        </row>
        <row r="26885">
          <cell r="B26885" t="str">
            <v>72050113010101</v>
          </cell>
          <cell r="C26885" t="str">
            <v>WBC.CPEM.LIN.AV.CTA CTE ESPECIAL REVOLV 7NC</v>
          </cell>
        </row>
        <row r="26886">
          <cell r="B26886" t="str">
            <v>72050113010151</v>
          </cell>
          <cell r="C26886" t="str">
            <v>IM LIN NO UTILIZADA CTA CTE REVOL CPEM  7NC</v>
          </cell>
        </row>
        <row r="26887">
          <cell r="B26887" t="str">
            <v>72050113020101</v>
          </cell>
          <cell r="C26887" t="str">
            <v>WBC.CPEM.LIN.AV.CTA CTE ESPECIAL NO REVO7NC</v>
          </cell>
        </row>
        <row r="26888">
          <cell r="B26888" t="str">
            <v>72050201010101</v>
          </cell>
          <cell r="C26888" t="str">
            <v>CL LIN.DESCUENTOS REVOLVE               7NC</v>
          </cell>
        </row>
        <row r="26889">
          <cell r="B26889" t="str">
            <v>72050201010102</v>
          </cell>
          <cell r="C26889" t="str">
            <v>CL LI DSCT FACT CONFORM COM REV         7NC</v>
          </cell>
        </row>
        <row r="26890">
          <cell r="B26890" t="str">
            <v>72050201010103</v>
          </cell>
          <cell r="C26890" t="str">
            <v>WBC LIN.DESCUENTOS REVOLVE              7NC</v>
          </cell>
        </row>
        <row r="26891">
          <cell r="B26891" t="str">
            <v>72050201010104</v>
          </cell>
          <cell r="C26891" t="str">
            <v>WBC LI DSCT FACT CONFORM COM REV        7NC</v>
          </cell>
        </row>
        <row r="26892">
          <cell r="B26892" t="str">
            <v>72050201020101</v>
          </cell>
          <cell r="C26892" t="str">
            <v>CL LIN.DESCUENTOS NO REVOLVE            7NC</v>
          </cell>
        </row>
        <row r="26893">
          <cell r="B26893" t="str">
            <v>72050201020103</v>
          </cell>
          <cell r="C26893" t="str">
            <v>WBC LIN.DESCUENTOS NO REVOLVE           7NC</v>
          </cell>
        </row>
        <row r="26894">
          <cell r="B26894" t="str">
            <v>72050201020104</v>
          </cell>
          <cell r="C26894" t="str">
            <v>WBC LI DSCT FACT CONFORM COM NR         7NC</v>
          </cell>
        </row>
        <row r="26895">
          <cell r="B26895" t="str">
            <v>72050202010101</v>
          </cell>
          <cell r="C26895" t="str">
            <v>CL LIN.DESCUENTOS REVOLVE MES           7NC</v>
          </cell>
        </row>
        <row r="26896">
          <cell r="B26896" t="str">
            <v>72050202010102</v>
          </cell>
          <cell r="C26896" t="str">
            <v>CL LI DSCT FACT CONFORM MES REV         7NC</v>
          </cell>
        </row>
        <row r="26897">
          <cell r="B26897" t="str">
            <v>72050202010103</v>
          </cell>
          <cell r="C26897" t="str">
            <v>WBC LIN.DESCUENTOS REVOLVE MES          7NC</v>
          </cell>
        </row>
        <row r="26898">
          <cell r="B26898" t="str">
            <v>72050202010104</v>
          </cell>
          <cell r="C26898" t="str">
            <v>WBC LI DSCT FACT CONFORM MES REV        7NC</v>
          </cell>
        </row>
        <row r="26899">
          <cell r="B26899" t="str">
            <v>72050202020101</v>
          </cell>
          <cell r="C26899" t="str">
            <v>CL LIN.DESCUENTOS NO REVOLV MES         7NC</v>
          </cell>
        </row>
        <row r="26900">
          <cell r="B26900" t="str">
            <v>72050202020102</v>
          </cell>
          <cell r="C26900" t="str">
            <v>CL LI DSCT FACT CONFORM MES NR          7NC</v>
          </cell>
        </row>
        <row r="26901">
          <cell r="B26901" t="str">
            <v>72050202020103</v>
          </cell>
          <cell r="C26901" t="str">
            <v>WBC LIN.DESCUENTOS NO REVOLV MES        7NC</v>
          </cell>
        </row>
        <row r="26902">
          <cell r="B26902" t="str">
            <v>72050202020104</v>
          </cell>
          <cell r="C26902" t="str">
            <v>WBC LI DSCT FACT CONFORM MES NR         7NC</v>
          </cell>
        </row>
        <row r="26903">
          <cell r="B26903" t="str">
            <v>72050207010101</v>
          </cell>
          <cell r="C26903" t="str">
            <v>WBC CESP LIN DESCUENTO FACTURA REVOLVENT7NC</v>
          </cell>
        </row>
        <row r="26904">
          <cell r="B26904" t="str">
            <v>72050207010102</v>
          </cell>
          <cell r="C26904" t="str">
            <v>WBC CESP LINEA LETRAS/FACT/PAG DSCTO REV7NC</v>
          </cell>
        </row>
        <row r="26905">
          <cell r="B26905" t="str">
            <v>72050207020101</v>
          </cell>
          <cell r="C26905" t="str">
            <v>WBC CESP LIN DESCUENTO FACTURA NO REVOLV7NC</v>
          </cell>
        </row>
        <row r="26906">
          <cell r="B26906" t="str">
            <v>72050207020102</v>
          </cell>
          <cell r="C26906" t="str">
            <v>WBC CESP LINEA LETRAS/FACT/PAG DSCTO NO 7NC</v>
          </cell>
        </row>
        <row r="26907">
          <cell r="B26907" t="str">
            <v>72050208010101</v>
          </cell>
          <cell r="C26907" t="str">
            <v>WBC CIVA LIN DESCUENTO FACTURA REVOLVENT7NC</v>
          </cell>
        </row>
        <row r="26908">
          <cell r="B26908" t="str">
            <v>72050208010102</v>
          </cell>
          <cell r="C26908" t="str">
            <v>WBC CIVA LINEA LETRAS/FACT/PAG DSCTO REV7NC</v>
          </cell>
        </row>
        <row r="26909">
          <cell r="B26909" t="str">
            <v>72050208020101</v>
          </cell>
          <cell r="C26909" t="str">
            <v>WBC CIVA LIN DESCUENTO FACTURA NO REVOLV7NC</v>
          </cell>
        </row>
        <row r="26910">
          <cell r="B26910" t="str">
            <v>72050208020102</v>
          </cell>
          <cell r="C26910" t="str">
            <v>WBC CIVA LINEA LETRAS/FACT/PAG DSCTO NO 7NC</v>
          </cell>
        </row>
        <row r="26911">
          <cell r="B26911" t="str">
            <v>72050209010101</v>
          </cell>
          <cell r="C26911" t="str">
            <v>WBC CESF LIN DESCUENTO FACTURA REVOLVENT7NC</v>
          </cell>
        </row>
        <row r="26912">
          <cell r="B26912" t="str">
            <v>72050209010102</v>
          </cell>
          <cell r="C26912" t="str">
            <v>WBC CESF LINEA LETRAS/FACT/PAG DSCTO REV7NC</v>
          </cell>
        </row>
        <row r="26913">
          <cell r="B26913" t="str">
            <v>72050209020101</v>
          </cell>
          <cell r="C26913" t="str">
            <v>WBC CESF LIN DESCUENTO FACTURA NO REVOLV7NC</v>
          </cell>
        </row>
        <row r="26914">
          <cell r="B26914" t="str">
            <v>72050209020102</v>
          </cell>
          <cell r="C26914" t="str">
            <v>WBC CESF LINEA LETRAS/FACT/PAG DSCTO NO 7NC</v>
          </cell>
        </row>
        <row r="26915">
          <cell r="B26915" t="str">
            <v>72050210010101</v>
          </cell>
          <cell r="C26915" t="str">
            <v>WBC CCOR LIN DESCUENTO FACTURA REVOLVENT7NC</v>
          </cell>
        </row>
        <row r="26916">
          <cell r="B26916" t="str">
            <v>72050210010102</v>
          </cell>
          <cell r="C26916" t="str">
            <v>WBC CCOR LINEA LETRAS/FACT/PAG DSCTO REV7NC</v>
          </cell>
        </row>
        <row r="26917">
          <cell r="B26917" t="str">
            <v>72050210020101</v>
          </cell>
          <cell r="C26917" t="str">
            <v>WBC CCOR LIN DESCUENTO FACTURA NO REVOLV7NC</v>
          </cell>
        </row>
        <row r="26918">
          <cell r="B26918" t="str">
            <v>72050210020102</v>
          </cell>
          <cell r="C26918" t="str">
            <v>WBC CCOR LINEA LETRAS/FACT/PAG DSCTO NO 7NC</v>
          </cell>
        </row>
        <row r="26919">
          <cell r="B26919" t="str">
            <v>72050210020103</v>
          </cell>
          <cell r="C26919" t="str">
            <v>LINEAS CRED NO UTILIZ DESCUENTOS CCOR   7NC</v>
          </cell>
        </row>
        <row r="26920">
          <cell r="B26920" t="str">
            <v>72050211010101</v>
          </cell>
          <cell r="C26920" t="str">
            <v>WBC CGEM LIN DESCUENTO FACTURA REVOLVENT7NC</v>
          </cell>
        </row>
        <row r="26921">
          <cell r="B26921" t="str">
            <v>72050211010102</v>
          </cell>
          <cell r="C26921" t="str">
            <v>WBC CGEM LINEA LETRAS/FACT/PAG DSCTO REV7NC</v>
          </cell>
        </row>
        <row r="26922">
          <cell r="B26922" t="str">
            <v>72050211020101</v>
          </cell>
          <cell r="C26922" t="str">
            <v>WBC CGEM LIN DESCUENTO FACTURA NO REVOLV7NC</v>
          </cell>
        </row>
        <row r="26923">
          <cell r="B26923" t="str">
            <v>72050211020102</v>
          </cell>
          <cell r="C26923" t="str">
            <v>WBC CGEM LINEA LETRAS/FACT/PAG DSCTO NO 7NC</v>
          </cell>
        </row>
        <row r="26924">
          <cell r="B26924" t="str">
            <v>72050211020103</v>
          </cell>
          <cell r="C26924" t="str">
            <v>LINEAS CRED NO UTILIZ DESCUENTOS CGEM   7NC</v>
          </cell>
        </row>
        <row r="26925">
          <cell r="B26925" t="str">
            <v>72050212010101</v>
          </cell>
          <cell r="C26925" t="str">
            <v>WBC CMED LIN DESCUENTO FACTURA REVOLVENT7NC</v>
          </cell>
        </row>
        <row r="26926">
          <cell r="B26926" t="str">
            <v>72050212010102</v>
          </cell>
          <cell r="C26926" t="str">
            <v>WBC CMED LINEA LETRAS/FACT/PAG DSCTO REV7NC</v>
          </cell>
        </row>
        <row r="26927">
          <cell r="B26927" t="str">
            <v>72050212020101</v>
          </cell>
          <cell r="C26927" t="str">
            <v>WBC CMED LIN DESCUENTO FACTURA NO REVOLV7NC</v>
          </cell>
        </row>
        <row r="26928">
          <cell r="B26928" t="str">
            <v>72050212020102</v>
          </cell>
          <cell r="C26928" t="str">
            <v>WBC CMED LINEA LETRAS/FACT/PAG DSCTO NO 7NC</v>
          </cell>
        </row>
        <row r="26929">
          <cell r="B26929" t="str">
            <v>72050212020103</v>
          </cell>
          <cell r="C26929" t="str">
            <v>LINEAS CRED NO UTILIZ DESCUENTOS CMED   7NC</v>
          </cell>
        </row>
        <row r="26930">
          <cell r="B26930" t="str">
            <v>72050213010101</v>
          </cell>
          <cell r="C26930" t="str">
            <v>WBC CPEM LIN DESCUENTO FACTURA REVOLVENT7NC</v>
          </cell>
        </row>
        <row r="26931">
          <cell r="B26931" t="str">
            <v>72050213010102</v>
          </cell>
          <cell r="C26931" t="str">
            <v>WBC CPEM LINEA LETRAS/FACT/PAG DSCTO REV7NC</v>
          </cell>
        </row>
        <row r="26932">
          <cell r="B26932" t="str">
            <v>72050213020101</v>
          </cell>
          <cell r="C26932" t="str">
            <v>WBC CPEM LIN DESCUENTO FACTURA NO REVOLV7NC</v>
          </cell>
        </row>
        <row r="26933">
          <cell r="B26933" t="str">
            <v>72050213020102</v>
          </cell>
          <cell r="C26933" t="str">
            <v>WBC CPEM LINEA LETRAS/FACT/PAG DSCTO NO 7NC</v>
          </cell>
        </row>
        <row r="26934">
          <cell r="B26934" t="str">
            <v>72050213020103</v>
          </cell>
          <cell r="C26934" t="str">
            <v>LINEAS CRED NO UTILIZ DESCUENTOS CPEM   7NC</v>
          </cell>
        </row>
        <row r="26935">
          <cell r="B26935" t="str">
            <v>72050300000103</v>
          </cell>
          <cell r="C26935" t="str">
            <v>LIC LINEAS DE CRED.POR CONVENIOS        7NC</v>
          </cell>
        </row>
        <row r="26936">
          <cell r="B26936" t="str">
            <v>72050301010101</v>
          </cell>
          <cell r="C26936" t="str">
            <v>CL LIN.PAG.TV REVOLVENTE                7NC</v>
          </cell>
        </row>
        <row r="26937">
          <cell r="B26937" t="str">
            <v>72050301010102</v>
          </cell>
          <cell r="C26937" t="str">
            <v>MYP LINEA REVOLVENTE COMERCIAL          7NC</v>
          </cell>
        </row>
        <row r="26938">
          <cell r="B26938" t="str">
            <v>72050301010103</v>
          </cell>
          <cell r="C26938" t="str">
            <v>MYP LIN IMPORT CAP TRAB-COM             7NC</v>
          </cell>
        </row>
        <row r="26939">
          <cell r="B26939" t="str">
            <v>72050301010104</v>
          </cell>
          <cell r="C26939" t="str">
            <v>MYP LIN  IMPORT  ACT FIJO-COMERC        7NC</v>
          </cell>
        </row>
        <row r="26940">
          <cell r="B26940" t="str">
            <v>72050301010105</v>
          </cell>
          <cell r="C26940" t="str">
            <v>WBC LIN.PAG.TV REVOLVENTE               7NC</v>
          </cell>
        </row>
        <row r="26941">
          <cell r="B26941" t="str">
            <v>72050301020101</v>
          </cell>
          <cell r="C26941" t="str">
            <v>CL LIN.PAG.TV NO REVOLVENTE             7NC</v>
          </cell>
        </row>
        <row r="26942">
          <cell r="B26942" t="str">
            <v>72050301020102</v>
          </cell>
          <cell r="C26942" t="str">
            <v>WBC LIN.PAG.TV NO REVOLVENTE            7NC</v>
          </cell>
        </row>
        <row r="26943">
          <cell r="B26943" t="str">
            <v>72050302010101</v>
          </cell>
          <cell r="C26943" t="str">
            <v>CL LIN.PAG.TV REVOLVENTE MES            7NC</v>
          </cell>
        </row>
        <row r="26944">
          <cell r="B26944" t="str">
            <v>72050302010102</v>
          </cell>
          <cell r="C26944" t="str">
            <v>MYP LINEA REVOLVENTE MES                7NC</v>
          </cell>
        </row>
        <row r="26945">
          <cell r="B26945" t="str">
            <v>72050302010103</v>
          </cell>
          <cell r="C26945" t="str">
            <v>MYP LIN IMPORT CAP TRAB-MES             7NC</v>
          </cell>
        </row>
        <row r="26946">
          <cell r="B26946" t="str">
            <v>72050302010104</v>
          </cell>
          <cell r="C26946" t="str">
            <v>MYP LIN IMPORT ACT FIJO-MES             7NC</v>
          </cell>
        </row>
        <row r="26947">
          <cell r="B26947" t="str">
            <v>72050302010105</v>
          </cell>
          <cell r="C26947" t="str">
            <v>WBC LIN.PAG.TV REVOLVENTE MES           7NC</v>
          </cell>
        </row>
        <row r="26948">
          <cell r="B26948" t="str">
            <v>72050302020101</v>
          </cell>
          <cell r="C26948" t="str">
            <v>CL LIN.PAG.TV NO REVOLVENTE MES         7NC</v>
          </cell>
        </row>
        <row r="26949">
          <cell r="B26949" t="str">
            <v>72050302020102</v>
          </cell>
          <cell r="C26949" t="str">
            <v>WBC LIN.PAG.TV NO REVOLVENTE MES        7NC</v>
          </cell>
        </row>
        <row r="26950">
          <cell r="B26950" t="str">
            <v>72050302020201</v>
          </cell>
          <cell r="C26950" t="str">
            <v>LIC CCNR LINEAS CRED.PREST CONS CONVENIO7NC</v>
          </cell>
        </row>
        <row r="26951">
          <cell r="B26951" t="str">
            <v>72050302020401</v>
          </cell>
          <cell r="C26951" t="str">
            <v>MYP LIN  IMP CAP TRAB CMIE              7NC</v>
          </cell>
        </row>
        <row r="26952">
          <cell r="B26952" t="str">
            <v>72050302020402</v>
          </cell>
          <cell r="C26952" t="str">
            <v>MYP LIN  IMPORT  ACT FIJO CMIE          7NC</v>
          </cell>
        </row>
        <row r="26953">
          <cell r="B26953" t="str">
            <v>72050303010101</v>
          </cell>
          <cell r="C26953" t="str">
            <v>LIC LINEAS CRED.PREST CONS CONVE        7NC</v>
          </cell>
        </row>
        <row r="26954">
          <cell r="B26954" t="str">
            <v>72050303010102</v>
          </cell>
          <cell r="C26954" t="str">
            <v>IM RESP.LINEAS REVOL CTACTE CTS         7NC</v>
          </cell>
        </row>
        <row r="26955">
          <cell r="B26955" t="str">
            <v>72050303010103</v>
          </cell>
          <cell r="C26955" t="str">
            <v>LIC LINEAS CRED.PREST ADELANTO SUELDO CC7NC</v>
          </cell>
        </row>
        <row r="26956">
          <cell r="B26956" t="str">
            <v>72050303010104</v>
          </cell>
          <cell r="C26956" t="str">
            <v>LIC LINEAS CRED.PREST CONVENIO PREFERENT7NC</v>
          </cell>
        </row>
        <row r="26957">
          <cell r="B26957" t="str">
            <v>72050303020102</v>
          </cell>
          <cell r="C26957" t="str">
            <v>LIC CCNR LINEAS CRED.PREST CONS CONVENIO7NC</v>
          </cell>
        </row>
        <row r="26958">
          <cell r="B26958" t="str">
            <v>72050305010101</v>
          </cell>
          <cell r="C26958" t="str">
            <v>WBC CBMD LINEA TV REVOLVENTE            7NC</v>
          </cell>
        </row>
        <row r="26959">
          <cell r="B26959" t="str">
            <v>72050305020101</v>
          </cell>
          <cell r="C26959" t="str">
            <v>WBC CBMD LINEA TV NO REVOLVENTE         7NC</v>
          </cell>
        </row>
        <row r="26960">
          <cell r="B26960" t="str">
            <v>72050305020102</v>
          </cell>
          <cell r="C26960" t="str">
            <v>LINEAS CRED NO UTILIZ PRESTAMOS CBMD    7NC</v>
          </cell>
        </row>
        <row r="26961">
          <cell r="B26961" t="str">
            <v>72050306010101</v>
          </cell>
          <cell r="C26961" t="str">
            <v>WBC CBMD LINEA TV REVOLVENTE            7NC</v>
          </cell>
        </row>
        <row r="26962">
          <cell r="B26962" t="str">
            <v>72050306020101</v>
          </cell>
          <cell r="C26962" t="str">
            <v>WBC CBMD LINEA TV NO REVOLVENTE         7NC</v>
          </cell>
        </row>
        <row r="26963">
          <cell r="B26963" t="str">
            <v>72050306020102</v>
          </cell>
          <cell r="C26963" t="str">
            <v>LINEAS CRED NO UTILIZ PRESTAMOS CSOB    7NC</v>
          </cell>
        </row>
        <row r="26964">
          <cell r="B26964" t="str">
            <v>72050307010101</v>
          </cell>
          <cell r="C26964" t="str">
            <v>WBC CBMD LINEA TV REVOLVENTE            7NC</v>
          </cell>
        </row>
        <row r="26965">
          <cell r="B26965" t="str">
            <v>72050307020101</v>
          </cell>
          <cell r="C26965" t="str">
            <v>WBC CBMD LINEA TV NO REVOLVENTE         7NC</v>
          </cell>
        </row>
        <row r="26966">
          <cell r="B26966" t="str">
            <v>72050307020102</v>
          </cell>
          <cell r="C26966" t="str">
            <v>LINEAS CRED NO UTILIZ PRESTAMOS CESP    7NC</v>
          </cell>
        </row>
        <row r="26967">
          <cell r="B26967" t="str">
            <v>72050308010101</v>
          </cell>
          <cell r="C26967" t="str">
            <v>WBC CIVA LINEA TV REVOLVENTE            7NC</v>
          </cell>
        </row>
        <row r="26968">
          <cell r="B26968" t="str">
            <v>72050308020101</v>
          </cell>
          <cell r="C26968" t="str">
            <v>WBC CIVA LINEA TV NO REVOLVENTE         7NC</v>
          </cell>
        </row>
        <row r="26969">
          <cell r="B26969" t="str">
            <v>72050308020102</v>
          </cell>
          <cell r="C26969" t="str">
            <v>LINEAS CRED NO UTILIZ PRESTAMOS CIVA    7NC</v>
          </cell>
        </row>
        <row r="26970">
          <cell r="B26970" t="str">
            <v>72050309010101</v>
          </cell>
          <cell r="C26970" t="str">
            <v>WBC CESF LINEA TV REVOLVENTE            7NC</v>
          </cell>
        </row>
        <row r="26971">
          <cell r="B26971" t="str">
            <v>72050309020101</v>
          </cell>
          <cell r="C26971" t="str">
            <v>WBC CESF LINEA TV NO REVOLVENTE         7NC</v>
          </cell>
        </row>
        <row r="26972">
          <cell r="B26972" t="str">
            <v>72050309020102</v>
          </cell>
          <cell r="C26972" t="str">
            <v>LINEAS CRED NO UTILIZ PRESTAMOS CESF    7NC</v>
          </cell>
        </row>
        <row r="26973">
          <cell r="B26973" t="str">
            <v>72050310010101</v>
          </cell>
          <cell r="C26973" t="str">
            <v>WBC CCOR LINEA TV REVOLVENTE            7NC</v>
          </cell>
        </row>
        <row r="26974">
          <cell r="B26974" t="str">
            <v>72050310020101</v>
          </cell>
          <cell r="C26974" t="str">
            <v>WBC CCOR LINEA TV NO REVOLVENTE         7NC</v>
          </cell>
        </row>
        <row r="26975">
          <cell r="B26975" t="str">
            <v>72050310020102</v>
          </cell>
          <cell r="C26975" t="str">
            <v>LINEAS CRED NO UTILIZ PRESTAMOS CCOR    7NC</v>
          </cell>
        </row>
        <row r="26976">
          <cell r="B26976" t="str">
            <v>72050311000609</v>
          </cell>
          <cell r="C26976" t="str">
            <v>MYP LINEA REVOL CGEM                    7NC</v>
          </cell>
        </row>
        <row r="26977">
          <cell r="B26977" t="str">
            <v>72050311010101</v>
          </cell>
          <cell r="C26977" t="str">
            <v>WBC CGEM LINEA TV REVOLVENTE            7NC</v>
          </cell>
        </row>
        <row r="26978">
          <cell r="B26978" t="str">
            <v>72050311020101</v>
          </cell>
          <cell r="C26978" t="str">
            <v>WBC CGEM LINEA TV NO REVOLVENTE         7NC</v>
          </cell>
        </row>
        <row r="26979">
          <cell r="B26979" t="str">
            <v>72050311020102</v>
          </cell>
          <cell r="C26979" t="str">
            <v>LINEAS CRED NO UTILIZ PRESTAMOS CGEM    7NC</v>
          </cell>
        </row>
        <row r="26980">
          <cell r="B26980" t="str">
            <v>72050312000101</v>
          </cell>
          <cell r="C26980" t="str">
            <v>LIC ME LINEAS CRED.PREST CONS CONVENIO  7NC</v>
          </cell>
        </row>
        <row r="26981">
          <cell r="B26981" t="str">
            <v>72050312000102</v>
          </cell>
          <cell r="C26981" t="str">
            <v>MYP LINEA REVOLV CMED                   7NC</v>
          </cell>
        </row>
        <row r="26982">
          <cell r="B26982" t="str">
            <v>72050312000103</v>
          </cell>
          <cell r="C26982" t="str">
            <v>MYP LIN  IMP CAP TRAB-CMED              7NC</v>
          </cell>
        </row>
        <row r="26983">
          <cell r="B26983" t="str">
            <v>72050312000104</v>
          </cell>
          <cell r="C26983" t="str">
            <v>MYP LIN  IMPORT  ACT FIJO- CMED         7NC</v>
          </cell>
        </row>
        <row r="26984">
          <cell r="B26984" t="str">
            <v>72050312000105</v>
          </cell>
          <cell r="C26984" t="str">
            <v>MYP LINEA REVOL CMED                    7NC</v>
          </cell>
        </row>
        <row r="26985">
          <cell r="B26985" t="str">
            <v>72050312010101</v>
          </cell>
          <cell r="C26985" t="str">
            <v>WBC CMED LINEA TV REVOLVENTE            7NC</v>
          </cell>
        </row>
        <row r="26986">
          <cell r="B26986" t="str">
            <v>72050312010201</v>
          </cell>
          <cell r="C26986" t="str">
            <v>IM LINEA NO UTILIZ CTS EMP CMED         7NC</v>
          </cell>
        </row>
        <row r="26987">
          <cell r="B26987" t="str">
            <v>72050312010301</v>
          </cell>
          <cell r="C26987" t="str">
            <v>MYP LIN CAP TRABAJO REV CMED            7NC</v>
          </cell>
        </row>
        <row r="26988">
          <cell r="B26988" t="str">
            <v>72050312020101</v>
          </cell>
          <cell r="C26988" t="str">
            <v>WBC CMED LINEA TV NO REVOLVENTE         7NC</v>
          </cell>
        </row>
        <row r="26989">
          <cell r="B26989" t="str">
            <v>72050312020201</v>
          </cell>
          <cell r="C26989" t="str">
            <v>MYP LIN  IMP CAP TRAB CMED              7NC</v>
          </cell>
        </row>
        <row r="26990">
          <cell r="B26990" t="str">
            <v>72050312020202</v>
          </cell>
          <cell r="C26990" t="str">
            <v>MYP LIN  IMPORT  ACT FIJO CMED          7NC</v>
          </cell>
        </row>
        <row r="26991">
          <cell r="B26991" t="str">
            <v>72050313000101</v>
          </cell>
          <cell r="C26991" t="str">
            <v>MYP LINEA REVOL MES CPEM                7NC</v>
          </cell>
        </row>
        <row r="26992">
          <cell r="B26992" t="str">
            <v>72050313000102</v>
          </cell>
          <cell r="C26992" t="str">
            <v>MYP LINEA REVOLV CPEM                   7NC</v>
          </cell>
        </row>
        <row r="26993">
          <cell r="B26993" t="str">
            <v>72050313000103</v>
          </cell>
          <cell r="C26993" t="str">
            <v>MYP LIN  IMPORT  ACT FIJO- CPEM         7NC</v>
          </cell>
        </row>
        <row r="26994">
          <cell r="B26994" t="str">
            <v>72050313000104</v>
          </cell>
          <cell r="C26994" t="str">
            <v>MYP LIN  IMP CAP TRAB-CPEM              7NC</v>
          </cell>
        </row>
        <row r="26995">
          <cell r="B26995" t="str">
            <v>72050313010101</v>
          </cell>
          <cell r="C26995" t="str">
            <v>WBC CPEM LINEA TV REVOLVENTE            7NC</v>
          </cell>
        </row>
        <row r="26996">
          <cell r="B26996" t="str">
            <v>72050313010201</v>
          </cell>
          <cell r="C26996" t="str">
            <v>MYP LIN CAP TRABAJO REV CPEM            7NC</v>
          </cell>
        </row>
        <row r="26997">
          <cell r="B26997" t="str">
            <v>72050313020101</v>
          </cell>
          <cell r="C26997" t="str">
            <v>WBC CPEM LINEA TV NO REVOLVENTE         7NC</v>
          </cell>
        </row>
        <row r="26998">
          <cell r="B26998" t="str">
            <v>72050313020201</v>
          </cell>
          <cell r="C26998" t="str">
            <v>MYP LIN  IMP CAP TRAB CPEM              7NC</v>
          </cell>
        </row>
        <row r="26999">
          <cell r="B26999" t="str">
            <v>72050313020202</v>
          </cell>
          <cell r="C26999" t="str">
            <v>MYP LIN  IMPORT  ACT FIJO CPEM          7NC</v>
          </cell>
        </row>
        <row r="27000">
          <cell r="B27000" t="str">
            <v>72050401010101</v>
          </cell>
          <cell r="C27000" t="str">
            <v>CL LIN.C.FIANZA REVOLVENTE              7NC</v>
          </cell>
        </row>
        <row r="27001">
          <cell r="B27001" t="str">
            <v>72050401010102</v>
          </cell>
          <cell r="C27001" t="str">
            <v>WBC LIN.C.FIANZA REVOLVENTE             7NC</v>
          </cell>
        </row>
        <row r="27002">
          <cell r="B27002" t="str">
            <v>72050401020101</v>
          </cell>
          <cell r="C27002" t="str">
            <v>CL LIN.C.FIANZA NO REVOLVENTE           7NC</v>
          </cell>
        </row>
        <row r="27003">
          <cell r="B27003" t="str">
            <v>72050401020102</v>
          </cell>
          <cell r="C27003" t="str">
            <v>WBC LIN.C.FIANZA NO REVOLVENTE          7NC</v>
          </cell>
        </row>
        <row r="27004">
          <cell r="B27004" t="str">
            <v>72050402010101</v>
          </cell>
          <cell r="C27004" t="str">
            <v>CL LIN.C.FIANZA REVOLVENTE MES          7NC</v>
          </cell>
        </row>
        <row r="27005">
          <cell r="B27005" t="str">
            <v>72050402010102</v>
          </cell>
          <cell r="C27005" t="str">
            <v>WBC LIN.C.FIANZA REVOLVENTE MES         7NC</v>
          </cell>
        </row>
        <row r="27006">
          <cell r="B27006" t="str">
            <v>72050402020101</v>
          </cell>
          <cell r="C27006" t="str">
            <v>CL LIN.C.FIANZA NO REVOLV MES           7NC</v>
          </cell>
        </row>
        <row r="27007">
          <cell r="B27007" t="str">
            <v>72050402020102</v>
          </cell>
          <cell r="C27007" t="str">
            <v>WBC LIN.C.FIANZA NO REVOLV MES          7NC</v>
          </cell>
        </row>
        <row r="27008">
          <cell r="B27008" t="str">
            <v>72050403010101</v>
          </cell>
          <cell r="C27008" t="str">
            <v>RESP. POR LINEAS DE CRED REVOLVENTE - RC7NC</v>
          </cell>
        </row>
        <row r="27009">
          <cell r="B27009" t="str">
            <v>72050403010701</v>
          </cell>
          <cell r="C27009" t="str">
            <v>RCC  RESPONSABILIDAD POR LÃNEAS DE CRÃ‰7NC</v>
          </cell>
        </row>
        <row r="27010">
          <cell r="B27010" t="str">
            <v>72050405010101</v>
          </cell>
          <cell r="C27010" t="str">
            <v>WBC CBMD LIN CF REVOLV                  7NC</v>
          </cell>
        </row>
        <row r="27011">
          <cell r="B27011" t="str">
            <v>72050405020101</v>
          </cell>
          <cell r="C27011" t="str">
            <v>WBC CBMD LIN CF NO REVOLV               7NC</v>
          </cell>
        </row>
        <row r="27012">
          <cell r="B27012" t="str">
            <v>72050406010101</v>
          </cell>
          <cell r="C27012" t="str">
            <v>WBC CSOB  LIN CF REVOLV                 7NC</v>
          </cell>
        </row>
        <row r="27013">
          <cell r="B27013" t="str">
            <v>72050406020101</v>
          </cell>
          <cell r="C27013" t="str">
            <v>WBC CSOB LIN CF NO REVOLV               7NC</v>
          </cell>
        </row>
        <row r="27014">
          <cell r="B27014" t="str">
            <v>72050407010101</v>
          </cell>
          <cell r="C27014" t="str">
            <v>WBC CESP LIN CF REVOLV                  7NC</v>
          </cell>
        </row>
        <row r="27015">
          <cell r="B27015" t="str">
            <v>72050407020101</v>
          </cell>
          <cell r="C27015" t="str">
            <v>WBC CESP LIN CF NO REVOLV               7NC</v>
          </cell>
        </row>
        <row r="27016">
          <cell r="B27016" t="str">
            <v>72050407020102</v>
          </cell>
          <cell r="C27016" t="str">
            <v>LINEAS  CRED NO UTILIZ AVALES FIANZAS CE7NC</v>
          </cell>
        </row>
        <row r="27017">
          <cell r="B27017" t="str">
            <v>72050408010101</v>
          </cell>
          <cell r="C27017" t="str">
            <v>WBC CIVA LIN CF REVOLV                  7NC</v>
          </cell>
        </row>
        <row r="27018">
          <cell r="B27018" t="str">
            <v>72050408020101</v>
          </cell>
          <cell r="C27018" t="str">
            <v>WBC CIVA LIN CF NO REVOLV               7NC</v>
          </cell>
        </row>
        <row r="27019">
          <cell r="B27019" t="str">
            <v>72050408020102</v>
          </cell>
          <cell r="C27019" t="str">
            <v>LINEAS  CRED NO UTILIZ AVALES FIANZAS CI7NC</v>
          </cell>
        </row>
        <row r="27020">
          <cell r="B27020" t="str">
            <v>72050409010101</v>
          </cell>
          <cell r="C27020" t="str">
            <v>WBC CESF LIN CF REVOLV                  7NC</v>
          </cell>
        </row>
        <row r="27021">
          <cell r="B27021" t="str">
            <v>72050409020101</v>
          </cell>
          <cell r="C27021" t="str">
            <v>WBC CESF LIN CF NO REVOLV               7NC</v>
          </cell>
        </row>
        <row r="27022">
          <cell r="B27022" t="str">
            <v>72050409020102</v>
          </cell>
          <cell r="C27022" t="str">
            <v>LINEAS  CRED NO UTILIZ AVALES FIANZAS CE7NC</v>
          </cell>
        </row>
        <row r="27023">
          <cell r="B27023" t="str">
            <v>72050410010101</v>
          </cell>
          <cell r="C27023" t="str">
            <v>WBC CCOR LIN CF REVOLV                  7NC</v>
          </cell>
        </row>
        <row r="27024">
          <cell r="B27024" t="str">
            <v>72050410020101</v>
          </cell>
          <cell r="C27024" t="str">
            <v>WBC CCOR LIN CF NO REVOLV               7NC</v>
          </cell>
        </row>
        <row r="27025">
          <cell r="B27025" t="str">
            <v>72050410020102</v>
          </cell>
          <cell r="C27025" t="str">
            <v>LINEAS  CRED NO UTILIZ AVALES FIANZAS CC7NC</v>
          </cell>
        </row>
        <row r="27026">
          <cell r="B27026" t="str">
            <v>72050411010101</v>
          </cell>
          <cell r="C27026" t="str">
            <v>WBC CGEM LIN CF REVOLV                  7NC</v>
          </cell>
        </row>
        <row r="27027">
          <cell r="B27027" t="str">
            <v>72050411020101</v>
          </cell>
          <cell r="C27027" t="str">
            <v>WBC CGEM LIN CF NO REVOLV               7NC</v>
          </cell>
        </row>
        <row r="27028">
          <cell r="B27028" t="str">
            <v>72050411020102</v>
          </cell>
          <cell r="C27028" t="str">
            <v>LINEAS  CRED NO UTILIZ AVALES FIANZAS CG7NC</v>
          </cell>
        </row>
        <row r="27029">
          <cell r="B27029" t="str">
            <v>72050412010101</v>
          </cell>
          <cell r="C27029" t="str">
            <v>WBC CMED LIN CF REVOLV                  7NC</v>
          </cell>
        </row>
        <row r="27030">
          <cell r="B27030" t="str">
            <v>72050412020101</v>
          </cell>
          <cell r="C27030" t="str">
            <v>WBC CMED LIN CF NO REVOLV               7NC</v>
          </cell>
        </row>
        <row r="27031">
          <cell r="B27031" t="str">
            <v>72050412020102</v>
          </cell>
          <cell r="C27031" t="str">
            <v>LINEAS  CRED NO UTILIZ AVALES FIANZAS CM7NC</v>
          </cell>
        </row>
        <row r="27032">
          <cell r="B27032" t="str">
            <v>72050413010101</v>
          </cell>
          <cell r="C27032" t="str">
            <v>WBC CPEM LIN CF REVOLV                  7NC</v>
          </cell>
        </row>
        <row r="27033">
          <cell r="B27033" t="str">
            <v>72050413020101</v>
          </cell>
          <cell r="C27033" t="str">
            <v>WBC CPEM LIN CF NO REVOLV               7NC</v>
          </cell>
        </row>
        <row r="27034">
          <cell r="B27034" t="str">
            <v>72050413020102</v>
          </cell>
          <cell r="C27034" t="str">
            <v>LINEAS  CRED NO UTILIZ AVALES FIANZAS CP7NC</v>
          </cell>
        </row>
        <row r="27035">
          <cell r="B27035" t="str">
            <v>72050500000101</v>
          </cell>
          <cell r="C27035" t="str">
            <v>CL LINEA CARTA CREDITO .                7NC</v>
          </cell>
        </row>
        <row r="27036">
          <cell r="B27036" t="str">
            <v>72050501010101</v>
          </cell>
          <cell r="C27036" t="str">
            <v>CL LIN.CARTA CRED. REVOLVENTE           7NC</v>
          </cell>
        </row>
        <row r="27037">
          <cell r="B27037" t="str">
            <v>72050501010102</v>
          </cell>
          <cell r="C27037" t="str">
            <v>WBC LIN.CARTA CRED. REVOLVENTE          7NC</v>
          </cell>
        </row>
        <row r="27038">
          <cell r="B27038" t="str">
            <v>72050501020101</v>
          </cell>
          <cell r="C27038" t="str">
            <v>CL LIN.CARTA CRED.NO REVOLVEN           7NC</v>
          </cell>
        </row>
        <row r="27039">
          <cell r="B27039" t="str">
            <v>72050501020102</v>
          </cell>
          <cell r="C27039" t="str">
            <v>WBC LIN.CARTA CRED.NO REVOLVEN          7NC</v>
          </cell>
        </row>
        <row r="27040">
          <cell r="B27040" t="str">
            <v>72050502010101</v>
          </cell>
          <cell r="C27040" t="str">
            <v>CL LIN.CARTA CRED.REVOLVEN MES          7NC</v>
          </cell>
        </row>
        <row r="27041">
          <cell r="B27041" t="str">
            <v>72050502010102</v>
          </cell>
          <cell r="C27041" t="str">
            <v>WBC LIN.CARTA CRED.REVOLVEN MES         7NC</v>
          </cell>
        </row>
        <row r="27042">
          <cell r="B27042" t="str">
            <v>72050502020101</v>
          </cell>
          <cell r="C27042" t="str">
            <v>CL LIN.CARTA CRED.NO REVOL MES          7NC</v>
          </cell>
        </row>
        <row r="27043">
          <cell r="B27043" t="str">
            <v>72050502020102</v>
          </cell>
          <cell r="C27043" t="str">
            <v>WBC LIN.CARTA CRED.NO REVOL MES         7NC</v>
          </cell>
        </row>
        <row r="27044">
          <cell r="B27044" t="str">
            <v>72050507010101</v>
          </cell>
          <cell r="C27044" t="str">
            <v>WBC CESP LIN CARTA CRED REVOLV          7NC</v>
          </cell>
        </row>
        <row r="27045">
          <cell r="B27045" t="str">
            <v>72050507020101</v>
          </cell>
          <cell r="C27045" t="str">
            <v>WBC CESP LIN CARTA CRED NO REVOLV       7NC</v>
          </cell>
        </row>
        <row r="27046">
          <cell r="B27046" t="str">
            <v>72050507020102</v>
          </cell>
          <cell r="C27046" t="str">
            <v>LINEAS  CRED NO UTILIZ CARTAS CREDITO CE7NC</v>
          </cell>
        </row>
        <row r="27047">
          <cell r="B27047" t="str">
            <v>72050508010101</v>
          </cell>
          <cell r="C27047" t="str">
            <v>WBC CIVA LIN CARTA CRED REVOLV          7NC</v>
          </cell>
        </row>
        <row r="27048">
          <cell r="B27048" t="str">
            <v>72050508020101</v>
          </cell>
          <cell r="C27048" t="str">
            <v>WBC CIVA LIN CARTA CRED NO REVOLV       7NC</v>
          </cell>
        </row>
        <row r="27049">
          <cell r="B27049" t="str">
            <v>72050510010101</v>
          </cell>
          <cell r="C27049" t="str">
            <v>WBC CCOR LIN CARTA CRED REVOLV          7NC</v>
          </cell>
        </row>
        <row r="27050">
          <cell r="B27050" t="str">
            <v>72050510010102</v>
          </cell>
          <cell r="C27050" t="str">
            <v>LINEAS  CRED NO UTILIZ CARTAS CREDITO CC7NC</v>
          </cell>
        </row>
        <row r="27051">
          <cell r="B27051" t="str">
            <v>72050510020101</v>
          </cell>
          <cell r="C27051" t="str">
            <v>WBC CCOR LIN CARTA CRED NO REVOLV       7NC</v>
          </cell>
        </row>
        <row r="27052">
          <cell r="B27052" t="str">
            <v>72050511010101</v>
          </cell>
          <cell r="C27052" t="str">
            <v>WBC CGEM LIN CARTA CRED REVOLV          7NC</v>
          </cell>
        </row>
        <row r="27053">
          <cell r="B27053" t="str">
            <v>72050511020101</v>
          </cell>
          <cell r="C27053" t="str">
            <v>WBC CGEM LIN CARTA CRED NO REVOLV       7NC</v>
          </cell>
        </row>
        <row r="27054">
          <cell r="B27054" t="str">
            <v>72050511020102</v>
          </cell>
          <cell r="C27054" t="str">
            <v>LINEAS  CRED NO UTILIZ CARTAS CREDITO CG7NC</v>
          </cell>
        </row>
        <row r="27055">
          <cell r="B27055" t="str">
            <v>72050512010101</v>
          </cell>
          <cell r="C27055" t="str">
            <v>WBC CMED LIN CARTA CRED REVOLV          7NC</v>
          </cell>
        </row>
        <row r="27056">
          <cell r="B27056" t="str">
            <v>72050512020101</v>
          </cell>
          <cell r="C27056" t="str">
            <v>WBC CMED LIN CARTA CRED NO REVOLV       7NC</v>
          </cell>
        </row>
        <row r="27057">
          <cell r="B27057" t="str">
            <v>72050512020102</v>
          </cell>
          <cell r="C27057" t="str">
            <v>LINEAS  CRED NO UTILIZ CARTAS CREDITO CM7NC</v>
          </cell>
        </row>
        <row r="27058">
          <cell r="B27058" t="str">
            <v>72050513010101</v>
          </cell>
          <cell r="C27058" t="str">
            <v>WBC CPEM LIN CARTA CRED REVOLV          7NC</v>
          </cell>
        </row>
        <row r="27059">
          <cell r="B27059" t="str">
            <v>72050513020101</v>
          </cell>
          <cell r="C27059" t="str">
            <v>WBC CPEM LIN CARTA CRED NO REVOLV       7NC</v>
          </cell>
        </row>
        <row r="27060">
          <cell r="B27060" t="str">
            <v>72050513020102</v>
          </cell>
          <cell r="C27060" t="str">
            <v>LINEAS  CRED NO UTILIZ CARTAS CREDITO CP7NC</v>
          </cell>
        </row>
        <row r="27061">
          <cell r="B27061" t="str">
            <v>72050601000101</v>
          </cell>
          <cell r="C27061" t="str">
            <v>TC LIN CRED NO UTILIZ COMERCIAL         7NC</v>
          </cell>
        </row>
        <row r="27062">
          <cell r="B27062" t="str">
            <v>72050602000101</v>
          </cell>
          <cell r="C27062" t="str">
            <v>TC LIN CRED NO UTILIZADA MES            7NC</v>
          </cell>
        </row>
        <row r="27063">
          <cell r="B27063" t="str">
            <v>72050602000102</v>
          </cell>
          <cell r="C27063" t="str">
            <v>RESP X LINEAS CRED TARJETA CREDITO CMIE 7NC</v>
          </cell>
        </row>
        <row r="27064">
          <cell r="B27064" t="str">
            <v>72050602000103</v>
          </cell>
          <cell r="C27064" t="str">
            <v>TC LINEA DE CREDITO NO UTILIZADA CMIE   7NC</v>
          </cell>
        </row>
        <row r="27065">
          <cell r="B27065" t="str">
            <v>72050603000101</v>
          </cell>
          <cell r="C27065" t="str">
            <v>RESP X LINEAS CRED TARJETAS DE CREDIT   7NC</v>
          </cell>
        </row>
        <row r="27066">
          <cell r="B27066" t="str">
            <v>72050603000102</v>
          </cell>
          <cell r="C27066" t="str">
            <v>RESP X LINEAS CRED TARJETA CREDITO CONSU7NC</v>
          </cell>
        </row>
        <row r="27067">
          <cell r="B27067" t="str">
            <v>72050603000103</v>
          </cell>
          <cell r="C27067" t="str">
            <v>TC LINEA DE CREDITO NO UTILIZADA CCRV   7NC</v>
          </cell>
        </row>
        <row r="27068">
          <cell r="B27068" t="str">
            <v>72050603000104</v>
          </cell>
          <cell r="C27068" t="str">
            <v>TC LINEA DE CREDITO NO UTILIZADA CCNR   7NC</v>
          </cell>
        </row>
        <row r="27069">
          <cell r="B27069" t="str">
            <v>72050603000105</v>
          </cell>
          <cell r="C27069" t="str">
            <v>BTC LINEA DE CREDITO NO UTILIZADA CCRV  7NC</v>
          </cell>
        </row>
        <row r="27070">
          <cell r="B27070" t="str">
            <v>72050607000101</v>
          </cell>
          <cell r="C27070" t="str">
            <v>RESP X LINEAS CRED TARJETA CREDITO CESP 7NC</v>
          </cell>
        </row>
        <row r="27071">
          <cell r="B27071" t="str">
            <v>72050607000102</v>
          </cell>
          <cell r="C27071" t="str">
            <v>TC LINEA DE CREDITO NO UTILIZADA CESP   7NC</v>
          </cell>
        </row>
        <row r="27072">
          <cell r="B27072" t="str">
            <v>72050607000103</v>
          </cell>
          <cell r="C27072" t="str">
            <v>TC LINEA DE CRED NO UTILIZADA CESP - RCC7NC</v>
          </cell>
        </row>
        <row r="27073">
          <cell r="B27073" t="str">
            <v>72050608000101</v>
          </cell>
          <cell r="C27073" t="str">
            <v>RESP X LINEAS CRED TARJETA CREDITO CIVA 7NC</v>
          </cell>
        </row>
        <row r="27074">
          <cell r="B27074" t="str">
            <v>72050608000102</v>
          </cell>
          <cell r="C27074" t="str">
            <v>TC LINEA DE CREDITO NO UTILIZADA CIVA   7NC</v>
          </cell>
        </row>
        <row r="27075">
          <cell r="B27075" t="str">
            <v>72050609000101</v>
          </cell>
          <cell r="C27075" t="str">
            <v>RESP X LINEAS CRED TARJETA CREDITO CE   7NC</v>
          </cell>
        </row>
        <row r="27076">
          <cell r="B27076" t="str">
            <v>72050609000102</v>
          </cell>
          <cell r="C27076" t="str">
            <v>TC LINEA DE CREDITO NO UTILIZADA CESF   7NC</v>
          </cell>
        </row>
        <row r="27077">
          <cell r="B27077" t="str">
            <v>72050610000101</v>
          </cell>
          <cell r="C27077" t="str">
            <v>RESP X LINEAS DE CRED TARJETA CREDITO CC7NC</v>
          </cell>
        </row>
        <row r="27078">
          <cell r="B27078" t="str">
            <v>72050610000102</v>
          </cell>
          <cell r="C27078" t="str">
            <v>TC LINEA DE CREDITO NO UTILIZADA CBMD   7NC</v>
          </cell>
        </row>
        <row r="27079">
          <cell r="B27079" t="str">
            <v>72050610000103</v>
          </cell>
          <cell r="C27079" t="str">
            <v>TC LINEA DE CREDITO NO UTILIZADA CCOR   7NC</v>
          </cell>
        </row>
        <row r="27080">
          <cell r="B27080" t="str">
            <v>72050610000104</v>
          </cell>
          <cell r="C27080" t="str">
            <v>TC LINEA DE CREDITO NO UTILIZADA CSOB   7NC</v>
          </cell>
        </row>
        <row r="27081">
          <cell r="B27081" t="str">
            <v>72050611000101</v>
          </cell>
          <cell r="C27081" t="str">
            <v>RESP X LINEAS CRED TARJETA CREDITO  CGEM7NC</v>
          </cell>
        </row>
        <row r="27082">
          <cell r="B27082" t="str">
            <v>72050611000102</v>
          </cell>
          <cell r="C27082" t="str">
            <v>TC LINEA DE CREDITO NO UTILIZADA CGEM   7NC</v>
          </cell>
        </row>
        <row r="27083">
          <cell r="B27083" t="str">
            <v>72050612000101</v>
          </cell>
          <cell r="C27083" t="str">
            <v>RESP X LINEAS CRED TARJETA CREDITO CMED 7NC</v>
          </cell>
        </row>
        <row r="27084">
          <cell r="B27084" t="str">
            <v>72050612000102</v>
          </cell>
          <cell r="C27084" t="str">
            <v>TC LINEA DE CREDITO NO UTILIZADA CMED   7NC</v>
          </cell>
        </row>
        <row r="27085">
          <cell r="B27085" t="str">
            <v>72050613000101</v>
          </cell>
          <cell r="C27085" t="str">
            <v>RESP X LINEAS CRED TARJETA CREDITO  CPEM7NC</v>
          </cell>
        </row>
        <row r="27086">
          <cell r="B27086" t="str">
            <v>72050613000102</v>
          </cell>
          <cell r="C27086" t="str">
            <v>TC LINEA DE CREDITO NO UTILIZADA CPEM   7NC</v>
          </cell>
        </row>
        <row r="27087">
          <cell r="B27087" t="str">
            <v>72050700000101</v>
          </cell>
          <cell r="C27087" t="str">
            <v>CL LIN.CRED. OTORGA.NO DESEMB           7NC</v>
          </cell>
        </row>
        <row r="27088">
          <cell r="B27088" t="str">
            <v>72050700000104</v>
          </cell>
          <cell r="C27088" t="str">
            <v>720507000001040000                      7NC</v>
          </cell>
        </row>
        <row r="27089">
          <cell r="B27089" t="str">
            <v>72050700000105</v>
          </cell>
          <cell r="C27089" t="str">
            <v>CTRACTA LIN CRED REMESAS COSTA MAR      7NC</v>
          </cell>
        </row>
        <row r="27090">
          <cell r="B27090" t="str">
            <v>72050700000106</v>
          </cell>
          <cell r="C27090" t="str">
            <v>CTRACTA LIN CRED REMESAS AFEX           7NC</v>
          </cell>
        </row>
        <row r="27091">
          <cell r="B27091" t="str">
            <v>72050700000107</v>
          </cell>
          <cell r="C27091" t="str">
            <v>CTRACTA LIN CRED REMESAS BANCOME        7NC</v>
          </cell>
        </row>
        <row r="27092">
          <cell r="B27092" t="str">
            <v>72050700000108</v>
          </cell>
          <cell r="C27092" t="str">
            <v>CTRACTA LIN CRED REMESAS DOLEX          7NC</v>
          </cell>
        </row>
        <row r="27093">
          <cell r="B27093" t="str">
            <v>72050700000109</v>
          </cell>
          <cell r="C27093" t="str">
            <v>CTRACTA LIN CRED REMESAS BTS            7NC</v>
          </cell>
        </row>
        <row r="27094">
          <cell r="B27094" t="str">
            <v>72050700000111</v>
          </cell>
          <cell r="C27094" t="str">
            <v>CTRACTA LIN CRED REMESAS UNITELL        7NC</v>
          </cell>
        </row>
        <row r="27095">
          <cell r="B27095" t="str">
            <v>72050700000112</v>
          </cell>
          <cell r="C27095" t="str">
            <v>UNITED EXPERT                           7NC</v>
          </cell>
        </row>
        <row r="27096">
          <cell r="B27096" t="str">
            <v>72050700000113</v>
          </cell>
          <cell r="C27096" t="str">
            <v>GARMEY                                  7NC</v>
          </cell>
        </row>
        <row r="27097">
          <cell r="B27097" t="str">
            <v>72050700000114</v>
          </cell>
          <cell r="C27097" t="str">
            <v>GLOBAL ACCESS                           7NC</v>
          </cell>
        </row>
        <row r="27098">
          <cell r="B27098" t="str">
            <v>72050700000115</v>
          </cell>
          <cell r="C27098" t="str">
            <v>CRTCTA LIN CREDITO REMESAS B.H.D        7NC</v>
          </cell>
        </row>
        <row r="27099">
          <cell r="B27099" t="str">
            <v>72050700000116</v>
          </cell>
          <cell r="C27099" t="str">
            <v>CTRCTA LIN CREDITO REMESAS SIGUE        7NC</v>
          </cell>
        </row>
        <row r="27100">
          <cell r="B27100" t="str">
            <v>72050700000117</v>
          </cell>
          <cell r="C27100" t="str">
            <v>VIAMERICAS                              7NC</v>
          </cell>
        </row>
        <row r="27101">
          <cell r="B27101" t="str">
            <v>72050700000118</v>
          </cell>
          <cell r="C27101" t="str">
            <v>CTRCTA LIN CREDITO REMESAS RIAENVIA     7NC</v>
          </cell>
        </row>
        <row r="27102">
          <cell r="B27102" t="str">
            <v>72050700000119</v>
          </cell>
          <cell r="C27102" t="str">
            <v>VIGO                                    7NC</v>
          </cell>
        </row>
        <row r="27103">
          <cell r="B27103" t="str">
            <v>72050700000120</v>
          </cell>
          <cell r="C27103" t="str">
            <v>CHAVIN CASH                             7NC</v>
          </cell>
        </row>
        <row r="27104">
          <cell r="B27104" t="str">
            <v>72050700000121</v>
          </cell>
          <cell r="C27104" t="str">
            <v>PRONTO ENVÍOS                           7NC</v>
          </cell>
        </row>
        <row r="27105">
          <cell r="B27105" t="str">
            <v>72050700000123</v>
          </cell>
          <cell r="C27105" t="str">
            <v>XOOM                                    7NC</v>
          </cell>
        </row>
        <row r="27106">
          <cell r="B27106" t="str">
            <v>72050700000125</v>
          </cell>
          <cell r="C27106" t="str">
            <v>TRANSFAST                               7NC</v>
          </cell>
        </row>
        <row r="27107">
          <cell r="B27107" t="str">
            <v>72050700000126</v>
          </cell>
          <cell r="C27107" t="str">
            <v>MEXICO EXPRESS                          7NC</v>
          </cell>
        </row>
        <row r="27108">
          <cell r="B27108" t="str">
            <v>72050700000127</v>
          </cell>
          <cell r="C27108" t="str">
            <v>AFEX-USA                                7NC</v>
          </cell>
        </row>
        <row r="27109">
          <cell r="B27109" t="str">
            <v>72050700000128</v>
          </cell>
          <cell r="C27109" t="str">
            <v>CTRCTA LIN CRED REM GIROSOL             7NC</v>
          </cell>
        </row>
        <row r="27110">
          <cell r="B27110" t="str">
            <v>72050700000129</v>
          </cell>
          <cell r="C27110" t="str">
            <v>BOB TRAVEL                              7NC</v>
          </cell>
        </row>
        <row r="27111">
          <cell r="B27111" t="str">
            <v>72050700000130</v>
          </cell>
          <cell r="C27111" t="str">
            <v>R &amp; T                                   7NC</v>
          </cell>
        </row>
        <row r="27112">
          <cell r="B27112" t="str">
            <v>72050700000133</v>
          </cell>
          <cell r="C27112" t="str">
            <v>INTERSERVICE                            7NC</v>
          </cell>
        </row>
        <row r="27113">
          <cell r="B27113" t="str">
            <v>72050700000134</v>
          </cell>
          <cell r="C27113" t="str">
            <v>MFI-CORP                                7NC</v>
          </cell>
        </row>
        <row r="27114">
          <cell r="B27114" t="str">
            <v>72050700000135</v>
          </cell>
          <cell r="C27114" t="str">
            <v>MONEY KING                              7NC</v>
          </cell>
        </row>
        <row r="27115">
          <cell r="B27115" t="str">
            <v>72050700000137</v>
          </cell>
          <cell r="C27115" t="str">
            <v>CL LINEA PARA FACTORING                 7NC</v>
          </cell>
        </row>
        <row r="27116">
          <cell r="B27116" t="str">
            <v>72050700000138</v>
          </cell>
          <cell r="C27116" t="str">
            <v>WBC LIN.CRED. OTORGA.NO DESEMB.         7NC</v>
          </cell>
        </row>
        <row r="27117">
          <cell r="B27117" t="str">
            <v>72050700000139</v>
          </cell>
          <cell r="C27117" t="str">
            <v>WBC LINEA PARA FACTORING                7NC</v>
          </cell>
        </row>
        <row r="27118">
          <cell r="B27118" t="str">
            <v>72050700000140</v>
          </cell>
          <cell r="C27118" t="str">
            <v>CTRACTA LIN CRED SIGUE GLOBAL           7NC</v>
          </cell>
        </row>
        <row r="27119">
          <cell r="B27119" t="str">
            <v>72050702000103</v>
          </cell>
          <cell r="C27119" t="str">
            <v>LINEAS  CRED NO UTILIZ X CRED OTORG NO D7NC</v>
          </cell>
        </row>
        <row r="27120">
          <cell r="B27120" t="str">
            <v>72050702010101</v>
          </cell>
          <cell r="C27120" t="str">
            <v>WBC CMIE LIN FACTORING INTERNACIONAL REV7NC</v>
          </cell>
        </row>
        <row r="27121">
          <cell r="B27121" t="str">
            <v>72050702010102</v>
          </cell>
          <cell r="C27121" t="str">
            <v>WBC CMIE LINEA  REVOLEVNTE              7NC</v>
          </cell>
        </row>
        <row r="27122">
          <cell r="B27122" t="str">
            <v>72050702020101</v>
          </cell>
          <cell r="C27122" t="str">
            <v>WBC CMIE LIN FACTORING INTERNACIONAL NO 7NC</v>
          </cell>
        </row>
        <row r="27123">
          <cell r="B27123" t="str">
            <v>72050702020102</v>
          </cell>
          <cell r="C27123" t="str">
            <v>WBC CMIE LINEA NO REVOLVENTE            7NC</v>
          </cell>
        </row>
        <row r="27124">
          <cell r="B27124" t="str">
            <v>72050702020103</v>
          </cell>
          <cell r="C27124" t="str">
            <v>WBC CMIE LNR PERU FACTORING             7NC</v>
          </cell>
        </row>
        <row r="27125">
          <cell r="B27125" t="str">
            <v>72050702020104</v>
          </cell>
          <cell r="C27125" t="str">
            <v>WBC LEASING ESPECIALIZADO CMIE          7NC</v>
          </cell>
        </row>
        <row r="27126">
          <cell r="B27126" t="str">
            <v>72050702020105</v>
          </cell>
          <cell r="C27126" t="str">
            <v>WBC LEASEBACK ESPECIALIZADO CMIE        7NC</v>
          </cell>
        </row>
        <row r="27127">
          <cell r="B27127" t="str">
            <v>72050702020106</v>
          </cell>
          <cell r="C27127" t="str">
            <v>WBC PAGARES TASA VENC ESPECIALIZADO CMIE7NC</v>
          </cell>
        </row>
        <row r="27128">
          <cell r="B27128" t="str">
            <v>72050702020107</v>
          </cell>
          <cell r="C27128" t="str">
            <v>WBC PAG MEDIANO PLAZO ESPECIALIZADO CMIE7NC</v>
          </cell>
        </row>
        <row r="27129">
          <cell r="B27129" t="str">
            <v>72050702020108</v>
          </cell>
          <cell r="C27129" t="str">
            <v>WBC PAG INMOB TASA VENC ESPECIALIZADO CM7NC</v>
          </cell>
        </row>
        <row r="27130">
          <cell r="B27130" t="str">
            <v>72050703000101</v>
          </cell>
          <cell r="C27130" t="str">
            <v>LINEAS  CRED NO UTILIZ X CRED OTORG NO D7NC</v>
          </cell>
        </row>
        <row r="27131">
          <cell r="B27131" t="str">
            <v>72050703000102</v>
          </cell>
          <cell r="C27131" t="str">
            <v>RESP. POR LINEAS DE CRED OTORG NO DESEM 7NC</v>
          </cell>
        </row>
        <row r="27132">
          <cell r="B27132" t="str">
            <v>72050704000101</v>
          </cell>
          <cell r="C27132" t="str">
            <v>LINEAS  CRED NO UTILIZ X CRED OTORG NO D7NC</v>
          </cell>
        </row>
        <row r="27133">
          <cell r="B27133" t="str">
            <v>72050704000102</v>
          </cell>
          <cell r="C27133" t="str">
            <v>RESP. POR LINEAS DE CRED OTORG NO DESEM 7NC</v>
          </cell>
        </row>
        <row r="27134">
          <cell r="B27134" t="str">
            <v>72050705010101</v>
          </cell>
          <cell r="C27134" t="str">
            <v>WBC CBMD LIN FACTORING INTERNACIONAL REV7NC</v>
          </cell>
        </row>
        <row r="27135">
          <cell r="B27135" t="str">
            <v>72050705010102</v>
          </cell>
          <cell r="C27135" t="str">
            <v>WBC CBMD LINEA REVOLEVNTE               7NC</v>
          </cell>
        </row>
        <row r="27136">
          <cell r="B27136" t="str">
            <v>72050705020101</v>
          </cell>
          <cell r="C27136" t="str">
            <v>WBC CBMD LNR PERU FACTORING             7NC</v>
          </cell>
        </row>
        <row r="27137">
          <cell r="B27137" t="str">
            <v>72050705020102</v>
          </cell>
          <cell r="C27137" t="str">
            <v>WBC CBMD LINEA NO REVOLVENTE            7NC</v>
          </cell>
        </row>
        <row r="27138">
          <cell r="B27138" t="str">
            <v>72050706010101</v>
          </cell>
          <cell r="C27138" t="str">
            <v>WBC CBMD LIN FACTORING INTERNACIONAL REV7NC</v>
          </cell>
        </row>
        <row r="27139">
          <cell r="B27139" t="str">
            <v>72050706010102</v>
          </cell>
          <cell r="C27139" t="str">
            <v>WBC CSOB LINEA REVOLVENTE               7NC</v>
          </cell>
        </row>
        <row r="27140">
          <cell r="B27140" t="str">
            <v>72050706020101</v>
          </cell>
          <cell r="C27140" t="str">
            <v>WBC CSOB LNR PERU FACTORING             7NC</v>
          </cell>
        </row>
        <row r="27141">
          <cell r="B27141" t="str">
            <v>72050706020102</v>
          </cell>
          <cell r="C27141" t="str">
            <v>WBC CSOB LINEA NO REVOLVENTE            7NC</v>
          </cell>
        </row>
        <row r="27142">
          <cell r="B27142" t="str">
            <v>72050707000103</v>
          </cell>
          <cell r="C27142" t="str">
            <v>LINEAS  CRED NO UTILIZ X CRED OTORG NO D7NC</v>
          </cell>
        </row>
        <row r="27143">
          <cell r="B27143" t="str">
            <v>72050707010101</v>
          </cell>
          <cell r="C27143" t="str">
            <v>WBC CESP LIN FACTORING INTERNACIONAL REV7NC</v>
          </cell>
        </row>
        <row r="27144">
          <cell r="B27144" t="str">
            <v>72050707010102</v>
          </cell>
          <cell r="C27144" t="str">
            <v>WBC CESP LINEA REVOLVENTE               7NC</v>
          </cell>
        </row>
        <row r="27145">
          <cell r="B27145" t="str">
            <v>72050707020101</v>
          </cell>
          <cell r="C27145" t="str">
            <v>WBC CESP LNR PERU FACTORING             7NC</v>
          </cell>
        </row>
        <row r="27146">
          <cell r="B27146" t="str">
            <v>72050707020102</v>
          </cell>
          <cell r="C27146" t="str">
            <v>WBC CESP LINEA NO REVOLVENTE            7NC</v>
          </cell>
        </row>
        <row r="27147">
          <cell r="B27147" t="str">
            <v>72050708000103</v>
          </cell>
          <cell r="C27147" t="str">
            <v>CTRACTA LIN CRED EMPRESAS REMESADORAS   7NC</v>
          </cell>
        </row>
        <row r="27148">
          <cell r="B27148" t="str">
            <v>72050708010101</v>
          </cell>
          <cell r="C27148" t="str">
            <v>WBC CIVA LNR PERU FACTORING             7NC</v>
          </cell>
        </row>
        <row r="27149">
          <cell r="B27149" t="str">
            <v>72050708010102</v>
          </cell>
          <cell r="C27149" t="str">
            <v>WBC CIVA LINEA REVOLVENTE               7NC</v>
          </cell>
        </row>
        <row r="27150">
          <cell r="B27150" t="str">
            <v>72050708020101</v>
          </cell>
          <cell r="C27150" t="str">
            <v>WBC CIVA LIN FACTORING INTERNACIONAL NO 7NC</v>
          </cell>
        </row>
        <row r="27151">
          <cell r="B27151" t="str">
            <v>72050708020102</v>
          </cell>
          <cell r="C27151" t="str">
            <v>WBC CIVA LINEA NO REVOLVENTE            7NC</v>
          </cell>
        </row>
        <row r="27152">
          <cell r="B27152" t="str">
            <v>72050709000103</v>
          </cell>
          <cell r="C27152" t="str">
            <v>LINEAS  CRED NO UTILIZ X CRED OTORG NO D7NC</v>
          </cell>
        </row>
        <row r="27153">
          <cell r="B27153" t="str">
            <v>72050709010101</v>
          </cell>
          <cell r="C27153" t="str">
            <v>WBC CESF LIN FACTORING INTERNACIONAL REV7NC</v>
          </cell>
        </row>
        <row r="27154">
          <cell r="B27154" t="str">
            <v>72050709010102</v>
          </cell>
          <cell r="C27154" t="str">
            <v>WBC CESF LINEA REVOLVENTE               7NC</v>
          </cell>
        </row>
        <row r="27155">
          <cell r="B27155" t="str">
            <v>72050709020101</v>
          </cell>
          <cell r="C27155" t="str">
            <v>WBC CESF LNR PERU FACTORING             7NC</v>
          </cell>
        </row>
        <row r="27156">
          <cell r="B27156" t="str">
            <v>72050709020102</v>
          </cell>
          <cell r="C27156" t="str">
            <v>WBC CESF LINEA NO REVOLVENTE            7NC</v>
          </cell>
        </row>
        <row r="27157">
          <cell r="B27157" t="str">
            <v>72050709020103</v>
          </cell>
          <cell r="C27157" t="str">
            <v>WBC LEASING ESPECIALIZADO CESF          7NC</v>
          </cell>
        </row>
        <row r="27158">
          <cell r="B27158" t="str">
            <v>72050709020104</v>
          </cell>
          <cell r="C27158" t="str">
            <v>WBC LEASEBACK ESPECIALIZADO CESF        7NC</v>
          </cell>
        </row>
        <row r="27159">
          <cell r="B27159" t="str">
            <v>72050709020105</v>
          </cell>
          <cell r="C27159" t="str">
            <v>WBC PAGARES TASA VENC ESPECIALIZADO CESF7NC</v>
          </cell>
        </row>
        <row r="27160">
          <cell r="B27160" t="str">
            <v>72050709020106</v>
          </cell>
          <cell r="C27160" t="str">
            <v>WBC PAG MEDIANO PLAZO ESPECIALIZADO CESF7NC</v>
          </cell>
        </row>
        <row r="27161">
          <cell r="B27161" t="str">
            <v>72050709020107</v>
          </cell>
          <cell r="C27161" t="str">
            <v>WBC PAG INMOB TASA VENC ESPECIALIZADO CE7NC</v>
          </cell>
        </row>
        <row r="27162">
          <cell r="B27162" t="str">
            <v>72050710000103</v>
          </cell>
          <cell r="C27162" t="str">
            <v>LINEAS  CRED NO UTILIZ X CRED OTORG NO D7NC</v>
          </cell>
        </row>
        <row r="27163">
          <cell r="B27163" t="str">
            <v>72050710010101</v>
          </cell>
          <cell r="C27163" t="str">
            <v>WBC CCOR LIN FACTORING INTERNACIONAL REV7NC</v>
          </cell>
        </row>
        <row r="27164">
          <cell r="B27164" t="str">
            <v>72050710010102</v>
          </cell>
          <cell r="C27164" t="str">
            <v>WBC PAG PROYECTO ESPECIALIZ CCOR        7NC</v>
          </cell>
        </row>
        <row r="27165">
          <cell r="B27165" t="str">
            <v>72050710020101</v>
          </cell>
          <cell r="C27165" t="str">
            <v>WBC CCOR LIN FACTORING INTERNACIONAL NO 7NC</v>
          </cell>
        </row>
        <row r="27166">
          <cell r="B27166" t="str">
            <v>72050710020102</v>
          </cell>
          <cell r="C27166" t="str">
            <v>WBC CCOR LINEA NO REVOLVENTE            7NC</v>
          </cell>
        </row>
        <row r="27167">
          <cell r="B27167" t="str">
            <v>72050710020103</v>
          </cell>
          <cell r="C27167" t="str">
            <v>WBC CCOR LNR PERU FACTORING             7NC</v>
          </cell>
        </row>
        <row r="27168">
          <cell r="B27168" t="str">
            <v>72050710020104</v>
          </cell>
          <cell r="C27168" t="str">
            <v>WBC LEASING ESPECIALIZADO CCOR          7NC</v>
          </cell>
        </row>
        <row r="27169">
          <cell r="B27169" t="str">
            <v>72050710020105</v>
          </cell>
          <cell r="C27169" t="str">
            <v>WBC LEASEBACK ESPECIALIZADO CCOR        7NC</v>
          </cell>
        </row>
        <row r="27170">
          <cell r="B27170" t="str">
            <v>72050710020106</v>
          </cell>
          <cell r="C27170" t="str">
            <v>WBC PAGARES TASA VENC ESPECIALIZADO CCOR7NC</v>
          </cell>
        </row>
        <row r="27171">
          <cell r="B27171" t="str">
            <v>72050710020107</v>
          </cell>
          <cell r="C27171" t="str">
            <v>WBC PAG MEDIANO PLAZO ESPECIALIZADO CCOR7NC</v>
          </cell>
        </row>
        <row r="27172">
          <cell r="B27172" t="str">
            <v>72050710020108</v>
          </cell>
          <cell r="C27172" t="str">
            <v>WBC PAG INMOB TASA VENC ESPECIALIZADO CC7NC</v>
          </cell>
        </row>
        <row r="27173">
          <cell r="B27173" t="str">
            <v>72050711000103</v>
          </cell>
          <cell r="C27173" t="str">
            <v>WBC PAG PROYECTO ESPECIALIZ CGEM        7NC</v>
          </cell>
        </row>
        <row r="27174">
          <cell r="B27174" t="str">
            <v>72050711010101</v>
          </cell>
          <cell r="C27174" t="str">
            <v>WBC CGEM LIN FACTORING INTERNACIONAL REV7NC</v>
          </cell>
        </row>
        <row r="27175">
          <cell r="B27175" t="str">
            <v>72050711010102</v>
          </cell>
          <cell r="C27175" t="str">
            <v>WBC CGEM LINEA REVOLVENTE               7NC</v>
          </cell>
        </row>
        <row r="27176">
          <cell r="B27176" t="str">
            <v>72050711020101</v>
          </cell>
          <cell r="C27176" t="str">
            <v>WBC CGEM LIN FACTORING INTERNACIONAL NO 7NC</v>
          </cell>
        </row>
        <row r="27177">
          <cell r="B27177" t="str">
            <v>72050711020102</v>
          </cell>
          <cell r="C27177" t="str">
            <v>WBC CGEM LINEA NO REVOLVENTE            7NC</v>
          </cell>
        </row>
        <row r="27178">
          <cell r="B27178" t="str">
            <v>72050711020103</v>
          </cell>
          <cell r="C27178" t="str">
            <v>WBC CGEM LNR PERU FACTORING             7NC</v>
          </cell>
        </row>
        <row r="27179">
          <cell r="B27179" t="str">
            <v>72050711020104</v>
          </cell>
          <cell r="C27179" t="str">
            <v>WBC LEASING ESPECIALIZADO CGEM          7NC</v>
          </cell>
        </row>
        <row r="27180">
          <cell r="B27180" t="str">
            <v>72050711020105</v>
          </cell>
          <cell r="C27180" t="str">
            <v>WBC LEASEBACK ESPECIALIZADO CGEM        7NC</v>
          </cell>
        </row>
        <row r="27181">
          <cell r="B27181" t="str">
            <v>72050711020106</v>
          </cell>
          <cell r="C27181" t="str">
            <v>WBC PAGARES TASA VENC ESPECIALIZADO CGEM7NC</v>
          </cell>
        </row>
        <row r="27182">
          <cell r="B27182" t="str">
            <v>72050711020107</v>
          </cell>
          <cell r="C27182" t="str">
            <v>WBC PAG MEDIANO PLAZO ESPECIALIZADO CGEM7NC</v>
          </cell>
        </row>
        <row r="27183">
          <cell r="B27183" t="str">
            <v>72050711020108</v>
          </cell>
          <cell r="C27183" t="str">
            <v>WBC PAG INMOB TASA VENC ESPECIALIZADO CG7NC</v>
          </cell>
        </row>
        <row r="27184">
          <cell r="B27184" t="str">
            <v>72050712000103</v>
          </cell>
          <cell r="C27184" t="str">
            <v>WBC PAG PROYECTO ESPECIALIZ CMED        7NC</v>
          </cell>
        </row>
        <row r="27185">
          <cell r="B27185" t="str">
            <v>72050712010101</v>
          </cell>
          <cell r="C27185" t="str">
            <v>WBC CMED LIN FACTORING INTERNACIONAL REV7NC</v>
          </cell>
        </row>
        <row r="27186">
          <cell r="B27186" t="str">
            <v>72050712010102</v>
          </cell>
          <cell r="C27186" t="str">
            <v>WBC CMED LINEA REVOLVENTE               7NC</v>
          </cell>
        </row>
        <row r="27187">
          <cell r="B27187" t="str">
            <v>72050712020101</v>
          </cell>
          <cell r="C27187" t="str">
            <v>WBC CMED LIN FACTORING INTERNACIONAL NO 7NC</v>
          </cell>
        </row>
        <row r="27188">
          <cell r="B27188" t="str">
            <v>72050712020102</v>
          </cell>
          <cell r="C27188" t="str">
            <v>WBC CMED LINEA NO REVOLVENTE            7NC</v>
          </cell>
        </row>
        <row r="27189">
          <cell r="B27189" t="str">
            <v>72050712020103</v>
          </cell>
          <cell r="C27189" t="str">
            <v>WBC CMED LNR PERU FACTORING             7NC</v>
          </cell>
        </row>
        <row r="27190">
          <cell r="B27190" t="str">
            <v>72050712020104</v>
          </cell>
          <cell r="C27190" t="str">
            <v>WBC LEASING ESPECIALIZADO CMED          7NC</v>
          </cell>
        </row>
        <row r="27191">
          <cell r="B27191" t="str">
            <v>72050712020105</v>
          </cell>
          <cell r="C27191" t="str">
            <v>WBC LEASEBACK ESPECIALIZADO CMED        7NC</v>
          </cell>
        </row>
        <row r="27192">
          <cell r="B27192" t="str">
            <v>72050712020106</v>
          </cell>
          <cell r="C27192" t="str">
            <v>WBC PAGARES TASA VENC ESPECIALIZADO CMED7NC</v>
          </cell>
        </row>
        <row r="27193">
          <cell r="B27193" t="str">
            <v>72050712020107</v>
          </cell>
          <cell r="C27193" t="str">
            <v>WBC PAG MEDIANO PLAZO ESPECIALIZADO CMED7NC</v>
          </cell>
        </row>
        <row r="27194">
          <cell r="B27194" t="str">
            <v>72050712020108</v>
          </cell>
          <cell r="C27194" t="str">
            <v>WBC PAG INMOB TASA VENC ESPECIALIZADO CM7NC</v>
          </cell>
        </row>
        <row r="27195">
          <cell r="B27195" t="str">
            <v>72050713000103</v>
          </cell>
          <cell r="C27195" t="str">
            <v>LINEAS  CRED NO UTILIZ X CRED OTORG NO D7NC</v>
          </cell>
        </row>
        <row r="27196">
          <cell r="B27196" t="str">
            <v>72050713010101</v>
          </cell>
          <cell r="C27196" t="str">
            <v>WBC CPEM LIN FACTORING INTERNACIONAL REV7NC</v>
          </cell>
        </row>
        <row r="27197">
          <cell r="B27197" t="str">
            <v>72050713010102</v>
          </cell>
          <cell r="C27197" t="str">
            <v>WBC CPEM LINEA REVOLVENTE               7NC</v>
          </cell>
        </row>
        <row r="27198">
          <cell r="B27198" t="str">
            <v>72050713020101</v>
          </cell>
          <cell r="C27198" t="str">
            <v>WBC CPEM LNR PERU FACTORING             7NC</v>
          </cell>
        </row>
        <row r="27199">
          <cell r="B27199" t="str">
            <v>72050713020102</v>
          </cell>
          <cell r="C27199" t="str">
            <v>WBC CPEM LINEA NO REVOLVENTE            7NC</v>
          </cell>
        </row>
        <row r="27200">
          <cell r="B27200" t="str">
            <v>72050713020103</v>
          </cell>
          <cell r="C27200" t="str">
            <v>WBC LEASING ESPECIALIZADO CPEM          7NC</v>
          </cell>
        </row>
        <row r="27201">
          <cell r="B27201" t="str">
            <v>72050713020104</v>
          </cell>
          <cell r="C27201" t="str">
            <v>WBC LEASEBACK ESPECIALIZADO CPEM        7NC</v>
          </cell>
        </row>
        <row r="27202">
          <cell r="B27202" t="str">
            <v>72050713020105</v>
          </cell>
          <cell r="C27202" t="str">
            <v>WBC PAGARES TASA VENC ESPECIALIZADO CPEM7NC</v>
          </cell>
        </row>
        <row r="27203">
          <cell r="B27203" t="str">
            <v>72050713020106</v>
          </cell>
          <cell r="C27203" t="str">
            <v>WBC PAG MEDIANO PLAZO ESPECIALIZADO CPEM7NC</v>
          </cell>
        </row>
        <row r="27204">
          <cell r="B27204" t="str">
            <v>72050713020107</v>
          </cell>
          <cell r="C27204" t="str">
            <v>WBC PAG INMOB TASA VENC ESPECIALIZADO CP7NC</v>
          </cell>
        </row>
        <row r="27205">
          <cell r="B27205" t="str">
            <v>72050902000701</v>
          </cell>
          <cell r="C27205" t="str">
            <v>RCC  CRÃ‰DITO BAJO ESQUEMA MULTILÃNEA D7NC</v>
          </cell>
        </row>
        <row r="27206">
          <cell r="B27206" t="str">
            <v>72050907000701</v>
          </cell>
          <cell r="C27206" t="str">
            <v>RCC  CRÃ‰DITO BAJO ESQUEMA MULTILÃNEA D7NC</v>
          </cell>
        </row>
        <row r="27207">
          <cell r="B27207" t="str">
            <v>72050910000701</v>
          </cell>
          <cell r="C27207" t="str">
            <v>RCC  CRÃ‰DITO BAJO ESQUEMA MULTILÃNEA D7NC</v>
          </cell>
        </row>
        <row r="27208">
          <cell r="B27208" t="str">
            <v>72050911000701</v>
          </cell>
          <cell r="C27208" t="str">
            <v>RCC  CRÃ‰DITO BAJO ESQUEMA MULTILÃNEA D7NC</v>
          </cell>
        </row>
        <row r="27209">
          <cell r="B27209" t="str">
            <v>72050912000701</v>
          </cell>
          <cell r="C27209" t="str">
            <v>RCC  CRÃ‰DITO BAJO ESQUEMA MULTILÃNEA D7NC</v>
          </cell>
        </row>
        <row r="27210">
          <cell r="B27210" t="str">
            <v>72050913000701</v>
          </cell>
          <cell r="C27210" t="str">
            <v>RCC  CRÃ‰DITO BAJO ESQUEMA MULTILÃNEA D7NC</v>
          </cell>
        </row>
        <row r="27211">
          <cell r="B27211" t="str">
            <v>72060101010101</v>
          </cell>
          <cell r="C27211" t="str">
            <v>COMPRAS A FUTURO - SWAP                 7NC</v>
          </cell>
        </row>
        <row r="27212">
          <cell r="B27212" t="str">
            <v>72060101010103</v>
          </cell>
          <cell r="C27212" t="str">
            <v>SWAP DE MONEDAS ESPECULATIVO            7NC</v>
          </cell>
        </row>
        <row r="27213">
          <cell r="B27213" t="str">
            <v>72060101010104</v>
          </cell>
          <cell r="C27213" t="str">
            <v>SWAP CAMBIARIO BCR  CTRA                7NC</v>
          </cell>
        </row>
        <row r="27214">
          <cell r="B27214" t="str">
            <v>72060101010105</v>
          </cell>
          <cell r="C27214" t="str">
            <v>SWAP DE MONEDASÂ  COMPRA COBERTURA      7NC</v>
          </cell>
        </row>
        <row r="27215">
          <cell r="B27215" t="str">
            <v>72060101010106</v>
          </cell>
          <cell r="C27215" t="str">
            <v>CTRA SWAP DE MONEDASÂ  COMPRAS          7NC</v>
          </cell>
        </row>
        <row r="27216">
          <cell r="B27216" t="str">
            <v>72060101010107</v>
          </cell>
          <cell r="C27216" t="str">
            <v>MDC Swaps de Monedas COMP NEGO FINAN    7NC</v>
          </cell>
        </row>
        <row r="27217">
          <cell r="B27217" t="str">
            <v>72060101010108</v>
          </cell>
          <cell r="C27217" t="str">
            <v>SWAP CC  COBERTURA  COMPRA              7NC</v>
          </cell>
        </row>
        <row r="27218">
          <cell r="B27218" t="str">
            <v>72060101020101</v>
          </cell>
          <cell r="C27218" t="str">
            <v>SWAP DE MONEDAS Curva Sob               7NC</v>
          </cell>
        </row>
        <row r="27219">
          <cell r="B27219" t="str">
            <v>72060101020102</v>
          </cell>
          <cell r="C27219" t="str">
            <v>SWAP DE MONEDAS ESPECULATIVO VTA        7NC</v>
          </cell>
        </row>
        <row r="27220">
          <cell r="B27220" t="str">
            <v>72060101020103</v>
          </cell>
          <cell r="C27220" t="str">
            <v>SWAP DE MONEDAS ESPECULATIVO            7NC</v>
          </cell>
        </row>
        <row r="27221">
          <cell r="B27221" t="str">
            <v>72060101020104</v>
          </cell>
          <cell r="C27221" t="str">
            <v>SWAP CAMBIARIO BCR  CTRA                7NC</v>
          </cell>
        </row>
        <row r="27222">
          <cell r="B27222" t="str">
            <v>72060101020105</v>
          </cell>
          <cell r="C27222" t="str">
            <v>CTRA SWAP DE MONEDAS VENTAS             7NC</v>
          </cell>
        </row>
        <row r="27223">
          <cell r="B27223" t="str">
            <v>72060101020106</v>
          </cell>
          <cell r="C27223" t="str">
            <v>MDC Swaps de Monedas VTA NEGO FINAN     7NC</v>
          </cell>
        </row>
        <row r="27224">
          <cell r="B27224" t="str">
            <v>72060101020107</v>
          </cell>
          <cell r="C27224" t="str">
            <v>SWAP CC  COBERTURA  VENTA               7NC</v>
          </cell>
        </row>
        <row r="27225">
          <cell r="B27225" t="str">
            <v>72060102010101</v>
          </cell>
          <cell r="C27225" t="str">
            <v>ACREEDORES POR COMPRA-FWD DELIVERY ESPEC7NC</v>
          </cell>
        </row>
        <row r="27226">
          <cell r="B27226" t="str">
            <v>72060102010102</v>
          </cell>
          <cell r="C27226" t="str">
            <v>ACREED POR COMPRAS A FUT- FWD NON DELIV 7NC</v>
          </cell>
        </row>
        <row r="27227">
          <cell r="B27227" t="str">
            <v>72060102010103</v>
          </cell>
          <cell r="C27227" t="str">
            <v>FWD NDF COBERTURA ACREEDORA COMPRA OPCIO7NC</v>
          </cell>
        </row>
        <row r="27228">
          <cell r="B27228" t="str">
            <v>72060102010104</v>
          </cell>
          <cell r="C27228" t="str">
            <v>FWD NDF ACREED COBERTURA ENTREGA COMPRA 7NC</v>
          </cell>
        </row>
        <row r="27229">
          <cell r="B27229" t="str">
            <v>72060102010105</v>
          </cell>
          <cell r="C27229" t="str">
            <v>FWD NDF cobertura acreedora compra swaps7NC</v>
          </cell>
        </row>
        <row r="27230">
          <cell r="B27230" t="str">
            <v>72060102010106</v>
          </cell>
          <cell r="C27230" t="str">
            <v>FWD NDF acreed cobertura entrega compra 7NC</v>
          </cell>
        </row>
        <row r="27231">
          <cell r="B27231" t="str">
            <v>72060102010107</v>
          </cell>
          <cell r="C27231" t="str">
            <v>Contra cta FWD Compra OPC NDF           7NC</v>
          </cell>
        </row>
        <row r="27232">
          <cell r="B27232" t="str">
            <v>72060102010108</v>
          </cell>
          <cell r="C27232" t="str">
            <v>Contra cta FWD Compra OPC DELIVERY FULL 7NC</v>
          </cell>
        </row>
        <row r="27233">
          <cell r="B27233" t="str">
            <v>72060102010201</v>
          </cell>
          <cell r="C27233" t="str">
            <v>MDC COMPRA FWD LIMITADO- CRTA CTA       7NC</v>
          </cell>
        </row>
        <row r="27234">
          <cell r="B27234" t="str">
            <v>72060102010202</v>
          </cell>
          <cell r="C27234" t="str">
            <v>MDC Forward de Monedas COMP FINAN       7NC</v>
          </cell>
        </row>
        <row r="27235">
          <cell r="B27235" t="str">
            <v>72060102010203</v>
          </cell>
          <cell r="C27235" t="str">
            <v>ACREEDORES POR COMPRA-FWD.DIVISAS TESORE7 C</v>
          </cell>
        </row>
        <row r="27236">
          <cell r="B27236" t="str">
            <v>72060102010205</v>
          </cell>
          <cell r="C27236" t="str">
            <v>MRX FORWARD DE MONEDAS COMPRA NEGO FINAN7NC</v>
          </cell>
        </row>
        <row r="27237">
          <cell r="B27237" t="str">
            <v>72060102020101</v>
          </cell>
          <cell r="C27237" t="str">
            <v>DEUDORES POR VENTAS A FUTURO - FWD DE   7NC</v>
          </cell>
        </row>
        <row r="27238">
          <cell r="B27238" t="str">
            <v>72060102020102</v>
          </cell>
          <cell r="C27238" t="str">
            <v>VENTAS A FUTURO - FWD NON DELIVERY E    7NC</v>
          </cell>
        </row>
        <row r="27239">
          <cell r="B27239" t="str">
            <v>72060102020103</v>
          </cell>
          <cell r="C27239" t="str">
            <v>FORWARD NDF COBERTURA VENTA OPCIONES    7NC</v>
          </cell>
        </row>
        <row r="27240">
          <cell r="B27240" t="str">
            <v>72060102020104</v>
          </cell>
          <cell r="C27240" t="str">
            <v>FWD NDF ACREED COBERTURA ENTREGA VENTA O7NC</v>
          </cell>
        </row>
        <row r="27241">
          <cell r="B27241" t="str">
            <v>72060102020105</v>
          </cell>
          <cell r="C27241" t="str">
            <v>Forward NDF cobertura venta swaps       7NC</v>
          </cell>
        </row>
        <row r="27242">
          <cell r="B27242" t="str">
            <v>72060102020106</v>
          </cell>
          <cell r="C27242" t="str">
            <v>FWD NDF acreed cobertura entrega venta s7NC</v>
          </cell>
        </row>
        <row r="27243">
          <cell r="B27243" t="str">
            <v>72060102020107</v>
          </cell>
          <cell r="C27243" t="str">
            <v>Contra Cta FWD Venta OPC NDF            7NC</v>
          </cell>
        </row>
        <row r="27244">
          <cell r="B27244" t="str">
            <v>72060102020108</v>
          </cell>
          <cell r="C27244" t="str">
            <v>Contra cta FWD Venta OPC DELIVERY FULL  7NC</v>
          </cell>
        </row>
        <row r="27245">
          <cell r="B27245" t="str">
            <v>72060102020201</v>
          </cell>
          <cell r="C27245" t="str">
            <v>MDC VENTA FWD LIMITADO- CRTA CTA        7NC</v>
          </cell>
        </row>
        <row r="27246">
          <cell r="B27246" t="str">
            <v>72060102020202</v>
          </cell>
          <cell r="C27246" t="str">
            <v>MDC Forward de Monedas VTA NEGO FINAN   7NC</v>
          </cell>
        </row>
        <row r="27247">
          <cell r="B27247" t="str">
            <v>72060102020203</v>
          </cell>
          <cell r="C27247" t="str">
            <v>DEUDORES POR VTAS A FUT FWD.DIVISAS TESO7 C</v>
          </cell>
        </row>
        <row r="27248">
          <cell r="B27248" t="str">
            <v>72060105010101</v>
          </cell>
          <cell r="C27248" t="str">
            <v>DERIV OPC COMPRAS CALL AMERIC CRTA CTA  7NC</v>
          </cell>
        </row>
        <row r="27249">
          <cell r="B27249" t="str">
            <v>72060105010201</v>
          </cell>
          <cell r="C27249" t="str">
            <v>DERIV OPC COMPRAS CALL EUROPEO CRTA CTA 7NC</v>
          </cell>
        </row>
        <row r="27250">
          <cell r="B27250" t="str">
            <v>72060105010202</v>
          </cell>
          <cell r="C27250" t="str">
            <v>MDC OPC COMP CALL EUR CRTA CTA - DEP EST7NC</v>
          </cell>
        </row>
        <row r="27251">
          <cell r="B27251" t="str">
            <v>72060105010203</v>
          </cell>
          <cell r="C27251" t="str">
            <v>MDC OPC COMP CALL EUR CRTA CTA - FWD LIM7NC</v>
          </cell>
        </row>
        <row r="27252">
          <cell r="B27252" t="str">
            <v>72060105010204</v>
          </cell>
          <cell r="C27252" t="str">
            <v>MDC OPC COMP CALL EUR CRTA CTA DEP DIV  7NC</v>
          </cell>
        </row>
        <row r="27253">
          <cell r="B27253" t="str">
            <v>72060105010301</v>
          </cell>
          <cell r="C27253" t="str">
            <v>MDC OPC COMP CALL CRTA CTA OPC DIV      7NC</v>
          </cell>
        </row>
        <row r="27254">
          <cell r="B27254" t="str">
            <v>72060105020101</v>
          </cell>
          <cell r="C27254" t="str">
            <v>DERIV OPC DEUD VTA CALL AMERIC CRTA CTA 7NC</v>
          </cell>
        </row>
        <row r="27255">
          <cell r="B27255" t="str">
            <v>72060105020201</v>
          </cell>
          <cell r="C27255" t="str">
            <v>DERIV OPC DEUD VTA CALL EURP CRTA CTA   7NC</v>
          </cell>
        </row>
        <row r="27256">
          <cell r="B27256" t="str">
            <v>72060105020202</v>
          </cell>
          <cell r="C27256" t="str">
            <v>MDC OPC DEUD VTA CALL EURP CRTA CTA - DE7NC</v>
          </cell>
        </row>
        <row r="27257">
          <cell r="B27257" t="str">
            <v>72060105020203</v>
          </cell>
          <cell r="C27257" t="str">
            <v>MDC OPC DEUD VTA CALL EURP CRTA CTA - FW7NC</v>
          </cell>
        </row>
        <row r="27258">
          <cell r="B27258" t="str">
            <v>72060105020204</v>
          </cell>
          <cell r="C27258" t="str">
            <v>MDC OPC VENT CALL EUR CRTA CTA  DEP DIV 7NC</v>
          </cell>
        </row>
        <row r="27259">
          <cell r="B27259" t="str">
            <v>72060105020301</v>
          </cell>
          <cell r="C27259" t="str">
            <v>MDC OPC VENT CALL CRTA CTA  OPC DIV     7NC</v>
          </cell>
        </row>
        <row r="27260">
          <cell r="B27260" t="str">
            <v>72060105030101</v>
          </cell>
          <cell r="C27260" t="str">
            <v>DERIV OPC COMPRAS PUTS AMERIC CRTA CTA  7NC</v>
          </cell>
        </row>
        <row r="27261">
          <cell r="B27261" t="str">
            <v>72060105030201</v>
          </cell>
          <cell r="C27261" t="str">
            <v>DERIV OPC COMPRAS PUTS EUROP CRTA CTA   7NC</v>
          </cell>
        </row>
        <row r="27262">
          <cell r="B27262" t="str">
            <v>72060105030202</v>
          </cell>
          <cell r="C27262" t="str">
            <v>MDC OPC COMP PUTS EUROP CRTA CTA - DEP E7NC</v>
          </cell>
        </row>
        <row r="27263">
          <cell r="B27263" t="str">
            <v>72060105030203</v>
          </cell>
          <cell r="C27263" t="str">
            <v>MDC OPC COMP PUTS EUROP CRTA CTA - FWD A7NC</v>
          </cell>
        </row>
        <row r="27264">
          <cell r="B27264" t="str">
            <v>72060105030204</v>
          </cell>
          <cell r="C27264" t="str">
            <v>MDC OPC COMP PUT EUR CRTA CTA  DEP DIV  7NC</v>
          </cell>
        </row>
        <row r="27265">
          <cell r="B27265" t="str">
            <v>72060105030301</v>
          </cell>
          <cell r="C27265" t="str">
            <v>MDC OPC COMP PUT CRTA CTA  OPC DIV      7NC</v>
          </cell>
        </row>
        <row r="27266">
          <cell r="B27266" t="str">
            <v>72060105040101</v>
          </cell>
          <cell r="C27266" t="str">
            <v>DERIV OPC VENTAS PUTS AMERIC CRTA CTA   7NC</v>
          </cell>
        </row>
        <row r="27267">
          <cell r="B27267" t="str">
            <v>72060105040201</v>
          </cell>
          <cell r="C27267" t="str">
            <v>DERIV OPC VENTAS PUTS EUROP CRTA CTA    7NC</v>
          </cell>
        </row>
        <row r="27268">
          <cell r="B27268" t="str">
            <v>72060105040202</v>
          </cell>
          <cell r="C27268" t="str">
            <v>MDC OPC VENTAS PUTS EUROP CRTA CTA - DEP7NC</v>
          </cell>
        </row>
        <row r="27269">
          <cell r="B27269" t="str">
            <v>72060105040203</v>
          </cell>
          <cell r="C27269" t="str">
            <v>MDC OPC VENTAS PUTS EUROP CRTA CTA - FWD7NC</v>
          </cell>
        </row>
        <row r="27270">
          <cell r="B27270" t="str">
            <v>72060105040204</v>
          </cell>
          <cell r="C27270" t="str">
            <v>MDC OPC VENT PUT EUR CRTA CTA  DEP DIV  7NC</v>
          </cell>
        </row>
        <row r="27271">
          <cell r="B27271" t="str">
            <v>72060105040301</v>
          </cell>
          <cell r="C27271" t="str">
            <v>MDC OPC VENT PUT CRTA CTA  OPC DIV      7NC</v>
          </cell>
        </row>
        <row r="27272">
          <cell r="B27272" t="str">
            <v>72060901000101</v>
          </cell>
          <cell r="C27272" t="str">
            <v>OP APLICATIVO MDC                       7NC</v>
          </cell>
        </row>
        <row r="27273">
          <cell r="B27273" t="str">
            <v>72070102010001</v>
          </cell>
          <cell r="C27273" t="str">
            <v>CDO RESP COMPROMISO IC CMIE             7 C</v>
          </cell>
        </row>
        <row r="27274">
          <cell r="B27274" t="str">
            <v>72070102010002</v>
          </cell>
          <cell r="C27274" t="str">
            <v>WBC DSCTO ELECT FACT COMPROMISO IC CMIE 7 C</v>
          </cell>
        </row>
        <row r="27275">
          <cell r="B27275" t="str">
            <v>72070102010003</v>
          </cell>
          <cell r="C27275" t="str">
            <v>WBC DESEMB L. AUTOMAT COMPROMISO IC CMIE7 C</v>
          </cell>
        </row>
        <row r="27276">
          <cell r="B27276" t="str">
            <v>72070102010004</v>
          </cell>
          <cell r="C27276" t="str">
            <v>WBC FACTORING ELECT FACT COMPROMISO IC C7 C</v>
          </cell>
        </row>
        <row r="27277">
          <cell r="B27277" t="str">
            <v>72070102010005</v>
          </cell>
          <cell r="C27277" t="str">
            <v>MYP RESP COMPROMISO IC LINEA REVOL MIE  7 C</v>
          </cell>
        </row>
        <row r="27278">
          <cell r="B27278" t="str">
            <v>72070107010001</v>
          </cell>
          <cell r="C27278" t="str">
            <v>CDO RESP COMPROMISO IC CESP             7 C</v>
          </cell>
        </row>
        <row r="27279">
          <cell r="B27279" t="str">
            <v>72070108010001</v>
          </cell>
          <cell r="C27279" t="str">
            <v>IM RESP COMPROMISO IC CTA CTE REVOL CIVA7 C</v>
          </cell>
        </row>
        <row r="27280">
          <cell r="B27280" t="str">
            <v>72070108010002</v>
          </cell>
          <cell r="C27280" t="str">
            <v>CDO RESP COMPROMISO IC CIVA             7 C</v>
          </cell>
        </row>
        <row r="27281">
          <cell r="B27281" t="str">
            <v>72070109010001</v>
          </cell>
          <cell r="C27281" t="str">
            <v>IM RESP COMPROMISO IC CTA CTE REVOL CESF7 C</v>
          </cell>
        </row>
        <row r="27282">
          <cell r="B27282" t="str">
            <v>72070109010002</v>
          </cell>
          <cell r="C27282" t="str">
            <v>CDO RESP COMPROMISO IC CESF             7 C</v>
          </cell>
        </row>
        <row r="27283">
          <cell r="B27283" t="str">
            <v>72070110010001</v>
          </cell>
          <cell r="C27283" t="str">
            <v>IM RESP COMPROMISO IC CTA CTE REVOL CCOR7 C</v>
          </cell>
        </row>
        <row r="27284">
          <cell r="B27284" t="str">
            <v>72070110010002</v>
          </cell>
          <cell r="C27284" t="str">
            <v>CDO RESP COMPROMISO IC CCOR             7 C</v>
          </cell>
        </row>
        <row r="27285">
          <cell r="B27285" t="str">
            <v>72070110010003</v>
          </cell>
          <cell r="C27285" t="str">
            <v>WBC DSCTO ELECT FACT COMPROMISO IC CGEM 7 C</v>
          </cell>
        </row>
        <row r="27286">
          <cell r="B27286" t="str">
            <v>72070111010001</v>
          </cell>
          <cell r="C27286" t="str">
            <v>IM RESP COMPROMISO IC CTA CTE REVOL CGEM7 C</v>
          </cell>
        </row>
        <row r="27287">
          <cell r="B27287" t="str">
            <v>72070111010002</v>
          </cell>
          <cell r="C27287" t="str">
            <v>CDO RESP COMPROMISO IC CGEM             7 C</v>
          </cell>
        </row>
        <row r="27288">
          <cell r="B27288" t="str">
            <v>72070111010003</v>
          </cell>
          <cell r="C27288" t="str">
            <v>WBC DSCTO ELECT FACT COMPROMISO IC CGEM 7 C</v>
          </cell>
        </row>
        <row r="27289">
          <cell r="B27289" t="str">
            <v>72070111010004</v>
          </cell>
          <cell r="C27289" t="str">
            <v>WBC DESEMB L. AUTOMAT COMPROMISO IC CGEM7 C</v>
          </cell>
        </row>
        <row r="27290">
          <cell r="B27290" t="str">
            <v>72070111010005</v>
          </cell>
          <cell r="C27290" t="str">
            <v>WBC FACTORING ELECT FACT COMPROMISO IC C7 C</v>
          </cell>
        </row>
        <row r="27291">
          <cell r="B27291" t="str">
            <v>72070112010001</v>
          </cell>
          <cell r="C27291" t="str">
            <v>CDO RESP COMPROMISO IC CMED             7 C</v>
          </cell>
        </row>
        <row r="27292">
          <cell r="B27292" t="str">
            <v>72070112010002</v>
          </cell>
          <cell r="C27292" t="str">
            <v>WBC DSCTO ELECT FACT COMPROMISO IC CMED 7 C</v>
          </cell>
        </row>
        <row r="27293">
          <cell r="B27293" t="str">
            <v>72070112010003</v>
          </cell>
          <cell r="C27293" t="str">
            <v>WBC DESEMB L. AUTOMAT COMPROMISO IC CMED7 C</v>
          </cell>
        </row>
        <row r="27294">
          <cell r="B27294" t="str">
            <v>72070112010004</v>
          </cell>
          <cell r="C27294" t="str">
            <v>WBC FACTORING ELECT FACT COMPROMISO IC C7 C</v>
          </cell>
        </row>
        <row r="27295">
          <cell r="B27295" t="str">
            <v>72070112010005</v>
          </cell>
          <cell r="C27295" t="str">
            <v>MYP RESP COMPROMISO IC CAP TRABAJO REV C7 C</v>
          </cell>
        </row>
        <row r="27296">
          <cell r="B27296" t="str">
            <v>72070113010001</v>
          </cell>
          <cell r="C27296" t="str">
            <v>CDO RESP COMPROMISO IC CPEM             7 C</v>
          </cell>
        </row>
        <row r="27297">
          <cell r="B27297" t="str">
            <v>72070113010002</v>
          </cell>
          <cell r="C27297" t="str">
            <v>WBC DSCTO ELECT FACT COMPROMISO IC CPEM 7 C</v>
          </cell>
        </row>
        <row r="27298">
          <cell r="B27298" t="str">
            <v>72070113010003</v>
          </cell>
          <cell r="C27298" t="str">
            <v>WBC DESEMB L. AUTOMAT COMPROMISO IC CPEM7 C</v>
          </cell>
        </row>
        <row r="27299">
          <cell r="B27299" t="str">
            <v>72070113010004</v>
          </cell>
          <cell r="C27299" t="str">
            <v>WBC FACTORING ELECT FACT COMPROMISO IC C7 C</v>
          </cell>
        </row>
        <row r="27300">
          <cell r="B27300" t="str">
            <v>72070113010005</v>
          </cell>
          <cell r="C27300" t="str">
            <v>MYP RESP COMPROMISO IC CAP TRABAJO REV C7 C</v>
          </cell>
        </row>
        <row r="27301">
          <cell r="B27301" t="str">
            <v>72070203010001</v>
          </cell>
          <cell r="C27301" t="str">
            <v>IM RESP COMPROMISO CC CTA CTE CONSUMO RE7 C</v>
          </cell>
        </row>
        <row r="27302">
          <cell r="B27302" t="str">
            <v>72070203010002</v>
          </cell>
          <cell r="C27302" t="str">
            <v>LIC RESP COMPROMISO CC PTMO ADEL SUELDO 7 C</v>
          </cell>
        </row>
        <row r="27303">
          <cell r="B27303" t="str">
            <v>72070203010003</v>
          </cell>
          <cell r="C27303" t="str">
            <v>LIC RESP COMPROMISO CC PTMO CONVENIO CCN7 C</v>
          </cell>
        </row>
        <row r="27304">
          <cell r="B27304" t="str">
            <v>72070203030001</v>
          </cell>
          <cell r="C27304" t="str">
            <v>CDO RESP COMPROMISO CC CCRV             7 C</v>
          </cell>
        </row>
        <row r="27305">
          <cell r="B27305" t="str">
            <v>72070402010001</v>
          </cell>
          <cell r="C27305" t="str">
            <v>WBC FIN PROY COMPROMISO NC CMIE         7 C</v>
          </cell>
        </row>
        <row r="27306">
          <cell r="B27306" t="str">
            <v>72070402010002</v>
          </cell>
          <cell r="C27306" t="str">
            <v>WBC LSG COMPROMISO NC CMIE              7 C</v>
          </cell>
        </row>
        <row r="27307">
          <cell r="B27307" t="str">
            <v>72070402010003</v>
          </cell>
          <cell r="C27307" t="str">
            <v>WBC PAG INMOB COMPROMISO NC CMIE        7 C</v>
          </cell>
        </row>
        <row r="27308">
          <cell r="B27308" t="str">
            <v>72070402010004</v>
          </cell>
          <cell r="C27308" t="str">
            <v>WBC PAG MED PLAZO COMPROMISO NC CMIE    7 C</v>
          </cell>
        </row>
        <row r="27309">
          <cell r="B27309" t="str">
            <v>72070402010005</v>
          </cell>
          <cell r="C27309" t="str">
            <v>WBC LEASEBACK COMPROMISO NC CMIE        7 C</v>
          </cell>
        </row>
        <row r="27310">
          <cell r="B27310" t="str">
            <v>72070411010001</v>
          </cell>
          <cell r="C27310" t="str">
            <v>WBC FIN PROY COMPROMISO NC CGEM         7 C</v>
          </cell>
        </row>
        <row r="27311">
          <cell r="B27311" t="str">
            <v>72070411010002</v>
          </cell>
          <cell r="C27311" t="str">
            <v>WBC LSG COMPROMISO NC CGEM              7 C</v>
          </cell>
        </row>
        <row r="27312">
          <cell r="B27312" t="str">
            <v>72070411010003</v>
          </cell>
          <cell r="C27312" t="str">
            <v>WBC PAG INMOB COMPROMISO NC CGEM        7 C</v>
          </cell>
        </row>
        <row r="27313">
          <cell r="B27313" t="str">
            <v>72070411010004</v>
          </cell>
          <cell r="C27313" t="str">
            <v>WBC PAG MED PLAZO COMPROMISO NC CGEM    7 C</v>
          </cell>
        </row>
        <row r="27314">
          <cell r="B27314" t="str">
            <v>72070411010005</v>
          </cell>
          <cell r="C27314" t="str">
            <v>WBC LEASEBACK COMPROMISO NC CGEM        7 C</v>
          </cell>
        </row>
        <row r="27315">
          <cell r="B27315" t="str">
            <v>72070412010001</v>
          </cell>
          <cell r="C27315" t="str">
            <v>WBC FIN PROY COMPROMISO NC CMED         7 C</v>
          </cell>
        </row>
        <row r="27316">
          <cell r="B27316" t="str">
            <v>72070412010002</v>
          </cell>
          <cell r="C27316" t="str">
            <v>WBC LSG COMPROMISO NC CMED              7 C</v>
          </cell>
        </row>
        <row r="27317">
          <cell r="B27317" t="str">
            <v>72070412010003</v>
          </cell>
          <cell r="C27317" t="str">
            <v>WBC PAG INMOB COMPROMISO NC CMED        7 C</v>
          </cell>
        </row>
        <row r="27318">
          <cell r="B27318" t="str">
            <v>72070412010004</v>
          </cell>
          <cell r="C27318" t="str">
            <v>WBC PAG MED PLAZO COMPROMISO NC CMED    7 C</v>
          </cell>
        </row>
        <row r="27319">
          <cell r="B27319" t="str">
            <v>72070412010005</v>
          </cell>
          <cell r="C27319" t="str">
            <v>WBC LEASEBACK COMPROMISO NC CMED        7 C</v>
          </cell>
        </row>
        <row r="27320">
          <cell r="B27320" t="str">
            <v>72070413010001</v>
          </cell>
          <cell r="C27320" t="str">
            <v>WBC FIN PROY COMPROMISO NC CPEM         7 C</v>
          </cell>
        </row>
        <row r="27321">
          <cell r="B27321" t="str">
            <v>72070413010002</v>
          </cell>
          <cell r="C27321" t="str">
            <v>WBC LSG COMPROMISO NC CPEM              7 C</v>
          </cell>
        </row>
        <row r="27322">
          <cell r="B27322" t="str">
            <v>72070413010003</v>
          </cell>
          <cell r="C27322" t="str">
            <v>WBC PAG INMOB COMPROMISO NC CPEM        7 C</v>
          </cell>
        </row>
        <row r="27323">
          <cell r="B27323" t="str">
            <v>72070413010004</v>
          </cell>
          <cell r="C27323" t="str">
            <v>WBC PAG MED PLAZO COMPROMISO NC CPEM    7 C</v>
          </cell>
        </row>
        <row r="27324">
          <cell r="B27324" t="str">
            <v>72070413010005</v>
          </cell>
          <cell r="C27324" t="str">
            <v>WBC LEASEBACK COMPROMISO NC CPEM        7 C</v>
          </cell>
        </row>
        <row r="27325">
          <cell r="B27325" t="str">
            <v>72090209000102</v>
          </cell>
          <cell r="C27325" t="str">
            <v>CTRCTA DCHO C/C MISMO BANCO             7NC</v>
          </cell>
        </row>
        <row r="27326">
          <cell r="B27326" t="str">
            <v>72090209000103</v>
          </cell>
          <cell r="C27326" t="str">
            <v>CTRCTA DCHO C/C MISMO BANCO STAND BY    7NC</v>
          </cell>
        </row>
        <row r="27327">
          <cell r="B27327" t="str">
            <v>72090209000105</v>
          </cell>
          <cell r="C27327" t="str">
            <v>CONTINGENCIAS VARIAS                    7NC</v>
          </cell>
        </row>
        <row r="27328">
          <cell r="B27328" t="str">
            <v>72090209000106</v>
          </cell>
          <cell r="C27328" t="str">
            <v>CONTINGENCIAS VARIAS /CC IMPO           7NC</v>
          </cell>
        </row>
        <row r="27329">
          <cell r="B27329" t="str">
            <v>72090209000107</v>
          </cell>
          <cell r="C27329" t="str">
            <v>IBK DPR SECURITIZADORA                  7NC</v>
          </cell>
        </row>
        <row r="27330">
          <cell r="B27330" t="str">
            <v>72090209000110</v>
          </cell>
          <cell r="C27330" t="str">
            <v>CARTAS DE CREDITO CONTIGENTE SBLC C.CTA 7NC</v>
          </cell>
        </row>
        <row r="27331">
          <cell r="B27331" t="str">
            <v>72090209000111</v>
          </cell>
          <cell r="C27331" t="str">
            <v>FIANZA SOLIDARIA PROYECTOS TECHO PROPIO 7NC</v>
          </cell>
        </row>
        <row r="27332">
          <cell r="B27332" t="str">
            <v>72090209000301</v>
          </cell>
          <cell r="C27332" t="str">
            <v>PASIVO CONTINGENTE PARA COMPRA INVERS   7NC</v>
          </cell>
        </row>
        <row r="27333">
          <cell r="B27333" t="str">
            <v>72090209000302</v>
          </cell>
          <cell r="C27333" t="str">
            <v>PASIVO CONTINGENTE PARA VENTAS INVERS   7NC</v>
          </cell>
        </row>
        <row r="27334">
          <cell r="B27334" t="str">
            <v>72090209000401</v>
          </cell>
          <cell r="C27334" t="str">
            <v>BKT ACEPTACIÃ“N POR AVAL IBK CRTA CTA   7NC</v>
          </cell>
        </row>
        <row r="27335">
          <cell r="B27335" t="str">
            <v>72090209000402</v>
          </cell>
          <cell r="C27335" t="str">
            <v>BKT CARTA DE CREDITO IBK CRTA CTA       7NC</v>
          </cell>
        </row>
        <row r="27336">
          <cell r="B27336" t="str">
            <v>72090209000403</v>
          </cell>
          <cell r="C27336" t="str">
            <v>OTROS DIF CAMBIO                        7NC</v>
          </cell>
        </row>
        <row r="27337">
          <cell r="B27337" t="str">
            <v>72090209000801</v>
          </cell>
          <cell r="C27337" t="str">
            <v>PAN CONTRACUENTA DE OPERACIONES CONTINGE7NC</v>
          </cell>
        </row>
        <row r="27338">
          <cell r="B27338" t="str">
            <v>81010100000104</v>
          </cell>
          <cell r="C27338" t="str">
            <v>PREMIOS CUENTA MILLONARIA               7ND</v>
          </cell>
        </row>
        <row r="27339">
          <cell r="B27339" t="str">
            <v>81010100000109</v>
          </cell>
          <cell r="C27339" t="str">
            <v>OTROS VAL.PROP.EN CUSTODIA              7ND</v>
          </cell>
        </row>
        <row r="27340">
          <cell r="B27340" t="str">
            <v>81010100000110</v>
          </cell>
          <cell r="C27340" t="str">
            <v>ACC.BCOS EN LIQUIDACION                 7ND</v>
          </cell>
        </row>
        <row r="27341">
          <cell r="B27341" t="str">
            <v>81030100000101</v>
          </cell>
          <cell r="C27341" t="str">
            <v>INVERSIONES CASTIGADAS                  7ND</v>
          </cell>
        </row>
        <row r="27342">
          <cell r="B27342" t="str">
            <v>81030200000101</v>
          </cell>
          <cell r="C27342" t="str">
            <v>CL CASTIGO CAPITAL CRED.DIRECTO         7ND</v>
          </cell>
        </row>
        <row r="27343">
          <cell r="B27343" t="str">
            <v>81030200000103</v>
          </cell>
          <cell r="C27343" t="str">
            <v>CL CASTIGO CAPITAL PORFIN               7ND</v>
          </cell>
        </row>
        <row r="27344">
          <cell r="B27344" t="str">
            <v>81030200000105</v>
          </cell>
          <cell r="C27344" t="str">
            <v>CL CASTIGO CAPITAL BCA.PERSONAS         7ND</v>
          </cell>
        </row>
        <row r="27345">
          <cell r="B27345" t="str">
            <v>81030200000106</v>
          </cell>
          <cell r="C27345" t="str">
            <v>CL CASTIGO CAPITAL BC.COMERCIAL         7ND</v>
          </cell>
        </row>
        <row r="27346">
          <cell r="B27346" t="str">
            <v>81030200000110</v>
          </cell>
          <cell r="C27346" t="str">
            <v>CL CASTIGO CAPITAL TAR.CRE.VISA         7ND</v>
          </cell>
        </row>
        <row r="27347">
          <cell r="B27347" t="str">
            <v>81030200000111</v>
          </cell>
          <cell r="C27347" t="str">
            <v>CL CASTIGO CAPITAL SOB.C.CTE.PN         7ND</v>
          </cell>
        </row>
        <row r="27348">
          <cell r="B27348" t="str">
            <v>81030200000112</v>
          </cell>
          <cell r="C27348" t="str">
            <v>CL CASTIGO CAPITAL SOB.C.CTE.PJ         7ND</v>
          </cell>
        </row>
        <row r="27349">
          <cell r="B27349" t="str">
            <v>81030200000113</v>
          </cell>
          <cell r="C27349" t="str">
            <v>CJ TRAM SENT JUD-DCTO LETRAS CL         7ND</v>
          </cell>
        </row>
        <row r="27350">
          <cell r="B27350" t="str">
            <v>81030200000114</v>
          </cell>
          <cell r="C27350" t="str">
            <v>CL CASTIGO CAPITAL DSCTO. PAG           7ND</v>
          </cell>
        </row>
        <row r="27351">
          <cell r="B27351" t="str">
            <v>81030200000115</v>
          </cell>
          <cell r="C27351" t="str">
            <v>CL CASTIGO CAPITAL CRED.CONSUMO         7ND</v>
          </cell>
        </row>
        <row r="27352">
          <cell r="B27352" t="str">
            <v>81030200000116</v>
          </cell>
          <cell r="C27352" t="str">
            <v>CL CASTIGO CAPITAL CRE.EFECTIVO         7ND</v>
          </cell>
        </row>
        <row r="27353">
          <cell r="B27353" t="str">
            <v>81030200000117</v>
          </cell>
          <cell r="C27353" t="str">
            <v>CL CASTIGO CAPITAL CRED.VEHIC           7ND</v>
          </cell>
        </row>
        <row r="27354">
          <cell r="B27354" t="str">
            <v>81030200000118</v>
          </cell>
          <cell r="C27354" t="str">
            <v>CL CASTIGO CAPITAL CRE.HIPOT.IC         7ND</v>
          </cell>
        </row>
        <row r="27355">
          <cell r="B27355" t="str">
            <v>81030200000119</v>
          </cell>
          <cell r="C27355" t="str">
            <v>CL CASTIGO CAPITAL LEASING PJ           7ND</v>
          </cell>
        </row>
        <row r="27356">
          <cell r="B27356" t="str">
            <v>81030200000120</v>
          </cell>
          <cell r="C27356" t="str">
            <v>CL CASTIGO CAPITAL ARREN.FIN PN         7ND</v>
          </cell>
        </row>
        <row r="27357">
          <cell r="B27357" t="str">
            <v>81030200000121</v>
          </cell>
          <cell r="C27357" t="str">
            <v>CL CASTIGO CAPITAL FACTO.LETRA          7ND</v>
          </cell>
        </row>
        <row r="27358">
          <cell r="B27358" t="str">
            <v>81030200000122</v>
          </cell>
          <cell r="C27358" t="str">
            <v>CL CASTIGO CAPITAL FACTO.FACTU          7ND</v>
          </cell>
        </row>
        <row r="27359">
          <cell r="B27359" t="str">
            <v>81030200000123</v>
          </cell>
          <cell r="C27359" t="str">
            <v>CL CASTIGO CAPITAL P.RP EXPORT          7ND</v>
          </cell>
        </row>
        <row r="27360">
          <cell r="B27360" t="str">
            <v>81030200000124</v>
          </cell>
          <cell r="C27360" t="str">
            <v>CJ TRAM SENT JUD-IMPORT RP CL           7ND</v>
          </cell>
        </row>
        <row r="27361">
          <cell r="B27361" t="str">
            <v>81030200000125</v>
          </cell>
          <cell r="C27361" t="str">
            <v>CL CASTIGO CAPITAL P.CAP.TRAB           7ND</v>
          </cell>
        </row>
        <row r="27362">
          <cell r="B27362" t="str">
            <v>81030200000126</v>
          </cell>
          <cell r="C27362" t="str">
            <v>CJ TRAM SENT JUD-REC COFIDE CL          7ND</v>
          </cell>
        </row>
        <row r="27363">
          <cell r="B27363" t="str">
            <v>81030200000128</v>
          </cell>
          <cell r="C27363" t="str">
            <v>CJ TRAM SENT JUD- PORFIN CL             7ND</v>
          </cell>
        </row>
        <row r="27364">
          <cell r="B27364" t="str">
            <v>81030200000132</v>
          </cell>
          <cell r="C27364" t="str">
            <v>CL CASTIGO CAPITAL REFINANC.IC          7ND</v>
          </cell>
        </row>
        <row r="27365">
          <cell r="B27365" t="str">
            <v>81030200000133</v>
          </cell>
          <cell r="C27365" t="str">
            <v>CL CASTIGO CAPITAL CARTA FIANZA         7ND</v>
          </cell>
        </row>
        <row r="27366">
          <cell r="B27366" t="str">
            <v>81030200000136</v>
          </cell>
          <cell r="C27366" t="str">
            <v>CL CASTIGO CAPITAL CRE.HIPOT.CL         7ND</v>
          </cell>
        </row>
        <row r="27367">
          <cell r="B27367" t="str">
            <v>81030200000138</v>
          </cell>
          <cell r="C27367" t="str">
            <v>CL CASTIGO CAPITAL CART.CREDITO         7ND</v>
          </cell>
        </row>
        <row r="27368">
          <cell r="B27368" t="str">
            <v>81030200000140</v>
          </cell>
          <cell r="C27368" t="str">
            <v>CL CASTIGO CAPITAL T.CR.AMEX PN         7ND</v>
          </cell>
        </row>
        <row r="27369">
          <cell r="B27369" t="str">
            <v>81030200000141</v>
          </cell>
          <cell r="C27369" t="str">
            <v>CJ TRAM SENT JUD-TC AMEX PJ CL          7ND</v>
          </cell>
        </row>
        <row r="27370">
          <cell r="B27370" t="str">
            <v>81030200000142</v>
          </cell>
          <cell r="C27370" t="str">
            <v>CL CASTIGO CAPITAL TC MASTER PN         7ND</v>
          </cell>
        </row>
        <row r="27371">
          <cell r="B27371" t="str">
            <v>81030200000143</v>
          </cell>
          <cell r="C27371" t="str">
            <v>CL CASTIGO CAPITAL TC MASTER PJ         7ND</v>
          </cell>
        </row>
        <row r="27372">
          <cell r="B27372" t="str">
            <v>81030200000144</v>
          </cell>
          <cell r="C27372" t="str">
            <v>CJ TRAM SENT JUD-CRED HIPO COMERC CL    7ND</v>
          </cell>
        </row>
        <row r="27373">
          <cell r="B27373" t="str">
            <v>81030200000145</v>
          </cell>
          <cell r="C27373" t="str">
            <v>CL CASTIGO CAPITAL REF.HIPOT.IC         7ND</v>
          </cell>
        </row>
        <row r="27374">
          <cell r="B27374" t="str">
            <v>81030200000146</v>
          </cell>
          <cell r="C27374" t="str">
            <v>CJ CASTIGADA RFA SUBORDINADO            7ND</v>
          </cell>
        </row>
        <row r="27375">
          <cell r="B27375" t="str">
            <v>81030200000147</v>
          </cell>
          <cell r="C27375" t="str">
            <v>CJ CASTIGADA RFA FINANCIAMIENTO         7ND</v>
          </cell>
        </row>
        <row r="27376">
          <cell r="B27376" t="str">
            <v>81030200000148</v>
          </cell>
          <cell r="C27376" t="str">
            <v>CL CASTIGO CAPITAL CONVENIO IC          7ND</v>
          </cell>
        </row>
        <row r="27377">
          <cell r="B27377" t="str">
            <v>81030200000149</v>
          </cell>
          <cell r="C27377" t="str">
            <v>CL CASTIGO CAPITAL DCTO PAG MES         7ND</v>
          </cell>
        </row>
        <row r="27378">
          <cell r="B27378" t="str">
            <v>81030200000150</v>
          </cell>
          <cell r="C27378" t="str">
            <v>CL CASTIGO CAPITAL DCTO.LET.MES         7ND</v>
          </cell>
        </row>
        <row r="27379">
          <cell r="B27379" t="str">
            <v>81030200000153</v>
          </cell>
          <cell r="C27379" t="str">
            <v>CL CASTIGO CAPITAL CAP.TRAB.MES         7ND</v>
          </cell>
        </row>
        <row r="27380">
          <cell r="B27380" t="str">
            <v>81030200000154</v>
          </cell>
          <cell r="C27380" t="str">
            <v>CL CJ CAPITAL CASTIG.FACTORING LET MES G7ND</v>
          </cell>
        </row>
        <row r="27381">
          <cell r="B27381" t="str">
            <v>81030200000155</v>
          </cell>
          <cell r="C27381" t="str">
            <v>CL CASTIGO CAPIT.FAC.FACTU.MES          7ND</v>
          </cell>
        </row>
        <row r="27382">
          <cell r="B27382" t="str">
            <v>81030200000158</v>
          </cell>
          <cell r="C27382" t="str">
            <v>CL CASTIGO CAPITAL CRE.HIPO.MES .       7ND</v>
          </cell>
        </row>
        <row r="27383">
          <cell r="B27383" t="str">
            <v>81030200000159</v>
          </cell>
          <cell r="C27383" t="str">
            <v>CL CASTIGO CAPITAL TC VISA MES          7ND</v>
          </cell>
        </row>
        <row r="27384">
          <cell r="B27384" t="str">
            <v>81030200000160</v>
          </cell>
          <cell r="C27384" t="str">
            <v>CL CAPITAL CASTIG.T.CRED AMEX PJ MES GL77ND</v>
          </cell>
        </row>
        <row r="27385">
          <cell r="B27385" t="str">
            <v>81030200000161</v>
          </cell>
          <cell r="C27385" t="str">
            <v>CL CASTIG.CAPI.TC MASTER PJ MES         7ND</v>
          </cell>
        </row>
        <row r="27386">
          <cell r="B27386" t="str">
            <v>81030200000162</v>
          </cell>
          <cell r="C27386" t="str">
            <v>CL CAPITAL CASTIG. RFA SUBORDINADO MES G7ND</v>
          </cell>
        </row>
        <row r="27387">
          <cell r="B27387" t="str">
            <v>81030200000163</v>
          </cell>
          <cell r="C27387" t="str">
            <v>CL CAPITAL CASTIG. RFA FINANCIAM MES GL77ND</v>
          </cell>
        </row>
        <row r="27388">
          <cell r="B27388" t="str">
            <v>81030200000164</v>
          </cell>
          <cell r="C27388" t="str">
            <v>CL CJ TRAMITE SENT JUD.REC. COFIDE MES  7ND</v>
          </cell>
        </row>
        <row r="27389">
          <cell r="B27389" t="str">
            <v>81030200000165</v>
          </cell>
          <cell r="C27389" t="str">
            <v>CL CASTIGO CAPITAL C.CTE PJ MES         7ND</v>
          </cell>
        </row>
        <row r="27390">
          <cell r="B27390" t="str">
            <v>81030200000166</v>
          </cell>
          <cell r="C27390" t="str">
            <v>CL CASTIGO CAPITAL DIREC.PJ MES         7ND</v>
          </cell>
        </row>
        <row r="27391">
          <cell r="B27391" t="str">
            <v>81030200000169</v>
          </cell>
          <cell r="C27391" t="str">
            <v>CL CASTIGO CAPITAL B.COMER.MES          7ND</v>
          </cell>
        </row>
        <row r="27392">
          <cell r="B27392" t="str">
            <v>81030200000170</v>
          </cell>
          <cell r="C27392" t="str">
            <v>CL CASTIGO CAPI.LEASING PJ MES          7ND</v>
          </cell>
        </row>
        <row r="27393">
          <cell r="B27393" t="str">
            <v>81030200000171</v>
          </cell>
          <cell r="C27393" t="str">
            <v>CL CAPITAL CASTIGO P.REF FOPE SUB GL 7027ND</v>
          </cell>
        </row>
        <row r="27394">
          <cell r="B27394" t="str">
            <v>81030200000172</v>
          </cell>
          <cell r="C27394" t="str">
            <v>CL CAPITAL CASTIGO P.REF FOPEÂ  GL 7024 7ND</v>
          </cell>
        </row>
        <row r="27395">
          <cell r="B27395" t="str">
            <v>81030200000175</v>
          </cell>
          <cell r="C27395" t="str">
            <v>CL CAPIT.CASTIG.HIPOT.MI VIVIEN.COFIDE  7ND</v>
          </cell>
        </row>
        <row r="27396">
          <cell r="B27396" t="str">
            <v>81030200000178</v>
          </cell>
          <cell r="C27396" t="str">
            <v>CL BT CAPIT.CASTI.HIP.MIVIV.COF         7ND</v>
          </cell>
        </row>
        <row r="27397">
          <cell r="B27397" t="str">
            <v>81030200000179</v>
          </cell>
          <cell r="C27397" t="str">
            <v>CJ CAPITAL CRED TECHOPROPIO-RECUPER C   7ND</v>
          </cell>
        </row>
        <row r="27398">
          <cell r="B27398" t="str">
            <v>81030200000180</v>
          </cell>
          <cell r="C27398" t="str">
            <v>CL CASTIG PRINC MYP C.TRAB MES          7ND</v>
          </cell>
        </row>
        <row r="27399">
          <cell r="B27399" t="str">
            <v>81030200000181</v>
          </cell>
          <cell r="C27399" t="str">
            <v>CL CAPIT CASTIGO H. MIVIVIENDA RP       7ND</v>
          </cell>
        </row>
        <row r="27400">
          <cell r="B27400" t="str">
            <v>81030200000182</v>
          </cell>
          <cell r="C27400" t="str">
            <v>CL INTER CASTIGO H. MI HOGAR COFIDE     7ND</v>
          </cell>
        </row>
        <row r="27401">
          <cell r="B27401" t="str">
            <v>81030200000183</v>
          </cell>
          <cell r="C27401" t="str">
            <v>CL CAPIT CASTIGO  PREST EFEC GTIA HI    7ND</v>
          </cell>
        </row>
        <row r="27402">
          <cell r="B27402" t="str">
            <v>81030200000201</v>
          </cell>
          <cell r="C27402" t="str">
            <v>CL CASTIG PRINC MYP C.TRAB COMERCIAL    7ND</v>
          </cell>
        </row>
        <row r="27403">
          <cell r="B27403" t="str">
            <v>81030200000202</v>
          </cell>
          <cell r="C27403" t="str">
            <v>CL CASTIG PRINC MYP A.F. INMB. COMER    7ND</v>
          </cell>
        </row>
        <row r="27404">
          <cell r="B27404" t="str">
            <v>81030200000203</v>
          </cell>
          <cell r="C27404" t="str">
            <v>CL CASTIG PRINC MYP A.F. INMB. MES      7ND</v>
          </cell>
        </row>
        <row r="27405">
          <cell r="B27405" t="str">
            <v>81030200000204</v>
          </cell>
          <cell r="C27405" t="str">
            <v>CL CASTIG PRINC MYP A.F. MUEBLE. COM    7ND</v>
          </cell>
        </row>
        <row r="27406">
          <cell r="B27406" t="str">
            <v>81030200000205</v>
          </cell>
          <cell r="C27406" t="str">
            <v>CL CASTIG PRINC MYP A.F. MUEBLE. MES    7ND</v>
          </cell>
        </row>
        <row r="27407">
          <cell r="B27407" t="str">
            <v>81030200000206</v>
          </cell>
          <cell r="C27407" t="str">
            <v>CL CASTIG PRINC MYP ESTAC. COMERCIA     7ND</v>
          </cell>
        </row>
        <row r="27408">
          <cell r="B27408" t="str">
            <v>81030200000207</v>
          </cell>
          <cell r="C27408" t="str">
            <v>CL CASTIG PRINC MYP ESTAC.MES           7ND</v>
          </cell>
        </row>
        <row r="27409">
          <cell r="B27409" t="str">
            <v>81030200000208</v>
          </cell>
          <cell r="C27409" t="str">
            <v>CL CASTIG PRINC MYP A.F. CYBER. COME    7ND</v>
          </cell>
        </row>
        <row r="27410">
          <cell r="B27410" t="str">
            <v>81030200000209</v>
          </cell>
          <cell r="C27410" t="str">
            <v>CL CASTIG PRINC MYP A.F. CYBER. MES     7ND</v>
          </cell>
        </row>
        <row r="27411">
          <cell r="B27411" t="str">
            <v>81030200000210</v>
          </cell>
          <cell r="C27411" t="str">
            <v>CL CAPITAL CASTIG. CONS ADEL SUELDO     7ND</v>
          </cell>
        </row>
        <row r="27412">
          <cell r="B27412" t="str">
            <v>81030200000211</v>
          </cell>
          <cell r="C27412" t="str">
            <v>CL CAPITAL CASTIG. CONS PREFERENTE      7ND</v>
          </cell>
        </row>
        <row r="27413">
          <cell r="B27413" t="str">
            <v>81030200000212</v>
          </cell>
          <cell r="C27413" t="str">
            <v>CL CASTIGO CAPITAL CONVENIO NO REV.CNG  7ND</v>
          </cell>
        </row>
        <row r="27414">
          <cell r="B27414" t="str">
            <v>81030200000213</v>
          </cell>
          <cell r="C27414" t="str">
            <v>CL CASTIGO CAPITAL REFINAN.CONV.NO REV.C7ND</v>
          </cell>
        </row>
        <row r="27415">
          <cell r="B27415" t="str">
            <v>81030200000214</v>
          </cell>
          <cell r="C27415" t="str">
            <v>JCC CASTIGO CAPITAL REF.HIPOT.          7ND</v>
          </cell>
        </row>
        <row r="27416">
          <cell r="B27416" t="str">
            <v>81030200000215</v>
          </cell>
          <cell r="C27416" t="str">
            <v>JCC CASTIGO CAPITAL BANCA PERSONAL      7ND</v>
          </cell>
        </row>
        <row r="27417">
          <cell r="B27417" t="str">
            <v>81030200000216</v>
          </cell>
          <cell r="C27417" t="str">
            <v>CL MYP CASTIGO CAPITAL CAP.TRAB         7ND</v>
          </cell>
        </row>
        <row r="27418">
          <cell r="B27418" t="str">
            <v>81030200000301</v>
          </cell>
          <cell r="C27418" t="str">
            <v>JCC CASTIGO CAPITAL P.RP EXPORT         7ND</v>
          </cell>
        </row>
        <row r="27419">
          <cell r="B27419" t="str">
            <v>81030200000302</v>
          </cell>
          <cell r="C27419" t="str">
            <v>JCC TRAM SENT JUD-IMPORT RP JCC         7ND</v>
          </cell>
        </row>
        <row r="27420">
          <cell r="B27420" t="str">
            <v>81030200000303</v>
          </cell>
          <cell r="C27420" t="str">
            <v>JCC CASTIGO CAPITAL P.CAP.TRAB          7ND</v>
          </cell>
        </row>
        <row r="27421">
          <cell r="B27421" t="str">
            <v>81030200000304</v>
          </cell>
          <cell r="C27421" t="str">
            <v>JCC CASTIGO CAPITAL CRE.HIPOT.JCC       7ND</v>
          </cell>
        </row>
        <row r="27422">
          <cell r="B27422" t="str">
            <v>81030200000305</v>
          </cell>
          <cell r="C27422" t="str">
            <v>JCC CASTIGO CAPITAL CRE.EFECTIVO        7ND</v>
          </cell>
        </row>
        <row r="27423">
          <cell r="B27423" t="str">
            <v>81030200000306</v>
          </cell>
          <cell r="C27423" t="str">
            <v>JCC TRAM SENT JUD-VEHICULAR JCC         7ND</v>
          </cell>
        </row>
        <row r="27424">
          <cell r="B27424" t="str">
            <v>81030200000401</v>
          </cell>
          <cell r="C27424" t="str">
            <v>JCC CASTIGO CAPITAL CONVENIO            7ND</v>
          </cell>
        </row>
        <row r="27425">
          <cell r="B27425" t="str">
            <v>81030200000402</v>
          </cell>
          <cell r="C27425" t="str">
            <v>JCC CASTIGO CAPITAL REFINANC.           7ND</v>
          </cell>
        </row>
        <row r="27426">
          <cell r="B27426" t="str">
            <v>81030200000403</v>
          </cell>
          <cell r="C27426" t="str">
            <v>JCC CAPIT.CASTIG.HIPOT.MI VIVIEN.COFIDE 7ND</v>
          </cell>
        </row>
        <row r="27427">
          <cell r="B27427" t="str">
            <v>81030200000404</v>
          </cell>
          <cell r="C27427" t="str">
            <v>JCC CASTIGO CAPITAL CRED.PORFIN COB.JUD 7ND</v>
          </cell>
        </row>
        <row r="27428">
          <cell r="B27428" t="str">
            <v>81030200000405</v>
          </cell>
          <cell r="C27428" t="str">
            <v>JCC CAPITAL CASTIG. CONS ADEL SUELDO    7ND</v>
          </cell>
        </row>
        <row r="27429">
          <cell r="B27429" t="str">
            <v>81030200000406</v>
          </cell>
          <cell r="C27429" t="str">
            <v>JCC CAPITAL CASTIG. CONS PREFERENTE     7ND</v>
          </cell>
        </row>
        <row r="27430">
          <cell r="B27430" t="str">
            <v>81030200000407</v>
          </cell>
          <cell r="C27430" t="str">
            <v>JCC CASTIGO CAPITAL TC MASTER PN.MASTER 7ND</v>
          </cell>
        </row>
        <row r="27431">
          <cell r="B27431" t="str">
            <v>81030200000408</v>
          </cell>
          <cell r="C27431" t="str">
            <v>JCC CASTIG PRINC MYP A.F. INMB. MES     7ND</v>
          </cell>
        </row>
        <row r="27432">
          <cell r="B27432" t="str">
            <v>81030200000409</v>
          </cell>
          <cell r="C27432" t="str">
            <v>JCC CASTIG PRINC MYP A.F. MUEBLE. MES   7ND</v>
          </cell>
        </row>
        <row r="27433">
          <cell r="B27433" t="str">
            <v>81030200000410</v>
          </cell>
          <cell r="C27433" t="str">
            <v>JCC CASTIGO CAPITAL TC MASTER PN.       7ND</v>
          </cell>
        </row>
        <row r="27434">
          <cell r="B27434" t="str">
            <v>81030200000411</v>
          </cell>
          <cell r="C27434" t="str">
            <v>JCC CASTIGO CAPITAL SOB.C.CTE.PN.JUD.SOB7ND</v>
          </cell>
        </row>
        <row r="27435">
          <cell r="B27435" t="str">
            <v>81030200000412</v>
          </cell>
          <cell r="C27435" t="str">
            <v>JCC CASTIGO CAPITAL ARREN.FIN PN        7ND</v>
          </cell>
        </row>
        <row r="27436">
          <cell r="B27436" t="str">
            <v>81030200000413</v>
          </cell>
          <cell r="C27436" t="str">
            <v>JCC CASTIGO CAPITAL CRED.DIRECTO        7ND</v>
          </cell>
        </row>
        <row r="27437">
          <cell r="B27437" t="str">
            <v>81030200000414</v>
          </cell>
          <cell r="C27437" t="str">
            <v>JCC INTER CASTIGO H. MI HOGAR COFIDE    7ND</v>
          </cell>
        </row>
        <row r="27438">
          <cell r="B27438" t="str">
            <v>81030200000415</v>
          </cell>
          <cell r="C27438" t="str">
            <v>JCC CAPIT CASTIGO  PREST EFEC GTIA HI   7ND</v>
          </cell>
        </row>
        <row r="27439">
          <cell r="B27439" t="str">
            <v>81030200000416</v>
          </cell>
          <cell r="C27439" t="str">
            <v>CJ CAPITAL CRED TECHOPROPIO-RECUPER C   7ND</v>
          </cell>
        </row>
        <row r="27440">
          <cell r="B27440" t="str">
            <v>81030200000417</v>
          </cell>
          <cell r="C27440" t="str">
            <v>JCC CASTIGO CAPITAL BCA.PERSONAS        7ND</v>
          </cell>
        </row>
        <row r="27441">
          <cell r="B27441" t="str">
            <v>81030200000418</v>
          </cell>
          <cell r="C27441" t="str">
            <v>JCC CASTIGO CAPITAL TAR.CRE.VISA        7ND</v>
          </cell>
        </row>
        <row r="27442">
          <cell r="B27442" t="str">
            <v>81030200000419</v>
          </cell>
          <cell r="C27442" t="str">
            <v>JCC CASTIGO CAPITAL T.CR.AMEX PN        7ND</v>
          </cell>
        </row>
        <row r="27443">
          <cell r="B27443" t="str">
            <v>81030200000420</v>
          </cell>
          <cell r="C27443" t="str">
            <v>JCC CASTIGO CAPITAL T.CR.AMEX PN        7ND</v>
          </cell>
        </row>
        <row r="27444">
          <cell r="B27444" t="str">
            <v>81030200000421</v>
          </cell>
          <cell r="C27444" t="str">
            <v>JCC CASTIGO CAPITAL DSCTO. PAG.DSCTO PAG7ND</v>
          </cell>
        </row>
        <row r="27445">
          <cell r="B27445" t="str">
            <v>81030200000422</v>
          </cell>
          <cell r="C27445" t="str">
            <v>JCC CAP  JUD-DCTO LETRAS                7ND</v>
          </cell>
        </row>
        <row r="27446">
          <cell r="B27446" t="str">
            <v>81030200000424</v>
          </cell>
          <cell r="C27446" t="str">
            <v>JCC CASTIGO CAPITAL FACTU.LETRA         7ND</v>
          </cell>
        </row>
        <row r="27447">
          <cell r="B27447" t="str">
            <v>81030200000425</v>
          </cell>
          <cell r="C27447" t="str">
            <v>JCC CASTIGO CAPITAL FACTU.FACTU         7ND</v>
          </cell>
        </row>
        <row r="27448">
          <cell r="B27448" t="str">
            <v>81030200000426</v>
          </cell>
          <cell r="C27448" t="str">
            <v>JCC CASTIGO CAPITAL CART.CREDITO        7ND</v>
          </cell>
        </row>
        <row r="27449">
          <cell r="B27449" t="str">
            <v>81030200000427</v>
          </cell>
          <cell r="C27449" t="str">
            <v>JCC CASTIGO CAPITAL CARTA FIANZA        7ND</v>
          </cell>
        </row>
        <row r="27450">
          <cell r="B27450" t="str">
            <v>81030200000428</v>
          </cell>
          <cell r="C27450" t="str">
            <v>JCC CASTIG PRINC MYP C.TRAB MES         7ND</v>
          </cell>
        </row>
        <row r="27451">
          <cell r="B27451" t="str">
            <v>81030200000429</v>
          </cell>
          <cell r="C27451" t="str">
            <v>JCC CASTIG PRINC MYP ESTAC.MES.ESTAC    7ND</v>
          </cell>
        </row>
        <row r="27452">
          <cell r="B27452" t="str">
            <v>81030200000430</v>
          </cell>
          <cell r="C27452" t="str">
            <v>JCC CASTIG PRINC MYP A.F. CYBER. MES    7ND</v>
          </cell>
        </row>
        <row r="27453">
          <cell r="B27453" t="str">
            <v>81030200000431</v>
          </cell>
          <cell r="C27453" t="str">
            <v>JCC CASTIGO CAPITAL TC MASTER PJ        7ND</v>
          </cell>
        </row>
        <row r="27454">
          <cell r="B27454" t="str">
            <v>81030200000432</v>
          </cell>
          <cell r="C27454" t="str">
            <v>JCC CASTIG.CAPI.TC MASTER PJ MES        7ND</v>
          </cell>
        </row>
        <row r="27455">
          <cell r="B27455" t="str">
            <v>81030200000435</v>
          </cell>
          <cell r="C27455" t="str">
            <v>JCC CASTIGO CAPITAL SOB.C.CTE.PJ        7ND</v>
          </cell>
        </row>
        <row r="27456">
          <cell r="B27456" t="str">
            <v>81030200000436</v>
          </cell>
          <cell r="C27456" t="str">
            <v>JCC CASTIGO CAPITAL C.CTE PJ MES        7ND</v>
          </cell>
        </row>
        <row r="27457">
          <cell r="B27457" t="str">
            <v>81030200000437</v>
          </cell>
          <cell r="C27457" t="str">
            <v>JCC CASTIGO CAPITAL LEASING PJ.         7ND</v>
          </cell>
        </row>
        <row r="27458">
          <cell r="B27458" t="str">
            <v>81030200000438</v>
          </cell>
          <cell r="C27458" t="str">
            <v>JCC CASTIGO CAPITAL PORFIN              7ND</v>
          </cell>
        </row>
        <row r="27459">
          <cell r="B27459" t="str">
            <v>81030200000439</v>
          </cell>
          <cell r="C27459" t="str">
            <v>JCC CASTIGO CAPITAL BC.COMERCIAL        7ND</v>
          </cell>
        </row>
        <row r="27460">
          <cell r="B27460" t="str">
            <v>81030200000440</v>
          </cell>
          <cell r="C27460" t="str">
            <v>JCC CASTIGO CAPITAL DIREC.PJ MES        7ND</v>
          </cell>
        </row>
        <row r="27461">
          <cell r="B27461" t="str">
            <v>81030200000441</v>
          </cell>
          <cell r="C27461" t="str">
            <v>JCC CASTIGO CAPITAL B.COMER.MES         7ND</v>
          </cell>
        </row>
        <row r="27462">
          <cell r="B27462" t="str">
            <v>81030200000442</v>
          </cell>
          <cell r="C27462" t="str">
            <v>JCC CASTIGADA RFA SUBORDINADO           7ND</v>
          </cell>
        </row>
        <row r="27463">
          <cell r="B27463" t="str">
            <v>81030200000443</v>
          </cell>
          <cell r="C27463" t="str">
            <v>JCC CAPITAL CASTIG. RFA SUBORDINADO MES 7ND</v>
          </cell>
        </row>
        <row r="27464">
          <cell r="B27464" t="str">
            <v>81030200000444</v>
          </cell>
          <cell r="C27464" t="str">
            <v>JCC CASTIGADA RFA FINANCIAMIENTO        7ND</v>
          </cell>
        </row>
        <row r="27465">
          <cell r="B27465" t="str">
            <v>81030200000445</v>
          </cell>
          <cell r="C27465" t="str">
            <v>JCC CASTIGO CAPITAL TAR.CRE.VISA        7ND</v>
          </cell>
        </row>
        <row r="27466">
          <cell r="B27466" t="str">
            <v>81030200000446</v>
          </cell>
          <cell r="C27466" t="str">
            <v>JCC TRAM SENT JUD-TC AMEX PJ            7ND</v>
          </cell>
        </row>
        <row r="27467">
          <cell r="B27467" t="str">
            <v>81030200000447</v>
          </cell>
          <cell r="C27467" t="str">
            <v>JCC CAPITAL CASTIG.T.CRED AMEX PJ MES GL7ND</v>
          </cell>
        </row>
        <row r="27468">
          <cell r="B27468" t="str">
            <v>81030200000450</v>
          </cell>
          <cell r="C27468" t="str">
            <v>JCC CASTIGO CAPITAL CRED.DIRECTO        7ND</v>
          </cell>
        </row>
        <row r="27469">
          <cell r="B27469" t="str">
            <v>81030200000451</v>
          </cell>
          <cell r="C27469" t="str">
            <v>JCC TRAM SENT JUD-REC COFIDE            7ND</v>
          </cell>
        </row>
        <row r="27470">
          <cell r="B27470" t="str">
            <v>81030200000455</v>
          </cell>
          <cell r="C27470" t="str">
            <v>JCC CASTIGO CAPITAL TC VISA MES         7ND</v>
          </cell>
        </row>
        <row r="27471">
          <cell r="B27471" t="str">
            <v>81030200000459</v>
          </cell>
          <cell r="C27471" t="str">
            <v>JCC CAPIT CASTIGO H. MIVIVIENDA RP      7ND</v>
          </cell>
        </row>
        <row r="27472">
          <cell r="B27472" t="str">
            <v>81030200000460</v>
          </cell>
          <cell r="C27472" t="str">
            <v>JCC CASTIGO CAPITAL TAR.CRE.VISA        7ND</v>
          </cell>
        </row>
        <row r="27473">
          <cell r="B27473" t="str">
            <v>81030200000461</v>
          </cell>
          <cell r="C27473" t="str">
            <v>JCC CASTIGO CAPITAL CONVENIO NO REV.CNG 7ND</v>
          </cell>
        </row>
        <row r="27474">
          <cell r="B27474" t="str">
            <v>81030200000462</v>
          </cell>
          <cell r="C27474" t="str">
            <v>JCC CASTIGO CAPITAL REFINAN.CONV.NO REV.7ND</v>
          </cell>
        </row>
        <row r="27475">
          <cell r="B27475" t="str">
            <v>81030200000463</v>
          </cell>
          <cell r="C27475" t="str">
            <v>JCC CASTIG PRINC MYP C.TRAB REV         7ND</v>
          </cell>
        </row>
        <row r="27476">
          <cell r="B27476" t="str">
            <v>81030200000464</v>
          </cell>
          <cell r="C27476" t="str">
            <v>JCC CAP.JUD.MYP LEASING BPE CA-CS       7ND</v>
          </cell>
        </row>
        <row r="27477">
          <cell r="B27477" t="str">
            <v>81030200000465</v>
          </cell>
          <cell r="C27477" t="str">
            <v>JCC CASTIGO CAPITAL REF TC              7ND</v>
          </cell>
        </row>
        <row r="27478">
          <cell r="B27478" t="str">
            <v>81030200000466</v>
          </cell>
          <cell r="C27478" t="str">
            <v>JCC CASTIGO CAPITAL P.CAP.TRAB          7ND</v>
          </cell>
        </row>
        <row r="27479">
          <cell r="B27479" t="str">
            <v>81030200000467</v>
          </cell>
          <cell r="C27479" t="str">
            <v>JCC CASTIGO CAPITAL P.CAP.TRAB          7 D</v>
          </cell>
        </row>
        <row r="27480">
          <cell r="B27480" t="str">
            <v>81030200000468</v>
          </cell>
          <cell r="C27480" t="str">
            <v>JCC MP CASTIGO CAPITAL FONDO CRECER     7 D</v>
          </cell>
        </row>
        <row r="27481">
          <cell r="B27481" t="str">
            <v>81030200000469</v>
          </cell>
          <cell r="C27481" t="str">
            <v>JCC BC CASTIGO CAPITAL FONDO CRECER     7 D</v>
          </cell>
        </row>
        <row r="27482">
          <cell r="B27482" t="str">
            <v>81030200000470</v>
          </cell>
          <cell r="C27482" t="str">
            <v>JCC MP CASTIGO CAPITAL REACTIVA PRE-HONR7 D</v>
          </cell>
        </row>
        <row r="27483">
          <cell r="B27483" t="str">
            <v>81030200000471</v>
          </cell>
          <cell r="C27483" t="str">
            <v>JCC BC CASTIGO CAPITAL REACTIVA PRE-HONR7 D</v>
          </cell>
        </row>
        <row r="27484">
          <cell r="B27484" t="str">
            <v>81030200000472</v>
          </cell>
          <cell r="C27484" t="str">
            <v>JCC CASTIGO CAPITAL RAPPIBANK           7 D</v>
          </cell>
        </row>
        <row r="27485">
          <cell r="B27485" t="str">
            <v>81030200000473</v>
          </cell>
          <cell r="C27485" t="str">
            <v>JCC MP CASTIGO CAPITAL IMPULSO MYPERU IB7 D</v>
          </cell>
        </row>
        <row r="27486">
          <cell r="B27486" t="str">
            <v>81030200000474</v>
          </cell>
          <cell r="C27486" t="str">
            <v>JCC BC CASTIGO CAPITAL IMPULSO MYPERU PR7 D</v>
          </cell>
        </row>
        <row r="27487">
          <cell r="B27487" t="str">
            <v>81030200000475</v>
          </cell>
          <cell r="C27487" t="str">
            <v>JCC MP CASTIGO IMPLUSO MYPERU HONRADO IB7 D</v>
          </cell>
        </row>
        <row r="27488">
          <cell r="B27488" t="str">
            <v>81030200000476</v>
          </cell>
          <cell r="C27488" t="str">
            <v>JCC CCD CASTIGO CAPITAL CAPITAL DE TRABA7 D</v>
          </cell>
        </row>
        <row r="27489">
          <cell r="B27489" t="str">
            <v>81030402000101</v>
          </cell>
          <cell r="C27489" t="str">
            <v>CL CASTIGO INTERES DSCTO. PAG           7ND</v>
          </cell>
        </row>
        <row r="27490">
          <cell r="B27490" t="str">
            <v>81030402000102</v>
          </cell>
          <cell r="C27490" t="str">
            <v>CL CASTIGO INTERES DCTO. LETRAS         7ND</v>
          </cell>
        </row>
        <row r="27491">
          <cell r="B27491" t="str">
            <v>81030402000103</v>
          </cell>
          <cell r="C27491" t="str">
            <v>CL CASTIGO INTERES P.RP EXPORT .        7ND</v>
          </cell>
        </row>
        <row r="27492">
          <cell r="B27492" t="str">
            <v>81030402000104</v>
          </cell>
          <cell r="C27492" t="str">
            <v>CL CASTIGO INTERES P.IMPORT .           7ND</v>
          </cell>
        </row>
        <row r="27493">
          <cell r="B27493" t="str">
            <v>81030402000105</v>
          </cell>
          <cell r="C27493" t="str">
            <v>CL CASTIGO INTERES P.CAP.TRAB           7ND</v>
          </cell>
        </row>
        <row r="27494">
          <cell r="B27494" t="str">
            <v>81030402000106</v>
          </cell>
          <cell r="C27494" t="str">
            <v>CL CASTIGO INTERES FACTO. LETRA         7ND</v>
          </cell>
        </row>
        <row r="27495">
          <cell r="B27495" t="str">
            <v>81030402000107</v>
          </cell>
          <cell r="C27495" t="str">
            <v>CL CASTIGO INTERES FACTO.FACTU          7ND</v>
          </cell>
        </row>
        <row r="27496">
          <cell r="B27496" t="str">
            <v>81030402000108</v>
          </cell>
          <cell r="C27496" t="str">
            <v>CL CASTIGO INTERES CART.CREDITO         7ND</v>
          </cell>
        </row>
        <row r="27497">
          <cell r="B27497" t="str">
            <v>81030402000109</v>
          </cell>
          <cell r="C27497" t="str">
            <v>CL CASTIGO INTERES CARTA FIANZA         7ND</v>
          </cell>
        </row>
        <row r="27498">
          <cell r="B27498" t="str">
            <v>81030402000110</v>
          </cell>
          <cell r="C27498" t="str">
            <v>CL CASTIGO INTERES CRE.HIPOT.CL         7ND</v>
          </cell>
        </row>
        <row r="27499">
          <cell r="B27499" t="str">
            <v>81030402000111</v>
          </cell>
          <cell r="C27499" t="str">
            <v>CL CASTIGO INTERES CRE.EFECTIVO         7ND</v>
          </cell>
        </row>
        <row r="27500">
          <cell r="B27500" t="str">
            <v>81030402000112</v>
          </cell>
          <cell r="C27500" t="str">
            <v>CL CASTIGO INTERES CRED.CONSUMO         7ND</v>
          </cell>
        </row>
        <row r="27501">
          <cell r="B27501" t="str">
            <v>81030402000113</v>
          </cell>
          <cell r="C27501" t="str">
            <v>CL CASTIGO INTERES CRED.VEHIC           7ND</v>
          </cell>
        </row>
        <row r="27502">
          <cell r="B27502" t="str">
            <v>81030402000114</v>
          </cell>
          <cell r="C27502" t="str">
            <v>CL CASTIGO INTERES CRE.HIPOT.IC         7ND</v>
          </cell>
        </row>
        <row r="27503">
          <cell r="B27503" t="str">
            <v>81030402000115</v>
          </cell>
          <cell r="C27503" t="str">
            <v>CL CASTIGO INTERES CONVENIO IC          7ND</v>
          </cell>
        </row>
        <row r="27504">
          <cell r="B27504" t="str">
            <v>81030402000116</v>
          </cell>
          <cell r="C27504" t="str">
            <v>CL CASTIGO INTERES REFINANC.IC          7ND</v>
          </cell>
        </row>
        <row r="27505">
          <cell r="B27505" t="str">
            <v>81030402000117</v>
          </cell>
          <cell r="C27505" t="str">
            <v>CL CASTIGO INTERES CRED.PORFIN          7ND</v>
          </cell>
        </row>
        <row r="27506">
          <cell r="B27506" t="str">
            <v>81030402000118</v>
          </cell>
          <cell r="C27506" t="str">
            <v>CL CASTIGO INTERES REFI.HIPOT.IC        7ND</v>
          </cell>
        </row>
        <row r="27507">
          <cell r="B27507" t="str">
            <v>81030402000119</v>
          </cell>
          <cell r="C27507" t="str">
            <v>CL CASTIGO INTERES CR.HIP.PJ CL         7ND</v>
          </cell>
        </row>
        <row r="27508">
          <cell r="B27508" t="str">
            <v>81030402000120</v>
          </cell>
          <cell r="C27508" t="str">
            <v>CL CASTIGO INTERES T.CR.VISA PN         7ND</v>
          </cell>
        </row>
        <row r="27509">
          <cell r="B27509" t="str">
            <v>81030402000121</v>
          </cell>
          <cell r="C27509" t="str">
            <v>CL CASTIGO INTERES T.CR.VISA PJ         7ND</v>
          </cell>
        </row>
        <row r="27510">
          <cell r="B27510" t="str">
            <v>81030402000122</v>
          </cell>
          <cell r="C27510" t="str">
            <v>CL CASTIGO INTERES T.CR.AMEX PN         7ND</v>
          </cell>
        </row>
        <row r="27511">
          <cell r="B27511" t="str">
            <v>81030402000123</v>
          </cell>
          <cell r="C27511" t="str">
            <v>CL INT CASTIGADO TARJ CRED.AMEX PJ      7ND</v>
          </cell>
        </row>
        <row r="27512">
          <cell r="B27512" t="str">
            <v>81030402000124</v>
          </cell>
          <cell r="C27512" t="str">
            <v>CL CASTIGO INTERES TC MASTER PN         7ND</v>
          </cell>
        </row>
        <row r="27513">
          <cell r="B27513" t="str">
            <v>81030402000125</v>
          </cell>
          <cell r="C27513" t="str">
            <v>CL CASTIGO INTERES TC MASTER PJ         7ND</v>
          </cell>
        </row>
        <row r="27514">
          <cell r="B27514" t="str">
            <v>81030402000126</v>
          </cell>
          <cell r="C27514" t="str">
            <v>CL INT CASTIGADO P RFA SUBORDINADO      7ND</v>
          </cell>
        </row>
        <row r="27515">
          <cell r="B27515" t="str">
            <v>81030402000127</v>
          </cell>
          <cell r="C27515" t="str">
            <v>CL INT CASTIGADO PAG RFA FINANCIAM.     7ND</v>
          </cell>
        </row>
        <row r="27516">
          <cell r="B27516" t="str">
            <v>81030402000128</v>
          </cell>
          <cell r="C27516" t="str">
            <v>CL INTER?S CASTIG. REC. COFIDE          7ND</v>
          </cell>
        </row>
        <row r="27517">
          <cell r="B27517" t="str">
            <v>81030402000129</v>
          </cell>
          <cell r="C27517" t="str">
            <v>CL CASTIGO INTERES SOB.C.CTE.PN         7ND</v>
          </cell>
        </row>
        <row r="27518">
          <cell r="B27518" t="str">
            <v>81030402000130</v>
          </cell>
          <cell r="C27518" t="str">
            <v>CL CASTIGO INTERES SOB.C.CTE.PJ         7ND</v>
          </cell>
        </row>
        <row r="27519">
          <cell r="B27519" t="str">
            <v>81030402000131</v>
          </cell>
          <cell r="C27519" t="str">
            <v>CL CASTIGO INTERES ARREN.FIN PN .       7ND</v>
          </cell>
        </row>
        <row r="27520">
          <cell r="B27520" t="str">
            <v>81030402000132</v>
          </cell>
          <cell r="C27520" t="str">
            <v>CL CASTIGO INTERES LEASING PJ .         7ND</v>
          </cell>
        </row>
        <row r="27521">
          <cell r="B27521" t="str">
            <v>81030402000133</v>
          </cell>
          <cell r="C27521" t="str">
            <v>CL CASTIGO INTERES CRED.DIRECTO         7ND</v>
          </cell>
        </row>
        <row r="27522">
          <cell r="B27522" t="str">
            <v>81030402000134</v>
          </cell>
          <cell r="C27522" t="str">
            <v>UCL CASTIGO INTERES PORFIN              7ND</v>
          </cell>
        </row>
        <row r="27523">
          <cell r="B27523" t="str">
            <v>81030402000135</v>
          </cell>
          <cell r="C27523" t="str">
            <v>CL CASTIGO INTERES BCA.PERSONAS         7ND</v>
          </cell>
        </row>
        <row r="27524">
          <cell r="B27524" t="str">
            <v>81030402000136</v>
          </cell>
          <cell r="C27524" t="str">
            <v>CL CASTIGO INTERES BC.COMERCIAL         7ND</v>
          </cell>
        </row>
        <row r="27525">
          <cell r="B27525" t="str">
            <v>81030402000137</v>
          </cell>
          <cell r="C27525" t="str">
            <v>CL INT.CAST.P.REF FOPE SUB GL7024       7ND</v>
          </cell>
        </row>
        <row r="27526">
          <cell r="B27526" t="str">
            <v>81030402000138</v>
          </cell>
          <cell r="C27526" t="str">
            <v>CL INT.CAST.P.REF FOPEÂ  GL7024         7ND</v>
          </cell>
        </row>
        <row r="27527">
          <cell r="B27527" t="str">
            <v>81030402000140</v>
          </cell>
          <cell r="C27527" t="str">
            <v>UCL INTER.CASTIG.HIPOT.MI VIVIEN        7ND</v>
          </cell>
        </row>
        <row r="27528">
          <cell r="B27528" t="str">
            <v>81030402000141</v>
          </cell>
          <cell r="C27528" t="str">
            <v>$CL INT CAST P.TV MED.PLZ C/FIJ         7ND</v>
          </cell>
        </row>
        <row r="27529">
          <cell r="B27529" t="str">
            <v>81030402000143</v>
          </cell>
          <cell r="C27529" t="str">
            <v>CL BT INTER.CASTI.HIP.MIVIV.COF         7ND</v>
          </cell>
        </row>
        <row r="27530">
          <cell r="B27530" t="str">
            <v>81030402000144</v>
          </cell>
          <cell r="C27530" t="str">
            <v>CL INTERES CASTIG.CRE. TECHOPROPIO-RE   7ND</v>
          </cell>
        </row>
        <row r="27531">
          <cell r="B27531" t="str">
            <v>81030402000145</v>
          </cell>
          <cell r="C27531" t="str">
            <v>CL CASTIG INT MYP C.TRAB MES            7ND</v>
          </cell>
        </row>
        <row r="27532">
          <cell r="B27532" t="str">
            <v>81030402000146</v>
          </cell>
          <cell r="C27532" t="str">
            <v>CL CASTIG INT MYP C.TRAB COMERCIAL      7ND</v>
          </cell>
        </row>
        <row r="27533">
          <cell r="B27533" t="str">
            <v>81030402000147</v>
          </cell>
          <cell r="C27533" t="str">
            <v>CL CASTIG INT MYP A.F. INMB.COMERCIA    7ND</v>
          </cell>
        </row>
        <row r="27534">
          <cell r="B27534" t="str">
            <v>81030402000148</v>
          </cell>
          <cell r="C27534" t="str">
            <v>CL CASTIG INT MYP A.F. INMB.MES         7ND</v>
          </cell>
        </row>
        <row r="27535">
          <cell r="B27535" t="str">
            <v>81030402000149</v>
          </cell>
          <cell r="C27535" t="str">
            <v>CL CASTIG INT MYP A.F. MUEBLE.COMERC    7ND</v>
          </cell>
        </row>
        <row r="27536">
          <cell r="B27536" t="str">
            <v>81030402000150</v>
          </cell>
          <cell r="C27536" t="str">
            <v>CL CASTIG INT MYP A.F. MUEBLE.MES       7ND</v>
          </cell>
        </row>
        <row r="27537">
          <cell r="B27537" t="str">
            <v>81030402000151</v>
          </cell>
          <cell r="C27537" t="str">
            <v>CL CASTIG INT MYP ESTAC. COMERCIAL      7ND</v>
          </cell>
        </row>
        <row r="27538">
          <cell r="B27538" t="str">
            <v>81030402000152</v>
          </cell>
          <cell r="C27538" t="str">
            <v>CL CASTIG INT MYP ESTAC MES             7ND</v>
          </cell>
        </row>
        <row r="27539">
          <cell r="B27539" t="str">
            <v>81030402000153</v>
          </cell>
          <cell r="C27539" t="str">
            <v>CL CASTIG INT MYP A.F. CYBER.COMERCI    7ND</v>
          </cell>
        </row>
        <row r="27540">
          <cell r="B27540" t="str">
            <v>81030402000154</v>
          </cell>
          <cell r="C27540" t="str">
            <v>CL CASTIG INT MYP A.F. CYBER.MES        7ND</v>
          </cell>
        </row>
        <row r="27541">
          <cell r="B27541" t="str">
            <v>81030402000155</v>
          </cell>
          <cell r="C27541" t="str">
            <v>CL INTER CASTIGO H. MIVIVIENDA RP       7ND</v>
          </cell>
        </row>
        <row r="27542">
          <cell r="B27542" t="str">
            <v>81030402000156</v>
          </cell>
          <cell r="C27542" t="str">
            <v>CL CAPIT CASTIGO H. MI HOGAR COFIDE     7ND</v>
          </cell>
        </row>
        <row r="27543">
          <cell r="B27543" t="str">
            <v>81030402000157</v>
          </cell>
          <cell r="C27543" t="str">
            <v>$CL INTER CASTIGO  PREST EFEC GTIA HI   7ND</v>
          </cell>
        </row>
        <row r="27544">
          <cell r="B27544" t="str">
            <v>81030402000201</v>
          </cell>
          <cell r="C27544" t="str">
            <v>CL CASTIGO INTERES DCTO PAG MES         7ND</v>
          </cell>
        </row>
        <row r="27545">
          <cell r="B27545" t="str">
            <v>81030402000202</v>
          </cell>
          <cell r="C27545" t="str">
            <v>CL CASTIGO INTERES DCTO.LET.MES         7ND</v>
          </cell>
        </row>
        <row r="27546">
          <cell r="B27546" t="str">
            <v>81030402000205</v>
          </cell>
          <cell r="C27546" t="str">
            <v>CL CASTIGO INTERES CAP.TRAB.MES         7ND</v>
          </cell>
        </row>
        <row r="27547">
          <cell r="B27547" t="str">
            <v>81030402000206</v>
          </cell>
          <cell r="C27547" t="str">
            <v>CL CASTIGO INTERES FACT.LET MES         7ND</v>
          </cell>
        </row>
        <row r="27548">
          <cell r="B27548" t="str">
            <v>81030402000207</v>
          </cell>
          <cell r="C27548" t="str">
            <v>CL CASTIGO INTER.FAC.FACTU.MES          7ND</v>
          </cell>
        </row>
        <row r="27549">
          <cell r="B27549" t="str">
            <v>81030402000210</v>
          </cell>
          <cell r="C27549" t="str">
            <v>CL CASTIGO INTERES CRE.HIPO.MES         7ND</v>
          </cell>
        </row>
        <row r="27550">
          <cell r="B27550" t="str">
            <v>81030402000211</v>
          </cell>
          <cell r="C27550" t="str">
            <v>CL CASTIGO INTERES TC VISA MES          7ND</v>
          </cell>
        </row>
        <row r="27551">
          <cell r="B27551" t="str">
            <v>81030402000212</v>
          </cell>
          <cell r="C27551" t="str">
            <v>CL INTERES CASTIG. T. CRED.AMEX PJ-MES G7ND</v>
          </cell>
        </row>
        <row r="27552">
          <cell r="B27552" t="str">
            <v>81030402000213</v>
          </cell>
          <cell r="C27552" t="str">
            <v>CL CASTIG.INTE.TC MASTER PJ MES         7ND</v>
          </cell>
        </row>
        <row r="27553">
          <cell r="B27553" t="str">
            <v>81030402000214</v>
          </cell>
          <cell r="C27553" t="str">
            <v>CL INTERES CASTIG. RFA SUBORDINADOS MES 7ND</v>
          </cell>
        </row>
        <row r="27554">
          <cell r="B27554" t="str">
            <v>81030402000215</v>
          </cell>
          <cell r="C27554" t="str">
            <v>CL INTERES CASTIG. P.RFA FINANCIAM MES G7ND</v>
          </cell>
        </row>
        <row r="27555">
          <cell r="B27555" t="str">
            <v>81030402000216</v>
          </cell>
          <cell r="C27555" t="str">
            <v>CL INT CASTIGADO REC. COFIDE MES        7ND</v>
          </cell>
        </row>
        <row r="27556">
          <cell r="B27556" t="str">
            <v>81030402000217</v>
          </cell>
          <cell r="C27556" t="str">
            <v>CL CASTIGO INTERES C.CTE PJ MES         7ND</v>
          </cell>
        </row>
        <row r="27557">
          <cell r="B27557" t="str">
            <v>81030402000218</v>
          </cell>
          <cell r="C27557" t="str">
            <v>CL CASTIGO INTE.LEASING PJ MES          7ND</v>
          </cell>
        </row>
        <row r="27558">
          <cell r="B27558" t="str">
            <v>81030402000219</v>
          </cell>
          <cell r="C27558" t="str">
            <v>CL CASTIGO INTERES DIREC.PJ MES         7ND</v>
          </cell>
        </row>
        <row r="27559">
          <cell r="B27559" t="str">
            <v>81030402000220</v>
          </cell>
          <cell r="C27559" t="str">
            <v>CL CASTIGO INTERES B.COMER.MES          7ND</v>
          </cell>
        </row>
        <row r="27560">
          <cell r="B27560" t="str">
            <v>81030402000221</v>
          </cell>
          <cell r="C27560" t="str">
            <v>CL INT.CAST.P.REF FOPE SUB MES GL7024   7ND</v>
          </cell>
        </row>
        <row r="27561">
          <cell r="B27561" t="str">
            <v>81030402000222</v>
          </cell>
          <cell r="C27561" t="str">
            <v>CL INT.CAST.P.REF FOPEÂ  MES GL7024     7ND</v>
          </cell>
        </row>
        <row r="27562">
          <cell r="B27562" t="str">
            <v>81030402000223</v>
          </cell>
          <cell r="C27562" t="str">
            <v>CL INTERES CASTIG. CONS ADEL SUELDO     7ND</v>
          </cell>
        </row>
        <row r="27563">
          <cell r="B27563" t="str">
            <v>81030402000224</v>
          </cell>
          <cell r="C27563" t="str">
            <v>CL INTERES CASTIG. CONS PREFERENTE      7ND</v>
          </cell>
        </row>
        <row r="27564">
          <cell r="B27564" t="str">
            <v>81030402000225</v>
          </cell>
          <cell r="C27564" t="str">
            <v>CL CASTIGO INTERES CONVENIO NO REV.CNG  7ND</v>
          </cell>
        </row>
        <row r="27565">
          <cell r="B27565" t="str">
            <v>81030402000226</v>
          </cell>
          <cell r="C27565" t="str">
            <v>CL CASTIGO INTERES REFINAN.CONV.NO REV.C7ND</v>
          </cell>
        </row>
        <row r="27566">
          <cell r="B27566" t="str">
            <v>81030402000227</v>
          </cell>
          <cell r="C27566" t="str">
            <v>JCC CASTIGO INTERES CONVENIO            7ND</v>
          </cell>
        </row>
        <row r="27567">
          <cell r="B27567" t="str">
            <v>81030402000228</v>
          </cell>
          <cell r="C27567" t="str">
            <v>JCC CASTIGO INTERES REFINANC.           7ND</v>
          </cell>
        </row>
        <row r="27568">
          <cell r="B27568" t="str">
            <v>81030402000229</v>
          </cell>
          <cell r="C27568" t="str">
            <v>ÃœJCC INTER.CASTIG.HIPOT.MI VIVIEN      7ND</v>
          </cell>
        </row>
        <row r="27569">
          <cell r="B27569" t="str">
            <v>81030402000230</v>
          </cell>
          <cell r="C27569" t="str">
            <v>JCC CASTIGO INTERES CRED.PORFIN COB.JUD 7ND</v>
          </cell>
        </row>
        <row r="27570">
          <cell r="B27570" t="str">
            <v>81030402000231</v>
          </cell>
          <cell r="C27570" t="str">
            <v>JCC INTERES CASTIG. CONS ADEL SUELDO    7ND</v>
          </cell>
        </row>
        <row r="27571">
          <cell r="B27571" t="str">
            <v>81030402000232</v>
          </cell>
          <cell r="C27571" t="str">
            <v>JCC INTERES CASTIG. CONS PREFERENTE     7ND</v>
          </cell>
        </row>
        <row r="27572">
          <cell r="B27572" t="str">
            <v>81030402000233</v>
          </cell>
          <cell r="C27572" t="str">
            <v>JCC CASTIGO INTERES TC MASTER PN.MASTER 7ND</v>
          </cell>
        </row>
        <row r="27573">
          <cell r="B27573" t="str">
            <v>81030402000234</v>
          </cell>
          <cell r="C27573" t="str">
            <v>JCC CASTIG INT MYP A.F. INMB.MES        7ND</v>
          </cell>
        </row>
        <row r="27574">
          <cell r="B27574" t="str">
            <v>81030402000235</v>
          </cell>
          <cell r="C27574" t="str">
            <v>JCC CASTIG INT MYP A.F. MUEBLE.MES      7ND</v>
          </cell>
        </row>
        <row r="27575">
          <cell r="B27575" t="str">
            <v>81030402000236</v>
          </cell>
          <cell r="C27575" t="str">
            <v>JCC CASTIGO INTERES TC MASTER PN        7ND</v>
          </cell>
        </row>
        <row r="27576">
          <cell r="B27576" t="str">
            <v>81030402000237</v>
          </cell>
          <cell r="C27576" t="str">
            <v>JCC CASTIGO INTERES SOB.C.CTE.PN.JUD.SOB7ND</v>
          </cell>
        </row>
        <row r="27577">
          <cell r="B27577" t="str">
            <v>81030402000238</v>
          </cell>
          <cell r="C27577" t="str">
            <v>JCC CASTIGO INTERES ARREN.FIN PN .      7ND</v>
          </cell>
        </row>
        <row r="27578">
          <cell r="B27578" t="str">
            <v>81030402000239</v>
          </cell>
          <cell r="C27578" t="str">
            <v>JCC CASTIGO INTERES CRED.DIRECTO        7ND</v>
          </cell>
        </row>
        <row r="27579">
          <cell r="B27579" t="str">
            <v>81030402000240</v>
          </cell>
          <cell r="C27579" t="str">
            <v>JCC CAPIT CASTIGO H. MI HOGAR COFIDE    7ND</v>
          </cell>
        </row>
        <row r="27580">
          <cell r="B27580" t="str">
            <v>81030402000241</v>
          </cell>
          <cell r="C27580" t="str">
            <v>JCC INTER CASTIGO  PREST EFEC GTIA HI   7ND</v>
          </cell>
        </row>
        <row r="27581">
          <cell r="B27581" t="str">
            <v>81030402000242</v>
          </cell>
          <cell r="C27581" t="str">
            <v>JCC INTERES CASTIG.CRE. TECHOPROPIO-RE  7ND</v>
          </cell>
        </row>
        <row r="27582">
          <cell r="B27582" t="str">
            <v>81030402000243</v>
          </cell>
          <cell r="C27582" t="str">
            <v>JCC CASTIGO INTERES BCA.PERSONAS        7ND</v>
          </cell>
        </row>
        <row r="27583">
          <cell r="B27583" t="str">
            <v>81030402000244</v>
          </cell>
          <cell r="C27583" t="str">
            <v>JCC CASTIGO INTERES T.CR.VISA PN        7ND</v>
          </cell>
        </row>
        <row r="27584">
          <cell r="B27584" t="str">
            <v>81030402000245</v>
          </cell>
          <cell r="C27584" t="str">
            <v>JCC CASTIGO INTERES T.CR.AMEX PN        7ND</v>
          </cell>
        </row>
        <row r="27585">
          <cell r="B27585" t="str">
            <v>81030402000246</v>
          </cell>
          <cell r="C27585" t="str">
            <v>JCC CASTIGO INTERES T.CR.AMEX PN        7ND</v>
          </cell>
        </row>
        <row r="27586">
          <cell r="B27586" t="str">
            <v>81030402000247</v>
          </cell>
          <cell r="C27586" t="str">
            <v>JCC CASTIGO INTERES DSCTO. PAG          7ND</v>
          </cell>
        </row>
        <row r="27587">
          <cell r="B27587" t="str">
            <v>81030402000248</v>
          </cell>
          <cell r="C27587" t="str">
            <v>JCC CASTIGO INTERES DCTO. LETRAS        7ND</v>
          </cell>
        </row>
        <row r="27588">
          <cell r="B27588" t="str">
            <v>81030402000249</v>
          </cell>
          <cell r="C27588" t="str">
            <v>JCC CASTIGO INTERES FACTU. LETRA        7ND</v>
          </cell>
        </row>
        <row r="27589">
          <cell r="B27589" t="str">
            <v>81030402000250</v>
          </cell>
          <cell r="C27589" t="str">
            <v>JCC CASTIGO INTERES FACTU.FACTU         7ND</v>
          </cell>
        </row>
        <row r="27590">
          <cell r="B27590" t="str">
            <v>81030402000251</v>
          </cell>
          <cell r="C27590" t="str">
            <v>JCC CASTIGO INTERES CART.CREDITO        7ND</v>
          </cell>
        </row>
        <row r="27591">
          <cell r="B27591" t="str">
            <v>81030402000252</v>
          </cell>
          <cell r="C27591" t="str">
            <v>JCC CASTIGO INTERES CARTA FIANZA        7ND</v>
          </cell>
        </row>
        <row r="27592">
          <cell r="B27592" t="str">
            <v>81030402000253</v>
          </cell>
          <cell r="C27592" t="str">
            <v>JCC INT CAST P.TV MED.PLZ C/FIJ         7ND</v>
          </cell>
        </row>
        <row r="27593">
          <cell r="B27593" t="str">
            <v>81030402000254</v>
          </cell>
          <cell r="C27593" t="str">
            <v>JCC CASTIG INT MYP C.TRAB MES           7ND</v>
          </cell>
        </row>
        <row r="27594">
          <cell r="B27594" t="str">
            <v>81030402000255</v>
          </cell>
          <cell r="C27594" t="str">
            <v>JCC CASTIG INT MYP ESTAC MES            7ND</v>
          </cell>
        </row>
        <row r="27595">
          <cell r="B27595" t="str">
            <v>81030402000256</v>
          </cell>
          <cell r="C27595" t="str">
            <v>JCC CASTIG INT MYP A.F. CYBER.MES       7ND</v>
          </cell>
        </row>
        <row r="27596">
          <cell r="B27596" t="str">
            <v>81030402000257</v>
          </cell>
          <cell r="C27596" t="str">
            <v>JCC CASTIGO INTERES TC MASTER PJ        7ND</v>
          </cell>
        </row>
        <row r="27597">
          <cell r="B27597" t="str">
            <v>81030402000258</v>
          </cell>
          <cell r="C27597" t="str">
            <v>JCC CASTIG.INTE.TC MASTER PJ MES        7ND</v>
          </cell>
        </row>
        <row r="27598">
          <cell r="B27598" t="str">
            <v>81030402000261</v>
          </cell>
          <cell r="C27598" t="str">
            <v>JCC CASTIGO INTERES SOB.C.CTE.PJ        7ND</v>
          </cell>
        </row>
        <row r="27599">
          <cell r="B27599" t="str">
            <v>81030402000262</v>
          </cell>
          <cell r="C27599" t="str">
            <v>JCC CASTIGO INTERES C.CTE PJ MES        7ND</v>
          </cell>
        </row>
        <row r="27600">
          <cell r="B27600" t="str">
            <v>81030402000263</v>
          </cell>
          <cell r="C27600" t="str">
            <v>JCC CASTIGO INTERES LEASING PJ .        7ND</v>
          </cell>
        </row>
        <row r="27601">
          <cell r="B27601" t="str">
            <v>81030402000264</v>
          </cell>
          <cell r="C27601" t="str">
            <v>JCC CASTIGO INTERES PORFIN              7ND</v>
          </cell>
        </row>
        <row r="27602">
          <cell r="B27602" t="str">
            <v>81030402000265</v>
          </cell>
          <cell r="C27602" t="str">
            <v>JCC CASTIGO INTERES BC.COMERCIAL        7ND</v>
          </cell>
        </row>
        <row r="27603">
          <cell r="B27603" t="str">
            <v>81030402000266</v>
          </cell>
          <cell r="C27603" t="str">
            <v>JCC CASTIGO INTERES DIREC.PJ MES        7ND</v>
          </cell>
        </row>
        <row r="27604">
          <cell r="B27604" t="str">
            <v>81030402000267</v>
          </cell>
          <cell r="C27604" t="str">
            <v>JCC CASTIGO INTERES B.COMER.MES         7ND</v>
          </cell>
        </row>
        <row r="27605">
          <cell r="B27605" t="str">
            <v>81030402000268</v>
          </cell>
          <cell r="C27605" t="str">
            <v>JCC INT CASTIGADO P RFA SUBORDINADO     7ND</v>
          </cell>
        </row>
        <row r="27606">
          <cell r="B27606" t="str">
            <v>81030402000269</v>
          </cell>
          <cell r="C27606" t="str">
            <v>JCC INTERES CASTIG. RFA SUBORDINADOS MES7ND</v>
          </cell>
        </row>
        <row r="27607">
          <cell r="B27607" t="str">
            <v>81030402000270</v>
          </cell>
          <cell r="C27607" t="str">
            <v>JCC INT CASTIGADO PAG RFA FINANCIAM.    7ND</v>
          </cell>
        </row>
        <row r="27608">
          <cell r="B27608" t="str">
            <v>81030402000271</v>
          </cell>
          <cell r="C27608" t="str">
            <v>JCC CASTIGO INTERES T.CR.VISA PJ        7ND</v>
          </cell>
        </row>
        <row r="27609">
          <cell r="B27609" t="str">
            <v>81030402000272</v>
          </cell>
          <cell r="C27609" t="str">
            <v>JCC CASTIGO INTERES TC VISA MES         7ND</v>
          </cell>
        </row>
        <row r="27610">
          <cell r="B27610" t="str">
            <v>81030402000273</v>
          </cell>
          <cell r="C27610" t="str">
            <v>JCC INT CASTIGADO TARJ CRED.AMEX PJ     7ND</v>
          </cell>
        </row>
        <row r="27611">
          <cell r="B27611" t="str">
            <v>81030402000274</v>
          </cell>
          <cell r="C27611" t="str">
            <v>JCC INTERES CASTIG. T. CRED.AMEX PJ-MES 7ND</v>
          </cell>
        </row>
        <row r="27612">
          <cell r="B27612" t="str">
            <v>81030402000277</v>
          </cell>
          <cell r="C27612" t="str">
            <v>JCC CASTIGO INTERES CRED.DIRECTO        7ND</v>
          </cell>
        </row>
        <row r="27613">
          <cell r="B27613" t="str">
            <v>81030402000278</v>
          </cell>
          <cell r="C27613" t="str">
            <v>JCC INTER?S CASTIG. REC. COFIDE         7ND</v>
          </cell>
        </row>
        <row r="27614">
          <cell r="B27614" t="str">
            <v>81030402000286</v>
          </cell>
          <cell r="C27614" t="str">
            <v>JCC CASTIGO INTERES REFI.HIPOT.         7ND</v>
          </cell>
        </row>
        <row r="27615">
          <cell r="B27615" t="str">
            <v>81030402000287</v>
          </cell>
          <cell r="C27615" t="str">
            <v>JCC INTER CASTIGO H. MIVIVIENDA RP      7ND</v>
          </cell>
        </row>
        <row r="27616">
          <cell r="B27616" t="str">
            <v>81030402000288</v>
          </cell>
          <cell r="C27616" t="str">
            <v>JCC CASTIGO INTERES T.CR.VISA PN        7ND</v>
          </cell>
        </row>
        <row r="27617">
          <cell r="B27617" t="str">
            <v>81030402000289</v>
          </cell>
          <cell r="C27617" t="str">
            <v>JCC CASTIGO INTERES CONVENIO NO REV.CNG 7ND</v>
          </cell>
        </row>
        <row r="27618">
          <cell r="B27618" t="str">
            <v>81030402000290</v>
          </cell>
          <cell r="C27618" t="str">
            <v>JCC CASTIGO INTERES REFINAN.CONV.NO REV.7ND</v>
          </cell>
        </row>
        <row r="27619">
          <cell r="B27619" t="str">
            <v>81030402000291</v>
          </cell>
          <cell r="C27619" t="str">
            <v>JCC CASTIGO INTERES BCA PERSONAL        7ND</v>
          </cell>
        </row>
        <row r="27620">
          <cell r="B27620" t="str">
            <v>81030402000292</v>
          </cell>
          <cell r="C27620" t="str">
            <v>CL MYP CASTIGO INTERESES CAP.TRAB       7ND</v>
          </cell>
        </row>
        <row r="27621">
          <cell r="B27621" t="str">
            <v>81030402000293</v>
          </cell>
          <cell r="C27621" t="str">
            <v>JCC CASTIG INT MYP C.TRAB REV           7ND</v>
          </cell>
        </row>
        <row r="27622">
          <cell r="B27622" t="str">
            <v>81030402000294</v>
          </cell>
          <cell r="C27622" t="str">
            <v>JCC INT.JUD.MYP LEASING BPE CA-CS       7ND</v>
          </cell>
        </row>
        <row r="27623">
          <cell r="B27623" t="str">
            <v>81030402000295</v>
          </cell>
          <cell r="C27623" t="str">
            <v>JCC CASTIGO INTERES REF TC              7ND</v>
          </cell>
        </row>
        <row r="27624">
          <cell r="B27624" t="str">
            <v>81030402000301</v>
          </cell>
          <cell r="C27624" t="str">
            <v>JCC CASTIGO INTERES P.RP EXPORT .       7ND</v>
          </cell>
        </row>
        <row r="27625">
          <cell r="B27625" t="str">
            <v>81030402000302</v>
          </cell>
          <cell r="C27625" t="str">
            <v>JCC CASTIGO INTERES P.IMPORT .          7ND</v>
          </cell>
        </row>
        <row r="27626">
          <cell r="B27626" t="str">
            <v>81030402000303</v>
          </cell>
          <cell r="C27626" t="str">
            <v>JCC CASTIGO INTERES P.CAP.TRAB          7ND</v>
          </cell>
        </row>
        <row r="27627">
          <cell r="B27627" t="str">
            <v>81030402000304</v>
          </cell>
          <cell r="C27627" t="str">
            <v>JCC CASTIGO INTERES CRE.HIPOT.JCC       7ND</v>
          </cell>
        </row>
        <row r="27628">
          <cell r="B27628" t="str">
            <v>81030402000305</v>
          </cell>
          <cell r="C27628" t="str">
            <v>JCC CASTIGO INTERES CRE.EFECTIVO        7ND</v>
          </cell>
        </row>
        <row r="27629">
          <cell r="B27629" t="str">
            <v>81030402000306</v>
          </cell>
          <cell r="C27629" t="str">
            <v>JCC INT CASTIGADO VEHICULAR             7ND</v>
          </cell>
        </row>
        <row r="27630">
          <cell r="B27630" t="str">
            <v>81030402000307</v>
          </cell>
          <cell r="C27630" t="str">
            <v>JCC CASTIGO INTERES P.CAP.TRAB          7ND</v>
          </cell>
        </row>
        <row r="27631">
          <cell r="B27631" t="str">
            <v>81030402000308</v>
          </cell>
          <cell r="C27631" t="str">
            <v>JCC CASTIGO INTERES P.CAP.TRAB          7 D</v>
          </cell>
        </row>
        <row r="27632">
          <cell r="B27632" t="str">
            <v>81030402000309</v>
          </cell>
          <cell r="C27632" t="str">
            <v>JCC MP CASTIGO INTERES FONDO CRECER     7 D</v>
          </cell>
        </row>
        <row r="27633">
          <cell r="B27633" t="str">
            <v>81030402000310</v>
          </cell>
          <cell r="C27633" t="str">
            <v>JCC BC CASTIGO INTERES FONDO CRECER     7 D</v>
          </cell>
        </row>
        <row r="27634">
          <cell r="B27634" t="str">
            <v>81030402000311</v>
          </cell>
          <cell r="C27634" t="str">
            <v>JCC MP CASTIGO INTERES REACTIVA PRE-HONR7 D</v>
          </cell>
        </row>
        <row r="27635">
          <cell r="B27635" t="str">
            <v>81030402000312</v>
          </cell>
          <cell r="C27635" t="str">
            <v>JCC BC CASTIGO INTERES REACTIVA PRE-HONR7 D</v>
          </cell>
        </row>
        <row r="27636">
          <cell r="B27636" t="str">
            <v>81030402000313</v>
          </cell>
          <cell r="C27636" t="str">
            <v>JCC CASTIGO INTERESES RAPPIBANK         7 D</v>
          </cell>
        </row>
        <row r="27637">
          <cell r="B27637" t="str">
            <v>81030402000314</v>
          </cell>
          <cell r="C27637" t="str">
            <v>JCC MP CASTIGO INTERES IMPULSO MYPERU IB7 D</v>
          </cell>
        </row>
        <row r="27638">
          <cell r="B27638" t="str">
            <v>81030402000315</v>
          </cell>
          <cell r="C27638" t="str">
            <v>JCC BC CASTIGO INT SUSP IMPULSO MYPERU P7 D</v>
          </cell>
        </row>
        <row r="27639">
          <cell r="B27639" t="str">
            <v>81030402000316</v>
          </cell>
          <cell r="C27639" t="str">
            <v>JCC MP INT CASTIGO IMPLUSO MYPERU HONRAD7 D</v>
          </cell>
        </row>
        <row r="27640">
          <cell r="B27640" t="str">
            <v>81030402000317</v>
          </cell>
          <cell r="C27640" t="str">
            <v>JCC CCD CASTIGO INTERES CAPITAL DE TRABA7 D</v>
          </cell>
        </row>
        <row r="27641">
          <cell r="B27641" t="str">
            <v>81040100000101</v>
          </cell>
          <cell r="C27641" t="str">
            <v>CL LETRA DSCTO.REFINA.INT.SUS           7ND</v>
          </cell>
        </row>
        <row r="27642">
          <cell r="B27642" t="str">
            <v>81040100000102</v>
          </cell>
          <cell r="C27642" t="str">
            <v>CL PAG.T.DSCTA.REFINAN.INT.SUS          7ND</v>
          </cell>
        </row>
        <row r="27643">
          <cell r="B27643" t="str">
            <v>81040100000104</v>
          </cell>
          <cell r="C27643" t="str">
            <v>LPC IDL LS INT REFIN                    7ND</v>
          </cell>
        </row>
        <row r="27644">
          <cell r="B27644" t="str">
            <v>81040100000201</v>
          </cell>
          <cell r="C27644" t="str">
            <v>IC INT VIG SUSP CRED REF TC IB PN       7ND</v>
          </cell>
        </row>
        <row r="27645">
          <cell r="B27645" t="str">
            <v>81040100000507</v>
          </cell>
          <cell r="C27645" t="str">
            <v>CL P.RFA REFIN.MES INT.SUS              7ND</v>
          </cell>
        </row>
        <row r="27646">
          <cell r="B27646" t="str">
            <v>81040100000509</v>
          </cell>
          <cell r="C27646" t="str">
            <v>CL PAG.TV REFINA. MES INT.SUS           7ND</v>
          </cell>
        </row>
        <row r="27647">
          <cell r="B27647" t="str">
            <v>81040100000514</v>
          </cell>
          <cell r="C27647" t="str">
            <v>LPC INT SUSP PAGARE TV REF - MES        7ND</v>
          </cell>
        </row>
        <row r="27648">
          <cell r="B27648" t="str">
            <v>81040100000601</v>
          </cell>
          <cell r="C27648" t="str">
            <v>CL PAG.FOPE SUBOR.REFIN.INT.SUS         7ND</v>
          </cell>
        </row>
        <row r="27649">
          <cell r="B27649" t="str">
            <v>81040100000605</v>
          </cell>
          <cell r="C27649" t="str">
            <v>CL P.EXP PRE EMB REFINA.INT.SUS         7ND</v>
          </cell>
        </row>
        <row r="27650">
          <cell r="B27650" t="str">
            <v>81040100000608</v>
          </cell>
          <cell r="C27650" t="str">
            <v>CL P.IMPORT RP REFINAN.INT.SUS          7ND</v>
          </cell>
        </row>
        <row r="27651">
          <cell r="B27651" t="str">
            <v>81040100000611</v>
          </cell>
          <cell r="C27651" t="str">
            <v>CL P.CONS.DEUDA BCO.REFIN.SUS           7ND</v>
          </cell>
        </row>
        <row r="27652">
          <cell r="B27652" t="str">
            <v>81040100000634</v>
          </cell>
          <cell r="C27652" t="str">
            <v>LPC PAG.REFI.TV VAC VN INT.SUS          7ND</v>
          </cell>
        </row>
        <row r="27653">
          <cell r="B27653" t="str">
            <v>81040100000635</v>
          </cell>
          <cell r="C27653" t="str">
            <v>LPC PAG.REFI.TV VAC INDX.INT.SUS        7ND</v>
          </cell>
        </row>
        <row r="27654">
          <cell r="B27654" t="str">
            <v>81040100000637</v>
          </cell>
          <cell r="C27654" t="str">
            <v>CL PAG.RFA SUBOR.REFIN.INT.SUS          7ND</v>
          </cell>
        </row>
        <row r="27655">
          <cell r="B27655" t="str">
            <v>81040100000639</v>
          </cell>
          <cell r="C27655" t="str">
            <v>LPC PAG.TV REFIN.INT.SUSP               7ND</v>
          </cell>
        </row>
        <row r="27656">
          <cell r="B27656" t="str">
            <v>81040100000640</v>
          </cell>
          <cell r="C27656" t="str">
            <v>CL PAG.T.V COFIDE REFIN.INT.SUS         7ND</v>
          </cell>
        </row>
        <row r="27657">
          <cell r="B27657" t="str">
            <v>81040100000641</v>
          </cell>
          <cell r="C27657" t="str">
            <v>CL COB.JUD.PAG.RFA SUB. INT.SUS         7ND</v>
          </cell>
        </row>
        <row r="27658">
          <cell r="B27658" t="str">
            <v>81040100000642</v>
          </cell>
          <cell r="C27658" t="str">
            <v>CL COB.JUD.PAG.RFA FINA.INT.GAN         7ND</v>
          </cell>
        </row>
        <row r="27659">
          <cell r="B27659" t="str">
            <v>81040100000643</v>
          </cell>
          <cell r="C27659" t="str">
            <v>CL PRE.JUD.PAG.RFA SUB.INT.SUS          7ND</v>
          </cell>
        </row>
        <row r="27660">
          <cell r="B27660" t="str">
            <v>81040100000647</v>
          </cell>
          <cell r="C27660" t="str">
            <v>IC REF CONV PREST RV INT SUSP. VIG      7ND</v>
          </cell>
        </row>
        <row r="27661">
          <cell r="B27661" t="str">
            <v>81040100000648</v>
          </cell>
          <cell r="C27661" t="str">
            <v>IC REF CONV PREST RV COMIS SUSP. VIG    7ND</v>
          </cell>
        </row>
        <row r="27662">
          <cell r="B27662" t="str">
            <v>81040100000651</v>
          </cell>
          <cell r="C27662" t="str">
            <v>CL INT.REF SUSP.DEU.VTA.CARTE           7ND</v>
          </cell>
        </row>
        <row r="27663">
          <cell r="B27663" t="str">
            <v>81040100000655</v>
          </cell>
          <cell r="C27663" t="str">
            <v>HPC REF INT.X COB.VIG HIPOT.TRAD        7ND</v>
          </cell>
        </row>
        <row r="27664">
          <cell r="B27664" t="str">
            <v>81040100000656</v>
          </cell>
          <cell r="C27664" t="str">
            <v>HPC REF INT.X COB VIG HIP  ADJUDIC      7ND</v>
          </cell>
        </row>
        <row r="27665">
          <cell r="B27665" t="str">
            <v>81040100000657</v>
          </cell>
          <cell r="C27665" t="str">
            <v>HPC  REF INT.X COB VIG EFEC C/GARANT    7ND</v>
          </cell>
        </row>
        <row r="27666">
          <cell r="B27666" t="str">
            <v>81040100000658</v>
          </cell>
          <cell r="C27666" t="str">
            <v>HPC REF  INT.X COB VIG PREST.PERS       7ND</v>
          </cell>
        </row>
        <row r="27667">
          <cell r="B27667" t="str">
            <v>81040100000660</v>
          </cell>
          <cell r="C27667" t="str">
            <v>MYP INTXCOB SUSP PAG TV REFIN. REVOL    7ND</v>
          </cell>
        </row>
        <row r="27668">
          <cell r="B27668" t="str">
            <v>81040100000661</v>
          </cell>
          <cell r="C27668" t="str">
            <v>MYP IN SUS.PAG.TV REFIN.C/FIJA COM      7ND</v>
          </cell>
        </row>
        <row r="27669">
          <cell r="B27669" t="str">
            <v>81040100000662</v>
          </cell>
          <cell r="C27669" t="str">
            <v>MYP IN SUS.PAG.TV REFIN.C/FIJA MES      7ND</v>
          </cell>
        </row>
        <row r="27670">
          <cell r="B27670" t="str">
            <v>81040100000663</v>
          </cell>
          <cell r="C27670" t="str">
            <v>HPC INT CRED REFIN SUSPENSO VIGENTE     7ND</v>
          </cell>
        </row>
        <row r="27671">
          <cell r="B27671" t="str">
            <v>81040100000664</v>
          </cell>
          <cell r="C27671" t="str">
            <v>HPC REFIN TC IB PN  INT SUSP. VIG       7ND</v>
          </cell>
        </row>
        <row r="27672">
          <cell r="B27672" t="str">
            <v>81040100000665</v>
          </cell>
          <cell r="C27672" t="str">
            <v>HPC CCNR REFINANCIADO VIG               7ND</v>
          </cell>
        </row>
        <row r="27673">
          <cell r="B27673" t="str">
            <v>81040100000666</v>
          </cell>
          <cell r="C27673" t="str">
            <v>MYP IN SUS.PAG.TV REFIN.C/FIJA  CGEM    7ND</v>
          </cell>
        </row>
        <row r="27674">
          <cell r="B27674" t="str">
            <v>81040100000701</v>
          </cell>
          <cell r="C27674" t="str">
            <v>INT REFINANC SUSPENSO-CONSUMO           7ND</v>
          </cell>
        </row>
        <row r="27675">
          <cell r="B27675" t="str">
            <v>81040100000703</v>
          </cell>
          <cell r="C27675" t="str">
            <v>IC INT REFIN SUSPENSO CONSUM            7ND</v>
          </cell>
        </row>
        <row r="27676">
          <cell r="B27676" t="str">
            <v>81040100000712</v>
          </cell>
          <cell r="C27676" t="str">
            <v>IC INT VIG REF HIPOT CRED COMERC        7ND</v>
          </cell>
        </row>
        <row r="27677">
          <cell r="B27677" t="str">
            <v>81040100000801</v>
          </cell>
          <cell r="C27677" t="str">
            <v>IC INT SUSP CRED REFIN HIPOTECAR        7ND</v>
          </cell>
        </row>
        <row r="27678">
          <cell r="B27678" t="str">
            <v>81040100001102</v>
          </cell>
          <cell r="C27678" t="str">
            <v>BL INT.XCOB SUSP.LEASINGREFIN           7ND</v>
          </cell>
        </row>
        <row r="27679">
          <cell r="B27679" t="str">
            <v>81040100001201</v>
          </cell>
          <cell r="C27679" t="str">
            <v>LIC INTXCOB CREDXCONVENIO D/P VIG       7ND</v>
          </cell>
        </row>
        <row r="27680">
          <cell r="B27680" t="str">
            <v>81040100004301</v>
          </cell>
          <cell r="C27680" t="str">
            <v>MYP IN SUS.PAG.TV REFIN.C/FIJA  CPEM    7ND</v>
          </cell>
        </row>
        <row r="27681">
          <cell r="B27681" t="str">
            <v>81040100004302</v>
          </cell>
          <cell r="C27681" t="str">
            <v>MYP IN SUS.PAG.TV REFIN.C/FIJA  CMED    7ND</v>
          </cell>
        </row>
        <row r="27682">
          <cell r="B27682" t="str">
            <v>81040100004303</v>
          </cell>
          <cell r="C27682" t="str">
            <v>MYP INTXCOB SUSP PAG TV REF. REV MES CPE7ND</v>
          </cell>
        </row>
        <row r="27683">
          <cell r="B27683" t="str">
            <v>81040100004304</v>
          </cell>
          <cell r="C27683" t="str">
            <v>MYP INTXCOB SUSP PAG TV REF. REV MES CME7ND</v>
          </cell>
        </row>
        <row r="27684">
          <cell r="B27684" t="str">
            <v>81040100004305</v>
          </cell>
          <cell r="C27684" t="str">
            <v>MYP INT REF VENC PAG TV C/FIJA MES      7ND</v>
          </cell>
        </row>
        <row r="27685">
          <cell r="B27685" t="str">
            <v>81040100005301</v>
          </cell>
          <cell r="C27685" t="str">
            <v>LPC INT SUSP PAG TV REF CCOR            7ND</v>
          </cell>
        </row>
        <row r="27686">
          <cell r="B27686" t="str">
            <v>81040100005302</v>
          </cell>
          <cell r="C27686" t="str">
            <v>LPC INT SUSP PAG TV REF CESP            7ND</v>
          </cell>
        </row>
        <row r="27687">
          <cell r="B27687" t="str">
            <v>81040100005304</v>
          </cell>
          <cell r="C27687" t="str">
            <v>LPC INT SUSP PAG TV REF CGEM            7ND</v>
          </cell>
        </row>
        <row r="27688">
          <cell r="B27688" t="str">
            <v>81040100005305</v>
          </cell>
          <cell r="C27688" t="str">
            <v>LPC INT SUSP PAG TV REF CMED            7ND</v>
          </cell>
        </row>
        <row r="27689">
          <cell r="B27689" t="str">
            <v>81040100005306</v>
          </cell>
          <cell r="C27689" t="str">
            <v>LPC INT SUSP PAG TV REF CPEM            7ND</v>
          </cell>
        </row>
        <row r="27690">
          <cell r="B27690" t="str">
            <v>81040100005401</v>
          </cell>
          <cell r="C27690" t="str">
            <v>HPC ME INT CRED REF SUSP VIGENTE EFECT/V7ND</v>
          </cell>
        </row>
        <row r="27691">
          <cell r="B27691" t="str">
            <v>81040100005402</v>
          </cell>
          <cell r="C27691" t="str">
            <v>HPC ME REF INT.X COB.VIG EFEC C/GARANT. 7ND</v>
          </cell>
        </row>
        <row r="27692">
          <cell r="B27692" t="str">
            <v>81040100005403</v>
          </cell>
          <cell r="C27692" t="str">
            <v>LPC INT SUSP PAG REF COVID_19 CCOR      7ND</v>
          </cell>
        </row>
        <row r="27693">
          <cell r="B27693" t="str">
            <v>81040100005404</v>
          </cell>
          <cell r="C27693" t="str">
            <v>LPC INT SUSP PAG REF COVID_19 CGEM      7ND</v>
          </cell>
        </row>
        <row r="27694">
          <cell r="B27694" t="str">
            <v>81040100005405</v>
          </cell>
          <cell r="C27694" t="str">
            <v>LPC INT SUSP PAG REF COVID_19 CMED      7ND</v>
          </cell>
        </row>
        <row r="27695">
          <cell r="B27695" t="str">
            <v>81040100005406</v>
          </cell>
          <cell r="C27695" t="str">
            <v>MYP REFINANC. COVID-19                  7ND</v>
          </cell>
        </row>
        <row r="27696">
          <cell r="B27696" t="str">
            <v>81040100005407</v>
          </cell>
          <cell r="C27696" t="str">
            <v>MYP REFINANC. COVID-19                  7ND</v>
          </cell>
        </row>
        <row r="27697">
          <cell r="B27697" t="str">
            <v>81040100005408</v>
          </cell>
          <cell r="C27697" t="str">
            <v>MYP REFINANC. COVID-19                  7ND</v>
          </cell>
        </row>
        <row r="27698">
          <cell r="B27698" t="str">
            <v>81040100005409</v>
          </cell>
          <cell r="C27698" t="str">
            <v>LPC REFINANCIADO REACTIVA CGEM VIG      7 D</v>
          </cell>
        </row>
        <row r="27699">
          <cell r="B27699" t="str">
            <v>81040100005410</v>
          </cell>
          <cell r="C27699" t="str">
            <v>LPC REFINANCIADO REACTIVA CMED VIG      7 D</v>
          </cell>
        </row>
        <row r="27700">
          <cell r="B27700" t="str">
            <v>81040100005411</v>
          </cell>
          <cell r="C27700" t="str">
            <v>LPC REFINANCIADO REACTIVA CCOR VIG      7 D</v>
          </cell>
        </row>
        <row r="27701">
          <cell r="B27701" t="str">
            <v>81040100005412</v>
          </cell>
          <cell r="C27701" t="str">
            <v>LPC REFINANCIADO REACTIVA CMIE VIG      7 D</v>
          </cell>
        </row>
        <row r="27702">
          <cell r="B27702" t="str">
            <v>81040100005413</v>
          </cell>
          <cell r="C27702" t="str">
            <v>LPC REFINANCIADO REACTIVA CPEM VIG      7 D</v>
          </cell>
        </row>
        <row r="27703">
          <cell r="B27703" t="str">
            <v>81040100005420</v>
          </cell>
          <cell r="C27703" t="str">
            <v>MYP REFINANCIADO CIMA INT.X.COB. CMIE VI7 D</v>
          </cell>
        </row>
        <row r="27704">
          <cell r="B27704" t="str">
            <v>81040100005421</v>
          </cell>
          <cell r="C27704" t="str">
            <v>MYP REFINANCIADO CIMA INT.X.COB. CMED VI7 D</v>
          </cell>
        </row>
        <row r="27705">
          <cell r="B27705" t="str">
            <v>81040100005422</v>
          </cell>
          <cell r="C27705" t="str">
            <v>MYP REFINANCIADO CIMA INT.X.COB. CPEM VI7 D</v>
          </cell>
        </row>
        <row r="27706">
          <cell r="B27706" t="str">
            <v>81040100005423</v>
          </cell>
          <cell r="C27706" t="str">
            <v>LPC REFIN INT SUSP CRECER IBK POST HONR 7ND</v>
          </cell>
        </row>
        <row r="27707">
          <cell r="B27707" t="str">
            <v>81040100005424</v>
          </cell>
          <cell r="C27707" t="str">
            <v>LPC REFINAN INT SUSP CRECER IBK POST HON7 D</v>
          </cell>
        </row>
        <row r="27708">
          <cell r="B27708" t="str">
            <v>81040100005425</v>
          </cell>
          <cell r="C27708" t="str">
            <v>LPC REFINAN INT SUSP CRECER IBK POST HON7ND</v>
          </cell>
        </row>
        <row r="27709">
          <cell r="B27709" t="str">
            <v>81040100005426</v>
          </cell>
          <cell r="C27709" t="str">
            <v>LPC REFINAN INT SUSP CRECER IBK POST HON7 D</v>
          </cell>
        </row>
        <row r="27710">
          <cell r="B27710" t="str">
            <v>81040100005427</v>
          </cell>
          <cell r="C27710" t="str">
            <v>LPC REFINAN INT SUSP CRECER IBK POST HON7 D</v>
          </cell>
        </row>
        <row r="27711">
          <cell r="B27711" t="str">
            <v>81040100005428</v>
          </cell>
          <cell r="C27711" t="str">
            <v>CCD-BPE REFINANCIADO_CMIE VIG INT       7 D</v>
          </cell>
        </row>
        <row r="27712">
          <cell r="B27712" t="str">
            <v>81040100005429</v>
          </cell>
          <cell r="C27712" t="str">
            <v>CCD-BPE REFINANCIADO_CGEM VIG INT       7 D</v>
          </cell>
        </row>
        <row r="27713">
          <cell r="B27713" t="str">
            <v>81040100005430</v>
          </cell>
          <cell r="C27713" t="str">
            <v>CCD-BPE REFINANCIADO_CMED VIG INT       7 D</v>
          </cell>
        </row>
        <row r="27714">
          <cell r="B27714" t="str">
            <v>81040100005431</v>
          </cell>
          <cell r="C27714" t="str">
            <v>CCD-BPE REFINANCIADO_CPEM VIG INT       7 D</v>
          </cell>
        </row>
        <row r="27715">
          <cell r="B27715" t="str">
            <v>81040100005432</v>
          </cell>
          <cell r="C27715" t="str">
            <v>CCD-BPE REFINANCIADO_CCOR VIG INT       7 D</v>
          </cell>
        </row>
        <row r="27716">
          <cell r="B27716" t="str">
            <v>81040100005433</v>
          </cell>
          <cell r="C27716" t="str">
            <v>LPC REFINANCIADO REACTIVA CPEM VIG      7 D</v>
          </cell>
        </row>
        <row r="27717">
          <cell r="B27717" t="str">
            <v>81040200000101</v>
          </cell>
          <cell r="C27717" t="str">
            <v>INT CRED VENC.SUSP-SOBREG PN PJ S/F LUCR7ND</v>
          </cell>
        </row>
        <row r="27718">
          <cell r="B27718" t="str">
            <v>81040200000102</v>
          </cell>
          <cell r="C27718" t="str">
            <v>INT.CRED VENC.SUSP-SOBREG OTRAS PJ      7ND</v>
          </cell>
        </row>
        <row r="27719">
          <cell r="B27719" t="str">
            <v>81040200000103</v>
          </cell>
          <cell r="C27719" t="str">
            <v>BL INT CRED VENC.SUSP-SOBREG PN BL      7ND</v>
          </cell>
        </row>
        <row r="27720">
          <cell r="B27720" t="str">
            <v>81040200000104</v>
          </cell>
          <cell r="C27720" t="str">
            <v>BL INT.CRED VENC.SUSP-SOBREG PJ BL      7ND</v>
          </cell>
        </row>
        <row r="27721">
          <cell r="B27721" t="str">
            <v>81040200000105</v>
          </cell>
          <cell r="C27721" t="str">
            <v>INT SUSP PJ SF IB                       7ND</v>
          </cell>
        </row>
        <row r="27722">
          <cell r="B27722" t="str">
            <v>81040200000106</v>
          </cell>
          <cell r="C27722" t="str">
            <v>INT SUSP PJ SF BL                       7ND</v>
          </cell>
        </row>
        <row r="27723">
          <cell r="B27723" t="str">
            <v>81040200000107</v>
          </cell>
          <cell r="C27723" t="str">
            <v>CL PRE.JUD.SOB.C.CTE.PN INT.SUS         7ND</v>
          </cell>
        </row>
        <row r="27724">
          <cell r="B27724" t="str">
            <v>81040200000108</v>
          </cell>
          <cell r="C27724" t="str">
            <v>CL PRE.JUD.SOB.C.CTE.PJ INT.SUS         7ND</v>
          </cell>
        </row>
        <row r="27725">
          <cell r="B27725" t="str">
            <v>81040200000109</v>
          </cell>
          <cell r="C27725" t="str">
            <v>JCC PRE.JUD.CONVENIOS  INT.SUS          7ND</v>
          </cell>
        </row>
        <row r="27726">
          <cell r="B27726" t="str">
            <v>81040200000110</v>
          </cell>
          <cell r="C27726" t="str">
            <v>JCC PRE.JUD.REFINANC.  INT.SUS          7ND</v>
          </cell>
        </row>
        <row r="27727">
          <cell r="B27727" t="str">
            <v>81040200000111</v>
          </cell>
          <cell r="C27727" t="str">
            <v>JCC PREJUD HIP.MI VIVIE.INT.SUSP.COFIDE 7ND</v>
          </cell>
        </row>
        <row r="27728">
          <cell r="B27728" t="str">
            <v>81040200000112</v>
          </cell>
          <cell r="C27728" t="str">
            <v>JCC PREJUD INT.CRED CONS ADEL SUELDO    7ND</v>
          </cell>
        </row>
        <row r="27729">
          <cell r="B27729" t="str">
            <v>81040200000113</v>
          </cell>
          <cell r="C27729" t="str">
            <v>JCC INT.VENC PREJU LIC CRD.PREFERENTE   7ND</v>
          </cell>
        </row>
        <row r="27730">
          <cell r="B27730" t="str">
            <v>81040200000114</v>
          </cell>
          <cell r="C27730" t="str">
            <v>JCC PRE.JU. TC MASTER PN INT.SUS.MASTER 7ND</v>
          </cell>
        </row>
        <row r="27731">
          <cell r="B27731" t="str">
            <v>81040200000115</v>
          </cell>
          <cell r="C27731" t="str">
            <v>JCC INT.VEN PREJUD CONS PREFE CCNR      7ND</v>
          </cell>
        </row>
        <row r="27732">
          <cell r="B27732" t="str">
            <v>81040200000116</v>
          </cell>
          <cell r="C27732" t="str">
            <v>JCC PRE JUD MYP INT SUSP COMP AF        7ND</v>
          </cell>
        </row>
        <row r="27733">
          <cell r="B27733" t="str">
            <v>81040200000117</v>
          </cell>
          <cell r="C27733" t="str">
            <v>JCC PRE JUD MYP INT SUSP COMP AF        7ND</v>
          </cell>
        </row>
        <row r="27734">
          <cell r="B27734" t="str">
            <v>81040200000118</v>
          </cell>
          <cell r="C27734" t="str">
            <v>JCC PRE.JU. TC MASTER PN INT.SUS        7ND</v>
          </cell>
        </row>
        <row r="27735">
          <cell r="B27735" t="str">
            <v>81040200000119</v>
          </cell>
          <cell r="C27735" t="str">
            <v>JCC PRE JUD INT.SOBR C.CTE.PN VENC GL7007ND</v>
          </cell>
        </row>
        <row r="27736">
          <cell r="B27736" t="str">
            <v>81040200000120</v>
          </cell>
          <cell r="C27736" t="str">
            <v>JCC PRE JUD H. MI HOGAR COFIDE INTERES  7ND</v>
          </cell>
        </row>
        <row r="27737">
          <cell r="B27737" t="str">
            <v>81040200000121</v>
          </cell>
          <cell r="C27737" t="str">
            <v>JCC PRE JUD PREST EFEC GTIA HIPOT INTER 7ND</v>
          </cell>
        </row>
        <row r="27738">
          <cell r="B27738" t="str">
            <v>81040200000122</v>
          </cell>
          <cell r="C27738" t="str">
            <v>JCC PRE JUD INT.CRED TECHOPROPIO-REC V  7ND</v>
          </cell>
        </row>
        <row r="27739">
          <cell r="B27739" t="str">
            <v>81040200000123</v>
          </cell>
          <cell r="C27739" t="str">
            <v>JCC PRE.JUD.TAR.CRE.VISA INT.SUS        7ND</v>
          </cell>
        </row>
        <row r="27740">
          <cell r="B27740" t="str">
            <v>81040200000124</v>
          </cell>
          <cell r="C27740" t="str">
            <v>JCC PRE.JUD.T.CR.AMEX PN INT.SUS        7ND</v>
          </cell>
        </row>
        <row r="27741">
          <cell r="B27741" t="str">
            <v>81040200000125</v>
          </cell>
          <cell r="C27741" t="str">
            <v>JCC PRE.JUD.T.CR.AMEX PN INT.SUS        7ND</v>
          </cell>
        </row>
        <row r="27742">
          <cell r="B27742" t="str">
            <v>81040200000126</v>
          </cell>
          <cell r="C27742" t="str">
            <v>JCC PRE JUD INT.DSCTO.PAG VENC GL7003   7ND</v>
          </cell>
        </row>
        <row r="27743">
          <cell r="B27743" t="str">
            <v>81040200000127</v>
          </cell>
          <cell r="C27743" t="str">
            <v>JCC PRE JUD INT.DSCTO.LETR VENC GL7003  7ND</v>
          </cell>
        </row>
        <row r="27744">
          <cell r="B27744" t="str">
            <v>81040200000128</v>
          </cell>
          <cell r="C27744" t="str">
            <v>JCC PRE JUD INT FACT. LET VENC  GL7003  7ND</v>
          </cell>
        </row>
        <row r="27745">
          <cell r="B27745" t="str">
            <v>81040200000129</v>
          </cell>
          <cell r="C27745" t="str">
            <v>JCC PRE JUD INT FACT. FACT. VENC GL7003 7ND</v>
          </cell>
        </row>
        <row r="27746">
          <cell r="B27746" t="str">
            <v>81040200000130</v>
          </cell>
          <cell r="C27746" t="str">
            <v>JCC PRE JUD INT CARTA CRED VENC GL7003  7ND</v>
          </cell>
        </row>
        <row r="27747">
          <cell r="B27747" t="str">
            <v>81040200000131</v>
          </cell>
          <cell r="C27747" t="str">
            <v>JCC PRE JUD INT. C. FZA VENC GL7003     7ND</v>
          </cell>
        </row>
        <row r="27748">
          <cell r="B27748" t="str">
            <v>81040200000132</v>
          </cell>
          <cell r="C27748" t="str">
            <v>JCC PRE JU SUS P.TV MED.PLZ C/FIJ       7ND</v>
          </cell>
        </row>
        <row r="27749">
          <cell r="B27749" t="str">
            <v>81040200000133</v>
          </cell>
          <cell r="C27749" t="str">
            <v>JCC PRE JUD MYP CAP TRAB INT SU         7ND</v>
          </cell>
        </row>
        <row r="27750">
          <cell r="B27750" t="str">
            <v>81040200000134</v>
          </cell>
          <cell r="C27750" t="str">
            <v>JCC PRE JUD MYP CRED ESTAC INT S        7ND</v>
          </cell>
        </row>
        <row r="27751">
          <cell r="B27751" t="str">
            <v>81040200000135</v>
          </cell>
          <cell r="C27751" t="str">
            <v>JCC PRE JUD MYP CRED ESTAC INT S        7ND</v>
          </cell>
        </row>
        <row r="27752">
          <cell r="B27752" t="str">
            <v>81040200000136</v>
          </cell>
          <cell r="C27752" t="str">
            <v>JCC PRE JUD MYP  AF CYBERPL INT S       7ND</v>
          </cell>
        </row>
        <row r="27753">
          <cell r="B27753" t="str">
            <v>81040200000137</v>
          </cell>
          <cell r="C27753" t="str">
            <v>JCC PRE JUD INT.TC MASTER PJ VENC GL70037ND</v>
          </cell>
        </row>
        <row r="27754">
          <cell r="B27754" t="str">
            <v>81040200000138</v>
          </cell>
          <cell r="C27754" t="str">
            <v>JCC PRE JUD.INT.TC. MASTER PJ-MES VEN GL7ND</v>
          </cell>
        </row>
        <row r="27755">
          <cell r="B27755" t="str">
            <v>81040200000141</v>
          </cell>
          <cell r="C27755" t="str">
            <v>JCC PRE JUD INT.SOBR CCTE.PJ VENC GL70037ND</v>
          </cell>
        </row>
        <row r="27756">
          <cell r="B27756" t="str">
            <v>81040200000142</v>
          </cell>
          <cell r="C27756" t="str">
            <v>JCC PRE JUD. INT-SOBR CCTE. PJ-MES VENC 7ND</v>
          </cell>
        </row>
        <row r="27757">
          <cell r="B27757" t="str">
            <v>81040200000143</v>
          </cell>
          <cell r="C27757" t="str">
            <v>JCC PRE JUD INT.RFA SUBORD VEN          7ND</v>
          </cell>
        </row>
        <row r="27758">
          <cell r="B27758" t="str">
            <v>81040200000144</v>
          </cell>
          <cell r="C27758" t="str">
            <v>JCC PRE JUD.INT.RFA SUBOR MES VENC GL7007ND</v>
          </cell>
        </row>
        <row r="27759">
          <cell r="B27759" t="str">
            <v>81040200000145</v>
          </cell>
          <cell r="C27759" t="str">
            <v>JCC PRE JUD INT.RFA FINANC VEN          7ND</v>
          </cell>
        </row>
        <row r="27760">
          <cell r="B27760" t="str">
            <v>81040200000146</v>
          </cell>
          <cell r="C27760" t="str">
            <v>JCC PRE.JUD.TAR.CRE.VISA INT.SUS        7ND</v>
          </cell>
        </row>
        <row r="27761">
          <cell r="B27761" t="str">
            <v>81040200000147</v>
          </cell>
          <cell r="C27761" t="str">
            <v>JCC PRE JUD.INT TARJ CRED COM MES VENC  7ND</v>
          </cell>
        </row>
        <row r="27762">
          <cell r="B27762" t="str">
            <v>81040200000148</v>
          </cell>
          <cell r="C27762" t="str">
            <v>JCC PRE JUD INT.TC.AMEX PJ VENC GL7003  7ND</v>
          </cell>
        </row>
        <row r="27763">
          <cell r="B27763" t="str">
            <v>81040200000149</v>
          </cell>
          <cell r="C27763" t="str">
            <v>JCC PRE JUD.INT.TC. AMEX PJ-MES VENC GL77ND</v>
          </cell>
        </row>
        <row r="27764">
          <cell r="B27764" t="str">
            <v>81040200000152</v>
          </cell>
          <cell r="C27764" t="str">
            <v>JCC PRE JUD INT.GAN PAG.REC.COFIDE VENC 7ND</v>
          </cell>
        </row>
        <row r="27765">
          <cell r="B27765" t="str">
            <v>81040200000160</v>
          </cell>
          <cell r="C27765" t="str">
            <v>JCC PRE JUD H. MIVIVIENDA RP INTERES    7ND</v>
          </cell>
        </row>
        <row r="27766">
          <cell r="B27766" t="str">
            <v>81040200000161</v>
          </cell>
          <cell r="C27766" t="str">
            <v>JCC PRE.JUD.TAR.CRE.VISA INT.SUS        7ND</v>
          </cell>
        </row>
        <row r="27767">
          <cell r="B27767" t="str">
            <v>81040200000162</v>
          </cell>
          <cell r="C27767" t="str">
            <v>JCC PRE JUD INT.CONVENIO NO REV.CNG     7ND</v>
          </cell>
        </row>
        <row r="27768">
          <cell r="B27768" t="str">
            <v>81040200000163</v>
          </cell>
          <cell r="C27768" t="str">
            <v>JCC PRE.JUD.REFINAN. INT.SUS  CONV.NO RE7ND</v>
          </cell>
        </row>
        <row r="27769">
          <cell r="B27769" t="str">
            <v>81040200000164</v>
          </cell>
          <cell r="C27769" t="str">
            <v>JCC MYP PRE-JUD.C.TRAB.INT.SUSP.REV.    7ND</v>
          </cell>
        </row>
        <row r="27770">
          <cell r="B27770" t="str">
            <v>81040200000165</v>
          </cell>
          <cell r="C27770" t="str">
            <v>JCC PRE JUD INT.BANCA PERSONAL          7ND</v>
          </cell>
        </row>
        <row r="27771">
          <cell r="B27771" t="str">
            <v>81040200000166</v>
          </cell>
          <cell r="C27771" t="str">
            <v>JCC INT.EN SUSP.PREJUDIC MYP LS BPE     7ND</v>
          </cell>
        </row>
        <row r="27772">
          <cell r="B27772" t="str">
            <v>81040200000167</v>
          </cell>
          <cell r="C27772" t="str">
            <v>JCC PRE JUD INT.REFINANCIADO TC         7ND</v>
          </cell>
        </row>
        <row r="27773">
          <cell r="B27773" t="str">
            <v>81040200000168</v>
          </cell>
          <cell r="C27773" t="str">
            <v>JCC MYP PJ CAP TRAB INT SUSP CMED       7ND</v>
          </cell>
        </row>
        <row r="27774">
          <cell r="B27774" t="str">
            <v>81040200000169</v>
          </cell>
          <cell r="C27774" t="str">
            <v>MYP INT.X COB.VENC CAP.TRAB CIMA NOR/DUP7ND</v>
          </cell>
        </row>
        <row r="27775">
          <cell r="B27775" t="str">
            <v>81040200000170</v>
          </cell>
          <cell r="C27775" t="str">
            <v>MYP INT.X COB.VENC CAP.TRAB CIMA NOR/DP 7ND</v>
          </cell>
        </row>
        <row r="27776">
          <cell r="B27776" t="str">
            <v>81040200000171</v>
          </cell>
          <cell r="C27776" t="str">
            <v>MYP INT.X COB.VENC CAP.TRAB CIMA NOR/DP 7ND</v>
          </cell>
        </row>
        <row r="27777">
          <cell r="B27777" t="str">
            <v>81040200000172</v>
          </cell>
          <cell r="C27777" t="str">
            <v>MYP INT.X COB.VENC CAP.TRAB CIMA NOR/DUP7ND</v>
          </cell>
        </row>
        <row r="27778">
          <cell r="B27778" t="str">
            <v>81040200000201</v>
          </cell>
          <cell r="C27778" t="str">
            <v>INT CRED VENC EN SUSP-TC-COMERCIAL      7ND</v>
          </cell>
        </row>
        <row r="27779">
          <cell r="B27779" t="str">
            <v>81040200000212</v>
          </cell>
          <cell r="C27779" t="str">
            <v>CL PRE.JUD.TAR.CRE.VISA INT.SUS         7ND</v>
          </cell>
        </row>
        <row r="27780">
          <cell r="B27780" t="str">
            <v>81040200000213</v>
          </cell>
          <cell r="C27780" t="str">
            <v>CL PRE.JUD.T.CR.AMEX PN INT.SUS         7ND</v>
          </cell>
        </row>
        <row r="27781">
          <cell r="B27781" t="str">
            <v>81040200000214</v>
          </cell>
          <cell r="C27781" t="str">
            <v>CL PRE.JU. TC MASTER PN INT.SUS         7ND</v>
          </cell>
        </row>
        <row r="27782">
          <cell r="B27782" t="str">
            <v>81040200000215</v>
          </cell>
          <cell r="C27782" t="str">
            <v>CL PRE JUD INT.TC.AMEX PJ VENC GL7003   7ND</v>
          </cell>
        </row>
        <row r="27783">
          <cell r="B27783" t="str">
            <v>81040200000216</v>
          </cell>
          <cell r="C27783" t="str">
            <v>CL PRE JUD INT.TC MASTER PJ VENC GL7003 7ND</v>
          </cell>
        </row>
        <row r="27784">
          <cell r="B27784" t="str">
            <v>81040200000217</v>
          </cell>
          <cell r="C27784" t="str">
            <v>IC INT VENC CRED REF TC IB PN           7ND</v>
          </cell>
        </row>
        <row r="27785">
          <cell r="B27785" t="str">
            <v>81040200000219</v>
          </cell>
          <cell r="C27785" t="str">
            <v>TC INTERES CREDITO VENCIDO              7ND</v>
          </cell>
        </row>
        <row r="27786">
          <cell r="B27786" t="str">
            <v>81040200000220</v>
          </cell>
          <cell r="C27786" t="str">
            <v>CL PRE-JUD INT.SUPS.P.REFIN RP CAP TRAB.7ND</v>
          </cell>
        </row>
        <row r="27787">
          <cell r="B27787" t="str">
            <v>81040200000221</v>
          </cell>
          <cell r="C27787" t="str">
            <v>JCC PRE JUD INT.REFIN HIPOT IC VENC GL707ND</v>
          </cell>
        </row>
        <row r="27788">
          <cell r="B27788" t="str">
            <v>81040200000222</v>
          </cell>
          <cell r="C27788" t="str">
            <v>CL COB.PRE-JUD.LEASING PJ INT.SUS       7ND</v>
          </cell>
        </row>
        <row r="27789">
          <cell r="B27789" t="str">
            <v>81040200000223</v>
          </cell>
          <cell r="C27789" t="str">
            <v>CL MYP PRE-JUD.C.TRAB.INT.SUSP.REV.     7ND</v>
          </cell>
        </row>
        <row r="27790">
          <cell r="B27790" t="str">
            <v>81040200000224</v>
          </cell>
          <cell r="C27790" t="str">
            <v>CL INT.EN SUSP.CRED.POR LIQ. CARTA FIANZ7ND</v>
          </cell>
        </row>
        <row r="27791">
          <cell r="B27791" t="str">
            <v>81040200000225</v>
          </cell>
          <cell r="C27791" t="str">
            <v>FCD INT. SUP  DSCTO ELECTR VENC DUD     7ND</v>
          </cell>
        </row>
        <row r="27792">
          <cell r="B27792" t="str">
            <v>81040200000226</v>
          </cell>
          <cell r="C27792" t="str">
            <v>FCD INT. SUP  FACT ELECTR VENC DUD      7ND</v>
          </cell>
        </row>
        <row r="27793">
          <cell r="B27793" t="str">
            <v>81040200000227</v>
          </cell>
          <cell r="C27793" t="str">
            <v>FCD FACT INTER EXPO INT VENC  NORM      7ND</v>
          </cell>
        </row>
        <row r="27794">
          <cell r="B27794" t="str">
            <v>81040200000228</v>
          </cell>
          <cell r="C27794" t="str">
            <v>FCD FACT INTER EXPO INT VENC  DUPE      7ND</v>
          </cell>
        </row>
        <row r="27795">
          <cell r="B27795" t="str">
            <v>81040200000229</v>
          </cell>
          <cell r="C27795" t="str">
            <v>FCD FORFAINTING INTL INT VENC  NORM     7ND</v>
          </cell>
        </row>
        <row r="27796">
          <cell r="B27796" t="str">
            <v>81040200000230</v>
          </cell>
          <cell r="C27796" t="str">
            <v>FCD FORFAINTING INTL INT VENC  DUPE     7ND</v>
          </cell>
        </row>
        <row r="27797">
          <cell r="B27797" t="str">
            <v>81040200000231</v>
          </cell>
          <cell r="C27797" t="str">
            <v>FCD CONFIRMING INTERNACIONAL INT SUSP VE7ND</v>
          </cell>
        </row>
        <row r="27798">
          <cell r="B27798" t="str">
            <v>81040200000232</v>
          </cell>
          <cell r="C27798" t="str">
            <v>FCD CONFIRMING INTERNACIONAL INT  VENC D7ND</v>
          </cell>
        </row>
        <row r="27799">
          <cell r="B27799" t="str">
            <v>81040200000233</v>
          </cell>
          <cell r="C27799" t="str">
            <v>FCD DESC. LET. I. COMP.VENC. CCOR DUPE  7ND</v>
          </cell>
        </row>
        <row r="27800">
          <cell r="B27800" t="str">
            <v>81040200000234</v>
          </cell>
          <cell r="C27800" t="str">
            <v>FCD DESC. LET. I. COMP.VENC. CESP DUPE  7ND</v>
          </cell>
        </row>
        <row r="27801">
          <cell r="B27801" t="str">
            <v>81040200000235</v>
          </cell>
          <cell r="C27801" t="str">
            <v>FCD DESC. LET. I. COMP.VENC. CGEM DUPE  7ND</v>
          </cell>
        </row>
        <row r="27802">
          <cell r="B27802" t="str">
            <v>81040200000236</v>
          </cell>
          <cell r="C27802" t="str">
            <v>FCD DESC. LET. I. COMP.VENC. CMED DUPE  7ND</v>
          </cell>
        </row>
        <row r="27803">
          <cell r="B27803" t="str">
            <v>81040200000237</v>
          </cell>
          <cell r="C27803" t="str">
            <v>FCD DESC. LET. I. COMP.VENC. CMIE DUPE  7ND</v>
          </cell>
        </row>
        <row r="27804">
          <cell r="B27804" t="str">
            <v>81040200000238</v>
          </cell>
          <cell r="C27804" t="str">
            <v>FCD DESC. LET. I. COMP.VENC. CPEM DUPE  7ND</v>
          </cell>
        </row>
        <row r="27805">
          <cell r="B27805" t="str">
            <v>81040200000239</v>
          </cell>
          <cell r="C27805" t="str">
            <v>FCD DESC. FACT. I. COMP.VENC. CCOR DUPE 7ND</v>
          </cell>
        </row>
        <row r="27806">
          <cell r="B27806" t="str">
            <v>81040200000240</v>
          </cell>
          <cell r="C27806" t="str">
            <v>FCD DESC. FACT. I. COMP.VENC. CESP DUPE 7ND</v>
          </cell>
        </row>
        <row r="27807">
          <cell r="B27807" t="str">
            <v>81040200000241</v>
          </cell>
          <cell r="C27807" t="str">
            <v>FCD DESC. FACT. I. COMP.VENC. CGEM DUPE 7ND</v>
          </cell>
        </row>
        <row r="27808">
          <cell r="B27808" t="str">
            <v>81040200000242</v>
          </cell>
          <cell r="C27808" t="str">
            <v>FCD DESC. FACT. I. COMP.VENC. CMED DUPE 7ND</v>
          </cell>
        </row>
        <row r="27809">
          <cell r="B27809" t="str">
            <v>81040200000243</v>
          </cell>
          <cell r="C27809" t="str">
            <v>FCD DESC. FACT. I. COMP.VENC. CMIE DUPE 7ND</v>
          </cell>
        </row>
        <row r="27810">
          <cell r="B27810" t="str">
            <v>81040200000244</v>
          </cell>
          <cell r="C27810" t="str">
            <v>FCD DESC. FACT. I. COMP.VENC. CPEM DUPE 7ND</v>
          </cell>
        </row>
        <row r="27811">
          <cell r="B27811" t="str">
            <v>81040200000245</v>
          </cell>
          <cell r="C27811" t="str">
            <v>FCD DESC. VIRTUAL I. COMP.VENC. CCOR DUP7ND</v>
          </cell>
        </row>
        <row r="27812">
          <cell r="B27812" t="str">
            <v>81040200000246</v>
          </cell>
          <cell r="C27812" t="str">
            <v>FCD DESC. VIRTUAL I. COMP.VENC. CESP DUP7ND</v>
          </cell>
        </row>
        <row r="27813">
          <cell r="B27813" t="str">
            <v>81040200000247</v>
          </cell>
          <cell r="C27813" t="str">
            <v>FCD DESC. VIRTUAL I. COMP.VENC. CGEM DUP7ND</v>
          </cell>
        </row>
        <row r="27814">
          <cell r="B27814" t="str">
            <v>81040200000248</v>
          </cell>
          <cell r="C27814" t="str">
            <v>FCD DESC. VIRTUAL I. COMP.VENC. CMED DUP7ND</v>
          </cell>
        </row>
        <row r="27815">
          <cell r="B27815" t="str">
            <v>81040200000249</v>
          </cell>
          <cell r="C27815" t="str">
            <v>FCD DESC. VIRTUAL I. COMP.VENC. CMIE DUP7ND</v>
          </cell>
        </row>
        <row r="27816">
          <cell r="B27816" t="str">
            <v>81040200000250</v>
          </cell>
          <cell r="C27816" t="str">
            <v>FCD DESC. VIRTUAL I. COMP.VENC. CPEM DUP7ND</v>
          </cell>
        </row>
        <row r="27817">
          <cell r="B27817" t="str">
            <v>81040200000251</v>
          </cell>
          <cell r="C27817" t="str">
            <v>FCD DESC. FACT. NEG. I. COMP.VENC. CCOR 7ND</v>
          </cell>
        </row>
        <row r="27818">
          <cell r="B27818" t="str">
            <v>81040200000252</v>
          </cell>
          <cell r="C27818" t="str">
            <v>FCD DESC. FACT. NEG. I. COMP.VENC. CESP 7ND</v>
          </cell>
        </row>
        <row r="27819">
          <cell r="B27819" t="str">
            <v>81040200000253</v>
          </cell>
          <cell r="C27819" t="str">
            <v>FCD DESC. FACT. NEG. I. COMP.VENC. CGEM 7ND</v>
          </cell>
        </row>
        <row r="27820">
          <cell r="B27820" t="str">
            <v>81040200000254</v>
          </cell>
          <cell r="C27820" t="str">
            <v>FCD DESC. FACT. NEG. I. COMP.VENC. CMED 7ND</v>
          </cell>
        </row>
        <row r="27821">
          <cell r="B27821" t="str">
            <v>81040200000255</v>
          </cell>
          <cell r="C27821" t="str">
            <v>FCD DESC. FACT. NEG. I. COMP.VENC. CMIE 7ND</v>
          </cell>
        </row>
        <row r="27822">
          <cell r="B27822" t="str">
            <v>81040200000256</v>
          </cell>
          <cell r="C27822" t="str">
            <v>FCD DESC. FACT. NEG. I. COMP.VENC. CPEM 7ND</v>
          </cell>
        </row>
        <row r="27823">
          <cell r="B27823" t="str">
            <v>81040200000257</v>
          </cell>
          <cell r="C27823" t="str">
            <v>FCD fAC. FIS. LET. I. COMP.VENC. CCOR DU7ND</v>
          </cell>
        </row>
        <row r="27824">
          <cell r="B27824" t="str">
            <v>81040200000258</v>
          </cell>
          <cell r="C27824" t="str">
            <v>FCD fAC. FIS. LET. I. COMP.VENC. CESP DU7ND</v>
          </cell>
        </row>
        <row r="27825">
          <cell r="B27825" t="str">
            <v>81040200000259</v>
          </cell>
          <cell r="C27825" t="str">
            <v>FCD fAC. FIS. LET. I. COMP.VENC. CGEM DU7ND</v>
          </cell>
        </row>
        <row r="27826">
          <cell r="B27826" t="str">
            <v>81040200000260</v>
          </cell>
          <cell r="C27826" t="str">
            <v>FCD fAC. FIS. LET. I. COMP.VENC. CMED DU7ND</v>
          </cell>
        </row>
        <row r="27827">
          <cell r="B27827" t="str">
            <v>81040200000261</v>
          </cell>
          <cell r="C27827" t="str">
            <v>FCD fAC. FIS. LET. I. COMP.VENC. CMIE DU7ND</v>
          </cell>
        </row>
        <row r="27828">
          <cell r="B27828" t="str">
            <v>81040200000262</v>
          </cell>
          <cell r="C27828" t="str">
            <v>FCD fAC. FIS. LET. I. COMP.VENC. CPEM DU7ND</v>
          </cell>
        </row>
        <row r="27829">
          <cell r="B27829" t="str">
            <v>81040200000263</v>
          </cell>
          <cell r="C27829" t="str">
            <v>FCD FAC. FIS. fAC.. I. COMP.VENC. CCOR D7ND</v>
          </cell>
        </row>
        <row r="27830">
          <cell r="B27830" t="str">
            <v>81040200000264</v>
          </cell>
          <cell r="C27830" t="str">
            <v>FCD FAC. FIS. fAC.. I. COMP.VENC. CESP D7ND</v>
          </cell>
        </row>
        <row r="27831">
          <cell r="B27831" t="str">
            <v>81040200000265</v>
          </cell>
          <cell r="C27831" t="str">
            <v>FCD FAC. FIS. fAC.. I. COMP.VENC. CGEM D7ND</v>
          </cell>
        </row>
        <row r="27832">
          <cell r="B27832" t="str">
            <v>81040200000266</v>
          </cell>
          <cell r="C27832" t="str">
            <v>FCD FAC. FIS. fAC.. I. COMP.VENC. CMED D7ND</v>
          </cell>
        </row>
        <row r="27833">
          <cell r="B27833" t="str">
            <v>81040200000267</v>
          </cell>
          <cell r="C27833" t="str">
            <v>FCD FAC. FIS. fAC.. I. COMP.VENC. CMIE D7ND</v>
          </cell>
        </row>
        <row r="27834">
          <cell r="B27834" t="str">
            <v>81040200000268</v>
          </cell>
          <cell r="C27834" t="str">
            <v>FCD FAC. FIS. fAC.. I. COMP.VENC. CPEM D7ND</v>
          </cell>
        </row>
        <row r="27835">
          <cell r="B27835" t="str">
            <v>81040200000269</v>
          </cell>
          <cell r="C27835" t="str">
            <v>FCD DESC. VIRTUAL I. COMP.VENC. CCOR NOR7ND</v>
          </cell>
        </row>
        <row r="27836">
          <cell r="B27836" t="str">
            <v>81040200000270</v>
          </cell>
          <cell r="C27836" t="str">
            <v>FCD DESC. VIRTUAL I. COMP.VENC. CESP NOR7ND</v>
          </cell>
        </row>
        <row r="27837">
          <cell r="B27837" t="str">
            <v>81040200000271</v>
          </cell>
          <cell r="C27837" t="str">
            <v>FCD DESC. VIRTUAL I. COMP.VENC. CGEM NOR7ND</v>
          </cell>
        </row>
        <row r="27838">
          <cell r="B27838" t="str">
            <v>81040200000272</v>
          </cell>
          <cell r="C27838" t="str">
            <v>FCD DESC. VIRTUAL I. COMP.VENC. CMED NOR7ND</v>
          </cell>
        </row>
        <row r="27839">
          <cell r="B27839" t="str">
            <v>81040200000273</v>
          </cell>
          <cell r="C27839" t="str">
            <v>FCD DESC. VIRTUAL I. COMP.VENC. CMIE NOR7ND</v>
          </cell>
        </row>
        <row r="27840">
          <cell r="B27840" t="str">
            <v>81040200000274</v>
          </cell>
          <cell r="C27840" t="str">
            <v>FCD DESC. VIRTUAL I. COMP.VENC. CPEM NOR7ND</v>
          </cell>
        </row>
        <row r="27841">
          <cell r="B27841" t="str">
            <v>81040200000275</v>
          </cell>
          <cell r="C27841" t="str">
            <v>FACT INTER IMPORT  COMP.VENC. CCOR DUPE 7ND</v>
          </cell>
        </row>
        <row r="27842">
          <cell r="B27842" t="str">
            <v>81040200000276</v>
          </cell>
          <cell r="C27842" t="str">
            <v>FACT INTER IMPORT  COMP.VENC. CESP DUPE 7ND</v>
          </cell>
        </row>
        <row r="27843">
          <cell r="B27843" t="str">
            <v>81040200000277</v>
          </cell>
          <cell r="C27843" t="str">
            <v>FACT INTER IMPORT  COMP.VENC. CGEM DUPE 7ND</v>
          </cell>
        </row>
        <row r="27844">
          <cell r="B27844" t="str">
            <v>81040200000278</v>
          </cell>
          <cell r="C27844" t="str">
            <v>FACT INTER IMPORT  COMP.VENC. CMED DUPE 7ND</v>
          </cell>
        </row>
        <row r="27845">
          <cell r="B27845" t="str">
            <v>81040200000279</v>
          </cell>
          <cell r="C27845" t="str">
            <v>FACT INTER IMPORT  COMP.VENC. CMIE DUPE 7ND</v>
          </cell>
        </row>
        <row r="27846">
          <cell r="B27846" t="str">
            <v>81040200000280</v>
          </cell>
          <cell r="C27846" t="str">
            <v>FACT INTER IMPORT  COMP.VENC. CPEM DUPE 7ND</v>
          </cell>
        </row>
        <row r="27847">
          <cell r="B27847" t="str">
            <v>81040200000281</v>
          </cell>
          <cell r="C27847" t="str">
            <v>FACT INTER IMPORT   COMP.VENC. CCOR NORM7ND</v>
          </cell>
        </row>
        <row r="27848">
          <cell r="B27848" t="str">
            <v>81040200000282</v>
          </cell>
          <cell r="C27848" t="str">
            <v>FACT INTER IMPORT   COMP.VENC. CESP NORM7ND</v>
          </cell>
        </row>
        <row r="27849">
          <cell r="B27849" t="str">
            <v>81040200000283</v>
          </cell>
          <cell r="C27849" t="str">
            <v>FACT INTER IMPORT   COMP.VENC. CGEM NORM7ND</v>
          </cell>
        </row>
        <row r="27850">
          <cell r="B27850" t="str">
            <v>81040200000284</v>
          </cell>
          <cell r="C27850" t="str">
            <v>FACT INTER IMPORT   COMP.VENC. CMED NORM7ND</v>
          </cell>
        </row>
        <row r="27851">
          <cell r="B27851" t="str">
            <v>81040200000285</v>
          </cell>
          <cell r="C27851" t="str">
            <v>FACT INTER IMPORT   COMP.VENC. CMIE NORM7ND</v>
          </cell>
        </row>
        <row r="27852">
          <cell r="B27852" t="str">
            <v>81040200000286</v>
          </cell>
          <cell r="C27852" t="str">
            <v>FACT INTER IMPORT   COMP.VENC. CPEM NORM7ND</v>
          </cell>
        </row>
        <row r="27853">
          <cell r="B27853" t="str">
            <v>81040200000301</v>
          </cell>
          <cell r="C27853" t="str">
            <v>INT VENCIDOS EN SUSPENSO-CONSUMO        7ND</v>
          </cell>
        </row>
        <row r="27854">
          <cell r="B27854" t="str">
            <v>81040200000302</v>
          </cell>
          <cell r="C27854" t="str">
            <v>IC INT EFECT VENC SUSPENSO              7ND</v>
          </cell>
        </row>
        <row r="27855">
          <cell r="B27855" t="str">
            <v>81040200000303</v>
          </cell>
          <cell r="C27855" t="str">
            <v>IC INT VENC SUSP VEHICULAR              7ND</v>
          </cell>
        </row>
        <row r="27856">
          <cell r="B27856" t="str">
            <v>81040200000304</v>
          </cell>
          <cell r="C27856" t="str">
            <v>IC INT VENC SUSPENS CONVENIO            7ND</v>
          </cell>
        </row>
        <row r="27857">
          <cell r="B27857" t="str">
            <v>81040200000311</v>
          </cell>
          <cell r="C27857" t="str">
            <v>LIC INTXCOB CREDXCONVENIO VEN           7ND</v>
          </cell>
        </row>
        <row r="27858">
          <cell r="B27858" t="str">
            <v>81040200000312</v>
          </cell>
          <cell r="C27858" t="str">
            <v>LIC INTXCOB CREDXCONVENIO D/P VEN       7ND</v>
          </cell>
        </row>
        <row r="27859">
          <cell r="B27859" t="str">
            <v>81040200000332</v>
          </cell>
          <cell r="C27859" t="str">
            <v>CL PRE.JUD.CRE.EFECTIVO INT.SUS         7ND</v>
          </cell>
        </row>
        <row r="27860">
          <cell r="B27860" t="str">
            <v>81040200000333</v>
          </cell>
          <cell r="C27860" t="str">
            <v>CL PRE JUD INT.CRED CONS VENC GL7003    7ND</v>
          </cell>
        </row>
        <row r="27861">
          <cell r="B27861" t="str">
            <v>81040200000334</v>
          </cell>
          <cell r="C27861" t="str">
            <v>CL PRE.JUD.CRED.VEHIC. INT.SUS          7ND</v>
          </cell>
        </row>
        <row r="27862">
          <cell r="B27862" t="str">
            <v>81040200000335</v>
          </cell>
          <cell r="C27862" t="str">
            <v>CL PRE.JUD.CONVENIOS IC INT.SUS         7ND</v>
          </cell>
        </row>
        <row r="27863">
          <cell r="B27863" t="str">
            <v>81040200000339</v>
          </cell>
          <cell r="C27863" t="str">
            <v>CL PRE JUD INT.RFA SUBORD VEN           7ND</v>
          </cell>
        </row>
        <row r="27864">
          <cell r="B27864" t="str">
            <v>81040200000340</v>
          </cell>
          <cell r="C27864" t="str">
            <v>CL PRE JUD INT.RFA FINANC VEN           7ND</v>
          </cell>
        </row>
        <row r="27865">
          <cell r="B27865" t="str">
            <v>81040200000341</v>
          </cell>
          <cell r="C27865" t="str">
            <v>HPC REF CONV PREST. RV INT SUSP. VENC   7ND</v>
          </cell>
        </row>
        <row r="27866">
          <cell r="B27866" t="str">
            <v>81040200000342</v>
          </cell>
          <cell r="C27866" t="str">
            <v>IC REF CONV PREST RV COMIS SUSP. VENC   7ND</v>
          </cell>
        </row>
        <row r="27867">
          <cell r="B27867" t="str">
            <v>81040200000348</v>
          </cell>
          <cell r="C27867" t="str">
            <v>HPC INT.X COB. VENC HIPOT.TRAD.FI       7ND</v>
          </cell>
        </row>
        <row r="27868">
          <cell r="B27868" t="str">
            <v>81040200000349</v>
          </cell>
          <cell r="C27868" t="str">
            <v>HPC D/P INT.X COB. VENC HIPOT.TRA       7ND</v>
          </cell>
        </row>
        <row r="27869">
          <cell r="B27869" t="str">
            <v>81040200000350</v>
          </cell>
          <cell r="C27869" t="str">
            <v>HPC INT.X COB. VENC HIPOT.FINAN.P       7ND</v>
          </cell>
        </row>
        <row r="27870">
          <cell r="B27870" t="str">
            <v>81040200000351</v>
          </cell>
          <cell r="C27870" t="str">
            <v>HPC D/P INT.X COB. VENC HIPOT.FIN       7ND</v>
          </cell>
        </row>
        <row r="27871">
          <cell r="B27871" t="str">
            <v>81040200000352</v>
          </cell>
          <cell r="C27871" t="str">
            <v>HPC INT.X COB. VENC EFEC C/GARANT       7ND</v>
          </cell>
        </row>
        <row r="27872">
          <cell r="B27872" t="str">
            <v>81040200000353</v>
          </cell>
          <cell r="C27872" t="str">
            <v>HPC  D/P INT.X COB. VENC EFEC C/G       7ND</v>
          </cell>
        </row>
        <row r="27873">
          <cell r="B27873" t="str">
            <v>81040200000354</v>
          </cell>
          <cell r="C27873" t="str">
            <v>HPC INT.X COB. VENC.PRESTAMO PERS       7ND</v>
          </cell>
        </row>
        <row r="27874">
          <cell r="B27874" t="str">
            <v>81040200000355</v>
          </cell>
          <cell r="C27874" t="str">
            <v>HPC D/P INT.X COB. VENC.PRESTAMO        7ND</v>
          </cell>
        </row>
        <row r="27875">
          <cell r="B27875" t="str">
            <v>81040200000356</v>
          </cell>
          <cell r="C27875" t="str">
            <v>HPC INT CRED REFIN SUSP VENC EFECT/VEHIC7ND</v>
          </cell>
        </row>
        <row r="27876">
          <cell r="B27876" t="str">
            <v>81040200000357</v>
          </cell>
          <cell r="C27876" t="str">
            <v>HPC REFIN TC IB PN  INT SUSP. VENC      7ND</v>
          </cell>
        </row>
        <row r="27877">
          <cell r="B27877" t="str">
            <v>81040200000358</v>
          </cell>
          <cell r="C27877" t="str">
            <v>HPC CCNR REFINANCIADO VENC              7ND</v>
          </cell>
        </row>
        <row r="27878">
          <cell r="B27878" t="str">
            <v>81040200000359</v>
          </cell>
          <cell r="C27878" t="str">
            <v>HPC INT.X COB. VENC TC FINAN.PROV.REFIN 7ND</v>
          </cell>
        </row>
        <row r="27879">
          <cell r="B27879" t="str">
            <v>81040200000401</v>
          </cell>
          <cell r="C27879" t="str">
            <v>IC INT VENC HIPOT BS ADJUDICADOS        7ND</v>
          </cell>
        </row>
        <row r="27880">
          <cell r="B27880" t="str">
            <v>81040200000407</v>
          </cell>
          <cell r="C27880" t="str">
            <v>CHI INT CRED HIPOTEC VENCIDO            7ND</v>
          </cell>
        </row>
        <row r="27881">
          <cell r="B27881" t="str">
            <v>81040200000408</v>
          </cell>
          <cell r="C27881" t="str">
            <v>CHI INT INDX CRED HIPOTEC VENC          7ND</v>
          </cell>
        </row>
        <row r="27882">
          <cell r="B27882" t="str">
            <v>81040200000409</v>
          </cell>
          <cell r="C27882" t="str">
            <v>CHI COM GT AD CRED HIPOT VENC           7ND</v>
          </cell>
        </row>
        <row r="27883">
          <cell r="B27883" t="str">
            <v>81040200000410</v>
          </cell>
          <cell r="C27883" t="str">
            <v>CHI COM INDX CRED HIPOT VENC            7ND</v>
          </cell>
        </row>
        <row r="27884">
          <cell r="B27884" t="str">
            <v>81040200000413</v>
          </cell>
          <cell r="C27884" t="str">
            <v>IC INT VENC SUSP C HIPOT BONOS          7ND</v>
          </cell>
        </row>
        <row r="27885">
          <cell r="B27885" t="str">
            <v>81040200000416</v>
          </cell>
          <cell r="C27885" t="str">
            <v>CL PRE.JUD.CRE.HIPOT.IC INT.SUS         7ND</v>
          </cell>
        </row>
        <row r="27886">
          <cell r="B27886" t="str">
            <v>81040200000417</v>
          </cell>
          <cell r="C27886" t="str">
            <v>IC INT VENC REF HIP CRED COMERC         7ND</v>
          </cell>
        </row>
        <row r="27887">
          <cell r="B27887" t="str">
            <v>81040200000418</v>
          </cell>
          <cell r="C27887" t="str">
            <v>IC INT VENC CR PERS C/GART HIPOT        7ND</v>
          </cell>
        </row>
        <row r="27888">
          <cell r="B27888" t="str">
            <v>81040200000419</v>
          </cell>
          <cell r="C27888" t="str">
            <v>HPC INT.X COB. VENC HIPOT.RP            7ND</v>
          </cell>
        </row>
        <row r="27889">
          <cell r="B27889" t="str">
            <v>81040200000420</v>
          </cell>
          <cell r="C27889" t="str">
            <v>HPC D/P INT.X COB.VENC HIPOT.RP         7ND</v>
          </cell>
        </row>
        <row r="27890">
          <cell r="B27890" t="str">
            <v>81040200000421</v>
          </cell>
          <cell r="C27890" t="str">
            <v>HPC INT.X COB. VENC MI VIV COFI         7ND</v>
          </cell>
        </row>
        <row r="27891">
          <cell r="B27891" t="str">
            <v>81040200000422</v>
          </cell>
          <cell r="C27891" t="str">
            <v>HPC D/P INT.X COB.VENC MI VIV CO        7ND</v>
          </cell>
        </row>
        <row r="27892">
          <cell r="B27892" t="str">
            <v>81040200000423</v>
          </cell>
          <cell r="C27892" t="str">
            <v>HPC INT.X COB. VENC TEC PROP COF        7ND</v>
          </cell>
        </row>
        <row r="27893">
          <cell r="B27893" t="str">
            <v>81040200000424</v>
          </cell>
          <cell r="C27893" t="str">
            <v>HPC D/P INT.X COB.VENC TEC PROP         7ND</v>
          </cell>
        </row>
        <row r="27894">
          <cell r="B27894" t="str">
            <v>81040200000425</v>
          </cell>
          <cell r="C27894" t="str">
            <v>HPC INT.X COB. VENC MI VIV REC P        7ND</v>
          </cell>
        </row>
        <row r="27895">
          <cell r="B27895" t="str">
            <v>81040200000426</v>
          </cell>
          <cell r="C27895" t="str">
            <v>HPC D/P INT.X COB.VENC MI VIV RE        7ND</v>
          </cell>
        </row>
        <row r="27896">
          <cell r="B27896" t="str">
            <v>81040200000427</v>
          </cell>
          <cell r="C27896" t="str">
            <v>HPC INT.X COB. VENC HIP. RP. BON        7ND</v>
          </cell>
        </row>
        <row r="27897">
          <cell r="B27897" t="str">
            <v>81040200000428</v>
          </cell>
          <cell r="C27897" t="str">
            <v>HPC D/P INT.X COB.VENC HIP. RP          7ND</v>
          </cell>
        </row>
        <row r="27898">
          <cell r="B27898" t="str">
            <v>81040200000429</v>
          </cell>
          <cell r="C27898" t="str">
            <v>HPC INT.X COB. VENC HIP RP ADJUDI       7ND</v>
          </cell>
        </row>
        <row r="27899">
          <cell r="B27899" t="str">
            <v>81040200000430</v>
          </cell>
          <cell r="C27899" t="str">
            <v>HPC D/P INT.X COB.VENC HIP RP ADJ       7ND</v>
          </cell>
        </row>
        <row r="27900">
          <cell r="B27900" t="str">
            <v>81040200000434</v>
          </cell>
          <cell r="C27900" t="str">
            <v>CHI S INTERES CRED HIPOT VENC           7ND</v>
          </cell>
        </row>
        <row r="27901">
          <cell r="B27901" t="str">
            <v>81040200000435</v>
          </cell>
          <cell r="C27901" t="str">
            <v>CHI S COM GTO ADM CRED HIPOT VENC       7ND</v>
          </cell>
        </row>
        <row r="27902">
          <cell r="B27902" t="str">
            <v>81040200000438</v>
          </cell>
          <cell r="C27902" t="str">
            <v>HPC INT.X COB. VENC MI HOGAR            7ND</v>
          </cell>
        </row>
        <row r="27903">
          <cell r="B27903" t="str">
            <v>81040200000439</v>
          </cell>
          <cell r="C27903" t="str">
            <v>HPC D/P INT.X COB.VENC MI HOGAR         7ND</v>
          </cell>
        </row>
        <row r="27904">
          <cell r="B27904" t="str">
            <v>81040200000440</v>
          </cell>
          <cell r="C27904" t="str">
            <v>CL P.TASA VEN.INT.SUSP GL3018           7ND</v>
          </cell>
        </row>
        <row r="27905">
          <cell r="B27905" t="str">
            <v>81040200000441</v>
          </cell>
          <cell r="C27905" t="str">
            <v>UCL PRE JUD MYP CAP TRAB INT SU         7ND</v>
          </cell>
        </row>
        <row r="27906">
          <cell r="B27906" t="str">
            <v>81040200000442</v>
          </cell>
          <cell r="C27906" t="str">
            <v>CL PRE JUD MYP INT SUSP COMP AF         7ND</v>
          </cell>
        </row>
        <row r="27907">
          <cell r="B27907" t="str">
            <v>81040200000443</v>
          </cell>
          <cell r="C27907" t="str">
            <v>CL PRE JUD MYP INT SUSP COMP AF         7ND</v>
          </cell>
        </row>
        <row r="27908">
          <cell r="B27908" t="str">
            <v>81040200000444</v>
          </cell>
          <cell r="C27908" t="str">
            <v>CL PRE JUD MYP CRED ESTAC INT S         7ND</v>
          </cell>
        </row>
        <row r="27909">
          <cell r="B27909" t="str">
            <v>81040200000445</v>
          </cell>
          <cell r="C27909" t="str">
            <v>CL PRE JUD MYP  AF CYBERPL INT S        7ND</v>
          </cell>
        </row>
        <row r="27910">
          <cell r="B27910" t="str">
            <v>81040200000501</v>
          </cell>
          <cell r="C27910" t="str">
            <v>PR LETR./FACT.DSCTO.INT.SUS             7ND</v>
          </cell>
        </row>
        <row r="27911">
          <cell r="B27911" t="str">
            <v>81040200000502</v>
          </cell>
          <cell r="C27911" t="str">
            <v>CL PAG.TASA DSCTA.INT.X SUS             7ND</v>
          </cell>
        </row>
        <row r="27912">
          <cell r="B27912" t="str">
            <v>81040200000513</v>
          </cell>
          <cell r="C27912" t="str">
            <v>CL D/P P.T.VENCIDA MES INT.VEN          7ND</v>
          </cell>
        </row>
        <row r="27913">
          <cell r="B27913" t="str">
            <v>81040200000516</v>
          </cell>
          <cell r="C27913" t="str">
            <v>PR LETR./FACT.DSCTO.MES INT.SUS         7ND</v>
          </cell>
        </row>
        <row r="27914">
          <cell r="B27914" t="str">
            <v>81040200000525</v>
          </cell>
          <cell r="C27914" t="str">
            <v>CL PRE JUD INT.DSCTO.PAG VENC GL7003    7ND</v>
          </cell>
        </row>
        <row r="27915">
          <cell r="B27915" t="str">
            <v>81040200000526</v>
          </cell>
          <cell r="C27915" t="str">
            <v>CL PRE JUD INT.DSCTO.LETR VENC GL7003   7ND</v>
          </cell>
        </row>
        <row r="27916">
          <cell r="B27916" t="str">
            <v>81040200000528</v>
          </cell>
          <cell r="C27916" t="str">
            <v>PR  DSCTO ELECTR SM PERUAN I.COM MES    7ND</v>
          </cell>
        </row>
        <row r="27917">
          <cell r="B27917" t="str">
            <v>81040200000601</v>
          </cell>
          <cell r="C27917" t="str">
            <v>CL PAG.TASA VENCIDA INT.SUSP            7ND</v>
          </cell>
        </row>
        <row r="27918">
          <cell r="B27918" t="str">
            <v>81040200000603</v>
          </cell>
          <cell r="C27918" t="str">
            <v>CL P.T.VENCIDA COFIDE INT.SUSP .        7ND</v>
          </cell>
        </row>
        <row r="27919">
          <cell r="B27919" t="str">
            <v>81040200000605</v>
          </cell>
          <cell r="C27919" t="str">
            <v>CL P. EXP.PRE EM.RP INT.SUS .           7ND</v>
          </cell>
        </row>
        <row r="27920">
          <cell r="B27920" t="str">
            <v>81040200000606</v>
          </cell>
          <cell r="C27920" t="str">
            <v>CL P.EXP.POST EMB RP INT.SUS            7ND</v>
          </cell>
        </row>
        <row r="27921">
          <cell r="B27921" t="str">
            <v>81040200000607</v>
          </cell>
          <cell r="C27921" t="str">
            <v>CL P.EXP.PRE EMB FLAR INT.SUS           7ND</v>
          </cell>
        </row>
        <row r="27922">
          <cell r="B27922" t="str">
            <v>81040200000609</v>
          </cell>
          <cell r="C27922" t="str">
            <v>CL PAGARE IMPOR RP INT.SUS              7ND</v>
          </cell>
        </row>
        <row r="27923">
          <cell r="B27923" t="str">
            <v>81040200000610</v>
          </cell>
          <cell r="C27923" t="str">
            <v>CL P.EXPORT PRE EMB BANQ                7ND</v>
          </cell>
        </row>
        <row r="27924">
          <cell r="B27924" t="str">
            <v>81040200000611</v>
          </cell>
          <cell r="C27924" t="str">
            <v>CL P.EXPORT.POST EMB INT.SUS            7ND</v>
          </cell>
        </row>
        <row r="27925">
          <cell r="B27925" t="str">
            <v>81040200000612</v>
          </cell>
          <cell r="C27925" t="str">
            <v>CL P.IMPORT REC.BANQ.INT.SUS            7ND</v>
          </cell>
        </row>
        <row r="27926">
          <cell r="B27926" t="str">
            <v>81040200000619</v>
          </cell>
          <cell r="C27926" t="str">
            <v>BL INT CRED VENCRP. EXP. PRE EMB.-CL    7ND</v>
          </cell>
        </row>
        <row r="27927">
          <cell r="B27927" t="str">
            <v>81040200000621</v>
          </cell>
          <cell r="C27927" t="str">
            <v>BL INT CRED VENC RB EXP. POST EMB.-CL   7ND</v>
          </cell>
        </row>
        <row r="27928">
          <cell r="B27928" t="str">
            <v>81040200000622</v>
          </cell>
          <cell r="C27928" t="str">
            <v>BL INT CRED VENC REFLAR EXP.POST.EMB.CL 7ND</v>
          </cell>
        </row>
        <row r="27929">
          <cell r="B27929" t="str">
            <v>81040200000624</v>
          </cell>
          <cell r="C27929" t="str">
            <v>BL INT CRED VENC RB. IMPORT-CL          7ND</v>
          </cell>
        </row>
        <row r="27930">
          <cell r="B27930" t="str">
            <v>81040200000637</v>
          </cell>
          <cell r="C27930" t="str">
            <v>LPC PAG.TASA VENCIDA INT.SUS.VEN        7ND</v>
          </cell>
        </row>
        <row r="27931">
          <cell r="B27931" t="str">
            <v>81040200000638</v>
          </cell>
          <cell r="C27931" t="str">
            <v>LPC P.TASA VENC. D/P INT.VEN            7ND</v>
          </cell>
        </row>
        <row r="27932">
          <cell r="B27932" t="str">
            <v>81040200000642</v>
          </cell>
          <cell r="C27932" t="str">
            <v>CL P.VTA.BNES.ADJUDICA.INT.SUS          7ND</v>
          </cell>
        </row>
        <row r="27933">
          <cell r="B27933" t="str">
            <v>81040200000643</v>
          </cell>
          <cell r="C27933" t="str">
            <v>CL P.T.V.OTROS SUSP.INT.SUS.VEN         7ND</v>
          </cell>
        </row>
        <row r="27934">
          <cell r="B27934" t="str">
            <v>81040200000646</v>
          </cell>
          <cell r="C27934" t="str">
            <v>LPC P.TV.OTROS SUSP. INT.VEN            7ND</v>
          </cell>
        </row>
        <row r="27935">
          <cell r="B27935" t="str">
            <v>81040200000649</v>
          </cell>
          <cell r="C27935" t="str">
            <v>CL PRE.JUD.P.RP CAP.TRA.INT.SUS         7ND</v>
          </cell>
        </row>
        <row r="27936">
          <cell r="B27936" t="str">
            <v>81040200000650</v>
          </cell>
          <cell r="C27936" t="str">
            <v>CL PRE JUD INT.GAN PAG.REC.COFIDE VENC G7ND</v>
          </cell>
        </row>
        <row r="27937">
          <cell r="B27937" t="str">
            <v>81040200000651</v>
          </cell>
          <cell r="C27937" t="str">
            <v>CL PRE JUD INT.CRED. HIP COM CL VENC GL 7ND</v>
          </cell>
        </row>
        <row r="27938">
          <cell r="B27938" t="str">
            <v>81040200000652</v>
          </cell>
          <cell r="C27938" t="str">
            <v>CL PRE JUD.INT.P.REF.FOPE SUBOR GL7003  7ND</v>
          </cell>
        </row>
        <row r="27939">
          <cell r="B27939" t="str">
            <v>81040200000653</v>
          </cell>
          <cell r="C27939" t="str">
            <v>CL PRE JUD.INT.P.REF.FOPEÂ  GL7003      7ND</v>
          </cell>
        </row>
        <row r="27940">
          <cell r="B27940" t="str">
            <v>81040200000654</v>
          </cell>
          <cell r="C27940" t="str">
            <v>HPC INT.X COB. VENC EFEC C/GARAN        7ND</v>
          </cell>
        </row>
        <row r="27941">
          <cell r="B27941" t="str">
            <v>81040200000655</v>
          </cell>
          <cell r="C27941" t="str">
            <v>HPC D/P INT.X COB.VENC EFEC C/GA        7ND</v>
          </cell>
        </row>
        <row r="27942">
          <cell r="B27942" t="str">
            <v>81040200000656</v>
          </cell>
          <cell r="C27942" t="str">
            <v>CL INT.SUSP PAG.TV NEG.INMOBILI         7ND</v>
          </cell>
        </row>
        <row r="27943">
          <cell r="B27943" t="str">
            <v>81040200000657</v>
          </cell>
          <cell r="C27943" t="str">
            <v>HPC INT.X COB. VENC EFEC REGULAR.       7ND</v>
          </cell>
        </row>
        <row r="27944">
          <cell r="B27944" t="str">
            <v>81040200000658</v>
          </cell>
          <cell r="C27944" t="str">
            <v>HPC D/P INT.X COB.VENC EFEC REGUL       7ND</v>
          </cell>
        </row>
        <row r="27945">
          <cell r="B27945" t="str">
            <v>81040200000661</v>
          </cell>
          <cell r="C27945" t="str">
            <v>$CL PRE JU SUS P.TV MED.PLZ C/FIJ       7ND</v>
          </cell>
        </row>
        <row r="27946">
          <cell r="B27946" t="str">
            <v>81040200000665</v>
          </cell>
          <cell r="C27946" t="str">
            <v>CL BT PJUD HIP.MIVI.INT.SUS.COF         7ND</v>
          </cell>
        </row>
        <row r="27947">
          <cell r="B27947" t="str">
            <v>81040200000666</v>
          </cell>
          <cell r="C27947" t="str">
            <v>HPC  REF INT.X COB.VENC EFEC C/GA       7ND</v>
          </cell>
        </row>
        <row r="27948">
          <cell r="B27948" t="str">
            <v>81040200000667</v>
          </cell>
          <cell r="C27948" t="str">
            <v>HPC REF  INT.X COB.VENC PREST.PER       7ND</v>
          </cell>
        </row>
        <row r="27949">
          <cell r="B27949" t="str">
            <v>81040200000668</v>
          </cell>
          <cell r="C27949" t="str">
            <v>HPC REF INT.X COB. VENC HIPOT.TRA       7ND</v>
          </cell>
        </row>
        <row r="27950">
          <cell r="B27950" t="str">
            <v>81040200000669</v>
          </cell>
          <cell r="C27950" t="str">
            <v>HPC REF  INT.X COB.VENC HIP  ADJU       7ND</v>
          </cell>
        </row>
        <row r="27951">
          <cell r="B27951" t="str">
            <v>81040200000675</v>
          </cell>
          <cell r="C27951" t="str">
            <v>CL LETRAS REFIN.LP.INDE -GL 3018        7ND</v>
          </cell>
        </row>
        <row r="27952">
          <cell r="B27952" t="str">
            <v>81040200000676</v>
          </cell>
          <cell r="C27952" t="str">
            <v>CL P.LEASING REF.INDECOPI GL 3018       7ND</v>
          </cell>
        </row>
        <row r="27953">
          <cell r="B27953" t="str">
            <v>81040200000677</v>
          </cell>
          <cell r="C27953" t="str">
            <v>CL INT CTAS.CTES.REFIN.INDE GL 3018     7ND</v>
          </cell>
        </row>
        <row r="27954">
          <cell r="B27954" t="str">
            <v>81040200000678</v>
          </cell>
          <cell r="C27954" t="str">
            <v>CL PRE JUD H. MI HOGAR COFIDE INTERES   7ND</v>
          </cell>
        </row>
        <row r="27955">
          <cell r="B27955" t="str">
            <v>81040200000679</v>
          </cell>
          <cell r="C27955" t="str">
            <v>CL PRE JUD PREST EFEC GTIA HIPOT INTER  7ND</v>
          </cell>
        </row>
        <row r="27956">
          <cell r="B27956" t="str">
            <v>81040200000680</v>
          </cell>
          <cell r="C27956" t="str">
            <v>PR FACTORING INTL INT VENC              7ND</v>
          </cell>
        </row>
        <row r="27957">
          <cell r="B27957" t="str">
            <v>81040200000684</v>
          </cell>
          <cell r="C27957" t="str">
            <v>HPC INT CRED EFECT VENC SUS             7ND</v>
          </cell>
        </row>
        <row r="27958">
          <cell r="B27958" t="str">
            <v>81040200000685</v>
          </cell>
          <cell r="C27958" t="str">
            <v>HPC D/P INT.X COB VENC CRED             7ND</v>
          </cell>
        </row>
        <row r="27959">
          <cell r="B27959" t="str">
            <v>81040200000686</v>
          </cell>
          <cell r="C27959" t="str">
            <v>HPC INT CRED VEHIC VENC SUS             7ND</v>
          </cell>
        </row>
        <row r="27960">
          <cell r="B27960" t="str">
            <v>81040200000687</v>
          </cell>
          <cell r="C27960" t="str">
            <v>HPC D/P INT.X COB VENC CRED             7ND</v>
          </cell>
        </row>
        <row r="27961">
          <cell r="B27961" t="str">
            <v>81040200000688</v>
          </cell>
          <cell r="C27961" t="str">
            <v>LIC INTXCOB CREDXCONV PREF VEN          7ND</v>
          </cell>
        </row>
        <row r="27962">
          <cell r="B27962" t="str">
            <v>81040200000689</v>
          </cell>
          <cell r="C27962" t="str">
            <v>LIC DP INTXCOB CREDXCONV PREF V         7ND</v>
          </cell>
        </row>
        <row r="27963">
          <cell r="B27963" t="str">
            <v>81040200000690</v>
          </cell>
          <cell r="C27963" t="str">
            <v>IC INT REFINANC SUSP VENC EFECT/VEHI    7ND</v>
          </cell>
        </row>
        <row r="27964">
          <cell r="B27964" t="str">
            <v>81040200000691</v>
          </cell>
          <cell r="C27964" t="str">
            <v>IC INT REFIN SUSP VENC CRED HIPOTEC     7ND</v>
          </cell>
        </row>
        <row r="27965">
          <cell r="B27965" t="str">
            <v>81040200000693</v>
          </cell>
          <cell r="C27965" t="str">
            <v>CL PAG REF CONSOLID DEUDA BCO INT S     7ND</v>
          </cell>
        </row>
        <row r="27966">
          <cell r="B27966" t="str">
            <v>81040200000694</v>
          </cell>
          <cell r="C27966" t="str">
            <v>CL PAG REF FOPE INT SUSP                7ND</v>
          </cell>
        </row>
        <row r="27967">
          <cell r="B27967" t="str">
            <v>81040200000695</v>
          </cell>
          <cell r="C27967" t="str">
            <v>CL PAG REF  MED PLZO C/CONTRATO INT     7ND</v>
          </cell>
        </row>
        <row r="27968">
          <cell r="B27968" t="str">
            <v>81040200000696</v>
          </cell>
          <cell r="C27968" t="str">
            <v>CL INT.REF VENC RFA SUBOR MES           7ND</v>
          </cell>
        </row>
        <row r="27969">
          <cell r="B27969" t="str">
            <v>81040200000697</v>
          </cell>
          <cell r="C27969" t="str">
            <v>CL INT.REF VENC PAG TV MES              7ND</v>
          </cell>
        </row>
        <row r="27970">
          <cell r="B27970" t="str">
            <v>81040200000698</v>
          </cell>
          <cell r="C27970" t="str">
            <v>CL PREJUD INT.CRED CONS ADEL SUELDO     7ND</v>
          </cell>
        </row>
        <row r="27971">
          <cell r="B27971" t="str">
            <v>81040200000699</v>
          </cell>
          <cell r="C27971" t="str">
            <v>INT CRED VENC EN SUSPENSO-PRES          7ND</v>
          </cell>
        </row>
        <row r="27972">
          <cell r="B27972" t="str">
            <v>81040200000701</v>
          </cell>
          <cell r="C27972" t="str">
            <v>MYP INT.X COB.VENC FIN.IMPORT CAP TRAB M7ND</v>
          </cell>
        </row>
        <row r="27973">
          <cell r="B27973" t="str">
            <v>81040200000702</v>
          </cell>
          <cell r="C27973" t="str">
            <v>MYP D/P INT.X COB.VENC IMP. CAP DE TRABÂ7ND</v>
          </cell>
        </row>
        <row r="27974">
          <cell r="B27974" t="str">
            <v>81040200000703</v>
          </cell>
          <cell r="C27974" t="str">
            <v>MYP INT.X COB.VENC FIN.IMPORT ACTIVO FIJ7ND</v>
          </cell>
        </row>
        <row r="27975">
          <cell r="B27975" t="str">
            <v>81040200000704</v>
          </cell>
          <cell r="C27975" t="str">
            <v>MYP D/P INT.X COB.VENC IMP. COMP DEU CAP7ND</v>
          </cell>
        </row>
        <row r="27976">
          <cell r="B27976" t="str">
            <v>81040200000705</v>
          </cell>
          <cell r="C27976" t="str">
            <v>MYP INT.X COB.VENC FIN.IMPORT CAP TRAB  7ND</v>
          </cell>
        </row>
        <row r="27977">
          <cell r="B27977" t="str">
            <v>81040200000707</v>
          </cell>
          <cell r="C27977" t="str">
            <v>MYP INT.X COB.VENC FIN.IMPORT ACTIVO    7ND</v>
          </cell>
        </row>
        <row r="27978">
          <cell r="B27978" t="str">
            <v>81040200000708</v>
          </cell>
          <cell r="C27978" t="str">
            <v>MYP INTX COB VENC LIN REVOL PROVREFCMIE 7ND</v>
          </cell>
        </row>
        <row r="27979">
          <cell r="B27979" t="str">
            <v>81040200000709</v>
          </cell>
          <cell r="C27979" t="str">
            <v>HPC INT INDX VENC MIVIVIENDA            7ND</v>
          </cell>
        </row>
        <row r="27980">
          <cell r="B27980" t="str">
            <v>81040200000710</v>
          </cell>
          <cell r="C27980" t="str">
            <v>HPC DP INT INDX VENC MIVIVIENDA         7ND</v>
          </cell>
        </row>
        <row r="27981">
          <cell r="B27981" t="str">
            <v>81040200000711</v>
          </cell>
          <cell r="C27981" t="str">
            <v>HPC INT.X COB. VENC NUEVO MVV COFIDE    7ND</v>
          </cell>
        </row>
        <row r="27982">
          <cell r="B27982" t="str">
            <v>81040200000712</v>
          </cell>
          <cell r="C27982" t="str">
            <v>HPC D/P INT.X COB.VENC NUEVO MVV COFIDE 7ND</v>
          </cell>
        </row>
        <row r="27983">
          <cell r="B27983" t="str">
            <v>81040200000713</v>
          </cell>
          <cell r="C27983" t="str">
            <v>MYP INT REF VENC PAG TV REV COM         7ND</v>
          </cell>
        </row>
        <row r="27984">
          <cell r="B27984" t="str">
            <v>81040200000714</v>
          </cell>
          <cell r="C27984" t="str">
            <v>MYP INT REF VENC PAG TV C/FIJA COM      7ND</v>
          </cell>
        </row>
        <row r="27985">
          <cell r="B27985" t="str">
            <v>81040200000715</v>
          </cell>
          <cell r="C27985" t="str">
            <v>MYP INT REF VENC PAG TV REV MES         7ND</v>
          </cell>
        </row>
        <row r="27986">
          <cell r="B27986" t="str">
            <v>81040200000716</v>
          </cell>
          <cell r="C27986" t="str">
            <v>MYP INT REF VENC PAG TV C/FIJA MES      7ND</v>
          </cell>
        </row>
        <row r="27987">
          <cell r="B27987" t="str">
            <v>81040200000717</v>
          </cell>
          <cell r="C27987" t="str">
            <v>MYP E.R.C INT.X COB. VENC F.C.T         7ND</v>
          </cell>
        </row>
        <row r="27988">
          <cell r="B27988" t="str">
            <v>81040200000718</v>
          </cell>
          <cell r="C27988" t="str">
            <v>MYP E.R.INT.X COB. VENC F. CAP.T        7ND</v>
          </cell>
        </row>
        <row r="27989">
          <cell r="B27989" t="str">
            <v>81040200000719</v>
          </cell>
          <cell r="C27989" t="str">
            <v>MYP ER VENC EN SUSP CPEM                7ND</v>
          </cell>
        </row>
        <row r="27990">
          <cell r="B27990" t="str">
            <v>81040200000750</v>
          </cell>
          <cell r="C27990" t="str">
            <v>HPC ME INT CRED REF SUSP VENC EFECT/VEHI7ND</v>
          </cell>
        </row>
        <row r="27991">
          <cell r="B27991" t="str">
            <v>81040200000751</v>
          </cell>
          <cell r="C27991" t="str">
            <v>HPC ME INT.X COB. VENC EFEC C/GARANT. HI7ND</v>
          </cell>
        </row>
        <row r="27992">
          <cell r="B27992" t="str">
            <v>81040200000752</v>
          </cell>
          <cell r="C27992" t="str">
            <v>HPC INT.X COB. VENC HIPOT.TASA MIXTA RP 7ND</v>
          </cell>
        </row>
        <row r="27993">
          <cell r="B27993" t="str">
            <v>81040200000753</v>
          </cell>
          <cell r="C27993" t="str">
            <v>HPC D/P INT.X COB.VENC HIPOT.TASA MIXTA 7ND</v>
          </cell>
        </row>
        <row r="27994">
          <cell r="B27994" t="str">
            <v>81040200000754</v>
          </cell>
          <cell r="C27994" t="str">
            <v>HPC ME REF INT.X COB. VENC EFEC C/GARANT7ND</v>
          </cell>
        </row>
        <row r="27995">
          <cell r="B27995" t="str">
            <v>81040200000755</v>
          </cell>
          <cell r="C27995" t="str">
            <v>HPC DP INT.X COB. VENC TC FINAN.PROV.REF7ND</v>
          </cell>
        </row>
        <row r="27996">
          <cell r="B27996" t="str">
            <v>81040200000756</v>
          </cell>
          <cell r="C27996" t="str">
            <v>HPC INT.X COB. VENC CRED EFECT FINAN.PRO7ND</v>
          </cell>
        </row>
        <row r="27997">
          <cell r="B27997" t="str">
            <v>81040200000757</v>
          </cell>
          <cell r="C27997" t="str">
            <v>HPC DP INT.X COB. VENC CRED EFECT FINAN.7ND</v>
          </cell>
        </row>
        <row r="27998">
          <cell r="B27998" t="str">
            <v>81040200000758</v>
          </cell>
          <cell r="C27998" t="str">
            <v>HPC INT.X COB. VENC CRED VEHIC FINAN.PRO7ND</v>
          </cell>
        </row>
        <row r="27999">
          <cell r="B27999" t="str">
            <v>81040200000759</v>
          </cell>
          <cell r="C27999" t="str">
            <v>HPC DP INT.X COB. VENC CRED VEHIC FINAN.7ND</v>
          </cell>
        </row>
        <row r="28000">
          <cell r="B28000" t="str">
            <v>81040200000760</v>
          </cell>
          <cell r="C28000" t="str">
            <v>HPC INT.X COB. VENC LIC CONVENIO PROV.RE7ND</v>
          </cell>
        </row>
        <row r="28001">
          <cell r="B28001" t="str">
            <v>81040200000761</v>
          </cell>
          <cell r="C28001" t="str">
            <v>HPC DP INT.X COB. VENC LIC CONVENIO PROV7ND</v>
          </cell>
        </row>
        <row r="28002">
          <cell r="B28002" t="str">
            <v>81040200000762</v>
          </cell>
          <cell r="C28002" t="str">
            <v>HPC INT.X COB. VENC CRED PREF CONV PROV.7ND</v>
          </cell>
        </row>
        <row r="28003">
          <cell r="B28003" t="str">
            <v>81040200000763</v>
          </cell>
          <cell r="C28003" t="str">
            <v>HPC DP INT.X COB. VENC CRED PREF CONV PR7ND</v>
          </cell>
        </row>
        <row r="28004">
          <cell r="B28004" t="str">
            <v>81040200000801</v>
          </cell>
          <cell r="C28004" t="str">
            <v>LPC INT.SUSP PAG.TV NEG.INMOBILI        7ND</v>
          </cell>
        </row>
        <row r="28005">
          <cell r="B28005" t="str">
            <v>81040200000802</v>
          </cell>
          <cell r="C28005" t="str">
            <v>LPC MAPFRE PERU CIA DE SEGUROS Y REASEGU7ND</v>
          </cell>
        </row>
        <row r="28006">
          <cell r="B28006" t="str">
            <v>81040200000804</v>
          </cell>
          <cell r="C28006" t="str">
            <v>CL P.TASA VENCIDA MES INT.SUS           7ND</v>
          </cell>
        </row>
        <row r="28007">
          <cell r="B28007" t="str">
            <v>81040200000811</v>
          </cell>
          <cell r="C28007" t="str">
            <v>LPC CTA INT EN SUSP TASA VENC MES       7ND</v>
          </cell>
        </row>
        <row r="28008">
          <cell r="B28008" t="str">
            <v>81040200000812</v>
          </cell>
          <cell r="C28008" t="str">
            <v>LPC INT SUSP PAG TV D/P LPC VENC MES    7ND</v>
          </cell>
        </row>
        <row r="28009">
          <cell r="B28009" t="str">
            <v>81040200000815</v>
          </cell>
          <cell r="C28009" t="str">
            <v>LPC LEASING VENC BIEN INT DIFERIDOS RP M7ND</v>
          </cell>
        </row>
        <row r="28010">
          <cell r="B28010" t="str">
            <v>81040200000816</v>
          </cell>
          <cell r="C28010" t="str">
            <v>LPC LEASING VENC SEG INT DIFERIDOS RP ME7ND</v>
          </cell>
        </row>
        <row r="28011">
          <cell r="B28011" t="str">
            <v>81040200000817</v>
          </cell>
          <cell r="C28011" t="str">
            <v>LPC I.DIF.LSG DEL BIEN VENC D/P RP MES  7ND</v>
          </cell>
        </row>
        <row r="28012">
          <cell r="B28012" t="str">
            <v>81040200000818</v>
          </cell>
          <cell r="C28012" t="str">
            <v>LPC I.DIF.LSG SEG VENC D/P RP MES       7ND</v>
          </cell>
        </row>
        <row r="28013">
          <cell r="B28013" t="str">
            <v>81040200000819</v>
          </cell>
          <cell r="C28013" t="str">
            <v>LPC LEASEBACK VENC BIEN INT DIFER RP ME 7ND</v>
          </cell>
        </row>
        <row r="28014">
          <cell r="B28014" t="str">
            <v>81040200000820</v>
          </cell>
          <cell r="C28014" t="str">
            <v>LPC LEASEBACK VENC SEG INT DIFER RP MES 7ND</v>
          </cell>
        </row>
        <row r="28015">
          <cell r="B28015" t="str">
            <v>81040200000821</v>
          </cell>
          <cell r="C28015" t="str">
            <v>LPC I.DIF.LSBACK DEL BIEN VENC D/P RP ME7ND</v>
          </cell>
        </row>
        <row r="28016">
          <cell r="B28016" t="str">
            <v>81040200000822</v>
          </cell>
          <cell r="C28016" t="str">
            <v>LPC I.DIF.LSBACK SEG VENC D/P RP CMIE   7ND</v>
          </cell>
        </row>
        <row r="28017">
          <cell r="B28017" t="str">
            <v>81040200000827</v>
          </cell>
          <cell r="C28017" t="str">
            <v>INT EN SUSPENSO MES PJ SF               7ND</v>
          </cell>
        </row>
        <row r="28018">
          <cell r="B28018" t="str">
            <v>81040200000828</v>
          </cell>
          <cell r="C28018" t="str">
            <v>INT SUSP SOBREG CTA CTE PJ MES28        7ND</v>
          </cell>
        </row>
        <row r="28019">
          <cell r="B28019" t="str">
            <v>81040200000831</v>
          </cell>
          <cell r="C28019" t="str">
            <v>MANTENIMIENTO EN SUSP MES PJ SF         7ND</v>
          </cell>
        </row>
        <row r="28020">
          <cell r="B28020" t="str">
            <v>81040200000832</v>
          </cell>
          <cell r="C28020" t="str">
            <v>MANT SUSPENSO PJ MES140200000832        7ND</v>
          </cell>
        </row>
        <row r="28021">
          <cell r="B28021" t="str">
            <v>81040200000836</v>
          </cell>
          <cell r="C28021" t="str">
            <v>LPC I.DIF.LSG BIEN VEN D/P MES RP       7ND</v>
          </cell>
        </row>
        <row r="28022">
          <cell r="B28022" t="str">
            <v>81040200000837</v>
          </cell>
          <cell r="C28022" t="str">
            <v>LPC I.DIF.LSG SEG VEN D/P MES RP        7ND</v>
          </cell>
        </row>
        <row r="28023">
          <cell r="B28023" t="str">
            <v>81040200000841</v>
          </cell>
          <cell r="C28023" t="str">
            <v>CL PRE JUD INT.DSCTO. LET- MES VENC GL707ND</v>
          </cell>
        </row>
        <row r="28024">
          <cell r="B28024" t="str">
            <v>81040200000844</v>
          </cell>
          <cell r="C28024" t="str">
            <v>CL PRE JUD INT.CAP.TRAB- MES            7ND</v>
          </cell>
        </row>
        <row r="28025">
          <cell r="B28025" t="str">
            <v>81040200000846</v>
          </cell>
          <cell r="C28025" t="str">
            <v>CL PRE JUD.INT.FACT FACT-MES VENC GL70037ND</v>
          </cell>
        </row>
        <row r="28026">
          <cell r="B28026" t="str">
            <v>81040200000849</v>
          </cell>
          <cell r="C28026" t="str">
            <v>CL PRE JUD. INT.CRED HIP COM MES VENC GL7ND</v>
          </cell>
        </row>
        <row r="28027">
          <cell r="B28027" t="str">
            <v>81040200000850</v>
          </cell>
          <cell r="C28027" t="str">
            <v>CL PRE JUD.INT TARJ CRED COM MES VENC   7ND</v>
          </cell>
        </row>
        <row r="28028">
          <cell r="B28028" t="str">
            <v>81040200000851</v>
          </cell>
          <cell r="C28028" t="str">
            <v>CL PRE JUD.INT.TC. AMEX PJ-MES VENC GL707ND</v>
          </cell>
        </row>
        <row r="28029">
          <cell r="B28029" t="str">
            <v>81040200000852</v>
          </cell>
          <cell r="C28029" t="str">
            <v>CL PRE JUD.INT.TC. MASTER PJ-MES VEN GL77ND</v>
          </cell>
        </row>
        <row r="28030">
          <cell r="B28030" t="str">
            <v>81040200000853</v>
          </cell>
          <cell r="C28030" t="str">
            <v>CL PRE JUD.INT.RFA SUBOR MES VENC GL70037ND</v>
          </cell>
        </row>
        <row r="28031">
          <cell r="B28031" t="str">
            <v>81040200000854</v>
          </cell>
          <cell r="C28031" t="str">
            <v>CL PRE JUD. INT.RFA FINANC MES VENC GL707ND</v>
          </cell>
        </row>
        <row r="28032">
          <cell r="B28032" t="str">
            <v>81040200000855</v>
          </cell>
          <cell r="C28032" t="str">
            <v>CL.PRE JUD. INT.REC.COFID MES VENC GL7007ND</v>
          </cell>
        </row>
        <row r="28033">
          <cell r="B28033" t="str">
            <v>81040200000856</v>
          </cell>
          <cell r="C28033" t="str">
            <v>CL PRE.JUD C.CTE.PJ MES INT.SUS         7ND</v>
          </cell>
        </row>
        <row r="28034">
          <cell r="B28034" t="str">
            <v>81040200000857</v>
          </cell>
          <cell r="C28034" t="str">
            <v>CL PRE JUD.INT.P.REF.FOPE SUBOR MES GL707ND</v>
          </cell>
        </row>
        <row r="28035">
          <cell r="B28035" t="str">
            <v>81040200000858</v>
          </cell>
          <cell r="C28035" t="str">
            <v>CL PRE JUD.INT.P.REF.FOPEÂ  MES GL7003  7ND</v>
          </cell>
        </row>
        <row r="28036">
          <cell r="B28036" t="str">
            <v>81040200000863</v>
          </cell>
          <cell r="C28036" t="str">
            <v>MYP INT.X COB. VENC LINEA REVOLVENTE    7ND</v>
          </cell>
        </row>
        <row r="28037">
          <cell r="B28037" t="str">
            <v>81040200000864</v>
          </cell>
          <cell r="C28037" t="str">
            <v>MYP D/P INT.X COB.VENC LINEA REVOLV     7ND</v>
          </cell>
        </row>
        <row r="28038">
          <cell r="B28038" t="str">
            <v>81040200000865</v>
          </cell>
          <cell r="C28038" t="str">
            <v>MYP C INT.X COB. VENC LINEA REVOL.      7ND</v>
          </cell>
        </row>
        <row r="28039">
          <cell r="B28039" t="str">
            <v>81040200000866</v>
          </cell>
          <cell r="C28039" t="str">
            <v>MYP D/P C INT.X COB.VENC LINEA REVOL.   7ND</v>
          </cell>
        </row>
        <row r="28040">
          <cell r="B28040" t="str">
            <v>81040200000867</v>
          </cell>
          <cell r="C28040" t="str">
            <v>MYP IMPORT RP INTXCOB MES VENC          7ND</v>
          </cell>
        </row>
        <row r="28041">
          <cell r="B28041" t="str">
            <v>81040200000868</v>
          </cell>
          <cell r="C28041" t="str">
            <v>MYP D/P IMPOR RP INTXCOB MES VENC       7ND</v>
          </cell>
        </row>
        <row r="28042">
          <cell r="B28042" t="str">
            <v>81040200000870</v>
          </cell>
          <cell r="C28042" t="str">
            <v>CL PRE JUD MYP CAP TRAB INT SU          7ND</v>
          </cell>
        </row>
        <row r="28043">
          <cell r="B28043" t="str">
            <v>81040200000871</v>
          </cell>
          <cell r="C28043" t="str">
            <v>CL PRE JUD MYP INT SUSP COMP AF         7ND</v>
          </cell>
        </row>
        <row r="28044">
          <cell r="B28044" t="str">
            <v>81040200000872</v>
          </cell>
          <cell r="C28044" t="str">
            <v>CL PRE JUD MYP INT SUSP COMP AF         7ND</v>
          </cell>
        </row>
        <row r="28045">
          <cell r="B28045" t="str">
            <v>81040200000873</v>
          </cell>
          <cell r="C28045" t="str">
            <v>CL PRE JUD MYP CRED ESTAC INT S         7ND</v>
          </cell>
        </row>
        <row r="28046">
          <cell r="B28046" t="str">
            <v>81040200000874</v>
          </cell>
          <cell r="C28046" t="str">
            <v>$CL PRE JUD MYP  AF CYBERPL INT S       7ND</v>
          </cell>
        </row>
        <row r="28047">
          <cell r="B28047" t="str">
            <v>81040200000875</v>
          </cell>
          <cell r="C28047" t="str">
            <v>MYP EXPORT.POST EMBARQ RP INTXCOB MES VE7ND</v>
          </cell>
        </row>
        <row r="28048">
          <cell r="B28048" t="str">
            <v>81040200000876</v>
          </cell>
          <cell r="C28048" t="str">
            <v>MYP D/P EXPORT.POST EMB INTXCOB VENC CPE7ND</v>
          </cell>
        </row>
        <row r="28049">
          <cell r="B28049" t="str">
            <v>81040200000878</v>
          </cell>
          <cell r="C28049" t="str">
            <v>MYP EXPORT.PRE EMBARQ RP INTXCOBÂ  VENC 7ND</v>
          </cell>
        </row>
        <row r="28050">
          <cell r="B28050" t="str">
            <v>81040200000879</v>
          </cell>
          <cell r="C28050" t="str">
            <v>MYP D/P EXPORT.PRE EMB INTXCOB VENC CPEM7ND</v>
          </cell>
        </row>
        <row r="28051">
          <cell r="B28051" t="str">
            <v>81040200000881</v>
          </cell>
          <cell r="C28051" t="str">
            <v>MYP INT.X COB. VENC TRANSP PUBLICO      7ND</v>
          </cell>
        </row>
        <row r="28052">
          <cell r="B28052" t="str">
            <v>81040200000882</v>
          </cell>
          <cell r="C28052" t="str">
            <v>MYP D/P INT.X COB.VENC TRANSP PUBL      7ND</v>
          </cell>
        </row>
        <row r="28053">
          <cell r="B28053" t="str">
            <v>81040200000883</v>
          </cell>
          <cell r="C28053" t="str">
            <v>MYP C INT.X COB. VENC TRANSP PUBLI      7ND</v>
          </cell>
        </row>
        <row r="28054">
          <cell r="B28054" t="str">
            <v>81040200000884</v>
          </cell>
          <cell r="C28054" t="str">
            <v>MYP D/P C INT.X COB.VENC TRANSP PU      7ND</v>
          </cell>
        </row>
        <row r="28055">
          <cell r="B28055" t="str">
            <v>81040200000885</v>
          </cell>
          <cell r="C28055" t="str">
            <v>CL INT.VEN PREJUD CONS PREFE CCNR       7ND</v>
          </cell>
        </row>
        <row r="28056">
          <cell r="B28056" t="str">
            <v>81040200000886</v>
          </cell>
          <cell r="C28056" t="str">
            <v>CL PRE JUD INT.CONVENIO NO REV.CNG      7ND</v>
          </cell>
        </row>
        <row r="28057">
          <cell r="B28057" t="str">
            <v>81040200000887</v>
          </cell>
          <cell r="C28057" t="str">
            <v>CL PRE.JUD.REFINAN. INT.SUS  CONV.NO REV7ND</v>
          </cell>
        </row>
        <row r="28058">
          <cell r="B28058" t="str">
            <v>81040200000888</v>
          </cell>
          <cell r="C28058" t="str">
            <v>MYP INTXCOB VENC CAPTRABPROVREFCMED     7ND</v>
          </cell>
        </row>
        <row r="28059">
          <cell r="B28059" t="str">
            <v>81040200000889</v>
          </cell>
          <cell r="C28059" t="str">
            <v>MYP INTXCOB VENC CAPTRABPROVREFCMIE     7ND</v>
          </cell>
        </row>
        <row r="28060">
          <cell r="B28060" t="str">
            <v>81040200000890</v>
          </cell>
          <cell r="C28060" t="str">
            <v>MYP INTXCOB VENC CAPTRABPROVREFCPEM     7ND</v>
          </cell>
        </row>
        <row r="28061">
          <cell r="B28061" t="str">
            <v>81040200000891</v>
          </cell>
          <cell r="C28061" t="str">
            <v>MYP IX COB VENC LIN REVOL PROVREFCMED   7ND</v>
          </cell>
        </row>
        <row r="28062">
          <cell r="B28062" t="str">
            <v>81040200000892</v>
          </cell>
          <cell r="C28062" t="str">
            <v>MYP IX COB VENC LIN REVOL PROVREFCMIE   7ND</v>
          </cell>
        </row>
        <row r="28063">
          <cell r="B28063" t="str">
            <v>81040200000893</v>
          </cell>
          <cell r="C28063" t="str">
            <v>MYP IX COB VENC LIN REVOL PROVREFCPEM   7ND</v>
          </cell>
        </row>
        <row r="28064">
          <cell r="B28064" t="str">
            <v>81040200000894</v>
          </cell>
          <cell r="C28064" t="str">
            <v>MYP INTXCOB VENC CAP.TRAB.REUT.CMED     7ND</v>
          </cell>
        </row>
        <row r="28065">
          <cell r="B28065" t="str">
            <v>81040200000895</v>
          </cell>
          <cell r="C28065" t="str">
            <v>MYP INTXCOB VENC CAP.TRAB.REUT.CMIE     7ND</v>
          </cell>
        </row>
        <row r="28066">
          <cell r="B28066" t="str">
            <v>81040200000896</v>
          </cell>
          <cell r="C28066" t="str">
            <v>MYP INTXCOB VENC CAP.TRAB.REUT.CPEM     7ND</v>
          </cell>
        </row>
        <row r="28067">
          <cell r="B28067" t="str">
            <v>81040200000897</v>
          </cell>
          <cell r="C28067" t="str">
            <v>MYP I.X COB. VENC LIN. REVOL REUT.CMED  7ND</v>
          </cell>
        </row>
        <row r="28068">
          <cell r="B28068" t="str">
            <v>81040200000898</v>
          </cell>
          <cell r="C28068" t="str">
            <v>MYP I.X COB. VENC LIN. REVOL REUT.CMIE  7ND</v>
          </cell>
        </row>
        <row r="28069">
          <cell r="B28069" t="str">
            <v>81040200000899</v>
          </cell>
          <cell r="C28069" t="str">
            <v>MYP I.X COB. VENC LIN. REVOL REUT.CPEM  7ND</v>
          </cell>
        </row>
        <row r="28070">
          <cell r="B28070" t="str">
            <v>81040200000901</v>
          </cell>
          <cell r="C28070" t="str">
            <v>LIC INT X COB CONV NO REVOLV VENC       7ND</v>
          </cell>
        </row>
        <row r="28071">
          <cell r="B28071" t="str">
            <v>81040200000902</v>
          </cell>
          <cell r="C28071" t="str">
            <v>LIC DP INT X COB CONV NRV OT BAJ C VENC 7ND</v>
          </cell>
        </row>
        <row r="28072">
          <cell r="B28072" t="str">
            <v>81040200000903</v>
          </cell>
          <cell r="C28072" t="str">
            <v>LIC DP INT X COB CONV NRV VENCIDO       7ND</v>
          </cell>
        </row>
        <row r="28073">
          <cell r="B28073" t="str">
            <v>81040200000904</v>
          </cell>
          <cell r="C28073" t="str">
            <v>LIC DP INT X COB CONV VENC MED EMPR     7ND</v>
          </cell>
        </row>
        <row r="28074">
          <cell r="B28074" t="str">
            <v>81040200000905</v>
          </cell>
          <cell r="C28074" t="str">
            <v>LIC INTXCOB PREF NRV OT BAJ C NO ELEG VE7ND</v>
          </cell>
        </row>
        <row r="28075">
          <cell r="B28075" t="str">
            <v>81040200000906</v>
          </cell>
          <cell r="C28075" t="str">
            <v>LIC DP INTXCOB PREF NRV OT BAJ C NO ELEG7ND</v>
          </cell>
        </row>
        <row r="28076">
          <cell r="B28076" t="str">
            <v>81040200000907</v>
          </cell>
          <cell r="C28076" t="str">
            <v>LPC INT SUSP PRE EMBAR FINANC. VEN. NORM7ND</v>
          </cell>
        </row>
        <row r="28077">
          <cell r="B28077" t="str">
            <v>81040200000908</v>
          </cell>
          <cell r="C28077" t="str">
            <v>LPC INT SUSP PRE EMBAR FINANC. VEN. NORM7ND</v>
          </cell>
        </row>
        <row r="28078">
          <cell r="B28078" t="str">
            <v>81040200000909</v>
          </cell>
          <cell r="C28078" t="str">
            <v>LPC INT SUSP PRE EMBAR FINANC. VEN. NORM7ND</v>
          </cell>
        </row>
        <row r="28079">
          <cell r="B28079" t="str">
            <v>81040200000910</v>
          </cell>
          <cell r="C28079" t="str">
            <v>LPC INT SUSP PRE EMBAR FINANC. VEN. NORM7ND</v>
          </cell>
        </row>
        <row r="28080">
          <cell r="B28080" t="str">
            <v>81040200000911</v>
          </cell>
          <cell r="C28080" t="str">
            <v>LPC INT SUSP PRE EMBAR FINANC. VEN. NORM7ND</v>
          </cell>
        </row>
        <row r="28081">
          <cell r="B28081" t="str">
            <v>81040200000912</v>
          </cell>
          <cell r="C28081" t="str">
            <v>LPC INT SUSP PRE EMBAR FINANC. VEN. NORM7ND</v>
          </cell>
        </row>
        <row r="28082">
          <cell r="B28082" t="str">
            <v>81040200000913</v>
          </cell>
          <cell r="C28082" t="str">
            <v>LPC INT SUSP POST EMBAR FINANC. VEN. NOR7ND</v>
          </cell>
        </row>
        <row r="28083">
          <cell r="B28083" t="str">
            <v>81040200000914</v>
          </cell>
          <cell r="C28083" t="str">
            <v>LPC INT SUSP POST EMBAR FINANC. VEN. NOR7ND</v>
          </cell>
        </row>
        <row r="28084">
          <cell r="B28084" t="str">
            <v>81040200000915</v>
          </cell>
          <cell r="C28084" t="str">
            <v>LPC INT SUSP POST EMBAR FINANC. VEN. NOR7ND</v>
          </cell>
        </row>
        <row r="28085">
          <cell r="B28085" t="str">
            <v>81040200000916</v>
          </cell>
          <cell r="C28085" t="str">
            <v>LPC INT SUSP POST EMBAR FINANC. VEN. NOR7ND</v>
          </cell>
        </row>
        <row r="28086">
          <cell r="B28086" t="str">
            <v>81040200000917</v>
          </cell>
          <cell r="C28086" t="str">
            <v>LPC INT SUSP POST EMBAR FINANC. VEN. NOR7ND</v>
          </cell>
        </row>
        <row r="28087">
          <cell r="B28087" t="str">
            <v>81040200000918</v>
          </cell>
          <cell r="C28087" t="str">
            <v>LPC INT SUSP POST EMBAR FINANC. VEN. NOR7ND</v>
          </cell>
        </row>
        <row r="28088">
          <cell r="B28088" t="str">
            <v>81040200000919</v>
          </cell>
          <cell r="C28088" t="str">
            <v>LPC INT SUSP IMPORT. CARTA CREDITO  FINA7ND</v>
          </cell>
        </row>
        <row r="28089">
          <cell r="B28089" t="str">
            <v>81040200000920</v>
          </cell>
          <cell r="C28089" t="str">
            <v>LPC INT SUSP IMPORT. CARTA CREDITO  FINA7ND</v>
          </cell>
        </row>
        <row r="28090">
          <cell r="B28090" t="str">
            <v>81040200000921</v>
          </cell>
          <cell r="C28090" t="str">
            <v>LPC INT SUSP IMPORT. CARTA CREDITO  FINA7ND</v>
          </cell>
        </row>
        <row r="28091">
          <cell r="B28091" t="str">
            <v>81040200000922</v>
          </cell>
          <cell r="C28091" t="str">
            <v>LPC INT SUSP IMPORT. CARTA CREDITO  FINA7ND</v>
          </cell>
        </row>
        <row r="28092">
          <cell r="B28092" t="str">
            <v>81040200000923</v>
          </cell>
          <cell r="C28092" t="str">
            <v>LPC INT SUSP IMPORT. CARTA CREDITO  FINA7ND</v>
          </cell>
        </row>
        <row r="28093">
          <cell r="B28093" t="str">
            <v>81040200000924</v>
          </cell>
          <cell r="C28093" t="str">
            <v>LPC INT SUSP IMPORT. CARTA CREDITO  FINA7ND</v>
          </cell>
        </row>
        <row r="28094">
          <cell r="B28094" t="str">
            <v>81040200000925</v>
          </cell>
          <cell r="C28094" t="str">
            <v>LPC INT SUSP IMPORT.  FINANC. VEN. NORM 7ND</v>
          </cell>
        </row>
        <row r="28095">
          <cell r="B28095" t="str">
            <v>81040200000926</v>
          </cell>
          <cell r="C28095" t="str">
            <v>LPC INT SUSP IMPORT.  FINANC. VEN. NORM 7ND</v>
          </cell>
        </row>
        <row r="28096">
          <cell r="B28096" t="str">
            <v>81040200000927</v>
          </cell>
          <cell r="C28096" t="str">
            <v>LPC INT SUSP IMPORT.  FINANC. VEN. NORM 7ND</v>
          </cell>
        </row>
        <row r="28097">
          <cell r="B28097" t="str">
            <v>81040200000928</v>
          </cell>
          <cell r="C28097" t="str">
            <v>LPC INT SUSP IMPORT.  FINANC. VEN. NORM 7ND</v>
          </cell>
        </row>
        <row r="28098">
          <cell r="B28098" t="str">
            <v>81040200000929</v>
          </cell>
          <cell r="C28098" t="str">
            <v>LPC INT SUSP IMPORT.  FINANC. VEN. NORM 7ND</v>
          </cell>
        </row>
        <row r="28099">
          <cell r="B28099" t="str">
            <v>81040200000930</v>
          </cell>
          <cell r="C28099" t="str">
            <v>LPC INT SUSP IMPORT.  FINANC. VEN. NORM 7ND</v>
          </cell>
        </row>
        <row r="28100">
          <cell r="B28100" t="str">
            <v>81040200000931</v>
          </cell>
          <cell r="C28100" t="str">
            <v>LPC INT SUSP PRE EMBAR FINANC. VEN. DUPE7ND</v>
          </cell>
        </row>
        <row r="28101">
          <cell r="B28101" t="str">
            <v>81040200000932</v>
          </cell>
          <cell r="C28101" t="str">
            <v>LPC INT SUSP PRE EMBAR FINANC. VEN. DUPE7ND</v>
          </cell>
        </row>
        <row r="28102">
          <cell r="B28102" t="str">
            <v>81040200000933</v>
          </cell>
          <cell r="C28102" t="str">
            <v>LPC INT SUSP PRE EMBAR FINANC. VEN. DUPE7ND</v>
          </cell>
        </row>
        <row r="28103">
          <cell r="B28103" t="str">
            <v>81040200000934</v>
          </cell>
          <cell r="C28103" t="str">
            <v>LPC INT SUSP PRE EMBAR FINANC. VEN. DUPE7ND</v>
          </cell>
        </row>
        <row r="28104">
          <cell r="B28104" t="str">
            <v>81040200000935</v>
          </cell>
          <cell r="C28104" t="str">
            <v>LPC INT SUSP PRE EMBAR FINANC. VEN. DUPE7ND</v>
          </cell>
        </row>
        <row r="28105">
          <cell r="B28105" t="str">
            <v>81040200000936</v>
          </cell>
          <cell r="C28105" t="str">
            <v>LPC INT SUSP PRE EMBAR FINANC. VEN. DUPE7ND</v>
          </cell>
        </row>
        <row r="28106">
          <cell r="B28106" t="str">
            <v>81040200000937</v>
          </cell>
          <cell r="C28106" t="str">
            <v>LPC INT SUSP POST EMBAR FINANC. VEN. DUP7ND</v>
          </cell>
        </row>
        <row r="28107">
          <cell r="B28107" t="str">
            <v>81040200000938</v>
          </cell>
          <cell r="C28107" t="str">
            <v>LPC INT SUSP POST EMBAR FINANC. VEN. DUP7ND</v>
          </cell>
        </row>
        <row r="28108">
          <cell r="B28108" t="str">
            <v>81040200000939</v>
          </cell>
          <cell r="C28108" t="str">
            <v>LPC INT SUSP POST EMBAR FINANC. VEN. DUP7ND</v>
          </cell>
        </row>
        <row r="28109">
          <cell r="B28109" t="str">
            <v>81040200000940</v>
          </cell>
          <cell r="C28109" t="str">
            <v>LPC INT SUSP POST EMBAR FINANC. VEN. DUP7ND</v>
          </cell>
        </row>
        <row r="28110">
          <cell r="B28110" t="str">
            <v>81040200000941</v>
          </cell>
          <cell r="C28110" t="str">
            <v>LPC INT SUSP POST EMBAR FINANC. VEN. DUP7ND</v>
          </cell>
        </row>
        <row r="28111">
          <cell r="B28111" t="str">
            <v>81040200000942</v>
          </cell>
          <cell r="C28111" t="str">
            <v>LPC INT SUSP POST EMBAR FINANC. VEN. DUP7ND</v>
          </cell>
        </row>
        <row r="28112">
          <cell r="B28112" t="str">
            <v>81040200000943</v>
          </cell>
          <cell r="C28112" t="str">
            <v>LPC INT SUSP IMPORT. CARTA CREDITO  FINA7ND</v>
          </cell>
        </row>
        <row r="28113">
          <cell r="B28113" t="str">
            <v>81040200000944</v>
          </cell>
          <cell r="C28113" t="str">
            <v>LPC INT SUSP IMPORT. CARTA CREDITO  FINA7ND</v>
          </cell>
        </row>
        <row r="28114">
          <cell r="B28114" t="str">
            <v>81040200000945</v>
          </cell>
          <cell r="C28114" t="str">
            <v>LPC INT SUSP IMPORT. CARTA CREDITO  FINA7ND</v>
          </cell>
        </row>
        <row r="28115">
          <cell r="B28115" t="str">
            <v>81040200000946</v>
          </cell>
          <cell r="C28115" t="str">
            <v>LPC INT SUSP IMPORT. CARTA CREDITO  FINA7ND</v>
          </cell>
        </row>
        <row r="28116">
          <cell r="B28116" t="str">
            <v>81040200000947</v>
          </cell>
          <cell r="C28116" t="str">
            <v>LPC INT SUSP IMPORT. CARTA CREDITO  FINA7ND</v>
          </cell>
        </row>
        <row r="28117">
          <cell r="B28117" t="str">
            <v>81040200000948</v>
          </cell>
          <cell r="C28117" t="str">
            <v>LPC INT SUSP IMPORT. CARTA CREDITO  FINA7ND</v>
          </cell>
        </row>
        <row r="28118">
          <cell r="B28118" t="str">
            <v>81040200000949</v>
          </cell>
          <cell r="C28118" t="str">
            <v>LPC INT SUSP IMPORT.  FINANC. VEN. DUPE 7ND</v>
          </cell>
        </row>
        <row r="28119">
          <cell r="B28119" t="str">
            <v>81040200000950</v>
          </cell>
          <cell r="C28119" t="str">
            <v>LPC INT SUSP IMPORT.  FINANC. VEN. DUPE 7ND</v>
          </cell>
        </row>
        <row r="28120">
          <cell r="B28120" t="str">
            <v>81040200000951</v>
          </cell>
          <cell r="C28120" t="str">
            <v>LPC INT SUSP IMPORT.  FINANC. VEN. DUPE 7ND</v>
          </cell>
        </row>
        <row r="28121">
          <cell r="B28121" t="str">
            <v>81040200000952</v>
          </cell>
          <cell r="C28121" t="str">
            <v>LPC INT SUSP IMPORT.  FINANC. VEN. DUPE 7ND</v>
          </cell>
        </row>
        <row r="28122">
          <cell r="B28122" t="str">
            <v>81040200000953</v>
          </cell>
          <cell r="C28122" t="str">
            <v>LPC INT SUSP IMPORT.  FINANC. VEN. DUPE 7ND</v>
          </cell>
        </row>
        <row r="28123">
          <cell r="B28123" t="str">
            <v>81040200000954</v>
          </cell>
          <cell r="C28123" t="str">
            <v>LPC INT SUSP IMPORT.  FINANC. VEN. DUPE 7ND</v>
          </cell>
        </row>
        <row r="28124">
          <cell r="B28124" t="str">
            <v>81040200000955</v>
          </cell>
          <cell r="C28124" t="str">
            <v>LPC INT SUSP INT DIF VEN LS BACK COFIDE 7ND</v>
          </cell>
        </row>
        <row r="28125">
          <cell r="B28125" t="str">
            <v>81040200000956</v>
          </cell>
          <cell r="C28125" t="str">
            <v>LPC INT SUSP SEG INT DIF VEN LS BACK COF7ND</v>
          </cell>
        </row>
        <row r="28126">
          <cell r="B28126" t="str">
            <v>81040200000957</v>
          </cell>
          <cell r="C28126" t="str">
            <v>LPC INT SUSP INT DIF VEN LS BACK COFIDE 7ND</v>
          </cell>
        </row>
        <row r="28127">
          <cell r="B28127" t="str">
            <v>81040200000958</v>
          </cell>
          <cell r="C28127" t="str">
            <v>LPC INT SUSP SEG DIF VEN LS BACK COFIDE 7ND</v>
          </cell>
        </row>
        <row r="28128">
          <cell r="B28128" t="str">
            <v>81040200000959</v>
          </cell>
          <cell r="C28128" t="str">
            <v>LPC P.TSA.DSCTO.INT.SUS VEN D/P         7ND</v>
          </cell>
        </row>
        <row r="28129">
          <cell r="B28129" t="str">
            <v>81040200000960</v>
          </cell>
          <cell r="C28129" t="str">
            <v>LPC P.TSA.DSCTO.INT.SUS VEN             7ND</v>
          </cell>
        </row>
        <row r="28130">
          <cell r="B28130" t="str">
            <v>81040200000961</v>
          </cell>
          <cell r="C28130" t="str">
            <v>LPC INT EN SUSP PAG TV INMOBILIARIO VEN 7ND</v>
          </cell>
        </row>
        <row r="28131">
          <cell r="B28131" t="str">
            <v>81040200000962</v>
          </cell>
          <cell r="C28131" t="str">
            <v>LPC INT SUSPPAG. FINANC PROY COFIDE CCOR7ND</v>
          </cell>
        </row>
        <row r="28132">
          <cell r="B28132" t="str">
            <v>81040200000963</v>
          </cell>
          <cell r="C28132" t="str">
            <v>LPC INT SUSP PAGARE FORFAITING CCOR     7ND</v>
          </cell>
        </row>
        <row r="28133">
          <cell r="B28133" t="str">
            <v>81040200000964</v>
          </cell>
          <cell r="C28133" t="str">
            <v>LPC INT SUSP PAGARE FORFAITING VENC D/P 7ND</v>
          </cell>
        </row>
        <row r="28134">
          <cell r="B28134" t="str">
            <v>81040200000965</v>
          </cell>
          <cell r="C28134" t="str">
            <v>LPC INT SUSP PAGARE FORFAITING CGEM     7ND</v>
          </cell>
        </row>
        <row r="28135">
          <cell r="B28135" t="str">
            <v>81040200000966</v>
          </cell>
          <cell r="C28135" t="str">
            <v>LPC INT SUSP PAGARE FORFAITING VENC D/P 7ND</v>
          </cell>
        </row>
        <row r="28136">
          <cell r="B28136" t="str">
            <v>81040200000967</v>
          </cell>
          <cell r="C28136" t="str">
            <v>LPC INT SUSP PAGARE FORFAITING CMED     7ND</v>
          </cell>
        </row>
        <row r="28137">
          <cell r="B28137" t="str">
            <v>81040200000968</v>
          </cell>
          <cell r="C28137" t="str">
            <v>LPC INT SUSP PAGARE FORFAITING VENC D/P 7ND</v>
          </cell>
        </row>
        <row r="28138">
          <cell r="B28138" t="str">
            <v>81040200001001</v>
          </cell>
          <cell r="C28138" t="str">
            <v>PR LET.FACTOR.SUSP.COMP.VEN             7ND</v>
          </cell>
        </row>
        <row r="28139">
          <cell r="B28139" t="str">
            <v>81040200001002</v>
          </cell>
          <cell r="C28139" t="str">
            <v>PR FACTORING FACTU.INT.COMP.            7ND</v>
          </cell>
        </row>
        <row r="28140">
          <cell r="B28140" t="str">
            <v>81040200001003</v>
          </cell>
          <cell r="C28140" t="str">
            <v>PR LET.FACTO.DIF.SUSP.VEN               7ND</v>
          </cell>
        </row>
        <row r="28141">
          <cell r="B28141" t="str">
            <v>81040200001004</v>
          </cell>
          <cell r="C28141" t="str">
            <v>PR FACTORING FACTU.INT.SUS.DIF          7ND</v>
          </cell>
        </row>
        <row r="28142">
          <cell r="B28142" t="str">
            <v>81040200001007</v>
          </cell>
          <cell r="C28142" t="str">
            <v>PR FACTORING FACTU.TITU.INT.DIF         7ND</v>
          </cell>
        </row>
        <row r="28143">
          <cell r="B28143" t="str">
            <v>81040200001008</v>
          </cell>
          <cell r="C28143" t="str">
            <v>BL INT SUSP FACTORING LETRAS DIFER P    7ND</v>
          </cell>
        </row>
        <row r="28144">
          <cell r="B28144" t="str">
            <v>81040200001011</v>
          </cell>
          <cell r="C28144" t="str">
            <v>PR FACTORING FACTU.MES INT.COMP         7ND</v>
          </cell>
        </row>
        <row r="28145">
          <cell r="B28145" t="str">
            <v>81040200001012</v>
          </cell>
          <cell r="C28145" t="str">
            <v>PR LETRAS FACTO.MES INT.DIF             7ND</v>
          </cell>
        </row>
        <row r="28146">
          <cell r="B28146" t="str">
            <v>81040200001013</v>
          </cell>
          <cell r="C28146" t="str">
            <v>PR FACTORING FACTU.MES INT.DIFE         7ND</v>
          </cell>
        </row>
        <row r="28147">
          <cell r="B28147" t="str">
            <v>81040200001014</v>
          </cell>
          <cell r="C28147" t="str">
            <v>PR LETRAS FACTO.MES INT.COMP.           7ND</v>
          </cell>
        </row>
        <row r="28148">
          <cell r="B28148" t="str">
            <v>81040200001019</v>
          </cell>
          <cell r="C28148" t="str">
            <v>CL PRE JUD INT FACT. LET VENC  GL7003   7ND</v>
          </cell>
        </row>
        <row r="28149">
          <cell r="B28149" t="str">
            <v>81040200001020</v>
          </cell>
          <cell r="C28149" t="str">
            <v>CL PRE JUD INT FACT. FACT. VENC GL7003  7ND</v>
          </cell>
        </row>
        <row r="28150">
          <cell r="B28150" t="str">
            <v>81040200001021</v>
          </cell>
          <cell r="C28150" t="str">
            <v>PR FACT ELECTR LET/FACT I.COMPENS       7ND</v>
          </cell>
        </row>
        <row r="28151">
          <cell r="B28151" t="str">
            <v>81040200001022</v>
          </cell>
          <cell r="C28151" t="str">
            <v>PR FACT ELECTR LET/FACT I.DIF           7ND</v>
          </cell>
        </row>
        <row r="28152">
          <cell r="B28152" t="str">
            <v>81040200001023</v>
          </cell>
          <cell r="C28152" t="str">
            <v>PR FACT ELECTR LET/FACT I.COMP MES      7ND</v>
          </cell>
        </row>
        <row r="28153">
          <cell r="B28153" t="str">
            <v>81040200001024</v>
          </cell>
          <cell r="C28153" t="str">
            <v>PR FACT ELECTR LET/FACT I.DIF MES       7ND</v>
          </cell>
        </row>
        <row r="28154">
          <cell r="B28154" t="str">
            <v>81040200001101</v>
          </cell>
          <cell r="C28154" t="str">
            <v>INT VENC EN SUSP ARREND FINANC          7ND</v>
          </cell>
        </row>
        <row r="28155">
          <cell r="B28155" t="str">
            <v>81040200001108</v>
          </cell>
          <cell r="C28155" t="str">
            <v>LPC IDL LS BIEN ADJU.INT. VEN           7ND</v>
          </cell>
        </row>
        <row r="28156">
          <cell r="B28156" t="str">
            <v>81040200001109</v>
          </cell>
          <cell r="C28156" t="str">
            <v>LPC IDS LS BIEN ADJU.INT.SEG.VEN        7ND</v>
          </cell>
        </row>
        <row r="28157">
          <cell r="B28157" t="str">
            <v>81040200001112</v>
          </cell>
          <cell r="C28157" t="str">
            <v>LPC IDL INT SUS MYP INT DIF.LS CGEM     7ND</v>
          </cell>
        </row>
        <row r="28158">
          <cell r="B28158" t="str">
            <v>81040200001113</v>
          </cell>
          <cell r="C28158" t="str">
            <v>LPC IDS INT SUS MYP INT DIF.LS CGEM     7ND</v>
          </cell>
        </row>
        <row r="28159">
          <cell r="B28159" t="str">
            <v>81040200001114</v>
          </cell>
          <cell r="C28159" t="str">
            <v>LPC IDL MYP INT LEASING BIEN D/P CGEM   7ND</v>
          </cell>
        </row>
        <row r="28160">
          <cell r="B28160" t="str">
            <v>81040200001115</v>
          </cell>
          <cell r="C28160" t="str">
            <v>LPC IDS MYP INT LEASING BIEN D/P CGEM   7ND</v>
          </cell>
        </row>
        <row r="28161">
          <cell r="B28161" t="str">
            <v>81040200001201</v>
          </cell>
          <cell r="C28161" t="str">
            <v>JCC PRE JUD INT.PRES EXP VENC GL7003    7ND</v>
          </cell>
        </row>
        <row r="28162">
          <cell r="B28162" t="str">
            <v>81040200001202</v>
          </cell>
          <cell r="C28162" t="str">
            <v>JCC PRE JUD INT.IMP.VENC GL7003         7ND</v>
          </cell>
        </row>
        <row r="28163">
          <cell r="B28163" t="str">
            <v>81040200001203</v>
          </cell>
          <cell r="C28163" t="str">
            <v>JCC PRE.JUD.P.RP CAP.TRA.INT.SUS        7ND</v>
          </cell>
        </row>
        <row r="28164">
          <cell r="B28164" t="str">
            <v>81040200001204</v>
          </cell>
          <cell r="C28164" t="str">
            <v>JCC PRE JUD INT.CRED HIP-REC VENC GL70037ND</v>
          </cell>
        </row>
        <row r="28165">
          <cell r="B28165" t="str">
            <v>81040200001205</v>
          </cell>
          <cell r="C28165" t="str">
            <v>JCC PRE JUD INT.CRED EFECT VENC GL7003  7ND</v>
          </cell>
        </row>
        <row r="28166">
          <cell r="B28166" t="str">
            <v>81040200001206</v>
          </cell>
          <cell r="C28166" t="str">
            <v>JCC PRE JUD INT.CRED VEHI VENC GL7003   7ND</v>
          </cell>
        </row>
        <row r="28167">
          <cell r="B28167" t="str">
            <v>81040200001301</v>
          </cell>
          <cell r="C28167" t="str">
            <v>MYP INTXCOB VENC CAP.TRAB NORM CGEM     7ND</v>
          </cell>
        </row>
        <row r="28168">
          <cell r="B28168" t="str">
            <v>81040200001302</v>
          </cell>
          <cell r="C28168" t="str">
            <v>MYP INT.XCOB COMPRA.AF NORM CGEM        7ND</v>
          </cell>
        </row>
        <row r="28169">
          <cell r="B28169" t="str">
            <v>81040200001303</v>
          </cell>
          <cell r="C28169" t="str">
            <v>MYP INT.X COB. VENC CRED.PARAL.NORM CGEM7ND</v>
          </cell>
        </row>
        <row r="28170">
          <cell r="B28170" t="str">
            <v>81040200001304</v>
          </cell>
          <cell r="C28170" t="str">
            <v>MYP INT.X COB. VENC LIN. REVOLV NORM CGE7ND</v>
          </cell>
        </row>
        <row r="28171">
          <cell r="B28171" t="str">
            <v>81040200001305</v>
          </cell>
          <cell r="C28171" t="str">
            <v>MYP D/P INT.X COB.VENC CAP.TRAB CGEM    7ND</v>
          </cell>
        </row>
        <row r="28172">
          <cell r="B28172" t="str">
            <v>81040200001306</v>
          </cell>
          <cell r="C28172" t="str">
            <v>MYP D/P INT.X COB.VENC AF INMUEBLE CGEM 7ND</v>
          </cell>
        </row>
        <row r="28173">
          <cell r="B28173" t="str">
            <v>81040200001307</v>
          </cell>
          <cell r="C28173" t="str">
            <v>MYP D/P INT.X COB.VENC CRED PARAL CGEM  7ND</v>
          </cell>
        </row>
        <row r="28174">
          <cell r="B28174" t="str">
            <v>81040200001308</v>
          </cell>
          <cell r="C28174" t="str">
            <v>MYP D/P INTXCOB.VENC LINEA REVOL CGEM   7ND</v>
          </cell>
        </row>
        <row r="28175">
          <cell r="B28175" t="str">
            <v>81040200001309</v>
          </cell>
          <cell r="C28175" t="str">
            <v>MYP D/P INTXCOB VENC PAG.BPE-BE COMER.CG7ND</v>
          </cell>
        </row>
        <row r="28176">
          <cell r="B28176" t="str">
            <v>81040200001310</v>
          </cell>
          <cell r="C28176" t="str">
            <v>MYP D/P INTXCOB VENC PAG.BPE-BE COMER.CM7ND</v>
          </cell>
        </row>
        <row r="28177">
          <cell r="B28177" t="str">
            <v>81040200001311</v>
          </cell>
          <cell r="C28177" t="str">
            <v>MYP D/P INTXCOB VENC PAG.BPE-BE COMER.CP7ND</v>
          </cell>
        </row>
        <row r="28178">
          <cell r="B28178" t="str">
            <v>81040200001312</v>
          </cell>
          <cell r="C28178" t="str">
            <v>MYP INTXCOB VENC PAG BPE-BE NORM COM.CGE7ND</v>
          </cell>
        </row>
        <row r="28179">
          <cell r="B28179" t="str">
            <v>81040200001313</v>
          </cell>
          <cell r="C28179" t="str">
            <v>MYP INTXCOB VENC PAG BPE-BE COM.NORM CME7ND</v>
          </cell>
        </row>
        <row r="28180">
          <cell r="B28180" t="str">
            <v>81040200001314</v>
          </cell>
          <cell r="C28180" t="str">
            <v>MYP INTXCOB VENC PAG BPE-BE COM.NORM CPE7ND</v>
          </cell>
        </row>
        <row r="28181">
          <cell r="B28181" t="str">
            <v>81040200001315</v>
          </cell>
          <cell r="C28181" t="str">
            <v>MYP D/P INTXCOB.VENC LIN REV.BPE-BE COM 7ND</v>
          </cell>
        </row>
        <row r="28182">
          <cell r="B28182" t="str">
            <v>81040200001316</v>
          </cell>
          <cell r="C28182" t="str">
            <v>MYP D/P INTXCOB.VENC LIN REV.BPE-BE COM 7ND</v>
          </cell>
        </row>
        <row r="28183">
          <cell r="B28183" t="str">
            <v>81040200001317</v>
          </cell>
          <cell r="C28183" t="str">
            <v>MYP D/P INTXCOB.VENC LIN REV.BPE-BE COM 7ND</v>
          </cell>
        </row>
        <row r="28184">
          <cell r="B28184" t="str">
            <v>81040200001318</v>
          </cell>
          <cell r="C28184" t="str">
            <v>MYP I.X COB. VENC L.REV.BPE-BE COM NORM 7ND</v>
          </cell>
        </row>
        <row r="28185">
          <cell r="B28185" t="str">
            <v>81040200001319</v>
          </cell>
          <cell r="C28185" t="str">
            <v>MYP I.X COB. VENC L.REV.BPE-BE COM NORM 7ND</v>
          </cell>
        </row>
        <row r="28186">
          <cell r="B28186" t="str">
            <v>81040200001320</v>
          </cell>
          <cell r="C28186" t="str">
            <v>MYP I.X COB. VENC L.REV.BPE-BE COM NORM 7ND</v>
          </cell>
        </row>
        <row r="28187">
          <cell r="B28187" t="str">
            <v>81040200001401</v>
          </cell>
          <cell r="C28187" t="str">
            <v>CL INT.SUSP.DEUD.VTA CARTERA            7ND</v>
          </cell>
        </row>
        <row r="28188">
          <cell r="B28188" t="str">
            <v>81040200001601</v>
          </cell>
          <cell r="C28188" t="str">
            <v>LPC INT SUSP PAG.EMP.SIST.FIN.PAIS NO SU7ND</v>
          </cell>
        </row>
        <row r="28189">
          <cell r="B28189" t="str">
            <v>81040200001602</v>
          </cell>
          <cell r="C28189" t="str">
            <v>LPC INT SUSPENSO PAG IMPORT             7ND</v>
          </cell>
        </row>
        <row r="28190">
          <cell r="B28190" t="str">
            <v>81040200001603</v>
          </cell>
          <cell r="C28190" t="str">
            <v>LPC PAG.IMPORT RP D/P INT.VEN           7ND</v>
          </cell>
        </row>
        <row r="28191">
          <cell r="B28191" t="str">
            <v>81040200001604</v>
          </cell>
          <cell r="C28191" t="str">
            <v>LPC INT SUSPENSO PAG IMPORT RP MES      7ND</v>
          </cell>
        </row>
        <row r="28192">
          <cell r="B28192" t="str">
            <v>81040200001605</v>
          </cell>
          <cell r="C28192" t="str">
            <v>LPC PAG.IMPORT RP MES D/P INT.VEN       7ND</v>
          </cell>
        </row>
        <row r="28193">
          <cell r="B28193" t="str">
            <v>81040200001607</v>
          </cell>
          <cell r="C28193" t="str">
            <v>LPC INT SUS MYP INT DIFER LS CMIE       7ND</v>
          </cell>
        </row>
        <row r="28194">
          <cell r="B28194" t="str">
            <v>81040200001608</v>
          </cell>
          <cell r="C28194" t="str">
            <v>LPC INT SUS MYP INT DIFER LS CMIE       7ND</v>
          </cell>
        </row>
        <row r="28195">
          <cell r="B28195" t="str">
            <v>81040200001609</v>
          </cell>
          <cell r="C28195" t="str">
            <v>LPC LS VENC SEG INT DIF.BPE ME          7ND</v>
          </cell>
        </row>
        <row r="28196">
          <cell r="B28196" t="str">
            <v>81040200001610</v>
          </cell>
          <cell r="C28196" t="str">
            <v>LPC IDL MYP INT LEASING BIEN D/P CMIE   7ND</v>
          </cell>
        </row>
        <row r="28197">
          <cell r="B28197" t="str">
            <v>81040200001611</v>
          </cell>
          <cell r="C28197" t="str">
            <v>LPC IDS MYP INT LEASING BIEN D/P CMIE   7ND</v>
          </cell>
        </row>
        <row r="28198">
          <cell r="B28198" t="str">
            <v>81040200001612</v>
          </cell>
          <cell r="C28198" t="str">
            <v>LPC INT SUSP FINANC PRE EMBARQUE-SEPYMEX7ND</v>
          </cell>
        </row>
        <row r="28199">
          <cell r="B28199" t="str">
            <v>81040200001613</v>
          </cell>
          <cell r="C28199" t="str">
            <v>LPC INT SUSP FINANC PRE EMBARQUE-SEPYMEX7ND</v>
          </cell>
        </row>
        <row r="28200">
          <cell r="B28200" t="str">
            <v>81040200001614</v>
          </cell>
          <cell r="C28200" t="str">
            <v>LPC INT SUSP FINANC PRE EMBARQUE-SEPYMEX7ND</v>
          </cell>
        </row>
        <row r="28201">
          <cell r="B28201" t="str">
            <v>81040200001615</v>
          </cell>
          <cell r="C28201" t="str">
            <v>LPC INT SUSP FINANC PRE EMBARQUE-SEPYMEX7ND</v>
          </cell>
        </row>
        <row r="28202">
          <cell r="B28202" t="str">
            <v>81040200001616</v>
          </cell>
          <cell r="C28202" t="str">
            <v>LPC INT SUSP FINANC PRE EMBARQUE-SEPYMEX7ND</v>
          </cell>
        </row>
        <row r="28203">
          <cell r="B28203" t="str">
            <v>81040200001617</v>
          </cell>
          <cell r="C28203" t="str">
            <v>LPC INT SUSP FINANC PRE EMBARQUE-SEPYMEX7ND</v>
          </cell>
        </row>
        <row r="28204">
          <cell r="B28204" t="str">
            <v>81040200001618</v>
          </cell>
          <cell r="C28204" t="str">
            <v>LPC INT SUSP FINANC PRE EMBARQUE D/P-SEP7ND</v>
          </cell>
        </row>
        <row r="28205">
          <cell r="B28205" t="str">
            <v>81040200001619</v>
          </cell>
          <cell r="C28205" t="str">
            <v>LPC INT SUSP FINANC PRE EMBARQUE D/P-SEP7ND</v>
          </cell>
        </row>
        <row r="28206">
          <cell r="B28206" t="str">
            <v>81040200001620</v>
          </cell>
          <cell r="C28206" t="str">
            <v>LPC INT SUSP FINANC PRE EMBARQUE D/P-SEP7ND</v>
          </cell>
        </row>
        <row r="28207">
          <cell r="B28207" t="str">
            <v>81040200001621</v>
          </cell>
          <cell r="C28207" t="str">
            <v>LPC INT SUSP FINANC PRE EMBARQUE D/P-SEP7ND</v>
          </cell>
        </row>
        <row r="28208">
          <cell r="B28208" t="str">
            <v>81040200001622</v>
          </cell>
          <cell r="C28208" t="str">
            <v>LPC INT SUSP FINANC PRE EMBARQUE D/P-SEP7ND</v>
          </cell>
        </row>
        <row r="28209">
          <cell r="B28209" t="str">
            <v>81040200001623</v>
          </cell>
          <cell r="C28209" t="str">
            <v>LPC INT SUSP FINANC PRE EMBARQUE D/P-SEP7ND</v>
          </cell>
        </row>
        <row r="28210">
          <cell r="B28210" t="str">
            <v>81040200001701</v>
          </cell>
          <cell r="C28210" t="str">
            <v>TC INTERES CREDITO REPROGRAMACION       7ND</v>
          </cell>
        </row>
        <row r="28211">
          <cell r="B28211" t="str">
            <v>81040200002101</v>
          </cell>
          <cell r="C28211" t="str">
            <v>CL CXL C.C VISTA BKT INT.SUSP           7ND</v>
          </cell>
        </row>
        <row r="28212">
          <cell r="B28212" t="str">
            <v>81040200002102</v>
          </cell>
          <cell r="C28212" t="str">
            <v>CL CXL CC ACEPT.BKT INT SUSP            7ND</v>
          </cell>
        </row>
        <row r="28213">
          <cell r="B28213" t="str">
            <v>81040200002103</v>
          </cell>
          <cell r="C28213" t="str">
            <v>CL CXL AVAL ACEPT.BKT INT.SUSP          7ND</v>
          </cell>
        </row>
        <row r="28214">
          <cell r="B28214" t="str">
            <v>81040200002104</v>
          </cell>
          <cell r="C28214" t="str">
            <v>CL CXL CC AVAL BKT INT.SUSP             7ND</v>
          </cell>
        </row>
        <row r="28215">
          <cell r="B28215" t="str">
            <v>81040200002105</v>
          </cell>
          <cell r="C28215" t="str">
            <v>CL CXL STAND BY BKT INT.SUSP.           7ND</v>
          </cell>
        </row>
        <row r="28216">
          <cell r="B28216" t="str">
            <v>81040200002106</v>
          </cell>
          <cell r="C28216" t="str">
            <v>CL CXL COB.AVALADA BKT INT.SUSP         7ND</v>
          </cell>
        </row>
        <row r="28217">
          <cell r="B28217" t="str">
            <v>81040200002110</v>
          </cell>
          <cell r="C28217" t="str">
            <v>CL INT.SUSP.CXL AVA.XACEP.-MES          7ND</v>
          </cell>
        </row>
        <row r="28218">
          <cell r="B28218" t="str">
            <v>81040200002303</v>
          </cell>
          <cell r="C28218" t="str">
            <v>IC INT VENC SUSPEN HIPOTECARIO          7ND</v>
          </cell>
        </row>
        <row r="28219">
          <cell r="B28219" t="str">
            <v>81040200002307</v>
          </cell>
          <cell r="C28219" t="str">
            <v>CL PRE JUD INT.CRED HIP-REC VENC GL7003 7ND</v>
          </cell>
        </row>
        <row r="28220">
          <cell r="B28220" t="str">
            <v>81040200002308</v>
          </cell>
          <cell r="C28220" t="str">
            <v>CHI SEG DESG CRED HIPOTECARIO VENC      7ND</v>
          </cell>
        </row>
        <row r="28221">
          <cell r="B28221" t="str">
            <v>81040200002309</v>
          </cell>
          <cell r="C28221" t="str">
            <v>CHI SEG INMUEB CRED HIPOTECARIO VENC    7ND</v>
          </cell>
        </row>
        <row r="28222">
          <cell r="B28222" t="str">
            <v>81040200002310</v>
          </cell>
          <cell r="C28222" t="str">
            <v>CHI SEG DSG INDX C HIPOT VENC           7ND</v>
          </cell>
        </row>
        <row r="28223">
          <cell r="B28223" t="str">
            <v>81040200002311</v>
          </cell>
          <cell r="C28223" t="str">
            <v>CHI SEG INMB INDX C HIPOT VENC          7ND</v>
          </cell>
        </row>
        <row r="28224">
          <cell r="B28224" t="str">
            <v>81040200002312</v>
          </cell>
          <cell r="C28224" t="str">
            <v>CL PREJUD HIP.MI VIVIE.INT.SUSP.COFIDE  7ND</v>
          </cell>
        </row>
        <row r="28225">
          <cell r="B28225" t="str">
            <v>81040200002313</v>
          </cell>
          <cell r="C28225" t="str">
            <v>CHI S SEG DESG CRED HIPOTEC VENC        7ND</v>
          </cell>
        </row>
        <row r="28226">
          <cell r="B28226" t="str">
            <v>81040200002317</v>
          </cell>
          <cell r="C28226" t="str">
            <v>CL PRE JUD INT.CRED TECHOPROPIO-REC V   7ND</v>
          </cell>
        </row>
        <row r="28227">
          <cell r="B28227" t="str">
            <v>81040200002318</v>
          </cell>
          <cell r="C28227" t="str">
            <v>CL PRE JUD H. MIVIVIENDA RP INTERES     7ND</v>
          </cell>
        </row>
        <row r="28228">
          <cell r="B28228" t="str">
            <v>81040200002610</v>
          </cell>
          <cell r="C28228" t="str">
            <v>EX FORFAITING INT.SUSP. VENCIDO         7ND</v>
          </cell>
        </row>
        <row r="28229">
          <cell r="B28229" t="str">
            <v>81040200002611</v>
          </cell>
          <cell r="C28229" t="str">
            <v>CL PRE JUD INT.PRES EXP VENC GL7003     7ND</v>
          </cell>
        </row>
        <row r="28230">
          <cell r="B28230" t="str">
            <v>81040200002612</v>
          </cell>
          <cell r="C28230" t="str">
            <v>CL PRE JUD INT.IMP.VENC GL7003          7ND</v>
          </cell>
        </row>
        <row r="28231">
          <cell r="B28231" t="str">
            <v>81040200002613</v>
          </cell>
          <cell r="C28231" t="str">
            <v>CL PRE JUD INT CARTA CRED VENC GL7003   7ND</v>
          </cell>
        </row>
        <row r="28232">
          <cell r="B28232" t="str">
            <v>81040200002614</v>
          </cell>
          <cell r="C28232" t="str">
            <v>CL PRE JUD INT. C. FZA VENC GL7003      7ND</v>
          </cell>
        </row>
        <row r="28233">
          <cell r="B28233" t="str">
            <v>81040200002616</v>
          </cell>
          <cell r="C28233" t="str">
            <v>CL INT.SUSP WORKING CAPITAL EXPORT      7ND</v>
          </cell>
        </row>
        <row r="28234">
          <cell r="B28234" t="str">
            <v>81040200002901</v>
          </cell>
          <cell r="C28234" t="str">
            <v>INT.SUS OTR CRED CONSUMO-COMP DEUDA     7ND</v>
          </cell>
        </row>
        <row r="28235">
          <cell r="B28235" t="str">
            <v>81040200002902</v>
          </cell>
          <cell r="C28235" t="str">
            <v>IC INT VENC OTROS C.COMERCIALES .       7ND</v>
          </cell>
        </row>
        <row r="28236">
          <cell r="B28236" t="str">
            <v>81040200002903</v>
          </cell>
          <cell r="C28236" t="str">
            <v>INTERESES EN SUSP. FSJT                 7ND</v>
          </cell>
        </row>
        <row r="28237">
          <cell r="B28237" t="str">
            <v>81040200003001</v>
          </cell>
          <cell r="C28237" t="str">
            <v>CL PRE.JUD.REFINANC. IC INT.SUS         7ND</v>
          </cell>
        </row>
        <row r="28238">
          <cell r="B28238" t="str">
            <v>81040200003002</v>
          </cell>
          <cell r="C28238" t="str">
            <v>CL PRE.JUD.REFI.HIPO.IC INT.SUS         7ND</v>
          </cell>
        </row>
        <row r="28239">
          <cell r="B28239" t="str">
            <v>81040200003101</v>
          </cell>
          <cell r="C28239" t="str">
            <v>MYP INT.X COB. VENC FIN. CAP.TRAB       7ND</v>
          </cell>
        </row>
        <row r="28240">
          <cell r="B28240" t="str">
            <v>81040200003102</v>
          </cell>
          <cell r="C28240" t="str">
            <v>MYP D/P INT.X COB.VENC FIN.CAP.TRAB     7ND</v>
          </cell>
        </row>
        <row r="28241">
          <cell r="B28241" t="str">
            <v>81040200003103</v>
          </cell>
          <cell r="C28241" t="str">
            <v>MYP INT.X COB. VENC FIN. COMPRA. AF     7ND</v>
          </cell>
        </row>
        <row r="28242">
          <cell r="B28242" t="str">
            <v>81040200003104</v>
          </cell>
          <cell r="C28242" t="str">
            <v>MYP D/P INT.X COB.VENC FIN.COMPRA. AF   7ND</v>
          </cell>
        </row>
        <row r="28243">
          <cell r="B28243" t="str">
            <v>81040200003105</v>
          </cell>
          <cell r="C28243" t="str">
            <v>MYP INT.X COB. VENC FIN. CRED. PARAL.   7ND</v>
          </cell>
        </row>
        <row r="28244">
          <cell r="B28244" t="str">
            <v>81040200003106</v>
          </cell>
          <cell r="C28244" t="str">
            <v>MYP D/P INT.X COB.VENC FIN.CRED. PARAL. 7ND</v>
          </cell>
        </row>
        <row r="28245">
          <cell r="B28245" t="str">
            <v>81040200003107</v>
          </cell>
          <cell r="C28245" t="str">
            <v>MYP C INT.X COB. VENC FIN. CAP.TRAB C   7ND</v>
          </cell>
        </row>
        <row r="28246">
          <cell r="B28246" t="str">
            <v>81040200003108</v>
          </cell>
          <cell r="C28246" t="str">
            <v>MYP D/P C INT.X COB.VENC FIN.CAP        7ND</v>
          </cell>
        </row>
        <row r="28247">
          <cell r="B28247" t="str">
            <v>81040200003109</v>
          </cell>
          <cell r="C28247" t="str">
            <v>MYP C INT.X COB. VENC FIN. COMPRA. AF. C7ND</v>
          </cell>
        </row>
        <row r="28248">
          <cell r="B28248" t="str">
            <v>81040200003110</v>
          </cell>
          <cell r="C28248" t="str">
            <v>MYP D/P C INT.X COB.VENC FIN.COMPRA. AF 7ND</v>
          </cell>
        </row>
        <row r="28249">
          <cell r="B28249" t="str">
            <v>81040200003111</v>
          </cell>
          <cell r="C28249" t="str">
            <v>MYP C INT.X COB. VENC FIN. CRED. PARAL. 7ND</v>
          </cell>
        </row>
        <row r="28250">
          <cell r="B28250" t="str">
            <v>81040200003112</v>
          </cell>
          <cell r="C28250" t="str">
            <v>MYP D/P C INT.X COB.VENC FIN.CRED. PARAL7ND</v>
          </cell>
        </row>
        <row r="28251">
          <cell r="B28251" t="str">
            <v>81040200003113</v>
          </cell>
          <cell r="C28251" t="str">
            <v>MYP INT.X COB. VENC FIN. COMPRA DE      7ND</v>
          </cell>
        </row>
        <row r="28252">
          <cell r="B28252" t="str">
            <v>81040200003114</v>
          </cell>
          <cell r="C28252" t="str">
            <v>MYP D/P INT.X COB.VENC FIN. COMPRA      7ND</v>
          </cell>
        </row>
        <row r="28253">
          <cell r="B28253" t="str">
            <v>81040200003115</v>
          </cell>
          <cell r="C28253" t="str">
            <v>MYP INT.X COB. VENC FIN. COMPRA DE      7ND</v>
          </cell>
        </row>
        <row r="28254">
          <cell r="B28254" t="str">
            <v>81040200003117</v>
          </cell>
          <cell r="C28254" t="str">
            <v>HPC SEG.DESG.VENC (BP)                  7ND</v>
          </cell>
        </row>
        <row r="28255">
          <cell r="B28255" t="str">
            <v>81040200003118</v>
          </cell>
          <cell r="C28255" t="str">
            <v>HPC SEG. PRENDA VENC (BP)               7ND</v>
          </cell>
        </row>
        <row r="28256">
          <cell r="B28256" t="str">
            <v>81040200003119</v>
          </cell>
          <cell r="C28256" t="str">
            <v>HPC ME D/P INT.X COB.VENC EFEC C/GARANT.7ND</v>
          </cell>
        </row>
        <row r="28257">
          <cell r="B28257" t="str">
            <v>81040200003120</v>
          </cell>
          <cell r="C28257" t="str">
            <v>MYP DUPE INTXCOB VENC CAPTRABPROVREFCPEM7ND</v>
          </cell>
        </row>
        <row r="28258">
          <cell r="B28258" t="str">
            <v>81040200003121</v>
          </cell>
          <cell r="C28258" t="str">
            <v>MYP DUPE INT. X COB. VENC LIN. REVOL REU7ND</v>
          </cell>
        </row>
        <row r="28259">
          <cell r="B28259" t="str">
            <v>81040200003122</v>
          </cell>
          <cell r="C28259" t="str">
            <v>MYP DUPE INT. X COB. VENC LIN. REVOL REU7ND</v>
          </cell>
        </row>
        <row r="28260">
          <cell r="B28260" t="str">
            <v>81040200003123</v>
          </cell>
          <cell r="C28260" t="str">
            <v>MYP DUPE INTXCOBVIG CAP.TRAB.REUT.VEN.CP7ND</v>
          </cell>
        </row>
        <row r="28261">
          <cell r="B28261" t="str">
            <v>81040200003124</v>
          </cell>
          <cell r="C28261" t="str">
            <v>MYP DUPE INTXCOB VENC CAP TRAB PROV REF 7ND</v>
          </cell>
        </row>
        <row r="28262">
          <cell r="B28262" t="str">
            <v>81040200003203</v>
          </cell>
          <cell r="C28262" t="str">
            <v>LPC SISMO PAG TV INT SUSP VENC          7ND</v>
          </cell>
        </row>
        <row r="28263">
          <cell r="B28263" t="str">
            <v>81040200003204</v>
          </cell>
          <cell r="C28263" t="str">
            <v>LPC SISM IDL LSG INT SUS SEG VEN        7ND</v>
          </cell>
        </row>
        <row r="28264">
          <cell r="B28264" t="str">
            <v>81040200003205</v>
          </cell>
          <cell r="C28264" t="str">
            <v>LPC SISM IDL LSG INT SUSP VEN           7ND</v>
          </cell>
        </row>
        <row r="28265">
          <cell r="B28265" t="str">
            <v>81040200003206</v>
          </cell>
          <cell r="C28265" t="str">
            <v>IC S INT.VENC.SUSPEN.HIPOTECARIOS       7ND</v>
          </cell>
        </row>
        <row r="28266">
          <cell r="B28266" t="str">
            <v>81040200003207</v>
          </cell>
          <cell r="C28266" t="str">
            <v>IC S INT VENC CRED PERS C/GARANT HIPOT  7ND</v>
          </cell>
        </row>
        <row r="28267">
          <cell r="B28267" t="str">
            <v>81040200003208</v>
          </cell>
          <cell r="C28267" t="str">
            <v>IC S PREST PERS INT.VENC.SUSPEN.        7ND</v>
          </cell>
        </row>
        <row r="28268">
          <cell r="B28268" t="str">
            <v>81040200003210</v>
          </cell>
          <cell r="C28268" t="str">
            <v>IC S PREST CONVENIO INT.VENCI.SUSPEN    7ND</v>
          </cell>
        </row>
        <row r="28269">
          <cell r="B28269" t="str">
            <v>81040200003211</v>
          </cell>
          <cell r="C28269" t="str">
            <v>LIC S PREST X CONV INT.VENCI.SUSPEN.    7ND</v>
          </cell>
        </row>
        <row r="28270">
          <cell r="B28270" t="str">
            <v>81040200003212</v>
          </cell>
          <cell r="C28270" t="str">
            <v>CL INT.VENC PREJU LIC CRD.PRE           7ND</v>
          </cell>
        </row>
        <row r="28271">
          <cell r="B28271" t="str">
            <v>81040200003501</v>
          </cell>
          <cell r="C28271" t="str">
            <v>HPC ME INT CRED EFECT VENC SUSPENSO     7ND</v>
          </cell>
        </row>
        <row r="28272">
          <cell r="B28272" t="str">
            <v>81040200003502</v>
          </cell>
          <cell r="C28272" t="str">
            <v>HPC ME INT CRED VEHIC VENC SUSPENSO     7ND</v>
          </cell>
        </row>
        <row r="28273">
          <cell r="B28273" t="str">
            <v>81040200003503</v>
          </cell>
          <cell r="C28273" t="str">
            <v>HPC ME D/P INT.X COB VENC CRED EFECT    7ND</v>
          </cell>
        </row>
        <row r="28274">
          <cell r="B28274" t="str">
            <v>81040200003504</v>
          </cell>
          <cell r="C28274" t="str">
            <v>HPC ME D/P INT.X COB VENC CRED VEHIC    7ND</v>
          </cell>
        </row>
        <row r="28275">
          <cell r="B28275" t="str">
            <v>81040200003601</v>
          </cell>
          <cell r="C28275" t="str">
            <v>CL INT.VENC.REF SUSP.DEU.VTA.CARTE      7ND</v>
          </cell>
        </row>
        <row r="28276">
          <cell r="B28276" t="str">
            <v>81040200003602</v>
          </cell>
          <cell r="C28276" t="str">
            <v>CL CJA MUN AH CRED SULL PAG DSCTO INT VE7ND</v>
          </cell>
        </row>
        <row r="28277">
          <cell r="B28277" t="str">
            <v>81040200004101</v>
          </cell>
          <cell r="C28277" t="str">
            <v>MYP INTXCOB VENC CAP.TRAB CPEM          7ND</v>
          </cell>
        </row>
        <row r="28278">
          <cell r="B28278" t="str">
            <v>81040200004102</v>
          </cell>
          <cell r="C28278" t="str">
            <v>MYP INTXCOB VENC CAP.TRAB CMED          7ND</v>
          </cell>
        </row>
        <row r="28279">
          <cell r="B28279" t="str">
            <v>81040200004103</v>
          </cell>
          <cell r="C28279" t="str">
            <v>MYP INT.XCOB COMPRA.AF CPEM             7ND</v>
          </cell>
        </row>
        <row r="28280">
          <cell r="B28280" t="str">
            <v>81040200004104</v>
          </cell>
          <cell r="C28280" t="str">
            <v>MYP INT.XCOB COMPRA.AF CMED             7ND</v>
          </cell>
        </row>
        <row r="28281">
          <cell r="B28281" t="str">
            <v>81040200004105</v>
          </cell>
          <cell r="C28281" t="str">
            <v>MYP INT.X COB. VENC CRED.PARAL.CPEM     7ND</v>
          </cell>
        </row>
        <row r="28282">
          <cell r="B28282" t="str">
            <v>81040200004106</v>
          </cell>
          <cell r="C28282" t="str">
            <v>MYP INT.X COB. VENC CRED.PARAL.CMED     7ND</v>
          </cell>
        </row>
        <row r="28283">
          <cell r="B28283" t="str">
            <v>81040200004107</v>
          </cell>
          <cell r="C28283" t="str">
            <v>MYP D/P INT.X COB.VENC CAP.TRAB CMED    7ND</v>
          </cell>
        </row>
        <row r="28284">
          <cell r="B28284" t="str">
            <v>81040200004108</v>
          </cell>
          <cell r="C28284" t="str">
            <v>MYP D/P INT.X COB.VENC CAP.TRAB CPEM    7ND</v>
          </cell>
        </row>
        <row r="28285">
          <cell r="B28285" t="str">
            <v>81040200004109</v>
          </cell>
          <cell r="C28285" t="str">
            <v>MYP D/P INT.X COB.VENC AF INMUEBLE CPEM 7ND</v>
          </cell>
        </row>
        <row r="28286">
          <cell r="B28286" t="str">
            <v>81040200004110</v>
          </cell>
          <cell r="C28286" t="str">
            <v>MYP D/P INT.X COB.VENC AF INMUEBLE CMED 7ND</v>
          </cell>
        </row>
        <row r="28287">
          <cell r="B28287" t="str">
            <v>81040200004111</v>
          </cell>
          <cell r="C28287" t="str">
            <v>MYP D/P INT.X COB.VENC CRED ESTAC CPEM  7ND</v>
          </cell>
        </row>
        <row r="28288">
          <cell r="B28288" t="str">
            <v>81040200004112</v>
          </cell>
          <cell r="C28288" t="str">
            <v>MYP D/P INT.X COB.VENC CRED ESTAC CMED  7ND</v>
          </cell>
        </row>
        <row r="28289">
          <cell r="B28289" t="str">
            <v>81040200004113</v>
          </cell>
          <cell r="C28289" t="str">
            <v>MYP D/P INT.X COB.VENC AF INMUEBLE CPEM 7ND</v>
          </cell>
        </row>
        <row r="28290">
          <cell r="B28290" t="str">
            <v>81040200004114</v>
          </cell>
          <cell r="C28290" t="str">
            <v>MYP D/P INT.X COB.VENC AF INMUEBLE CMED 7ND</v>
          </cell>
        </row>
        <row r="28291">
          <cell r="B28291" t="str">
            <v>81040200004115</v>
          </cell>
          <cell r="C28291" t="str">
            <v>MYP D/P INT.X COB.VENC AF INMUEBLE CPEM 7ND</v>
          </cell>
        </row>
        <row r="28292">
          <cell r="B28292" t="str">
            <v>81040200004116</v>
          </cell>
          <cell r="C28292" t="str">
            <v>MYP D/P INT.X COB.VENC AF INMUEBLE CMED 7ND</v>
          </cell>
        </row>
        <row r="28293">
          <cell r="B28293" t="str">
            <v>81040200004117</v>
          </cell>
          <cell r="C28293" t="str">
            <v>MYP INTXCOB VENC COMP DEU CPEM          7ND</v>
          </cell>
        </row>
        <row r="28294">
          <cell r="B28294" t="str">
            <v>81040200004118</v>
          </cell>
          <cell r="C28294" t="str">
            <v>MYP INT.X COB. VENC FIN. COMP DEU CMED  7ND</v>
          </cell>
        </row>
        <row r="28295">
          <cell r="B28295" t="str">
            <v>81040200004119</v>
          </cell>
          <cell r="C28295" t="str">
            <v>MYP INT.X COB. VENC FIN. COMP DEU CMED  7ND</v>
          </cell>
        </row>
        <row r="28296">
          <cell r="B28296" t="str">
            <v>81040200004120</v>
          </cell>
          <cell r="C28296" t="str">
            <v>MYP D/P INT.X COB.VENC FIN. COMP.DEU.CAP7ND</v>
          </cell>
        </row>
        <row r="28297">
          <cell r="B28297" t="str">
            <v>81040200004121</v>
          </cell>
          <cell r="C28297" t="str">
            <v>MYP D/P INT.X COB.VENC FIN. COMP.DEU.CAP7ND</v>
          </cell>
        </row>
        <row r="28298">
          <cell r="B28298" t="str">
            <v>81040200004122</v>
          </cell>
          <cell r="C28298" t="str">
            <v>MYP INT.X COB. VENC LIN. REVOLV CPEM    7ND</v>
          </cell>
        </row>
        <row r="28299">
          <cell r="B28299" t="str">
            <v>81040200004123</v>
          </cell>
          <cell r="C28299" t="str">
            <v>MYP INT.X COB. VENC LIN. REVOLV CMED    7ND</v>
          </cell>
        </row>
        <row r="28300">
          <cell r="B28300" t="str">
            <v>81040200004124</v>
          </cell>
          <cell r="C28300" t="str">
            <v>MYP D/P INTXCOB.VENC LINEA REVOL CPEM   7ND</v>
          </cell>
        </row>
        <row r="28301">
          <cell r="B28301" t="str">
            <v>81040200004125</v>
          </cell>
          <cell r="C28301" t="str">
            <v>MYP D/P INTXCOB.VENC LINEA REVOL CMED   7ND</v>
          </cell>
        </row>
        <row r="28302">
          <cell r="B28302" t="str">
            <v>81040200004126</v>
          </cell>
          <cell r="C28302" t="str">
            <v>MYP INT.X COB. VENC FIN. CRED. PARAL.CPE7ND</v>
          </cell>
        </row>
        <row r="28303">
          <cell r="B28303" t="str">
            <v>81040200004127</v>
          </cell>
          <cell r="C28303" t="str">
            <v>MYP INT.X COB. VENC FIN. CRED. PARAL.CME7ND</v>
          </cell>
        </row>
        <row r="28304">
          <cell r="B28304" t="str">
            <v>81040200004128</v>
          </cell>
          <cell r="C28304" t="str">
            <v>MYP EXPORT.POST EMBARQ RP INTXCOB MES VE7ND</v>
          </cell>
        </row>
        <row r="28305">
          <cell r="B28305" t="str">
            <v>81040200004129</v>
          </cell>
          <cell r="C28305" t="str">
            <v>MYP EXP.POST EMBARQ RP INTXCOB VENC CMED7ND</v>
          </cell>
        </row>
        <row r="28306">
          <cell r="B28306" t="str">
            <v>81040200004130</v>
          </cell>
          <cell r="C28306" t="str">
            <v>MYP EXPORT.PRE EMBARQ RP INTXCOB  VENC C7ND</v>
          </cell>
        </row>
        <row r="28307">
          <cell r="B28307" t="str">
            <v>81040200004131</v>
          </cell>
          <cell r="C28307" t="str">
            <v>MYP EXPORT.PRE EMBARQ RP INTXCOB  VENC C7ND</v>
          </cell>
        </row>
        <row r="28308">
          <cell r="B28308" t="str">
            <v>81040200004132</v>
          </cell>
          <cell r="C28308" t="str">
            <v>MYP D/P EXPORT.POST EMB INTXCOB VENC CPE7ND</v>
          </cell>
        </row>
        <row r="28309">
          <cell r="B28309" t="str">
            <v>81040200004133</v>
          </cell>
          <cell r="C28309" t="str">
            <v>MYP D/P EXPORT.POST EMB INTXCOB VENC CME7ND</v>
          </cell>
        </row>
        <row r="28310">
          <cell r="B28310" t="str">
            <v>81040200004134</v>
          </cell>
          <cell r="C28310" t="str">
            <v>MYP D/P EXPORT.PRE EMB INTXCOB VENC CPEM7ND</v>
          </cell>
        </row>
        <row r="28311">
          <cell r="B28311" t="str">
            <v>81040200004135</v>
          </cell>
          <cell r="C28311" t="str">
            <v>MYP D/P EXPORT.PRE EMB INTXCOB VENC CMED7ND</v>
          </cell>
        </row>
        <row r="28312">
          <cell r="B28312" t="str">
            <v>81040200004136</v>
          </cell>
          <cell r="C28312" t="str">
            <v>MYP D/P IMPOR RP INTXCOB COM VENC CPEM  7ND</v>
          </cell>
        </row>
        <row r="28313">
          <cell r="B28313" t="str">
            <v>81040200004137</v>
          </cell>
          <cell r="C28313" t="str">
            <v>MYP D/P IMPOR RP INTXCOB COM VENC CMED  7ND</v>
          </cell>
        </row>
        <row r="28314">
          <cell r="B28314" t="str">
            <v>81040200004138</v>
          </cell>
          <cell r="C28314" t="str">
            <v>MYP INT.X COB. VENC TRANSP PUBL CPEM    7ND</v>
          </cell>
        </row>
        <row r="28315">
          <cell r="B28315" t="str">
            <v>81040200004139</v>
          </cell>
          <cell r="C28315" t="str">
            <v>MYP INT.X COB. VENC TRANSP PUBL CMED    7ND</v>
          </cell>
        </row>
        <row r="28316">
          <cell r="B28316" t="str">
            <v>81040200004140</v>
          </cell>
          <cell r="C28316" t="str">
            <v>MYP D/P INT.X COB.VENC TRANSP PUB CPEM  7ND</v>
          </cell>
        </row>
        <row r="28317">
          <cell r="B28317" t="str">
            <v>81040200004141</v>
          </cell>
          <cell r="C28317" t="str">
            <v>MYP D/P INT.X COB.VENC TRANSP PUB CMED  7ND</v>
          </cell>
        </row>
        <row r="28318">
          <cell r="B28318" t="str">
            <v>81040200004142</v>
          </cell>
          <cell r="C28318" t="str">
            <v>MYP INT.X COB.VENC FIN.IMPORT CAP TRAB  7ND</v>
          </cell>
        </row>
        <row r="28319">
          <cell r="B28319" t="str">
            <v>81040200004143</v>
          </cell>
          <cell r="C28319" t="str">
            <v>MYP INT.X COB.VENC FIN.IMPORT CAP TRAB M7ND</v>
          </cell>
        </row>
        <row r="28320">
          <cell r="B28320" t="str">
            <v>81040200004144</v>
          </cell>
          <cell r="C28320" t="str">
            <v>MYP INT.X COB.VENC FIN.IMPORT AC.FIJO CP7ND</v>
          </cell>
        </row>
        <row r="28321">
          <cell r="B28321" t="str">
            <v>81040200004145</v>
          </cell>
          <cell r="C28321" t="str">
            <v>MYP INT.X COB.VENC FIN.IMPORT AC.FIJO CM7ND</v>
          </cell>
        </row>
        <row r="28322">
          <cell r="B28322" t="str">
            <v>81040200004146</v>
          </cell>
          <cell r="C28322" t="str">
            <v>MYP D/P INT.X COB.VENC IMP. CAP DE TRAB 7ND</v>
          </cell>
        </row>
        <row r="28323">
          <cell r="B28323" t="str">
            <v>81040200004147</v>
          </cell>
          <cell r="C28323" t="str">
            <v>MYP D/P INT.X COB.VENC IMP. CAP DE TRAB 7ND</v>
          </cell>
        </row>
        <row r="28324">
          <cell r="B28324" t="str">
            <v>81040200004148</v>
          </cell>
          <cell r="C28324" t="str">
            <v>MYP D/P INT.X COB.VENC IMP. COMP DEU CAP7ND</v>
          </cell>
        </row>
        <row r="28325">
          <cell r="B28325" t="str">
            <v>81040200004149</v>
          </cell>
          <cell r="C28325" t="str">
            <v>MYP D/P INT.X COB.VENC IMP. COMP DEU CAP7ND</v>
          </cell>
        </row>
        <row r="28326">
          <cell r="B28326" t="str">
            <v>81040200004150</v>
          </cell>
          <cell r="C28326" t="str">
            <v>MYP INT.SUS.REF.COBRANZAS VEN.C/FIJA MES7ND</v>
          </cell>
        </row>
        <row r="28327">
          <cell r="B28327" t="str">
            <v>81040200004151</v>
          </cell>
          <cell r="C28327" t="str">
            <v>MYP INT.SUS.REF.COBRANZAS VEN.REVOL.MES 7ND</v>
          </cell>
        </row>
        <row r="28328">
          <cell r="B28328" t="str">
            <v>81040200004152</v>
          </cell>
          <cell r="C28328" t="str">
            <v>MYP INT.SUS.REF.COBRANZAS VEN.C/FIJA COM7ND</v>
          </cell>
        </row>
        <row r="28329">
          <cell r="B28329" t="str">
            <v>81040200004153</v>
          </cell>
          <cell r="C28329" t="str">
            <v>MYP INT.SUS.REF.COBRANZAS VEN.REVOL.COM 7ND</v>
          </cell>
        </row>
        <row r="28330">
          <cell r="B28330" t="str">
            <v>81040200004154</v>
          </cell>
          <cell r="C28330" t="str">
            <v>MYP INT  COMP DEU AF VENC CPEM          7ND</v>
          </cell>
        </row>
        <row r="28331">
          <cell r="B28331" t="str">
            <v>81040200004155</v>
          </cell>
          <cell r="C28331" t="str">
            <v>MYP INT  COMP DEU AF VENC CMED          7ND</v>
          </cell>
        </row>
        <row r="28332">
          <cell r="B28332" t="str">
            <v>81040200004156</v>
          </cell>
          <cell r="C28332" t="str">
            <v>MYP INT  COMP DEU AF VENC CPEM D/P      7ND</v>
          </cell>
        </row>
        <row r="28333">
          <cell r="B28333" t="str">
            <v>81040200004157</v>
          </cell>
          <cell r="C28333" t="str">
            <v>MYP INT  COMP DEU AF VENC CMED D/P      7ND</v>
          </cell>
        </row>
        <row r="28334">
          <cell r="B28334" t="str">
            <v>81040200004158</v>
          </cell>
          <cell r="C28334" t="str">
            <v>MYP INT  FINANC IMPORT CPEM             7ND</v>
          </cell>
        </row>
        <row r="28335">
          <cell r="B28335" t="str">
            <v>81040200004159</v>
          </cell>
          <cell r="C28335" t="str">
            <v>MYP INT  FINANC IMPORT CMED             7ND</v>
          </cell>
        </row>
        <row r="28336">
          <cell r="B28336" t="str">
            <v>81040200004160</v>
          </cell>
          <cell r="C28336" t="str">
            <v>MYP INT  FINANC IMPORT CPEM D/P         7ND</v>
          </cell>
        </row>
        <row r="28337">
          <cell r="B28337" t="str">
            <v>81040200004161</v>
          </cell>
          <cell r="C28337" t="str">
            <v>MYP INT  FINANC IMPORT CMED D/P         7ND</v>
          </cell>
        </row>
        <row r="28338">
          <cell r="B28338" t="str">
            <v>81040200004162</v>
          </cell>
          <cell r="C28338" t="str">
            <v>MYP INT E.R. VENC CPEM                  7ND</v>
          </cell>
        </row>
        <row r="28339">
          <cell r="B28339" t="str">
            <v>81040200004163</v>
          </cell>
          <cell r="C28339" t="str">
            <v>MYP INT E.R. VENC CMED                  7ND</v>
          </cell>
        </row>
        <row r="28340">
          <cell r="B28340" t="str">
            <v>81040200004164</v>
          </cell>
          <cell r="C28340" t="str">
            <v>MYP INT E.R. VENC CPEM D/P              7ND</v>
          </cell>
        </row>
        <row r="28341">
          <cell r="B28341" t="str">
            <v>81040200004165</v>
          </cell>
          <cell r="C28341" t="str">
            <v>MYP INT E.R. VENC CMED D/P              7ND</v>
          </cell>
        </row>
        <row r="28342">
          <cell r="B28342" t="str">
            <v>81040200004166</v>
          </cell>
          <cell r="C28342" t="str">
            <v>MYP INT VENC REFIN.COBRAN C/FIJA CPEM   7ND</v>
          </cell>
        </row>
        <row r="28343">
          <cell r="B28343" t="str">
            <v>81040200004167</v>
          </cell>
          <cell r="C28343" t="str">
            <v>MYP INT VENC REFIN.COBRAN C/FIJA CMED   7ND</v>
          </cell>
        </row>
        <row r="28344">
          <cell r="B28344" t="str">
            <v>81040200004168</v>
          </cell>
          <cell r="C28344" t="str">
            <v>MYP INT VENC REFIN.COBRAN REVOLCPEM     7ND</v>
          </cell>
        </row>
        <row r="28345">
          <cell r="B28345" t="str">
            <v>81040200004169</v>
          </cell>
          <cell r="C28345" t="str">
            <v>MYP INT VENC REFIN.COBRAN REVOLCMED     7ND</v>
          </cell>
        </row>
        <row r="28346">
          <cell r="B28346" t="str">
            <v>81040200004170</v>
          </cell>
          <cell r="C28346" t="str">
            <v>MYP INT VEN C ER FIN CAP TRB DUP        7ND</v>
          </cell>
        </row>
        <row r="28347">
          <cell r="B28347" t="str">
            <v>81040200004171</v>
          </cell>
          <cell r="C28347" t="str">
            <v>MYP Seg VEN C ER FIN CAP TRB DUP        7ND</v>
          </cell>
        </row>
        <row r="28348">
          <cell r="B28348" t="str">
            <v>81040200004172</v>
          </cell>
          <cell r="C28348" t="str">
            <v>MYP Des VEN C ER FIN CAP TRB DUP        7ND</v>
          </cell>
        </row>
        <row r="28349">
          <cell r="B28349" t="str">
            <v>81040200004173</v>
          </cell>
          <cell r="C28349" t="str">
            <v>MYP ER VENC EN SUSP CMED                7ND</v>
          </cell>
        </row>
        <row r="28350">
          <cell r="B28350" t="str">
            <v>81040200004174</v>
          </cell>
          <cell r="C28350" t="str">
            <v>MYP E.R.INT.VEN FIN CAP TRA DUPE CMIE   7ND</v>
          </cell>
        </row>
        <row r="28351">
          <cell r="B28351" t="str">
            <v>81040200004175</v>
          </cell>
          <cell r="C28351" t="str">
            <v>MYP INT REF VENC PAG TV C/FIJA MES      7ND</v>
          </cell>
        </row>
        <row r="28352">
          <cell r="B28352" t="str">
            <v>81040200005102</v>
          </cell>
          <cell r="C28352" t="str">
            <v>PR INTXCOBÂ  LETRAS T.DSCTOÂ  CCOR      7ND</v>
          </cell>
        </row>
        <row r="28353">
          <cell r="B28353" t="str">
            <v>81040200005107</v>
          </cell>
          <cell r="C28353" t="str">
            <v>PR INTXCOBÂ  LETRAS T.DSCTOÂ  CESP      7ND</v>
          </cell>
        </row>
        <row r="28354">
          <cell r="B28354" t="str">
            <v>81040200005110</v>
          </cell>
          <cell r="C28354" t="str">
            <v>PR INTXCOBÂ  LETRAS T.DSCTOÂ  CGEM      7ND</v>
          </cell>
        </row>
        <row r="28355">
          <cell r="B28355" t="str">
            <v>81040200005111</v>
          </cell>
          <cell r="C28355" t="str">
            <v>PR INTXCOBÂ  LETRAS T.DSCTOÂ  CMED      7ND</v>
          </cell>
        </row>
        <row r="28356">
          <cell r="B28356" t="str">
            <v>81040200005112</v>
          </cell>
          <cell r="C28356" t="str">
            <v>PR INTXCOBÂ  LETRAS T.DSCTOÂ  CMIE      7ND</v>
          </cell>
        </row>
        <row r="28357">
          <cell r="B28357" t="str">
            <v>81040200005113</v>
          </cell>
          <cell r="C28357" t="str">
            <v>PR INTXCOBÂ  LETRAS T.DSCTOÂ  CPEM      7ND</v>
          </cell>
        </row>
        <row r="28358">
          <cell r="B28358" t="str">
            <v>81040200005201</v>
          </cell>
          <cell r="C28358" t="str">
            <v>LPC INTXCOB PAG TV  D/P VENC CCOR       7ND</v>
          </cell>
        </row>
        <row r="28359">
          <cell r="B28359" t="str">
            <v>81040200005202</v>
          </cell>
          <cell r="C28359" t="str">
            <v>LPC INTXCOB PAG TV  D/P VENC CESP       7ND</v>
          </cell>
        </row>
        <row r="28360">
          <cell r="B28360" t="str">
            <v>81040200005203</v>
          </cell>
          <cell r="C28360" t="str">
            <v>LPC INTXCOB PAG TV  D/P VENC CIVA       7ND</v>
          </cell>
        </row>
        <row r="28361">
          <cell r="B28361" t="str">
            <v>81040200005204</v>
          </cell>
          <cell r="C28361" t="str">
            <v>LPC INTXCOB PAG TV  D/P VENC CGEM       7ND</v>
          </cell>
        </row>
        <row r="28362">
          <cell r="B28362" t="str">
            <v>81040200005205</v>
          </cell>
          <cell r="C28362" t="str">
            <v>LPC INTXCOB PAG TV  D/P VENC CMED       7ND</v>
          </cell>
        </row>
        <row r="28363">
          <cell r="B28363" t="str">
            <v>81040200005206</v>
          </cell>
          <cell r="C28363" t="str">
            <v>LPC INTXCOB PAG TV  D/P VENC CPEM       7ND</v>
          </cell>
        </row>
        <row r="28364">
          <cell r="B28364" t="str">
            <v>81040200005207</v>
          </cell>
          <cell r="C28364" t="str">
            <v>LPC PAG TV INT SUSP RP CCOR             7ND</v>
          </cell>
        </row>
        <row r="28365">
          <cell r="B28365" t="str">
            <v>81040200005208</v>
          </cell>
          <cell r="C28365" t="str">
            <v>LPC PAG TV INT SUSP RP CSOB             7ND</v>
          </cell>
        </row>
        <row r="28366">
          <cell r="B28366" t="str">
            <v>81040200005209</v>
          </cell>
          <cell r="C28366" t="str">
            <v>LPC PAG TV INT SUSP RP CBMD             7ND</v>
          </cell>
        </row>
        <row r="28367">
          <cell r="B28367" t="str">
            <v>81040200005210</v>
          </cell>
          <cell r="C28367" t="str">
            <v>LPC PAG TV INT SUSP RP CESP             7ND</v>
          </cell>
        </row>
        <row r="28368">
          <cell r="B28368" t="str">
            <v>81040200005211</v>
          </cell>
          <cell r="C28368" t="str">
            <v>LPC PAG TV INT SUSP RP CIVA             7ND</v>
          </cell>
        </row>
        <row r="28369">
          <cell r="B28369" t="str">
            <v>81040200005212</v>
          </cell>
          <cell r="C28369" t="str">
            <v>LPC PAG TV INT SUSP RP CGEM             7ND</v>
          </cell>
        </row>
        <row r="28370">
          <cell r="B28370" t="str">
            <v>81040200005213</v>
          </cell>
          <cell r="C28370" t="str">
            <v>LPC PAG TV INT SUSP RP CMED             7ND</v>
          </cell>
        </row>
        <row r="28371">
          <cell r="B28371" t="str">
            <v>81040200005214</v>
          </cell>
          <cell r="C28371" t="str">
            <v>LPC PAG TV INT SUSP RP CPEM             7ND</v>
          </cell>
        </row>
        <row r="28372">
          <cell r="B28372" t="str">
            <v>81040200005215</v>
          </cell>
          <cell r="C28372" t="str">
            <v>LPC INT SUSP. EX PRE EMB RP CCOR        7ND</v>
          </cell>
        </row>
        <row r="28373">
          <cell r="B28373" t="str">
            <v>81040200005216</v>
          </cell>
          <cell r="C28373" t="str">
            <v>LPC INT SUSP. EX PRE EMB RP CESP        7ND</v>
          </cell>
        </row>
        <row r="28374">
          <cell r="B28374" t="str">
            <v>81040200005217</v>
          </cell>
          <cell r="C28374" t="str">
            <v>LPC INT SUSP. EX PRE EMB RP CGEM        7ND</v>
          </cell>
        </row>
        <row r="28375">
          <cell r="B28375" t="str">
            <v>81040200005218</v>
          </cell>
          <cell r="C28375" t="str">
            <v>LPC INT SUSP. EX PRE EMB RP CMED        7ND</v>
          </cell>
        </row>
        <row r="28376">
          <cell r="B28376" t="str">
            <v>81040200005219</v>
          </cell>
          <cell r="C28376" t="str">
            <v>LPC INT SUSP. EX PRE EMB RP CPEM        7ND</v>
          </cell>
        </row>
        <row r="28377">
          <cell r="B28377" t="str">
            <v>81040200005220</v>
          </cell>
          <cell r="C28377" t="str">
            <v>LPC INT SUSP EXP POST EMB RP CCOR       7ND</v>
          </cell>
        </row>
        <row r="28378">
          <cell r="B28378" t="str">
            <v>81040200005221</v>
          </cell>
          <cell r="C28378" t="str">
            <v>LPC INT SUSP EXP POST EMB RP CESP       7ND</v>
          </cell>
        </row>
        <row r="28379">
          <cell r="B28379" t="str">
            <v>81040200005222</v>
          </cell>
          <cell r="C28379" t="str">
            <v>LPC INT SUSP EXP POST EMB RP CGEM       7ND</v>
          </cell>
        </row>
        <row r="28380">
          <cell r="B28380" t="str">
            <v>81040200005223</v>
          </cell>
          <cell r="C28380" t="str">
            <v>LPC INT SUSP EXP POST EMB RP CMED       7ND</v>
          </cell>
        </row>
        <row r="28381">
          <cell r="B28381" t="str">
            <v>81040200005224</v>
          </cell>
          <cell r="C28381" t="str">
            <v>LPC INT SUSP EXP POST EMB RP CPEM       7ND</v>
          </cell>
        </row>
        <row r="28382">
          <cell r="B28382" t="str">
            <v>81040200005225</v>
          </cell>
          <cell r="C28382" t="str">
            <v>LPC INT SUSP IMPORT CCOR                7ND</v>
          </cell>
        </row>
        <row r="28383">
          <cell r="B28383" t="str">
            <v>81040200005226</v>
          </cell>
          <cell r="C28383" t="str">
            <v>LPC INT SUSP IMPORT CGEM                7ND</v>
          </cell>
        </row>
        <row r="28384">
          <cell r="B28384" t="str">
            <v>81040200005227</v>
          </cell>
          <cell r="C28384" t="str">
            <v>LPC INT SUSP IMPORT CMED                7ND</v>
          </cell>
        </row>
        <row r="28385">
          <cell r="B28385" t="str">
            <v>81040200005228</v>
          </cell>
          <cell r="C28385" t="str">
            <v>LPC INT SUSP IMPORT CPEM                7ND</v>
          </cell>
        </row>
        <row r="28386">
          <cell r="B28386" t="str">
            <v>81040200005229</v>
          </cell>
          <cell r="C28386" t="str">
            <v>LPC INT.SUS  WORKING CAP.EX PRE EMBAR CC7ND</v>
          </cell>
        </row>
        <row r="28387">
          <cell r="B28387" t="str">
            <v>81040200005230</v>
          </cell>
          <cell r="C28387" t="str">
            <v>LPC INT.SUS  WORKING CAP.EX PRE EMBAR CE7ND</v>
          </cell>
        </row>
        <row r="28388">
          <cell r="B28388" t="str">
            <v>81040200005231</v>
          </cell>
          <cell r="C28388" t="str">
            <v>LPC INT.SUS  WORKING CAP.EX PRE EMBAR CG7ND</v>
          </cell>
        </row>
        <row r="28389">
          <cell r="B28389" t="str">
            <v>81040200005232</v>
          </cell>
          <cell r="C28389" t="str">
            <v>LPC INT.SUS  WORKING CAP.EX PRE EMBAR CM7ND</v>
          </cell>
        </row>
        <row r="28390">
          <cell r="B28390" t="str">
            <v>81040200005233</v>
          </cell>
          <cell r="C28390" t="str">
            <v>LPC INT.SUS  WORKING CAP.EX PRE EMBAR CP7ND</v>
          </cell>
        </row>
        <row r="28391">
          <cell r="B28391" t="str">
            <v>81040200005234</v>
          </cell>
          <cell r="C28391" t="str">
            <v>LPC INT SUSP PAGARE TV  COFIDE CBMD     7ND</v>
          </cell>
        </row>
        <row r="28392">
          <cell r="B28392" t="str">
            <v>81040200005235</v>
          </cell>
          <cell r="C28392" t="str">
            <v>LPC INT SUSP PAGARE TV  COFIDE CCOR     7ND</v>
          </cell>
        </row>
        <row r="28393">
          <cell r="B28393" t="str">
            <v>81040200005236</v>
          </cell>
          <cell r="C28393" t="str">
            <v>LPC INT SUSP PAGARE TV  COFIDE CESP     7ND</v>
          </cell>
        </row>
        <row r="28394">
          <cell r="B28394" t="str">
            <v>81040200005237</v>
          </cell>
          <cell r="C28394" t="str">
            <v>LPC INT SUSP PAGARE TV COFIDE CGEM      7ND</v>
          </cell>
        </row>
        <row r="28395">
          <cell r="B28395" t="str">
            <v>81040200005238</v>
          </cell>
          <cell r="C28395" t="str">
            <v>LPC INT SUSP PAGARE TV COFIDE CIVA      7ND</v>
          </cell>
        </row>
        <row r="28396">
          <cell r="B28396" t="str">
            <v>81040200005239</v>
          </cell>
          <cell r="C28396" t="str">
            <v>LPC INT SUSP PAGARE TV COFIDE CMED      7ND</v>
          </cell>
        </row>
        <row r="28397">
          <cell r="B28397" t="str">
            <v>81040200005240</v>
          </cell>
          <cell r="C28397" t="str">
            <v>LPC INT SUSP PAGARE TV COFIDE CPEM      7ND</v>
          </cell>
        </row>
        <row r="28398">
          <cell r="B28398" t="str">
            <v>81040200005241</v>
          </cell>
          <cell r="C28398" t="str">
            <v>LPC INT SUSP PAGARE TV  COFIDE CSOB     7ND</v>
          </cell>
        </row>
        <row r="28399">
          <cell r="B28399" t="str">
            <v>81040200005242</v>
          </cell>
          <cell r="C28399" t="str">
            <v>LPC INT X COB PAG TV COFIDE D/P VIG CBMD7ND</v>
          </cell>
        </row>
        <row r="28400">
          <cell r="B28400" t="str">
            <v>81040200005243</v>
          </cell>
          <cell r="C28400" t="str">
            <v>LPC INT X COB PAG TV COFIDE D/P VIG CCOR7ND</v>
          </cell>
        </row>
        <row r="28401">
          <cell r="B28401" t="str">
            <v>81040200005244</v>
          </cell>
          <cell r="C28401" t="str">
            <v>LPC INT X COB PAG TV COFIDE D/P VIG CESP7ND</v>
          </cell>
        </row>
        <row r="28402">
          <cell r="B28402" t="str">
            <v>81040200005245</v>
          </cell>
          <cell r="C28402" t="str">
            <v>LPC INT X COB PAG TV COFIDE - D/P VIG   7ND</v>
          </cell>
        </row>
        <row r="28403">
          <cell r="B28403" t="str">
            <v>81040200005246</v>
          </cell>
          <cell r="C28403" t="str">
            <v>LPC INT X COB PAG TV COFIDE D/P VIG CIVA7ND</v>
          </cell>
        </row>
        <row r="28404">
          <cell r="B28404" t="str">
            <v>81040200005247</v>
          </cell>
          <cell r="C28404" t="str">
            <v>LPC INT X COB PAG TV COFIDE - D/P VIG   7ND</v>
          </cell>
        </row>
        <row r="28405">
          <cell r="B28405" t="str">
            <v>81040200005248</v>
          </cell>
          <cell r="C28405" t="str">
            <v>LPC INT X COB PAG TV COFIDE - D/P VIG   7ND</v>
          </cell>
        </row>
        <row r="28406">
          <cell r="B28406" t="str">
            <v>81040200005249</v>
          </cell>
          <cell r="C28406" t="str">
            <v>LPC INT X COB PAG TV COFIDE D/P VIG CSOB7ND</v>
          </cell>
        </row>
        <row r="28407">
          <cell r="B28407" t="str">
            <v>81040200005250</v>
          </cell>
          <cell r="C28407" t="str">
            <v>LPC INT SUSP PAG TV RP MED PLAZO        7ND</v>
          </cell>
        </row>
        <row r="28408">
          <cell r="B28408" t="str">
            <v>81040200005251</v>
          </cell>
          <cell r="C28408" t="str">
            <v>LPC INT SUSP PAG TV RP MED PLAZO        7ND</v>
          </cell>
        </row>
        <row r="28409">
          <cell r="B28409" t="str">
            <v>81040200005252</v>
          </cell>
          <cell r="C28409" t="str">
            <v>LPC INT SUSP PAG TV RP MED PLAZO        7ND</v>
          </cell>
        </row>
        <row r="28410">
          <cell r="B28410" t="str">
            <v>81040200005253</v>
          </cell>
          <cell r="C28410" t="str">
            <v>LPC INT SUSP PAG TV RP MED PLAZO        7ND</v>
          </cell>
        </row>
        <row r="28411">
          <cell r="B28411" t="str">
            <v>81040200005254</v>
          </cell>
          <cell r="C28411" t="str">
            <v>LPC INT SUSP PAG TV RP MED PLAZO        7ND</v>
          </cell>
        </row>
        <row r="28412">
          <cell r="B28412" t="str">
            <v>81040200005255</v>
          </cell>
          <cell r="C28412" t="str">
            <v>LPC INT SUSP PAG TV RP MED PLAZO        7ND</v>
          </cell>
        </row>
        <row r="28413">
          <cell r="B28413" t="str">
            <v>81040200005256</v>
          </cell>
          <cell r="C28413" t="str">
            <v>LPC INT SUSP PAG TV RP MED PLAZO        7ND</v>
          </cell>
        </row>
        <row r="28414">
          <cell r="B28414" t="str">
            <v>81040200005257</v>
          </cell>
          <cell r="C28414" t="str">
            <v>LPC INT SUSP PAG TV RP MED PLAZO        7ND</v>
          </cell>
        </row>
        <row r="28415">
          <cell r="B28415" t="str">
            <v>81040200005258</v>
          </cell>
          <cell r="C28415" t="str">
            <v>LPC INT SUSP PAG TV RP MED PLAZO D/P    7ND</v>
          </cell>
        </row>
        <row r="28416">
          <cell r="B28416" t="str">
            <v>81040200005259</v>
          </cell>
          <cell r="C28416" t="str">
            <v>LPC INT SUSP PAG TV RP MED PLAZO D/P    7ND</v>
          </cell>
        </row>
        <row r="28417">
          <cell r="B28417" t="str">
            <v>81040200005260</v>
          </cell>
          <cell r="C28417" t="str">
            <v>LPC INT SUSP PAG TV RP MED PLAZO D/P    7ND</v>
          </cell>
        </row>
        <row r="28418">
          <cell r="B28418" t="str">
            <v>81040200005261</v>
          </cell>
          <cell r="C28418" t="str">
            <v>LPC INT SUSP PAG TV RP MED PLAZO D/P    7ND</v>
          </cell>
        </row>
        <row r="28419">
          <cell r="B28419" t="str">
            <v>81040200005262</v>
          </cell>
          <cell r="C28419" t="str">
            <v>LPC INT SUSP PAG TV RP MED PLAZO D/P    7ND</v>
          </cell>
        </row>
        <row r="28420">
          <cell r="B28420" t="str">
            <v>81040200005263</v>
          </cell>
          <cell r="C28420" t="str">
            <v>LPC INT SUSP PAG TV RP MED PLAZO D/P    7ND</v>
          </cell>
        </row>
        <row r="28421">
          <cell r="B28421" t="str">
            <v>81040200005264</v>
          </cell>
          <cell r="C28421" t="str">
            <v>LPC INT SUSP PAG TV RP MED PLAZO D/P    7ND</v>
          </cell>
        </row>
        <row r="28422">
          <cell r="B28422" t="str">
            <v>81040200005265</v>
          </cell>
          <cell r="C28422" t="str">
            <v>LPC INT SUSP PAG TV INMOBILIARIO        7ND</v>
          </cell>
        </row>
        <row r="28423">
          <cell r="B28423" t="str">
            <v>81040200005266</v>
          </cell>
          <cell r="C28423" t="str">
            <v>LPC INT SUSP PAG TV INMOBILIARIO        7ND</v>
          </cell>
        </row>
        <row r="28424">
          <cell r="B28424" t="str">
            <v>81040200005267</v>
          </cell>
          <cell r="C28424" t="str">
            <v>LPC INT SUSP PAG TV INMOBILIARIO        7ND</v>
          </cell>
        </row>
        <row r="28425">
          <cell r="B28425" t="str">
            <v>81040200005268</v>
          </cell>
          <cell r="C28425" t="str">
            <v>LPC INT SUSP PAG TV INMOBILIARIO        7ND</v>
          </cell>
        </row>
        <row r="28426">
          <cell r="B28426" t="str">
            <v>81040200005269</v>
          </cell>
          <cell r="C28426" t="str">
            <v>LPC INT SUSP PAG TV INMOBILIARIO        7ND</v>
          </cell>
        </row>
        <row r="28427">
          <cell r="B28427" t="str">
            <v>81040200005270</v>
          </cell>
          <cell r="C28427" t="str">
            <v>LPC INT SUSP PAG TV INMOBILIARIO        7ND</v>
          </cell>
        </row>
        <row r="28428">
          <cell r="B28428" t="str">
            <v>81040200005271</v>
          </cell>
          <cell r="C28428" t="str">
            <v>LPC INT SUSP PAG TV INMOBILIARIO        7ND</v>
          </cell>
        </row>
        <row r="28429">
          <cell r="B28429" t="str">
            <v>81040200005272</v>
          </cell>
          <cell r="C28429" t="str">
            <v>LPC INT SUSP PAG TV INMOBILIARIO        7ND</v>
          </cell>
        </row>
        <row r="28430">
          <cell r="B28430" t="str">
            <v>81040200005273</v>
          </cell>
          <cell r="C28430" t="str">
            <v>LPC INT SUSP PAG TV INMOBILIARIO D/P    7ND</v>
          </cell>
        </row>
        <row r="28431">
          <cell r="B28431" t="str">
            <v>81040200005274</v>
          </cell>
          <cell r="C28431" t="str">
            <v>LPC INT SUSP PAG TV INMOBILIARIO D/P    7ND</v>
          </cell>
        </row>
        <row r="28432">
          <cell r="B28432" t="str">
            <v>81040200005275</v>
          </cell>
          <cell r="C28432" t="str">
            <v>LPC INT SUSP PAG TV INMOBILIARIO D/P    7ND</v>
          </cell>
        </row>
        <row r="28433">
          <cell r="B28433" t="str">
            <v>81040200005276</v>
          </cell>
          <cell r="C28433" t="str">
            <v>LPC INT SUSP PAG TV INMOBILIARIO D/P    7ND</v>
          </cell>
        </row>
        <row r="28434">
          <cell r="B28434" t="str">
            <v>81040200005277</v>
          </cell>
          <cell r="C28434" t="str">
            <v>LPC INT SUSP PAG TV INMOBILIARIO D/P    7ND</v>
          </cell>
        </row>
        <row r="28435">
          <cell r="B28435" t="str">
            <v>81040200005278</v>
          </cell>
          <cell r="C28435" t="str">
            <v>LPC INT SUSP PAG TV INMOBILIARIO D/P    7ND</v>
          </cell>
        </row>
        <row r="28436">
          <cell r="B28436" t="str">
            <v>81040200005279</v>
          </cell>
          <cell r="C28436" t="str">
            <v>LPC INT SUSP PAG TV INMOBILIARIO D/P    7ND</v>
          </cell>
        </row>
        <row r="28437">
          <cell r="B28437" t="str">
            <v>81040200005280</v>
          </cell>
          <cell r="C28437" t="str">
            <v>LPC INT SUSP FINANC PRE EMBARQUE        7ND</v>
          </cell>
        </row>
        <row r="28438">
          <cell r="B28438" t="str">
            <v>81040200005281</v>
          </cell>
          <cell r="C28438" t="str">
            <v>LPC INT SUSP FINANC PRE EMBARQUE        7ND</v>
          </cell>
        </row>
        <row r="28439">
          <cell r="B28439" t="str">
            <v>81040200005282</v>
          </cell>
          <cell r="C28439" t="str">
            <v>LPC INT SUSP FINANC PRE EMBARQUE        7ND</v>
          </cell>
        </row>
        <row r="28440">
          <cell r="B28440" t="str">
            <v>81040200005283</v>
          </cell>
          <cell r="C28440" t="str">
            <v>LPC INT SUSP FINANC PRE EMBARQUE        7ND</v>
          </cell>
        </row>
        <row r="28441">
          <cell r="B28441" t="str">
            <v>81040200005284</v>
          </cell>
          <cell r="C28441" t="str">
            <v>LPC INT SUSP FINANC PRE EMBARQUE        7ND</v>
          </cell>
        </row>
        <row r="28442">
          <cell r="B28442" t="str">
            <v>81040200005285</v>
          </cell>
          <cell r="C28442" t="str">
            <v>LPC INT SUSP FINANC PRE EMBARQUE D/P    7ND</v>
          </cell>
        </row>
        <row r="28443">
          <cell r="B28443" t="str">
            <v>81040200005286</v>
          </cell>
          <cell r="C28443" t="str">
            <v>LPC INT SUSP FINANC PRE EMBARQUE D/P    7ND</v>
          </cell>
        </row>
        <row r="28444">
          <cell r="B28444" t="str">
            <v>81040200005287</v>
          </cell>
          <cell r="C28444" t="str">
            <v>LPC INT SUSP FINANC PRE EMBARQUE D/P    7ND</v>
          </cell>
        </row>
        <row r="28445">
          <cell r="B28445" t="str">
            <v>81040200005288</v>
          </cell>
          <cell r="C28445" t="str">
            <v>LPC INT SUSP FINANC PRE EMBARQUE D/P    7ND</v>
          </cell>
        </row>
        <row r="28446">
          <cell r="B28446" t="str">
            <v>81040200005289</v>
          </cell>
          <cell r="C28446" t="str">
            <v>LPC INT SUSP FINANC PRE EMBARQUE D/P    7ND</v>
          </cell>
        </row>
        <row r="28447">
          <cell r="B28447" t="str">
            <v>81040200005290</v>
          </cell>
          <cell r="C28447" t="str">
            <v>LPC INT SUSP PAG TV EUROS               7ND</v>
          </cell>
        </row>
        <row r="28448">
          <cell r="B28448" t="str">
            <v>81040200005291</v>
          </cell>
          <cell r="C28448" t="str">
            <v>LPC INT SUSP PAG TV EUROS               7ND</v>
          </cell>
        </row>
        <row r="28449">
          <cell r="B28449" t="str">
            <v>81040200005292</v>
          </cell>
          <cell r="C28449" t="str">
            <v>LPC INT SUSP PAG TV EUROS               7ND</v>
          </cell>
        </row>
        <row r="28450">
          <cell r="B28450" t="str">
            <v>81040200005293</v>
          </cell>
          <cell r="C28450" t="str">
            <v>LPC INT SUSP PAG TV EUROS               7ND</v>
          </cell>
        </row>
        <row r="28451">
          <cell r="B28451" t="str">
            <v>81040200005294</v>
          </cell>
          <cell r="C28451" t="str">
            <v>LPC INT SUSP PAG TV EUROS               7ND</v>
          </cell>
        </row>
        <row r="28452">
          <cell r="B28452" t="str">
            <v>81040200005295</v>
          </cell>
          <cell r="C28452" t="str">
            <v>LPC INT SUSP PAG TV EUROS               7ND</v>
          </cell>
        </row>
        <row r="28453">
          <cell r="B28453" t="str">
            <v>81040200005296</v>
          </cell>
          <cell r="C28453" t="str">
            <v>LPC INT SUSP PAG TV EUROS               7ND</v>
          </cell>
        </row>
        <row r="28454">
          <cell r="B28454" t="str">
            <v>81040200005297</v>
          </cell>
          <cell r="C28454" t="str">
            <v>LPC INT SUSP PAG TV EUROS               7ND</v>
          </cell>
        </row>
        <row r="28455">
          <cell r="B28455" t="str">
            <v>81040200005298</v>
          </cell>
          <cell r="C28455" t="str">
            <v>LPC INT SUSP PAG TV EUROS D/P           7ND</v>
          </cell>
        </row>
        <row r="28456">
          <cell r="B28456" t="str">
            <v>81040200005299</v>
          </cell>
          <cell r="C28456" t="str">
            <v>LPC INT SUSP PAG TV EUROS               7ND</v>
          </cell>
        </row>
        <row r="28457">
          <cell r="B28457" t="str">
            <v>81040200005300</v>
          </cell>
          <cell r="C28457" t="str">
            <v>LPC INT SUSP PAG TV EUROS               7ND</v>
          </cell>
        </row>
        <row r="28458">
          <cell r="B28458" t="str">
            <v>81040200005301</v>
          </cell>
          <cell r="C28458" t="str">
            <v>LPC INT SUSP PAG TV EUROS               7ND</v>
          </cell>
        </row>
        <row r="28459">
          <cell r="B28459" t="str">
            <v>81040200005302</v>
          </cell>
          <cell r="C28459" t="str">
            <v>LPC INT SUSP PAG TV EUROS               7ND</v>
          </cell>
        </row>
        <row r="28460">
          <cell r="B28460" t="str">
            <v>81040200005303</v>
          </cell>
          <cell r="C28460" t="str">
            <v>LPC INT SUSP PAG TV EUROS               7ND</v>
          </cell>
        </row>
        <row r="28461">
          <cell r="B28461" t="str">
            <v>81040200005304</v>
          </cell>
          <cell r="C28461" t="str">
            <v>LPC INT SUSP PAG TV EUROS               7ND</v>
          </cell>
        </row>
        <row r="28462">
          <cell r="B28462" t="str">
            <v>81040200005305</v>
          </cell>
          <cell r="C28462" t="str">
            <v>LPC INT SUSP PAG TV EUROS               7ND</v>
          </cell>
        </row>
        <row r="28463">
          <cell r="B28463" t="str">
            <v>81040200005306</v>
          </cell>
          <cell r="C28463" t="str">
            <v>LPC INT SUS MYP INT DIFER LS CMED       7ND</v>
          </cell>
        </row>
        <row r="28464">
          <cell r="B28464" t="str">
            <v>81040200005307</v>
          </cell>
          <cell r="C28464" t="str">
            <v>LPC INT SUS MYP INT DIFER LS CMED       7ND</v>
          </cell>
        </row>
        <row r="28465">
          <cell r="B28465" t="str">
            <v>81040200005308</v>
          </cell>
          <cell r="C28465" t="str">
            <v>LPC INT SUS MYP INT DIFER LS CPEM       7ND</v>
          </cell>
        </row>
        <row r="28466">
          <cell r="B28466" t="str">
            <v>81040200005309</v>
          </cell>
          <cell r="C28466" t="str">
            <v>LPC INT SUS MYP INT DIFER LS CPEM       7ND</v>
          </cell>
        </row>
        <row r="28467">
          <cell r="B28467" t="str">
            <v>81040200005310</v>
          </cell>
          <cell r="C28467" t="str">
            <v>LPC IDL MYP INT LEASING BIEN D/P CMED   7ND</v>
          </cell>
        </row>
        <row r="28468">
          <cell r="B28468" t="str">
            <v>81040200005311</v>
          </cell>
          <cell r="C28468" t="str">
            <v>LPC IDS MYP INT LEASING BIEN D/P CMED   7ND</v>
          </cell>
        </row>
        <row r="28469">
          <cell r="B28469" t="str">
            <v>81040200005312</v>
          </cell>
          <cell r="C28469" t="str">
            <v>LPC IDL MYP INT LEASING BIEN D/P CPEM   7ND</v>
          </cell>
        </row>
        <row r="28470">
          <cell r="B28470" t="str">
            <v>81040200005313</v>
          </cell>
          <cell r="C28470" t="str">
            <v>LPC IDS MYP INT LEASING BIEN D/P CPEM   7ND</v>
          </cell>
        </row>
        <row r="28471">
          <cell r="B28471" t="str">
            <v>81040200005314</v>
          </cell>
          <cell r="C28471" t="str">
            <v>INT SUSP PAGARE TV REF - VEN LPC CCOR   7ND</v>
          </cell>
        </row>
        <row r="28472">
          <cell r="B28472" t="str">
            <v>81040200005315</v>
          </cell>
          <cell r="C28472" t="str">
            <v>INT SUSP PAGARE TV REF - VEN LPC CESP   7ND</v>
          </cell>
        </row>
        <row r="28473">
          <cell r="B28473" t="str">
            <v>81040200005316</v>
          </cell>
          <cell r="C28473" t="str">
            <v>INT SUSP PAGARE TV REF - VEN LPC CGEM   7ND</v>
          </cell>
        </row>
        <row r="28474">
          <cell r="B28474" t="str">
            <v>81040200005317</v>
          </cell>
          <cell r="C28474" t="str">
            <v>INT SUSP PAGARE TV REF - VEN LPC CMED   7ND</v>
          </cell>
        </row>
        <row r="28475">
          <cell r="B28475" t="str">
            <v>81040200005318</v>
          </cell>
          <cell r="C28475" t="str">
            <v>INT SUSP PAGARE TV REF - VEN LPC CPEM   7ND</v>
          </cell>
        </row>
        <row r="28476">
          <cell r="B28476" t="str">
            <v>81040200005319</v>
          </cell>
          <cell r="C28476" t="str">
            <v>LPC LEASING VENC BIEN INT DIF RP CIVA   7ND</v>
          </cell>
        </row>
        <row r="28477">
          <cell r="B28477" t="str">
            <v>81040200005320</v>
          </cell>
          <cell r="C28477" t="str">
            <v>LPC LEAS VENC SEG INT DIF RP CIVA       7ND</v>
          </cell>
        </row>
        <row r="28478">
          <cell r="B28478" t="str">
            <v>81040200005321</v>
          </cell>
          <cell r="C28478" t="str">
            <v>LPC LEASING VENC BIEN INT DIF RP CESP   7ND</v>
          </cell>
        </row>
        <row r="28479">
          <cell r="B28479" t="str">
            <v>81040200005322</v>
          </cell>
          <cell r="C28479" t="str">
            <v>LPC LEAS VENC SEG INT DIF RP CESP       7ND</v>
          </cell>
        </row>
        <row r="28480">
          <cell r="B28480" t="str">
            <v>81040200005323</v>
          </cell>
          <cell r="C28480" t="str">
            <v>LPC I.DIF.LSG DE BIEN VENC D/P RP CESP  7ND</v>
          </cell>
        </row>
        <row r="28481">
          <cell r="B28481" t="str">
            <v>81040200005324</v>
          </cell>
          <cell r="C28481" t="str">
            <v>LPC I.DIF.LSG SEG VENC D/P RP CESP      7ND</v>
          </cell>
        </row>
        <row r="28482">
          <cell r="B28482" t="str">
            <v>81040200005325</v>
          </cell>
          <cell r="C28482" t="str">
            <v>LPC I.DIF.LSG DE BIEN VENC D/P RP CIVA  7ND</v>
          </cell>
        </row>
        <row r="28483">
          <cell r="B28483" t="str">
            <v>81040200005326</v>
          </cell>
          <cell r="C28483" t="str">
            <v>LPC I.DIF.LSG SEG VENC D/P RP CIVA      7ND</v>
          </cell>
        </row>
        <row r="28484">
          <cell r="B28484" t="str">
            <v>81040200005327</v>
          </cell>
          <cell r="C28484" t="str">
            <v>LPC INT SUSP PAG TV RP MED PLAZO CMIE   7ND</v>
          </cell>
        </row>
        <row r="28485">
          <cell r="B28485" t="str">
            <v>81040200005328</v>
          </cell>
          <cell r="C28485" t="str">
            <v>LPC INT SUSP PAG TV RP MED PLAZO D/P CMI7ND</v>
          </cell>
        </row>
        <row r="28486">
          <cell r="B28486" t="str">
            <v>81040200005329</v>
          </cell>
          <cell r="C28486" t="str">
            <v>LPC INT SUSP PAG TV INMOBILIARIO CMIE   7ND</v>
          </cell>
        </row>
        <row r="28487">
          <cell r="B28487" t="str">
            <v>81040200005330</v>
          </cell>
          <cell r="C28487" t="str">
            <v>LPC INT SUSP PAG TV INMOBILIARIO D/P CMI7ND</v>
          </cell>
        </row>
        <row r="28488">
          <cell r="B28488" t="str">
            <v>81040200005331</v>
          </cell>
          <cell r="C28488" t="str">
            <v>LPC INT SUSP FACT INTER BRITISH ARAB COM7ND</v>
          </cell>
        </row>
        <row r="28489">
          <cell r="B28489" t="str">
            <v>81040200005332</v>
          </cell>
          <cell r="C28489" t="str">
            <v>LPC INT SUSP PAGARE TV REF - VEN LPC CMI7ND</v>
          </cell>
        </row>
        <row r="28490">
          <cell r="B28490" t="str">
            <v>81040200005401</v>
          </cell>
          <cell r="C28490" t="str">
            <v>FCD INTXCOB  LETRAS DSCTO  CCOR         7ND</v>
          </cell>
        </row>
        <row r="28491">
          <cell r="B28491" t="str">
            <v>81040200005402</v>
          </cell>
          <cell r="C28491" t="str">
            <v>FCD  INTXCOBÂ  LETRAS DSCTOÂ  CGEM      7ND</v>
          </cell>
        </row>
        <row r="28492">
          <cell r="B28492" t="str">
            <v>81040200005403</v>
          </cell>
          <cell r="C28492" t="str">
            <v>PR INTXCOB  LETRAS DSCTO  CESP          7ND</v>
          </cell>
        </row>
        <row r="28493">
          <cell r="B28493" t="str">
            <v>81040200005404</v>
          </cell>
          <cell r="C28493" t="str">
            <v>FCD  INTXCOBÂ  LETRAS DSCTOÂ  CMED      7ND</v>
          </cell>
        </row>
        <row r="28494">
          <cell r="B28494" t="str">
            <v>81040200005405</v>
          </cell>
          <cell r="C28494" t="str">
            <v>PR INTXCOB  LETRAS DSCTO  CPEM          7ND</v>
          </cell>
        </row>
        <row r="28495">
          <cell r="B28495" t="str">
            <v>81040200005406</v>
          </cell>
          <cell r="C28495" t="str">
            <v>PR DSCTO ELECTR SM PERU I.COMP CCOR     7ND</v>
          </cell>
        </row>
        <row r="28496">
          <cell r="B28496" t="str">
            <v>81040200005407</v>
          </cell>
          <cell r="C28496" t="str">
            <v>PR DSCTO ELECTR SM PERU I.COMP CCOR     7ND</v>
          </cell>
        </row>
        <row r="28497">
          <cell r="B28497" t="str">
            <v>81040200005408</v>
          </cell>
          <cell r="C28497" t="str">
            <v>PR DSCTO ELECTR SM PERU I.COMP CGEM     7ND</v>
          </cell>
        </row>
        <row r="28498">
          <cell r="B28498" t="str">
            <v>81040200005409</v>
          </cell>
          <cell r="C28498" t="str">
            <v>PR DSCTO ELECTR SM PERU I.COMP CMED     7ND</v>
          </cell>
        </row>
        <row r="28499">
          <cell r="B28499" t="str">
            <v>81040200005410</v>
          </cell>
          <cell r="C28499" t="str">
            <v>PR DSCTO ELECTR SM PERU I.COMP CMED     7ND</v>
          </cell>
        </row>
        <row r="28500">
          <cell r="B28500" t="str">
            <v>81040200005411</v>
          </cell>
          <cell r="C28500" t="str">
            <v>PR INT  FACTORING LETRAS DIFERIDO CCOR  7ND</v>
          </cell>
        </row>
        <row r="28501">
          <cell r="B28501" t="str">
            <v>81040200005412</v>
          </cell>
          <cell r="C28501" t="str">
            <v>PR INT POR COBR.EN  LETRAS FACTORINGCL C7ND</v>
          </cell>
        </row>
        <row r="28502">
          <cell r="B28502" t="str">
            <v>81040200005413</v>
          </cell>
          <cell r="C28502" t="str">
            <v>PR INT  FACTORING LETRAS DIFERIDO CESP  7ND</v>
          </cell>
        </row>
        <row r="28503">
          <cell r="B28503" t="str">
            <v>81040200005414</v>
          </cell>
          <cell r="C28503" t="str">
            <v>PR INT POR COBR.EN  LETRAS FACTORINGCL C7ND</v>
          </cell>
        </row>
        <row r="28504">
          <cell r="B28504" t="str">
            <v>81040200005415</v>
          </cell>
          <cell r="C28504" t="str">
            <v>PR INT  FACTORING LETRAS DIFERIDO CGEM  7ND</v>
          </cell>
        </row>
        <row r="28505">
          <cell r="B28505" t="str">
            <v>81040200005416</v>
          </cell>
          <cell r="C28505" t="str">
            <v>PR INT POR COBR.EN  LETRAS FACTORINGCL C7ND</v>
          </cell>
        </row>
        <row r="28506">
          <cell r="B28506" t="str">
            <v>81040200005417</v>
          </cell>
          <cell r="C28506" t="str">
            <v>PR INT  FACTORING LETRAS DIFERIDO CMED  7ND</v>
          </cell>
        </row>
        <row r="28507">
          <cell r="B28507" t="str">
            <v>81040200005418</v>
          </cell>
          <cell r="C28507" t="str">
            <v>PR INT POR COBR.EN  LETRAS FACTORINGCL C7ND</v>
          </cell>
        </row>
        <row r="28508">
          <cell r="B28508" t="str">
            <v>81040200005419</v>
          </cell>
          <cell r="C28508" t="str">
            <v>PR INT  FACTORING LETRAS DIFERIDO CPEM  7ND</v>
          </cell>
        </row>
        <row r="28509">
          <cell r="B28509" t="str">
            <v>81040200005420</v>
          </cell>
          <cell r="C28509" t="str">
            <v>PR INT POR COBR.EN  LETRAS FACTORINGCL C7ND</v>
          </cell>
        </row>
        <row r="28510">
          <cell r="B28510" t="str">
            <v>81040200005421</v>
          </cell>
          <cell r="C28510" t="str">
            <v>PR INT  FACTORING FACT DIF CCOR         7ND</v>
          </cell>
        </row>
        <row r="28511">
          <cell r="B28511" t="str">
            <v>81040200005422</v>
          </cell>
          <cell r="C28511" t="str">
            <v>PR INT POR COBR.EN -FACTS.FACTORING CL C7ND</v>
          </cell>
        </row>
        <row r="28512">
          <cell r="B28512" t="str">
            <v>81040200005423</v>
          </cell>
          <cell r="C28512" t="str">
            <v>PR INT  FACTORING FACT DIF CESP         7ND</v>
          </cell>
        </row>
        <row r="28513">
          <cell r="B28513" t="str">
            <v>81040200005424</v>
          </cell>
          <cell r="C28513" t="str">
            <v>PR INT POR COBR.EN -FACTS.FACTORING CL C7ND</v>
          </cell>
        </row>
        <row r="28514">
          <cell r="B28514" t="str">
            <v>81040200005425</v>
          </cell>
          <cell r="C28514" t="str">
            <v>PR INT  FACTORING FACT DIF CGEM         7ND</v>
          </cell>
        </row>
        <row r="28515">
          <cell r="B28515" t="str">
            <v>81040200005426</v>
          </cell>
          <cell r="C28515" t="str">
            <v>PR INT POR COBR.EN -FACTS.FACTORING CL C7ND</v>
          </cell>
        </row>
        <row r="28516">
          <cell r="B28516" t="str">
            <v>81040200005427</v>
          </cell>
          <cell r="C28516" t="str">
            <v>PR INT  FACTORING FACT DIF CMED         7ND</v>
          </cell>
        </row>
        <row r="28517">
          <cell r="B28517" t="str">
            <v>81040200005428</v>
          </cell>
          <cell r="C28517" t="str">
            <v>PR INT POR COBR.EN -FACTS.FACTORING CL C7ND</v>
          </cell>
        </row>
        <row r="28518">
          <cell r="B28518" t="str">
            <v>81040200005429</v>
          </cell>
          <cell r="C28518" t="str">
            <v>PR INT  FACTORING FACT DIF CPEM         7ND</v>
          </cell>
        </row>
        <row r="28519">
          <cell r="B28519" t="str">
            <v>81040200005430</v>
          </cell>
          <cell r="C28519" t="str">
            <v>PR INT POR COBR.EN -FACTS.FACTORING CL C7ND</v>
          </cell>
        </row>
        <row r="28520">
          <cell r="B28520" t="str">
            <v>81040200005431</v>
          </cell>
          <cell r="C28520" t="str">
            <v>PR FACT ELECTR LET/FACT I.COMPENS CCOR  7ND</v>
          </cell>
        </row>
        <row r="28521">
          <cell r="B28521" t="str">
            <v>81040200005432</v>
          </cell>
          <cell r="C28521" t="str">
            <v>PR FACT ELECTR LET/FACT I.DIF CCOR      7ND</v>
          </cell>
        </row>
        <row r="28522">
          <cell r="B28522" t="str">
            <v>81040200005433</v>
          </cell>
          <cell r="C28522" t="str">
            <v>PR FACT ELECTR LET/FACT I.COMPENS CESP  7ND</v>
          </cell>
        </row>
        <row r="28523">
          <cell r="B28523" t="str">
            <v>81040200005434</v>
          </cell>
          <cell r="C28523" t="str">
            <v>PR FACT ELECTR LET/FACT I.DIF CESP      7ND</v>
          </cell>
        </row>
        <row r="28524">
          <cell r="B28524" t="str">
            <v>81040200005435</v>
          </cell>
          <cell r="C28524" t="str">
            <v>PR FACT ELECTR LET/FACT I.COMPENS CGEM  7ND</v>
          </cell>
        </row>
        <row r="28525">
          <cell r="B28525" t="str">
            <v>81040200005436</v>
          </cell>
          <cell r="C28525" t="str">
            <v>PR FACT ELECTR LET/FACT I.DIF CGEM      7ND</v>
          </cell>
        </row>
        <row r="28526">
          <cell r="B28526" t="str">
            <v>81040200005437</v>
          </cell>
          <cell r="C28526" t="str">
            <v>PR FACT ELECTR LET/FACT I.COMPENS CMED  7ND</v>
          </cell>
        </row>
        <row r="28527">
          <cell r="B28527" t="str">
            <v>81040200005438</v>
          </cell>
          <cell r="C28527" t="str">
            <v>PR FACT ELECTR LET/FACT I.DIF CMED      7ND</v>
          </cell>
        </row>
        <row r="28528">
          <cell r="B28528" t="str">
            <v>81040200005439</v>
          </cell>
          <cell r="C28528" t="str">
            <v>PR FACT ELECTR LET/FACT I.COMPENS CPEM  7ND</v>
          </cell>
        </row>
        <row r="28529">
          <cell r="B28529" t="str">
            <v>81040200005440</v>
          </cell>
          <cell r="C28529" t="str">
            <v>PR FACT ELECTR LET/FACT I.DIF CPEM      7ND</v>
          </cell>
        </row>
        <row r="28530">
          <cell r="B28530" t="str">
            <v>81040200005441</v>
          </cell>
          <cell r="C28530" t="str">
            <v>PR PERU FACTORING INT.COMPENS CCOR      7ND</v>
          </cell>
        </row>
        <row r="28531">
          <cell r="B28531" t="str">
            <v>81040200005442</v>
          </cell>
          <cell r="C28531" t="str">
            <v>PR PERU FACTORING INT.DIF CCOR          7ND</v>
          </cell>
        </row>
        <row r="28532">
          <cell r="B28532" t="str">
            <v>81040200005443</v>
          </cell>
          <cell r="C28532" t="str">
            <v>PR PERU FACTORING INT.COMPENS CESP      7ND</v>
          </cell>
        </row>
        <row r="28533">
          <cell r="B28533" t="str">
            <v>81040200005444</v>
          </cell>
          <cell r="C28533" t="str">
            <v>PR PERU FACTORING INT.DIF CESP          7ND</v>
          </cell>
        </row>
        <row r="28534">
          <cell r="B28534" t="str">
            <v>81040200005445</v>
          </cell>
          <cell r="C28534" t="str">
            <v>PR PERU FACTORING INT.COMPENS CGEM      7ND</v>
          </cell>
        </row>
        <row r="28535">
          <cell r="B28535" t="str">
            <v>81040200005446</v>
          </cell>
          <cell r="C28535" t="str">
            <v>PR PERU FACTORING INT.DIF CGEM          7ND</v>
          </cell>
        </row>
        <row r="28536">
          <cell r="B28536" t="str">
            <v>81040200005447</v>
          </cell>
          <cell r="C28536" t="str">
            <v>PR PERU FACTORING INT.COMPENS CMED      7ND</v>
          </cell>
        </row>
        <row r="28537">
          <cell r="B28537" t="str">
            <v>81040200005448</v>
          </cell>
          <cell r="C28537" t="str">
            <v>PR PERU FACTORING INT.DIF CMED          7ND</v>
          </cell>
        </row>
        <row r="28538">
          <cell r="B28538" t="str">
            <v>81040200005449</v>
          </cell>
          <cell r="C28538" t="str">
            <v>PR PERU FACTORING INT.COMPENS CPEM      7ND</v>
          </cell>
        </row>
        <row r="28539">
          <cell r="B28539" t="str">
            <v>81040200005450</v>
          </cell>
          <cell r="C28539" t="str">
            <v>PR PERU FACTORING INT.DIF CPEM          7ND</v>
          </cell>
        </row>
        <row r="28540">
          <cell r="B28540" t="str">
            <v>81040200005451</v>
          </cell>
          <cell r="C28540" t="str">
            <v>PR PERU FACTORING INT.COMPENS MES       7ND</v>
          </cell>
        </row>
        <row r="28541">
          <cell r="B28541" t="str">
            <v>81040200005452</v>
          </cell>
          <cell r="C28541" t="str">
            <v>PR PERU FACTORING INT.DIF MES           7ND</v>
          </cell>
        </row>
        <row r="28542">
          <cell r="B28542" t="str">
            <v>81040200005453</v>
          </cell>
          <cell r="C28542" t="str">
            <v>PR FORF CUENTA INTXC S CCOR             7ND</v>
          </cell>
        </row>
        <row r="28543">
          <cell r="B28543" t="str">
            <v>81040200005454</v>
          </cell>
          <cell r="C28543" t="str">
            <v>PR Forfaiting ExportaciÃ³n Int Susp.Ven 7ND</v>
          </cell>
        </row>
        <row r="28544">
          <cell r="B28544" t="str">
            <v>81040200005501</v>
          </cell>
          <cell r="C28544" t="str">
            <v>LPC INT SUSP EXP POST EMB RP CPEM       7ND</v>
          </cell>
        </row>
        <row r="28545">
          <cell r="B28545" t="str">
            <v>81040200005601</v>
          </cell>
          <cell r="C28545" t="str">
            <v>CL EX FORFAITING INT.SUSP.VEN CCOR      7ND</v>
          </cell>
        </row>
        <row r="28546">
          <cell r="B28546" t="str">
            <v>81040200005602</v>
          </cell>
          <cell r="C28546" t="str">
            <v>CL EX FORFAITING INT.SUSP.VEN CESP      7ND</v>
          </cell>
        </row>
        <row r="28547">
          <cell r="B28547" t="str">
            <v>81040200005603</v>
          </cell>
          <cell r="C28547" t="str">
            <v>CL EX FORFAITING INT.SUSP.VEN CGEM      7ND</v>
          </cell>
        </row>
        <row r="28548">
          <cell r="B28548" t="str">
            <v>81040200005604</v>
          </cell>
          <cell r="C28548" t="str">
            <v>CL EX FORFAITING INT.SUSP.VEN CMED      7ND</v>
          </cell>
        </row>
        <row r="28549">
          <cell r="B28549" t="str">
            <v>81040200005605</v>
          </cell>
          <cell r="C28549" t="str">
            <v>CL EX FORFAITING INT.SUSP.VEN CPEM      7ND</v>
          </cell>
        </row>
        <row r="28550">
          <cell r="B28550" t="str">
            <v>81040200005606</v>
          </cell>
          <cell r="C28550" t="str">
            <v>CL CXL AVAL ACEPT.BKT INT.SUSP CIVA     7ND</v>
          </cell>
        </row>
        <row r="28551">
          <cell r="B28551" t="str">
            <v>81040200005607</v>
          </cell>
          <cell r="C28551" t="str">
            <v>CL EX FACTORING FORFAITING INT.SUSP CCOR7ND</v>
          </cell>
        </row>
        <row r="28552">
          <cell r="B28552" t="str">
            <v>81040200005608</v>
          </cell>
          <cell r="C28552" t="str">
            <v>CL EX FACTORING FORFAITING INT.SUSP CESP7ND</v>
          </cell>
        </row>
        <row r="28553">
          <cell r="B28553" t="str">
            <v>81040200005609</v>
          </cell>
          <cell r="C28553" t="str">
            <v>CL EX FACTORING FORFAITING INT.SUSP CGEM7ND</v>
          </cell>
        </row>
        <row r="28554">
          <cell r="B28554" t="str">
            <v>81040200005610</v>
          </cell>
          <cell r="C28554" t="str">
            <v>CL EX FACTORING FORFAITING INT.SUSP CMED7ND</v>
          </cell>
        </row>
        <row r="28555">
          <cell r="B28555" t="str">
            <v>81040200005611</v>
          </cell>
          <cell r="C28555" t="str">
            <v>CL EX FACTORING FORFAITING INT.SUSP CPEM7ND</v>
          </cell>
        </row>
        <row r="28556">
          <cell r="B28556" t="str">
            <v>81040200005612</v>
          </cell>
          <cell r="C28556" t="str">
            <v>CL  CONFIRMING INTER INT.SUSP.VEN CCOR  7ND</v>
          </cell>
        </row>
        <row r="28557">
          <cell r="B28557" t="str">
            <v>81040200005613</v>
          </cell>
          <cell r="C28557" t="str">
            <v>CL  CONFIRMING INTER INT.SUSP.VEN CESP  7ND</v>
          </cell>
        </row>
        <row r="28558">
          <cell r="B28558" t="str">
            <v>81040200005614</v>
          </cell>
          <cell r="C28558" t="str">
            <v>CL  CONFIRMING INTER INT.SUSP.VEN CGEM  7ND</v>
          </cell>
        </row>
        <row r="28559">
          <cell r="B28559" t="str">
            <v>81040200005615</v>
          </cell>
          <cell r="C28559" t="str">
            <v>CL  CONFIRMING INTER INT.SUSP.VEN CMED  7ND</v>
          </cell>
        </row>
        <row r="28560">
          <cell r="B28560" t="str">
            <v>81040200005616</v>
          </cell>
          <cell r="C28560" t="str">
            <v>CL  CONFIRMING INTER INT.SUSP.VEN CPEM  7ND</v>
          </cell>
        </row>
        <row r="28561">
          <cell r="B28561" t="str">
            <v>81040200005617</v>
          </cell>
          <cell r="C28561" t="str">
            <v>CL EX FAC FORFAITING I SUSP CESF        7ND</v>
          </cell>
        </row>
        <row r="28562">
          <cell r="B28562" t="str">
            <v>81040200005618</v>
          </cell>
          <cell r="C28562" t="str">
            <v>CL INT. EN SUSP.PRE.JUD.CRE.HIPOT.IC CME7ND</v>
          </cell>
        </row>
        <row r="28563">
          <cell r="B28563" t="str">
            <v>81040200005619</v>
          </cell>
          <cell r="C28563" t="str">
            <v>PR FACTORING INTER INT EN SUSP CMIE     7ND</v>
          </cell>
        </row>
        <row r="28564">
          <cell r="B28564" t="str">
            <v>81040200005701</v>
          </cell>
          <cell r="C28564" t="str">
            <v>LPC INTXCOB PAG FINAN PROY D/P VEN CCOR 7ND</v>
          </cell>
        </row>
        <row r="28565">
          <cell r="B28565" t="str">
            <v>81040200005702</v>
          </cell>
          <cell r="C28565" t="str">
            <v>LPC INTXCOB PAG FINAN PROY D/P VEN CGEM 7ND</v>
          </cell>
        </row>
        <row r="28566">
          <cell r="B28566" t="str">
            <v>81040200005703</v>
          </cell>
          <cell r="C28566" t="str">
            <v>LPC INTXCOB PAG FINAN PROY D/P VEN CMED 7ND</v>
          </cell>
        </row>
        <row r="28567">
          <cell r="B28567" t="str">
            <v>81040200005704</v>
          </cell>
          <cell r="C28567" t="str">
            <v>LPC INT SUSP PAG FINAN PROY CCOR        7ND</v>
          </cell>
        </row>
        <row r="28568">
          <cell r="B28568" t="str">
            <v>81040200005705</v>
          </cell>
          <cell r="C28568" t="str">
            <v>LPC INT SUSP PAG FINAN PROY CGEM        7ND</v>
          </cell>
        </row>
        <row r="28569">
          <cell r="B28569" t="str">
            <v>81040200005706</v>
          </cell>
          <cell r="C28569" t="str">
            <v>LPC INT SUSP PAG FINAN PROY CMED        7ND</v>
          </cell>
        </row>
        <row r="28570">
          <cell r="B28570" t="str">
            <v>81040200005707</v>
          </cell>
          <cell r="C28570" t="str">
            <v>LPC INTXCOB PAG REPROGRAMADO NOR        7ND</v>
          </cell>
        </row>
        <row r="28571">
          <cell r="B28571" t="str">
            <v>81040200005708</v>
          </cell>
          <cell r="C28571" t="str">
            <v>LPC INTXCOB PAG REPROGRAMADO D/P CPEM   7ND</v>
          </cell>
        </row>
        <row r="28572">
          <cell r="B28572" t="str">
            <v>81040200005709</v>
          </cell>
          <cell r="C28572" t="str">
            <v>LPC INTXCOB PAG REPROGRAMADO NOR        7ND</v>
          </cell>
        </row>
        <row r="28573">
          <cell r="B28573" t="str">
            <v>81040200005710</v>
          </cell>
          <cell r="C28573" t="str">
            <v>LPC INTXCOB PAG REPROGRAMADO D/P CMED   7ND</v>
          </cell>
        </row>
        <row r="28574">
          <cell r="B28574" t="str">
            <v>81040200005711</v>
          </cell>
          <cell r="C28574" t="str">
            <v>LPC INTXCOB PAG REPROGRAMADO NOR        7ND</v>
          </cell>
        </row>
        <row r="28575">
          <cell r="B28575" t="str">
            <v>81040200005712</v>
          </cell>
          <cell r="C28575" t="str">
            <v>LPC INTXCOB PAG REPROGRAMADO D/P CGEM   7ND</v>
          </cell>
        </row>
        <row r="28576">
          <cell r="B28576" t="str">
            <v>81040200005713</v>
          </cell>
          <cell r="C28576" t="str">
            <v>LPC INTXCOB PAG REPROGRAMADO NOR        7ND</v>
          </cell>
        </row>
        <row r="28577">
          <cell r="B28577" t="str">
            <v>81040200005714</v>
          </cell>
          <cell r="C28577" t="str">
            <v>LPC INTXCOB PAG REPROGRAMADO D/P CMIE   7ND</v>
          </cell>
        </row>
        <row r="28578">
          <cell r="B28578" t="str">
            <v>81040200005801</v>
          </cell>
          <cell r="C28578" t="str">
            <v>LPC PAG DERIVADOS INT SUSP  CCOR        7ND</v>
          </cell>
        </row>
        <row r="28579">
          <cell r="B28579" t="str">
            <v>81040200005802</v>
          </cell>
          <cell r="C28579" t="str">
            <v>LPC PAG DERIVADOS INT SUSP CGEM         7ND</v>
          </cell>
        </row>
        <row r="28580">
          <cell r="B28580" t="str">
            <v>81040200005803</v>
          </cell>
          <cell r="C28580" t="str">
            <v>LPC PAG DERIVADOS INT SUSP CMED         7ND</v>
          </cell>
        </row>
        <row r="28581">
          <cell r="B28581" t="str">
            <v>81040200005804</v>
          </cell>
          <cell r="C28581" t="str">
            <v>LPC INTXCOB PAG DERIVADOS  D/P VENC CCOR7ND</v>
          </cell>
        </row>
        <row r="28582">
          <cell r="B28582" t="str">
            <v>81040200005805</v>
          </cell>
          <cell r="C28582" t="str">
            <v>LPC INTXCOB PAG DERIVADOSÂ  D/P VENC CGE7ND</v>
          </cell>
        </row>
        <row r="28583">
          <cell r="B28583" t="str">
            <v>81040200005806</v>
          </cell>
          <cell r="C28583" t="str">
            <v>LPC INTXCOB PAG DERIVADOSÂ  D/P VENC CME7ND</v>
          </cell>
        </row>
        <row r="28584">
          <cell r="B28584" t="str">
            <v>81040200005807</v>
          </cell>
          <cell r="C28584" t="str">
            <v>LPC INTXCOBÂ PAG DERIV D/P VENC CPEM    7ND</v>
          </cell>
        </row>
        <row r="28585">
          <cell r="B28585" t="str">
            <v>81040200005808</v>
          </cell>
          <cell r="C28585" t="str">
            <v>LPC INTXCOBÂ PAG DERIV NORM VENC CPEM   7ND</v>
          </cell>
        </row>
        <row r="28586">
          <cell r="B28586" t="str">
            <v>81040200005809</v>
          </cell>
          <cell r="C28586" t="str">
            <v>LPC INTXCOBÂ PAG DERIV NORM VENC CPEM   7ND</v>
          </cell>
        </row>
        <row r="28587">
          <cell r="B28587" t="str">
            <v>81040200005810</v>
          </cell>
          <cell r="C28587" t="str">
            <v>LPC PAG DERIVADOS INT SUSP CPEM         7ND</v>
          </cell>
        </row>
        <row r="28588">
          <cell r="B28588" t="str">
            <v>81040200005811</v>
          </cell>
          <cell r="C28588" t="str">
            <v>LPC INTXCOBÂ PAG DERIV D/P VENC CPEM    7ND</v>
          </cell>
        </row>
        <row r="28589">
          <cell r="B28589" t="str">
            <v>81040200006001</v>
          </cell>
          <cell r="C28589" t="str">
            <v>LPC INT VEN LSG BIEN ADJ. RP CCOR       7ND</v>
          </cell>
        </row>
        <row r="28590">
          <cell r="B28590" t="str">
            <v>81040200006002</v>
          </cell>
          <cell r="C28590" t="str">
            <v>LPC LSG INT VEN SEG. ADJ. RP CCOR       7ND</v>
          </cell>
        </row>
        <row r="28591">
          <cell r="B28591" t="str">
            <v>81040200006003</v>
          </cell>
          <cell r="C28591" t="str">
            <v>LPC INT VEN LSG BIEN ADJ. RP CGEM       7ND</v>
          </cell>
        </row>
        <row r="28592">
          <cell r="B28592" t="str">
            <v>81040200006004</v>
          </cell>
          <cell r="C28592" t="str">
            <v>LPC LSG INT VEN SEG. ADJ. RP CGEM       7ND</v>
          </cell>
        </row>
        <row r="28593">
          <cell r="B28593" t="str">
            <v>81040200006005</v>
          </cell>
          <cell r="C28593" t="str">
            <v>LPC LSG INT VEN SEG. ADJ. RP CMED       7ND</v>
          </cell>
        </row>
        <row r="28594">
          <cell r="B28594" t="str">
            <v>81040200006006</v>
          </cell>
          <cell r="C28594" t="str">
            <v>LPC INT VEN LSG BIEN ADJ. RP CPEM       7ND</v>
          </cell>
        </row>
        <row r="28595">
          <cell r="B28595" t="str">
            <v>81040200006007</v>
          </cell>
          <cell r="C28595" t="str">
            <v>LPC LSG INT VEN SEG. ADJ. RP CPEM       7ND</v>
          </cell>
        </row>
        <row r="28596">
          <cell r="B28596" t="str">
            <v>81040200006008</v>
          </cell>
          <cell r="C28596" t="str">
            <v>LPC INT VEN LSG BIEN ADJ. D/P CCOR      7ND</v>
          </cell>
        </row>
        <row r="28597">
          <cell r="B28597" t="str">
            <v>81040200006009</v>
          </cell>
          <cell r="C28597" t="str">
            <v>LPC SEG VEN LSG ADJ. D/P CCOR V-S       7ND</v>
          </cell>
        </row>
        <row r="28598">
          <cell r="B28598" t="str">
            <v>81040200006010</v>
          </cell>
          <cell r="C28598" t="str">
            <v>LPC INT VEN LSG BIEN ADJ. D/P CGEM      7ND</v>
          </cell>
        </row>
        <row r="28599">
          <cell r="B28599" t="str">
            <v>81040200006011</v>
          </cell>
          <cell r="C28599" t="str">
            <v>LPC SEG VEN LSG ADJ. D/P CGEM V-S       7ND</v>
          </cell>
        </row>
        <row r="28600">
          <cell r="B28600" t="str">
            <v>81040200006012</v>
          </cell>
          <cell r="C28600" t="str">
            <v>LPC INT VEN LSG BIEN ADJ. D/P CMED      7ND</v>
          </cell>
        </row>
        <row r="28601">
          <cell r="B28601" t="str">
            <v>81040200006013</v>
          </cell>
          <cell r="C28601" t="str">
            <v>LPC SEG VEN LSG ADJ. D/P CMED V-S       7ND</v>
          </cell>
        </row>
        <row r="28602">
          <cell r="B28602" t="str">
            <v>81040200006014</v>
          </cell>
          <cell r="C28602" t="str">
            <v>LPC INT VEN LSG BIEN ADJ. D/P CPEM      7ND</v>
          </cell>
        </row>
        <row r="28603">
          <cell r="B28603" t="str">
            <v>81040200006015</v>
          </cell>
          <cell r="C28603" t="str">
            <v>LPC SEG VEN LSG ADJ. D/P CPEM V-S       7ND</v>
          </cell>
        </row>
        <row r="28604">
          <cell r="B28604" t="str">
            <v>81040200006016</v>
          </cell>
          <cell r="C28604" t="str">
            <v>LPC INT VEN LS  BIEN OTROS SUSP RP CCOR 7ND</v>
          </cell>
        </row>
        <row r="28605">
          <cell r="B28605" t="str">
            <v>81040200006017</v>
          </cell>
          <cell r="C28605" t="str">
            <v>LPC INT VEN LS SEG OTROS SUSP RP CCOR   7ND</v>
          </cell>
        </row>
        <row r="28606">
          <cell r="B28606" t="str">
            <v>81040200006018</v>
          </cell>
          <cell r="C28606" t="str">
            <v>LPC INT VEN LS  BIEN OTROS SUSP RP CGEM 7ND</v>
          </cell>
        </row>
        <row r="28607">
          <cell r="B28607" t="str">
            <v>81040200006019</v>
          </cell>
          <cell r="C28607" t="str">
            <v>LPC INT VEN LS SEG OTROS SUSP RP CGEM   7ND</v>
          </cell>
        </row>
        <row r="28608">
          <cell r="B28608" t="str">
            <v>81040200006020</v>
          </cell>
          <cell r="C28608" t="str">
            <v>LPC INT VEN LS  BIEN OTROS SUSP RP CMED 7ND</v>
          </cell>
        </row>
        <row r="28609">
          <cell r="B28609" t="str">
            <v>81040200006021</v>
          </cell>
          <cell r="C28609" t="str">
            <v>LPC INT VEN LS SEG OTROS SUSP RP CMED   7ND</v>
          </cell>
        </row>
        <row r="28610">
          <cell r="B28610" t="str">
            <v>81040200006022</v>
          </cell>
          <cell r="C28610" t="str">
            <v>LPC INT VEN LS  BIEN OTROS SUSP RP CPEM 7ND</v>
          </cell>
        </row>
        <row r="28611">
          <cell r="B28611" t="str">
            <v>81040200006023</v>
          </cell>
          <cell r="C28611" t="str">
            <v>LPC INT VEN LS SEG OTROS SUSP RP CPEM   7ND</v>
          </cell>
        </row>
        <row r="28612">
          <cell r="B28612" t="str">
            <v>81040202190101</v>
          </cell>
          <cell r="C28612" t="str">
            <v>LPC FINANCIER CREDINKA INT EN SUSPENSO  7ND</v>
          </cell>
        </row>
        <row r="28613">
          <cell r="B28613" t="str">
            <v>81040202190102</v>
          </cell>
          <cell r="C28613" t="str">
            <v>MYP CODIFE FONDO CRECER VEN CMED\DUPE   7ND</v>
          </cell>
        </row>
        <row r="28614">
          <cell r="B28614" t="str">
            <v>81040202190103</v>
          </cell>
          <cell r="C28614" t="str">
            <v>MYP CODIFE FONDO CRECER VEN CMED\NORM   7ND</v>
          </cell>
        </row>
        <row r="28615">
          <cell r="B28615" t="str">
            <v>81040202190104</v>
          </cell>
          <cell r="C28615" t="str">
            <v>MYP CODIFE FONDO CRECER VEN CMIE\DUPE   7ND</v>
          </cell>
        </row>
        <row r="28616">
          <cell r="B28616" t="str">
            <v>81040202190105</v>
          </cell>
          <cell r="C28616" t="str">
            <v>MYP CODIFE FONDO CRECER VEN CMIE\NORM   7ND</v>
          </cell>
        </row>
        <row r="28617">
          <cell r="B28617" t="str">
            <v>81040202190106</v>
          </cell>
          <cell r="C28617" t="str">
            <v>MYP CODIFE FONDO CRECER VEN CPEM\DUPE   7ND</v>
          </cell>
        </row>
        <row r="28618">
          <cell r="B28618" t="str">
            <v>81040202190107</v>
          </cell>
          <cell r="C28618" t="str">
            <v>MYP CODIFE FONDO CRECER VEN CPEM\NORM   7ND</v>
          </cell>
        </row>
        <row r="28619">
          <cell r="B28619" t="str">
            <v>81040202190108</v>
          </cell>
          <cell r="C28619" t="str">
            <v>MYP CODIFE REACTIVA PERU VEN CMED\DUPE  7ND</v>
          </cell>
        </row>
        <row r="28620">
          <cell r="B28620" t="str">
            <v>81040202190109</v>
          </cell>
          <cell r="C28620" t="str">
            <v>MYP CODIFE REACTIVA PERU VEN CMED\NORM  7ND</v>
          </cell>
        </row>
        <row r="28621">
          <cell r="B28621" t="str">
            <v>81040202190110</v>
          </cell>
          <cell r="C28621" t="str">
            <v>MYP CODIFE REACTIVA PERU VEN CMIE\DUPE  7ND</v>
          </cell>
        </row>
        <row r="28622">
          <cell r="B28622" t="str">
            <v>81040202190111</v>
          </cell>
          <cell r="C28622" t="str">
            <v>MYP CODIFE REACTIVA PERU VEN CMIE\NORM  7ND</v>
          </cell>
        </row>
        <row r="28623">
          <cell r="B28623" t="str">
            <v>81040202190112</v>
          </cell>
          <cell r="C28623" t="str">
            <v>MYP CODIFE REACTIVA PERU VEN CPEM\DUPE  7ND</v>
          </cell>
        </row>
        <row r="28624">
          <cell r="B28624" t="str">
            <v>81040202190113</v>
          </cell>
          <cell r="C28624" t="str">
            <v>MYP CODIFE REACTIVA PERU VEN CPEM\NORM  7ND</v>
          </cell>
        </row>
        <row r="28625">
          <cell r="B28625" t="str">
            <v>81040202190172</v>
          </cell>
          <cell r="C28625" t="str">
            <v>LPC REACTIVA PERU VEN CBMD\NORM         7ND</v>
          </cell>
        </row>
        <row r="28626">
          <cell r="B28626" t="str">
            <v>81040202190173</v>
          </cell>
          <cell r="C28626" t="str">
            <v>LPC REACTIVA PERU VEN CCOR\NORM         7ND</v>
          </cell>
        </row>
        <row r="28627">
          <cell r="B28627" t="str">
            <v>81040202190174</v>
          </cell>
          <cell r="C28627" t="str">
            <v>LPC REACTIVA PERU VEN CESP\NORM         7ND</v>
          </cell>
        </row>
        <row r="28628">
          <cell r="B28628" t="str">
            <v>81040202190175</v>
          </cell>
          <cell r="C28628" t="str">
            <v>LPC REACTIVA PERU VEN CGEM\NORM         7ND</v>
          </cell>
        </row>
        <row r="28629">
          <cell r="B28629" t="str">
            <v>81040202190176</v>
          </cell>
          <cell r="C28629" t="str">
            <v>LPC REACTIVA PERU VEN CIVA\NORM         7ND</v>
          </cell>
        </row>
        <row r="28630">
          <cell r="B28630" t="str">
            <v>81040202190177</v>
          </cell>
          <cell r="C28630" t="str">
            <v>LPC REACTIVA PERU VEN CMED\NORM         7ND</v>
          </cell>
        </row>
        <row r="28631">
          <cell r="B28631" t="str">
            <v>81040202190178</v>
          </cell>
          <cell r="C28631" t="str">
            <v>LPC REACTIVA PERU VEN CMIE\NORM         7ND</v>
          </cell>
        </row>
        <row r="28632">
          <cell r="B28632" t="str">
            <v>81040202190179</v>
          </cell>
          <cell r="C28632" t="str">
            <v>LPC REACTIVA PERU VEN CPEM\NORM         7ND</v>
          </cell>
        </row>
        <row r="28633">
          <cell r="B28633" t="str">
            <v>81040202190180</v>
          </cell>
          <cell r="C28633" t="str">
            <v>LPC REACTIVA PERU VEN CSOB\NORM         7ND</v>
          </cell>
        </row>
        <row r="28634">
          <cell r="B28634" t="str">
            <v>81040202190181</v>
          </cell>
          <cell r="C28634" t="str">
            <v>LPC REACTIVA PERU VEN CCOR\DUPE         7ND</v>
          </cell>
        </row>
        <row r="28635">
          <cell r="B28635" t="str">
            <v>81040202190182</v>
          </cell>
          <cell r="C28635" t="str">
            <v>LPC REACTIVA PERU VEN CESP\DUPE         7ND</v>
          </cell>
        </row>
        <row r="28636">
          <cell r="B28636" t="str">
            <v>81040202190183</v>
          </cell>
          <cell r="C28636" t="str">
            <v>LPC REACTIVA PERU VEN CGEM\DUPE         7ND</v>
          </cell>
        </row>
        <row r="28637">
          <cell r="B28637" t="str">
            <v>81040202190184</v>
          </cell>
          <cell r="C28637" t="str">
            <v>LPC REACTIVA PERU VEN CIVA\DUPE         7ND</v>
          </cell>
        </row>
        <row r="28638">
          <cell r="B28638" t="str">
            <v>81040202190185</v>
          </cell>
          <cell r="C28638" t="str">
            <v>LPC REACTIVA PERU VEN CMED\DUPE         7ND</v>
          </cell>
        </row>
        <row r="28639">
          <cell r="B28639" t="str">
            <v>81040202190186</v>
          </cell>
          <cell r="C28639" t="str">
            <v>LPC REACTIVA PERU VEN CMIE\DUPE         7ND</v>
          </cell>
        </row>
        <row r="28640">
          <cell r="B28640" t="str">
            <v>81040202190187</v>
          </cell>
          <cell r="C28640" t="str">
            <v>LPC REACTIVA PERU VEN CPEM\DUPE         7ND</v>
          </cell>
        </row>
        <row r="28641">
          <cell r="B28641" t="str">
            <v>81040202190188</v>
          </cell>
          <cell r="C28641" t="str">
            <v>LPC COFIDE FONDOS PERU VEN CBMD\NORM    7ND</v>
          </cell>
        </row>
        <row r="28642">
          <cell r="B28642" t="str">
            <v>81040202190189</v>
          </cell>
          <cell r="C28642" t="str">
            <v>LPC COFIDE FONDOS PERU VEN CCOR\NORM    7ND</v>
          </cell>
        </row>
        <row r="28643">
          <cell r="B28643" t="str">
            <v>81040202190190</v>
          </cell>
          <cell r="C28643" t="str">
            <v>LPC COFIDE FONDOS PERU VEN CESP\NORM    7ND</v>
          </cell>
        </row>
        <row r="28644">
          <cell r="B28644" t="str">
            <v>81040202190191</v>
          </cell>
          <cell r="C28644" t="str">
            <v>LPC COFIDE FONDOS PERU VEN CGEM\NORM    7ND</v>
          </cell>
        </row>
        <row r="28645">
          <cell r="B28645" t="str">
            <v>81040202190192</v>
          </cell>
          <cell r="C28645" t="str">
            <v>LPC COFIDE FONDOS PERU VEN CIVA\NORM    7ND</v>
          </cell>
        </row>
        <row r="28646">
          <cell r="B28646" t="str">
            <v>81040202190193</v>
          </cell>
          <cell r="C28646" t="str">
            <v>LPC COFIDE FONDOS PERU VEN CMED\NORM    7ND</v>
          </cell>
        </row>
        <row r="28647">
          <cell r="B28647" t="str">
            <v>81040202190194</v>
          </cell>
          <cell r="C28647" t="str">
            <v>LPC COFIDE FONDOS PERU VEN CMIE\NORM    7ND</v>
          </cell>
        </row>
        <row r="28648">
          <cell r="B28648" t="str">
            <v>81040202190195</v>
          </cell>
          <cell r="C28648" t="str">
            <v>LPC COFIDE FONDOS PERU VEN CPEM\NORM    7ND</v>
          </cell>
        </row>
        <row r="28649">
          <cell r="B28649" t="str">
            <v>81040202190196</v>
          </cell>
          <cell r="C28649" t="str">
            <v>LPC COFIDE FONDOS PERU VEN CSOB\NORM    7ND</v>
          </cell>
        </row>
        <row r="28650">
          <cell r="B28650" t="str">
            <v>81040202190197</v>
          </cell>
          <cell r="C28650" t="str">
            <v>LPC COFIDE FONDOS PERU VEN CCOR\DUPE    7ND</v>
          </cell>
        </row>
        <row r="28651">
          <cell r="B28651" t="str">
            <v>81040202190198</v>
          </cell>
          <cell r="C28651" t="str">
            <v>LPC COFIDE FONDOS PERU VEN CESP\DUPE    7ND</v>
          </cell>
        </row>
        <row r="28652">
          <cell r="B28652" t="str">
            <v>81040202190199</v>
          </cell>
          <cell r="C28652" t="str">
            <v>LPC COFIDE FONDOS PERU VEN CGEM\DUPE    7ND</v>
          </cell>
        </row>
        <row r="28653">
          <cell r="B28653" t="str">
            <v>81040202190200</v>
          </cell>
          <cell r="C28653" t="str">
            <v>LPC COFIDE FONDOS PERU VEN CIVA\DUPE    7ND</v>
          </cell>
        </row>
        <row r="28654">
          <cell r="B28654" t="str">
            <v>81040202190201</v>
          </cell>
          <cell r="C28654" t="str">
            <v>LPC COFIDE FONDOS PERU VEN CMED\DUPE    7ND</v>
          </cell>
        </row>
        <row r="28655">
          <cell r="B28655" t="str">
            <v>81040202190202</v>
          </cell>
          <cell r="C28655" t="str">
            <v>LPC COFIDE FONDOS PERU VEN CMIE\DUPE    7ND</v>
          </cell>
        </row>
        <row r="28656">
          <cell r="B28656" t="str">
            <v>81040202190203</v>
          </cell>
          <cell r="C28656" t="str">
            <v>LPC COFIDE FONDOS PERU VEN CPEM\DUPE    7ND</v>
          </cell>
        </row>
        <row r="28657">
          <cell r="B28657" t="str">
            <v>81040202190204</v>
          </cell>
          <cell r="C28657" t="str">
            <v>LPC COFIDE FONDO CRECER VEN CBMD\NORM   7ND</v>
          </cell>
        </row>
        <row r="28658">
          <cell r="B28658" t="str">
            <v>81040202190205</v>
          </cell>
          <cell r="C28658" t="str">
            <v>LPC COFIDE FONDO CRECER VEN CCOR\NORM   7ND</v>
          </cell>
        </row>
        <row r="28659">
          <cell r="B28659" t="str">
            <v>81040202190206</v>
          </cell>
          <cell r="C28659" t="str">
            <v>LPC COFIDE FONDO CRECER VEN CESP\NORM   7ND</v>
          </cell>
        </row>
        <row r="28660">
          <cell r="B28660" t="str">
            <v>81040202190207</v>
          </cell>
          <cell r="C28660" t="str">
            <v>LPC COFIDE FONDO CRECER VEN CGEM\NORM   7ND</v>
          </cell>
        </row>
        <row r="28661">
          <cell r="B28661" t="str">
            <v>81040202190208</v>
          </cell>
          <cell r="C28661" t="str">
            <v>LPC COFIDE FONDO CRECER VEN CIVA\NORM   7ND</v>
          </cell>
        </row>
        <row r="28662">
          <cell r="B28662" t="str">
            <v>81040202190209</v>
          </cell>
          <cell r="C28662" t="str">
            <v>LPC COFIDE FONDO CRECER VEN CMED\NORM   7ND</v>
          </cell>
        </row>
        <row r="28663">
          <cell r="B28663" t="str">
            <v>81040202190210</v>
          </cell>
          <cell r="C28663" t="str">
            <v>LPC COFIDE FONDO CRECER VEN CMIE\NORM   7ND</v>
          </cell>
        </row>
        <row r="28664">
          <cell r="B28664" t="str">
            <v>81040202190211</v>
          </cell>
          <cell r="C28664" t="str">
            <v>LPC COFIDE FONDO CRECER VEN CPEM\NORM   7ND</v>
          </cell>
        </row>
        <row r="28665">
          <cell r="B28665" t="str">
            <v>81040202190212</v>
          </cell>
          <cell r="C28665" t="str">
            <v>LPC COFIDE FONDO CRECER VEN CSOB\NORM   7ND</v>
          </cell>
        </row>
        <row r="28666">
          <cell r="B28666" t="str">
            <v>81040202190213</v>
          </cell>
          <cell r="C28666" t="str">
            <v>LPC COFIDE FONDO CRECER VEN CGEM\DUPE   7ND</v>
          </cell>
        </row>
        <row r="28667">
          <cell r="B28667" t="str">
            <v>81040202190214</v>
          </cell>
          <cell r="C28667" t="str">
            <v>LPC COFIDE FONDO CRECER VEN CMED\DUPE   7ND</v>
          </cell>
        </row>
        <row r="28668">
          <cell r="B28668" t="str">
            <v>81040202190215</v>
          </cell>
          <cell r="C28668" t="str">
            <v>LPC COFIDE FONDO CRECER VEN CMIE\DUPE   7ND</v>
          </cell>
        </row>
        <row r="28669">
          <cell r="B28669" t="str">
            <v>81040202190216</v>
          </cell>
          <cell r="C28669" t="str">
            <v>LPC COFIDE FONDO CRECER VEN CPEM\DUPE   7ND</v>
          </cell>
        </row>
        <row r="28670">
          <cell r="B28670" t="str">
            <v>81040202190217</v>
          </cell>
          <cell r="C28670" t="str">
            <v>LPC REACTIVA PERU VEN CBMD\NORM         7ND</v>
          </cell>
        </row>
        <row r="28671">
          <cell r="B28671" t="str">
            <v>81040202190218</v>
          </cell>
          <cell r="C28671" t="str">
            <v>LPC REACTIVA PERU VEN CCOR\NORM         7ND</v>
          </cell>
        </row>
        <row r="28672">
          <cell r="B28672" t="str">
            <v>81040202190219</v>
          </cell>
          <cell r="C28672" t="str">
            <v>LPC REACTIVA PERU VEN CESP\NORM         7ND</v>
          </cell>
        </row>
        <row r="28673">
          <cell r="B28673" t="str">
            <v>81040202190220</v>
          </cell>
          <cell r="C28673" t="str">
            <v>LPC REACTIVA PERU VEN CGEM\NORM         7ND</v>
          </cell>
        </row>
        <row r="28674">
          <cell r="B28674" t="str">
            <v>81040202190221</v>
          </cell>
          <cell r="C28674" t="str">
            <v>LPC REACTIVA PERU VEN CIVA\NORM         7ND</v>
          </cell>
        </row>
        <row r="28675">
          <cell r="B28675" t="str">
            <v>81040202190222</v>
          </cell>
          <cell r="C28675" t="str">
            <v>LPC REACTIVA PERU VEN CMED\NORM         7ND</v>
          </cell>
        </row>
        <row r="28676">
          <cell r="B28676" t="str">
            <v>81040202190223</v>
          </cell>
          <cell r="C28676" t="str">
            <v>LPC REACTIVA PERU VEN CMIE\NORM         7ND</v>
          </cell>
        </row>
        <row r="28677">
          <cell r="B28677" t="str">
            <v>81040202190224</v>
          </cell>
          <cell r="C28677" t="str">
            <v>LPC REACTIVA PERU VEN CPEM\NORM         7ND</v>
          </cell>
        </row>
        <row r="28678">
          <cell r="B28678" t="str">
            <v>81040202190225</v>
          </cell>
          <cell r="C28678" t="str">
            <v>LPC REACTIVA PERU VEN CSOB\NORM         7ND</v>
          </cell>
        </row>
        <row r="28679">
          <cell r="B28679" t="str">
            <v>81040202190226</v>
          </cell>
          <cell r="C28679" t="str">
            <v>LPC REACTIVA PERU VEN CGEM\DUPE         7ND</v>
          </cell>
        </row>
        <row r="28680">
          <cell r="B28680" t="str">
            <v>81040202190227</v>
          </cell>
          <cell r="C28680" t="str">
            <v>LPC REACTIVA PERU VEN CMED\DUPE         7ND</v>
          </cell>
        </row>
        <row r="28681">
          <cell r="B28681" t="str">
            <v>81040202190228</v>
          </cell>
          <cell r="C28681" t="str">
            <v>LPC REACTIVA PERU VEN CMIE\DUPE         7ND</v>
          </cell>
        </row>
        <row r="28682">
          <cell r="B28682" t="str">
            <v>81040202190229</v>
          </cell>
          <cell r="C28682" t="str">
            <v>LPC REACTIVA PERU VEN CPEM\DUPE         7ND</v>
          </cell>
        </row>
        <row r="28683">
          <cell r="B28683" t="str">
            <v>81040202190230</v>
          </cell>
          <cell r="C28683" t="str">
            <v>LPC COFIDE FONDOS CRECER CCOR VEN\NORM  7ND</v>
          </cell>
        </row>
        <row r="28684">
          <cell r="B28684" t="str">
            <v>81040202190231</v>
          </cell>
          <cell r="C28684" t="str">
            <v>LPC COFIDE FONDOS CRECER CGEM VEN\NORM  7ND</v>
          </cell>
        </row>
        <row r="28685">
          <cell r="B28685" t="str">
            <v>81040202190232</v>
          </cell>
          <cell r="C28685" t="str">
            <v>LPC COFIDE FONDOS CRECER CMED VEN\NORM  7ND</v>
          </cell>
        </row>
        <row r="28686">
          <cell r="B28686" t="str">
            <v>81040202190233</v>
          </cell>
          <cell r="C28686" t="str">
            <v>LPC COFIDE FONDOS CRECER CCOR VEN\DUPE  7ND</v>
          </cell>
        </row>
        <row r="28687">
          <cell r="B28687" t="str">
            <v>81040202190234</v>
          </cell>
          <cell r="C28687" t="str">
            <v>LPC COFIDE FONDOS CRECER CGEM VEN\DUPE  7ND</v>
          </cell>
        </row>
        <row r="28688">
          <cell r="B28688" t="str">
            <v>81040202190235</v>
          </cell>
          <cell r="C28688" t="str">
            <v>LPC COFIDE FONDOS CRECER CMED VEN\DUPE  7ND</v>
          </cell>
        </row>
        <row r="28689">
          <cell r="B28689" t="str">
            <v>81040202190236</v>
          </cell>
          <cell r="C28689" t="str">
            <v>LPC COFIDE FONDOS CRECER CCOR VEN\NORM  7ND</v>
          </cell>
        </row>
        <row r="28690">
          <cell r="B28690" t="str">
            <v>81040202190237</v>
          </cell>
          <cell r="C28690" t="str">
            <v>LPC COFIDE FONDOS CRECER CGEM VEN\NORM  7ND</v>
          </cell>
        </row>
        <row r="28691">
          <cell r="B28691" t="str">
            <v>81040202190238</v>
          </cell>
          <cell r="C28691" t="str">
            <v>LPC COFIDE FONDOS CRECER CMED VEN\NORM  7ND</v>
          </cell>
        </row>
        <row r="28692">
          <cell r="B28692" t="str">
            <v>81040202190239</v>
          </cell>
          <cell r="C28692" t="str">
            <v>LPC COFIDE FONDOS CRECER CCOR VEN\DUPE  7ND</v>
          </cell>
        </row>
        <row r="28693">
          <cell r="B28693" t="str">
            <v>81040202190240</v>
          </cell>
          <cell r="C28693" t="str">
            <v>LPC COFIDE FONDOS CRECER CGEM VEN\DUPE  7ND</v>
          </cell>
        </row>
        <row r="28694">
          <cell r="B28694" t="str">
            <v>81040202190241</v>
          </cell>
          <cell r="C28694" t="str">
            <v>LPC COFIDE FONDOS CRECER CMED VEN\DUPE  7ND</v>
          </cell>
        </row>
        <row r="28695">
          <cell r="B28695" t="str">
            <v>81040202190242</v>
          </cell>
          <cell r="C28695" t="str">
            <v>LPC INT SUSP PAGARE COVID_19 - VEN CGEM 7ND</v>
          </cell>
        </row>
        <row r="28696">
          <cell r="B28696" t="str">
            <v>81040202190243</v>
          </cell>
          <cell r="C28696" t="str">
            <v>LPC INT SUSP PAGARE COVID_19 - VEN CMED 7ND</v>
          </cell>
        </row>
        <row r="28697">
          <cell r="B28697" t="str">
            <v>81040202190244</v>
          </cell>
          <cell r="C28697" t="str">
            <v>LPC INT SUSP PAGARE COVID_19 - VEN  CCOR7ND</v>
          </cell>
        </row>
        <row r="28698">
          <cell r="B28698" t="str">
            <v>81040202190245</v>
          </cell>
          <cell r="C28698" t="str">
            <v>MYP REFINANC. COVID-19                  7ND</v>
          </cell>
        </row>
        <row r="28699">
          <cell r="B28699" t="str">
            <v>81040202190246</v>
          </cell>
          <cell r="C28699" t="str">
            <v>MYP REFINANC. COVID-19                  7ND</v>
          </cell>
        </row>
        <row r="28700">
          <cell r="B28700" t="str">
            <v>81040202190247</v>
          </cell>
          <cell r="C28700" t="str">
            <v>MYP REFINANC. COVID-19                  7ND</v>
          </cell>
        </row>
        <row r="28701">
          <cell r="B28701" t="str">
            <v>81040202190248</v>
          </cell>
          <cell r="C28701" t="str">
            <v>LPC REACTIVA PERU VEN CCOR\DUPE         7ND</v>
          </cell>
        </row>
        <row r="28702">
          <cell r="B28702" t="str">
            <v>81040202190249</v>
          </cell>
          <cell r="C28702" t="str">
            <v>MYP REFINANC. COVID-19                  7ND</v>
          </cell>
        </row>
        <row r="28703">
          <cell r="B28703" t="str">
            <v>81040202190250</v>
          </cell>
          <cell r="C28703" t="str">
            <v>LPC REPROG EM COVID-19 POST EMBARQUE VEN7ND</v>
          </cell>
        </row>
        <row r="28704">
          <cell r="B28704" t="str">
            <v>81040202190251</v>
          </cell>
          <cell r="C28704" t="str">
            <v>LPC REPROG EM COVID-19 PAG.COMERC VENC C7ND</v>
          </cell>
        </row>
        <row r="28705">
          <cell r="B28705" t="str">
            <v>81040202190252</v>
          </cell>
          <cell r="C28705" t="str">
            <v>LPC REPROG EM COVID-19 CGEM             7ND</v>
          </cell>
        </row>
        <row r="28706">
          <cell r="B28706" t="str">
            <v>81040202190253</v>
          </cell>
          <cell r="C28706" t="str">
            <v>LPC REPROG EM COVID-19 POST EMB INT CGEM7ND</v>
          </cell>
        </row>
        <row r="28707">
          <cell r="B28707" t="str">
            <v>81040202190254</v>
          </cell>
          <cell r="C28707" t="str">
            <v>LPC REPROG EM COVID-19 POST EMBARQUE VEN7ND</v>
          </cell>
        </row>
        <row r="28708">
          <cell r="B28708" t="str">
            <v>81040202190255</v>
          </cell>
          <cell r="C28708" t="str">
            <v>LPC REPROG EM COVID-19 POST EMBAR VENC C7ND</v>
          </cell>
        </row>
        <row r="28709">
          <cell r="B28709" t="str">
            <v>81040202190256</v>
          </cell>
          <cell r="C28709" t="str">
            <v>LPC REPROG EM COVID-19 POST EMB INT REFI7ND</v>
          </cell>
        </row>
        <row r="28710">
          <cell r="B28710" t="str">
            <v>81040202190257</v>
          </cell>
          <cell r="C28710" t="str">
            <v>LPC REPROG EM COVID-19 POST EMB INT CMED7ND</v>
          </cell>
        </row>
        <row r="28711">
          <cell r="B28711" t="str">
            <v>81040202190258</v>
          </cell>
          <cell r="C28711" t="str">
            <v>LPC REPROG EM COVID-19 PRE EMB          7ND</v>
          </cell>
        </row>
        <row r="28712">
          <cell r="B28712" t="str">
            <v>81040202190259</v>
          </cell>
          <cell r="C28712" t="str">
            <v>LPC REPROG EM COVID-19 POST EMB         7ND</v>
          </cell>
        </row>
        <row r="28713">
          <cell r="B28713" t="str">
            <v>81040202190260</v>
          </cell>
          <cell r="C28713" t="str">
            <v>LPC REPROG EM COVID-19 COMEX            7ND</v>
          </cell>
        </row>
        <row r="28714">
          <cell r="B28714" t="str">
            <v>81040202190261</v>
          </cell>
          <cell r="C28714" t="str">
            <v>LPC PAG. REPROG EM COVID-19             7ND</v>
          </cell>
        </row>
        <row r="28715">
          <cell r="B28715" t="str">
            <v>81040202190262</v>
          </cell>
          <cell r="C28715" t="str">
            <v>BTC INTERES CREDITO VENCIDO             7ND</v>
          </cell>
        </row>
        <row r="28716">
          <cell r="B28716" t="str">
            <v>81040202190266</v>
          </cell>
          <cell r="C28716" t="str">
            <v>LPC PAG MEDIANO PLAZO COVID-19 VENC CCOR7ND</v>
          </cell>
        </row>
        <row r="28717">
          <cell r="B28717" t="str">
            <v>81040202190267</v>
          </cell>
          <cell r="C28717" t="str">
            <v>LPC PAG MEDIANO PLAZO COVID-19 VENC CGEM7ND</v>
          </cell>
        </row>
        <row r="28718">
          <cell r="B28718" t="str">
            <v>81040202190268</v>
          </cell>
          <cell r="C28718" t="str">
            <v>LPC PAG MEDIANO PLAZO COVID-19 VENC CMED7ND</v>
          </cell>
        </row>
        <row r="28719">
          <cell r="B28719" t="str">
            <v>81040202190269</v>
          </cell>
          <cell r="C28719" t="str">
            <v>LPC PAG.INMOB. REPROG-SUSPENSO VEN CPEM 7ND</v>
          </cell>
        </row>
        <row r="28720">
          <cell r="B28720" t="str">
            <v>81040202190270</v>
          </cell>
          <cell r="C28720" t="str">
            <v>JCC PRE.JUD. INT SUSP REACTIVA PERU     7ND</v>
          </cell>
        </row>
        <row r="28721">
          <cell r="B28721" t="str">
            <v>81040202190271</v>
          </cell>
          <cell r="C28721" t="str">
            <v>LPC PAG.INMOB. REPROG-SUSPENSO VEN CPEM 7ND</v>
          </cell>
        </row>
        <row r="28722">
          <cell r="B28722" t="str">
            <v>81040202190282</v>
          </cell>
          <cell r="C28722" t="str">
            <v>LPC 30K REACTIVA CORTO PLAZO REPROG VEN 7 D</v>
          </cell>
        </row>
        <row r="28723">
          <cell r="B28723" t="str">
            <v>81040202190283</v>
          </cell>
          <cell r="C28723" t="str">
            <v>LPC 30K REACTIVA CORTO PLAZO REPROG VEN 7 D</v>
          </cell>
        </row>
        <row r="28724">
          <cell r="B28724" t="str">
            <v>81040202190284</v>
          </cell>
          <cell r="C28724" t="str">
            <v>LPC 30K REACTIVA CORTO PLAZO REPROG VEN 7 D</v>
          </cell>
        </row>
        <row r="28725">
          <cell r="B28725" t="str">
            <v>81040202190285</v>
          </cell>
          <cell r="C28725" t="str">
            <v>LPC 30K REACTIVA CORTO PLAZO REPROG VEN 7 D</v>
          </cell>
        </row>
        <row r="28726">
          <cell r="B28726" t="str">
            <v>81040202190286</v>
          </cell>
          <cell r="C28726" t="str">
            <v>LPC 30K REACTIVA CORTO PLAZO REPROG VEN 7 D</v>
          </cell>
        </row>
        <row r="28727">
          <cell r="B28727" t="str">
            <v>81040202190287</v>
          </cell>
          <cell r="C28727" t="str">
            <v>LPC 30K REACTIVA CORTO PLAZO REPROG VEN 7 D</v>
          </cell>
        </row>
        <row r="28728">
          <cell r="B28728" t="str">
            <v>81040202190288</v>
          </cell>
          <cell r="C28728" t="str">
            <v>LPC 30K REACTIVA CORTO PLAZO REPROG VEN 7 D</v>
          </cell>
        </row>
        <row r="28729">
          <cell r="B28729" t="str">
            <v>81040202190289</v>
          </cell>
          <cell r="C28729" t="str">
            <v>LPC 30K REACTIVA CORTO PLAZO REPROG VEN 7 D</v>
          </cell>
        </row>
        <row r="28730">
          <cell r="B28730" t="str">
            <v>81040202190290</v>
          </cell>
          <cell r="C28730" t="str">
            <v>LPC 30K REACTIVA CORTO PLAZO REPROG VEN 7 D</v>
          </cell>
        </row>
        <row r="28731">
          <cell r="B28731" t="str">
            <v>81040202190291</v>
          </cell>
          <cell r="C28731" t="str">
            <v>LPC 30K REACTIVA CORTO PLAZO REPROG VEN 7 D</v>
          </cell>
        </row>
        <row r="28732">
          <cell r="B28732" t="str">
            <v>81040202190292</v>
          </cell>
          <cell r="C28732" t="str">
            <v>MYP REACTIVA REPROG VEN CMED            7 D</v>
          </cell>
        </row>
        <row r="28733">
          <cell r="B28733" t="str">
            <v>81040202190293</v>
          </cell>
          <cell r="C28733" t="str">
            <v>MYP REACTIVA REPROG VEN CMIE            7 D</v>
          </cell>
        </row>
        <row r="28734">
          <cell r="B28734" t="str">
            <v>81040202190294</v>
          </cell>
          <cell r="C28734" t="str">
            <v>MYP REACTIVA REPROG VEN CPEM            7 D</v>
          </cell>
        </row>
        <row r="28735">
          <cell r="B28735" t="str">
            <v>81040202190295</v>
          </cell>
          <cell r="C28735" t="str">
            <v>JCC PRE.JUD. INT SUSP REACTIVA PERU     7 D</v>
          </cell>
        </row>
        <row r="28736">
          <cell r="B28736" t="str">
            <v>81040202190296</v>
          </cell>
          <cell r="C28736" t="str">
            <v>JCC BTC PRE JUD RAPPIBANK INTERESES     7 D</v>
          </cell>
        </row>
        <row r="28737">
          <cell r="B28737" t="str">
            <v>81040202190297</v>
          </cell>
          <cell r="C28737" t="str">
            <v>JCC PRE.JUD. INT SUSP FONDO CRECER      7 D</v>
          </cell>
        </row>
        <row r="28738">
          <cell r="B28738" t="str">
            <v>81040202190298</v>
          </cell>
          <cell r="C28738" t="str">
            <v>JCC PRE.JUD. INT SUSP FONDO CRECER      7 D</v>
          </cell>
        </row>
        <row r="28739">
          <cell r="B28739" t="str">
            <v>81040202190299</v>
          </cell>
          <cell r="C28739" t="str">
            <v>JCC PRE.JUD. INT SUSP REACTIVA PRE-HONRA7 D</v>
          </cell>
        </row>
        <row r="28740">
          <cell r="B28740" t="str">
            <v>81040202190300</v>
          </cell>
          <cell r="C28740" t="str">
            <v>JCC PRE.JUD. INT SUSP REACTIVA PRE-HONRA7 D</v>
          </cell>
        </row>
        <row r="28741">
          <cell r="B28741" t="str">
            <v>81040202190301</v>
          </cell>
          <cell r="C28741" t="str">
            <v>LPC REFINANCIADO REACTIVA CGEM VEN      7 D</v>
          </cell>
        </row>
        <row r="28742">
          <cell r="B28742" t="str">
            <v>81040202190302</v>
          </cell>
          <cell r="C28742" t="str">
            <v>LPC REFINANCIADO REACTIVA CMED VEN      7 D</v>
          </cell>
        </row>
        <row r="28743">
          <cell r="B28743" t="str">
            <v>81040202190303</v>
          </cell>
          <cell r="C28743" t="str">
            <v>LPC REFINANCIADO REACTIVA CCOR VEN      7 D</v>
          </cell>
        </row>
        <row r="28744">
          <cell r="B28744" t="str">
            <v>81040202190304</v>
          </cell>
          <cell r="C28744" t="str">
            <v>LPC REFINANCIADO REACTIVA CMIE VEN      7 D</v>
          </cell>
        </row>
        <row r="28745">
          <cell r="B28745" t="str">
            <v>81040202190305</v>
          </cell>
          <cell r="C28745" t="str">
            <v>LPC REFINANCIADO REACTIVA CPEM VEN      7 D</v>
          </cell>
        </row>
        <row r="28746">
          <cell r="B28746" t="str">
            <v>81040202190306</v>
          </cell>
          <cell r="C28746" t="str">
            <v>LPC REPROG REACTIVA DIFE CCOR VEN       7 D</v>
          </cell>
        </row>
        <row r="28747">
          <cell r="B28747" t="str">
            <v>81040202190307</v>
          </cell>
          <cell r="C28747" t="str">
            <v>LPC REPROG REACTIVA DIFE CGEM VEN       7 D</v>
          </cell>
        </row>
        <row r="28748">
          <cell r="B28748" t="str">
            <v>81040202190308</v>
          </cell>
          <cell r="C28748" t="str">
            <v>LPC REPROG REACTIVA DIFE CMED VEN       7 D</v>
          </cell>
        </row>
        <row r="28749">
          <cell r="B28749" t="str">
            <v>81040202190309</v>
          </cell>
          <cell r="C28749" t="str">
            <v>LPC REPROG REACTIVA DIFE CPEM VEN       7 D</v>
          </cell>
        </row>
        <row r="28750">
          <cell r="B28750" t="str">
            <v>81040202190310</v>
          </cell>
          <cell r="C28750" t="str">
            <v>LPC REPROG REACTIVA DIFE CMIE VEN       7 D</v>
          </cell>
        </row>
        <row r="28751">
          <cell r="B28751" t="str">
            <v>81040202190311</v>
          </cell>
          <cell r="C28751" t="str">
            <v>LPC PRE EMBARQUE FONDOS CRECER CPEM VEN\7ND</v>
          </cell>
        </row>
        <row r="28752">
          <cell r="B28752" t="str">
            <v>81040202190312</v>
          </cell>
          <cell r="C28752" t="str">
            <v>LPC PRE EMBARQUE FONDOS CRECER CPEM VEN\7ND</v>
          </cell>
        </row>
        <row r="28753">
          <cell r="B28753" t="str">
            <v>81040202190313</v>
          </cell>
          <cell r="C28753" t="str">
            <v>LPC REPROG REACTIVA DS.011-2022 CCOR NOR7 D</v>
          </cell>
        </row>
        <row r="28754">
          <cell r="B28754" t="str">
            <v>81040202190314</v>
          </cell>
          <cell r="C28754" t="str">
            <v>LPC REPROG REACTIVA DS.011-2022 CCOR DUP7 D</v>
          </cell>
        </row>
        <row r="28755">
          <cell r="B28755" t="str">
            <v>81040202190315</v>
          </cell>
          <cell r="C28755" t="str">
            <v>LPC REPROG REACTIVA DS.011-2022 CGEM NOR7 D</v>
          </cell>
        </row>
        <row r="28756">
          <cell r="B28756" t="str">
            <v>81040202190316</v>
          </cell>
          <cell r="C28756" t="str">
            <v>LPC REPROG REACTIVA DS.011-2022 CMED NOR7 D</v>
          </cell>
        </row>
        <row r="28757">
          <cell r="B28757" t="str">
            <v>81040202190317</v>
          </cell>
          <cell r="C28757" t="str">
            <v>LPC REPROG REACTIVA DS.011-2022 CMIE NOR7 D</v>
          </cell>
        </row>
        <row r="28758">
          <cell r="B28758" t="str">
            <v>81040202190318</v>
          </cell>
          <cell r="C28758" t="str">
            <v>LPC REPROG REACTIVA DS.011-2022 CPEM NOR7 D</v>
          </cell>
        </row>
        <row r="28759">
          <cell r="B28759" t="str">
            <v>81040202190319</v>
          </cell>
          <cell r="C28759" t="str">
            <v>LPC REPROG REACTIVA DS.011-2022 CGEM DUP7 D</v>
          </cell>
        </row>
        <row r="28760">
          <cell r="B28760" t="str">
            <v>81040202190320</v>
          </cell>
          <cell r="C28760" t="str">
            <v>LPC REPROG REACTIVA DS.011-2022 CMED DUP7 D</v>
          </cell>
        </row>
        <row r="28761">
          <cell r="B28761" t="str">
            <v>81040202190321</v>
          </cell>
          <cell r="C28761" t="str">
            <v>LPC REPROG REACTIVA DS.011-2022 CMIE DUP7 D</v>
          </cell>
        </row>
        <row r="28762">
          <cell r="B28762" t="str">
            <v>81040202190322</v>
          </cell>
          <cell r="C28762" t="str">
            <v>LPC REPROG REACTIVA DS.011-2022 CPEM DUP7 D</v>
          </cell>
        </row>
        <row r="28763">
          <cell r="B28763" t="str">
            <v>81040202190323</v>
          </cell>
          <cell r="C28763" t="str">
            <v>MYP REPROG REACTIVA DS.011-2022 CGEM NOR7ND</v>
          </cell>
        </row>
        <row r="28764">
          <cell r="B28764" t="str">
            <v>81040202190324</v>
          </cell>
          <cell r="C28764" t="str">
            <v>MYP REPROG REACTIVA DS.011-2022 CGEM DUP7 D</v>
          </cell>
        </row>
        <row r="28765">
          <cell r="B28765" t="str">
            <v>81040202190325</v>
          </cell>
          <cell r="C28765" t="str">
            <v>MYP REPROG REACTIVA DS.011-2022 CMED NOR7 D</v>
          </cell>
        </row>
        <row r="28766">
          <cell r="B28766" t="str">
            <v>81040202190326</v>
          </cell>
          <cell r="C28766" t="str">
            <v>MYP REPROG REACTIVA DS.011-2022 CMED DUP7 D</v>
          </cell>
        </row>
        <row r="28767">
          <cell r="B28767" t="str">
            <v>81040202190327</v>
          </cell>
          <cell r="C28767" t="str">
            <v>MYP REPROG REACTIVA DS.011-2022 CMIE NOR7 D</v>
          </cell>
        </row>
        <row r="28768">
          <cell r="B28768" t="str">
            <v>81040202190328</v>
          </cell>
          <cell r="C28768" t="str">
            <v>MYP REPROG REACTIVA DS.011-2022 CMIE DUP7 D</v>
          </cell>
        </row>
        <row r="28769">
          <cell r="B28769" t="str">
            <v>81040202190329</v>
          </cell>
          <cell r="C28769" t="str">
            <v>MYP REPROG REACTIVA DS.011-2022 CPEM NOR7 D</v>
          </cell>
        </row>
        <row r="28770">
          <cell r="B28770" t="str">
            <v>81040202190330</v>
          </cell>
          <cell r="C28770" t="str">
            <v>MYP REPROG REACTIVA DS.011-2022 CPEM DUP7 D</v>
          </cell>
        </row>
        <row r="28771">
          <cell r="B28771" t="str">
            <v>81040202190331</v>
          </cell>
          <cell r="C28771" t="str">
            <v>JCC PREJUD CONSU PREFERENTE CMED        7ND</v>
          </cell>
        </row>
        <row r="28772">
          <cell r="B28772" t="str">
            <v>81040202190332</v>
          </cell>
          <cell r="C28772" t="str">
            <v>HPC INT X COB CONV PRIVADO NRV VEN      7ND</v>
          </cell>
        </row>
        <row r="28773">
          <cell r="B28773" t="str">
            <v>81040202190333</v>
          </cell>
          <cell r="C28773" t="str">
            <v>HPC INT X COB CONV PRIVADO ME VEN       7ND</v>
          </cell>
        </row>
        <row r="28774">
          <cell r="B28774" t="str">
            <v>81040202190373</v>
          </cell>
          <cell r="C28774" t="str">
            <v>MYP INT.X.COB CAP_TRAB_CIMA CMIE VEN NOR7 D</v>
          </cell>
        </row>
        <row r="28775">
          <cell r="B28775" t="str">
            <v>81040202190374</v>
          </cell>
          <cell r="C28775" t="str">
            <v>MYP INT.X.COB CAP_TRAB_CIMA CMED VEN NOR7 D</v>
          </cell>
        </row>
        <row r="28776">
          <cell r="B28776" t="str">
            <v>81040202190375</v>
          </cell>
          <cell r="C28776" t="str">
            <v>MYP INT.X.COB CAP_TRAB_CIMA CPEM VEN NOR7 D</v>
          </cell>
        </row>
        <row r="28777">
          <cell r="B28777" t="str">
            <v>81040202190376</v>
          </cell>
          <cell r="C28777" t="str">
            <v>MYP INT.X.COB CAP_TRAB_CIMA CMIE VEN DUP7 D</v>
          </cell>
        </row>
        <row r="28778">
          <cell r="B28778" t="str">
            <v>81040202190377</v>
          </cell>
          <cell r="C28778" t="str">
            <v>MYP INT.X.COB CAP_TRAB_CIMA CMED VEN DUP7 D</v>
          </cell>
        </row>
        <row r="28779">
          <cell r="B28779" t="str">
            <v>81040202190378</v>
          </cell>
          <cell r="C28779" t="str">
            <v>MYP INT.X.COB CAP_TRAB_CIMA CPEM VEN DUP7 D</v>
          </cell>
        </row>
        <row r="28780">
          <cell r="B28780" t="str">
            <v>81040202190379</v>
          </cell>
          <cell r="C28780" t="str">
            <v>MYP REFINANCIADO CIMA INT.X.COB. CMIE VE7 D</v>
          </cell>
        </row>
        <row r="28781">
          <cell r="B28781" t="str">
            <v>81040202190380</v>
          </cell>
          <cell r="C28781" t="str">
            <v>MYP REFINANCIADO CIMA INT.X.COB. CMED VE7 D</v>
          </cell>
        </row>
        <row r="28782">
          <cell r="B28782" t="str">
            <v>81040202190381</v>
          </cell>
          <cell r="C28782" t="str">
            <v>MYP REFINANCIADO CIMA INT.X.COB. CPEM VE7 D</v>
          </cell>
        </row>
        <row r="28783">
          <cell r="B28783" t="str">
            <v>81040202190382</v>
          </cell>
          <cell r="C28783" t="str">
            <v>MYP REPROGRAMADO CIMA INT.X.COB. CMED VE7 D</v>
          </cell>
        </row>
        <row r="28784">
          <cell r="B28784" t="str">
            <v>81040202190383</v>
          </cell>
          <cell r="C28784" t="str">
            <v>MYP REPROGRAMADO CIMA INT.X.COB. CMED VE7 D</v>
          </cell>
        </row>
        <row r="28785">
          <cell r="B28785" t="str">
            <v>81040202190384</v>
          </cell>
          <cell r="C28785" t="str">
            <v>MYP REPROGRAMADO CIMA INT.X.COB. CMIE VE7 D</v>
          </cell>
        </row>
        <row r="28786">
          <cell r="B28786" t="str">
            <v>81040202190385</v>
          </cell>
          <cell r="C28786" t="str">
            <v>MYP REPROGRAMADO CIMA INT.X.COB. CMIE VE7 D</v>
          </cell>
        </row>
        <row r="28787">
          <cell r="B28787" t="str">
            <v>81040202190386</v>
          </cell>
          <cell r="C28787" t="str">
            <v>MYP REPROGRAMADO CIMA INT.X.COB. CPEM VE7 D</v>
          </cell>
        </row>
        <row r="28788">
          <cell r="B28788" t="str">
            <v>81040202190387</v>
          </cell>
          <cell r="C28788" t="str">
            <v>MYP REPROGRAMADO CIMA INT.X.COB. CPEM VE7 D</v>
          </cell>
        </row>
        <row r="28789">
          <cell r="B28789" t="str">
            <v>81040202190388</v>
          </cell>
          <cell r="C28789" t="str">
            <v>LPC RP MED PZ PREST VERDE-SOCIAL INT CGE7 D</v>
          </cell>
        </row>
        <row r="28790">
          <cell r="B28790" t="str">
            <v>81040202190389</v>
          </cell>
          <cell r="C28790" t="str">
            <v>LPC RP MED PZ PREST VERDE-SOCIAL INT CGE7 D</v>
          </cell>
        </row>
        <row r="28791">
          <cell r="B28791" t="str">
            <v>81040202190390</v>
          </cell>
          <cell r="C28791" t="str">
            <v>LPC RP MED PZ PREST VERDE-SOCIAL INT CCO7 D</v>
          </cell>
        </row>
        <row r="28792">
          <cell r="B28792" t="str">
            <v>81040202190391</v>
          </cell>
          <cell r="C28792" t="str">
            <v>LPC RP MED PZ PREST VERDE-SOCIAL INT CCO7 D</v>
          </cell>
        </row>
        <row r="28793">
          <cell r="B28793" t="str">
            <v>81040202190392</v>
          </cell>
          <cell r="C28793" t="str">
            <v>LPC RP MED PZ PREST VERDE-SOCIAL INT CME7 D</v>
          </cell>
        </row>
        <row r="28794">
          <cell r="B28794" t="str">
            <v>81040202190393</v>
          </cell>
          <cell r="C28794" t="str">
            <v>LPC RP MED PZ PREST VERDE-SOCIAL INT CME7 D</v>
          </cell>
        </row>
        <row r="28795">
          <cell r="B28795" t="str">
            <v>81040202190394</v>
          </cell>
          <cell r="C28795" t="str">
            <v>LPC RP MED PZ PREST SOSTENIBLE INT CGEM 7 D</v>
          </cell>
        </row>
        <row r="28796">
          <cell r="B28796" t="str">
            <v>81040202190395</v>
          </cell>
          <cell r="C28796" t="str">
            <v>LPC RP MED PZ PREST SOSTENIBLE INT CGEM 7 D</v>
          </cell>
        </row>
        <row r="28797">
          <cell r="B28797" t="str">
            <v>81040202190396</v>
          </cell>
          <cell r="C28797" t="str">
            <v>LPC RP MED PZ PREST SOSTENIBLE INT CCOR 7 D</v>
          </cell>
        </row>
        <row r="28798">
          <cell r="B28798" t="str">
            <v>81040202190397</v>
          </cell>
          <cell r="C28798" t="str">
            <v>LPC RP MED PZ PREST SOSTENIBLE INT CCOR 7 D</v>
          </cell>
        </row>
        <row r="28799">
          <cell r="B28799" t="str">
            <v>81040202190398</v>
          </cell>
          <cell r="C28799" t="str">
            <v>LPC RP MED PZ PREST SOSTENIBLE INT CMED 7 D</v>
          </cell>
        </row>
        <row r="28800">
          <cell r="B28800" t="str">
            <v>81040202190399</v>
          </cell>
          <cell r="C28800" t="str">
            <v>LPC RP MED PZ PREST SOSTENIBLE INT CMED 7 D</v>
          </cell>
        </row>
        <row r="28801">
          <cell r="B28801" t="str">
            <v>81040202190400</v>
          </cell>
          <cell r="C28801" t="str">
            <v>HPC MICROPRESTAMOS INT X COB VEN NORM   7 D</v>
          </cell>
        </row>
        <row r="28802">
          <cell r="B28802" t="str">
            <v>81040202190401</v>
          </cell>
          <cell r="C28802" t="str">
            <v>HPC MICROPRESTAMOS INT X COB VEN DUPE   7 D</v>
          </cell>
        </row>
        <row r="28803">
          <cell r="B28803" t="str">
            <v>81040202190402</v>
          </cell>
          <cell r="C28803" t="str">
            <v>LPC PAG FINAN PROY VERDE-SOCIAL CCOR DUP7 D</v>
          </cell>
        </row>
        <row r="28804">
          <cell r="B28804" t="str">
            <v>81040202190403</v>
          </cell>
          <cell r="C28804" t="str">
            <v>LPC PAG FINAN PROY VERDE-SOCIAL CCOR NOR7 D</v>
          </cell>
        </row>
        <row r="28805">
          <cell r="B28805" t="str">
            <v>81040202190404</v>
          </cell>
          <cell r="C28805" t="str">
            <v>LPC PAG FINAN PROY VERDE-SOCIAL CMED DUP7 D</v>
          </cell>
        </row>
        <row r="28806">
          <cell r="B28806" t="str">
            <v>81040202190405</v>
          </cell>
          <cell r="C28806" t="str">
            <v>LPC PAG FINAN PROY VERDE-SOCIAL CMED NOR7 D</v>
          </cell>
        </row>
        <row r="28807">
          <cell r="B28807" t="str">
            <v>81040202190406</v>
          </cell>
          <cell r="C28807" t="str">
            <v>LPC PAG FINAN PROY VERDE-SOCIAL CGEM DUP7 D</v>
          </cell>
        </row>
        <row r="28808">
          <cell r="B28808" t="str">
            <v>81040202190407</v>
          </cell>
          <cell r="C28808" t="str">
            <v>LPC PAG FINAN PROY VERDE-SOCIAL CGEM NOR7 D</v>
          </cell>
        </row>
        <row r="28809">
          <cell r="B28809" t="str">
            <v>81040202190408</v>
          </cell>
          <cell r="C28809" t="str">
            <v>LPC PAG FINAN PROY VERDE-SOCIAL CCOR DUP7 D</v>
          </cell>
        </row>
        <row r="28810">
          <cell r="B28810" t="str">
            <v>81040202190409</v>
          </cell>
          <cell r="C28810" t="str">
            <v>LPC PAG FINAN PROY VERDE-SOCIAL CCOR NOR7 D</v>
          </cell>
        </row>
        <row r="28811">
          <cell r="B28811" t="str">
            <v>81040202190410</v>
          </cell>
          <cell r="C28811" t="str">
            <v>LPC PAG FINAN PROY VERDE-SOCIAL CMED DUP7 D</v>
          </cell>
        </row>
        <row r="28812">
          <cell r="B28812" t="str">
            <v>81040202190411</v>
          </cell>
          <cell r="C28812" t="str">
            <v>LPC PAG FINAN PROY VERDE-SOCIAL CMED NOR7 D</v>
          </cell>
        </row>
        <row r="28813">
          <cell r="B28813" t="str">
            <v>81040202190412</v>
          </cell>
          <cell r="C28813" t="str">
            <v>LPC PAG FINAN PROY VERDE-SOCIAL CGEM DUP7 D</v>
          </cell>
        </row>
        <row r="28814">
          <cell r="B28814" t="str">
            <v>81040202190413</v>
          </cell>
          <cell r="C28814" t="str">
            <v>LPC PAG FINAN PROY VERDE-SOCIAL CGEM NOR7 D</v>
          </cell>
        </row>
        <row r="28815">
          <cell r="B28815" t="str">
            <v>81040202190414</v>
          </cell>
          <cell r="C28815" t="str">
            <v>LPC PAG BIENES INMB RENT VERD-SOCIAL CCO7 D</v>
          </cell>
        </row>
        <row r="28816">
          <cell r="B28816" t="str">
            <v>81040202190415</v>
          </cell>
          <cell r="C28816" t="str">
            <v>LPC PAG BIENES INMB RENT VERD-SOCIAL CCO7 D</v>
          </cell>
        </row>
        <row r="28817">
          <cell r="B28817" t="str">
            <v>81040202190416</v>
          </cell>
          <cell r="C28817" t="str">
            <v>LPC PAG BIENES INMB RENT VERD-SOCIAL CME7 D</v>
          </cell>
        </row>
        <row r="28818">
          <cell r="B28818" t="str">
            <v>81040202190417</v>
          </cell>
          <cell r="C28818" t="str">
            <v>LPC PAG BIENES INMB RENT VERD-SOCIAL CME7 D</v>
          </cell>
        </row>
        <row r="28819">
          <cell r="B28819" t="str">
            <v>81040202190418</v>
          </cell>
          <cell r="C28819" t="str">
            <v>LPC PAG BIENES INMB RENT VERD-SOCIAL CGE7 D</v>
          </cell>
        </row>
        <row r="28820">
          <cell r="B28820" t="str">
            <v>81040202190419</v>
          </cell>
          <cell r="C28820" t="str">
            <v>LPC PAG BIENES INMB RENT VERD-SOCIAL CGE7 D</v>
          </cell>
        </row>
        <row r="28821">
          <cell r="B28821" t="str">
            <v>81040202190420</v>
          </cell>
          <cell r="C28821" t="str">
            <v>LPC PAG BIEN INMB RENT VINC-SOSTENIB CCO7 D</v>
          </cell>
        </row>
        <row r="28822">
          <cell r="B28822" t="str">
            <v>81040202190421</v>
          </cell>
          <cell r="C28822" t="str">
            <v>LPC PAG BIEN INMB RENT VINC-SOSTENIB CCO7 D</v>
          </cell>
        </row>
        <row r="28823">
          <cell r="B28823" t="str">
            <v>81040202190422</v>
          </cell>
          <cell r="C28823" t="str">
            <v>LPC PAG BIEN INMB RENT VINC-SOSTENIB CME7 D</v>
          </cell>
        </row>
        <row r="28824">
          <cell r="B28824" t="str">
            <v>81040202190423</v>
          </cell>
          <cell r="C28824" t="str">
            <v>LPC PAG BIEN INMB RENT VINC-SOSTENIB CME7 D</v>
          </cell>
        </row>
        <row r="28825">
          <cell r="B28825" t="str">
            <v>81040202190424</v>
          </cell>
          <cell r="C28825" t="str">
            <v>LPC PAG BIEN INMB RENT VINC-SOSTENIB CGE7 D</v>
          </cell>
        </row>
        <row r="28826">
          <cell r="B28826" t="str">
            <v>81040202190425</v>
          </cell>
          <cell r="C28826" t="str">
            <v>LPC PAG BIEN INMB RENT VINC-SOSTENIB CGE7 D</v>
          </cell>
        </row>
        <row r="28827">
          <cell r="B28827" t="str">
            <v>81040202190426</v>
          </cell>
          <cell r="C28827" t="str">
            <v>MYP REPROG REACTIVA 2023 CMIE DUPE VEN I7 D</v>
          </cell>
        </row>
        <row r="28828">
          <cell r="B28828" t="str">
            <v>81040202190427</v>
          </cell>
          <cell r="C28828" t="str">
            <v>MYP REPROG REACTIVA 2023 CMED NORM VEN I7 D</v>
          </cell>
        </row>
        <row r="28829">
          <cell r="B28829" t="str">
            <v>81040202190428</v>
          </cell>
          <cell r="C28829" t="str">
            <v>MYP REPROG REACTIVA 2023 CMED DUPE VEN I7 D</v>
          </cell>
        </row>
        <row r="28830">
          <cell r="B28830" t="str">
            <v>81040202190429</v>
          </cell>
          <cell r="C28830" t="str">
            <v>MYP REPROG REACTIVA 2023 CMIE NORM VEN I7 D</v>
          </cell>
        </row>
        <row r="28831">
          <cell r="B28831" t="str">
            <v>81040202190430</v>
          </cell>
          <cell r="C28831" t="str">
            <v>MYP REPROG REACTIVA 2023 CMIE DUPE VEN I7 D</v>
          </cell>
        </row>
        <row r="28832">
          <cell r="B28832" t="str">
            <v>81040202190431</v>
          </cell>
          <cell r="C28832" t="str">
            <v>MYP REPROG REACTIVA 2023 CPEM NORM VEN I7 D</v>
          </cell>
        </row>
        <row r="28833">
          <cell r="B28833" t="str">
            <v>81040202190432</v>
          </cell>
          <cell r="C28833" t="str">
            <v>MYP REPROG REACTIVA 2023 CPEM DUPE VEN I7 D</v>
          </cell>
        </row>
        <row r="28834">
          <cell r="B28834" t="str">
            <v>81040202190433</v>
          </cell>
          <cell r="C28834" t="str">
            <v>LPC REPROG REACTIVA 2023 VEN CCOR NORM I7 D</v>
          </cell>
        </row>
        <row r="28835">
          <cell r="B28835" t="str">
            <v>81040202190434</v>
          </cell>
          <cell r="C28835" t="str">
            <v>LPC REPROG REACTIVA 2023 VEN CCOR DUPE I7 D</v>
          </cell>
        </row>
        <row r="28836">
          <cell r="B28836" t="str">
            <v>81040202190435</v>
          </cell>
          <cell r="C28836" t="str">
            <v>LPC REPROG REACTIVA 2023 VEN CGEM NORM I7 D</v>
          </cell>
        </row>
        <row r="28837">
          <cell r="B28837" t="str">
            <v>81040202190436</v>
          </cell>
          <cell r="C28837" t="str">
            <v>LPC REPROG REACTIVA 2023 VEN CGEM DUPE I7 D</v>
          </cell>
        </row>
        <row r="28838">
          <cell r="B28838" t="str">
            <v>81040202190437</v>
          </cell>
          <cell r="C28838" t="str">
            <v>LPC REPROG REACTIVA 2023 VEN CMED NORM I7 D</v>
          </cell>
        </row>
        <row r="28839">
          <cell r="B28839" t="str">
            <v>81040202190438</v>
          </cell>
          <cell r="C28839" t="str">
            <v>LPC REPROG REACTIVA 2023 VEN CMED DUPE I7 D</v>
          </cell>
        </row>
        <row r="28840">
          <cell r="B28840" t="str">
            <v>81040202190439</v>
          </cell>
          <cell r="C28840" t="str">
            <v>LPC REPROG REACTIVA 2023 VEN CMIE NORM I7 D</v>
          </cell>
        </row>
        <row r="28841">
          <cell r="B28841" t="str">
            <v>81040202190440</v>
          </cell>
          <cell r="C28841" t="str">
            <v>LPC REPROG REACTIVA 2023 VEN CMIE DUPE I7 D</v>
          </cell>
        </row>
        <row r="28842">
          <cell r="B28842" t="str">
            <v>81040202190441</v>
          </cell>
          <cell r="C28842" t="str">
            <v>LPC REPROG REACTIVA 2023 VEN CPEM NORM I7 D</v>
          </cell>
        </row>
        <row r="28843">
          <cell r="B28843" t="str">
            <v>81040202190442</v>
          </cell>
          <cell r="C28843" t="str">
            <v>LPC REPROG REACTIVA 2023 VEN CPEM DUPE I7 D</v>
          </cell>
        </row>
        <row r="28844">
          <cell r="B28844" t="str">
            <v>81040202190443</v>
          </cell>
          <cell r="C28844" t="str">
            <v>MYP CAP. TRAB - PAGARE DIGITAL_INT CGEM 7 D</v>
          </cell>
        </row>
        <row r="28845">
          <cell r="B28845" t="str">
            <v>81040202190444</v>
          </cell>
          <cell r="C28845" t="str">
            <v>MYP CAP. TRAB - PAGARE DIGITAL_INT CGEM 7 D</v>
          </cell>
        </row>
        <row r="28846">
          <cell r="B28846" t="str">
            <v>81040202190445</v>
          </cell>
          <cell r="C28846" t="str">
            <v>MYP CAP. TRAB - PAGARE DIGITAL_INT CMIE 7 D</v>
          </cell>
        </row>
        <row r="28847">
          <cell r="B28847" t="str">
            <v>81040202190446</v>
          </cell>
          <cell r="C28847" t="str">
            <v>MYP CAP. TRAB - PAGARE DIGITAL_INT CMIE 7 D</v>
          </cell>
        </row>
        <row r="28848">
          <cell r="B28848" t="str">
            <v>81040202190447</v>
          </cell>
          <cell r="C28848" t="str">
            <v>MYP CAP. TRAB - PAGARE DIGITAL_INT CPEM 7 D</v>
          </cell>
        </row>
        <row r="28849">
          <cell r="B28849" t="str">
            <v>81040202190448</v>
          </cell>
          <cell r="C28849" t="str">
            <v>MYP CAP. TRAB - PAGARE DIGITAL_INT CMED 7 D</v>
          </cell>
        </row>
        <row r="28850">
          <cell r="B28850" t="str">
            <v>81040202190449</v>
          </cell>
          <cell r="C28850" t="str">
            <v>MYP CAP. TRAB - PAGARE DIGITAL_INT CPEM 7 D</v>
          </cell>
        </row>
        <row r="28851">
          <cell r="B28851" t="str">
            <v>81040202190450</v>
          </cell>
          <cell r="C28851" t="str">
            <v>MYP CAP. TRAB - PAGARE DIGITAL_INT CMED 7 D</v>
          </cell>
        </row>
        <row r="28852">
          <cell r="B28852" t="str">
            <v>81040202190451</v>
          </cell>
          <cell r="C28852" t="str">
            <v>JCC PRE.JUD INT SUSP REACTIVA PRE-HONRAM7 D</v>
          </cell>
        </row>
        <row r="28853">
          <cell r="B28853" t="str">
            <v>81040202190452</v>
          </cell>
          <cell r="C28853" t="str">
            <v>JCC PRE.JUD INT SUSP REACTIVA PRE-HONRAM7 D</v>
          </cell>
        </row>
        <row r="28854">
          <cell r="B28854" t="str">
            <v>81040202190453</v>
          </cell>
          <cell r="C28854" t="str">
            <v>JCC PRE.JUD INT SUSP REACTIVA PRE-HONRAM7 D</v>
          </cell>
        </row>
        <row r="28855">
          <cell r="B28855" t="str">
            <v>81040202190454</v>
          </cell>
          <cell r="C28855" t="str">
            <v>JCC PRE.JUD INT SUSP REACTIVA PRE-HONRAM7 D</v>
          </cell>
        </row>
        <row r="28856">
          <cell r="B28856" t="str">
            <v>81040202190455</v>
          </cell>
          <cell r="C28856" t="str">
            <v>JCC PRE.JUD INT SUSP REACTIVA PRE-HONRAM7 D</v>
          </cell>
        </row>
        <row r="28857">
          <cell r="B28857" t="str">
            <v>81040202190456</v>
          </cell>
          <cell r="C28857" t="str">
            <v>JCC PRE.JUD INT SUSP REACTIVA PRE-HONRAM7 D</v>
          </cell>
        </row>
        <row r="28858">
          <cell r="B28858" t="str">
            <v>81040202190457</v>
          </cell>
          <cell r="C28858" t="str">
            <v>JCC PRE.JUD INT SUSP CRECER PRE-HONRAMIE7 D</v>
          </cell>
        </row>
        <row r="28859">
          <cell r="B28859" t="str">
            <v>81040202190458</v>
          </cell>
          <cell r="C28859" t="str">
            <v>JCC PRE.JUD INT SUSP CRECERPRE-HONRAMIEN7 D</v>
          </cell>
        </row>
        <row r="28860">
          <cell r="B28860" t="str">
            <v>81040202190459</v>
          </cell>
          <cell r="C28860" t="str">
            <v>JCC PRE.JUD INT SUSP REACTIVA PRE-HONRAM7 D</v>
          </cell>
        </row>
        <row r="28861">
          <cell r="B28861" t="str">
            <v>81040202190460</v>
          </cell>
          <cell r="C28861" t="str">
            <v>JCC PRE.JUD INT SUSP REACTIVA PRE-HONRAM7 D</v>
          </cell>
        </row>
        <row r="28862">
          <cell r="B28862" t="str">
            <v>81040202190461</v>
          </cell>
          <cell r="C28862" t="str">
            <v>JCC PRE.JUD INT SUSP REACTIVA PRE-HONRAM7 D</v>
          </cell>
        </row>
        <row r="28863">
          <cell r="B28863" t="str">
            <v>81040202190462</v>
          </cell>
          <cell r="C28863" t="str">
            <v>JCC PRE.JUD INT SUSP REACTIVA PRE-HONRAM7 D</v>
          </cell>
        </row>
        <row r="28864">
          <cell r="B28864" t="str">
            <v>81040202190463</v>
          </cell>
          <cell r="C28864" t="str">
            <v>JCC PRE.JUD INT SUSP REACTIVA PRE-HONRAM7 D</v>
          </cell>
        </row>
        <row r="28865">
          <cell r="B28865" t="str">
            <v>81040202190464</v>
          </cell>
          <cell r="C28865" t="str">
            <v>JCC PRE.JUD INT SUSP REACTIVA PRE-HONRAM7 D</v>
          </cell>
        </row>
        <row r="28866">
          <cell r="B28866" t="str">
            <v>81040202190465</v>
          </cell>
          <cell r="C28866" t="str">
            <v>JCC PRE.JUD INT SUSP REACTIVA PRE-HONRAM7 D</v>
          </cell>
        </row>
        <row r="28867">
          <cell r="B28867" t="str">
            <v>81040202190466</v>
          </cell>
          <cell r="C28867" t="str">
            <v>JCC PRE.JUD INT SUSP REACTIVA PRE-HONRAM7 D</v>
          </cell>
        </row>
        <row r="28868">
          <cell r="B28868" t="str">
            <v>81040202190467</v>
          </cell>
          <cell r="C28868" t="str">
            <v>JCC PRE.JUD INT SUSP CRECER PRE-HONRAMIE7 D</v>
          </cell>
        </row>
        <row r="28869">
          <cell r="B28869" t="str">
            <v>81040202190468</v>
          </cell>
          <cell r="C28869" t="str">
            <v>JCC PRE.JUD INT SUSP CRECERPRE-HONRAMIEN7 D</v>
          </cell>
        </row>
        <row r="28870">
          <cell r="B28870" t="str">
            <v>81040202190469</v>
          </cell>
          <cell r="C28870" t="str">
            <v>JCC PRE.JUD INT SUSP REACTIVA PRE-HONRAM7 D</v>
          </cell>
        </row>
        <row r="28871">
          <cell r="B28871" t="str">
            <v>81040202190470</v>
          </cell>
          <cell r="C28871" t="str">
            <v>JCC PRE.JUD INT SUSP REACTIVA PRE-HONRAM7 D</v>
          </cell>
        </row>
        <row r="28872">
          <cell r="B28872" t="str">
            <v>81040202190471</v>
          </cell>
          <cell r="C28872" t="str">
            <v>MYP IMPULSO MYPERU VEN CMED DUPE INT    7 D</v>
          </cell>
        </row>
        <row r="28873">
          <cell r="B28873" t="str">
            <v>81040202190472</v>
          </cell>
          <cell r="C28873" t="str">
            <v>MYP IMPULSO MYPERU VEN CMED NORM INT    7 D</v>
          </cell>
        </row>
        <row r="28874">
          <cell r="B28874" t="str">
            <v>81040202190473</v>
          </cell>
          <cell r="C28874" t="str">
            <v>MYP IMPULSO MYPERU VEN CMIE DUPE INT    7 D</v>
          </cell>
        </row>
        <row r="28875">
          <cell r="B28875" t="str">
            <v>81040202190474</v>
          </cell>
          <cell r="C28875" t="str">
            <v>MYP IMPULSO MYPERU VEN CMIE NORM INT    7 D</v>
          </cell>
        </row>
        <row r="28876">
          <cell r="B28876" t="str">
            <v>81040202190475</v>
          </cell>
          <cell r="C28876" t="str">
            <v>MYP IMPULSO MYPERU VEN CPEM DUPE INT    7 D</v>
          </cell>
        </row>
        <row r="28877">
          <cell r="B28877" t="str">
            <v>81040202190476</v>
          </cell>
          <cell r="C28877" t="str">
            <v>MYP IMPULSO MYPERU VEN CPEM NORM INT    7 D</v>
          </cell>
        </row>
        <row r="28878">
          <cell r="B28878" t="str">
            <v>81040202190477</v>
          </cell>
          <cell r="C28878" t="str">
            <v>LPC REFIN INT SUSP CRECER IBK POST HONR 7ND</v>
          </cell>
        </row>
        <row r="28879">
          <cell r="B28879" t="str">
            <v>81040202190478</v>
          </cell>
          <cell r="C28879" t="str">
            <v>LPC REFINAN INT SUSP CRECER IBK POST HON7 D</v>
          </cell>
        </row>
        <row r="28880">
          <cell r="B28880" t="str">
            <v>81040202190479</v>
          </cell>
          <cell r="C28880" t="str">
            <v>LPC REFINAN INT SUSP CRECER IBK POST HON7 D</v>
          </cell>
        </row>
        <row r="28881">
          <cell r="B28881" t="str">
            <v>81040202190480</v>
          </cell>
          <cell r="C28881" t="str">
            <v>LPC REFINAN INT SUSP CRECER IBK POST HON7 D</v>
          </cell>
        </row>
        <row r="28882">
          <cell r="B28882" t="str">
            <v>81040202190481</v>
          </cell>
          <cell r="C28882" t="str">
            <v>LPC REFINAN INT SUSP CRECER IBK POST HON7 D</v>
          </cell>
        </row>
        <row r="28883">
          <cell r="B28883" t="str">
            <v>81040202190482</v>
          </cell>
          <cell r="C28883" t="str">
            <v>LPC INT SUS LEASING FINANCIACION PROYECT7 D</v>
          </cell>
        </row>
        <row r="28884">
          <cell r="B28884" t="str">
            <v>81040202190483</v>
          </cell>
          <cell r="C28884" t="str">
            <v>LPC INT SUS LEASING FINANCIACION PROYECT7 D</v>
          </cell>
        </row>
        <row r="28885">
          <cell r="B28885" t="str">
            <v>81040202190484</v>
          </cell>
          <cell r="C28885" t="str">
            <v>LPC INT SUS LEASING FINANCIACION PROYECT7 D</v>
          </cell>
        </row>
        <row r="28886">
          <cell r="B28886" t="str">
            <v>81040202190485</v>
          </cell>
          <cell r="C28886" t="str">
            <v>LPC INT VIG IMPULSO MYPERU CORTO PLAZO C7 D</v>
          </cell>
        </row>
        <row r="28887">
          <cell r="B28887" t="str">
            <v>81040202190486</v>
          </cell>
          <cell r="C28887" t="str">
            <v>LPC INT VIG IMPULSO MYPERU CORTO PLAZO C7 D</v>
          </cell>
        </row>
        <row r="28888">
          <cell r="B28888" t="str">
            <v>81040202190487</v>
          </cell>
          <cell r="C28888" t="str">
            <v>LPC INT VIG IMPULSO MYPERU CORTO PLAZO C7 D</v>
          </cell>
        </row>
        <row r="28889">
          <cell r="B28889" t="str">
            <v>81040202190488</v>
          </cell>
          <cell r="C28889" t="str">
            <v>LPC INT VIG IMPULSO MYPERU CORTO PLAZO C7 D</v>
          </cell>
        </row>
        <row r="28890">
          <cell r="B28890" t="str">
            <v>81040202190489</v>
          </cell>
          <cell r="C28890" t="str">
            <v>LPC INT VIG IMPULSO MYPERU CORTO PLAZO C7 D</v>
          </cell>
        </row>
        <row r="28891">
          <cell r="B28891" t="str">
            <v>81040202190490</v>
          </cell>
          <cell r="C28891" t="str">
            <v>LPC INT SUSP IMPULSO MYPERU MEDIANO PLAZ7 D</v>
          </cell>
        </row>
        <row r="28892">
          <cell r="B28892" t="str">
            <v>81040202190491</v>
          </cell>
          <cell r="C28892" t="str">
            <v>HPC INT X COB CONV PRIVADO ME VEN GRUPO 7 D</v>
          </cell>
        </row>
        <row r="28893">
          <cell r="B28893" t="str">
            <v>81040202190492</v>
          </cell>
          <cell r="C28893" t="str">
            <v>HPC INT X COB CONV PRIVADO NRV VEN GRUPO7 D</v>
          </cell>
        </row>
        <row r="28894">
          <cell r="B28894" t="str">
            <v>81040202190493</v>
          </cell>
          <cell r="C28894" t="str">
            <v>LPC SURGIR SANTANDER FINANCIAMIENTO INT 7 D</v>
          </cell>
        </row>
        <row r="28895">
          <cell r="B28895" t="str">
            <v>81040202190494</v>
          </cell>
          <cell r="C28895" t="str">
            <v>MYP CAPITAL DE TRAB CIMA REU DIF INT VEN7 D</v>
          </cell>
        </row>
        <row r="28896">
          <cell r="B28896" t="str">
            <v>81040202190495</v>
          </cell>
          <cell r="C28896" t="str">
            <v>MYP CAPITAL DE TRAB CIMA REU DIF INT VEN7 D</v>
          </cell>
        </row>
        <row r="28897">
          <cell r="B28897" t="str">
            <v>81040202190496</v>
          </cell>
          <cell r="C28897" t="str">
            <v>MYP CAPITAL DE TRAB CIMA REU DIF INT VEN7 D</v>
          </cell>
        </row>
        <row r="28898">
          <cell r="B28898" t="str">
            <v>81040202190497</v>
          </cell>
          <cell r="C28898" t="str">
            <v>MYP CAPITAL DE TRAB CIMA REU DIF INT VEN7 D</v>
          </cell>
        </row>
        <row r="28899">
          <cell r="B28899" t="str">
            <v>81040202190498</v>
          </cell>
          <cell r="C28899" t="str">
            <v>MYP CAPITAL DE TRAB CIMA REU DIF INT VEN7 D</v>
          </cell>
        </row>
        <row r="28900">
          <cell r="B28900" t="str">
            <v>81040202190499</v>
          </cell>
          <cell r="C28900" t="str">
            <v>MYP CAPITAL DE TRAB CIMA REU DIF INT VEN7 D</v>
          </cell>
        </row>
        <row r="28901">
          <cell r="B28901" t="str">
            <v>81040202190500</v>
          </cell>
          <cell r="C28901" t="str">
            <v>MYP LINEA REVOLV CIMA INT VEN NORM CGEM 7 D</v>
          </cell>
        </row>
        <row r="28902">
          <cell r="B28902" t="str">
            <v>81040202190501</v>
          </cell>
          <cell r="C28902" t="str">
            <v>MYP LINEA REVOLV CIMA INT VEN NORM CMED 7 D</v>
          </cell>
        </row>
        <row r="28903">
          <cell r="B28903" t="str">
            <v>81040202190502</v>
          </cell>
          <cell r="C28903" t="str">
            <v>MYP LINEA REVOLV CIMA INT VEN NORM CMIE 7 D</v>
          </cell>
        </row>
        <row r="28904">
          <cell r="B28904" t="str">
            <v>81040202190503</v>
          </cell>
          <cell r="C28904" t="str">
            <v>MYP LINEA REVOLV CIMA INT VEN NORM CPEM 7 D</v>
          </cell>
        </row>
        <row r="28905">
          <cell r="B28905" t="str">
            <v>81040202190504</v>
          </cell>
          <cell r="C28905" t="str">
            <v>MYP LINEA REVOLV CIMA INT VEN DUPE CGEM 7 D</v>
          </cell>
        </row>
        <row r="28906">
          <cell r="B28906" t="str">
            <v>81040202190505</v>
          </cell>
          <cell r="C28906" t="str">
            <v>MYP LINEA REVOLV CIMA INT VEN DUPE CMED 7 D</v>
          </cell>
        </row>
        <row r="28907">
          <cell r="B28907" t="str">
            <v>81040202190506</v>
          </cell>
          <cell r="C28907" t="str">
            <v>MYP LINEA REVOLV CIMA INT VEN DUPE CMIE 7 D</v>
          </cell>
        </row>
        <row r="28908">
          <cell r="B28908" t="str">
            <v>81040202190507</v>
          </cell>
          <cell r="C28908" t="str">
            <v>MYP LINEA REVOLV CIMA INT VEN DUPE CPEM 7 D</v>
          </cell>
        </row>
        <row r="28909">
          <cell r="B28909" t="str">
            <v>81040202190508</v>
          </cell>
          <cell r="C28909" t="str">
            <v>JCC MP PRE.JUD. INT SUSP IMPULSO MYPERU 7 D</v>
          </cell>
        </row>
        <row r="28910">
          <cell r="B28910" t="str">
            <v>81040202190509</v>
          </cell>
          <cell r="C28910" t="str">
            <v>JCC BC PRE.JUD. INT SUSP IMPULSO MYPERU 7 D</v>
          </cell>
        </row>
        <row r="28911">
          <cell r="B28911" t="str">
            <v>81040202190510</v>
          </cell>
          <cell r="C28911" t="str">
            <v>MYP CAP TRAB PER GRACIA PARCIAL INT VEN 7 D</v>
          </cell>
        </row>
        <row r="28912">
          <cell r="B28912" t="str">
            <v>81040202190511</v>
          </cell>
          <cell r="C28912" t="str">
            <v>MYP CAP TRAB PER GRACIA PARCIAL INT VEN 7 D</v>
          </cell>
        </row>
        <row r="28913">
          <cell r="B28913" t="str">
            <v>81040202190512</v>
          </cell>
          <cell r="C28913" t="str">
            <v>MYP CAP TRAB PER GRACIA PARCIAL INT VEN 7 D</v>
          </cell>
        </row>
        <row r="28914">
          <cell r="B28914" t="str">
            <v>81040202190513</v>
          </cell>
          <cell r="C28914" t="str">
            <v>MYP CAP TRAB PER GRACIA PARCIAL INT VEN 7 D</v>
          </cell>
        </row>
        <row r="28915">
          <cell r="B28915" t="str">
            <v>81040202190514</v>
          </cell>
          <cell r="C28915" t="str">
            <v>MYP CAP TRAB PER GRACIA PARCIAL INT VEN 7 D</v>
          </cell>
        </row>
        <row r="28916">
          <cell r="B28916" t="str">
            <v>81040202190515</v>
          </cell>
          <cell r="C28916" t="str">
            <v>MYP CAP TRAB PER GRACIA PARCIAL INT VEN 7 D</v>
          </cell>
        </row>
        <row r="28917">
          <cell r="B28917" t="str">
            <v>81040202190516</v>
          </cell>
          <cell r="C28917" t="str">
            <v>MYP REPROG PERIODO GRACIA PARCIAL INT VE7 D</v>
          </cell>
        </row>
        <row r="28918">
          <cell r="B28918" t="str">
            <v>81040202190517</v>
          </cell>
          <cell r="C28918" t="str">
            <v>MYP REPROG PERIODO GRACIA PARCIAL INT VE7 D</v>
          </cell>
        </row>
        <row r="28919">
          <cell r="B28919" t="str">
            <v>81040202190518</v>
          </cell>
          <cell r="C28919" t="str">
            <v>MYP REPROG PERIODO GRACIA PARCIAL INT VE7 D</v>
          </cell>
        </row>
        <row r="28920">
          <cell r="B28920" t="str">
            <v>81040202190519</v>
          </cell>
          <cell r="C28920" t="str">
            <v>MYP REPROG PERIODO GRACIA PARCIAL INT VE7 D</v>
          </cell>
        </row>
        <row r="28921">
          <cell r="B28921" t="str">
            <v>81040202190520</v>
          </cell>
          <cell r="C28921" t="str">
            <v>MYP REPROG PERIODO GRACIA PARCIAL INT VE7 D</v>
          </cell>
        </row>
        <row r="28922">
          <cell r="B28922" t="str">
            <v>81040202190521</v>
          </cell>
          <cell r="C28922" t="str">
            <v>MYP REPROG PERIODO GRACIA PARCIAL INT VE7 D</v>
          </cell>
        </row>
        <row r="28923">
          <cell r="B28923" t="str">
            <v>81040202190522</v>
          </cell>
          <cell r="C28923" t="str">
            <v>JCC MP INT PRE JUD IMPLUSO MYPERU HONRAD7 D</v>
          </cell>
        </row>
        <row r="28924">
          <cell r="B28924" t="str">
            <v>81040202190523</v>
          </cell>
          <cell r="C28924" t="str">
            <v>MYP D/P INT.X COB.VENC CAP.TRAB CESP    7 D</v>
          </cell>
        </row>
        <row r="28925">
          <cell r="B28925" t="str">
            <v>81040202190524</v>
          </cell>
          <cell r="C28925" t="str">
            <v>MYP INTXCOB VENC CAP.TRAB CESP          7 D</v>
          </cell>
        </row>
        <row r="28926">
          <cell r="B28926" t="str">
            <v>81040202190525</v>
          </cell>
          <cell r="C28926" t="str">
            <v>MYP REACTIVA REPROG DS.011-2022  VEN CGE7 D</v>
          </cell>
        </row>
        <row r="28927">
          <cell r="B28927" t="str">
            <v>81040202190526</v>
          </cell>
          <cell r="C28927" t="str">
            <v>MYP REACTIVA REPROG DS.011-2022  VEN CGE7 D</v>
          </cell>
        </row>
        <row r="28928">
          <cell r="B28928" t="str">
            <v>81040202190527</v>
          </cell>
          <cell r="C28928" t="str">
            <v>MYP IMPULSO MYPERU VEN CGEM DUPE INT    7 D</v>
          </cell>
        </row>
        <row r="28929">
          <cell r="B28929" t="str">
            <v>81040202190528</v>
          </cell>
          <cell r="C28929" t="str">
            <v>MYP IMPULSO MYPERU VEN CGEM NORM INT    7 D</v>
          </cell>
        </row>
        <row r="28930">
          <cell r="B28930" t="str">
            <v>81040202190529</v>
          </cell>
          <cell r="C28930" t="str">
            <v>MYP INT PAG.TV REFIN. C/FIJA VEN CCOR   7 D</v>
          </cell>
        </row>
        <row r="28931">
          <cell r="B28931" t="str">
            <v>81040202190530</v>
          </cell>
          <cell r="C28931" t="str">
            <v>MYP INT PAG.TV REFIN.C/FIJA VIG CCOR    7 D</v>
          </cell>
        </row>
        <row r="28932">
          <cell r="B28932" t="str">
            <v>81040202190531</v>
          </cell>
          <cell r="C28932" t="str">
            <v>MYP INT LINEA REVOL REUT.VEN CGEM DUPE  7 D</v>
          </cell>
        </row>
        <row r="28933">
          <cell r="B28933" t="str">
            <v>81040202190532</v>
          </cell>
          <cell r="C28933" t="str">
            <v>MYP INT LINEA REVOL REUT.VEN CGEM NORM  7 D</v>
          </cell>
        </row>
        <row r="28934">
          <cell r="B28934" t="str">
            <v>81040202190533</v>
          </cell>
          <cell r="C28934" t="str">
            <v>MYP INT LINEA REVOL REUT.VEN CCOR DUPE  7 D</v>
          </cell>
        </row>
        <row r="28935">
          <cell r="B28935" t="str">
            <v>81040202190534</v>
          </cell>
          <cell r="C28935" t="str">
            <v>MYP INT LINEA REVOL REUT.VEN CCOR NORM  7 D</v>
          </cell>
        </row>
        <row r="28936">
          <cell r="B28936" t="str">
            <v>81040202190535</v>
          </cell>
          <cell r="C28936" t="str">
            <v>MYP INT DUPE CAP.TRAB.REUT.VEN.CGEM  DUP7 D</v>
          </cell>
        </row>
        <row r="28937">
          <cell r="B28937" t="str">
            <v>81040202190536</v>
          </cell>
          <cell r="C28937" t="str">
            <v>MYP INT CAP.TRAB.REUT.VEN CGEM NORM     7ND</v>
          </cell>
        </row>
        <row r="28938">
          <cell r="B28938" t="str">
            <v>81040202190537</v>
          </cell>
          <cell r="C28938" t="str">
            <v>MYP INT DUPE CAP.TRAB.REUT.VEN.CCOR  DUP7ND</v>
          </cell>
        </row>
        <row r="28939">
          <cell r="B28939" t="str">
            <v>81040202190538</v>
          </cell>
          <cell r="C28939" t="str">
            <v>MYP INT CAP.TRAB.REUT.VEN CCOR NORM     7 D</v>
          </cell>
        </row>
        <row r="28940">
          <cell r="B28940" t="str">
            <v>81040202190539</v>
          </cell>
          <cell r="C28940" t="str">
            <v>MYP INT CODIFE FONDO CRECER    DUPE     7 D</v>
          </cell>
        </row>
        <row r="28941">
          <cell r="B28941" t="str">
            <v>81040202190540</v>
          </cell>
          <cell r="C28941" t="str">
            <v>MYP INT CODIFE FONDO CRECER    NORM     7 D</v>
          </cell>
        </row>
        <row r="28942">
          <cell r="B28942" t="str">
            <v>81040202190541</v>
          </cell>
          <cell r="C28942" t="str">
            <v>MYP INT CODIFE FONDO CRECER    DUPE     7 D</v>
          </cell>
        </row>
        <row r="28943">
          <cell r="B28943" t="str">
            <v>81040202190542</v>
          </cell>
          <cell r="C28943" t="str">
            <v>MYP INT CODIFE FONDO CRECER    NORM     7 D</v>
          </cell>
        </row>
        <row r="28944">
          <cell r="B28944" t="str">
            <v>81040202190543</v>
          </cell>
          <cell r="C28944" t="str">
            <v>MYP INT COFIDE REACTIVA PERU   DUPE     7 D</v>
          </cell>
        </row>
        <row r="28945">
          <cell r="B28945" t="str">
            <v>81040202190544</v>
          </cell>
          <cell r="C28945" t="str">
            <v>MYP INT COFIDE REACTIVA PERU   NORM     7 D</v>
          </cell>
        </row>
        <row r="28946">
          <cell r="B28946" t="str">
            <v>81040202190545</v>
          </cell>
          <cell r="C28946" t="str">
            <v>MYP INT COFIDE REACTIVA PERU   DUPE     7 D</v>
          </cell>
        </row>
        <row r="28947">
          <cell r="B28947" t="str">
            <v>81040202190546</v>
          </cell>
          <cell r="C28947" t="str">
            <v>MYP INT COFIDE REACTIVA PERU   NORM     7 D</v>
          </cell>
        </row>
        <row r="28948">
          <cell r="B28948" t="str">
            <v>81040202190547</v>
          </cell>
          <cell r="C28948" t="str">
            <v>MYP INT REACTIVA REPRO PERU    DUPE     7 D</v>
          </cell>
        </row>
        <row r="28949">
          <cell r="B28949" t="str">
            <v>81040202190548</v>
          </cell>
          <cell r="C28949" t="str">
            <v>MYP INT REACTIVA REPRO PERU    NORM     7 D</v>
          </cell>
        </row>
        <row r="28950">
          <cell r="B28950" t="str">
            <v>81040202190549</v>
          </cell>
          <cell r="C28950" t="str">
            <v>MYP INT 30K REACTIVA PERU REPROG 2023   7 D</v>
          </cell>
        </row>
        <row r="28951">
          <cell r="B28951" t="str">
            <v>81040202190550</v>
          </cell>
          <cell r="C28951" t="str">
            <v>MYP INT 30K REACTIVA PERU REPROG 2023   7 D</v>
          </cell>
        </row>
        <row r="28952">
          <cell r="B28952" t="str">
            <v>81040202190551</v>
          </cell>
          <cell r="C28952" t="str">
            <v>MYP INT 30K REACTIVA PERU REPROG 2023   7 D</v>
          </cell>
        </row>
        <row r="28953">
          <cell r="B28953" t="str">
            <v>81040202190552</v>
          </cell>
          <cell r="C28953" t="str">
            <v>MYP INT 30K REACTIVA PERU REPROG 2023   7 D</v>
          </cell>
        </row>
        <row r="28954">
          <cell r="B28954" t="str">
            <v>81040202190553</v>
          </cell>
          <cell r="C28954" t="str">
            <v>MYP INT CAPITAL DE TRABAJO CIMA  DUPE   7 D</v>
          </cell>
        </row>
        <row r="28955">
          <cell r="B28955" t="str">
            <v>81040202190554</v>
          </cell>
          <cell r="C28955" t="str">
            <v>MYP INT CAPITAL DE TRABAJO CIMA  NORM   7 D</v>
          </cell>
        </row>
        <row r="28956">
          <cell r="B28956" t="str">
            <v>81040202190555</v>
          </cell>
          <cell r="C28956" t="str">
            <v>MYP INT CAPITAL DE TRABAJO CIMA  DUPE   7 D</v>
          </cell>
        </row>
        <row r="28957">
          <cell r="B28957" t="str">
            <v>81040202190556</v>
          </cell>
          <cell r="C28957" t="str">
            <v>MYP INT CAPITAL DE TRABAJO CIMA  NORM   7 D</v>
          </cell>
        </row>
        <row r="28958">
          <cell r="B28958" t="str">
            <v>81040202190557</v>
          </cell>
          <cell r="C28958" t="str">
            <v>MYP INT D/P CAP VENC CAP.TRAB CCOR   DUP7 D</v>
          </cell>
        </row>
        <row r="28959">
          <cell r="B28959" t="str">
            <v>81040202190558</v>
          </cell>
          <cell r="C28959" t="str">
            <v>MYP INT CAP.VENC CAP.TRAB.NORM CCOR  NOR7 D</v>
          </cell>
        </row>
        <row r="28960">
          <cell r="B28960" t="str">
            <v>81040202190559</v>
          </cell>
          <cell r="C28960" t="str">
            <v>LPC PAG PAPERLESS DERIVADOS REV/NR INT C7ND</v>
          </cell>
        </row>
        <row r="28961">
          <cell r="B28961" t="str">
            <v>81040202190560</v>
          </cell>
          <cell r="C28961" t="str">
            <v>LPC PAG PAPERLESS DERIVADOS REV/NR INT C7ND</v>
          </cell>
        </row>
        <row r="28962">
          <cell r="B28962" t="str">
            <v>81040202190561</v>
          </cell>
          <cell r="C28962" t="str">
            <v>LPC PAG PAPERLESS DERIVADOS REV/NR INT C7ND</v>
          </cell>
        </row>
        <row r="28963">
          <cell r="B28963" t="str">
            <v>81040202190562</v>
          </cell>
          <cell r="C28963" t="str">
            <v>LPC PAG PAPERLESS DERIVADOS REV/NR INT C7ND</v>
          </cell>
        </row>
        <row r="28964">
          <cell r="B28964" t="str">
            <v>81040202190563</v>
          </cell>
          <cell r="C28964" t="str">
            <v>LPC PAG PAPERLESS DERIVADOS REV/NR INT C7ND</v>
          </cell>
        </row>
        <row r="28965">
          <cell r="B28965" t="str">
            <v>81040202190564</v>
          </cell>
          <cell r="C28965" t="str">
            <v>LPC PAG PAPERLESS DERIVADOS REV/NR INT C7ND</v>
          </cell>
        </row>
        <row r="28966">
          <cell r="B28966" t="str">
            <v>81040202190565</v>
          </cell>
          <cell r="C28966" t="str">
            <v>LPC PAG PAPERLESS DERIVADOS REV/NR INT C7ND</v>
          </cell>
        </row>
        <row r="28967">
          <cell r="B28967" t="str">
            <v>81040202190566</v>
          </cell>
          <cell r="C28967" t="str">
            <v>LPC PAG PAPERLESS DERIVADOS REV/NR INT C7ND</v>
          </cell>
        </row>
        <row r="28968">
          <cell r="B28968" t="str">
            <v>81040202190567</v>
          </cell>
          <cell r="C28968" t="str">
            <v>CCD-BPE CAPITAL DE TRABAJO_CGEM VEN NORM7 D</v>
          </cell>
        </row>
        <row r="28969">
          <cell r="B28969" t="str">
            <v>81040202190568</v>
          </cell>
          <cell r="C28969" t="str">
            <v>CCD-BPE CAPITAL DE TRABAJO_CGEM VEN DUPE7 D</v>
          </cell>
        </row>
        <row r="28970">
          <cell r="B28970" t="str">
            <v>81040202190569</v>
          </cell>
          <cell r="C28970" t="str">
            <v>CCD-BPE CAPITAL DE TRABAJO_CMED VEN NORM7 D</v>
          </cell>
        </row>
        <row r="28971">
          <cell r="B28971" t="str">
            <v>81040202190570</v>
          </cell>
          <cell r="C28971" t="str">
            <v>CCD-BPE CAPITAL DE TRABAJO_CMED VEN DUPE7 D</v>
          </cell>
        </row>
        <row r="28972">
          <cell r="B28972" t="str">
            <v>81040202190571</v>
          </cell>
          <cell r="C28972" t="str">
            <v>CCD-BPE CAPITAL DE TRABAJO_CMIE VEN NORM7 D</v>
          </cell>
        </row>
        <row r="28973">
          <cell r="B28973" t="str">
            <v>81040202190572</v>
          </cell>
          <cell r="C28973" t="str">
            <v>CCD-BPE CAPITAL DE TRABAJO_CMIE VEN DUPE7 D</v>
          </cell>
        </row>
        <row r="28974">
          <cell r="B28974" t="str">
            <v>81040202190573</v>
          </cell>
          <cell r="C28974" t="str">
            <v>CCD-BPE CAPITAL DE TRABAJO_CPEM VEN NORM7 D</v>
          </cell>
        </row>
        <row r="28975">
          <cell r="B28975" t="str">
            <v>81040202190574</v>
          </cell>
          <cell r="C28975" t="str">
            <v>CCD-BPE CAPITAL DE TRABAJO_CPEM VEN DUPE7 D</v>
          </cell>
        </row>
        <row r="28976">
          <cell r="B28976" t="str">
            <v>81040202190575</v>
          </cell>
          <cell r="C28976" t="str">
            <v>CCD-BPE LINEA REVOLVENTE_CGEM VEN NORM  7 D</v>
          </cell>
        </row>
        <row r="28977">
          <cell r="B28977" t="str">
            <v>81040202190576</v>
          </cell>
          <cell r="C28977" t="str">
            <v>CCD-BPE LINEA REVOLVENTE_CGEM VEN DUPE  7 D</v>
          </cell>
        </row>
        <row r="28978">
          <cell r="B28978" t="str">
            <v>81040202190577</v>
          </cell>
          <cell r="C28978" t="str">
            <v>CCD-BPE LINEA REVOLVENTE_CMED VEN NORM  7 D</v>
          </cell>
        </row>
        <row r="28979">
          <cell r="B28979" t="str">
            <v>81040202190578</v>
          </cell>
          <cell r="C28979" t="str">
            <v>CCD-BPE LINEA REVOLVENTE_CMED VEN DUPE  7 D</v>
          </cell>
        </row>
        <row r="28980">
          <cell r="B28980" t="str">
            <v>81040202190579</v>
          </cell>
          <cell r="C28980" t="str">
            <v>CCD-BPE LINEA REVOLVENTE_CMIE VEN NORM  7 D</v>
          </cell>
        </row>
        <row r="28981">
          <cell r="B28981" t="str">
            <v>81040202190580</v>
          </cell>
          <cell r="C28981" t="str">
            <v>CCD-BPE LINEA REVOLVENTE_CMIE VEN DUPE  7 D</v>
          </cell>
        </row>
        <row r="28982">
          <cell r="B28982" t="str">
            <v>81040202190581</v>
          </cell>
          <cell r="C28982" t="str">
            <v>CCD-BPE LINEA REVOLVENTE_CPEM VEN NORM  7 D</v>
          </cell>
        </row>
        <row r="28983">
          <cell r="B28983" t="str">
            <v>81040202190582</v>
          </cell>
          <cell r="C28983" t="str">
            <v>CCD-BPE LINEA REVOLVENTE_CPEM VEN DUPE  7 D</v>
          </cell>
        </row>
        <row r="28984">
          <cell r="B28984" t="str">
            <v>81040202190583</v>
          </cell>
          <cell r="C28984" t="str">
            <v>CCD-BPE REFINANCIADO_CMIE VEN INT       7 D</v>
          </cell>
        </row>
        <row r="28985">
          <cell r="B28985" t="str">
            <v>81040202190584</v>
          </cell>
          <cell r="C28985" t="str">
            <v>CCD-BPE REFINANCIADO_CGEM VEN INT       7 D</v>
          </cell>
        </row>
        <row r="28986">
          <cell r="B28986" t="str">
            <v>81040202190585</v>
          </cell>
          <cell r="C28986" t="str">
            <v>CCD-BPE REFINANCIADO_CMED VEN INT       7 D</v>
          </cell>
        </row>
        <row r="28987">
          <cell r="B28987" t="str">
            <v>81040202190586</v>
          </cell>
          <cell r="C28987" t="str">
            <v>CCD-BPE REFINANCIADO_CPEM VEN INT       7 D</v>
          </cell>
        </row>
        <row r="28988">
          <cell r="B28988" t="str">
            <v>81040202190587</v>
          </cell>
          <cell r="C28988" t="str">
            <v>CCD-BPE CAPITAL DE TRABAJO_CCOR VEN NORM7 D</v>
          </cell>
        </row>
        <row r="28989">
          <cell r="B28989" t="str">
            <v>81040202190588</v>
          </cell>
          <cell r="C28989" t="str">
            <v>CCD-BPE CAPITAL DE TRABAJO_CCOR VEN DUPE7 D</v>
          </cell>
        </row>
        <row r="28990">
          <cell r="B28990" t="str">
            <v>81040202190589</v>
          </cell>
          <cell r="C28990" t="str">
            <v>CCD-BPE LINEA REVOLVENTE_CCOR VEN NORM  7 D</v>
          </cell>
        </row>
        <row r="28991">
          <cell r="B28991" t="str">
            <v>81040202190590</v>
          </cell>
          <cell r="C28991" t="str">
            <v>CCD-BPE LINEA REVOLVENTE_CCOR VEN DUPE  7 D</v>
          </cell>
        </row>
        <row r="28992">
          <cell r="B28992" t="str">
            <v>81040202190591</v>
          </cell>
          <cell r="C28992" t="str">
            <v>CCD-BPE REFINANCIADO_CCOR VEN INT       7 D</v>
          </cell>
        </row>
        <row r="28993">
          <cell r="B28993" t="str">
            <v>81040202190592</v>
          </cell>
          <cell r="C28993" t="str">
            <v>JCC CCD INT PREJUD CAPITAL DE TRABAJO   7 D</v>
          </cell>
        </row>
        <row r="28994">
          <cell r="B28994" t="str">
            <v>81040202190593</v>
          </cell>
          <cell r="C28994" t="str">
            <v>CCD-BPE CAP DE TRAB REPROG_CGEM VEN NORM7 D</v>
          </cell>
        </row>
        <row r="28995">
          <cell r="B28995" t="str">
            <v>81040202190594</v>
          </cell>
          <cell r="C28995" t="str">
            <v>CCD-BPE CAP DE TRAB REPROG_CGEM VEN DUPE7 D</v>
          </cell>
        </row>
        <row r="28996">
          <cell r="B28996" t="str">
            <v>81040202190595</v>
          </cell>
          <cell r="C28996" t="str">
            <v>CCD-BPE CAP DE TRAB REPROG_CMED VEN NORM7 D</v>
          </cell>
        </row>
        <row r="28997">
          <cell r="B28997" t="str">
            <v>81040202190596</v>
          </cell>
          <cell r="C28997" t="str">
            <v>CCD-BPE CAP DE TRAB REPROG_CMED VEN DUPE7 D</v>
          </cell>
        </row>
        <row r="28998">
          <cell r="B28998" t="str">
            <v>81040202190597</v>
          </cell>
          <cell r="C28998" t="str">
            <v>CCD-BPE CAP DE TRAB REPROG_CMIE VEN NORM7 D</v>
          </cell>
        </row>
        <row r="28999">
          <cell r="B28999" t="str">
            <v>81040202190598</v>
          </cell>
          <cell r="C28999" t="str">
            <v>CCD-BPE CAP DE TRAB REPROG_CMIE VEN DUPE7 D</v>
          </cell>
        </row>
        <row r="29000">
          <cell r="B29000" t="str">
            <v>81040202190599</v>
          </cell>
          <cell r="C29000" t="str">
            <v>CCD-BPE CAP DE TRAB REPROG_CPEM VEN NORM7 D</v>
          </cell>
        </row>
        <row r="29001">
          <cell r="B29001" t="str">
            <v>81040202190600</v>
          </cell>
          <cell r="C29001" t="str">
            <v>CCD-BPE CAP DE TRAB REPROG_CPEM VEN DUPE7 D</v>
          </cell>
        </row>
        <row r="29002">
          <cell r="B29002" t="str">
            <v>81040202190601</v>
          </cell>
          <cell r="C29002" t="str">
            <v>LPC REFINANCIADO REACTIVA CPEM VEN      7 D</v>
          </cell>
        </row>
        <row r="29003">
          <cell r="B29003" t="str">
            <v>81040300000103</v>
          </cell>
          <cell r="C29003" t="str">
            <v>CL COB.JUD.TAR.CRE.VISA INT.SUS         7ND</v>
          </cell>
        </row>
        <row r="29004">
          <cell r="B29004" t="str">
            <v>81040300000104</v>
          </cell>
          <cell r="C29004" t="str">
            <v>CL COB.JUD.SOB.C.CTE.PN INT.SUS         7ND</v>
          </cell>
        </row>
        <row r="29005">
          <cell r="B29005" t="str">
            <v>81040300000105</v>
          </cell>
          <cell r="C29005" t="str">
            <v>CL COB.JUD.SOB.C.CTE.PJ INT.SUS         7ND</v>
          </cell>
        </row>
        <row r="29006">
          <cell r="B29006" t="str">
            <v>81040300000106</v>
          </cell>
          <cell r="C29006" t="str">
            <v>CL COB.JUD.DCTO.LETRA INT.SUSP          7ND</v>
          </cell>
        </row>
        <row r="29007">
          <cell r="B29007" t="str">
            <v>81040300000107</v>
          </cell>
          <cell r="C29007" t="str">
            <v>CL COB.JUD.DSCTO.PAG INT.SUSP           7ND</v>
          </cell>
        </row>
        <row r="29008">
          <cell r="B29008" t="str">
            <v>81040300000108</v>
          </cell>
          <cell r="C29008" t="str">
            <v>CL COB.JUD.CRED.CONSUMO INT.SUS         7ND</v>
          </cell>
        </row>
        <row r="29009">
          <cell r="B29009" t="str">
            <v>81040300000109</v>
          </cell>
          <cell r="C29009" t="str">
            <v>CL COB.JUD.CRE.EFECTIVO INT.SUS         7ND</v>
          </cell>
        </row>
        <row r="29010">
          <cell r="B29010" t="str">
            <v>81040300000110</v>
          </cell>
          <cell r="C29010" t="str">
            <v>INT. COB. JUD. CRED DE VEHICULAR-CL     7ND</v>
          </cell>
        </row>
        <row r="29011">
          <cell r="B29011" t="str">
            <v>81040300000111</v>
          </cell>
          <cell r="C29011" t="str">
            <v>CL COB.JUD.CRE.HIPOT.IC INT.SUS         7ND</v>
          </cell>
        </row>
        <row r="29012">
          <cell r="B29012" t="str">
            <v>81040300000112</v>
          </cell>
          <cell r="C29012" t="str">
            <v>CL COB.JUD.LEASING PJ INT.SUS           7ND</v>
          </cell>
        </row>
        <row r="29013">
          <cell r="B29013" t="str">
            <v>81040300000113</v>
          </cell>
          <cell r="C29013" t="str">
            <v>CL COB.JUD.FACTO.LETRA INT.SUS          7ND</v>
          </cell>
        </row>
        <row r="29014">
          <cell r="B29014" t="str">
            <v>81040300000114</v>
          </cell>
          <cell r="C29014" t="str">
            <v>CL COB.JUD.FACTO.FACTU.INT.SUS          7ND</v>
          </cell>
        </row>
        <row r="29015">
          <cell r="B29015" t="str">
            <v>81040300000115</v>
          </cell>
          <cell r="C29015" t="str">
            <v>CL COB.JUD.P.RP EXPOR.INT.SUSP          7ND</v>
          </cell>
        </row>
        <row r="29016">
          <cell r="B29016" t="str">
            <v>81040300000117</v>
          </cell>
          <cell r="C29016" t="str">
            <v>CL COB.JUD.P.RP CAP.TRA.INT.SUS         7ND</v>
          </cell>
        </row>
        <row r="29017">
          <cell r="B29017" t="str">
            <v>81040300000118</v>
          </cell>
          <cell r="C29017" t="str">
            <v>CL COB.JUD.P.REC.COFIDE INT.SUS         7ND</v>
          </cell>
        </row>
        <row r="29018">
          <cell r="B29018" t="str">
            <v>81040300000120</v>
          </cell>
          <cell r="C29018" t="str">
            <v>CL COB.JUD.CRED.PORFIN INT.SUS          7ND</v>
          </cell>
        </row>
        <row r="29019">
          <cell r="B29019" t="str">
            <v>81040300000122</v>
          </cell>
          <cell r="C29019" t="str">
            <v>CL COB.JUD.CART.CREDITO INT.SUS         7ND</v>
          </cell>
        </row>
        <row r="29020">
          <cell r="B29020" t="str">
            <v>81040300000124</v>
          </cell>
          <cell r="C29020" t="str">
            <v>CL COB.JUD.REFINANC. IC INT.SUS         7ND</v>
          </cell>
        </row>
        <row r="29021">
          <cell r="B29021" t="str">
            <v>81040300000125</v>
          </cell>
          <cell r="C29021" t="str">
            <v>CL COB.JUD.CARTA FIANZA INT.SUS         7ND</v>
          </cell>
        </row>
        <row r="29022">
          <cell r="B29022" t="str">
            <v>81040300000127</v>
          </cell>
          <cell r="C29022" t="str">
            <v>CL COB.JU.ARREN.FINA.PN INT.SUS         7ND</v>
          </cell>
        </row>
        <row r="29023">
          <cell r="B29023" t="str">
            <v>81040300000128</v>
          </cell>
          <cell r="C29023" t="str">
            <v>CL COB.JUD.CRE.HIPOT.CL INT.SUS         7ND</v>
          </cell>
        </row>
        <row r="29024">
          <cell r="B29024" t="str">
            <v>81040300000135</v>
          </cell>
          <cell r="C29024" t="str">
            <v>CL COB.JUD.PAG.IMPORT.INT.SUSP          7ND</v>
          </cell>
        </row>
        <row r="29025">
          <cell r="B29025" t="str">
            <v>81040300000137</v>
          </cell>
          <cell r="C29025" t="str">
            <v>CL COB.JUD.T.CR.AMEX PN INT.SUS         7ND</v>
          </cell>
        </row>
        <row r="29026">
          <cell r="B29026" t="str">
            <v>81040300000138</v>
          </cell>
          <cell r="C29026" t="str">
            <v>INT COB JUD TC AMEX PJ CLÂ Â Â Â Â Â Â Â7ND</v>
          </cell>
        </row>
        <row r="29027">
          <cell r="B29027" t="str">
            <v>81040300000139</v>
          </cell>
          <cell r="C29027" t="str">
            <v>CL COB.JUD.TC MASTER PN INT.SUS         7ND</v>
          </cell>
        </row>
        <row r="29028">
          <cell r="B29028" t="str">
            <v>81040300000140</v>
          </cell>
          <cell r="C29028" t="str">
            <v>CL COB.JUD.TC MASTER PJ INT.SUS         7ND</v>
          </cell>
        </row>
        <row r="29029">
          <cell r="B29029" t="str">
            <v>81040300000142</v>
          </cell>
          <cell r="C29029" t="str">
            <v>LPC COB.JUD.PAG.VAC RP VN INT           7ND</v>
          </cell>
        </row>
        <row r="29030">
          <cell r="B29030" t="str">
            <v>81040300000143</v>
          </cell>
          <cell r="C29030" t="str">
            <v>LPC COB.JUD.PAG.VAC RP INDX.INT         7ND</v>
          </cell>
        </row>
        <row r="29031">
          <cell r="B29031" t="str">
            <v>81040300000144</v>
          </cell>
          <cell r="C29031" t="str">
            <v>CL COB.JU.CRE.HIP.PJ CL INT.SUS         7ND</v>
          </cell>
        </row>
        <row r="29032">
          <cell r="B29032" t="str">
            <v>81040300000145</v>
          </cell>
          <cell r="C29032" t="str">
            <v>CL COB.JUD.REFI.HIPO.IC INT.SUS         7ND</v>
          </cell>
        </row>
        <row r="29033">
          <cell r="B29033" t="str">
            <v>81040300000146</v>
          </cell>
          <cell r="C29033" t="str">
            <v>CL COB.JUD.CONVENIOS IC INT.SUS         7ND</v>
          </cell>
        </row>
        <row r="29034">
          <cell r="B29034" t="str">
            <v>81040300000147</v>
          </cell>
          <cell r="C29034" t="str">
            <v>CL COB.JUD.DCTO.PAG.MES INT.SUS         7ND</v>
          </cell>
        </row>
        <row r="29035">
          <cell r="B29035" t="str">
            <v>81040300000148</v>
          </cell>
          <cell r="C29035" t="str">
            <v>CL COB.JUD.DCTO.LET.MES INT.SUS         7ND</v>
          </cell>
        </row>
        <row r="29036">
          <cell r="B29036" t="str">
            <v>81040300000151</v>
          </cell>
          <cell r="C29036" t="str">
            <v>CL COB.JUD.CAP.TRAB.MES INT.SUS         7ND</v>
          </cell>
        </row>
        <row r="29037">
          <cell r="B29037" t="str">
            <v>81040300000156</v>
          </cell>
          <cell r="C29037" t="str">
            <v>CL COB.JU.HIPOT.COM.MES INT.SUS         7ND</v>
          </cell>
        </row>
        <row r="29038">
          <cell r="B29038" t="str">
            <v>81040300000157</v>
          </cell>
          <cell r="C29038" t="str">
            <v>CL COB.JU.TC VISA PJ MES INT.SUS  .     7ND</v>
          </cell>
        </row>
        <row r="29039">
          <cell r="B29039" t="str">
            <v>81040300000158</v>
          </cell>
          <cell r="C29039" t="str">
            <v>CL COB.JU.TC AMEX PJ MES INT.SUS  .     7ND</v>
          </cell>
        </row>
        <row r="29040">
          <cell r="B29040" t="str">
            <v>81040300000159</v>
          </cell>
          <cell r="C29040" t="str">
            <v>CL COB. JUD. INT.T. C. MASTERCARD PJ-MES7ND</v>
          </cell>
        </row>
        <row r="29041">
          <cell r="B29041" t="str">
            <v>81040300000160</v>
          </cell>
          <cell r="C29041" t="str">
            <v>CL INTERES SUSP.COB.JUD. REC. COFIDE MES7ND</v>
          </cell>
        </row>
        <row r="29042">
          <cell r="B29042" t="str">
            <v>81040300000161</v>
          </cell>
          <cell r="C29042" t="str">
            <v>CL COB.JUD C.CTE.PJ MES INT.SUS         7ND</v>
          </cell>
        </row>
        <row r="29043">
          <cell r="B29043" t="str">
            <v>81040300000164</v>
          </cell>
          <cell r="C29043" t="str">
            <v>LPC INT .COB. JUD LEASING - MES         7ND</v>
          </cell>
        </row>
        <row r="29044">
          <cell r="B29044" t="str">
            <v>81040300000165</v>
          </cell>
          <cell r="C29044" t="str">
            <v>CL COB.JUD.P.RFA SUB.MES INT.SUS        7ND</v>
          </cell>
        </row>
        <row r="29045">
          <cell r="B29045" t="str">
            <v>81040300000166</v>
          </cell>
          <cell r="C29045" t="str">
            <v>CL COB.JUD.P.RFA FINAN.MES SUS          7ND</v>
          </cell>
        </row>
        <row r="29046">
          <cell r="B29046" t="str">
            <v>81040300000167</v>
          </cell>
          <cell r="C29046" t="str">
            <v>CL CJ INT.P.REF FOPE SUBOR GL7004       7ND</v>
          </cell>
        </row>
        <row r="29047">
          <cell r="B29047" t="str">
            <v>81040300000168</v>
          </cell>
          <cell r="C29047" t="str">
            <v>CL COB.JUD.PAG.FOPE REF.INT.SUS         7ND</v>
          </cell>
        </row>
        <row r="29048">
          <cell r="B29048" t="str">
            <v>81040300000169</v>
          </cell>
          <cell r="C29048" t="str">
            <v>CL CJ INT.P.REF FOPE SUBOR MES GL7004   7ND</v>
          </cell>
        </row>
        <row r="29049">
          <cell r="B29049" t="str">
            <v>81040300000170</v>
          </cell>
          <cell r="C29049" t="str">
            <v>CL CJ INT.P.REF FOPEÂ  MES GL7004       7ND</v>
          </cell>
        </row>
        <row r="29050">
          <cell r="B29050" t="str">
            <v>81040300000179</v>
          </cell>
          <cell r="C29050" t="str">
            <v>CL COB JUD INT.RFA SUBORD VEN           7ND</v>
          </cell>
        </row>
        <row r="29051">
          <cell r="B29051" t="str">
            <v>81040300000180</v>
          </cell>
          <cell r="C29051" t="str">
            <v>CL COB JUD INT.RFA FINANC VEN           7ND</v>
          </cell>
        </row>
        <row r="29052">
          <cell r="B29052" t="str">
            <v>81040300000181</v>
          </cell>
          <cell r="C29052" t="str">
            <v>LPC COBRANZA JUDICIAL LEASING           7ND</v>
          </cell>
        </row>
        <row r="29053">
          <cell r="B29053" t="str">
            <v>81040300000182</v>
          </cell>
          <cell r="C29053" t="str">
            <v>$CL COB JU SUS P.TV MED.PLZ C/FIJ       7ND</v>
          </cell>
        </row>
        <row r="29054">
          <cell r="B29054" t="str">
            <v>81040300000184</v>
          </cell>
          <cell r="C29054" t="str">
            <v>CL BT JUD.HIP.MIVIV.INT.SUS.COF         7ND</v>
          </cell>
        </row>
        <row r="29055">
          <cell r="B29055" t="str">
            <v>81040300000185</v>
          </cell>
          <cell r="C29055" t="str">
            <v>COB JUD INT CRED TECHOPROPIO-RECUP CL   7ND</v>
          </cell>
        </row>
        <row r="29056">
          <cell r="B29056" t="str">
            <v>81040300000186</v>
          </cell>
          <cell r="C29056" t="str">
            <v>CL CJ MYP CAP TRAB INT SUSP COM         7ND</v>
          </cell>
        </row>
        <row r="29057">
          <cell r="B29057" t="str">
            <v>81040300000187</v>
          </cell>
          <cell r="C29057" t="str">
            <v>CL CJ MYP  CAP TRAB INT SUSP ME         7ND</v>
          </cell>
        </row>
        <row r="29058">
          <cell r="B29058" t="str">
            <v>81040300000188</v>
          </cell>
          <cell r="C29058" t="str">
            <v>CL CJ MYP INT SUSP COMP AF INMUE        7ND</v>
          </cell>
        </row>
        <row r="29059">
          <cell r="B29059" t="str">
            <v>81040300000189</v>
          </cell>
          <cell r="C29059" t="str">
            <v>CL CJ MYP INT SUSP COMP AF INMU         7ND</v>
          </cell>
        </row>
        <row r="29060">
          <cell r="B29060" t="str">
            <v>81040300000190</v>
          </cell>
          <cell r="C29060" t="str">
            <v>CL CJ MYP INT SUSP COMP AF MUEB         7ND</v>
          </cell>
        </row>
        <row r="29061">
          <cell r="B29061" t="str">
            <v>81040300000191</v>
          </cell>
          <cell r="C29061" t="str">
            <v>CL CJ MYP INT SUSP COMP AF MUEB         7ND</v>
          </cell>
        </row>
        <row r="29062">
          <cell r="B29062" t="str">
            <v>81040300000192</v>
          </cell>
          <cell r="C29062" t="str">
            <v>CL CJ MYP  CRED ESTAC INT SUSP          7ND</v>
          </cell>
        </row>
        <row r="29063">
          <cell r="B29063" t="str">
            <v>81040300000193</v>
          </cell>
          <cell r="C29063" t="str">
            <v>CL CJ MYP CRED ESTAC INT SUSP M         7ND</v>
          </cell>
        </row>
        <row r="29064">
          <cell r="B29064" t="str">
            <v>81040300000194</v>
          </cell>
          <cell r="C29064" t="str">
            <v>CL CJ MYP  AF CYBERPL INT SUSP C        7ND</v>
          </cell>
        </row>
        <row r="29065">
          <cell r="B29065" t="str">
            <v>81040300000195</v>
          </cell>
          <cell r="C29065" t="str">
            <v>CL CJ MYP  AF CYBERPL INT SUSP M $  110 7ND</v>
          </cell>
        </row>
        <row r="29066">
          <cell r="B29066" t="str">
            <v>81040300000196</v>
          </cell>
          <cell r="C29066" t="str">
            <v>CL COB JUD H. MIVIVIENDA RP INTERES     7ND</v>
          </cell>
        </row>
        <row r="29067">
          <cell r="B29067" t="str">
            <v>81040300000197</v>
          </cell>
          <cell r="C29067" t="str">
            <v>CL COB.JUD.CRE.EFECTIVO INT.SUS         7ND</v>
          </cell>
        </row>
        <row r="29068">
          <cell r="B29068" t="str">
            <v>81040300000198</v>
          </cell>
          <cell r="C29068" t="str">
            <v>LPC COB JUDICIAL LS LA FIDUCIARIA  CESF 7ND</v>
          </cell>
        </row>
        <row r="29069">
          <cell r="B29069" t="str">
            <v>81040300000201</v>
          </cell>
          <cell r="C29069" t="str">
            <v>LPC COB JUDICIAL LEASING COFIDE CMED    7ND</v>
          </cell>
        </row>
        <row r="29070">
          <cell r="B29070" t="str">
            <v>81040300000202</v>
          </cell>
          <cell r="C29070" t="str">
            <v>JCC COB.JUD.CONVENIOS  INT.SUS          7ND</v>
          </cell>
        </row>
        <row r="29071">
          <cell r="B29071" t="str">
            <v>81040300000203</v>
          </cell>
          <cell r="C29071" t="str">
            <v>JCC COB.JUD.REFINANC.  INT.SUS          7ND</v>
          </cell>
        </row>
        <row r="29072">
          <cell r="B29072" t="str">
            <v>81040300000204</v>
          </cell>
          <cell r="C29072" t="str">
            <v>JCC JUDIC.HIP.MI VIVIE.INT.SUSP.COFID   7ND</v>
          </cell>
        </row>
        <row r="29073">
          <cell r="B29073" t="str">
            <v>81040300000205</v>
          </cell>
          <cell r="C29073" t="str">
            <v>JCC COBJUD INT CRED CONS ADEL SUELDO    7ND</v>
          </cell>
        </row>
        <row r="29074">
          <cell r="B29074" t="str">
            <v>81040300000206</v>
          </cell>
          <cell r="C29074" t="str">
            <v>JCC COBJUD INT CRED CONS PREFERENTE     7ND</v>
          </cell>
        </row>
        <row r="29075">
          <cell r="B29075" t="str">
            <v>81040300000207</v>
          </cell>
          <cell r="C29075" t="str">
            <v>JCC COB.JUD.TC MASTER PN INT.SUS.MASTER 7ND</v>
          </cell>
        </row>
        <row r="29076">
          <cell r="B29076" t="str">
            <v>81040300000208</v>
          </cell>
          <cell r="C29076" t="str">
            <v>JCC INT.JUD CONSUMO PREFE CCNR          7ND</v>
          </cell>
        </row>
        <row r="29077">
          <cell r="B29077" t="str">
            <v>81040300000209</v>
          </cell>
          <cell r="C29077" t="str">
            <v>JCC CJ MYP INT SUSP COMP AF INMU        7ND</v>
          </cell>
        </row>
        <row r="29078">
          <cell r="B29078" t="str">
            <v>81040300000210</v>
          </cell>
          <cell r="C29078" t="str">
            <v>JCC CJ MYP INT SUSP COMP AF MUEB        7ND</v>
          </cell>
        </row>
        <row r="29079">
          <cell r="B29079" t="str">
            <v>81040300000211</v>
          </cell>
          <cell r="C29079" t="str">
            <v>JCC COB.JUD.TC MASTER PN INT.SUS        7ND</v>
          </cell>
        </row>
        <row r="29080">
          <cell r="B29080" t="str">
            <v>81040300000212</v>
          </cell>
          <cell r="C29080" t="str">
            <v>JCC COB.JUD.SOB.C.CTE.PN INT.SUS        7ND</v>
          </cell>
        </row>
        <row r="29081">
          <cell r="B29081" t="str">
            <v>81040300000213</v>
          </cell>
          <cell r="C29081" t="str">
            <v>JCC COB.JU.ARREN.FINA.PN INT.SUS        7ND</v>
          </cell>
        </row>
        <row r="29082">
          <cell r="B29082" t="str">
            <v>81040300000214</v>
          </cell>
          <cell r="C29082" t="str">
            <v>JCC COB JUD H. MI HOGAR COFIDE  INTER   7ND</v>
          </cell>
        </row>
        <row r="29083">
          <cell r="B29083" t="str">
            <v>81040300000215</v>
          </cell>
          <cell r="C29083" t="str">
            <v>JCC COB JUD PREST EFEC GTIA HIPOT INTER 7ND</v>
          </cell>
        </row>
        <row r="29084">
          <cell r="B29084" t="str">
            <v>81040300000216</v>
          </cell>
          <cell r="C29084" t="str">
            <v>COB JUD INT CRED TECHOPROPIO-RECUP JCC  7ND</v>
          </cell>
        </row>
        <row r="29085">
          <cell r="B29085" t="str">
            <v>81040300000217</v>
          </cell>
          <cell r="C29085" t="str">
            <v>INT. COB. JUD. TAR.VISA DE CREDITO-JCC  7ND</v>
          </cell>
        </row>
        <row r="29086">
          <cell r="B29086" t="str">
            <v>81040300000218</v>
          </cell>
          <cell r="C29086" t="str">
            <v>JCC COB.JUD.T.CR.AMEX PN INT.SUS        7ND</v>
          </cell>
        </row>
        <row r="29087">
          <cell r="B29087" t="str">
            <v>81040300000219</v>
          </cell>
          <cell r="C29087" t="str">
            <v>JCC COB.JUD.T.CR.AMEX PN INT.SUS        7ND</v>
          </cell>
        </row>
        <row r="29088">
          <cell r="B29088" t="str">
            <v>81040300000220</v>
          </cell>
          <cell r="C29088" t="str">
            <v>JCC COB.JUD.DSCTO.PAG INT.SUSP          7ND</v>
          </cell>
        </row>
        <row r="29089">
          <cell r="B29089" t="str">
            <v>81040300000221</v>
          </cell>
          <cell r="C29089" t="str">
            <v>JCC COB.JUD.DCTO.LETRA INT.SUSP         7ND</v>
          </cell>
        </row>
        <row r="29090">
          <cell r="B29090" t="str">
            <v>81040300000222</v>
          </cell>
          <cell r="C29090" t="str">
            <v>JCC COB.JUD.FACTO.LETRA INT.SUS         7ND</v>
          </cell>
        </row>
        <row r="29091">
          <cell r="B29091" t="str">
            <v>81040300000223</v>
          </cell>
          <cell r="C29091" t="str">
            <v>JCC COB.JUD.FACTO.FACTU.INT.SUS         7ND</v>
          </cell>
        </row>
        <row r="29092">
          <cell r="B29092" t="str">
            <v>81040300000224</v>
          </cell>
          <cell r="C29092" t="str">
            <v>JCC COB.JUD.CART.CREDITO INT.SUS        7ND</v>
          </cell>
        </row>
        <row r="29093">
          <cell r="B29093" t="str">
            <v>81040300000225</v>
          </cell>
          <cell r="C29093" t="str">
            <v>JCC COB.JUD.CARTA FIANZA INT.SUS        7ND</v>
          </cell>
        </row>
        <row r="29094">
          <cell r="B29094" t="str">
            <v>81040300000226</v>
          </cell>
          <cell r="C29094" t="str">
            <v>JCC COB JU SUS P.TV MED.PLZ C/FIJ       7ND</v>
          </cell>
        </row>
        <row r="29095">
          <cell r="B29095" t="str">
            <v>81040300000227</v>
          </cell>
          <cell r="C29095" t="str">
            <v>JCC  MYP  CAP TRAB INT SUSP ME          7ND</v>
          </cell>
        </row>
        <row r="29096">
          <cell r="B29096" t="str">
            <v>81040300000228</v>
          </cell>
          <cell r="C29096" t="str">
            <v>JCC  MYP  CRED ESTAC INT SUSP           7ND</v>
          </cell>
        </row>
        <row r="29097">
          <cell r="B29097" t="str">
            <v>81040300000229</v>
          </cell>
          <cell r="C29097" t="str">
            <v>JCC  MYP CRED ESTAC INT SUSP M          7ND</v>
          </cell>
        </row>
        <row r="29098">
          <cell r="B29098" t="str">
            <v>81040300000230</v>
          </cell>
          <cell r="C29098" t="str">
            <v>JCC MYP  AF CYBERPL INT SUSP M $  110   7ND</v>
          </cell>
        </row>
        <row r="29099">
          <cell r="B29099" t="str">
            <v>81040300000232</v>
          </cell>
          <cell r="C29099" t="str">
            <v>JCC COB.JUD.TC MASTER PJ INT.SUS        7ND</v>
          </cell>
        </row>
        <row r="29100">
          <cell r="B29100" t="str">
            <v>81040300000233</v>
          </cell>
          <cell r="C29100" t="str">
            <v>JCC COB. JUD. INT.T. C. MASTERCARD PJ-ME7ND</v>
          </cell>
        </row>
        <row r="29101">
          <cell r="B29101" t="str">
            <v>81040300000236</v>
          </cell>
          <cell r="C29101" t="str">
            <v>JCC COB.JUD.SOB.C.CTE.PJ INT.SUS        7ND</v>
          </cell>
        </row>
        <row r="29102">
          <cell r="B29102" t="str">
            <v>81040300000237</v>
          </cell>
          <cell r="C29102" t="str">
            <v>JCC COB.JUD C.CTE.PJ MES INT.SUS        7ND</v>
          </cell>
        </row>
        <row r="29103">
          <cell r="B29103" t="str">
            <v>81040300000238</v>
          </cell>
          <cell r="C29103" t="str">
            <v>JCC COB.JUD.LEASING PJ INT.SUS          7ND</v>
          </cell>
        </row>
        <row r="29104">
          <cell r="B29104" t="str">
            <v>81040300000239</v>
          </cell>
          <cell r="C29104" t="str">
            <v>JCC COB.JUD.P.RFA SUB.MES INT.SUS       7ND</v>
          </cell>
        </row>
        <row r="29105">
          <cell r="B29105" t="str">
            <v>81040300000240</v>
          </cell>
          <cell r="C29105" t="str">
            <v>JCC COB JUD INT.RFA SUBORD VEN          7ND</v>
          </cell>
        </row>
        <row r="29106">
          <cell r="B29106" t="str">
            <v>81040300000241</v>
          </cell>
          <cell r="C29106" t="str">
            <v>JCC COB JUD INT.RFA FINANC VEN          7ND</v>
          </cell>
        </row>
        <row r="29107">
          <cell r="B29107" t="str">
            <v>81040300000242</v>
          </cell>
          <cell r="C29107" t="str">
            <v>JCC INT. COB. JUD. TARJETA DE CREDITO   7ND</v>
          </cell>
        </row>
        <row r="29108">
          <cell r="B29108" t="str">
            <v>81040300000243</v>
          </cell>
          <cell r="C29108" t="str">
            <v>JCC COB.JU.TC VISA PJ MES INT.SUS  .    7ND</v>
          </cell>
        </row>
        <row r="29109">
          <cell r="B29109" t="str">
            <v>81040300000244</v>
          </cell>
          <cell r="C29109" t="str">
            <v>JCC INT COB JUD TC AMEX PJ              7ND</v>
          </cell>
        </row>
        <row r="29110">
          <cell r="B29110" t="str">
            <v>81040300000245</v>
          </cell>
          <cell r="C29110" t="str">
            <v>JCC COB.JU.TC AMEX PJ MES INT.SUS  .    7ND</v>
          </cell>
        </row>
        <row r="29111">
          <cell r="B29111" t="str">
            <v>81040300000248</v>
          </cell>
          <cell r="C29111" t="str">
            <v>JCC COB.JUD.SOB.C.CTE.PN INT.SUS.CARTERA7ND</v>
          </cell>
        </row>
        <row r="29112">
          <cell r="B29112" t="str">
            <v>81040300000249</v>
          </cell>
          <cell r="C29112" t="str">
            <v>JCC COB.JUD.P.REC.COFIDE INT.SUS        7ND</v>
          </cell>
        </row>
        <row r="29113">
          <cell r="B29113" t="str">
            <v>81040300000257</v>
          </cell>
          <cell r="C29113" t="str">
            <v>JCC COB.JUD.REFI.HIPO. INT.SUS          7ND</v>
          </cell>
        </row>
        <row r="29114">
          <cell r="B29114" t="str">
            <v>81040300000258</v>
          </cell>
          <cell r="C29114" t="str">
            <v>JCC COB JUD H. MIVIVIENDA RP INTERES    7ND</v>
          </cell>
        </row>
        <row r="29115">
          <cell r="B29115" t="str">
            <v>81040300000259</v>
          </cell>
          <cell r="C29115" t="str">
            <v>INT. COB. JUD. TARJETA DE CREDITO-JCC   7ND</v>
          </cell>
        </row>
        <row r="29116">
          <cell r="B29116" t="str">
            <v>81040300000260</v>
          </cell>
          <cell r="C29116" t="str">
            <v>JCC JUD INT.CONVENIO NO REV.CNG         7ND</v>
          </cell>
        </row>
        <row r="29117">
          <cell r="B29117" t="str">
            <v>81040300000261</v>
          </cell>
          <cell r="C29117" t="str">
            <v>JCC JUD.REFINAN. INT.SUS  CONV.NO REV.CN7ND</v>
          </cell>
        </row>
        <row r="29118">
          <cell r="B29118" t="str">
            <v>81040300000262</v>
          </cell>
          <cell r="C29118" t="str">
            <v>JCC MYP JUD.C.TRAB.INT.SUSP.REV.        7ND</v>
          </cell>
        </row>
        <row r="29119">
          <cell r="B29119" t="str">
            <v>81040300000263</v>
          </cell>
          <cell r="C29119" t="str">
            <v>JCC COB.JUD. INT.SUS BANCA PERSONAL     7ND</v>
          </cell>
        </row>
        <row r="29120">
          <cell r="B29120" t="str">
            <v>81040300000264</v>
          </cell>
          <cell r="C29120" t="str">
            <v>JCC COB.JUD.LEASING PN INT.SUS          7ND</v>
          </cell>
        </row>
        <row r="29121">
          <cell r="B29121" t="str">
            <v>81040300000265</v>
          </cell>
          <cell r="C29121" t="str">
            <v>JCC INT.EN SUSP.JUD.MYP LS BPE          7ND</v>
          </cell>
        </row>
        <row r="29122">
          <cell r="B29122" t="str">
            <v>81040300000266</v>
          </cell>
          <cell r="C29122" t="str">
            <v>JCC COB.JUD.LEASING INT.SUS CPEM        7ND</v>
          </cell>
        </row>
        <row r="29123">
          <cell r="B29123" t="str">
            <v>81040300000267</v>
          </cell>
          <cell r="C29123" t="str">
            <v>JCC JUD INT.REFINANCIADO TC             7ND</v>
          </cell>
        </row>
        <row r="29124">
          <cell r="B29124" t="str">
            <v>81040300000268</v>
          </cell>
          <cell r="C29124" t="str">
            <v>JCC MYP JUD CAP TRAB INT SUSP CMED      7ND</v>
          </cell>
        </row>
        <row r="29125">
          <cell r="B29125" t="str">
            <v>81040300000301</v>
          </cell>
          <cell r="C29125" t="str">
            <v>JCC COB.JUD.P.RP EXPOR.INT.SUSP         7ND</v>
          </cell>
        </row>
        <row r="29126">
          <cell r="B29126" t="str">
            <v>81040300000302</v>
          </cell>
          <cell r="C29126" t="str">
            <v>JCC COB.JUD.P.RP CAP.TRA.INT.SUS        7ND</v>
          </cell>
        </row>
        <row r="29127">
          <cell r="B29127" t="str">
            <v>81040300000303</v>
          </cell>
          <cell r="C29127" t="str">
            <v>JCC COB.JUD.PAG.IMPORT.INT.SUSP         7ND</v>
          </cell>
        </row>
        <row r="29128">
          <cell r="B29128" t="str">
            <v>81040300000304</v>
          </cell>
          <cell r="C29128" t="str">
            <v>JCC COB.JUD.P.RP CAP.TRA.INT.SUS        7ND</v>
          </cell>
        </row>
        <row r="29129">
          <cell r="B29129" t="str">
            <v>81040300000305</v>
          </cell>
          <cell r="C29129" t="str">
            <v>JCC COB.JUD.CRE.HIPOT.JCC INT.SUS       7ND</v>
          </cell>
        </row>
        <row r="29130">
          <cell r="B29130" t="str">
            <v>81040300000306</v>
          </cell>
          <cell r="C29130" t="str">
            <v>JCC COB.JUD.CRE.EFECTIVO INT.SUS        7ND</v>
          </cell>
        </row>
        <row r="29131">
          <cell r="B29131" t="str">
            <v>81040300000307</v>
          </cell>
          <cell r="C29131" t="str">
            <v>INT. COB. JUD. CRED DE VEHICULAR-JCC    7ND</v>
          </cell>
        </row>
        <row r="29132">
          <cell r="B29132" t="str">
            <v>81040300000401</v>
          </cell>
          <cell r="C29132" t="str">
            <v>LPC INT.EN SUSP LS COB.JUD BPE          7ND</v>
          </cell>
        </row>
        <row r="29133">
          <cell r="B29133" t="str">
            <v>81040300000402</v>
          </cell>
          <cell r="C29133" t="str">
            <v>LPC LSBACK COB JUD CPEM                 7ND</v>
          </cell>
        </row>
        <row r="29134">
          <cell r="B29134" t="str">
            <v>81040300002301</v>
          </cell>
          <cell r="C29134" t="str">
            <v>CL JUDIC.HIP.MI VIVIE.INT.SUSP.COFID    7ND</v>
          </cell>
        </row>
        <row r="29135">
          <cell r="B29135" t="str">
            <v>81040300002302</v>
          </cell>
          <cell r="C29135" t="str">
            <v>CL COB JUD H. MI HOGAR COFIDE  INTER    7ND</v>
          </cell>
        </row>
        <row r="29136">
          <cell r="B29136" t="str">
            <v>81040300002303</v>
          </cell>
          <cell r="C29136" t="str">
            <v>CL COB JUD PREST EFEC GTIA HIPOT INTER  7ND</v>
          </cell>
        </row>
        <row r="29137">
          <cell r="B29137" t="str">
            <v>81040300002304</v>
          </cell>
          <cell r="C29137" t="str">
            <v>CL COBJUD INT CRED CONS ADEL SUELDO     7ND</v>
          </cell>
        </row>
        <row r="29138">
          <cell r="B29138" t="str">
            <v>81040300002305</v>
          </cell>
          <cell r="C29138" t="str">
            <v>CL COBJUD INT CRED CONS PREFERENTE      7ND</v>
          </cell>
        </row>
        <row r="29139">
          <cell r="B29139" t="str">
            <v>81040300002306</v>
          </cell>
          <cell r="C29139" t="str">
            <v>CL INT.JUD CONSUMO PREFE CCNR           7ND</v>
          </cell>
        </row>
        <row r="29140">
          <cell r="B29140" t="str">
            <v>81040300002307</v>
          </cell>
          <cell r="C29140" t="str">
            <v>CL JUD INT.CONVENIO NO REV.CNG          7ND</v>
          </cell>
        </row>
        <row r="29141">
          <cell r="B29141" t="str">
            <v>81040300002308</v>
          </cell>
          <cell r="C29141" t="str">
            <v>CL JUD.REFINAN. INT.SUS  CONV.NO REV.CNG7ND</v>
          </cell>
        </row>
        <row r="29142">
          <cell r="B29142" t="str">
            <v>81040300002309</v>
          </cell>
          <cell r="C29142" t="str">
            <v>CL JUD INT.SUPS.P.REFIN RP CAP TRAB.CMED7ND</v>
          </cell>
        </row>
        <row r="29143">
          <cell r="B29143" t="str">
            <v>81040300002311</v>
          </cell>
          <cell r="C29143" t="str">
            <v>CL MYP JUD.C.TRAB.INT.SUSP.REV.         7ND</v>
          </cell>
        </row>
        <row r="29144">
          <cell r="B29144" t="str">
            <v>81040300002312</v>
          </cell>
          <cell r="C29144" t="str">
            <v>JCC COB.JUD INT.SUSP REACTIVA PERU      7ND</v>
          </cell>
        </row>
        <row r="29145">
          <cell r="B29145" t="str">
            <v>81040300002313</v>
          </cell>
          <cell r="C29145" t="str">
            <v>JCC COB.JUD INT.SUSP REACTIVA PERU      7 D</v>
          </cell>
        </row>
        <row r="29146">
          <cell r="B29146" t="str">
            <v>81040300002314</v>
          </cell>
          <cell r="C29146" t="str">
            <v>JCC BTC COB JUD RAPPIBANK INTERESES     7 D</v>
          </cell>
        </row>
        <row r="29147">
          <cell r="B29147" t="str">
            <v>81040300002315</v>
          </cell>
          <cell r="C29147" t="str">
            <v>JCC COB.JUD INT.SUSP FONDO CRECER       7 D</v>
          </cell>
        </row>
        <row r="29148">
          <cell r="B29148" t="str">
            <v>81040300002316</v>
          </cell>
          <cell r="C29148" t="str">
            <v>JCC COB.JUD INT.SUSP FONDO CRECER       7 D</v>
          </cell>
        </row>
        <row r="29149">
          <cell r="B29149" t="str">
            <v>81040300002317</v>
          </cell>
          <cell r="C29149" t="str">
            <v>JCC COB.JUD INT.SUSP REACTIVA PRE-HONRAM7 D</v>
          </cell>
        </row>
        <row r="29150">
          <cell r="B29150" t="str">
            <v>81040300002318</v>
          </cell>
          <cell r="C29150" t="str">
            <v>JCC COB.JUD INT.SUSP REACTIVA PRE-HONRAM7 D</v>
          </cell>
        </row>
        <row r="29151">
          <cell r="B29151" t="str">
            <v>81040300002319</v>
          </cell>
          <cell r="C29151" t="str">
            <v>JCC COB.JU INT.SUSP REACTI PRE-HONR REPR7 D</v>
          </cell>
        </row>
        <row r="29152">
          <cell r="B29152" t="str">
            <v>81040300002320</v>
          </cell>
          <cell r="C29152" t="str">
            <v>JCC COB.JU INT.SUSP REACTI PRE-HONR REPR7 D</v>
          </cell>
        </row>
        <row r="29153">
          <cell r="B29153" t="str">
            <v>81040300002321</v>
          </cell>
          <cell r="C29153" t="str">
            <v>JCC COB.JU INT.SUSP REACTI PRE-HONR REPR7 D</v>
          </cell>
        </row>
        <row r="29154">
          <cell r="B29154" t="str">
            <v>81040300002322</v>
          </cell>
          <cell r="C29154" t="str">
            <v>JCC COB.JU INT.SUSP REACTI PRE-HONR REPR7 D</v>
          </cell>
        </row>
        <row r="29155">
          <cell r="B29155" t="str">
            <v>81040300002323</v>
          </cell>
          <cell r="C29155" t="str">
            <v>JCC COB.JU INT.SUSP REACTI PRE-HONR REPR7 D</v>
          </cell>
        </row>
        <row r="29156">
          <cell r="B29156" t="str">
            <v>81040300002324</v>
          </cell>
          <cell r="C29156" t="str">
            <v>JCC COB.JU INT.SUSP REACTI PRE-HONR REPR7 D</v>
          </cell>
        </row>
        <row r="29157">
          <cell r="B29157" t="str">
            <v>81040300002325</v>
          </cell>
          <cell r="C29157" t="str">
            <v>JCC COB.JU INT.SUSP CRECER PRE-HONRAMIEN7 D</v>
          </cell>
        </row>
        <row r="29158">
          <cell r="B29158" t="str">
            <v>81040300002326</v>
          </cell>
          <cell r="C29158" t="str">
            <v>JCC COB.JU INT.SUSP CRECER PRE-HONRAMIEN7 D</v>
          </cell>
        </row>
        <row r="29159">
          <cell r="B29159" t="str">
            <v>81040300002327</v>
          </cell>
          <cell r="C29159" t="str">
            <v>JCC COB.JU INT.SUSP REACTI PRE-HONR REPR7 D</v>
          </cell>
        </row>
        <row r="29160">
          <cell r="B29160" t="str">
            <v>81040300002328</v>
          </cell>
          <cell r="C29160" t="str">
            <v>JCC COB.JU INT.SUSP REACTI PRE-HONR REPR7 D</v>
          </cell>
        </row>
        <row r="29161">
          <cell r="B29161" t="str">
            <v>81040300002329</v>
          </cell>
          <cell r="C29161" t="str">
            <v>JCC COB.JU INT.SUSP REACTI PRE-HONR REPR7 D</v>
          </cell>
        </row>
        <row r="29162">
          <cell r="B29162" t="str">
            <v>81040300002330</v>
          </cell>
          <cell r="C29162" t="str">
            <v>JCC COB.JU INT.SUSP REACTI PRE-HONR REPR7 D</v>
          </cell>
        </row>
        <row r="29163">
          <cell r="B29163" t="str">
            <v>81040300002331</v>
          </cell>
          <cell r="C29163" t="str">
            <v>JCC COB.JU INT.SUSP REACTI PRE-HONR REPR7 D</v>
          </cell>
        </row>
        <row r="29164">
          <cell r="B29164" t="str">
            <v>81040300002332</v>
          </cell>
          <cell r="C29164" t="str">
            <v>JCC COB.JU INT.SUSP REACTI PRE-HONR REPR7 D</v>
          </cell>
        </row>
        <row r="29165">
          <cell r="B29165" t="str">
            <v>81040300002333</v>
          </cell>
          <cell r="C29165" t="str">
            <v>JCC COB.JU INT.SUSP CRECER PRE-HONRAMIEN7 D</v>
          </cell>
        </row>
        <row r="29166">
          <cell r="B29166" t="str">
            <v>81040300002334</v>
          </cell>
          <cell r="C29166" t="str">
            <v>JCC COB.JU INT.SUSP CRECER PRE-HONRAMIEN7 D</v>
          </cell>
        </row>
        <row r="29167">
          <cell r="B29167" t="str">
            <v>81040300002335</v>
          </cell>
          <cell r="C29167" t="str">
            <v>JCC MP COB.JUD INT.SUSP IMPULSO MYPERU I7 D</v>
          </cell>
        </row>
        <row r="29168">
          <cell r="B29168" t="str">
            <v>81040300002336</v>
          </cell>
          <cell r="C29168" t="str">
            <v>JCC BC COB.JUD. INT SUSP IMPULSO MYPERU 7 D</v>
          </cell>
        </row>
        <row r="29169">
          <cell r="B29169" t="str">
            <v>81040300002337</v>
          </cell>
          <cell r="C29169" t="str">
            <v>JCC MP INT COB JUD IMPLUSO MYPERU HONRAD7 D</v>
          </cell>
        </row>
        <row r="29170">
          <cell r="B29170" t="str">
            <v>81040300002338</v>
          </cell>
          <cell r="C29170" t="str">
            <v>JCC CCD INT COBJUD CAPITAL DE TRABAJO   7 D</v>
          </cell>
        </row>
        <row r="29171">
          <cell r="B29171" t="str">
            <v>81040400000201</v>
          </cell>
          <cell r="C29171" t="str">
            <v>CL CTA.CTE.REESTRUC.INT.SUS             7ND</v>
          </cell>
        </row>
        <row r="29172">
          <cell r="B29172" t="str">
            <v>81040400000501</v>
          </cell>
          <cell r="C29172" t="str">
            <v>CL LETRA DSCTO.REEST.INT.SUS            7ND</v>
          </cell>
        </row>
        <row r="29173">
          <cell r="B29173" t="str">
            <v>81040400000502</v>
          </cell>
          <cell r="C29173" t="str">
            <v>CL PAG.T.DSCTA.REESTR.INT.SUS           7ND</v>
          </cell>
        </row>
        <row r="29174">
          <cell r="B29174" t="str">
            <v>81040400000601</v>
          </cell>
          <cell r="C29174" t="str">
            <v>CL P.TASA VEN.REEST.INT.SUS             7ND</v>
          </cell>
        </row>
        <row r="29175">
          <cell r="B29175" t="str">
            <v>81040400000602</v>
          </cell>
          <cell r="C29175" t="str">
            <v>CL P.EXP RP REESTRUCT.INT.SUS           7ND</v>
          </cell>
        </row>
        <row r="29176">
          <cell r="B29176" t="str">
            <v>81040400000603</v>
          </cell>
          <cell r="C29176" t="str">
            <v>CL P.IMPORT RP REEST.INT.SUS            7ND</v>
          </cell>
        </row>
        <row r="29177">
          <cell r="B29177" t="str">
            <v>81040400000605</v>
          </cell>
          <cell r="C29177" t="str">
            <v>INT CRED REESTRUC SUSP FLAR RE EXP CL   7ND</v>
          </cell>
        </row>
        <row r="29178">
          <cell r="B29178" t="str">
            <v>81040400000606</v>
          </cell>
          <cell r="C29178" t="str">
            <v>CL C.CRED REESTR BKT INT.SUSP .         7ND</v>
          </cell>
        </row>
        <row r="29179">
          <cell r="B29179" t="str">
            <v>81040400000609</v>
          </cell>
          <cell r="C29179" t="str">
            <v>CL PTV.REESTRUC.COFIDE INT.SUS          7ND</v>
          </cell>
        </row>
        <row r="29180">
          <cell r="B29180" t="str">
            <v>81040400000611</v>
          </cell>
          <cell r="C29180" t="str">
            <v>LPC INT SUSP PAG TV RESTR RP            7ND</v>
          </cell>
        </row>
        <row r="29181">
          <cell r="B29181" t="str">
            <v>81040400000612</v>
          </cell>
          <cell r="C29181" t="str">
            <v>LPC PAG.REEST.VAC RP VN INT.SUS         7ND</v>
          </cell>
        </row>
        <row r="29182">
          <cell r="B29182" t="str">
            <v>81040400000613</v>
          </cell>
          <cell r="C29182" t="str">
            <v>LPC PAG.REES.VAC RP INDX.INT.SUS        7ND</v>
          </cell>
        </row>
        <row r="29183">
          <cell r="B29183" t="str">
            <v>81040400000632</v>
          </cell>
          <cell r="C29183" t="str">
            <v>LPC IN SUS.P.REES.MED.PLZ C/FIJA        7ND</v>
          </cell>
        </row>
        <row r="29184">
          <cell r="B29184" t="str">
            <v>81040400000811</v>
          </cell>
          <cell r="C29184" t="str">
            <v>LPC INT SUSP PAG TV REESTRUC RP  - MES  7ND</v>
          </cell>
        </row>
        <row r="29185">
          <cell r="B29185" t="str">
            <v>81040400001101</v>
          </cell>
          <cell r="C29185" t="str">
            <v>CL P.LEASING REESTRUC.INT.SUS           7ND</v>
          </cell>
        </row>
        <row r="29186">
          <cell r="B29186" t="str">
            <v>81040900000101</v>
          </cell>
          <cell r="C29186" t="str">
            <v>IC COM GTOS AD REFIN SUSP-VIG           7ND</v>
          </cell>
        </row>
        <row r="29187">
          <cell r="B29187" t="str">
            <v>81040900000104</v>
          </cell>
          <cell r="C29187" t="str">
            <v>MYP INTERES VIG CAP.TRAB. CIMA DUPE     7ND</v>
          </cell>
        </row>
        <row r="29188">
          <cell r="B29188" t="str">
            <v>81040900000105</v>
          </cell>
          <cell r="C29188" t="str">
            <v>MYP SEG.BIEN CAP.TRAB. CIMA NORM VIG-VEN7ND</v>
          </cell>
        </row>
        <row r="29189">
          <cell r="B29189" t="str">
            <v>81040900000201</v>
          </cell>
          <cell r="C29189" t="str">
            <v>COM DE CRED VENC SUSP TC COMERCIAL      7ND</v>
          </cell>
        </row>
        <row r="29190">
          <cell r="B29190" t="str">
            <v>81040900000202</v>
          </cell>
          <cell r="C29190" t="str">
            <v>IC COM GASTOS ADM VENCIDA               7ND</v>
          </cell>
        </row>
        <row r="29191">
          <cell r="B29191" t="str">
            <v>81040900000203</v>
          </cell>
          <cell r="C29191" t="str">
            <v>IC COM GTOS ADM VENC CONVENIO           7ND</v>
          </cell>
        </row>
        <row r="29192">
          <cell r="B29192" t="str">
            <v>81040900000208</v>
          </cell>
          <cell r="C29192" t="str">
            <v>COM.SUSPENSO CTAS.CTES.PN Y PJ S/F LUCRO7ND</v>
          </cell>
        </row>
        <row r="29193">
          <cell r="B29193" t="str">
            <v>81040900000209</v>
          </cell>
          <cell r="C29193" t="str">
            <v>COM.SUSPENSO CTAS.CTES. OTRAS PJ        7ND</v>
          </cell>
        </row>
        <row r="29194">
          <cell r="B29194" t="str">
            <v>81040900000210</v>
          </cell>
          <cell r="C29194" t="str">
            <v>BL COM.SUSPENSO CTAS.CTES.PN BL         7ND</v>
          </cell>
        </row>
        <row r="29195">
          <cell r="B29195" t="str">
            <v>81040900000211</v>
          </cell>
          <cell r="C29195" t="str">
            <v>BL COM.SUSPENSO CTAS.CTES.PJ BL         7ND</v>
          </cell>
        </row>
        <row r="29196">
          <cell r="B29196" t="str">
            <v>81040900000213</v>
          </cell>
          <cell r="C29196" t="str">
            <v>MANT SUSPENSO PJ SF IB                  7ND</v>
          </cell>
        </row>
        <row r="29197">
          <cell r="B29197" t="str">
            <v>81040900000214</v>
          </cell>
          <cell r="C29197" t="str">
            <v>MANT SUSP PJ SF BL                      7ND</v>
          </cell>
        </row>
        <row r="29198">
          <cell r="B29198" t="str">
            <v>81040900000217</v>
          </cell>
          <cell r="C29198" t="str">
            <v>IC COM VIG SUSP CRED REF TC IB PN       7ND</v>
          </cell>
        </row>
        <row r="29199">
          <cell r="B29199" t="str">
            <v>81040900000218</v>
          </cell>
          <cell r="C29199" t="str">
            <v>IC REF TC IB PN COMIS SUSP. VENC        7ND</v>
          </cell>
        </row>
        <row r="29200">
          <cell r="B29200" t="str">
            <v>81040900000219</v>
          </cell>
          <cell r="C29200" t="str">
            <v>COMISION TARJETA DE CREDITO D/P         7ND</v>
          </cell>
        </row>
        <row r="29201">
          <cell r="B29201" t="str">
            <v>81040900000220</v>
          </cell>
          <cell r="C29201" t="str">
            <v>TC COMISION CREDITO VENCIDO             7ND</v>
          </cell>
        </row>
        <row r="29202">
          <cell r="B29202" t="str">
            <v>81040900000221</v>
          </cell>
          <cell r="C29202" t="str">
            <v>TC INTERES CREDITO DUDOSO/PERDIDA       7ND</v>
          </cell>
        </row>
        <row r="29203">
          <cell r="B29203" t="str">
            <v>81040900000222</v>
          </cell>
          <cell r="C29203" t="str">
            <v>TC COMISION CREDITO DUDOSO/PERDIDA      7ND</v>
          </cell>
        </row>
        <row r="29204">
          <cell r="B29204" t="str">
            <v>81040900000223</v>
          </cell>
          <cell r="C29204" t="str">
            <v>FACT INTER IMPORT COMP.VIG. CCOR DUPE   7ND</v>
          </cell>
        </row>
        <row r="29205">
          <cell r="B29205" t="str">
            <v>81040900000224</v>
          </cell>
          <cell r="C29205" t="str">
            <v>FACT INTER IMPORT  COMP.VIG. CESP DUPE  7ND</v>
          </cell>
        </row>
        <row r="29206">
          <cell r="B29206" t="str">
            <v>81040900000225</v>
          </cell>
          <cell r="C29206" t="str">
            <v>FACT INTER IMPORT  COMP.VIG. CGEM DUPE  7ND</v>
          </cell>
        </row>
        <row r="29207">
          <cell r="B29207" t="str">
            <v>81040900000226</v>
          </cell>
          <cell r="C29207" t="str">
            <v>FACT INTER IMPORT  COMP.VIG. CMED DUPE  7ND</v>
          </cell>
        </row>
        <row r="29208">
          <cell r="B29208" t="str">
            <v>81040900000227</v>
          </cell>
          <cell r="C29208" t="str">
            <v>FACT INTER IMPORT  COMP.VIG. CMIE DUPE  7ND</v>
          </cell>
        </row>
        <row r="29209">
          <cell r="B29209" t="str">
            <v>81040900000228</v>
          </cell>
          <cell r="C29209" t="str">
            <v>FACT INTER IMPORT  COMP.VIG. CPEM DUPE  7ND</v>
          </cell>
        </row>
        <row r="29210">
          <cell r="B29210" t="str">
            <v>81040900000229</v>
          </cell>
          <cell r="C29210" t="str">
            <v>TC COMISION CREDITO VENCIDO AMEX        7ND</v>
          </cell>
        </row>
        <row r="29211">
          <cell r="B29211" t="str">
            <v>81040900000230</v>
          </cell>
          <cell r="C29211" t="str">
            <v>TC COMISION CREDITO VENCIDO MC          7ND</v>
          </cell>
        </row>
        <row r="29212">
          <cell r="B29212" t="str">
            <v>81040900000301</v>
          </cell>
          <cell r="C29212" t="str">
            <v>CL D/P PAG.IMPORT RP INT.VEN            7ND</v>
          </cell>
        </row>
        <row r="29213">
          <cell r="B29213" t="str">
            <v>81040900000302</v>
          </cell>
          <cell r="C29213" t="str">
            <v>CL D/P P.PRE EXP.EMBAR.INT.VEN          7ND</v>
          </cell>
        </row>
        <row r="29214">
          <cell r="B29214" t="str">
            <v>81040900000303</v>
          </cell>
          <cell r="C29214" t="str">
            <v>INT CRED VIG SUSP-TC-CONSUMO DUDOSO     7ND</v>
          </cell>
        </row>
        <row r="29215">
          <cell r="B29215" t="str">
            <v>81040900000306</v>
          </cell>
          <cell r="C29215" t="str">
            <v>INT.CRED VIG.SUSP-SOBREGIRO PJ C/F      7ND</v>
          </cell>
        </row>
        <row r="29216">
          <cell r="B29216" t="str">
            <v>81040900000307</v>
          </cell>
          <cell r="C29216" t="str">
            <v>INT.CRED VIG.SUSP-SOBREGIRO PN          7ND</v>
          </cell>
        </row>
        <row r="29217">
          <cell r="B29217" t="str">
            <v>81040900000308</v>
          </cell>
          <cell r="C29217" t="str">
            <v>PR D/P LETRAS DSCTO.INT.SUS             7ND</v>
          </cell>
        </row>
        <row r="29218">
          <cell r="B29218" t="str">
            <v>81040900000314</v>
          </cell>
          <cell r="C29218" t="str">
            <v>CL D/P P.TSA.DSCTO.INT.SUS VIG          7ND</v>
          </cell>
        </row>
        <row r="29219">
          <cell r="B29219" t="str">
            <v>81040900000316</v>
          </cell>
          <cell r="C29219" t="str">
            <v>CL D/P PAG.TSA.VENC.INT.SUS.VIG         7ND</v>
          </cell>
        </row>
        <row r="29220">
          <cell r="B29220" t="str">
            <v>81040900000321</v>
          </cell>
          <cell r="C29220" t="str">
            <v>IC D/P INT SUSP VIG CRED EFECT          7ND</v>
          </cell>
        </row>
        <row r="29221">
          <cell r="B29221" t="str">
            <v>81040900000322</v>
          </cell>
          <cell r="C29221" t="str">
            <v>IC D/P INT VIG SUSP CRED CONVENIO       7ND</v>
          </cell>
        </row>
        <row r="29222">
          <cell r="B29222" t="str">
            <v>81040900000324</v>
          </cell>
          <cell r="C29222" t="str">
            <v>IC D/P INT X COB VIG CRED VEHICULAR     7ND</v>
          </cell>
        </row>
        <row r="29223">
          <cell r="B29223" t="str">
            <v>81040900000327</v>
          </cell>
          <cell r="C29223" t="str">
            <v>IC D/P INT VIG SUSP CRED HIPOTEC        7ND</v>
          </cell>
        </row>
        <row r="29224">
          <cell r="B29224" t="str">
            <v>81040900000328</v>
          </cell>
          <cell r="C29224" t="str">
            <v>IC D/P INT VIG SUSP EFECT EMPLEAD       7ND</v>
          </cell>
        </row>
        <row r="29225">
          <cell r="B29225" t="str">
            <v>81040900000329</v>
          </cell>
          <cell r="C29225" t="str">
            <v>CL D/P PAG.TSA.VENC.INT.SUS.VEN         7ND</v>
          </cell>
        </row>
        <row r="29226">
          <cell r="B29226" t="str">
            <v>81040900000333</v>
          </cell>
          <cell r="C29226" t="str">
            <v>UCL D/P P.TSA.DSCTO.INT.SUS VEN         7ND</v>
          </cell>
        </row>
        <row r="29227">
          <cell r="B29227" t="str">
            <v>81040900000337</v>
          </cell>
          <cell r="C29227" t="str">
            <v>CL D/P P.PRE EXP.EMBAR.INT.VIG          7ND</v>
          </cell>
        </row>
        <row r="29228">
          <cell r="B29228" t="str">
            <v>81040900000338</v>
          </cell>
          <cell r="C29228" t="str">
            <v>CL D/P PAG.IMPORT RP INT.VIG            7ND</v>
          </cell>
        </row>
        <row r="29229">
          <cell r="B29229" t="str">
            <v>81040900000349</v>
          </cell>
          <cell r="C29229" t="str">
            <v>LPC PAG.VAC RP D/P VN INT.VIG           7ND</v>
          </cell>
        </row>
        <row r="29230">
          <cell r="B29230" t="str">
            <v>81040900000350</v>
          </cell>
          <cell r="C29230" t="str">
            <v>LPC PAG.VAC RP D/P INDX.INT.VIG         7ND</v>
          </cell>
        </row>
        <row r="29231">
          <cell r="B29231" t="str">
            <v>81040900000352</v>
          </cell>
          <cell r="C29231" t="str">
            <v>CL D/P P.EXP.PR EMB.BQ INT.VEN          7ND</v>
          </cell>
        </row>
        <row r="29232">
          <cell r="B29232" t="str">
            <v>81040900000360</v>
          </cell>
          <cell r="C29232" t="str">
            <v>I.DIF.LSG DEL BIEN VIG D/P RP LPC       7ND</v>
          </cell>
        </row>
        <row r="29233">
          <cell r="B29233" t="str">
            <v>81040900000361</v>
          </cell>
          <cell r="C29233" t="str">
            <v>I.DIF LSG SEG VIG D/P RP LPC            7ND</v>
          </cell>
        </row>
        <row r="29234">
          <cell r="B29234" t="str">
            <v>81040900000362</v>
          </cell>
          <cell r="C29234" t="str">
            <v>LEASING VENC BIEN INT DIFERIDOS RP LPC  7ND</v>
          </cell>
        </row>
        <row r="29235">
          <cell r="B29235" t="str">
            <v>81040900000363</v>
          </cell>
          <cell r="C29235" t="str">
            <v>LEASING VENC SEG INT DIFERIDOS RP LPC   7ND</v>
          </cell>
        </row>
        <row r="29236">
          <cell r="B29236" t="str">
            <v>81040900000364</v>
          </cell>
          <cell r="C29236" t="str">
            <v>I.DIF.LSG DEL BIEN VENC D/P RP LPC      7ND</v>
          </cell>
        </row>
        <row r="29237">
          <cell r="B29237" t="str">
            <v>81040900000365</v>
          </cell>
          <cell r="C29237" t="str">
            <v>I.DIF.LSG SEG VENC D/P RP LPC           7ND</v>
          </cell>
        </row>
        <row r="29238">
          <cell r="B29238" t="str">
            <v>81040900000366</v>
          </cell>
          <cell r="C29238" t="str">
            <v>LPC P.TASA VENC. D/P INT.VIG            7ND</v>
          </cell>
        </row>
        <row r="29239">
          <cell r="B29239" t="str">
            <v>81040900000374</v>
          </cell>
          <cell r="C29239" t="str">
            <v>LPC P.COFI.VAC D/P VN INT. VEN          7ND</v>
          </cell>
        </row>
        <row r="29240">
          <cell r="B29240" t="str">
            <v>81040900000376</v>
          </cell>
          <cell r="C29240" t="str">
            <v>LPC IDL LS BIEN REFIN.INT.VIG .         7ND</v>
          </cell>
        </row>
        <row r="29241">
          <cell r="B29241" t="str">
            <v>81040900000377</v>
          </cell>
          <cell r="C29241" t="str">
            <v>LPC IDS LS BIEN REFIN.SEG VIG .         7ND</v>
          </cell>
        </row>
        <row r="29242">
          <cell r="B29242" t="str">
            <v>81040900000378</v>
          </cell>
          <cell r="C29242" t="str">
            <v>CL P.T.V.OTROS SUSP.INT.SUS.VIG         7ND</v>
          </cell>
        </row>
        <row r="29243">
          <cell r="B29243" t="str">
            <v>81040900000379</v>
          </cell>
          <cell r="C29243" t="str">
            <v>CL PTV.OTROS SUSP.COFI. INT.VIG         7ND</v>
          </cell>
        </row>
        <row r="29244">
          <cell r="B29244" t="str">
            <v>81040900000380</v>
          </cell>
          <cell r="C29244" t="str">
            <v>LPC IDL LSBACK BIEN INT.DIF.VEN         7ND</v>
          </cell>
        </row>
        <row r="29245">
          <cell r="B29245" t="str">
            <v>81040900000381</v>
          </cell>
          <cell r="C29245" t="str">
            <v>LPC IDS LSBACK BIEN INT.SEG VEN         7ND</v>
          </cell>
        </row>
        <row r="29246">
          <cell r="B29246" t="str">
            <v>81040900000382</v>
          </cell>
          <cell r="C29246" t="str">
            <v>LPC IDL LSBACK BIEN D/P DIFE.VIG        7ND</v>
          </cell>
        </row>
        <row r="29247">
          <cell r="B29247" t="str">
            <v>81040900000383</v>
          </cell>
          <cell r="C29247" t="str">
            <v>I.DIF LSBACK SEG VIG D/P RP LPC         7ND</v>
          </cell>
        </row>
        <row r="29248">
          <cell r="B29248" t="str">
            <v>81040900000393</v>
          </cell>
          <cell r="C29248" t="str">
            <v>SUSP VIG EXP POST EMB RP D/P            7ND</v>
          </cell>
        </row>
        <row r="29249">
          <cell r="B29249" t="str">
            <v>81040900000394</v>
          </cell>
          <cell r="C29249" t="str">
            <v>SUSP VENC EXP POST EMB RP D/P           7ND</v>
          </cell>
        </row>
        <row r="29250">
          <cell r="B29250" t="str">
            <v>81040900000397</v>
          </cell>
          <cell r="C29250" t="str">
            <v>LPC IDL LS BIEN REFIN.INT.VEN .         7ND</v>
          </cell>
        </row>
        <row r="29251">
          <cell r="B29251" t="str">
            <v>81040900000401</v>
          </cell>
          <cell r="C29251" t="str">
            <v>IC SEGURO DESGRAV VENC                  7ND</v>
          </cell>
        </row>
        <row r="29252">
          <cell r="B29252" t="str">
            <v>81040900000402</v>
          </cell>
          <cell r="C29252" t="str">
            <v>SEGURO PRENDA IC                        7ND</v>
          </cell>
        </row>
        <row r="29253">
          <cell r="B29253" t="str">
            <v>81040900000403</v>
          </cell>
          <cell r="C29253" t="str">
            <v>IC SEGURO INMUEBLE VENC                 7ND</v>
          </cell>
        </row>
        <row r="29254">
          <cell r="B29254" t="str">
            <v>81040900000405</v>
          </cell>
          <cell r="C29254" t="str">
            <v>LIC SEGXCOB CREDXCONVENIO VEN           7ND</v>
          </cell>
        </row>
        <row r="29255">
          <cell r="B29255" t="str">
            <v>81040900000408</v>
          </cell>
          <cell r="C29255" t="str">
            <v>LIC SEGXCOB CREDXCONVENIO D/P VIG       7ND</v>
          </cell>
        </row>
        <row r="29256">
          <cell r="B29256" t="str">
            <v>81040900000409</v>
          </cell>
          <cell r="C29256" t="str">
            <v>LIC SEGXCOB CREDXCONVENIO D/P VE        7ND</v>
          </cell>
        </row>
        <row r="29257">
          <cell r="B29257" t="str">
            <v>81040900000417</v>
          </cell>
          <cell r="C29257" t="str">
            <v>IC D/P INT CRED EFECT VENC              7ND</v>
          </cell>
        </row>
        <row r="29258">
          <cell r="B29258" t="str">
            <v>81040900000418</v>
          </cell>
          <cell r="C29258" t="str">
            <v>UIC D/P INT VIG CRED C/GAR HIPOT        7ND</v>
          </cell>
        </row>
        <row r="29259">
          <cell r="B29259" t="str">
            <v>81040900000420</v>
          </cell>
          <cell r="C29259" t="str">
            <v>IC D/P INT VENC SUSP CRED CONV          7ND</v>
          </cell>
        </row>
        <row r="29260">
          <cell r="B29260" t="str">
            <v>81040900000421</v>
          </cell>
          <cell r="C29260" t="str">
            <v>IC D/P COM GTO AD CONV VENC             7ND</v>
          </cell>
        </row>
        <row r="29261">
          <cell r="B29261" t="str">
            <v>81040900000422</v>
          </cell>
          <cell r="C29261" t="str">
            <v>IC D/P COM GTO AD CONV VIG              7ND</v>
          </cell>
        </row>
        <row r="29262">
          <cell r="B29262" t="str">
            <v>81040900000423</v>
          </cell>
          <cell r="C29262" t="str">
            <v>UIC D/P INT VENC SUSP C. VEHICUL        7ND</v>
          </cell>
        </row>
        <row r="29263">
          <cell r="B29263" t="str">
            <v>81040900000424</v>
          </cell>
          <cell r="C29263" t="str">
            <v>IC D/P INT VENC SUSP CRED HIPOTEC       7ND</v>
          </cell>
        </row>
        <row r="29264">
          <cell r="B29264" t="str">
            <v>81040900000433</v>
          </cell>
          <cell r="C29264" t="str">
            <v>IC D/P COM GASTOS ADM VIG               7ND</v>
          </cell>
        </row>
        <row r="29265">
          <cell r="B29265" t="str">
            <v>81040900000434</v>
          </cell>
          <cell r="C29265" t="str">
            <v>IC D/P COM GASTOS ADM VENC              7ND</v>
          </cell>
        </row>
        <row r="29266">
          <cell r="B29266" t="str">
            <v>81040900000435</v>
          </cell>
          <cell r="C29266" t="str">
            <v>IC D/P SEG DESG VIG                     7ND</v>
          </cell>
        </row>
        <row r="29267">
          <cell r="B29267" t="str">
            <v>81040900000436</v>
          </cell>
          <cell r="C29267" t="str">
            <v>IC D/P SEG DESG VENC                    7ND</v>
          </cell>
        </row>
        <row r="29268">
          <cell r="B29268" t="str">
            <v>81040900000437</v>
          </cell>
          <cell r="C29268" t="str">
            <v>IC D/P SEG INMUEB VIG .                 7ND</v>
          </cell>
        </row>
        <row r="29269">
          <cell r="B29269" t="str">
            <v>81040900000438</v>
          </cell>
          <cell r="C29269" t="str">
            <v>IC D/P SEG INMUEB VENC                  7ND</v>
          </cell>
        </row>
        <row r="29270">
          <cell r="B29270" t="str">
            <v>81040900000439</v>
          </cell>
          <cell r="C29270" t="str">
            <v>UIC D/P SEG BIEN VEHIC VIG              7ND</v>
          </cell>
        </row>
        <row r="29271">
          <cell r="B29271" t="str">
            <v>81040900000440</v>
          </cell>
          <cell r="C29271" t="str">
            <v>UIC D/P SEG BIEN VEHIC VENC             7ND</v>
          </cell>
        </row>
        <row r="29272">
          <cell r="B29272" t="str">
            <v>81040900000441</v>
          </cell>
          <cell r="C29272" t="str">
            <v>CHI D/P INTERES VIG.CRED.HIPOTEC.       7ND</v>
          </cell>
        </row>
        <row r="29273">
          <cell r="B29273" t="str">
            <v>81040900000442</v>
          </cell>
          <cell r="C29273" t="str">
            <v>CHI D/P INTERES VENC CRED.HIPOTE        7ND</v>
          </cell>
        </row>
        <row r="29274">
          <cell r="B29274" t="str">
            <v>81040900000443</v>
          </cell>
          <cell r="C29274" t="str">
            <v>CHI D/P COM G.ADM VIG HIPOTECAR         7ND</v>
          </cell>
        </row>
        <row r="29275">
          <cell r="B29275" t="str">
            <v>81040900000444</v>
          </cell>
          <cell r="C29275" t="str">
            <v>CHI D/P COM G.ADM VEN HIPOTECARIO       7ND</v>
          </cell>
        </row>
        <row r="29276">
          <cell r="B29276" t="str">
            <v>81040900000445</v>
          </cell>
          <cell r="C29276" t="str">
            <v>CHI D/P SEG DESG VIG CRED.HIPOTEC       7ND</v>
          </cell>
        </row>
        <row r="29277">
          <cell r="B29277" t="str">
            <v>81040900000446</v>
          </cell>
          <cell r="C29277" t="str">
            <v>CHI D/P SEG DESG VENC CRED HIPOT        7ND</v>
          </cell>
        </row>
        <row r="29278">
          <cell r="B29278" t="str">
            <v>81040900000447</v>
          </cell>
          <cell r="C29278" t="str">
            <v>CHI D/P SEG INMUEB VIG CRED.HIPOTEC     7ND</v>
          </cell>
        </row>
        <row r="29279">
          <cell r="B29279" t="str">
            <v>81040900000448</v>
          </cell>
          <cell r="C29279" t="str">
            <v>CHI D/P SEG INMUEB VENC CRED.HIP        7ND</v>
          </cell>
        </row>
        <row r="29280">
          <cell r="B29280" t="str">
            <v>81040900000449</v>
          </cell>
          <cell r="C29280" t="str">
            <v>CHI D/P INT INDEX VIG CRED.HIPO9        7ND</v>
          </cell>
        </row>
        <row r="29281">
          <cell r="B29281" t="str">
            <v>81040900000450</v>
          </cell>
          <cell r="C29281" t="str">
            <v>CHI D/P INT INDEX VENC MI VIVIEND       7ND</v>
          </cell>
        </row>
        <row r="29282">
          <cell r="B29282" t="str">
            <v>81040900000451</v>
          </cell>
          <cell r="C29282" t="str">
            <v>CHI D/P INDEX COM G.ADM VIG HIPOTECAR   7ND</v>
          </cell>
        </row>
        <row r="29283">
          <cell r="B29283" t="str">
            <v>81040900000452</v>
          </cell>
          <cell r="C29283" t="str">
            <v>CHI D/P INDEX COM G.ADM VEN HIPOTECAR   7ND</v>
          </cell>
        </row>
        <row r="29284">
          <cell r="B29284" t="str">
            <v>81040900000453</v>
          </cell>
          <cell r="C29284" t="str">
            <v>CHI D/P INDX SEG DESG VIG HIPO3         7ND</v>
          </cell>
        </row>
        <row r="29285">
          <cell r="B29285" t="str">
            <v>81040900000454</v>
          </cell>
          <cell r="C29285" t="str">
            <v>CHI D/P INDX SEG DESG VEN HIPOTECAR     7ND</v>
          </cell>
        </row>
        <row r="29286">
          <cell r="B29286" t="str">
            <v>81040900000455</v>
          </cell>
          <cell r="C29286" t="str">
            <v>CHI D/P INDX SEG BIEN VIG HIPO5         7ND</v>
          </cell>
        </row>
        <row r="29287">
          <cell r="B29287" t="str">
            <v>81040900000456</v>
          </cell>
          <cell r="C29287" t="str">
            <v>CHI D/P INDX SEG BIEN VEN HIPOTECARI    7ND</v>
          </cell>
        </row>
        <row r="29288">
          <cell r="B29288" t="str">
            <v>81040900000457</v>
          </cell>
          <cell r="C29288" t="str">
            <v>INTXCOB CREDXCONVENIO D/P VIG - LIC     7ND</v>
          </cell>
        </row>
        <row r="29289">
          <cell r="B29289" t="str">
            <v>81040900000458</v>
          </cell>
          <cell r="C29289" t="str">
            <v>INTXCOB CRED EX-CONVENIO D/P VIG - LIC  7ND</v>
          </cell>
        </row>
        <row r="29290">
          <cell r="B29290" t="str">
            <v>81040900000460</v>
          </cell>
          <cell r="C29290" t="str">
            <v>HPC SEG.DESG.VENC HIPOT. RP             7ND</v>
          </cell>
        </row>
        <row r="29291">
          <cell r="B29291" t="str">
            <v>81040900000461</v>
          </cell>
          <cell r="C29291" t="str">
            <v>HPC SEG.INMB VENC HIPOT. RP             7ND</v>
          </cell>
        </row>
        <row r="29292">
          <cell r="B29292" t="str">
            <v>81040900000462</v>
          </cell>
          <cell r="C29292" t="str">
            <v>HPC D/P INT.X COB VIG HIPOT.RP          7ND</v>
          </cell>
        </row>
        <row r="29293">
          <cell r="B29293" t="str">
            <v>81040900000463</v>
          </cell>
          <cell r="C29293" t="str">
            <v>HPC D/P SEG.DESG.VIG HIPOT. RP          7ND</v>
          </cell>
        </row>
        <row r="29294">
          <cell r="B29294" t="str">
            <v>81040900000464</v>
          </cell>
          <cell r="C29294" t="str">
            <v>HPC D/P SEG.DESG.VENC HIPOT. RP         7ND</v>
          </cell>
        </row>
        <row r="29295">
          <cell r="B29295" t="str">
            <v>81040900000465</v>
          </cell>
          <cell r="C29295" t="str">
            <v>HPC D/P SEG.INMB.VIG HIPOT. RP          7ND</v>
          </cell>
        </row>
        <row r="29296">
          <cell r="B29296" t="str">
            <v>81040900000466</v>
          </cell>
          <cell r="C29296" t="str">
            <v>HPC D/P SEG INMB.VENC HIPOT. RP         7ND</v>
          </cell>
        </row>
        <row r="29297">
          <cell r="B29297" t="str">
            <v>81040900000467</v>
          </cell>
          <cell r="C29297" t="str">
            <v>HPC SEG.DESG.VENC MI VIV COFIDE         7ND</v>
          </cell>
        </row>
        <row r="29298">
          <cell r="B29298" t="str">
            <v>81040900000468</v>
          </cell>
          <cell r="C29298" t="str">
            <v>HPC SEG.INMB VENC MI VIV COFIDE         7ND</v>
          </cell>
        </row>
        <row r="29299">
          <cell r="B29299" t="str">
            <v>81040900000469</v>
          </cell>
          <cell r="C29299" t="str">
            <v>HPC D/P INT.X COB VIG MI VIV COF        7ND</v>
          </cell>
        </row>
        <row r="29300">
          <cell r="B29300" t="str">
            <v>81040900000470</v>
          </cell>
          <cell r="C29300" t="str">
            <v>HPC D/P SEG.DESG.VIG MI VIV COFID       7ND</v>
          </cell>
        </row>
        <row r="29301">
          <cell r="B29301" t="str">
            <v>81040900000471</v>
          </cell>
          <cell r="C29301" t="str">
            <v>HPC D/P SEG.DESG.VENC MI VIV COF        7ND</v>
          </cell>
        </row>
        <row r="29302">
          <cell r="B29302" t="str">
            <v>81040900000472</v>
          </cell>
          <cell r="C29302" t="str">
            <v>HPC D/P SEG.INMB.VIG MI VIV COFID       7ND</v>
          </cell>
        </row>
        <row r="29303">
          <cell r="B29303" t="str">
            <v>81040900000473</v>
          </cell>
          <cell r="C29303" t="str">
            <v>HPC D/P SEG INMB.VENC MI VIV COF        7ND</v>
          </cell>
        </row>
        <row r="29304">
          <cell r="B29304" t="str">
            <v>81040900000474</v>
          </cell>
          <cell r="C29304" t="str">
            <v>HPC D/P INT.X COB.VIG MI VIV COF EMP    7ND</v>
          </cell>
        </row>
        <row r="29305">
          <cell r="B29305" t="str">
            <v>81040900000475</v>
          </cell>
          <cell r="C29305" t="str">
            <v>HPC D/P SEG.DESG.VIG MI VIV COF EMPL    7ND</v>
          </cell>
        </row>
        <row r="29306">
          <cell r="B29306" t="str">
            <v>81040900000476</v>
          </cell>
          <cell r="C29306" t="str">
            <v>HPC D/P SEG.INMB.VIG MI VIV COF EMPL    7ND</v>
          </cell>
        </row>
        <row r="29307">
          <cell r="B29307" t="str">
            <v>81040900000477</v>
          </cell>
          <cell r="C29307" t="str">
            <v>HPC D/P INT.X COB.VIG RP EMPLEAD        7ND</v>
          </cell>
        </row>
        <row r="29308">
          <cell r="B29308" t="str">
            <v>81040900000478</v>
          </cell>
          <cell r="C29308" t="str">
            <v>HPC D/P SEG.DESG.VIG RP EMPLEAD         7ND</v>
          </cell>
        </row>
        <row r="29309">
          <cell r="B29309" t="str">
            <v>81040900000479</v>
          </cell>
          <cell r="C29309" t="str">
            <v>HPC D/P SEG.INMB.VIG RP EMPLEAD12008    7ND</v>
          </cell>
        </row>
        <row r="29310">
          <cell r="B29310" t="str">
            <v>81040900000480</v>
          </cell>
          <cell r="C29310" t="str">
            <v>HPC SEG.DESG.VENC TEC PROP COF          7ND</v>
          </cell>
        </row>
        <row r="29311">
          <cell r="B29311" t="str">
            <v>81040900000481</v>
          </cell>
          <cell r="C29311" t="str">
            <v>HPC SEG.INMB VENC TEC PROP COF          7ND</v>
          </cell>
        </row>
        <row r="29312">
          <cell r="B29312" t="str">
            <v>81040900000482</v>
          </cell>
          <cell r="C29312" t="str">
            <v>HPC D/P INT.X COB VIG TECHO PROP        7ND</v>
          </cell>
        </row>
        <row r="29313">
          <cell r="B29313" t="str">
            <v>81040900000483</v>
          </cell>
          <cell r="C29313" t="str">
            <v>HPC D/P SEG.DESG.VIG TEC PROP CO        7ND</v>
          </cell>
        </row>
        <row r="29314">
          <cell r="B29314" t="str">
            <v>81040900000484</v>
          </cell>
          <cell r="C29314" t="str">
            <v>HPC D/P SEG.DESG.VENC TEC PROP CO       7ND</v>
          </cell>
        </row>
        <row r="29315">
          <cell r="B29315" t="str">
            <v>81040900000485</v>
          </cell>
          <cell r="C29315" t="str">
            <v>HPC D/P SEG.INMB.VIG TEC PROP CO        7ND</v>
          </cell>
        </row>
        <row r="29316">
          <cell r="B29316" t="str">
            <v>81040900000486</v>
          </cell>
          <cell r="C29316" t="str">
            <v>HPC D/P SEG INMB.VENC TEC PROP CO       7ND</v>
          </cell>
        </row>
        <row r="29317">
          <cell r="B29317" t="str">
            <v>81040900000487</v>
          </cell>
          <cell r="C29317" t="str">
            <v>HPC SEG.DESG.VENC MI VIV REC PR         7ND</v>
          </cell>
        </row>
        <row r="29318">
          <cell r="B29318" t="str">
            <v>81040900000488</v>
          </cell>
          <cell r="C29318" t="str">
            <v>HPC SEG.INMB VENC MI VIV REC PR         7ND</v>
          </cell>
        </row>
        <row r="29319">
          <cell r="B29319" t="str">
            <v>81040900000489</v>
          </cell>
          <cell r="C29319" t="str">
            <v>HPC D/P INT.X COB VIG MI VIV REC        7ND</v>
          </cell>
        </row>
        <row r="29320">
          <cell r="B29320" t="str">
            <v>81040900000490</v>
          </cell>
          <cell r="C29320" t="str">
            <v>HPC D/P SEG.DESG.VIG MI VIV REC         7ND</v>
          </cell>
        </row>
        <row r="29321">
          <cell r="B29321" t="str">
            <v>81040900000491</v>
          </cell>
          <cell r="C29321" t="str">
            <v>HPC D/P SEG.DESG.VENC MI VIV REC        7ND</v>
          </cell>
        </row>
        <row r="29322">
          <cell r="B29322" t="str">
            <v>81040900000492</v>
          </cell>
          <cell r="C29322" t="str">
            <v>HPC D/P SEG.INMB.VIG MI VIV REC         7ND</v>
          </cell>
        </row>
        <row r="29323">
          <cell r="B29323" t="str">
            <v>81040900000493</v>
          </cell>
          <cell r="C29323" t="str">
            <v>HPC D/P SEG INMB.VENC MI VIV REC        7ND</v>
          </cell>
        </row>
        <row r="29324">
          <cell r="B29324" t="str">
            <v>81040900000494</v>
          </cell>
          <cell r="C29324" t="str">
            <v>HPC SEG.DESG.VENC HIP. RP. BONOS        7ND</v>
          </cell>
        </row>
        <row r="29325">
          <cell r="B29325" t="str">
            <v>81040900000495</v>
          </cell>
          <cell r="C29325" t="str">
            <v>HPC SEG.INMB VENC HIP. RP. BONOS        7ND</v>
          </cell>
        </row>
        <row r="29326">
          <cell r="B29326" t="str">
            <v>81040900000496</v>
          </cell>
          <cell r="C29326" t="str">
            <v>HPC D/P INT.X COB VIG HIP. RP. B        7ND</v>
          </cell>
        </row>
        <row r="29327">
          <cell r="B29327" t="str">
            <v>81040900000497</v>
          </cell>
          <cell r="C29327" t="str">
            <v>HPC D/P SEG.DESG.VIG HIP. RP. BO        7ND</v>
          </cell>
        </row>
        <row r="29328">
          <cell r="B29328" t="str">
            <v>81040900000498</v>
          </cell>
          <cell r="C29328" t="str">
            <v>HPC D/P SEG.DESG.VENC HIP. RP. BO       7ND</v>
          </cell>
        </row>
        <row r="29329">
          <cell r="B29329" t="str">
            <v>81040900000511</v>
          </cell>
          <cell r="C29329" t="str">
            <v>CL D/P P.T.VENCIDA MES INT.VIG          7ND</v>
          </cell>
        </row>
        <row r="29330">
          <cell r="B29330" t="str">
            <v>81040900000518</v>
          </cell>
          <cell r="C29330" t="str">
            <v>LPC INT SUSP PAG TV D/P LPC VIG MES     7ND</v>
          </cell>
        </row>
        <row r="29331">
          <cell r="B29331" t="str">
            <v>81040900000520</v>
          </cell>
          <cell r="C29331" t="str">
            <v>LPC I.DIF.LSG DEL BIEN VIG D/P RP MES   7ND</v>
          </cell>
        </row>
        <row r="29332">
          <cell r="B29332" t="str">
            <v>81040900000521</v>
          </cell>
          <cell r="C29332" t="str">
            <v>LPC I.DIF LSG SEG VIG D/P RP MES        7ND</v>
          </cell>
        </row>
        <row r="29333">
          <cell r="B29333" t="str">
            <v>81040900000522</v>
          </cell>
          <cell r="C29333" t="str">
            <v>LPC I.DIF.LSBACK DEL BIEN VIG D/P RP MES7ND</v>
          </cell>
        </row>
        <row r="29334">
          <cell r="B29334" t="str">
            <v>81040900000523</v>
          </cell>
          <cell r="C29334" t="str">
            <v>LPC I.DIF LSBACK SEG VIG D/P RP CMIE    7ND</v>
          </cell>
        </row>
        <row r="29335">
          <cell r="B29335" t="str">
            <v>81040900000529</v>
          </cell>
          <cell r="C29335" t="str">
            <v>LPC I.DIF LSG SEG VIG D/P MES RP        7ND</v>
          </cell>
        </row>
        <row r="29336">
          <cell r="B29336" t="str">
            <v>81040900000530</v>
          </cell>
          <cell r="C29336" t="str">
            <v>LPC I.DIF.LSG BIEN VIG D/P MES RP       7ND</v>
          </cell>
        </row>
        <row r="29337">
          <cell r="B29337" t="str">
            <v>81040900000532</v>
          </cell>
          <cell r="C29337" t="str">
            <v>HPC D/P SEG.INMB.VIG HIP. RP. BON       7ND</v>
          </cell>
        </row>
        <row r="29338">
          <cell r="B29338" t="str">
            <v>81040900000533</v>
          </cell>
          <cell r="C29338" t="str">
            <v>HPC D/P SEG INMB.VENC HIP. RP. B        7ND</v>
          </cell>
        </row>
        <row r="29339">
          <cell r="B29339" t="str">
            <v>81040900000534</v>
          </cell>
          <cell r="C29339" t="str">
            <v>HPC SEG.DESG.VENC HIP RP ADJUDIC        7ND</v>
          </cell>
        </row>
        <row r="29340">
          <cell r="B29340" t="str">
            <v>81040900000535</v>
          </cell>
          <cell r="C29340" t="str">
            <v>HPC SEG.INMB VENC HIP RP ADJUDIC        7ND</v>
          </cell>
        </row>
        <row r="29341">
          <cell r="B29341" t="str">
            <v>81040900000536</v>
          </cell>
          <cell r="C29341" t="str">
            <v>HPC D/P INT.X COB VIG HIP RP ADJU       7ND</v>
          </cell>
        </row>
        <row r="29342">
          <cell r="B29342" t="str">
            <v>81040900000537</v>
          </cell>
          <cell r="C29342" t="str">
            <v>HPC D/P SEG.DESG.VIG HIP RP ADJUD       7ND</v>
          </cell>
        </row>
        <row r="29343">
          <cell r="B29343" t="str">
            <v>81040900000538</v>
          </cell>
          <cell r="C29343" t="str">
            <v>HPC D/P SEG.DESG.VENC HIP RP ADJU       7ND</v>
          </cell>
        </row>
        <row r="29344">
          <cell r="B29344" t="str">
            <v>81040900000539</v>
          </cell>
          <cell r="C29344" t="str">
            <v>HPC D/P SEG.INMB.VIG HIP RP ADJUD       7ND</v>
          </cell>
        </row>
        <row r="29345">
          <cell r="B29345" t="str">
            <v>81040900000540</v>
          </cell>
          <cell r="C29345" t="str">
            <v>HPC D/P SEG INMB.VENC HIP RP ADJU       7ND</v>
          </cell>
        </row>
        <row r="29346">
          <cell r="B29346" t="str">
            <v>81040900000544</v>
          </cell>
          <cell r="C29346" t="str">
            <v>MYP D/P INT.X COB FIN.CAP.TRAB          7ND</v>
          </cell>
        </row>
        <row r="29347">
          <cell r="B29347" t="str">
            <v>81040900000545</v>
          </cell>
          <cell r="C29347" t="str">
            <v>MYP D/P INT.X COB FIN.COMPRA. AF        7ND</v>
          </cell>
        </row>
        <row r="29348">
          <cell r="B29348" t="str">
            <v>81040900000546</v>
          </cell>
          <cell r="C29348" t="str">
            <v>MYP D/P INT.X COB FIN.CRED. PARAL       7ND</v>
          </cell>
        </row>
        <row r="29349">
          <cell r="B29349" t="str">
            <v>81040900000547</v>
          </cell>
          <cell r="C29349" t="str">
            <v>MYP SEG.DESGRAVAM VENC FINANC           7ND</v>
          </cell>
        </row>
        <row r="29350">
          <cell r="B29350" t="str">
            <v>81040900000548</v>
          </cell>
          <cell r="C29350" t="str">
            <v>MYP SEG.BIEN VENC FINANC                7ND</v>
          </cell>
        </row>
        <row r="29351">
          <cell r="B29351" t="str">
            <v>81040900000549</v>
          </cell>
          <cell r="C29351" t="str">
            <v>MYP D/P SEG.DESG.VENC FINANC            7ND</v>
          </cell>
        </row>
        <row r="29352">
          <cell r="B29352" t="str">
            <v>81040900000550</v>
          </cell>
          <cell r="C29352" t="str">
            <v>MYP D/P SEG.BIEN.VENC FINANC            7ND</v>
          </cell>
        </row>
        <row r="29353">
          <cell r="B29353" t="str">
            <v>81040900000551</v>
          </cell>
          <cell r="C29353" t="str">
            <v>MYP D/P SEG.DESG.VIG FINANC             7ND</v>
          </cell>
        </row>
        <row r="29354">
          <cell r="B29354" t="str">
            <v>81040900000552</v>
          </cell>
          <cell r="C29354" t="str">
            <v>MYP D/P SEG.BIEN.VIG FINANC             7ND</v>
          </cell>
        </row>
        <row r="29355">
          <cell r="B29355" t="str">
            <v>81040900000556</v>
          </cell>
          <cell r="C29355" t="str">
            <v>MYP D/P INT.X COB FIN.COMPRA DE DEU     7ND</v>
          </cell>
        </row>
        <row r="29356">
          <cell r="B29356" t="str">
            <v>81040900000557</v>
          </cell>
          <cell r="C29356" t="str">
            <v>MYP D/P INT.X COB FIN.COMPRA DE DEU     7ND</v>
          </cell>
        </row>
        <row r="29357">
          <cell r="B29357" t="str">
            <v>81040900000558</v>
          </cell>
          <cell r="C29357" t="str">
            <v>MYP D/P INT.X COB VIG. LINEA REVOLV     7ND</v>
          </cell>
        </row>
        <row r="29358">
          <cell r="B29358" t="str">
            <v>81040900000559</v>
          </cell>
          <cell r="C29358" t="str">
            <v>MYP D/P C INT.X COB VIG LINEA REVOL     7ND</v>
          </cell>
        </row>
        <row r="29359">
          <cell r="B29359" t="str">
            <v>81040900000560</v>
          </cell>
          <cell r="C29359" t="str">
            <v>MYP D/P IMPOR RP INTXCOB MES VIG        7ND</v>
          </cell>
        </row>
        <row r="29360">
          <cell r="B29360" t="str">
            <v>81040900000562</v>
          </cell>
          <cell r="C29360" t="str">
            <v>MYP E.R.INT.VIG FIN CAP TRA DUPE CMIE   7ND</v>
          </cell>
        </row>
        <row r="29361">
          <cell r="B29361" t="str">
            <v>81040900000563</v>
          </cell>
          <cell r="C29361" t="str">
            <v>MYP SEG.BIEN VENC FINANC CMIE DUPE      7ND</v>
          </cell>
        </row>
        <row r="29362">
          <cell r="B29362" t="str">
            <v>81040900000601</v>
          </cell>
          <cell r="C29362" t="str">
            <v>LPC P.TV.OTROS SUSP. INT.VIG            7ND</v>
          </cell>
        </row>
        <row r="29363">
          <cell r="B29363" t="str">
            <v>81040900000608</v>
          </cell>
          <cell r="C29363" t="str">
            <v>LPC INT VEN LS DEL BIEN OTROS SUSP RP   7ND</v>
          </cell>
        </row>
        <row r="29364">
          <cell r="B29364" t="str">
            <v>81040900000609</v>
          </cell>
          <cell r="C29364" t="str">
            <v>LPC IDS LS BIEN OTR.SUSP.SEG VIG        7ND</v>
          </cell>
        </row>
        <row r="29365">
          <cell r="B29365" t="str">
            <v>81040900000610</v>
          </cell>
          <cell r="C29365" t="str">
            <v>LPC INT VEN LS SEG OTROS SUSP RP        7ND</v>
          </cell>
        </row>
        <row r="29366">
          <cell r="B29366" t="str">
            <v>81040900000611</v>
          </cell>
          <cell r="C29366" t="str">
            <v>LPC IDL LSBACK OTRO SUS.DIF.VIG         7ND</v>
          </cell>
        </row>
        <row r="29367">
          <cell r="B29367" t="str">
            <v>81040900000612</v>
          </cell>
          <cell r="C29367" t="str">
            <v>LPC IDL LSBACK OTRO SUS.DIF.VEN         7ND</v>
          </cell>
        </row>
        <row r="29368">
          <cell r="B29368" t="str">
            <v>81040900000615</v>
          </cell>
          <cell r="C29368" t="str">
            <v>LPC P.OTROS SUSP.VAC VN INT.VIG         7ND</v>
          </cell>
        </row>
        <row r="29369">
          <cell r="B29369" t="str">
            <v>81040900000617</v>
          </cell>
          <cell r="C29369" t="str">
            <v>LPC P.OTRO SUSP.VAC INDX.INT.VIG        7ND</v>
          </cell>
        </row>
        <row r="29370">
          <cell r="B29370" t="str">
            <v>81040900000618</v>
          </cell>
          <cell r="C29370" t="str">
            <v>HPC SEG.DESG.VENC EFEC C/GARANT         7ND</v>
          </cell>
        </row>
        <row r="29371">
          <cell r="B29371" t="str">
            <v>81040900000619</v>
          </cell>
          <cell r="C29371" t="str">
            <v>HPC SEG.INMB VENC EFEC C/GARANT         7ND</v>
          </cell>
        </row>
        <row r="29372">
          <cell r="B29372" t="str">
            <v>81040900000620</v>
          </cell>
          <cell r="C29372" t="str">
            <v>HPC D/P INT.X COB VIG EFEC C/GARA       7ND</v>
          </cell>
        </row>
        <row r="29373">
          <cell r="B29373" t="str">
            <v>81040900000621</v>
          </cell>
          <cell r="C29373" t="str">
            <v>HPC D/P SEG.DESG.VIG EFEC C/GARA        7ND</v>
          </cell>
        </row>
        <row r="29374">
          <cell r="B29374" t="str">
            <v>81040900000622</v>
          </cell>
          <cell r="C29374" t="str">
            <v>HPC D/P SEG.DESG.VENC EFEC C/GARA       7ND</v>
          </cell>
        </row>
        <row r="29375">
          <cell r="B29375" t="str">
            <v>81040900000623</v>
          </cell>
          <cell r="C29375" t="str">
            <v>HPC D/P SEG.INMB.VIG EFEC C/GARA        7ND</v>
          </cell>
        </row>
        <row r="29376">
          <cell r="B29376" t="str">
            <v>81040900000624</v>
          </cell>
          <cell r="C29376" t="str">
            <v>HPC D/P SEG INMB.VENC EFEC C/GARA       7ND</v>
          </cell>
        </row>
        <row r="29377">
          <cell r="B29377" t="str">
            <v>81040900000628</v>
          </cell>
          <cell r="C29377" t="str">
            <v>HPC SEG.DESG.VENC EFEC REGULAR.         7ND</v>
          </cell>
        </row>
        <row r="29378">
          <cell r="B29378" t="str">
            <v>81040900000629</v>
          </cell>
          <cell r="C29378" t="str">
            <v>HPC SEG.INMB VENC EFEC REGULAR.         7ND</v>
          </cell>
        </row>
        <row r="29379">
          <cell r="B29379" t="str">
            <v>81040900000630</v>
          </cell>
          <cell r="C29379" t="str">
            <v>HPC D/P INT.X COB VIG EFEC REGULA       7ND</v>
          </cell>
        </row>
        <row r="29380">
          <cell r="B29380" t="str">
            <v>81040900000631</v>
          </cell>
          <cell r="C29380" t="str">
            <v>HPC D/P SEG.DESG.VIG EFEC REGULAR       7ND</v>
          </cell>
        </row>
        <row r="29381">
          <cell r="B29381" t="str">
            <v>81040900000632</v>
          </cell>
          <cell r="C29381" t="str">
            <v>HPC D/P SEG.DESG.VENC EFEC REGULA       7ND</v>
          </cell>
        </row>
        <row r="29382">
          <cell r="B29382" t="str">
            <v>81040900000633</v>
          </cell>
          <cell r="C29382" t="str">
            <v>HPC D/P SEG.INMB.VIG EFEC REGULAR       7ND</v>
          </cell>
        </row>
        <row r="29383">
          <cell r="B29383" t="str">
            <v>81040900000634</v>
          </cell>
          <cell r="C29383" t="str">
            <v>HPC D/P SEG INMB.VENC EFEC REGULA       7ND</v>
          </cell>
        </row>
        <row r="29384">
          <cell r="B29384" t="str">
            <v>81040900000638</v>
          </cell>
          <cell r="C29384" t="str">
            <v>MYP D/P C INT.X COB FIN.CAP.TRAB        7ND</v>
          </cell>
        </row>
        <row r="29385">
          <cell r="B29385" t="str">
            <v>81040900000639</v>
          </cell>
          <cell r="C29385" t="str">
            <v>MYP D/P C INT.X COB FIN.COMPRA. AF      7ND</v>
          </cell>
        </row>
        <row r="29386">
          <cell r="B29386" t="str">
            <v>81040900000647</v>
          </cell>
          <cell r="C29386" t="str">
            <v>HPC REF SEG.DESG.VIG HIPOT.TRAD         7ND</v>
          </cell>
        </row>
        <row r="29387">
          <cell r="B29387" t="str">
            <v>81040900000648</v>
          </cell>
          <cell r="C29387" t="str">
            <v>HPC REF SEG.DESG.VENC HIP. TRAD         7ND</v>
          </cell>
        </row>
        <row r="29388">
          <cell r="B29388" t="str">
            <v>81040900000649</v>
          </cell>
          <cell r="C29388" t="str">
            <v>HPC REF SEG.INMB.VIG HIP. TRAD.         7ND</v>
          </cell>
        </row>
        <row r="29389">
          <cell r="B29389" t="str">
            <v>81040900000650</v>
          </cell>
          <cell r="C29389" t="str">
            <v>HPC REF SEG INMB.VENC HIP .TRAD         7ND</v>
          </cell>
        </row>
        <row r="29390">
          <cell r="B29390" t="str">
            <v>81040900000651</v>
          </cell>
          <cell r="C29390" t="str">
            <v>HPC REF SEG.DESG.VIG HIP  ADJUDIC       7ND</v>
          </cell>
        </row>
        <row r="29391">
          <cell r="B29391" t="str">
            <v>81040900000652</v>
          </cell>
          <cell r="C29391" t="str">
            <v>HPC REF SEG.DESG.VENC HIP ADJUDIC       7ND</v>
          </cell>
        </row>
        <row r="29392">
          <cell r="B29392" t="str">
            <v>81040900000653</v>
          </cell>
          <cell r="C29392" t="str">
            <v>HPC REF SEG.INMB.VIG HIP  ADJUDIC       7ND</v>
          </cell>
        </row>
        <row r="29393">
          <cell r="B29393" t="str">
            <v>81040900000654</v>
          </cell>
          <cell r="C29393" t="str">
            <v>HPC REF SEG INMB.VENC HIP  ADJUDI       7ND</v>
          </cell>
        </row>
        <row r="29394">
          <cell r="B29394" t="str">
            <v>81040900000655</v>
          </cell>
          <cell r="C29394" t="str">
            <v>HPC  REF SEG.DESG VIG EFEC C/GARA       7ND</v>
          </cell>
        </row>
        <row r="29395">
          <cell r="B29395" t="str">
            <v>81040900000656</v>
          </cell>
          <cell r="C29395" t="str">
            <v>HPC  REF SEG.DESG.VENC EFEC C/GAR       7ND</v>
          </cell>
        </row>
        <row r="29396">
          <cell r="B29396" t="str">
            <v>81040900000657</v>
          </cell>
          <cell r="C29396" t="str">
            <v>HPC  REF SEG.INMB.VIG EFEC C/GARA       7ND</v>
          </cell>
        </row>
        <row r="29397">
          <cell r="B29397" t="str">
            <v>81040900000658</v>
          </cell>
          <cell r="C29397" t="str">
            <v>HPC REF SEG INMB.VENC EFEC C/GAR        7ND</v>
          </cell>
        </row>
        <row r="29398">
          <cell r="B29398" t="str">
            <v>81040900000659</v>
          </cell>
          <cell r="C29398" t="str">
            <v>HPC  REF SEG.DESG.VIG PREST.PERS.       7ND</v>
          </cell>
        </row>
        <row r="29399">
          <cell r="B29399" t="str">
            <v>81040900000660</v>
          </cell>
          <cell r="C29399" t="str">
            <v>HPC  REF SEG.DESG.VENC PREST.PERS       7ND</v>
          </cell>
        </row>
        <row r="29400">
          <cell r="B29400" t="str">
            <v>81040900000661</v>
          </cell>
          <cell r="C29400" t="str">
            <v>HPC  REF SEG.INMB.VIG PREST.PERS.       7ND</v>
          </cell>
        </row>
        <row r="29401">
          <cell r="B29401" t="str">
            <v>81040900000662</v>
          </cell>
          <cell r="C29401" t="str">
            <v>HPC  REF SEG INMB.VENC PREST.PERS       7ND</v>
          </cell>
        </row>
        <row r="29402">
          <cell r="B29402" t="str">
            <v>81040900000670</v>
          </cell>
          <cell r="C29402" t="str">
            <v>HPC SEG.DESG.VENC MI HOGAR              7ND</v>
          </cell>
        </row>
        <row r="29403">
          <cell r="B29403" t="str">
            <v>81040900000671</v>
          </cell>
          <cell r="C29403" t="str">
            <v>HPC SEG.INMB VENC MI HOGAR              7ND</v>
          </cell>
        </row>
        <row r="29404">
          <cell r="B29404" t="str">
            <v>81040900000672</v>
          </cell>
          <cell r="C29404" t="str">
            <v>HPC D/P INT.X COB VIG MI HOGAR          7ND</v>
          </cell>
        </row>
        <row r="29405">
          <cell r="B29405" t="str">
            <v>81040900000673</v>
          </cell>
          <cell r="C29405" t="str">
            <v>HPC D/P SEG.DESG.VIG MI HOGAR           7ND</v>
          </cell>
        </row>
        <row r="29406">
          <cell r="B29406" t="str">
            <v>81040900000674</v>
          </cell>
          <cell r="C29406" t="str">
            <v>HPC D/P SEG.DESG.VENC MI HOGAR          7ND</v>
          </cell>
        </row>
        <row r="29407">
          <cell r="B29407" t="str">
            <v>81040900000675</v>
          </cell>
          <cell r="C29407" t="str">
            <v>HPC D/P SEG.INMB.VIG MI HOGAR           7ND</v>
          </cell>
        </row>
        <row r="29408">
          <cell r="B29408" t="str">
            <v>81040900000676</v>
          </cell>
          <cell r="C29408" t="str">
            <v>HPC D/P SEG INMB.VENC MI HOGAR          7ND</v>
          </cell>
        </row>
        <row r="29409">
          <cell r="B29409" t="str">
            <v>81040900000677</v>
          </cell>
          <cell r="C29409" t="str">
            <v>HPC D/P  INT.X COB.VIG HIPOT.TRAD       7ND</v>
          </cell>
        </row>
        <row r="29410">
          <cell r="B29410" t="str">
            <v>81040900000678</v>
          </cell>
          <cell r="C29410" t="str">
            <v>HPC D/P INT.X COB.VIG HIPOT.FINAN       7ND</v>
          </cell>
        </row>
        <row r="29411">
          <cell r="B29411" t="str">
            <v>81040900000681</v>
          </cell>
          <cell r="C29411" t="str">
            <v>HPC D/P  INT.X COB.VIG EFEC C/GAR       7ND</v>
          </cell>
        </row>
        <row r="29412">
          <cell r="B29412" t="str">
            <v>81040900000682</v>
          </cell>
          <cell r="C29412" t="str">
            <v>HPC D/P INT.X COB.VIG.PRESTAMO PE       7ND</v>
          </cell>
        </row>
        <row r="29413">
          <cell r="B29413" t="str">
            <v>81040900000683</v>
          </cell>
          <cell r="C29413" t="str">
            <v>HPC SEG.DESG.VENC HIPOT.FINAN.PRO       7ND</v>
          </cell>
        </row>
        <row r="29414">
          <cell r="B29414" t="str">
            <v>81040900000684</v>
          </cell>
          <cell r="C29414" t="str">
            <v>HPC SEG.INMB VENC HIPOT.FINAN.PRO       7ND</v>
          </cell>
        </row>
        <row r="29415">
          <cell r="B29415" t="str">
            <v>81040900000685</v>
          </cell>
          <cell r="C29415" t="str">
            <v>HPC D/P SEG.DESG.VIG HIPOT.FINAN.       7ND</v>
          </cell>
        </row>
        <row r="29416">
          <cell r="B29416" t="str">
            <v>81040900000686</v>
          </cell>
          <cell r="C29416" t="str">
            <v>HPC  D/P SEG.DESG.VENC HIPOT.FINA       7ND</v>
          </cell>
        </row>
        <row r="29417">
          <cell r="B29417" t="str">
            <v>81040900000687</v>
          </cell>
          <cell r="C29417" t="str">
            <v>HPC D/P SEG.INMB.VIG HIPOT.FINAN.       7ND</v>
          </cell>
        </row>
        <row r="29418">
          <cell r="B29418" t="str">
            <v>81040900000688</v>
          </cell>
          <cell r="C29418" t="str">
            <v>HPC D/P  SEG.INMB VENC HIPOT.FINA       7ND</v>
          </cell>
        </row>
        <row r="29419">
          <cell r="B29419" t="str">
            <v>81040900000693</v>
          </cell>
          <cell r="C29419" t="str">
            <v>MYP D/P EXPORT.POST EMB INTXCOB VIG CPEM7ND</v>
          </cell>
        </row>
        <row r="29420">
          <cell r="B29420" t="str">
            <v>81040900000695</v>
          </cell>
          <cell r="C29420" t="str">
            <v>MYP D/P EXPORT.PRE EMBARQ INTXCOB VIG CP7ND</v>
          </cell>
        </row>
        <row r="29421">
          <cell r="B29421" t="str">
            <v>81040900000697</v>
          </cell>
          <cell r="C29421" t="str">
            <v>LPC PAG.IMPORT RP D/P INT.VIG           7ND</v>
          </cell>
        </row>
        <row r="29422">
          <cell r="B29422" t="str">
            <v>81040900000698</v>
          </cell>
          <cell r="C29422" t="str">
            <v>LPC PAG.IMPORT RP MES D/P INT.VIG       7ND</v>
          </cell>
        </row>
        <row r="29423">
          <cell r="B29423" t="str">
            <v>81040900000714</v>
          </cell>
          <cell r="C29423" t="str">
            <v>HPC D/P SEG.DESG.VIG (BP)               7ND</v>
          </cell>
        </row>
        <row r="29424">
          <cell r="B29424" t="str">
            <v>81040900000715</v>
          </cell>
          <cell r="C29424" t="str">
            <v>HPC D/P SEG.DESG.VENC (BP)              7ND</v>
          </cell>
        </row>
        <row r="29425">
          <cell r="B29425" t="str">
            <v>81040900000716</v>
          </cell>
          <cell r="C29425" t="str">
            <v>HPC D/P SEG. PREND VIG (BP)             7ND</v>
          </cell>
        </row>
        <row r="29426">
          <cell r="B29426" t="str">
            <v>81040900000717</v>
          </cell>
          <cell r="C29426" t="str">
            <v>HPC D/P SEG PREND VENC (BP)             7ND</v>
          </cell>
        </row>
        <row r="29427">
          <cell r="B29427" t="str">
            <v>81040900000718</v>
          </cell>
          <cell r="C29427" t="str">
            <v>HPC D/P INT.X COB VIG CRED              7ND</v>
          </cell>
        </row>
        <row r="29428">
          <cell r="B29428" t="str">
            <v>81040900000719</v>
          </cell>
          <cell r="C29428" t="str">
            <v>HPC D/P INT.X COB VIG CRED              7ND</v>
          </cell>
        </row>
        <row r="29429">
          <cell r="B29429" t="str">
            <v>81040900000720</v>
          </cell>
          <cell r="C29429" t="str">
            <v>MYP D/P INT.X COB IMP CAP DE TRABÂ  CPEM7ND</v>
          </cell>
        </row>
        <row r="29430">
          <cell r="B29430" t="str">
            <v>81040900000721</v>
          </cell>
          <cell r="C29430" t="str">
            <v>MYP D/P INTXCOB FIN IMPORT AF CPEM      7ND</v>
          </cell>
        </row>
        <row r="29431">
          <cell r="B29431" t="str">
            <v>81040900000724</v>
          </cell>
          <cell r="C29431" t="str">
            <v>HPC DP INT INDX VIG MIVIVIENDA          7ND</v>
          </cell>
        </row>
        <row r="29432">
          <cell r="B29432" t="str">
            <v>81040900000726</v>
          </cell>
          <cell r="C29432" t="str">
            <v>HPC D/P INT.X COB VIG NUEVO MVV COFIDE  7ND</v>
          </cell>
        </row>
        <row r="29433">
          <cell r="B29433" t="str">
            <v>81040900000727</v>
          </cell>
          <cell r="C29433" t="str">
            <v>HPC D/P INT.X COB VIG HIPOT.TASA MIXTA R7ND</v>
          </cell>
        </row>
        <row r="29434">
          <cell r="B29434" t="str">
            <v>81040900000728</v>
          </cell>
          <cell r="C29434" t="str">
            <v>MYP ER VIG FIN CAP TRA DUP CMED         7ND</v>
          </cell>
        </row>
        <row r="29435">
          <cell r="B29435" t="str">
            <v>81040900000729</v>
          </cell>
          <cell r="C29435" t="str">
            <v>MYP ER VIG FIN CAP TRA DUP CPEM         7ND</v>
          </cell>
        </row>
        <row r="29436">
          <cell r="B29436" t="str">
            <v>81040900000755</v>
          </cell>
          <cell r="C29436" t="str">
            <v>HPC DP INT.X COB.VIG TC FINAN.PROV.REFIN7ND</v>
          </cell>
        </row>
        <row r="29437">
          <cell r="B29437" t="str">
            <v>81040900000756</v>
          </cell>
          <cell r="C29437" t="str">
            <v>HPC DP INT.X COB.VIG CRED EFECT FINAN.PR7ND</v>
          </cell>
        </row>
        <row r="29438">
          <cell r="B29438" t="str">
            <v>81040900000757</v>
          </cell>
          <cell r="C29438" t="str">
            <v>HPC DP INT.X COB.VIG CRED VEHIC FINAN.PR7ND</v>
          </cell>
        </row>
        <row r="29439">
          <cell r="B29439" t="str">
            <v>81040900000758</v>
          </cell>
          <cell r="C29439" t="str">
            <v>HPC DP INT.X COB.VIG LIC CONVENIO PROV.R7ND</v>
          </cell>
        </row>
        <row r="29440">
          <cell r="B29440" t="str">
            <v>81040900000759</v>
          </cell>
          <cell r="C29440" t="str">
            <v>HPC DP INT.X COB.VIG CRED PREF CONV PROV7ND</v>
          </cell>
        </row>
        <row r="29441">
          <cell r="B29441" t="str">
            <v>81040900000803</v>
          </cell>
          <cell r="C29441" t="str">
            <v>LPC SISMO PAG TV INT SUSP VIG           7ND</v>
          </cell>
        </row>
        <row r="29442">
          <cell r="B29442" t="str">
            <v>81040900000804</v>
          </cell>
          <cell r="C29442" t="str">
            <v>LPC SISM IDL LSG INT SUSP VIG           7ND</v>
          </cell>
        </row>
        <row r="29443">
          <cell r="B29443" t="str">
            <v>81040900000805</v>
          </cell>
          <cell r="C29443" t="str">
            <v>LPC SISM IDL LSG INT SUS SEG VIG        7ND</v>
          </cell>
        </row>
        <row r="29444">
          <cell r="B29444" t="str">
            <v>81040900000806</v>
          </cell>
          <cell r="C29444" t="str">
            <v>IC S INT.DEV VIG CREDIT HIPOTEC         7ND</v>
          </cell>
        </row>
        <row r="29445">
          <cell r="B29445" t="str">
            <v>81040900000807</v>
          </cell>
          <cell r="C29445" t="str">
            <v>IC S INT VIG CRED PERS C/GARANT HIPO    7ND</v>
          </cell>
        </row>
        <row r="29446">
          <cell r="B29446" t="str">
            <v>81040900000808</v>
          </cell>
          <cell r="C29446" t="str">
            <v>IC S PREST PERS EFECT INT.DEV VIG       7ND</v>
          </cell>
        </row>
        <row r="29447">
          <cell r="B29447" t="str">
            <v>81040900000809</v>
          </cell>
          <cell r="C29447" t="str">
            <v>IC S PREST VEHIC INT DEV VIG            7ND</v>
          </cell>
        </row>
        <row r="29448">
          <cell r="B29448" t="str">
            <v>81040900000810</v>
          </cell>
          <cell r="C29448" t="str">
            <v>IC S PREST CONVEN INT DEV VIG           7ND</v>
          </cell>
        </row>
        <row r="29449">
          <cell r="B29449" t="str">
            <v>81040900000811</v>
          </cell>
          <cell r="C29449" t="str">
            <v>IC S SEG DESG VIG                       7ND</v>
          </cell>
        </row>
        <row r="29450">
          <cell r="B29450" t="str">
            <v>81040900000812</v>
          </cell>
          <cell r="C29450" t="str">
            <v>IC S SEG DESG VENC                      7ND</v>
          </cell>
        </row>
        <row r="29451">
          <cell r="B29451" t="str">
            <v>81040900000813</v>
          </cell>
          <cell r="C29451" t="str">
            <v>IC S SEG INMUEB VIG                     7ND</v>
          </cell>
        </row>
        <row r="29452">
          <cell r="B29452" t="str">
            <v>81040900000814</v>
          </cell>
          <cell r="C29452" t="str">
            <v>IC S SEG INMUEB VENC                    7ND</v>
          </cell>
        </row>
        <row r="29453">
          <cell r="B29453" t="str">
            <v>81040900000815</v>
          </cell>
          <cell r="C29453" t="str">
            <v>IC S SEG BIEN VEHIC VIG                 7ND</v>
          </cell>
        </row>
        <row r="29454">
          <cell r="B29454" t="str">
            <v>81040900000817</v>
          </cell>
          <cell r="C29454" t="str">
            <v>IC S COM GTO ADM CONV VIG               7ND</v>
          </cell>
        </row>
        <row r="29455">
          <cell r="B29455" t="str">
            <v>81040900000818</v>
          </cell>
          <cell r="C29455" t="str">
            <v>IC S COM GTO ADM VIG                    7ND</v>
          </cell>
        </row>
        <row r="29456">
          <cell r="B29456" t="str">
            <v>81040900000819</v>
          </cell>
          <cell r="C29456" t="str">
            <v>LIC S PREST X CONV INT SUSP VIG         7ND</v>
          </cell>
        </row>
        <row r="29457">
          <cell r="B29457" t="str">
            <v>81040900000820</v>
          </cell>
          <cell r="C29457" t="str">
            <v>LIC S SEG X CON CRED X CONVEN VIG       7ND</v>
          </cell>
        </row>
        <row r="29458">
          <cell r="B29458" t="str">
            <v>81040900000821</v>
          </cell>
          <cell r="C29458" t="str">
            <v>LIC S SEG X CON CRED X CONVEN VENC      7ND</v>
          </cell>
        </row>
        <row r="29459">
          <cell r="B29459" t="str">
            <v>81040900000822</v>
          </cell>
          <cell r="C29459" t="str">
            <v>IC S COM GTO ADM CONV VENC              7ND</v>
          </cell>
        </row>
        <row r="29460">
          <cell r="B29460" t="str">
            <v>81040900000823</v>
          </cell>
          <cell r="C29460" t="str">
            <v>IC S COM GTO ADM VENC                   7ND</v>
          </cell>
        </row>
        <row r="29461">
          <cell r="B29461" t="str">
            <v>81040900000825</v>
          </cell>
          <cell r="C29461" t="str">
            <v>CHI S COM GTO ADM CRED HIPOT VIG        7ND</v>
          </cell>
        </row>
        <row r="29462">
          <cell r="B29462" t="str">
            <v>81040900000829</v>
          </cell>
          <cell r="C29462" t="str">
            <v>TC SISMO INTERES SUSPEN VIGENTE         7ND</v>
          </cell>
        </row>
        <row r="29463">
          <cell r="B29463" t="str">
            <v>81040900000835</v>
          </cell>
          <cell r="C29463" t="str">
            <v>LIC DP INTXCOB CREDXCONV PREF V         7ND</v>
          </cell>
        </row>
        <row r="29464">
          <cell r="B29464" t="str">
            <v>81040900000836</v>
          </cell>
          <cell r="C29464" t="str">
            <v>HPC SEG DESG INDX MIVIVIE VENC          7ND</v>
          </cell>
        </row>
        <row r="29465">
          <cell r="B29465" t="str">
            <v>81040900000837</v>
          </cell>
          <cell r="C29465" t="str">
            <v>HPC SEG BIEN INDX MIVIVIE VENC          7ND</v>
          </cell>
        </row>
        <row r="29466">
          <cell r="B29466" t="str">
            <v>81040900000838</v>
          </cell>
          <cell r="C29466" t="str">
            <v>HPC DP SEG DESG INDX MIVIVIE VIG        7ND</v>
          </cell>
        </row>
        <row r="29467">
          <cell r="B29467" t="str">
            <v>81040900000839</v>
          </cell>
          <cell r="C29467" t="str">
            <v>HPC DP SEG BIEN INDX MIVIVIE VIG        7ND</v>
          </cell>
        </row>
        <row r="29468">
          <cell r="B29468" t="str">
            <v>81040900000840</v>
          </cell>
          <cell r="C29468" t="str">
            <v>HPC DP SEG DESG INDX MIVIVIE VENC       7ND</v>
          </cell>
        </row>
        <row r="29469">
          <cell r="B29469" t="str">
            <v>81040900000841</v>
          </cell>
          <cell r="C29469" t="str">
            <v>HPC DP SEG BIEN INDX MIVIVIE VENC       7ND</v>
          </cell>
        </row>
        <row r="29470">
          <cell r="B29470" t="str">
            <v>81040900000842</v>
          </cell>
          <cell r="C29470" t="str">
            <v>HPC D/P.INT X COB VIG EMPLEADO EFECTI   7ND</v>
          </cell>
        </row>
        <row r="29471">
          <cell r="B29471" t="str">
            <v>81040900000901</v>
          </cell>
          <cell r="C29471" t="str">
            <v>MYP D/P INT.X COB TRANSP PUBLICO C      7ND</v>
          </cell>
        </row>
        <row r="29472">
          <cell r="B29472" t="str">
            <v>81040900000902</v>
          </cell>
          <cell r="C29472" t="str">
            <v>MYP D/P C INT.X COB TRANSP PUBLICO CA   7ND</v>
          </cell>
        </row>
        <row r="29473">
          <cell r="B29473" t="str">
            <v>81040900000911</v>
          </cell>
          <cell r="C29473" t="str">
            <v>LPC INT LEASEBACK REF RP LPC            7ND</v>
          </cell>
        </row>
        <row r="29474">
          <cell r="B29474" t="str">
            <v>81040900000915</v>
          </cell>
          <cell r="C29474" t="str">
            <v>LIC DP INT X COB CONV NRV OT BAJ C VIG  7ND</v>
          </cell>
        </row>
        <row r="29475">
          <cell r="B29475" t="str">
            <v>81040900000916</v>
          </cell>
          <cell r="C29475" t="str">
            <v>LIC DP INT X COB CONV VIG MED EMPR      7ND</v>
          </cell>
        </row>
        <row r="29476">
          <cell r="B29476" t="str">
            <v>81040900000917</v>
          </cell>
          <cell r="C29476" t="str">
            <v>LIC DP INTXCOB PREF NRV OT BAJ C NO ELEG7ND</v>
          </cell>
        </row>
        <row r="29477">
          <cell r="B29477" t="str">
            <v>81040900000918</v>
          </cell>
          <cell r="C29477" t="str">
            <v>LPC AVA CUENT INTxCOB DUPE CMIE         7ND</v>
          </cell>
        </row>
        <row r="29478">
          <cell r="B29478" t="str">
            <v>81040900000919</v>
          </cell>
          <cell r="C29478" t="str">
            <v>LPC AVA CUENT INTxCOB DUPE CESP         7ND</v>
          </cell>
        </row>
        <row r="29479">
          <cell r="B29479" t="str">
            <v>81040900000920</v>
          </cell>
          <cell r="C29479" t="str">
            <v>LPC AVA CUENT INTxCOB DUPE CIVA         7ND</v>
          </cell>
        </row>
        <row r="29480">
          <cell r="B29480" t="str">
            <v>81040900000921</v>
          </cell>
          <cell r="C29480" t="str">
            <v>LPC AVA CUENT INTxCOB DUPE CCOR         7ND</v>
          </cell>
        </row>
        <row r="29481">
          <cell r="B29481" t="str">
            <v>81040900000922</v>
          </cell>
          <cell r="C29481" t="str">
            <v>LPC AVA CUENT INTxCOB DUPE CGEM         7ND</v>
          </cell>
        </row>
        <row r="29482">
          <cell r="B29482" t="str">
            <v>81040900000923</v>
          </cell>
          <cell r="C29482" t="str">
            <v>LPC AVA CUENT INTxCOB DUPE CMED         7ND</v>
          </cell>
        </row>
        <row r="29483">
          <cell r="B29483" t="str">
            <v>81040900000924</v>
          </cell>
          <cell r="C29483" t="str">
            <v>LPC AVA CUENT INTxCOB DUPE CPEM         7ND</v>
          </cell>
        </row>
        <row r="29484">
          <cell r="B29484" t="str">
            <v>81040900000925</v>
          </cell>
          <cell r="C29484" t="str">
            <v>FCD INT. SUP DSCTO ELECTR VIG DUD       7ND</v>
          </cell>
        </row>
        <row r="29485">
          <cell r="B29485" t="str">
            <v>81040900000926</v>
          </cell>
          <cell r="C29485" t="str">
            <v>FCD INT. SUP FACT ELECTR VIG DUD        7ND</v>
          </cell>
        </row>
        <row r="29486">
          <cell r="B29486" t="str">
            <v>81040900000927</v>
          </cell>
          <cell r="C29486" t="str">
            <v>FCD FACT INTER EXPO INT VIG DUPE        7ND</v>
          </cell>
        </row>
        <row r="29487">
          <cell r="B29487" t="str">
            <v>81040900000928</v>
          </cell>
          <cell r="C29487" t="str">
            <v>FCD FORFAINTING INTL INT VIG DUPE       7ND</v>
          </cell>
        </row>
        <row r="29488">
          <cell r="B29488" t="str">
            <v>81040900000929</v>
          </cell>
          <cell r="C29488" t="str">
            <v>FCD CONFIRMING INTERNACIONAL INT  VIG  D7ND</v>
          </cell>
        </row>
        <row r="29489">
          <cell r="B29489" t="str">
            <v>81040900000930</v>
          </cell>
          <cell r="C29489" t="str">
            <v>LPC INT SUSP DIF VIG LS BACK COFIDE D/P 7ND</v>
          </cell>
        </row>
        <row r="29490">
          <cell r="B29490" t="str">
            <v>81040900000931</v>
          </cell>
          <cell r="C29490" t="str">
            <v>LPC INT. SUSP SEG DIF VIG LS BACK COFIDE7ND</v>
          </cell>
        </row>
        <row r="29491">
          <cell r="B29491" t="str">
            <v>81040900000932</v>
          </cell>
          <cell r="C29491" t="str">
            <v>LPC P.TSA.DSCTO.INT.SUS VIG D/P         7ND</v>
          </cell>
        </row>
        <row r="29492">
          <cell r="B29492" t="str">
            <v>81040900000933</v>
          </cell>
          <cell r="C29492" t="str">
            <v>LPC INTXCOB PAG TV INMOBILIARIO VIG D/P 7ND</v>
          </cell>
        </row>
        <row r="29493">
          <cell r="B29493" t="str">
            <v>81040900000934</v>
          </cell>
          <cell r="C29493" t="str">
            <v>LPC REF LS COFIGAS I.SUP. VIG PDL/IDL CC7ND</v>
          </cell>
        </row>
        <row r="29494">
          <cell r="B29494" t="str">
            <v>81040900000935</v>
          </cell>
          <cell r="C29494" t="str">
            <v>LPC REF LS CGAS INT.SUP SB VIG PDS/IDS C7ND</v>
          </cell>
        </row>
        <row r="29495">
          <cell r="B29495" t="str">
            <v>81040900000936</v>
          </cell>
          <cell r="C29495" t="str">
            <v>LPC REF LS COFIGAS I.SUP. VEN PDL/IDL CC7ND</v>
          </cell>
        </row>
        <row r="29496">
          <cell r="B29496" t="str">
            <v>81040900000937</v>
          </cell>
          <cell r="C29496" t="str">
            <v>LPC REF LS CGAS INT.SUP SB VEN PDS/IDS C7ND</v>
          </cell>
        </row>
        <row r="29497">
          <cell r="B29497" t="str">
            <v>81040900000938</v>
          </cell>
          <cell r="C29497" t="str">
            <v>LPC REF LS COFIGAS I.SUP. VIG PDL/IDL CG7ND</v>
          </cell>
        </row>
        <row r="29498">
          <cell r="B29498" t="str">
            <v>81040900000939</v>
          </cell>
          <cell r="C29498" t="str">
            <v>LPC REF LS CGAS INT.SUP SB VIG PDS/IDS C7ND</v>
          </cell>
        </row>
        <row r="29499">
          <cell r="B29499" t="str">
            <v>81040900000940</v>
          </cell>
          <cell r="C29499" t="str">
            <v>LPC REF LS COFIGAS I.SUP. VEN PDL/IDL CG7ND</v>
          </cell>
        </row>
        <row r="29500">
          <cell r="B29500" t="str">
            <v>81040900000941</v>
          </cell>
          <cell r="C29500" t="str">
            <v>LPC REF LS CGAS INT.SUP SB VEN PDS/IDS C7ND</v>
          </cell>
        </row>
        <row r="29501">
          <cell r="B29501" t="str">
            <v>81040900000942</v>
          </cell>
          <cell r="C29501" t="str">
            <v>LPC REF LS COFIGAS I.SUP. VIG PDL/IDL CM7ND</v>
          </cell>
        </row>
        <row r="29502">
          <cell r="B29502" t="str">
            <v>81040900000943</v>
          </cell>
          <cell r="C29502" t="str">
            <v>LPC REF LS CGAS INT.SUP SB VIG PDS/IDS C7ND</v>
          </cell>
        </row>
        <row r="29503">
          <cell r="B29503" t="str">
            <v>81040900000944</v>
          </cell>
          <cell r="C29503" t="str">
            <v>LPC REF LS COFIGAS I.SUP. VEN PDL/IDL CM7ND</v>
          </cell>
        </row>
        <row r="29504">
          <cell r="B29504" t="str">
            <v>81040900000945</v>
          </cell>
          <cell r="C29504" t="str">
            <v>LPC REF LS CGAS INT.SUP SB VEN PDS/IDS C7ND</v>
          </cell>
        </row>
        <row r="29505">
          <cell r="B29505" t="str">
            <v>81040900000946</v>
          </cell>
          <cell r="C29505" t="str">
            <v>LPC REF LS COFIGAS I.SUP. VIG PDL/IDL CP7ND</v>
          </cell>
        </row>
        <row r="29506">
          <cell r="B29506" t="str">
            <v>81040900000947</v>
          </cell>
          <cell r="C29506" t="str">
            <v>LPC REF LS CGAS INT.SUP SB VIG PDS/IDS C7ND</v>
          </cell>
        </row>
        <row r="29507">
          <cell r="B29507" t="str">
            <v>81040900000948</v>
          </cell>
          <cell r="C29507" t="str">
            <v>LPC REF LS COFIGAS I.SUP. VEN PDL/IDL CP7ND</v>
          </cell>
        </row>
        <row r="29508">
          <cell r="B29508" t="str">
            <v>81040900000949</v>
          </cell>
          <cell r="C29508" t="str">
            <v>LPC REF LS CGAS INT.SUP SB VEN PDS/IDS C7ND</v>
          </cell>
        </row>
        <row r="29509">
          <cell r="B29509" t="str">
            <v>81040900000950</v>
          </cell>
          <cell r="C29509" t="str">
            <v>LPC IDL MYP INT LEASING BIEN D/P CGEM   7ND</v>
          </cell>
        </row>
        <row r="29510">
          <cell r="B29510" t="str">
            <v>81040900000951</v>
          </cell>
          <cell r="C29510" t="str">
            <v>LPC IDS MYP INT LEASING BIEN D/P CGEM   7ND</v>
          </cell>
        </row>
        <row r="29511">
          <cell r="B29511" t="str">
            <v>81040900000952</v>
          </cell>
          <cell r="C29511" t="str">
            <v>LPC INT LEAS BPE REF RP CGEM            7ND</v>
          </cell>
        </row>
        <row r="29512">
          <cell r="B29512" t="str">
            <v>81040900000953</v>
          </cell>
          <cell r="C29512" t="str">
            <v>LPC INT LEASING BPE SEG REF RP CGEM     7ND</v>
          </cell>
        </row>
        <row r="29513">
          <cell r="B29513" t="str">
            <v>81040900000954</v>
          </cell>
          <cell r="C29513" t="str">
            <v>LPC LEAS BPE VENC REF INT DIFER RP CGEM 7ND</v>
          </cell>
        </row>
        <row r="29514">
          <cell r="B29514" t="str">
            <v>81040900000955</v>
          </cell>
          <cell r="C29514" t="str">
            <v>LPC LEAS BPE VENC REF SEG INT DIF RP CGE7ND</v>
          </cell>
        </row>
        <row r="29515">
          <cell r="B29515" t="str">
            <v>81040900000956</v>
          </cell>
          <cell r="C29515" t="str">
            <v>LPC INTXCOB PAG REPROGRAMADO D/P        7ND</v>
          </cell>
        </row>
        <row r="29516">
          <cell r="B29516" t="str">
            <v>81040900000957</v>
          </cell>
          <cell r="C29516" t="str">
            <v>LPC INTXCOB PAG REPROGRAMADO D/P        7ND</v>
          </cell>
        </row>
        <row r="29517">
          <cell r="B29517" t="str">
            <v>81040900000958</v>
          </cell>
          <cell r="C29517" t="str">
            <v>LPC INTXCOB PAG REPROGRAMADO D/P        7ND</v>
          </cell>
        </row>
        <row r="29518">
          <cell r="B29518" t="str">
            <v>81040900000959</v>
          </cell>
          <cell r="C29518" t="str">
            <v>LPC INTXCOB PAG REPROGRAMADO D/P        7ND</v>
          </cell>
        </row>
        <row r="29519">
          <cell r="B29519" t="str">
            <v>81040900000960</v>
          </cell>
          <cell r="C29519" t="str">
            <v>LPC INTXCOB PAG REPROGRAMADO D/P        7ND</v>
          </cell>
        </row>
        <row r="29520">
          <cell r="B29520" t="str">
            <v>81040900000961</v>
          </cell>
          <cell r="C29520" t="str">
            <v>LPC INTXCOB PAG REPROGRAMADO NOR        7ND</v>
          </cell>
        </row>
        <row r="29521">
          <cell r="B29521" t="str">
            <v>81040900000962</v>
          </cell>
          <cell r="C29521" t="str">
            <v>LPC INTXCOB PAG REPROGRAMADO D/P CCOR   7ND</v>
          </cell>
        </row>
        <row r="29522">
          <cell r="B29522" t="str">
            <v>81040900001001</v>
          </cell>
          <cell r="C29522" t="str">
            <v>HPC ME D/P INT.X COB VIG  CRED EFECT    7ND</v>
          </cell>
        </row>
        <row r="29523">
          <cell r="B29523" t="str">
            <v>81040900001002</v>
          </cell>
          <cell r="C29523" t="str">
            <v>HPC ME D/P INT.X COB VIG  CRED VEHIC    7ND</v>
          </cell>
        </row>
        <row r="29524">
          <cell r="B29524" t="str">
            <v>81040900001003</v>
          </cell>
          <cell r="C29524" t="str">
            <v>HPC ME D/P INT.X COB VIG EFEC C/GARANT. 7ND</v>
          </cell>
        </row>
        <row r="29525">
          <cell r="B29525" t="str">
            <v>81040900001101</v>
          </cell>
          <cell r="C29525" t="str">
            <v>TC COMISION CREDITO REPROGRAMACION      7ND</v>
          </cell>
        </row>
        <row r="29526">
          <cell r="B29526" t="str">
            <v>81040900001201</v>
          </cell>
          <cell r="C29526" t="str">
            <v>FCD DESC. LET. I. COMP.VIG. CCOR DUPE   7ND</v>
          </cell>
        </row>
        <row r="29527">
          <cell r="B29527" t="str">
            <v>81040900001202</v>
          </cell>
          <cell r="C29527" t="str">
            <v>FCD DESC. LET. I. COMP.VIG. CESP DUPE   7ND</v>
          </cell>
        </row>
        <row r="29528">
          <cell r="B29528" t="str">
            <v>81040900001203</v>
          </cell>
          <cell r="C29528" t="str">
            <v>FCD DESC. LET. I. COMP.VIG. CGEM DUPE   7ND</v>
          </cell>
        </row>
        <row r="29529">
          <cell r="B29529" t="str">
            <v>81040900001204</v>
          </cell>
          <cell r="C29529" t="str">
            <v>FCD DESC. LET. I. COMP.VIG. CMED DUPE   7ND</v>
          </cell>
        </row>
        <row r="29530">
          <cell r="B29530" t="str">
            <v>81040900001205</v>
          </cell>
          <cell r="C29530" t="str">
            <v>FCD DESC. LET. I. COMP.VIG. CMIE DUPE   7ND</v>
          </cell>
        </row>
        <row r="29531">
          <cell r="B29531" t="str">
            <v>81040900001206</v>
          </cell>
          <cell r="C29531" t="str">
            <v>FCD DESC. LET. I. COMP.VIG. CPEM DUPE   7ND</v>
          </cell>
        </row>
        <row r="29532">
          <cell r="B29532" t="str">
            <v>81040900001207</v>
          </cell>
          <cell r="C29532" t="str">
            <v>FCD DESC. FACT. I. COMP.VIG. CCOR DUPE  7ND</v>
          </cell>
        </row>
        <row r="29533">
          <cell r="B29533" t="str">
            <v>81040900001208</v>
          </cell>
          <cell r="C29533" t="str">
            <v>FCD DESC. FACT. I. COMP.VIG. CESP DUPE  7ND</v>
          </cell>
        </row>
        <row r="29534">
          <cell r="B29534" t="str">
            <v>81040900001209</v>
          </cell>
          <cell r="C29534" t="str">
            <v>FCD DESC. FACT. I. COMP.VIG. CGEM DUPE  7ND</v>
          </cell>
        </row>
        <row r="29535">
          <cell r="B29535" t="str">
            <v>81040900001210</v>
          </cell>
          <cell r="C29535" t="str">
            <v>FCD DESC. FACT. I. COMP.VIG. CMED DUPE  7ND</v>
          </cell>
        </row>
        <row r="29536">
          <cell r="B29536" t="str">
            <v>81040900001211</v>
          </cell>
          <cell r="C29536" t="str">
            <v>FCD DESC. FACT. I. COMP.VIG. CMIE DUPE  7ND</v>
          </cell>
        </row>
        <row r="29537">
          <cell r="B29537" t="str">
            <v>81040900001212</v>
          </cell>
          <cell r="C29537" t="str">
            <v>FCD DESC. FACT. I. COMP.VIG. CPEM DUPE  7ND</v>
          </cell>
        </row>
        <row r="29538">
          <cell r="B29538" t="str">
            <v>81040900001213</v>
          </cell>
          <cell r="C29538" t="str">
            <v>FCD DESC. VIRTUAL I. COMP.VIG. CCOR DUPE7ND</v>
          </cell>
        </row>
        <row r="29539">
          <cell r="B29539" t="str">
            <v>81040900001214</v>
          </cell>
          <cell r="C29539" t="str">
            <v>FCD DESC. VIRTUAL I. COMP.VIG. CESP DUPE7ND</v>
          </cell>
        </row>
        <row r="29540">
          <cell r="B29540" t="str">
            <v>81040900001215</v>
          </cell>
          <cell r="C29540" t="str">
            <v>FCD DESC. VIRTUAL I. COMP.VIG. CGEM DUPE7ND</v>
          </cell>
        </row>
        <row r="29541">
          <cell r="B29541" t="str">
            <v>81040900001216</v>
          </cell>
          <cell r="C29541" t="str">
            <v>FCD DESC. VIRTUAL I. COMP.VIG. CMED DUPE7ND</v>
          </cell>
        </row>
        <row r="29542">
          <cell r="B29542" t="str">
            <v>81040900001217</v>
          </cell>
          <cell r="C29542" t="str">
            <v>FCD DESC. VIRTUAL I. COMP.VIG. CMIE DUPE7ND</v>
          </cell>
        </row>
        <row r="29543">
          <cell r="B29543" t="str">
            <v>81040900001218</v>
          </cell>
          <cell r="C29543" t="str">
            <v>FCD DESC. VIRTUAL I. COMP.VIG. CPEM DUPE7ND</v>
          </cell>
        </row>
        <row r="29544">
          <cell r="B29544" t="str">
            <v>81040900001219</v>
          </cell>
          <cell r="C29544" t="str">
            <v>FCD DESC. FACT. NEG. I. COMP.VIG. CCOR D7ND</v>
          </cell>
        </row>
        <row r="29545">
          <cell r="B29545" t="str">
            <v>81040900001220</v>
          </cell>
          <cell r="C29545" t="str">
            <v>FCD DESC. FACT. NEG. I. COMP.VIG. CESP D7ND</v>
          </cell>
        </row>
        <row r="29546">
          <cell r="B29546" t="str">
            <v>81040900001221</v>
          </cell>
          <cell r="C29546" t="str">
            <v>FCD DESC. FACT. NEG. I. COMP.VIG. CGEM D7ND</v>
          </cell>
        </row>
        <row r="29547">
          <cell r="B29547" t="str">
            <v>81040900001222</v>
          </cell>
          <cell r="C29547" t="str">
            <v>FCD DESC. FACT. NEG. I. COMP.VIG. CMED D7ND</v>
          </cell>
        </row>
        <row r="29548">
          <cell r="B29548" t="str">
            <v>81040900001223</v>
          </cell>
          <cell r="C29548" t="str">
            <v>FCD DESC. FACT. NEG. I. COMP.VIG. CMIE D7ND</v>
          </cell>
        </row>
        <row r="29549">
          <cell r="B29549" t="str">
            <v>81040900001224</v>
          </cell>
          <cell r="C29549" t="str">
            <v>FCD DESC. FACT. NEG. I. COMP.VIG. CPEM D7ND</v>
          </cell>
        </row>
        <row r="29550">
          <cell r="B29550" t="str">
            <v>81040900001225</v>
          </cell>
          <cell r="C29550" t="str">
            <v>FCD fAC. FIS. LET. I. COMP.VIG. CCOR DUP7ND</v>
          </cell>
        </row>
        <row r="29551">
          <cell r="B29551" t="str">
            <v>81040900001226</v>
          </cell>
          <cell r="C29551" t="str">
            <v>FCD fAC. FIS. LET. I. COMP.VIG. CESP DUP7ND</v>
          </cell>
        </row>
        <row r="29552">
          <cell r="B29552" t="str">
            <v>81040900001227</v>
          </cell>
          <cell r="C29552" t="str">
            <v>FCD fAC. FIS. LET. I. COMP.VIG. CGEM DUP7ND</v>
          </cell>
        </row>
        <row r="29553">
          <cell r="B29553" t="str">
            <v>81040900001228</v>
          </cell>
          <cell r="C29553" t="str">
            <v>FCD fAC. FIS. LET. I. COMP.VIG. CMED DUP7ND</v>
          </cell>
        </row>
        <row r="29554">
          <cell r="B29554" t="str">
            <v>81040900001229</v>
          </cell>
          <cell r="C29554" t="str">
            <v>FCD fAC. FIS. LET. I. COMP.VIG. CMIE DUP7ND</v>
          </cell>
        </row>
        <row r="29555">
          <cell r="B29555" t="str">
            <v>81040900001230</v>
          </cell>
          <cell r="C29555" t="str">
            <v>FCD fAC. FIS. LET. I. COMP.VIG. CPEM DUP7ND</v>
          </cell>
        </row>
        <row r="29556">
          <cell r="B29556" t="str">
            <v>81040900001231</v>
          </cell>
          <cell r="C29556" t="str">
            <v>FCD FAC. FIS. fAC.. I. COMP.VIG. CCOR DU7ND</v>
          </cell>
        </row>
        <row r="29557">
          <cell r="B29557" t="str">
            <v>81040900001232</v>
          </cell>
          <cell r="C29557" t="str">
            <v>FCD FAC. FIS. fAC.. I. COMP.VIG. CESP DU7ND</v>
          </cell>
        </row>
        <row r="29558">
          <cell r="B29558" t="str">
            <v>81040900001233</v>
          </cell>
          <cell r="C29558" t="str">
            <v>FCD FAC. FIS. fAC.. I. COMP.VIG. CGEM DU7ND</v>
          </cell>
        </row>
        <row r="29559">
          <cell r="B29559" t="str">
            <v>81040900001234</v>
          </cell>
          <cell r="C29559" t="str">
            <v>FCD FAC. FIS. fAC.. I. COMP.VIG. CMED DU7ND</v>
          </cell>
        </row>
        <row r="29560">
          <cell r="B29560" t="str">
            <v>81040900001235</v>
          </cell>
          <cell r="C29560" t="str">
            <v>FCD FAC. FIS. fAC.. I. COMP.VIG. CMIE DU7ND</v>
          </cell>
        </row>
        <row r="29561">
          <cell r="B29561" t="str">
            <v>81040900001236</v>
          </cell>
          <cell r="C29561" t="str">
            <v>FCD FAC. FIS. fAC.. I. COMP.VIG. CPEM DU7ND</v>
          </cell>
        </row>
        <row r="29562">
          <cell r="B29562" t="str">
            <v>81040900001301</v>
          </cell>
          <cell r="C29562" t="str">
            <v>LPC INT X COB  PAG. FINANC PROY COFIDE  7ND</v>
          </cell>
        </row>
        <row r="29563">
          <cell r="B29563" t="str">
            <v>81040900001302</v>
          </cell>
          <cell r="C29563" t="str">
            <v>MYP D/P INTXCOB CAP TRAB CGEM           7ND</v>
          </cell>
        </row>
        <row r="29564">
          <cell r="B29564" t="str">
            <v>81040900001303</v>
          </cell>
          <cell r="C29564" t="str">
            <v>MYP D/P INT.X COB AF INMUEBLE CGEM      7ND</v>
          </cell>
        </row>
        <row r="29565">
          <cell r="B29565" t="str">
            <v>81040900001304</v>
          </cell>
          <cell r="C29565" t="str">
            <v>MYP D/P INT.X COB CRED.PARAL.CGEM       7ND</v>
          </cell>
        </row>
        <row r="29566">
          <cell r="B29566" t="str">
            <v>81040900001305</v>
          </cell>
          <cell r="C29566" t="str">
            <v>MYP D/P INTXCOB VIG LINEA REVOLV CGEM   7ND</v>
          </cell>
        </row>
        <row r="29567">
          <cell r="B29567" t="str">
            <v>81040900001306</v>
          </cell>
          <cell r="C29567" t="str">
            <v>MYP DUPE INTXCOBVIG CTRABPROVREFCPEM    7ND</v>
          </cell>
        </row>
        <row r="29568">
          <cell r="B29568" t="str">
            <v>81040900001307</v>
          </cell>
          <cell r="C29568" t="str">
            <v>MYP DUPE INT. X COB. VIG LIN. REVOL REUT7ND</v>
          </cell>
        </row>
        <row r="29569">
          <cell r="B29569" t="str">
            <v>81040900001308</v>
          </cell>
          <cell r="C29569" t="str">
            <v>MYP DUPE INT. X COB. VIG LIN. REVOL REUT7ND</v>
          </cell>
        </row>
        <row r="29570">
          <cell r="B29570" t="str">
            <v>81040900001309</v>
          </cell>
          <cell r="C29570" t="str">
            <v>MYP DUPE INTXCOBVIG CAP.TRAB.REUT.VIG.CP7ND</v>
          </cell>
        </row>
        <row r="29571">
          <cell r="B29571" t="str">
            <v>81040900001310</v>
          </cell>
          <cell r="C29571" t="str">
            <v>MYP DUPE INTXCOB VIG C TRAB PROV REF CME7ND</v>
          </cell>
        </row>
        <row r="29572">
          <cell r="B29572" t="str">
            <v>81040900004201</v>
          </cell>
          <cell r="C29572" t="str">
            <v>MYP D/P INTXCOB CAP TRAB CMED           7ND</v>
          </cell>
        </row>
        <row r="29573">
          <cell r="B29573" t="str">
            <v>81040900004202</v>
          </cell>
          <cell r="C29573" t="str">
            <v>MYP D/P INTXCOB CAP TRAB CPEM           7ND</v>
          </cell>
        </row>
        <row r="29574">
          <cell r="B29574" t="str">
            <v>81040900004203</v>
          </cell>
          <cell r="C29574" t="str">
            <v>MYP D/P INT.X COB AF INMUEBLE CPEM      7ND</v>
          </cell>
        </row>
        <row r="29575">
          <cell r="B29575" t="str">
            <v>81040900004204</v>
          </cell>
          <cell r="C29575" t="str">
            <v>MYP D/P INT.X COB AF INMUEBLE CMED      7ND</v>
          </cell>
        </row>
        <row r="29576">
          <cell r="B29576" t="str">
            <v>81040900004205</v>
          </cell>
          <cell r="C29576" t="str">
            <v>MYP D/P INT.X COB CRED.ESTACIONAL CPEM  7ND</v>
          </cell>
        </row>
        <row r="29577">
          <cell r="B29577" t="str">
            <v>81040900004206</v>
          </cell>
          <cell r="C29577" t="str">
            <v>MYP D/P INT.X COB CRED.ESTACIONAL CMED  7ND</v>
          </cell>
        </row>
        <row r="29578">
          <cell r="B29578" t="str">
            <v>81040900004207</v>
          </cell>
          <cell r="C29578" t="str">
            <v>MYP D/P INT.X COB AF INMUEBLE CPEM      7ND</v>
          </cell>
        </row>
        <row r="29579">
          <cell r="B29579" t="str">
            <v>81040900004208</v>
          </cell>
          <cell r="C29579" t="str">
            <v>MYP D/P INT.X COB AF INMUEBLE CMED      7ND</v>
          </cell>
        </row>
        <row r="29580">
          <cell r="B29580" t="str">
            <v>81040900004209</v>
          </cell>
          <cell r="C29580" t="str">
            <v>MYP D/P INT.X COB AF INMUEBLE CPEM      7ND</v>
          </cell>
        </row>
        <row r="29581">
          <cell r="B29581" t="str">
            <v>81040900004210</v>
          </cell>
          <cell r="C29581" t="str">
            <v>MYP D/P INT.X COB AF INMUEBLE CMED      7ND</v>
          </cell>
        </row>
        <row r="29582">
          <cell r="B29582" t="str">
            <v>81040900004211</v>
          </cell>
          <cell r="C29582" t="str">
            <v>MYP D/P INT.X COB FIN.COMP.DEU CPEM     7ND</v>
          </cell>
        </row>
        <row r="29583">
          <cell r="B29583" t="str">
            <v>81040900004212</v>
          </cell>
          <cell r="C29583" t="str">
            <v>MYP D/P INT.X COB FIN.COMP.DEU CMED     7ND</v>
          </cell>
        </row>
        <row r="29584">
          <cell r="B29584" t="str">
            <v>81040900004213</v>
          </cell>
          <cell r="C29584" t="str">
            <v>MYP D/P INTXCOB VIG LINEA REVOLV CPEM   7ND</v>
          </cell>
        </row>
        <row r="29585">
          <cell r="B29585" t="str">
            <v>81040900004214</v>
          </cell>
          <cell r="C29585" t="str">
            <v>MYP D/P INTXCOB VIG LINEA REVOLV CMED   7ND</v>
          </cell>
        </row>
        <row r="29586">
          <cell r="B29586" t="str">
            <v>81040900004215</v>
          </cell>
          <cell r="C29586" t="str">
            <v>MYP D/P EXPORT.POST EMB INTXCOB VIG CPEM7ND</v>
          </cell>
        </row>
        <row r="29587">
          <cell r="B29587" t="str">
            <v>81040900004216</v>
          </cell>
          <cell r="C29587" t="str">
            <v>MYP D/P EXPORT.POST EMBARQ RP INTXCOB ME7ND</v>
          </cell>
        </row>
        <row r="29588">
          <cell r="B29588" t="str">
            <v>81040900004217</v>
          </cell>
          <cell r="C29588" t="str">
            <v>MYP D/P EXPORT.PRE EMBARQ INTXCOB VIG CP7ND</v>
          </cell>
        </row>
        <row r="29589">
          <cell r="B29589" t="str">
            <v>81040900004218</v>
          </cell>
          <cell r="C29589" t="str">
            <v>MYP D/P EXPORT.PRE EMBARQ INTXCOB VIG CM7ND</v>
          </cell>
        </row>
        <row r="29590">
          <cell r="B29590" t="str">
            <v>81040900004219</v>
          </cell>
          <cell r="C29590" t="str">
            <v>MYP D/P IMPOR RP INTXCOB COM VIG CPEM   7ND</v>
          </cell>
        </row>
        <row r="29591">
          <cell r="B29591" t="str">
            <v>81040900004220</v>
          </cell>
          <cell r="C29591" t="str">
            <v>MYP D/P IMPOR RP INTXCOB COM VIG CMED   7ND</v>
          </cell>
        </row>
        <row r="29592">
          <cell r="B29592" t="str">
            <v>81040900004221</v>
          </cell>
          <cell r="C29592" t="str">
            <v>MYP D/P INT.X COB TRANSP PUB CPEM       7ND</v>
          </cell>
        </row>
        <row r="29593">
          <cell r="B29593" t="str">
            <v>81040900004222</v>
          </cell>
          <cell r="C29593" t="str">
            <v>MYP D/P INT.X COB TRANSP PUB CMED       7ND</v>
          </cell>
        </row>
        <row r="29594">
          <cell r="B29594" t="str">
            <v>81040900004223</v>
          </cell>
          <cell r="C29594" t="str">
            <v>MYP D/P INT.X COB IMP CAP DE TRAB  CPEM 7ND</v>
          </cell>
        </row>
        <row r="29595">
          <cell r="B29595" t="str">
            <v>81040900004224</v>
          </cell>
          <cell r="C29595" t="str">
            <v>MYP D/P INT.X COB IMP.CAP DE TRAB  CMED 7ND</v>
          </cell>
        </row>
        <row r="29596">
          <cell r="B29596" t="str">
            <v>81040900004225</v>
          </cell>
          <cell r="C29596" t="str">
            <v>MYP D/P INTXCOB FIN IMPORT AF CPEM      7ND</v>
          </cell>
        </row>
        <row r="29597">
          <cell r="B29597" t="str">
            <v>81040900004226</v>
          </cell>
          <cell r="C29597" t="str">
            <v>MYP D/P INTXCOB FIN IMPORT AF CMED      7ND</v>
          </cell>
        </row>
        <row r="29598">
          <cell r="B29598" t="str">
            <v>81040900004227</v>
          </cell>
          <cell r="C29598" t="str">
            <v>MYP INT.SUS.REF.COBRANZAS VIG.C/FIJA MES7ND</v>
          </cell>
        </row>
        <row r="29599">
          <cell r="B29599" t="str">
            <v>81040900004228</v>
          </cell>
          <cell r="C29599" t="str">
            <v>MYP INT.SUS.REF.COBRANZAS VIG.REVOL.MES 7ND</v>
          </cell>
        </row>
        <row r="29600">
          <cell r="B29600" t="str">
            <v>81040900004229</v>
          </cell>
          <cell r="C29600" t="str">
            <v>MYP INT.SUS.REF.COBRANZAS VIG.C/FIJA COM7ND</v>
          </cell>
        </row>
        <row r="29601">
          <cell r="B29601" t="str">
            <v>81040900004230</v>
          </cell>
          <cell r="C29601" t="str">
            <v>MYP INT.SUS.REF.COBRANZAS VIG.REVOL.COM 7ND</v>
          </cell>
        </row>
        <row r="29602">
          <cell r="B29602" t="str">
            <v>81040900004231</v>
          </cell>
          <cell r="C29602" t="str">
            <v>MYP INTXCOB COMP DEU AF CPEM VIG D/P    7ND</v>
          </cell>
        </row>
        <row r="29603">
          <cell r="B29603" t="str">
            <v>81040900004232</v>
          </cell>
          <cell r="C29603" t="str">
            <v>MYP INTXCOB COMP DEU AF CMED VIG D/P    7ND</v>
          </cell>
        </row>
        <row r="29604">
          <cell r="B29604" t="str">
            <v>81040900004233</v>
          </cell>
          <cell r="C29604" t="str">
            <v>MYP INTXCOB COMP DEU AF CPEM VIG D/P    7ND</v>
          </cell>
        </row>
        <row r="29605">
          <cell r="B29605" t="str">
            <v>81040900004234</v>
          </cell>
          <cell r="C29605" t="str">
            <v>MYP INTXCOB COMP DEU AF CMED VIG D/P    7ND</v>
          </cell>
        </row>
        <row r="29606">
          <cell r="B29606" t="str">
            <v>81040900004235</v>
          </cell>
          <cell r="C29606" t="str">
            <v>MYP INTXCOB E.R.FIN CAP TRAB D/P        7ND</v>
          </cell>
        </row>
        <row r="29607">
          <cell r="B29607" t="str">
            <v>81040900004236</v>
          </cell>
          <cell r="C29607" t="str">
            <v>MYP INTXCOB E.R.FIN CAP TRAB D/P        7ND</v>
          </cell>
        </row>
        <row r="29608">
          <cell r="B29608" t="str">
            <v>81040900004237</v>
          </cell>
          <cell r="C29608" t="str">
            <v>MYP INT VEN C ER FIN CAP TRB DUP        7ND</v>
          </cell>
        </row>
        <row r="29609">
          <cell r="B29609" t="str">
            <v>81040900004238</v>
          </cell>
          <cell r="C29609" t="str">
            <v>MYP Seg VEN C ER FIN CAP TRB DUP        7ND</v>
          </cell>
        </row>
        <row r="29610">
          <cell r="B29610" t="str">
            <v>81040900004239</v>
          </cell>
          <cell r="C29610" t="str">
            <v>MYP Des VEN C ER FIN CAP TRB DUP        7ND</v>
          </cell>
        </row>
        <row r="29611">
          <cell r="B29611" t="str">
            <v>81040900004240</v>
          </cell>
          <cell r="C29611" t="str">
            <v>MYP D/P INTXCOB VIG PAG.BPE-BE COMER.CGE7ND</v>
          </cell>
        </row>
        <row r="29612">
          <cell r="B29612" t="str">
            <v>81040900004241</v>
          </cell>
          <cell r="C29612" t="str">
            <v>MYP D/P INTXCOB VIG PAG.BPE-BE COMER.CME7ND</v>
          </cell>
        </row>
        <row r="29613">
          <cell r="B29613" t="str">
            <v>81040900004242</v>
          </cell>
          <cell r="C29613" t="str">
            <v>MYP D/P INTXCOB VIG PAG.BPE-BE COMER.CPE7ND</v>
          </cell>
        </row>
        <row r="29614">
          <cell r="B29614" t="str">
            <v>81040900004243</v>
          </cell>
          <cell r="C29614" t="str">
            <v>MYP D/P INTXCOB VIG LIN REV.BPE-BE COM C7ND</v>
          </cell>
        </row>
        <row r="29615">
          <cell r="B29615" t="str">
            <v>81040900004244</v>
          </cell>
          <cell r="C29615" t="str">
            <v>MYP D/P INTXCOB VIG LIN REV.BPE-BE COM C7ND</v>
          </cell>
        </row>
        <row r="29616">
          <cell r="B29616" t="str">
            <v>81040900004245</v>
          </cell>
          <cell r="C29616" t="str">
            <v>MYP D/P INTXCOB VIG LIN REV.BPE-BE COM C7ND</v>
          </cell>
        </row>
        <row r="29617">
          <cell r="B29617" t="str">
            <v>81040900004301</v>
          </cell>
          <cell r="C29617" t="str">
            <v>LPC I.DIF.LSG DEL BIEN VIG D/P RP CESP  7ND</v>
          </cell>
        </row>
        <row r="29618">
          <cell r="B29618" t="str">
            <v>81040900004302</v>
          </cell>
          <cell r="C29618" t="str">
            <v>LPC I.DIF LSG SEG VIG D/P RP CESP       7ND</v>
          </cell>
        </row>
        <row r="29619">
          <cell r="B29619" t="str">
            <v>81040900004303</v>
          </cell>
          <cell r="C29619" t="str">
            <v>LPC I.DIF.LSG DEL BIEN VIG D/P RP CIVA  7ND</v>
          </cell>
        </row>
        <row r="29620">
          <cell r="B29620" t="str">
            <v>81040900004304</v>
          </cell>
          <cell r="C29620" t="str">
            <v>LPC I.DIF LSG SEG VIG D/P RP CIVA       7ND</v>
          </cell>
        </row>
        <row r="29621">
          <cell r="B29621" t="str">
            <v>81040900004305</v>
          </cell>
          <cell r="C29621" t="str">
            <v>LPC INT SUSP PAG TV RP MED PLAZO D/P CMI7ND</v>
          </cell>
        </row>
        <row r="29622">
          <cell r="B29622" t="str">
            <v>81040900004306</v>
          </cell>
          <cell r="C29622" t="str">
            <v>LPC INTXCOB PAG TV INMOBILIARIO D/P CMIE7ND</v>
          </cell>
        </row>
        <row r="29623">
          <cell r="B29623" t="str">
            <v>81040900004307</v>
          </cell>
          <cell r="C29623" t="str">
            <v>LPC I.DIF.LEASING DERIVADO DEL BIEN VIG 7ND</v>
          </cell>
        </row>
        <row r="29624">
          <cell r="B29624" t="str">
            <v>81040900004308</v>
          </cell>
          <cell r="C29624" t="str">
            <v>LPC I.DIF LSG SEG LEASING DERIVADO VIG D7ND</v>
          </cell>
        </row>
        <row r="29625">
          <cell r="B29625" t="str">
            <v>81040900004309</v>
          </cell>
          <cell r="C29625" t="str">
            <v>LPCLEASING DERIVADO VENC BIEN INT DIF RP7ND</v>
          </cell>
        </row>
        <row r="29626">
          <cell r="B29626" t="str">
            <v>81040900004310</v>
          </cell>
          <cell r="C29626" t="str">
            <v>LPC I.DIF.LEASING DERIVADO DE BIEN VENC 7ND</v>
          </cell>
        </row>
        <row r="29627">
          <cell r="B29627" t="str">
            <v>81040900004311</v>
          </cell>
          <cell r="C29627" t="str">
            <v>LPC LEASING DERIVADO VENC SEG INT DIF RP7ND</v>
          </cell>
        </row>
        <row r="29628">
          <cell r="B29628" t="str">
            <v>81040900004312</v>
          </cell>
          <cell r="C29628" t="str">
            <v>LPC I.DIF.LEASING DERIVADO SEG VENC D/P 7ND</v>
          </cell>
        </row>
        <row r="29629">
          <cell r="B29629" t="str">
            <v>81040900005001</v>
          </cell>
          <cell r="C29629" t="str">
            <v>LPC LEASING VENC BIEN INT DIF RP CCOR   7ND</v>
          </cell>
        </row>
        <row r="29630">
          <cell r="B29630" t="str">
            <v>81040900005002</v>
          </cell>
          <cell r="C29630" t="str">
            <v>LPC LEAS VENC SEG INT DIF RP CCOR       7ND</v>
          </cell>
        </row>
        <row r="29631">
          <cell r="B29631" t="str">
            <v>81040900005003</v>
          </cell>
          <cell r="C29631" t="str">
            <v>LPC LEASING VENC BIEN INT DIF RP CGEM   7ND</v>
          </cell>
        </row>
        <row r="29632">
          <cell r="B29632" t="str">
            <v>81040900005004</v>
          </cell>
          <cell r="C29632" t="str">
            <v>LPC LEAS VENC SEG INT DIF RP CGEM       7ND</v>
          </cell>
        </row>
        <row r="29633">
          <cell r="B29633" t="str">
            <v>81040900005005</v>
          </cell>
          <cell r="C29633" t="str">
            <v>LPC LEASING VENC BIEN INT DIF RP CMED   7ND</v>
          </cell>
        </row>
        <row r="29634">
          <cell r="B29634" t="str">
            <v>81040900005006</v>
          </cell>
          <cell r="C29634" t="str">
            <v>LPC LEAS VENC SEG INT DIF RP CMED       7ND</v>
          </cell>
        </row>
        <row r="29635">
          <cell r="B29635" t="str">
            <v>81040900005007</v>
          </cell>
          <cell r="C29635" t="str">
            <v>LPC LEASING VENC BIEN INT DIF RP CPEM   7ND</v>
          </cell>
        </row>
        <row r="29636">
          <cell r="B29636" t="str">
            <v>81040900005008</v>
          </cell>
          <cell r="C29636" t="str">
            <v>LPC LEAS VENC SEG INT DIF RP CPEM       7ND</v>
          </cell>
        </row>
        <row r="29637">
          <cell r="B29637" t="str">
            <v>81040900005009</v>
          </cell>
          <cell r="C29637" t="str">
            <v>LPC I.DIF.LSG DEL BIEN VIG D/P RP CCOR  7ND</v>
          </cell>
        </row>
        <row r="29638">
          <cell r="B29638" t="str">
            <v>81040900005010</v>
          </cell>
          <cell r="C29638" t="str">
            <v>LPC I.DIF.LSG DE BIEN VENC D/P RP CCOR  7ND</v>
          </cell>
        </row>
        <row r="29639">
          <cell r="B29639" t="str">
            <v>81040900005011</v>
          </cell>
          <cell r="C29639" t="str">
            <v>LPC I.DIF LSG SEG VIG D/P RP CCOR       7ND</v>
          </cell>
        </row>
        <row r="29640">
          <cell r="B29640" t="str">
            <v>81040900005012</v>
          </cell>
          <cell r="C29640" t="str">
            <v>LPC I.DIF.LSG SEG VENC D/P RP CCOR      7ND</v>
          </cell>
        </row>
        <row r="29641">
          <cell r="B29641" t="str">
            <v>81040900005013</v>
          </cell>
          <cell r="C29641" t="str">
            <v>LPC I.DIF.LSG DEL BIEN VIG D/P RP CGEM  7ND</v>
          </cell>
        </row>
        <row r="29642">
          <cell r="B29642" t="str">
            <v>81040900005014</v>
          </cell>
          <cell r="C29642" t="str">
            <v>LPC I.DIF.LSG DE BIEN VENC D/P RP CGEM  7ND</v>
          </cell>
        </row>
        <row r="29643">
          <cell r="B29643" t="str">
            <v>81040900005015</v>
          </cell>
          <cell r="C29643" t="str">
            <v>LPC I.DIF LSG SEG VIG D/P RP CGEM       7ND</v>
          </cell>
        </row>
        <row r="29644">
          <cell r="B29644" t="str">
            <v>81040900005016</v>
          </cell>
          <cell r="C29644" t="str">
            <v>LPC I.DIF.LSG SEG VENC D/P RP CGEM      7ND</v>
          </cell>
        </row>
        <row r="29645">
          <cell r="B29645" t="str">
            <v>81040900005017</v>
          </cell>
          <cell r="C29645" t="str">
            <v>LPC I.DIF.LSG DEL BIEN VIG D/P RP CMED  7ND</v>
          </cell>
        </row>
        <row r="29646">
          <cell r="B29646" t="str">
            <v>81040900005018</v>
          </cell>
          <cell r="C29646" t="str">
            <v>LPC I.DIF.LSG DE BIEN VENC D/P RP CMED  7ND</v>
          </cell>
        </row>
        <row r="29647">
          <cell r="B29647" t="str">
            <v>81040900005019</v>
          </cell>
          <cell r="C29647" t="str">
            <v>LPC I.DIF LSG SEG VIG D/P RP CMED       7ND</v>
          </cell>
        </row>
        <row r="29648">
          <cell r="B29648" t="str">
            <v>81040900005020</v>
          </cell>
          <cell r="C29648" t="str">
            <v>LPC I.DIF.LSG SEG VENC D/P RP CMED      7ND</v>
          </cell>
        </row>
        <row r="29649">
          <cell r="B29649" t="str">
            <v>81040900005021</v>
          </cell>
          <cell r="C29649" t="str">
            <v>LPC I.DIF.LSG DEL BIEN VIG D/P RP CPEM  7ND</v>
          </cell>
        </row>
        <row r="29650">
          <cell r="B29650" t="str">
            <v>81040900005022</v>
          </cell>
          <cell r="C29650" t="str">
            <v>LPC I.DIF.LSG DE BIEN VENC D/P RP CPEM  7ND</v>
          </cell>
        </row>
        <row r="29651">
          <cell r="B29651" t="str">
            <v>81040900005023</v>
          </cell>
          <cell r="C29651" t="str">
            <v>LPC I.DIF LSG SEG VIG D/P RP CPEM       7ND</v>
          </cell>
        </row>
        <row r="29652">
          <cell r="B29652" t="str">
            <v>81040900005024</v>
          </cell>
          <cell r="C29652" t="str">
            <v>LPC I.DIF.LSG SEG VENC D/P RP CPEM      7ND</v>
          </cell>
        </row>
        <row r="29653">
          <cell r="B29653" t="str">
            <v>81040900005025</v>
          </cell>
          <cell r="C29653" t="str">
            <v>LPC LEASEBACK VENC BIEN INT DIF RP CCOR 7ND</v>
          </cell>
        </row>
        <row r="29654">
          <cell r="B29654" t="str">
            <v>81040900005026</v>
          </cell>
          <cell r="C29654" t="str">
            <v>LPC LSBACK VENC SEG INT DIFER RP CCOR   7ND</v>
          </cell>
        </row>
        <row r="29655">
          <cell r="B29655" t="str">
            <v>81040900005027</v>
          </cell>
          <cell r="C29655" t="str">
            <v>LPC LEASEBACK VENC BIEN INT DIF RP CGEM 7ND</v>
          </cell>
        </row>
        <row r="29656">
          <cell r="B29656" t="str">
            <v>81040900005028</v>
          </cell>
          <cell r="C29656" t="str">
            <v>LPC LSBACK VENC SEG INT DIFER RP CGEM   7ND</v>
          </cell>
        </row>
        <row r="29657">
          <cell r="B29657" t="str">
            <v>81040900005029</v>
          </cell>
          <cell r="C29657" t="str">
            <v>LPC LEASEBACK VENC BIEN INT DIF RP CMED 7ND</v>
          </cell>
        </row>
        <row r="29658">
          <cell r="B29658" t="str">
            <v>81040900005030</v>
          </cell>
          <cell r="C29658" t="str">
            <v>LPC LSBACK VENC SEG INT DIFER RP CMED   7ND</v>
          </cell>
        </row>
        <row r="29659">
          <cell r="B29659" t="str">
            <v>81040900005031</v>
          </cell>
          <cell r="C29659" t="str">
            <v>LPC LEASEBACK VENC BIEN INT DIF RP CPEM 7ND</v>
          </cell>
        </row>
        <row r="29660">
          <cell r="B29660" t="str">
            <v>81040900005032</v>
          </cell>
          <cell r="C29660" t="str">
            <v>LPC LSBACK VENC SEG INT DIFER RP CPEM   7ND</v>
          </cell>
        </row>
        <row r="29661">
          <cell r="B29661" t="str">
            <v>81040900005033</v>
          </cell>
          <cell r="C29661" t="str">
            <v>LPC I.DIF.LSBACK DEL BIEN VIG D/P RP CCO7ND</v>
          </cell>
        </row>
        <row r="29662">
          <cell r="B29662" t="str">
            <v>81040900005034</v>
          </cell>
          <cell r="C29662" t="str">
            <v>LPC I.DIF.LSBACK DEL BIEN VENC D/P RP CC7ND</v>
          </cell>
        </row>
        <row r="29663">
          <cell r="B29663" t="str">
            <v>81040900005035</v>
          </cell>
          <cell r="C29663" t="str">
            <v>LPC I.DIF LSBACK SEG VIG D/P RP CCOR    7ND</v>
          </cell>
        </row>
        <row r="29664">
          <cell r="B29664" t="str">
            <v>81040900005036</v>
          </cell>
          <cell r="C29664" t="str">
            <v>LPC I.DIF.LSBACK SEG VENC D/P RP CCOR   7ND</v>
          </cell>
        </row>
        <row r="29665">
          <cell r="B29665" t="str">
            <v>81040900005037</v>
          </cell>
          <cell r="C29665" t="str">
            <v>LPC I.DIF.LSBACK DEL BIEN VIG D/P RP CGE7ND</v>
          </cell>
        </row>
        <row r="29666">
          <cell r="B29666" t="str">
            <v>81040900005038</v>
          </cell>
          <cell r="C29666" t="str">
            <v>LPC I.DIF.LSBACK DEL BIEN VENC D/P RP CG7ND</v>
          </cell>
        </row>
        <row r="29667">
          <cell r="B29667" t="str">
            <v>81040900005039</v>
          </cell>
          <cell r="C29667" t="str">
            <v>LPC I.DIF LSBACK SEG VIG D/P RP CGEM    7ND</v>
          </cell>
        </row>
        <row r="29668">
          <cell r="B29668" t="str">
            <v>81040900005040</v>
          </cell>
          <cell r="C29668" t="str">
            <v>LPC I.DIF.LSBACK SEG VENC D/P RP CGEM   7ND</v>
          </cell>
        </row>
        <row r="29669">
          <cell r="B29669" t="str">
            <v>81040900005041</v>
          </cell>
          <cell r="C29669" t="str">
            <v>LPC I.DIF.LSBACK DEL BIEN VIG D/P RP CME7ND</v>
          </cell>
        </row>
        <row r="29670">
          <cell r="B29670" t="str">
            <v>81040900005042</v>
          </cell>
          <cell r="C29670" t="str">
            <v>LPC I.DIF.LSBACK DEL BIEN VENC D/P RP CM7ND</v>
          </cell>
        </row>
        <row r="29671">
          <cell r="B29671" t="str">
            <v>81040900005043</v>
          </cell>
          <cell r="C29671" t="str">
            <v>LPC I.DIF LSBACK SEG VIG D/P RP CMED    7ND</v>
          </cell>
        </row>
        <row r="29672">
          <cell r="B29672" t="str">
            <v>81040900005044</v>
          </cell>
          <cell r="C29672" t="str">
            <v>LPC I.DIF.LSBACK SEG VENC D/P RP CMED   7ND</v>
          </cell>
        </row>
        <row r="29673">
          <cell r="B29673" t="str">
            <v>81040900005045</v>
          </cell>
          <cell r="C29673" t="str">
            <v>LPC I.DIF.LSBACK DEL BIEN VIG D/P RP CPE7ND</v>
          </cell>
        </row>
        <row r="29674">
          <cell r="B29674" t="str">
            <v>81040900005046</v>
          </cell>
          <cell r="C29674" t="str">
            <v>LPC I.DIF.LSBACK DEL BIEN VENC D/P RP CP7ND</v>
          </cell>
        </row>
        <row r="29675">
          <cell r="B29675" t="str">
            <v>81040900005047</v>
          </cell>
          <cell r="C29675" t="str">
            <v>LPC I.DIF LSBACK SEG VIG D/P RP CPEM    7ND</v>
          </cell>
        </row>
        <row r="29676">
          <cell r="B29676" t="str">
            <v>81040900005048</v>
          </cell>
          <cell r="C29676" t="str">
            <v>LPC I.DIF.LSBACK SEG VENC D/P RP CPEM   7ND</v>
          </cell>
        </row>
        <row r="29677">
          <cell r="B29677" t="str">
            <v>81040900005049</v>
          </cell>
          <cell r="C29677" t="str">
            <v>LPC INT VEN LSG BIEN ADJ. RP CMED       7ND</v>
          </cell>
        </row>
        <row r="29678">
          <cell r="B29678" t="str">
            <v>81040900005050</v>
          </cell>
          <cell r="C29678" t="str">
            <v>LPC DIF VIG LSG BIEN ADJ.D/P CCOR       7ND</v>
          </cell>
        </row>
        <row r="29679">
          <cell r="B29679" t="str">
            <v>81040900005051</v>
          </cell>
          <cell r="C29679" t="str">
            <v>LPC DIF VIG LSG SEG. ADJ.D/P CCOR       7ND</v>
          </cell>
        </row>
        <row r="29680">
          <cell r="B29680" t="str">
            <v>81040900005052</v>
          </cell>
          <cell r="C29680" t="str">
            <v>LPC DIF VIG LSG BIEN ADJ.D/P CGEM       7ND</v>
          </cell>
        </row>
        <row r="29681">
          <cell r="B29681" t="str">
            <v>81040900005053</v>
          </cell>
          <cell r="C29681" t="str">
            <v>LPC DIF VIG LSG SEG. ADJ.D/P CGEM       7ND</v>
          </cell>
        </row>
        <row r="29682">
          <cell r="B29682" t="str">
            <v>81040900005054</v>
          </cell>
          <cell r="C29682" t="str">
            <v>LPC DIF VIG LSG BIEN ADJ.D/P CMED       7ND</v>
          </cell>
        </row>
        <row r="29683">
          <cell r="B29683" t="str">
            <v>81040900005055</v>
          </cell>
          <cell r="C29683" t="str">
            <v>LPC DIF VIG LSG SEG. ADJ.D/P CMED       7ND</v>
          </cell>
        </row>
        <row r="29684">
          <cell r="B29684" t="str">
            <v>81040900005056</v>
          </cell>
          <cell r="C29684" t="str">
            <v>LPC DIF VIG LSG BIEN ADJ.D/P CPEM       7ND</v>
          </cell>
        </row>
        <row r="29685">
          <cell r="B29685" t="str">
            <v>81040900005057</v>
          </cell>
          <cell r="C29685" t="str">
            <v>LPC DIF VIG LSG SEG. ADJ.D/P CPEM       7ND</v>
          </cell>
        </row>
        <row r="29686">
          <cell r="B29686" t="str">
            <v>81040900005058</v>
          </cell>
          <cell r="C29686" t="str">
            <v>LPC INT VIG.LS  BIEN OTROS SUSP RP CCOR 7ND</v>
          </cell>
        </row>
        <row r="29687">
          <cell r="B29687" t="str">
            <v>81040900005059</v>
          </cell>
          <cell r="C29687" t="str">
            <v>LPC INT VIG LS SEG OTROS SUSP RP CCOR   7ND</v>
          </cell>
        </row>
        <row r="29688">
          <cell r="B29688" t="str">
            <v>81040900005060</v>
          </cell>
          <cell r="C29688" t="str">
            <v>LPC INT VIG.LS  BIEN OTROS SUSP RP CGEM 7ND</v>
          </cell>
        </row>
        <row r="29689">
          <cell r="B29689" t="str">
            <v>81040900005061</v>
          </cell>
          <cell r="C29689" t="str">
            <v>LPC INT VIG LS SEG OTROS SUSP RP CGEM   7ND</v>
          </cell>
        </row>
        <row r="29690">
          <cell r="B29690" t="str">
            <v>81040900005062</v>
          </cell>
          <cell r="C29690" t="str">
            <v>LPC INT VIG.LS  BIEN OTROS SUSP RP CMED 7ND</v>
          </cell>
        </row>
        <row r="29691">
          <cell r="B29691" t="str">
            <v>81040900005063</v>
          </cell>
          <cell r="C29691" t="str">
            <v>LPC INT VIG LS SEG OTROS SUSP RP CMED   7ND</v>
          </cell>
        </row>
        <row r="29692">
          <cell r="B29692" t="str">
            <v>81040900005064</v>
          </cell>
          <cell r="C29692" t="str">
            <v>LPC INT VIG.LS  BIEN OTROS SUSP RP CPEM 7ND</v>
          </cell>
        </row>
        <row r="29693">
          <cell r="B29693" t="str">
            <v>81040900005065</v>
          </cell>
          <cell r="C29693" t="str">
            <v>LPC INT VIG LS SEG OTROS SUSP RP CPEM   7ND</v>
          </cell>
        </row>
        <row r="29694">
          <cell r="B29694" t="str">
            <v>81040900005066</v>
          </cell>
          <cell r="C29694" t="str">
            <v>LPC INT VIG.LSB  BIEN OTROS SUSP CCOR   7ND</v>
          </cell>
        </row>
        <row r="29695">
          <cell r="B29695" t="str">
            <v>81040900005067</v>
          </cell>
          <cell r="C29695" t="str">
            <v>LPC INT VEN LSB  BIEN OTROS SUSP CCOR   7ND</v>
          </cell>
        </row>
        <row r="29696">
          <cell r="B29696" t="str">
            <v>81040900005068</v>
          </cell>
          <cell r="C29696" t="str">
            <v>LPC INT VIG LSB SEG OTROS SUSP CCOR     7ND</v>
          </cell>
        </row>
        <row r="29697">
          <cell r="B29697" t="str">
            <v>81040900005069</v>
          </cell>
          <cell r="C29697" t="str">
            <v>LPC INT VEN LSB SEG OTROS SUSP CCOR     7ND</v>
          </cell>
        </row>
        <row r="29698">
          <cell r="B29698" t="str">
            <v>81040900005070</v>
          </cell>
          <cell r="C29698" t="str">
            <v>LPC INT VIG.LSB  BIEN OTROS SUSP CGEM   7ND</v>
          </cell>
        </row>
        <row r="29699">
          <cell r="B29699" t="str">
            <v>81040900005071</v>
          </cell>
          <cell r="C29699" t="str">
            <v>LPC INT VEN LSB  BIEN OTROS SUSP CGEM   7ND</v>
          </cell>
        </row>
        <row r="29700">
          <cell r="B29700" t="str">
            <v>81040900005072</v>
          </cell>
          <cell r="C29700" t="str">
            <v>LPC INT VIG LSB SEG OTROS SUSP CGEM     7ND</v>
          </cell>
        </row>
        <row r="29701">
          <cell r="B29701" t="str">
            <v>81040900005073</v>
          </cell>
          <cell r="C29701" t="str">
            <v>LPC INT VEN LSB SEG OTROS SUSP CGEM     7ND</v>
          </cell>
        </row>
        <row r="29702">
          <cell r="B29702" t="str">
            <v>81040900005074</v>
          </cell>
          <cell r="C29702" t="str">
            <v>LPC INT VIG.LSB  BIEN OTROS SUSP CMED   7ND</v>
          </cell>
        </row>
        <row r="29703">
          <cell r="B29703" t="str">
            <v>81040900005075</v>
          </cell>
          <cell r="C29703" t="str">
            <v>LPC INT VEN LSB  BIEN OTROS SUSP CMED   7ND</v>
          </cell>
        </row>
        <row r="29704">
          <cell r="B29704" t="str">
            <v>81040900005076</v>
          </cell>
          <cell r="C29704" t="str">
            <v>LPC INT VIG LSB SEG OTROS SUSP CMED     7ND</v>
          </cell>
        </row>
        <row r="29705">
          <cell r="B29705" t="str">
            <v>81040900005077</v>
          </cell>
          <cell r="C29705" t="str">
            <v>LPC INT VEN LSB SEG OTROS SUSP CMED     7ND</v>
          </cell>
        </row>
        <row r="29706">
          <cell r="B29706" t="str">
            <v>81040900005078</v>
          </cell>
          <cell r="C29706" t="str">
            <v>LPC INT VIG.LSB  BIEN OTROS SUSP CPEM   7ND</v>
          </cell>
        </row>
        <row r="29707">
          <cell r="B29707" t="str">
            <v>81040900005079</v>
          </cell>
          <cell r="C29707" t="str">
            <v>LPC INT VEN LSB  BIEN OTROS SUSP CPEM   7ND</v>
          </cell>
        </row>
        <row r="29708">
          <cell r="B29708" t="str">
            <v>81040900005080</v>
          </cell>
          <cell r="C29708" t="str">
            <v>LPC INT VIG LSB SEG OTROS SUSP CPEM     7ND</v>
          </cell>
        </row>
        <row r="29709">
          <cell r="B29709" t="str">
            <v>81040900005081</v>
          </cell>
          <cell r="C29709" t="str">
            <v>LPC INT VEN LSB SEG OTROS SUSP CPEM     7ND</v>
          </cell>
        </row>
        <row r="29710">
          <cell r="B29710" t="str">
            <v>81040900005082</v>
          </cell>
          <cell r="C29710" t="str">
            <v>LPC IDL LS BIEN BPE INT.SUS.VEN         7ND</v>
          </cell>
        </row>
        <row r="29711">
          <cell r="B29711" t="str">
            <v>81040900005083</v>
          </cell>
          <cell r="C29711" t="str">
            <v>LPC IDS LS BIEN BPE INT.VEN SEG         7ND</v>
          </cell>
        </row>
        <row r="29712">
          <cell r="B29712" t="str">
            <v>81040900005084</v>
          </cell>
          <cell r="C29712" t="str">
            <v>LPC I.DIF.LS DEL B.VIG D/P BPE          7ND</v>
          </cell>
        </row>
        <row r="29713">
          <cell r="B29713" t="str">
            <v>81040900005085</v>
          </cell>
          <cell r="C29713" t="str">
            <v>LPC I.DIF LS SEG VIG D/P BPE            7ND</v>
          </cell>
        </row>
        <row r="29714">
          <cell r="B29714" t="str">
            <v>81040900005086</v>
          </cell>
          <cell r="C29714" t="str">
            <v>LPC IDL LS B.D/P INT.DIF.VEN BPE        7ND</v>
          </cell>
        </row>
        <row r="29715">
          <cell r="B29715" t="str">
            <v>81040900005087</v>
          </cell>
          <cell r="C29715" t="str">
            <v>LPC I.DIF.LS SEG VENC D/P BPE           7ND</v>
          </cell>
        </row>
        <row r="29716">
          <cell r="B29716" t="str">
            <v>81040900005088</v>
          </cell>
          <cell r="C29716" t="str">
            <v>LPC IDL MYP INT LEASING BIEN D/P CMIE   7ND</v>
          </cell>
        </row>
        <row r="29717">
          <cell r="B29717" t="str">
            <v>81040900005089</v>
          </cell>
          <cell r="C29717" t="str">
            <v>LPC IDS MYP INT LEASING BIEN D/P CMIE   7ND</v>
          </cell>
        </row>
        <row r="29718">
          <cell r="B29718" t="str">
            <v>81040900005090</v>
          </cell>
          <cell r="C29718" t="str">
            <v>LPC IDL MYP INT LEASING BIEN D/P CMED   7ND</v>
          </cell>
        </row>
        <row r="29719">
          <cell r="B29719" t="str">
            <v>81040900005091</v>
          </cell>
          <cell r="C29719" t="str">
            <v>LPC IDS MYP INT LEASING BIEN D/P CMED   7ND</v>
          </cell>
        </row>
        <row r="29720">
          <cell r="B29720" t="str">
            <v>81040900005092</v>
          </cell>
          <cell r="C29720" t="str">
            <v>LPC IDL MYP INT LEASING BIEN D/P CPEM   7ND</v>
          </cell>
        </row>
        <row r="29721">
          <cell r="B29721" t="str">
            <v>81040900005093</v>
          </cell>
          <cell r="C29721" t="str">
            <v>LPC IDS MYP INT LEASING BIEN D/P CPEM   7ND</v>
          </cell>
        </row>
        <row r="29722">
          <cell r="B29722" t="str">
            <v>81040900005094</v>
          </cell>
          <cell r="C29722" t="str">
            <v>LPC INT LEAS BPE REF RP CMED            7ND</v>
          </cell>
        </row>
        <row r="29723">
          <cell r="B29723" t="str">
            <v>81040900005095</v>
          </cell>
          <cell r="C29723" t="str">
            <v>LPC INT LEASING BPE SEG REF RP CMED     7ND</v>
          </cell>
        </row>
        <row r="29724">
          <cell r="B29724" t="str">
            <v>81040900005096</v>
          </cell>
          <cell r="C29724" t="str">
            <v>LPC LEAS BPE VENC REF INT DIFER RP CMED 7ND</v>
          </cell>
        </row>
        <row r="29725">
          <cell r="B29725" t="str">
            <v>81040900005097</v>
          </cell>
          <cell r="C29725" t="str">
            <v>LPC LEAS BPE VENC REF SEG INT DIF RP CME7ND</v>
          </cell>
        </row>
        <row r="29726">
          <cell r="B29726" t="str">
            <v>81040900005101</v>
          </cell>
          <cell r="C29726" t="str">
            <v>LPC INT LEASING RESTR RP CCOR           7ND</v>
          </cell>
        </row>
        <row r="29727">
          <cell r="B29727" t="str">
            <v>81040900005102</v>
          </cell>
          <cell r="C29727" t="str">
            <v>LPC LEAS VENC REESTR INT DIFER RP CCOR  7ND</v>
          </cell>
        </row>
        <row r="29728">
          <cell r="B29728" t="str">
            <v>81040900005103</v>
          </cell>
          <cell r="C29728" t="str">
            <v>LPC INT LEAS SEG REESTR RP CCOR         7ND</v>
          </cell>
        </row>
        <row r="29729">
          <cell r="B29729" t="str">
            <v>81040900005104</v>
          </cell>
          <cell r="C29729" t="str">
            <v>LPC LSG VENC REESTR SEG INT DIF RP CCOR 7ND</v>
          </cell>
        </row>
        <row r="29730">
          <cell r="B29730" t="str">
            <v>81040900005105</v>
          </cell>
          <cell r="C29730" t="str">
            <v>LPC INT LEASING RESTR RP CGEM           7ND</v>
          </cell>
        </row>
        <row r="29731">
          <cell r="B29731" t="str">
            <v>81040900005106</v>
          </cell>
          <cell r="C29731" t="str">
            <v>LPC LEAS VENC REESTR INT DIFER RP CGEM  7ND</v>
          </cell>
        </row>
        <row r="29732">
          <cell r="B29732" t="str">
            <v>81040900005107</v>
          </cell>
          <cell r="C29732" t="str">
            <v>LPC INT LEAS SEG REESTR RP CGEM         7ND</v>
          </cell>
        </row>
        <row r="29733">
          <cell r="B29733" t="str">
            <v>81040900005108</v>
          </cell>
          <cell r="C29733" t="str">
            <v>LPC LSG VENC REESTR SEG INT DIF RP CGEM 7ND</v>
          </cell>
        </row>
        <row r="29734">
          <cell r="B29734" t="str">
            <v>81040900005109</v>
          </cell>
          <cell r="C29734" t="str">
            <v>LPC INT LEASING RESTR RP CMED           7ND</v>
          </cell>
        </row>
        <row r="29735">
          <cell r="B29735" t="str">
            <v>81040900005110</v>
          </cell>
          <cell r="C29735" t="str">
            <v>LPC LEAS VENC REESTR INT DIFER RP CMED  7ND</v>
          </cell>
        </row>
        <row r="29736">
          <cell r="B29736" t="str">
            <v>81040900005111</v>
          </cell>
          <cell r="C29736" t="str">
            <v>LPC INT LEAS SEG REESTR RP CMED         7ND</v>
          </cell>
        </row>
        <row r="29737">
          <cell r="B29737" t="str">
            <v>81040900005112</v>
          </cell>
          <cell r="C29737" t="str">
            <v>LPC LSG VENC REESTR SEG INT DIF RP CMED 7ND</v>
          </cell>
        </row>
        <row r="29738">
          <cell r="B29738" t="str">
            <v>81040900005113</v>
          </cell>
          <cell r="C29738" t="str">
            <v>LPC INT LEASING RESTR RP CPEM           7ND</v>
          </cell>
        </row>
        <row r="29739">
          <cell r="B29739" t="str">
            <v>81040900005114</v>
          </cell>
          <cell r="C29739" t="str">
            <v>LPC LEAS VENC REESTR INT DIFER RP CPEM  7ND</v>
          </cell>
        </row>
        <row r="29740">
          <cell r="B29740" t="str">
            <v>81040900005115</v>
          </cell>
          <cell r="C29740" t="str">
            <v>LPC INT LEAS SEG REESTR RP CPEM         7ND</v>
          </cell>
        </row>
        <row r="29741">
          <cell r="B29741" t="str">
            <v>81040900005116</v>
          </cell>
          <cell r="C29741" t="str">
            <v>LPC LSG VENC REESTR SEG INT DIF RP CPEM 7ND</v>
          </cell>
        </row>
        <row r="29742">
          <cell r="B29742" t="str">
            <v>81040900005117</v>
          </cell>
          <cell r="C29742" t="str">
            <v>LPC INT LEAS REF RP CCOR                7ND</v>
          </cell>
        </row>
        <row r="29743">
          <cell r="B29743" t="str">
            <v>81040900005118</v>
          </cell>
          <cell r="C29743" t="str">
            <v>LPC INT LEASING SEG REF RP CCOR         7ND</v>
          </cell>
        </row>
        <row r="29744">
          <cell r="B29744" t="str">
            <v>81040900005119</v>
          </cell>
          <cell r="C29744" t="str">
            <v>LPC LEAS VENC REF INT DIFER RP CCOR     7ND</v>
          </cell>
        </row>
        <row r="29745">
          <cell r="B29745" t="str">
            <v>81040900005120</v>
          </cell>
          <cell r="C29745" t="str">
            <v>LPC LEAS VENC REF SEG INT DIF RP CCOR   7ND</v>
          </cell>
        </row>
        <row r="29746">
          <cell r="B29746" t="str">
            <v>81040900005121</v>
          </cell>
          <cell r="C29746" t="str">
            <v>LPC INT LEAS REF RP CGEM                7ND</v>
          </cell>
        </row>
        <row r="29747">
          <cell r="B29747" t="str">
            <v>81040900005122</v>
          </cell>
          <cell r="C29747" t="str">
            <v>LPC INT LEASING SEG REF RP CGEM         7ND</v>
          </cell>
        </row>
        <row r="29748">
          <cell r="B29748" t="str">
            <v>81040900005123</v>
          </cell>
          <cell r="C29748" t="str">
            <v>LPC LEAS VENC REF INT DIFER RP CGEM     7ND</v>
          </cell>
        </row>
        <row r="29749">
          <cell r="B29749" t="str">
            <v>81040900005124</v>
          </cell>
          <cell r="C29749" t="str">
            <v>LPC LEAS VENC REF SEG INT DIF RP CGEM   7ND</v>
          </cell>
        </row>
        <row r="29750">
          <cell r="B29750" t="str">
            <v>81040900005125</v>
          </cell>
          <cell r="C29750" t="str">
            <v>LPC INT LEAS REF RP CMED                7ND</v>
          </cell>
        </row>
        <row r="29751">
          <cell r="B29751" t="str">
            <v>81040900005126</v>
          </cell>
          <cell r="C29751" t="str">
            <v>LPC INT LEASING SEG REF RP CMED         7ND</v>
          </cell>
        </row>
        <row r="29752">
          <cell r="B29752" t="str">
            <v>81040900005127</v>
          </cell>
          <cell r="C29752" t="str">
            <v>LPC LEAS VENC REF INT DIFER RP CMED     7ND</v>
          </cell>
        </row>
        <row r="29753">
          <cell r="B29753" t="str">
            <v>81040900005128</v>
          </cell>
          <cell r="C29753" t="str">
            <v>LPC LEAS VENC REF SEG INT DIF RP CMED   7ND</v>
          </cell>
        </row>
        <row r="29754">
          <cell r="B29754" t="str">
            <v>81040900005129</v>
          </cell>
          <cell r="C29754" t="str">
            <v>LPC INT LEAS REF RP CPEM                7ND</v>
          </cell>
        </row>
        <row r="29755">
          <cell r="B29755" t="str">
            <v>81040900005130</v>
          </cell>
          <cell r="C29755" t="str">
            <v>LPC INT LEASING SEG REF RP CPEM         7ND</v>
          </cell>
        </row>
        <row r="29756">
          <cell r="B29756" t="str">
            <v>81040900005131</v>
          </cell>
          <cell r="C29756" t="str">
            <v>LPC LEAS VENC REF INT DIFER RP CPEM     7ND</v>
          </cell>
        </row>
        <row r="29757">
          <cell r="B29757" t="str">
            <v>81040900005132</v>
          </cell>
          <cell r="C29757" t="str">
            <v>LPC LEAS VENC REF SEG INT DIF RP CPEM   7ND</v>
          </cell>
        </row>
        <row r="29758">
          <cell r="B29758" t="str">
            <v>81040900005133</v>
          </cell>
          <cell r="C29758" t="str">
            <v>LPC LEASING DERIVADO VENC SEG INT DIF RP7ND</v>
          </cell>
        </row>
        <row r="29759">
          <cell r="B29759" t="str">
            <v>81040900005134</v>
          </cell>
          <cell r="C29759" t="str">
            <v>LPC LEASING DERIVADO VENC SEG INT DIF RP7ND</v>
          </cell>
        </row>
        <row r="29760">
          <cell r="B29760" t="str">
            <v>81040900005135</v>
          </cell>
          <cell r="C29760" t="str">
            <v>LPC LEASING DERIVADO VENC SEG INT DIF RP7ND</v>
          </cell>
        </row>
        <row r="29761">
          <cell r="B29761" t="str">
            <v>81040900005136</v>
          </cell>
          <cell r="C29761" t="str">
            <v>LPCLEASING DERIVADO VENC BIEN INT DIF RP7ND</v>
          </cell>
        </row>
        <row r="29762">
          <cell r="B29762" t="str">
            <v>81040900005137</v>
          </cell>
          <cell r="C29762" t="str">
            <v>LPCLEASING DERIVADO VENC BIEN INT DIF RP7ND</v>
          </cell>
        </row>
        <row r="29763">
          <cell r="B29763" t="str">
            <v>81040900005138</v>
          </cell>
          <cell r="C29763" t="str">
            <v>LPC I.DIF LSG SEG LEASING DERIVADO VIG D7ND</v>
          </cell>
        </row>
        <row r="29764">
          <cell r="B29764" t="str">
            <v>81040900005139</v>
          </cell>
          <cell r="C29764" t="str">
            <v>LPC I.DIF LSG SEG LEASING DERIVADO VIG D7ND</v>
          </cell>
        </row>
        <row r="29765">
          <cell r="B29765" t="str">
            <v>81040900005140</v>
          </cell>
          <cell r="C29765" t="str">
            <v>LPC I.DIF LSG SEG LEASING DERIVADO VIG D7ND</v>
          </cell>
        </row>
        <row r="29766">
          <cell r="B29766" t="str">
            <v>81040900005141</v>
          </cell>
          <cell r="C29766" t="str">
            <v>LPC I.DIF.LEASING DERIVADO DE BIEN VENC 7ND</v>
          </cell>
        </row>
        <row r="29767">
          <cell r="B29767" t="str">
            <v>81040900005142</v>
          </cell>
          <cell r="C29767" t="str">
            <v>LPC I.DIF.LEASING DERIVADO DE BIEN VENC 7ND</v>
          </cell>
        </row>
        <row r="29768">
          <cell r="B29768" t="str">
            <v>81040900005143</v>
          </cell>
          <cell r="C29768" t="str">
            <v>LPC I.DIF.LEASING DERIVADO DE BIEN VENC 7ND</v>
          </cell>
        </row>
        <row r="29769">
          <cell r="B29769" t="str">
            <v>81040900005144</v>
          </cell>
          <cell r="C29769" t="str">
            <v>LPC I.DIF.LEASING DERIVADO DEL BIEN VIG 7ND</v>
          </cell>
        </row>
        <row r="29770">
          <cell r="B29770" t="str">
            <v>81040900005145</v>
          </cell>
          <cell r="C29770" t="str">
            <v>LPC I.DIF.LEASING DERIVADO DEL BIEN VIG 7ND</v>
          </cell>
        </row>
        <row r="29771">
          <cell r="B29771" t="str">
            <v>81040900005146</v>
          </cell>
          <cell r="C29771" t="str">
            <v>LPC I.DIF.LEASING DERIVADO DEL BIEN VIG 7ND</v>
          </cell>
        </row>
        <row r="29772">
          <cell r="B29772" t="str">
            <v>81040900005147</v>
          </cell>
          <cell r="C29772" t="str">
            <v>LPC I.DIF.LEASING DERIVADO SEG VENC D/P 7ND</v>
          </cell>
        </row>
        <row r="29773">
          <cell r="B29773" t="str">
            <v>81040900005148</v>
          </cell>
          <cell r="C29773" t="str">
            <v>LPC I.DIF.LEASING DERIVADO SEG VENC D/P 7ND</v>
          </cell>
        </row>
        <row r="29774">
          <cell r="B29774" t="str">
            <v>81040900005149</v>
          </cell>
          <cell r="C29774" t="str">
            <v>LPC I.DIF.LEASING DERIVADO SEG VENC D/P 7ND</v>
          </cell>
        </row>
        <row r="29775">
          <cell r="B29775" t="str">
            <v>81040900005150</v>
          </cell>
          <cell r="C29775" t="str">
            <v>LPC LEASING DERIVADO VENC BIEN INT DIF R7ND</v>
          </cell>
        </row>
        <row r="29776">
          <cell r="B29776" t="str">
            <v>81040900006001</v>
          </cell>
          <cell r="C29776" t="str">
            <v>LPC LEASING COFIDE VENC BIEN INT DIF IDL7ND</v>
          </cell>
        </row>
        <row r="29777">
          <cell r="B29777" t="str">
            <v>81040900006002</v>
          </cell>
          <cell r="C29777" t="str">
            <v>LPC LS COFIDE VENC SEG INT DIF IDS CMED 7ND</v>
          </cell>
        </row>
        <row r="29778">
          <cell r="B29778" t="str">
            <v>81040900006003</v>
          </cell>
          <cell r="C29778" t="str">
            <v>LPC I.DIF.LS COFIDE VIG D/P IDL CMED    7ND</v>
          </cell>
        </row>
        <row r="29779">
          <cell r="B29779" t="str">
            <v>81040900006004</v>
          </cell>
          <cell r="C29779" t="str">
            <v>LPC I.DIF.LS COFIDE VENC D/P IDL CMED   7ND</v>
          </cell>
        </row>
        <row r="29780">
          <cell r="B29780" t="str">
            <v>81040900006005</v>
          </cell>
          <cell r="C29780" t="str">
            <v>LPC I.DIF LS COFIDE SEG VIG D/P IDS CMED7ND</v>
          </cell>
        </row>
        <row r="29781">
          <cell r="B29781" t="str">
            <v>81040900006006</v>
          </cell>
          <cell r="C29781" t="str">
            <v>LPC I.DIF.LS COFIDE SEG VENC D/P IDS CME7ND</v>
          </cell>
        </row>
        <row r="29782">
          <cell r="B29782" t="str">
            <v>81040900006007</v>
          </cell>
          <cell r="C29782" t="str">
            <v>LPC LEASING COFIDE VENC BIEN INT DIF IDL7ND</v>
          </cell>
        </row>
        <row r="29783">
          <cell r="B29783" t="str">
            <v>81040900006008</v>
          </cell>
          <cell r="C29783" t="str">
            <v>LPC LS COFIDE VENC SEG INT DIF IDS CGEM 7ND</v>
          </cell>
        </row>
        <row r="29784">
          <cell r="B29784" t="str">
            <v>81040900006009</v>
          </cell>
          <cell r="C29784" t="str">
            <v>LPC I.DIF.LS COFIDE VIG D/P IDL CGEM    7ND</v>
          </cell>
        </row>
        <row r="29785">
          <cell r="B29785" t="str">
            <v>81040900006010</v>
          </cell>
          <cell r="C29785" t="str">
            <v>LPC I.DIF.LS COFIDE VENC D/P IDL CGEM   7ND</v>
          </cell>
        </row>
        <row r="29786">
          <cell r="B29786" t="str">
            <v>81040900006011</v>
          </cell>
          <cell r="C29786" t="str">
            <v>LPC I.DIF LS COFIDE SEG VIG D/P IDS CGEM7ND</v>
          </cell>
        </row>
        <row r="29787">
          <cell r="B29787" t="str">
            <v>81040900006012</v>
          </cell>
          <cell r="C29787" t="str">
            <v>LPC I.DIF.LS COFIDE SEG VENC D/P IDS CGE7ND</v>
          </cell>
        </row>
        <row r="29788">
          <cell r="B29788" t="str">
            <v>81040900006013</v>
          </cell>
          <cell r="C29788" t="str">
            <v>LPC LEASING COFIDE VENC BIEN INT DIF IDL7ND</v>
          </cell>
        </row>
        <row r="29789">
          <cell r="B29789" t="str">
            <v>81040900006014</v>
          </cell>
          <cell r="C29789" t="str">
            <v>LPC LS COFIDE VENC SEG INT DIF IDS CCOR 7ND</v>
          </cell>
        </row>
        <row r="29790">
          <cell r="B29790" t="str">
            <v>81040900006015</v>
          </cell>
          <cell r="C29790" t="str">
            <v>LPC I.DIF.LS COFIDE VIG D/P IDL CCOR    7ND</v>
          </cell>
        </row>
        <row r="29791">
          <cell r="B29791" t="str">
            <v>81040900006016</v>
          </cell>
          <cell r="C29791" t="str">
            <v>LPC I.DIF.LS COFIDE VENC D/P IDL CCOR   7ND</v>
          </cell>
        </row>
        <row r="29792">
          <cell r="B29792" t="str">
            <v>81040900006017</v>
          </cell>
          <cell r="C29792" t="str">
            <v>LPC I.DIF LS COFIDE SEG VIG D/P IDS CCOR7ND</v>
          </cell>
        </row>
        <row r="29793">
          <cell r="B29793" t="str">
            <v>81040900006018</v>
          </cell>
          <cell r="C29793" t="str">
            <v>LPC I.DIF.LS COFIDE SEG VENC D/P IDS CCO7ND</v>
          </cell>
        </row>
        <row r="29794">
          <cell r="B29794" t="str">
            <v>81040900006019</v>
          </cell>
          <cell r="C29794" t="str">
            <v>LPC LEASING COFIDE VENC BIEN INT DIF IDL7ND</v>
          </cell>
        </row>
        <row r="29795">
          <cell r="B29795" t="str">
            <v>81040900006020</v>
          </cell>
          <cell r="C29795" t="str">
            <v>LPC LS COFIDE VENC SEG INT DIF IDS CESP 7ND</v>
          </cell>
        </row>
        <row r="29796">
          <cell r="B29796" t="str">
            <v>81040900006021</v>
          </cell>
          <cell r="C29796" t="str">
            <v>LPC I.DIF.LS COFIDE VIG D/P IDL CESP    7ND</v>
          </cell>
        </row>
        <row r="29797">
          <cell r="B29797" t="str">
            <v>81040900006022</v>
          </cell>
          <cell r="C29797" t="str">
            <v>LPC I.DIF.LS COFIDE VENC D/P IDL CESP   7ND</v>
          </cell>
        </row>
        <row r="29798">
          <cell r="B29798" t="str">
            <v>81040900006023</v>
          </cell>
          <cell r="C29798" t="str">
            <v>LPC I.DIF LS COFIDE SEG VIG D/P IDS CESP7ND</v>
          </cell>
        </row>
        <row r="29799">
          <cell r="B29799" t="str">
            <v>81040900006024</v>
          </cell>
          <cell r="C29799" t="str">
            <v>LPC I.DIF.LS COFIDE SEG VENC D/P IDS CES7ND</v>
          </cell>
        </row>
        <row r="29800">
          <cell r="B29800" t="str">
            <v>81040900006025</v>
          </cell>
          <cell r="C29800" t="str">
            <v>LPC LEASING COFIDE VENC BIEN INT DIF IDL7ND</v>
          </cell>
        </row>
        <row r="29801">
          <cell r="B29801" t="str">
            <v>81040900006026</v>
          </cell>
          <cell r="C29801" t="str">
            <v>LPC LS COFIDE VENC SEG INT DIF IDS CIVA 7ND</v>
          </cell>
        </row>
        <row r="29802">
          <cell r="B29802" t="str">
            <v>81040900006027</v>
          </cell>
          <cell r="C29802" t="str">
            <v>LPC I.DIF.LS COFIDE VIG D/P IDL CIVA    7ND</v>
          </cell>
        </row>
        <row r="29803">
          <cell r="B29803" t="str">
            <v>81040900006028</v>
          </cell>
          <cell r="C29803" t="str">
            <v>LPC I.DIF.LS COFIDE VENC D/P IDL CIVA   7ND</v>
          </cell>
        </row>
        <row r="29804">
          <cell r="B29804" t="str">
            <v>81040900006029</v>
          </cell>
          <cell r="C29804" t="str">
            <v>LPC I.DIF LS COFIDE SEG VIG D/P IDS CIVA7ND</v>
          </cell>
        </row>
        <row r="29805">
          <cell r="B29805" t="str">
            <v>81040900006030</v>
          </cell>
          <cell r="C29805" t="str">
            <v>LPC I.DIF.LS COFIDE SEG VENC D/P IDS CIV7ND</v>
          </cell>
        </row>
        <row r="29806">
          <cell r="B29806" t="str">
            <v>81040900006031</v>
          </cell>
          <cell r="C29806" t="str">
            <v>LPC LEASING COFIDE VENC BIEN INT DIF IDL7ND</v>
          </cell>
        </row>
        <row r="29807">
          <cell r="B29807" t="str">
            <v>81040900006032</v>
          </cell>
          <cell r="C29807" t="str">
            <v>LPC LS COFIDE VENC SEG INT DIF IDS CMIE 7ND</v>
          </cell>
        </row>
        <row r="29808">
          <cell r="B29808" t="str">
            <v>81040900006033</v>
          </cell>
          <cell r="C29808" t="str">
            <v>LPC I.DIF.LS COFIDE VIG D/P IDL CMIE    7ND</v>
          </cell>
        </row>
        <row r="29809">
          <cell r="B29809" t="str">
            <v>81040900006034</v>
          </cell>
          <cell r="C29809" t="str">
            <v>LPC I.DIF.LS COFIDE VENC D/P IDL CMIE   7ND</v>
          </cell>
        </row>
        <row r="29810">
          <cell r="B29810" t="str">
            <v>81040900006035</v>
          </cell>
          <cell r="C29810" t="str">
            <v>LPC I.DIF LS COFIDE SEG VIG D/P IDS CMIE7ND</v>
          </cell>
        </row>
        <row r="29811">
          <cell r="B29811" t="str">
            <v>81040900006036</v>
          </cell>
          <cell r="C29811" t="str">
            <v>LPC I.DIF.LS COFIDE SEG VENC D/P IDS CMI7ND</v>
          </cell>
        </row>
        <row r="29812">
          <cell r="B29812" t="str">
            <v>81040900006037</v>
          </cell>
          <cell r="C29812" t="str">
            <v>LPC LEASING COFIDE VENC BIEN INT DIF IDL7ND</v>
          </cell>
        </row>
        <row r="29813">
          <cell r="B29813" t="str">
            <v>81040900006038</v>
          </cell>
          <cell r="C29813" t="str">
            <v>LPC LS COFIDE VENC SEG INT DIF IDS CPEM 7ND</v>
          </cell>
        </row>
        <row r="29814">
          <cell r="B29814" t="str">
            <v>81040900006039</v>
          </cell>
          <cell r="C29814" t="str">
            <v>LPC I.DIF.LS COFIDE VIG D/P IDL CPEM    7ND</v>
          </cell>
        </row>
        <row r="29815">
          <cell r="B29815" t="str">
            <v>81040900006040</v>
          </cell>
          <cell r="C29815" t="str">
            <v>LPC I.DIF.LS COFIDE VENC D/P IDL CPEM   7ND</v>
          </cell>
        </row>
        <row r="29816">
          <cell r="B29816" t="str">
            <v>81040900006041</v>
          </cell>
          <cell r="C29816" t="str">
            <v>LPC I.DIF LS COFIDE SEG VIG D/P IDS CPEM7ND</v>
          </cell>
        </row>
        <row r="29817">
          <cell r="B29817" t="str">
            <v>81040900006042</v>
          </cell>
          <cell r="C29817" t="str">
            <v>LPC I.DIF.LS COFIDE SEG VENC D/P IDS CPE7ND</v>
          </cell>
        </row>
        <row r="29818">
          <cell r="B29818" t="str">
            <v>81040900006043</v>
          </cell>
          <cell r="C29818" t="str">
            <v>LPC LS LA FIDUCIARIA VENC BIEN INT DIF I7ND</v>
          </cell>
        </row>
        <row r="29819">
          <cell r="B29819" t="str">
            <v>81040900006044</v>
          </cell>
          <cell r="C29819" t="str">
            <v>LPC LS LA FIDUC VENC SEG INT DIF IDS CES7ND</v>
          </cell>
        </row>
        <row r="29820">
          <cell r="B29820" t="str">
            <v>81040900006045</v>
          </cell>
          <cell r="C29820" t="str">
            <v>LPC I.DIF.LS LA FIDUCIARIA VIG D/P IDL C7ND</v>
          </cell>
        </row>
        <row r="29821">
          <cell r="B29821" t="str">
            <v>81040900006046</v>
          </cell>
          <cell r="C29821" t="str">
            <v>LPC I.DIF.LS LA FIDUC VENC D/P IDL CESF 7ND</v>
          </cell>
        </row>
        <row r="29822">
          <cell r="B29822" t="str">
            <v>81040900006047</v>
          </cell>
          <cell r="C29822" t="str">
            <v>LPC I.DIF LS LA FIDUC SEG VIG D/P IDS CE7ND</v>
          </cell>
        </row>
        <row r="29823">
          <cell r="B29823" t="str">
            <v>81040900006048</v>
          </cell>
          <cell r="C29823" t="str">
            <v>LPC I.DIF.LS LA FIDUC SEG VENC D/P IDS C7ND</v>
          </cell>
        </row>
        <row r="29824">
          <cell r="B29824" t="str">
            <v>81040901005101</v>
          </cell>
          <cell r="C29824" t="str">
            <v>LPC NTXCOB  PAG TV D/P VIG CCOR         7ND</v>
          </cell>
        </row>
        <row r="29825">
          <cell r="B29825" t="str">
            <v>81040901005102</v>
          </cell>
          <cell r="C29825" t="str">
            <v>LPC NTXCOB  PAG TV D/P VIG CESP         7ND</v>
          </cell>
        </row>
        <row r="29826">
          <cell r="B29826" t="str">
            <v>81040901005103</v>
          </cell>
          <cell r="C29826" t="str">
            <v>LPC NTXCOB  PAG TV D/P VIG CIVA         7ND</v>
          </cell>
        </row>
        <row r="29827">
          <cell r="B29827" t="str">
            <v>81040901005105</v>
          </cell>
          <cell r="C29827" t="str">
            <v>LPC NTXCOB  PAG TV D/P VIG CGEM         7ND</v>
          </cell>
        </row>
        <row r="29828">
          <cell r="B29828" t="str">
            <v>81040901005106</v>
          </cell>
          <cell r="C29828" t="str">
            <v>LPC NTXCOB  PAG TV D/P VIG CMED         7ND</v>
          </cell>
        </row>
        <row r="29829">
          <cell r="B29829" t="str">
            <v>81040901005107</v>
          </cell>
          <cell r="C29829" t="str">
            <v>LPC NTXCOB  PAG TV D/P VIG CPEM         7ND</v>
          </cell>
        </row>
        <row r="29830">
          <cell r="B29830" t="str">
            <v>81040901005108</v>
          </cell>
          <cell r="C29830" t="str">
            <v>LPC INT LEASEBACK REF CCOR              7ND</v>
          </cell>
        </row>
        <row r="29831">
          <cell r="B29831" t="str">
            <v>81040901005109</v>
          </cell>
          <cell r="C29831" t="str">
            <v>LPC LEASEBACK VENC REF INT DIFER CCOR   7ND</v>
          </cell>
        </row>
        <row r="29832">
          <cell r="B29832" t="str">
            <v>81040901005110</v>
          </cell>
          <cell r="C29832" t="str">
            <v>LPC INT LEASEBACK SEG REFIN CCOR        7ND</v>
          </cell>
        </row>
        <row r="29833">
          <cell r="B29833" t="str">
            <v>81040901005111</v>
          </cell>
          <cell r="C29833" t="str">
            <v>LPC C CTA LEASEBACK VENC REFIN SEG INT D7ND</v>
          </cell>
        </row>
        <row r="29834">
          <cell r="B29834" t="str">
            <v>81040901005112</v>
          </cell>
          <cell r="C29834" t="str">
            <v>LPC INT LEASEBACK REF CGEM              7ND</v>
          </cell>
        </row>
        <row r="29835">
          <cell r="B29835" t="str">
            <v>81040901005113</v>
          </cell>
          <cell r="C29835" t="str">
            <v>LPC LEASEBACK VENC REF INT DIFER CGEM   7ND</v>
          </cell>
        </row>
        <row r="29836">
          <cell r="B29836" t="str">
            <v>81040901005114</v>
          </cell>
          <cell r="C29836" t="str">
            <v>LPC INT LEASEBACK SEG REFIN CGEM        7ND</v>
          </cell>
        </row>
        <row r="29837">
          <cell r="B29837" t="str">
            <v>81040901005115</v>
          </cell>
          <cell r="C29837" t="str">
            <v>LPC C CTA LEASEBACK VENC REFIN SEG INT D7ND</v>
          </cell>
        </row>
        <row r="29838">
          <cell r="B29838" t="str">
            <v>81040901005116</v>
          </cell>
          <cell r="C29838" t="str">
            <v>LPC INT LEASEBACK REF CMED              7ND</v>
          </cell>
        </row>
        <row r="29839">
          <cell r="B29839" t="str">
            <v>81040901005117</v>
          </cell>
          <cell r="C29839" t="str">
            <v>LPC LEASEBACK VENC REF INT DIFER CMED   7ND</v>
          </cell>
        </row>
        <row r="29840">
          <cell r="B29840" t="str">
            <v>81040901005118</v>
          </cell>
          <cell r="C29840" t="str">
            <v>LPC INT LEASEBACK SEG REFIN CMED        7ND</v>
          </cell>
        </row>
        <row r="29841">
          <cell r="B29841" t="str">
            <v>81040901005119</v>
          </cell>
          <cell r="C29841" t="str">
            <v>LPC C CTA LEASEBACK VENC REFIN SEG INT D7ND</v>
          </cell>
        </row>
        <row r="29842">
          <cell r="B29842" t="str">
            <v>81040901005120</v>
          </cell>
          <cell r="C29842" t="str">
            <v>LPC INT LEASEBACK REF CPEM              7ND</v>
          </cell>
        </row>
        <row r="29843">
          <cell r="B29843" t="str">
            <v>81040901005121</v>
          </cell>
          <cell r="C29843" t="str">
            <v>LPC LEASEBACK VENC REF INT DIFER CPEM   7ND</v>
          </cell>
        </row>
        <row r="29844">
          <cell r="B29844" t="str">
            <v>81040901005122</v>
          </cell>
          <cell r="C29844" t="str">
            <v>LPC INT LEASEBACK SEG REFIN CPEM        7ND</v>
          </cell>
        </row>
        <row r="29845">
          <cell r="B29845" t="str">
            <v>81040901005123</v>
          </cell>
          <cell r="C29845" t="str">
            <v>LPC C CTA LEASEBACK VENC REFIN SEG INT D7ND</v>
          </cell>
        </row>
        <row r="29846">
          <cell r="B29846" t="str">
            <v>81040901005124</v>
          </cell>
          <cell r="C29846" t="str">
            <v>LPC INT.CRED D/P IMPORT VIG CCOR        7ND</v>
          </cell>
        </row>
        <row r="29847">
          <cell r="B29847" t="str">
            <v>81040901005125</v>
          </cell>
          <cell r="C29847" t="str">
            <v>LPC INT.CRED D/P IMPORT VENC CCOR       7ND</v>
          </cell>
        </row>
        <row r="29848">
          <cell r="B29848" t="str">
            <v>81040901005126</v>
          </cell>
          <cell r="C29848" t="str">
            <v>LPC INT.CRED D/P IMPORT VIG CESP        7ND</v>
          </cell>
        </row>
        <row r="29849">
          <cell r="B29849" t="str">
            <v>81040901005127</v>
          </cell>
          <cell r="C29849" t="str">
            <v>LPC INT.CRED D/P IMPORT VENC CESP       7ND</v>
          </cell>
        </row>
        <row r="29850">
          <cell r="B29850" t="str">
            <v>81040901005128</v>
          </cell>
          <cell r="C29850" t="str">
            <v>LPC INT.CRED D/P IMPORT VIG CGEM        7ND</v>
          </cell>
        </row>
        <row r="29851">
          <cell r="B29851" t="str">
            <v>81040901005129</v>
          </cell>
          <cell r="C29851" t="str">
            <v>LPC INT.CRED D/P IMPORT VENC CGEM       7ND</v>
          </cell>
        </row>
        <row r="29852">
          <cell r="B29852" t="str">
            <v>81040901005130</v>
          </cell>
          <cell r="C29852" t="str">
            <v>LPC INT.CRED D/P IMPORT VIG CMED        7ND</v>
          </cell>
        </row>
        <row r="29853">
          <cell r="B29853" t="str">
            <v>81040901005131</v>
          </cell>
          <cell r="C29853" t="str">
            <v>LPC INT.CRED D/P IMPORT VENC CMED       7ND</v>
          </cell>
        </row>
        <row r="29854">
          <cell r="B29854" t="str">
            <v>81040901005132</v>
          </cell>
          <cell r="C29854" t="str">
            <v>LPC INT.CRED D/P IMPORT VIG CPEM        7ND</v>
          </cell>
        </row>
        <row r="29855">
          <cell r="B29855" t="str">
            <v>81040901005133</v>
          </cell>
          <cell r="C29855" t="str">
            <v>LPC INT.CRED D/P IMPORT VENC CPEM       7ND</v>
          </cell>
        </row>
        <row r="29856">
          <cell r="B29856" t="str">
            <v>81040901005134</v>
          </cell>
          <cell r="C29856" t="str">
            <v>LPC D/P INT.SUSP.CRED EXP PRE EMB VIG CC7ND</v>
          </cell>
        </row>
        <row r="29857">
          <cell r="B29857" t="str">
            <v>81040901005135</v>
          </cell>
          <cell r="C29857" t="str">
            <v>LPC D/P INT.SUSP.CRED EXP PRE EMB VENC C7ND</v>
          </cell>
        </row>
        <row r="29858">
          <cell r="B29858" t="str">
            <v>81040901005136</v>
          </cell>
          <cell r="C29858" t="str">
            <v>LPC D/P INT.SUSP.CRED EXP PRE EMB VIG CE7ND</v>
          </cell>
        </row>
        <row r="29859">
          <cell r="B29859" t="str">
            <v>81040901005137</v>
          </cell>
          <cell r="C29859" t="str">
            <v>LPC D/P INT.SUSP.CRED EXP PRE EMB VENC C7ND</v>
          </cell>
        </row>
        <row r="29860">
          <cell r="B29860" t="str">
            <v>81040901005138</v>
          </cell>
          <cell r="C29860" t="str">
            <v>LPC D/P INT.SUSP.CRED EXP PRE EMB VIG CG7ND</v>
          </cell>
        </row>
        <row r="29861">
          <cell r="B29861" t="str">
            <v>81040901005139</v>
          </cell>
          <cell r="C29861" t="str">
            <v>LPC D/P INT.SUSP.CRED EXP PRE EMB VENC C7ND</v>
          </cell>
        </row>
        <row r="29862">
          <cell r="B29862" t="str">
            <v>81040901005140</v>
          </cell>
          <cell r="C29862" t="str">
            <v>LPC D/P INT.SUSP.CRED EXP PRE EMB VIG CM7ND</v>
          </cell>
        </row>
        <row r="29863">
          <cell r="B29863" t="str">
            <v>81040901005141</v>
          </cell>
          <cell r="C29863" t="str">
            <v>LPC D/P INT.SUSP.CRED EXP PRE EMB VENC C7ND</v>
          </cell>
        </row>
        <row r="29864">
          <cell r="B29864" t="str">
            <v>81040901005142</v>
          </cell>
          <cell r="C29864" t="str">
            <v>LPC D/P INT.SUSP.CRED EXP PRE EMB VIG CP7ND</v>
          </cell>
        </row>
        <row r="29865">
          <cell r="B29865" t="str">
            <v>81040901005143</v>
          </cell>
          <cell r="C29865" t="str">
            <v>LPC D/P INT.SUSP.CRED EXP PRE EMB VENC C7ND</v>
          </cell>
        </row>
        <row r="29866">
          <cell r="B29866" t="str">
            <v>81040901005144</v>
          </cell>
          <cell r="C29866" t="str">
            <v>LPC D/P INT EXP POST EMB RP VIG CCOR    7ND</v>
          </cell>
        </row>
        <row r="29867">
          <cell r="B29867" t="str">
            <v>81040901005145</v>
          </cell>
          <cell r="C29867" t="str">
            <v>LPC D/P INT EXP POST EMB RP VENC CCOR   7ND</v>
          </cell>
        </row>
        <row r="29868">
          <cell r="B29868" t="str">
            <v>81040901005146</v>
          </cell>
          <cell r="C29868" t="str">
            <v>LPC D/P INT EXP POST EMB RP VIG CESP    7ND</v>
          </cell>
        </row>
        <row r="29869">
          <cell r="B29869" t="str">
            <v>81040901005147</v>
          </cell>
          <cell r="C29869" t="str">
            <v>LPC D/P INT EXP POST EMB RP VENC CESP   7ND</v>
          </cell>
        </row>
        <row r="29870">
          <cell r="B29870" t="str">
            <v>81040901005148</v>
          </cell>
          <cell r="C29870" t="str">
            <v>LPC D/P INT EXP POST EMB RP VIG CGEM    7ND</v>
          </cell>
        </row>
        <row r="29871">
          <cell r="B29871" t="str">
            <v>81040901005149</v>
          </cell>
          <cell r="C29871" t="str">
            <v>LPC D/P INT EXP POST EMB RP VENC CGEM   7ND</v>
          </cell>
        </row>
        <row r="29872">
          <cell r="B29872" t="str">
            <v>81040901005150</v>
          </cell>
          <cell r="C29872" t="str">
            <v>LPC D/P INT EXP POST EMB RP VIG CMED    7ND</v>
          </cell>
        </row>
        <row r="29873">
          <cell r="B29873" t="str">
            <v>81040901005151</v>
          </cell>
          <cell r="C29873" t="str">
            <v>LPC D/P INT EXP POST EMB RP VENC CMED   7ND</v>
          </cell>
        </row>
        <row r="29874">
          <cell r="B29874" t="str">
            <v>81040901005152</v>
          </cell>
          <cell r="C29874" t="str">
            <v>LPC D/P INT EXP POST EMB RP VIG CPEM    7ND</v>
          </cell>
        </row>
        <row r="29875">
          <cell r="B29875" t="str">
            <v>81040901005153</v>
          </cell>
          <cell r="C29875" t="str">
            <v>LPC D/P INT EXP POST EMB RP VENC CPEM   7ND</v>
          </cell>
        </row>
        <row r="29876">
          <cell r="B29876" t="str">
            <v>81040901005154</v>
          </cell>
          <cell r="C29876" t="str">
            <v>LPC INT SUSP PAG TV RP MED PLAZO D/P    7ND</v>
          </cell>
        </row>
        <row r="29877">
          <cell r="B29877" t="str">
            <v>81040901005155</v>
          </cell>
          <cell r="C29877" t="str">
            <v>LPC INT SUSP PAG TV RP MED PLAZO D/P    7ND</v>
          </cell>
        </row>
        <row r="29878">
          <cell r="B29878" t="str">
            <v>81040901005156</v>
          </cell>
          <cell r="C29878" t="str">
            <v>LPC INT SUSP PAG TV RP MED PLAZO D/P    7ND</v>
          </cell>
        </row>
        <row r="29879">
          <cell r="B29879" t="str">
            <v>81040901005157</v>
          </cell>
          <cell r="C29879" t="str">
            <v>LPC INT SUSP PAG TV RP MED PLAZO D/P    7ND</v>
          </cell>
        </row>
        <row r="29880">
          <cell r="B29880" t="str">
            <v>81040901005158</v>
          </cell>
          <cell r="C29880" t="str">
            <v>LPC INT SUSP PAG TV RP MED PLAZO D/P    7ND</v>
          </cell>
        </row>
        <row r="29881">
          <cell r="B29881" t="str">
            <v>81040901005159</v>
          </cell>
          <cell r="C29881" t="str">
            <v>LPC INT SUSP PAG TV RP MED PLAZO D/P    7ND</v>
          </cell>
        </row>
        <row r="29882">
          <cell r="B29882" t="str">
            <v>81040901005160</v>
          </cell>
          <cell r="C29882" t="str">
            <v>LPC INT SUSP PAG TV RP MED PLAZO D/P    7ND</v>
          </cell>
        </row>
        <row r="29883">
          <cell r="B29883" t="str">
            <v>81040901005161</v>
          </cell>
          <cell r="C29883" t="str">
            <v>LPC INT SUSP PAG TV RP MED PLAZO D/P    7ND</v>
          </cell>
        </row>
        <row r="29884">
          <cell r="B29884" t="str">
            <v>81040901005162</v>
          </cell>
          <cell r="C29884" t="str">
            <v>LPC INTXCOB PAG TV INMOBILIARIO D/P     7ND</v>
          </cell>
        </row>
        <row r="29885">
          <cell r="B29885" t="str">
            <v>81040901005163</v>
          </cell>
          <cell r="C29885" t="str">
            <v>LPC INTXCOB PAG TV INMOBILIARIO D/P     7ND</v>
          </cell>
        </row>
        <row r="29886">
          <cell r="B29886" t="str">
            <v>81040901005164</v>
          </cell>
          <cell r="C29886" t="str">
            <v>LPC INTXCOB PAG TV INMOBILIARIO D/P     7ND</v>
          </cell>
        </row>
        <row r="29887">
          <cell r="B29887" t="str">
            <v>81040901005165</v>
          </cell>
          <cell r="C29887" t="str">
            <v>LPC INT SUSP PAG TV INMOBILIARIO D/P    7ND</v>
          </cell>
        </row>
        <row r="29888">
          <cell r="B29888" t="str">
            <v>81040901005166</v>
          </cell>
          <cell r="C29888" t="str">
            <v>LPC INTXCOB PAG TV INMOBILIARIO D/P     7ND</v>
          </cell>
        </row>
        <row r="29889">
          <cell r="B29889" t="str">
            <v>81040901005167</v>
          </cell>
          <cell r="C29889" t="str">
            <v>LPC INTXCOB PAG TV INMOBILIARIO D/P     7ND</v>
          </cell>
        </row>
        <row r="29890">
          <cell r="B29890" t="str">
            <v>81040901005168</v>
          </cell>
          <cell r="C29890" t="str">
            <v>LPC INTXCOB PAG TV INMOBILIARIO D/P     7ND</v>
          </cell>
        </row>
        <row r="29891">
          <cell r="B29891" t="str">
            <v>81040901005169</v>
          </cell>
          <cell r="C29891" t="str">
            <v>LPC INTXCOB PAG TV INMOBILIARIO D/P     7ND</v>
          </cell>
        </row>
        <row r="29892">
          <cell r="B29892" t="str">
            <v>81040901005170</v>
          </cell>
          <cell r="C29892" t="str">
            <v>LPC INT SUSP FINANC PRE EMBARQUE D/P    7ND</v>
          </cell>
        </row>
        <row r="29893">
          <cell r="B29893" t="str">
            <v>81040901005171</v>
          </cell>
          <cell r="C29893" t="str">
            <v>LPC INT SUSP FINANC PRE EMBARQUE D/P    7ND</v>
          </cell>
        </row>
        <row r="29894">
          <cell r="B29894" t="str">
            <v>81040901005172</v>
          </cell>
          <cell r="C29894" t="str">
            <v>LPC INT SUSP FINANC PRE EMBARQUE D/P    7ND</v>
          </cell>
        </row>
        <row r="29895">
          <cell r="B29895" t="str">
            <v>81040901005173</v>
          </cell>
          <cell r="C29895" t="str">
            <v>LPC INT SUSP FINANC PRE EMBARQUE D/P    7ND</v>
          </cell>
        </row>
        <row r="29896">
          <cell r="B29896" t="str">
            <v>81040901005174</v>
          </cell>
          <cell r="C29896" t="str">
            <v>LPC INT SUSP FINANC PRE EMBARQUE D/P    7ND</v>
          </cell>
        </row>
        <row r="29897">
          <cell r="B29897" t="str">
            <v>81040901005175</v>
          </cell>
          <cell r="C29897" t="str">
            <v>LPC INT SUSP PAG TV EUROS D/P           7ND</v>
          </cell>
        </row>
        <row r="29898">
          <cell r="B29898" t="str">
            <v>81040901005176</v>
          </cell>
          <cell r="C29898" t="str">
            <v>LPC INT SUSP PAG TV EUROS D/P           7ND</v>
          </cell>
        </row>
        <row r="29899">
          <cell r="B29899" t="str">
            <v>81040901005177</v>
          </cell>
          <cell r="C29899" t="str">
            <v>LPC INT SUSP PAG TV EUROS D/P           7ND</v>
          </cell>
        </row>
        <row r="29900">
          <cell r="B29900" t="str">
            <v>81040901005178</v>
          </cell>
          <cell r="C29900" t="str">
            <v>LPC INT SUSP PAG TV EUROS D/P           7ND</v>
          </cell>
        </row>
        <row r="29901">
          <cell r="B29901" t="str">
            <v>81040901005179</v>
          </cell>
          <cell r="C29901" t="str">
            <v>LPC INT SUSP PAG TV EUROS D/P           7ND</v>
          </cell>
        </row>
        <row r="29902">
          <cell r="B29902" t="str">
            <v>81040901005180</v>
          </cell>
          <cell r="C29902" t="str">
            <v>LPC INT SUSP PAG TV EUROS D/P           7ND</v>
          </cell>
        </row>
        <row r="29903">
          <cell r="B29903" t="str">
            <v>81040901005181</v>
          </cell>
          <cell r="C29903" t="str">
            <v>LPC INT SUSP PAG TV EUROS D/P           7ND</v>
          </cell>
        </row>
        <row r="29904">
          <cell r="B29904" t="str">
            <v>81040901005182</v>
          </cell>
          <cell r="C29904" t="str">
            <v>LPC INT SUSP PAG TV EUROS D/P           7ND</v>
          </cell>
        </row>
        <row r="29905">
          <cell r="B29905" t="str">
            <v>81040901005183</v>
          </cell>
          <cell r="C29905" t="str">
            <v>LPC INT SUSP FINANC PRE EMBARQUE D/P-SEP7ND</v>
          </cell>
        </row>
        <row r="29906">
          <cell r="B29906" t="str">
            <v>81040901005184</v>
          </cell>
          <cell r="C29906" t="str">
            <v>LPC INT SUSP FINANC PRE EMBARQUE D/P-SEP7ND</v>
          </cell>
        </row>
        <row r="29907">
          <cell r="B29907" t="str">
            <v>81040901005185</v>
          </cell>
          <cell r="C29907" t="str">
            <v>LPC INT SUSP FINANC PRE EMBARQUE D/P-SEP7ND</v>
          </cell>
        </row>
        <row r="29908">
          <cell r="B29908" t="str">
            <v>81040901005186</v>
          </cell>
          <cell r="C29908" t="str">
            <v>LPC INT SUSP FINANC PRE EMBARQUE D/P-SEP7ND</v>
          </cell>
        </row>
        <row r="29909">
          <cell r="B29909" t="str">
            <v>81040901005187</v>
          </cell>
          <cell r="C29909" t="str">
            <v>LPC INT SUSP FINANC PRE EMBARQUE D/P-SEP7ND</v>
          </cell>
        </row>
        <row r="29910">
          <cell r="B29910" t="str">
            <v>81040901005188</v>
          </cell>
          <cell r="C29910" t="str">
            <v>LPC INT SUSP FINANC PRE EMBARQUE D/P-SEP7ND</v>
          </cell>
        </row>
        <row r="29911">
          <cell r="B29911" t="str">
            <v>81040901005189</v>
          </cell>
          <cell r="C29911" t="str">
            <v>LPC INT SUSP PRE EMBAR FINANC. VIG. DUPE7ND</v>
          </cell>
        </row>
        <row r="29912">
          <cell r="B29912" t="str">
            <v>81040901005190</v>
          </cell>
          <cell r="C29912" t="str">
            <v>LPC INT SUSP PRE EMBAR FINANC. VIG. DUPE7ND</v>
          </cell>
        </row>
        <row r="29913">
          <cell r="B29913" t="str">
            <v>81040901005191</v>
          </cell>
          <cell r="C29913" t="str">
            <v>LPC INT SUSP PRE EMBAR FINANC. VIG. DUPE7ND</v>
          </cell>
        </row>
        <row r="29914">
          <cell r="B29914" t="str">
            <v>81040901005192</v>
          </cell>
          <cell r="C29914" t="str">
            <v>LPC INT SUSP PRE EMBAR FINANC. VIG. DUPE7ND</v>
          </cell>
        </row>
        <row r="29915">
          <cell r="B29915" t="str">
            <v>81040901005193</v>
          </cell>
          <cell r="C29915" t="str">
            <v>LPC INT SUSP PRE EMBAR FINANC. VIG. DUPE7ND</v>
          </cell>
        </row>
        <row r="29916">
          <cell r="B29916" t="str">
            <v>81040901005194</v>
          </cell>
          <cell r="C29916" t="str">
            <v>LPC INT SUSP PRE EMBAR FINANC. VIG. DUPE7ND</v>
          </cell>
        </row>
        <row r="29917">
          <cell r="B29917" t="str">
            <v>81040901005195</v>
          </cell>
          <cell r="C29917" t="str">
            <v>LPC INT SUSP POST EMBAR FINANC. VIG. DUP7ND</v>
          </cell>
        </row>
        <row r="29918">
          <cell r="B29918" t="str">
            <v>81040901005196</v>
          </cell>
          <cell r="C29918" t="str">
            <v>LPC INT SUSP POST EMBAR FINANC. VIG. DUP7ND</v>
          </cell>
        </row>
        <row r="29919">
          <cell r="B29919" t="str">
            <v>81040901005197</v>
          </cell>
          <cell r="C29919" t="str">
            <v>LPC INT SUSP POST EMBAR FINANC. VIG. DUP7ND</v>
          </cell>
        </row>
        <row r="29920">
          <cell r="B29920" t="str">
            <v>81040901005198</v>
          </cell>
          <cell r="C29920" t="str">
            <v>LPC INT SUSP POST EMBAR FINANC. VIG. DUP7ND</v>
          </cell>
        </row>
        <row r="29921">
          <cell r="B29921" t="str">
            <v>81040901005199</v>
          </cell>
          <cell r="C29921" t="str">
            <v>LPC INT SUSP POST EMBAR FINANC. VIG. DUP7ND</v>
          </cell>
        </row>
        <row r="29922">
          <cell r="B29922" t="str">
            <v>81040901005202</v>
          </cell>
          <cell r="C29922" t="str">
            <v>LPC INT SUSP POST EMBAR FINANC. VIG. DUP7ND</v>
          </cell>
        </row>
        <row r="29923">
          <cell r="B29923" t="str">
            <v>81040901005203</v>
          </cell>
          <cell r="C29923" t="str">
            <v>LPC INT SUSP IMPORT. CARTA CREDITO  FINA7ND</v>
          </cell>
        </row>
        <row r="29924">
          <cell r="B29924" t="str">
            <v>81040901005204</v>
          </cell>
          <cell r="C29924" t="str">
            <v>LPC INT SUSP IMPORT. CARTA CREDITO  FINA7ND</v>
          </cell>
        </row>
        <row r="29925">
          <cell r="B29925" t="str">
            <v>81040901005205</v>
          </cell>
          <cell r="C29925" t="str">
            <v>LPC INT SUSP IMPORT. CARTA CREDITO  FINA7ND</v>
          </cell>
        </row>
        <row r="29926">
          <cell r="B29926" t="str">
            <v>81040901005206</v>
          </cell>
          <cell r="C29926" t="str">
            <v>LPC INT SUSP IMPORT. CARTA CREDITO  FINA7ND</v>
          </cell>
        </row>
        <row r="29927">
          <cell r="B29927" t="str">
            <v>81040901005207</v>
          </cell>
          <cell r="C29927" t="str">
            <v>LPC INT SUSP IMPORT. CARTA CREDITO  FINA7ND</v>
          </cell>
        </row>
        <row r="29928">
          <cell r="B29928" t="str">
            <v>81040901005208</v>
          </cell>
          <cell r="C29928" t="str">
            <v>LPC INT SUSP IMPORT. CARTA CREDITO  FINA7ND</v>
          </cell>
        </row>
        <row r="29929">
          <cell r="B29929" t="str">
            <v>81040901005209</v>
          </cell>
          <cell r="C29929" t="str">
            <v>LPC INT SUSP IMPORT.  FINANC. VIG. DUPE 7ND</v>
          </cell>
        </row>
        <row r="29930">
          <cell r="B29930" t="str">
            <v>81040901005210</v>
          </cell>
          <cell r="C29930" t="str">
            <v>LPC INT SUSP IMPORT.  FINANC. VIG. DUPE 7ND</v>
          </cell>
        </row>
        <row r="29931">
          <cell r="B29931" t="str">
            <v>81040901005211</v>
          </cell>
          <cell r="C29931" t="str">
            <v>LPC INT SUSP IMPORT.  FINANC. VIG. DUPE 7ND</v>
          </cell>
        </row>
        <row r="29932">
          <cell r="B29932" t="str">
            <v>81040901005212</v>
          </cell>
          <cell r="C29932" t="str">
            <v>LPC INT SUSP IMPORT.  FINANC. VIG. DUPE 7ND</v>
          </cell>
        </row>
        <row r="29933">
          <cell r="B29933" t="str">
            <v>81040901005213</v>
          </cell>
          <cell r="C29933" t="str">
            <v>LPC INT SUSP IMPORT.  FINANC. VIG. DUPE 7ND</v>
          </cell>
        </row>
        <row r="29934">
          <cell r="B29934" t="str">
            <v>81040901005214</v>
          </cell>
          <cell r="C29934" t="str">
            <v>LPC INT SUSP IMPORT.  FINANC. VIG. DUPE 7ND</v>
          </cell>
        </row>
        <row r="29935">
          <cell r="B29935" t="str">
            <v>81040901005215</v>
          </cell>
          <cell r="C29935" t="str">
            <v>LPC INT LEAS BPE REF RP CPEM            7ND</v>
          </cell>
        </row>
        <row r="29936">
          <cell r="B29936" t="str">
            <v>81040901005216</v>
          </cell>
          <cell r="C29936" t="str">
            <v>LPC INT LEASING BPE SEG REF RP CPEM     7ND</v>
          </cell>
        </row>
        <row r="29937">
          <cell r="B29937" t="str">
            <v>81040901005217</v>
          </cell>
          <cell r="C29937" t="str">
            <v>LPC LEAS BPE VENC REF INT DIFER RP CPEM 7ND</v>
          </cell>
        </row>
        <row r="29938">
          <cell r="B29938" t="str">
            <v>81040901005218</v>
          </cell>
          <cell r="C29938" t="str">
            <v>LPC LEAS BPE VENC REF SEG INT DIF RP CPE7ND</v>
          </cell>
        </row>
        <row r="29939">
          <cell r="B29939" t="str">
            <v>81040901005219</v>
          </cell>
          <cell r="C29939" t="str">
            <v>LPC INT LEAS BPE REF RP CMIE            7ND</v>
          </cell>
        </row>
        <row r="29940">
          <cell r="B29940" t="str">
            <v>81040901005220</v>
          </cell>
          <cell r="C29940" t="str">
            <v>LPC INT LEASING BPE SEG REF RP CMIE     7ND</v>
          </cell>
        </row>
        <row r="29941">
          <cell r="B29941" t="str">
            <v>81040901005221</v>
          </cell>
          <cell r="C29941" t="str">
            <v>LPC LEAS BPE VENC REF INT DIFER RP CMIE 7ND</v>
          </cell>
        </row>
        <row r="29942">
          <cell r="B29942" t="str">
            <v>81040901005222</v>
          </cell>
          <cell r="C29942" t="str">
            <v>LPC LEAS BPE VENC REF SEG INT DIF RP CMI7ND</v>
          </cell>
        </row>
        <row r="29943">
          <cell r="B29943" t="str">
            <v>81040901005223</v>
          </cell>
          <cell r="C29943" t="str">
            <v>LPC INTXCOB PAG FINAN PROY D/P VIG CCOR 7ND</v>
          </cell>
        </row>
        <row r="29944">
          <cell r="B29944" t="str">
            <v>81040901005224</v>
          </cell>
          <cell r="C29944" t="str">
            <v>LPC INTXCOB PAG FINAN PROY D/P VIG CGEM 7ND</v>
          </cell>
        </row>
        <row r="29945">
          <cell r="B29945" t="str">
            <v>81040901005225</v>
          </cell>
          <cell r="C29945" t="str">
            <v>LPC INTXCOB PAG FINAN PROY D/P VIG CMED 7ND</v>
          </cell>
        </row>
        <row r="29946">
          <cell r="B29946" t="str">
            <v>81040901005226</v>
          </cell>
          <cell r="C29946" t="str">
            <v>LPC INTXCOB  PAG DERIVADOS D/P VIG CCOR 7ND</v>
          </cell>
        </row>
        <row r="29947">
          <cell r="B29947" t="str">
            <v>81040901005227</v>
          </cell>
          <cell r="C29947" t="str">
            <v>LPC NTXCOBÂ  PAG DERIVADOS D/P VIG CGEM 7ND</v>
          </cell>
        </row>
        <row r="29948">
          <cell r="B29948" t="str">
            <v>81040901005228</v>
          </cell>
          <cell r="C29948" t="str">
            <v>LPC NTXCOBÂ  PAG DERIVADOS D/P VIG CMED 7ND</v>
          </cell>
        </row>
        <row r="29949">
          <cell r="B29949" t="str">
            <v>81040901005229</v>
          </cell>
          <cell r="C29949" t="str">
            <v>LPC INT SUSP PAGARE FORFAITING D/P CCOR 7ND</v>
          </cell>
        </row>
        <row r="29950">
          <cell r="B29950" t="str">
            <v>81040901005230</v>
          </cell>
          <cell r="C29950" t="str">
            <v>LPC INT SUSP PAGARE FORFAITING D/P CGEM 7ND</v>
          </cell>
        </row>
        <row r="29951">
          <cell r="B29951" t="str">
            <v>81040901005231</v>
          </cell>
          <cell r="C29951" t="str">
            <v>LPC INT SUSP PAGARE FORFAITING D/P CMED 7ND</v>
          </cell>
        </row>
        <row r="29952">
          <cell r="B29952" t="str">
            <v>81040901005232</v>
          </cell>
          <cell r="C29952" t="str">
            <v>LPC INT SUSP PAGARE FORFAITING CESF     7ND</v>
          </cell>
        </row>
        <row r="29953">
          <cell r="B29953" t="str">
            <v>81040901005233</v>
          </cell>
          <cell r="C29953" t="str">
            <v>LPC NTXCOBÂ PAG DERIV D/P VIG CPEM      7ND</v>
          </cell>
        </row>
        <row r="29954">
          <cell r="B29954" t="str">
            <v>81040901005234</v>
          </cell>
          <cell r="C29954" t="str">
            <v>LPC INTXCOBÂ PAG DERIV N/REVOL D/P VIG C7ND</v>
          </cell>
        </row>
        <row r="29955">
          <cell r="B29955" t="str">
            <v>81040901005235</v>
          </cell>
          <cell r="C29955" t="str">
            <v>LPC PAG.INMOB. SUSPENSO VIG CGEM DUPE   7ND</v>
          </cell>
        </row>
        <row r="29956">
          <cell r="B29956" t="str">
            <v>81040901005236</v>
          </cell>
          <cell r="C29956" t="str">
            <v>LPC PAG.INMOB. SUSPENSO VIG CMED DUPE   7ND</v>
          </cell>
        </row>
        <row r="29957">
          <cell r="B29957" t="str">
            <v>81040901005237</v>
          </cell>
          <cell r="C29957" t="str">
            <v>LPC PAG.INMOB. SUSPENSO VIG CCOR DUPE   7ND</v>
          </cell>
        </row>
        <row r="29958">
          <cell r="B29958" t="str">
            <v>81040901005238</v>
          </cell>
          <cell r="C29958" t="str">
            <v>MYP D/P SEG.BIEN.VIG FINANC             7ND</v>
          </cell>
        </row>
        <row r="29959">
          <cell r="B29959" t="str">
            <v>81040901005239</v>
          </cell>
          <cell r="C29959" t="str">
            <v>MYP D/P SEG.BIEN.VENC FINANC            7ND</v>
          </cell>
        </row>
        <row r="29960">
          <cell r="B29960" t="str">
            <v>81040901005240</v>
          </cell>
          <cell r="C29960" t="str">
            <v>MYP D/P LINEA REVOL PROV REF VIG CMED   7ND</v>
          </cell>
        </row>
        <row r="29961">
          <cell r="B29961" t="str">
            <v>81040901005241</v>
          </cell>
          <cell r="C29961" t="str">
            <v>MYP D/P LINEA REVOL PROV REF VIG CMIE   7ND</v>
          </cell>
        </row>
        <row r="29962">
          <cell r="B29962" t="str">
            <v>81040901005242</v>
          </cell>
          <cell r="C29962" t="str">
            <v>MYP D/P LINEA REVOL PROV REF VIG CPEM   7ND</v>
          </cell>
        </row>
        <row r="29963">
          <cell r="B29963" t="str">
            <v>81040901005243</v>
          </cell>
          <cell r="C29963" t="str">
            <v>MYP D/P LINEA REVOL PROV REF VENC. CMED 7ND</v>
          </cell>
        </row>
        <row r="29964">
          <cell r="B29964" t="str">
            <v>81040901005244</v>
          </cell>
          <cell r="C29964" t="str">
            <v>MYP DUPE INTXCOB VIG C TRAB PROV REF CMI7ND</v>
          </cell>
        </row>
        <row r="29965">
          <cell r="B29965" t="str">
            <v>81040901005245</v>
          </cell>
          <cell r="C29965" t="str">
            <v>CDO REPROG INT PERCIBIDO EM 2020        7ND</v>
          </cell>
        </row>
        <row r="29966">
          <cell r="B29966" t="str">
            <v>81040901005246</v>
          </cell>
          <cell r="C29966" t="str">
            <v>LPC REPROG PAGARE COMERCIAL INT PERCIBID7ND</v>
          </cell>
        </row>
        <row r="29967">
          <cell r="B29967" t="str">
            <v>81040901005247</v>
          </cell>
          <cell r="C29967" t="str">
            <v>LPC REPROG PAGARE INMOB INT PERCIBIDO CO7ND</v>
          </cell>
        </row>
        <row r="29968">
          <cell r="B29968" t="str">
            <v>81040901005248</v>
          </cell>
          <cell r="C29968" t="str">
            <v>LPC REPROG COMEX INTERESES PERCIBIDO COV7ND</v>
          </cell>
        </row>
        <row r="29969">
          <cell r="B29969" t="str">
            <v>81040901005249</v>
          </cell>
          <cell r="C29969" t="str">
            <v>MYP REPROG INT PERCIBIDO EM 2020        7ND</v>
          </cell>
        </row>
        <row r="29970">
          <cell r="B29970" t="str">
            <v>81040901005250</v>
          </cell>
          <cell r="C29970" t="str">
            <v>LIC REPROG INT PERCIBIDO EM 2020        7ND</v>
          </cell>
        </row>
        <row r="29971">
          <cell r="B29971" t="str">
            <v>81040901005251</v>
          </cell>
          <cell r="C29971" t="str">
            <v>HPC REPROG INT DIFERIDO (CH/CE) COVID-197ND</v>
          </cell>
        </row>
        <row r="29972">
          <cell r="B29972" t="str">
            <v>81040901005252</v>
          </cell>
          <cell r="C29972" t="str">
            <v>HCP REPROG INT DIFERIDO (CP/CV) COVID-197ND</v>
          </cell>
        </row>
        <row r="29973">
          <cell r="B29973" t="str">
            <v>81040901005253</v>
          </cell>
          <cell r="C29973" t="str">
            <v>MYP CODIFE FONDO CRECER VEN CMED\DUPE   7ND</v>
          </cell>
        </row>
        <row r="29974">
          <cell r="B29974" t="str">
            <v>81040901005254</v>
          </cell>
          <cell r="C29974" t="str">
            <v>MYP CODIFE FONDO CRECER VEN CMED\NORM   7ND</v>
          </cell>
        </row>
        <row r="29975">
          <cell r="B29975" t="str">
            <v>81040901005255</v>
          </cell>
          <cell r="C29975" t="str">
            <v>MYP CODIFE FONDO CRECER VIG CMED\DUPE   7ND</v>
          </cell>
        </row>
        <row r="29976">
          <cell r="B29976" t="str">
            <v>81040901005256</v>
          </cell>
          <cell r="C29976" t="str">
            <v>MYP CODIFE FONDO CRECER VIG CMIE\DUPE   7ND</v>
          </cell>
        </row>
        <row r="29977">
          <cell r="B29977" t="str">
            <v>81040901005257</v>
          </cell>
          <cell r="C29977" t="str">
            <v>MYP CODIFE FONDO CRECER VIG CPEM\DUPE   7ND</v>
          </cell>
        </row>
        <row r="29978">
          <cell r="B29978" t="str">
            <v>81040901005258</v>
          </cell>
          <cell r="C29978" t="str">
            <v>MYP CODIFE REACTIVA PERU VEN CMED\DUPE  7ND</v>
          </cell>
        </row>
        <row r="29979">
          <cell r="B29979" t="str">
            <v>81040901005259</v>
          </cell>
          <cell r="C29979" t="str">
            <v>MYP CODIFE REACTIVA PERU VEN CMED\NORM  7ND</v>
          </cell>
        </row>
        <row r="29980">
          <cell r="B29980" t="str">
            <v>81040901005260</v>
          </cell>
          <cell r="C29980" t="str">
            <v>MYP CODIFE REACTIVA PERU VIG CMED\DUPE  7ND</v>
          </cell>
        </row>
        <row r="29981">
          <cell r="B29981" t="str">
            <v>81040901005261</v>
          </cell>
          <cell r="C29981" t="str">
            <v>MYP CODIFE REACTIVA PERU VIG CMIE\DUPE  7ND</v>
          </cell>
        </row>
        <row r="29982">
          <cell r="B29982" t="str">
            <v>81040901005262</v>
          </cell>
          <cell r="C29982" t="str">
            <v>MYP CODIFE REACTIVA PERU VIG CPEM\DUPE  7ND</v>
          </cell>
        </row>
        <row r="29983">
          <cell r="B29983" t="str">
            <v>81040901005285</v>
          </cell>
          <cell r="C29983" t="str">
            <v>LPC REACTIVA PERU VIG CCOR\DUPE         7ND</v>
          </cell>
        </row>
        <row r="29984">
          <cell r="B29984" t="str">
            <v>81040901005286</v>
          </cell>
          <cell r="C29984" t="str">
            <v>LPC REACTIVA PERU VIG CESP\DUPE         7ND</v>
          </cell>
        </row>
        <row r="29985">
          <cell r="B29985" t="str">
            <v>81040901005287</v>
          </cell>
          <cell r="C29985" t="str">
            <v>LPC REACTIVA PERU VIG CGEM\DUPE         7ND</v>
          </cell>
        </row>
        <row r="29986">
          <cell r="B29986" t="str">
            <v>81040901005288</v>
          </cell>
          <cell r="C29986" t="str">
            <v>LPC REACTIVA PERU VIG CIVA\DUPE         7ND</v>
          </cell>
        </row>
        <row r="29987">
          <cell r="B29987" t="str">
            <v>81040901005289</v>
          </cell>
          <cell r="C29987" t="str">
            <v>LPC REACTIVA PERU VIG CMED\DUPE         7ND</v>
          </cell>
        </row>
        <row r="29988">
          <cell r="B29988" t="str">
            <v>81040901005290</v>
          </cell>
          <cell r="C29988" t="str">
            <v>LPC REACTIVA PERU VIG CMIE\DUPE         7ND</v>
          </cell>
        </row>
        <row r="29989">
          <cell r="B29989" t="str">
            <v>81040901005291</v>
          </cell>
          <cell r="C29989" t="str">
            <v>LPC REACTIVA PERU VIG CPEM\DUPE         7ND</v>
          </cell>
        </row>
        <row r="29990">
          <cell r="B29990" t="str">
            <v>81040901005292</v>
          </cell>
          <cell r="C29990" t="str">
            <v>LPC COFIDE FONDOS PERU VIG CCOR\DUPE    7ND</v>
          </cell>
        </row>
        <row r="29991">
          <cell r="B29991" t="str">
            <v>81040901005293</v>
          </cell>
          <cell r="C29991" t="str">
            <v>LPC COFIDE FONDOS PERU VIG CESP\DUPE    7ND</v>
          </cell>
        </row>
        <row r="29992">
          <cell r="B29992" t="str">
            <v>81040901005294</v>
          </cell>
          <cell r="C29992" t="str">
            <v>LPC COFIDE FONDOS PERU VIG CGEM\DUPE    7ND</v>
          </cell>
        </row>
        <row r="29993">
          <cell r="B29993" t="str">
            <v>81040901005295</v>
          </cell>
          <cell r="C29993" t="str">
            <v>LPC COFIDE FONDOS PERU VIG CIVA\DUPE    7ND</v>
          </cell>
        </row>
        <row r="29994">
          <cell r="B29994" t="str">
            <v>81040901005296</v>
          </cell>
          <cell r="C29994" t="str">
            <v>LPC COFIDE FONDOS PERU VIG CMED\DUPE    7ND</v>
          </cell>
        </row>
        <row r="29995">
          <cell r="B29995" t="str">
            <v>81040901005297</v>
          </cell>
          <cell r="C29995" t="str">
            <v>LPC COFIDE FONDOS PERU VIG CMIE\DUPE    7ND</v>
          </cell>
        </row>
        <row r="29996">
          <cell r="B29996" t="str">
            <v>81040901005298</v>
          </cell>
          <cell r="C29996" t="str">
            <v>LPC COFIDE FONDOS PERU VIG CPEM\DUPE    7ND</v>
          </cell>
        </row>
        <row r="29997">
          <cell r="B29997" t="str">
            <v>81040901005299</v>
          </cell>
          <cell r="C29997" t="str">
            <v>LPC COFIDE FONDO CRECER VIG CGEM\DUPE   7ND</v>
          </cell>
        </row>
        <row r="29998">
          <cell r="B29998" t="str">
            <v>81040901005300</v>
          </cell>
          <cell r="C29998" t="str">
            <v>LPC COFIDE FONDO CRECER VIG CMED\DUPE   7ND</v>
          </cell>
        </row>
        <row r="29999">
          <cell r="B29999" t="str">
            <v>81040901005301</v>
          </cell>
          <cell r="C29999" t="str">
            <v>LPC COFIDE FONDO CRECER VIG CMIE\DUPE   7ND</v>
          </cell>
        </row>
        <row r="30000">
          <cell r="B30000" t="str">
            <v>81040901005302</v>
          </cell>
          <cell r="C30000" t="str">
            <v>LPC COFIDE FONDO CRECER VIG CPEM\DUPE   7ND</v>
          </cell>
        </row>
        <row r="30001">
          <cell r="B30001" t="str">
            <v>81040901005303</v>
          </cell>
          <cell r="C30001" t="str">
            <v>LPC REACTIVA PERU VIG CGEM\DUPE         7ND</v>
          </cell>
        </row>
        <row r="30002">
          <cell r="B30002" t="str">
            <v>81040901005304</v>
          </cell>
          <cell r="C30002" t="str">
            <v>LPC REACTIVA PERU VIG CMED\DUPE         7ND</v>
          </cell>
        </row>
        <row r="30003">
          <cell r="B30003" t="str">
            <v>81040901005305</v>
          </cell>
          <cell r="C30003" t="str">
            <v>LPC REACTIVA PERU VIG CMIE\DUPE         7ND</v>
          </cell>
        </row>
        <row r="30004">
          <cell r="B30004" t="str">
            <v>81040901005306</v>
          </cell>
          <cell r="C30004" t="str">
            <v>LPC REACTIVA PERU VIG CPEM\DUPE         7ND</v>
          </cell>
        </row>
        <row r="30005">
          <cell r="B30005" t="str">
            <v>81040901005307</v>
          </cell>
          <cell r="C30005" t="str">
            <v>LPC COFIDE FONDOS CRECER CCOR VIG\DUPE  7ND</v>
          </cell>
        </row>
        <row r="30006">
          <cell r="B30006" t="str">
            <v>81040901005308</v>
          </cell>
          <cell r="C30006" t="str">
            <v>LPC COFIDE FONDOS CRECER CGEM VIG\DUPE  7ND</v>
          </cell>
        </row>
        <row r="30007">
          <cell r="B30007" t="str">
            <v>81040901005309</v>
          </cell>
          <cell r="C30007" t="str">
            <v>LPC COFIDE FONDOS CRECER CMED VIG\DUPE  7ND</v>
          </cell>
        </row>
        <row r="30008">
          <cell r="B30008" t="str">
            <v>81040901005310</v>
          </cell>
          <cell r="C30008" t="str">
            <v>LPC COFIDE FONDOS CRECER CCOR VIG\DUPE  7ND</v>
          </cell>
        </row>
        <row r="30009">
          <cell r="B30009" t="str">
            <v>81040901005311</v>
          </cell>
          <cell r="C30009" t="str">
            <v>LPC COFIDE FONDOS CRECER CGEM VIG\DUPE  7ND</v>
          </cell>
        </row>
        <row r="30010">
          <cell r="B30010" t="str">
            <v>81040901005312</v>
          </cell>
          <cell r="C30010" t="str">
            <v>LPC COFIDE FONDOS CRECER CMED VIG\DUPE  7ND</v>
          </cell>
        </row>
        <row r="30011">
          <cell r="B30011" t="str">
            <v>81040901005313</v>
          </cell>
          <cell r="C30011" t="str">
            <v>LPC REPROG EM COVID-19 PRE-EMBARQUE CCOR7ND</v>
          </cell>
        </row>
        <row r="30012">
          <cell r="B30012" t="str">
            <v>81040901005314</v>
          </cell>
          <cell r="C30012" t="str">
            <v>LPC REPROG EM COVID-19 PRE-EMBARQUE CGEM7ND</v>
          </cell>
        </row>
        <row r="30013">
          <cell r="B30013" t="str">
            <v>81040901005315</v>
          </cell>
          <cell r="C30013" t="str">
            <v>LPC REPROG EM COVID-19 PRE-EMBARQUE CMED7ND</v>
          </cell>
        </row>
        <row r="30014">
          <cell r="B30014" t="str">
            <v>81040901005316</v>
          </cell>
          <cell r="C30014" t="str">
            <v>LPC REPROG EM COVID-19 POST-EMBARQUE CCO7ND</v>
          </cell>
        </row>
        <row r="30015">
          <cell r="B30015" t="str">
            <v>81040901005317</v>
          </cell>
          <cell r="C30015" t="str">
            <v>LPC REPROG EM COVID-19 POST-EMBARQUE CGE7ND</v>
          </cell>
        </row>
        <row r="30016">
          <cell r="B30016" t="str">
            <v>81040901005318</v>
          </cell>
          <cell r="C30016" t="str">
            <v>LPC REPROG EM COVID-19 POST-EMBARQUE CME7ND</v>
          </cell>
        </row>
        <row r="30017">
          <cell r="B30017" t="str">
            <v>81040901005319</v>
          </cell>
          <cell r="C30017" t="str">
            <v>LPC REPROG EM COVID-19 FINAN.COMEX CCOR\7ND</v>
          </cell>
        </row>
        <row r="30018">
          <cell r="B30018" t="str">
            <v>81040901005320</v>
          </cell>
          <cell r="C30018" t="str">
            <v>LPC REPROG EM COVID-19 FINAN.COMEX CGEM\7ND</v>
          </cell>
        </row>
        <row r="30019">
          <cell r="B30019" t="str">
            <v>81040901005321</v>
          </cell>
          <cell r="C30019" t="str">
            <v>LPC REPROG EM COVID-19 FINAN.COMEX CMED\7ND</v>
          </cell>
        </row>
        <row r="30020">
          <cell r="B30020" t="str">
            <v>81040901005322</v>
          </cell>
          <cell r="C30020" t="str">
            <v>LPC REPROG EM COVID-19 PRE-EMBARQUE CCOR7ND</v>
          </cell>
        </row>
        <row r="30021">
          <cell r="B30021" t="str">
            <v>81040901005323</v>
          </cell>
          <cell r="C30021" t="str">
            <v>LPC REPROG EM COVID-19 PRE-EMBARQUE CGEM7ND</v>
          </cell>
        </row>
        <row r="30022">
          <cell r="B30022" t="str">
            <v>81040901005324</v>
          </cell>
          <cell r="C30022" t="str">
            <v>LPC REPROG EM COVID-19 PRE-EMBARQUE CMED7ND</v>
          </cell>
        </row>
        <row r="30023">
          <cell r="B30023" t="str">
            <v>81040901005325</v>
          </cell>
          <cell r="C30023" t="str">
            <v>LPC REPROG EM COVID-19 POST-EMBARQUE CCO7ND</v>
          </cell>
        </row>
        <row r="30024">
          <cell r="B30024" t="str">
            <v>81040901005326</v>
          </cell>
          <cell r="C30024" t="str">
            <v>LPC REPROG EM COVID-19 POST-EMBARQUE CGE7ND</v>
          </cell>
        </row>
        <row r="30025">
          <cell r="B30025" t="str">
            <v>81040901005327</v>
          </cell>
          <cell r="C30025" t="str">
            <v>LPC REPROG EM COVID-19 POST-EMBARQUE CME7ND</v>
          </cell>
        </row>
        <row r="30026">
          <cell r="B30026" t="str">
            <v>81040901005328</v>
          </cell>
          <cell r="C30026" t="str">
            <v>LPC REPROG EM COVID-19 FINAN.COMEX CCOR\7ND</v>
          </cell>
        </row>
        <row r="30027">
          <cell r="B30027" t="str">
            <v>81040901005329</v>
          </cell>
          <cell r="C30027" t="str">
            <v>LPC REPROG EM COVID-19 FINAN.COMEX CGEM\7ND</v>
          </cell>
        </row>
        <row r="30028">
          <cell r="B30028" t="str">
            <v>81040901005330</v>
          </cell>
          <cell r="C30028" t="str">
            <v>LPC REPROG EM COVID-19 FINAN.COMEX CMED\7ND</v>
          </cell>
        </row>
        <row r="30029">
          <cell r="B30029" t="str">
            <v>81040901005331</v>
          </cell>
          <cell r="C30029" t="str">
            <v>MYP REFINANC. COVID-19 SG VEN           7ND</v>
          </cell>
        </row>
        <row r="30030">
          <cell r="B30030" t="str">
            <v>81040901005332</v>
          </cell>
          <cell r="C30030" t="str">
            <v>MYP REFINANC. COVID-19 INT SUPEN        7ND</v>
          </cell>
        </row>
        <row r="30031">
          <cell r="B30031" t="str">
            <v>81040901005333</v>
          </cell>
          <cell r="C30031" t="str">
            <v>LPC REACTIVA PERU VIG CCOR\DUPE         7ND</v>
          </cell>
        </row>
        <row r="30032">
          <cell r="B30032" t="str">
            <v>81040901005334</v>
          </cell>
          <cell r="C30032" t="str">
            <v>LPC REFINANC COVID-19                   7ND</v>
          </cell>
        </row>
        <row r="30033">
          <cell r="B30033" t="str">
            <v>81040901005335</v>
          </cell>
          <cell r="C30033" t="str">
            <v>BTC COMISION CREDITO VENCIDO            7ND</v>
          </cell>
        </row>
        <row r="30034">
          <cell r="B30034" t="str">
            <v>81040901005339</v>
          </cell>
          <cell r="C30034" t="str">
            <v>LPC PAG MEDIANO PLAZO COVID-19 VIG CCOR 7ND</v>
          </cell>
        </row>
        <row r="30035">
          <cell r="B30035" t="str">
            <v>81040901005340</v>
          </cell>
          <cell r="C30035" t="str">
            <v>LPC PAG MEDIANO PLAZO COVID-19 VIG CGEM 7ND</v>
          </cell>
        </row>
        <row r="30036">
          <cell r="B30036" t="str">
            <v>81040901005341</v>
          </cell>
          <cell r="C30036" t="str">
            <v>LPC PAG MEDIANO PLAZO COVID-19 VIG CMED 7ND</v>
          </cell>
        </row>
        <row r="30037">
          <cell r="B30037" t="str">
            <v>81040901005342</v>
          </cell>
          <cell r="C30037" t="str">
            <v>LPC PAG.INMOB. REPROG-SUSPENSO VIG CPEM 7ND</v>
          </cell>
        </row>
        <row r="30038">
          <cell r="B30038" t="str">
            <v>81040901005343</v>
          </cell>
          <cell r="C30038" t="str">
            <v>LPC INTXCOB PAG TV INMOBILIARIO         7ND</v>
          </cell>
        </row>
        <row r="30039">
          <cell r="B30039" t="str">
            <v>81040901005344</v>
          </cell>
          <cell r="C30039" t="str">
            <v>LPC INTXCOB PAG TV INMOBILIARIO         7ND</v>
          </cell>
        </row>
        <row r="30040">
          <cell r="B30040" t="str">
            <v>81040901005345</v>
          </cell>
          <cell r="C30040" t="str">
            <v>LPC REF_FINAN_ESPECIALES_INT CCOR COVID-7ND</v>
          </cell>
        </row>
        <row r="30041">
          <cell r="B30041" t="str">
            <v>81040901005346</v>
          </cell>
          <cell r="C30041" t="str">
            <v>LPC REF_FINAN_ESPECIALES_INT CGEM COVID-7ND</v>
          </cell>
        </row>
        <row r="30042">
          <cell r="B30042" t="str">
            <v>81040901005347</v>
          </cell>
          <cell r="C30042" t="str">
            <v>LPC REF_FINAN_ESPECIALES_INT CMED COVID-7ND</v>
          </cell>
        </row>
        <row r="30043">
          <cell r="B30043" t="str">
            <v>81040901005348</v>
          </cell>
          <cell r="C30043" t="str">
            <v>LPC REF_FINAN_ESPECIALES_INT CCOR COVID-7ND</v>
          </cell>
        </row>
        <row r="30044">
          <cell r="B30044" t="str">
            <v>81040901005349</v>
          </cell>
          <cell r="C30044" t="str">
            <v>LPC REF_FINAN_ESPECIALES_INT CCOR COVID-7ND</v>
          </cell>
        </row>
        <row r="30045">
          <cell r="B30045" t="str">
            <v>81040901005350</v>
          </cell>
          <cell r="C30045" t="str">
            <v>LPC REF_FINAN_ESPECIALES_INT CGEM COVID-7ND</v>
          </cell>
        </row>
        <row r="30046">
          <cell r="B30046" t="str">
            <v>81040901005351</v>
          </cell>
          <cell r="C30046" t="str">
            <v>LPC REF_FINAN_ESPECIALES_INT CGEM COVID-7ND</v>
          </cell>
        </row>
        <row r="30047">
          <cell r="B30047" t="str">
            <v>81040901005352</v>
          </cell>
          <cell r="C30047" t="str">
            <v>LPC REF_FINAN_ESPECIALES_INT CMED COVID-7ND</v>
          </cell>
        </row>
        <row r="30048">
          <cell r="B30048" t="str">
            <v>81040901005353</v>
          </cell>
          <cell r="C30048" t="str">
            <v>LPC REF_FINAN_ESPECIALES_INT CMED COVID-7ND</v>
          </cell>
        </row>
        <row r="30049">
          <cell r="B30049" t="str">
            <v>81040901005354</v>
          </cell>
          <cell r="C30049" t="str">
            <v>LPC PAG.INMOB. REPROG-SUSPENSO VIG CPEM 7ND</v>
          </cell>
        </row>
        <row r="30050">
          <cell r="B30050" t="str">
            <v>81040901005360</v>
          </cell>
          <cell r="C30050" t="str">
            <v>LPC 30K REACTIVA CORTO PLAZO REPROG VIG 7 D</v>
          </cell>
        </row>
        <row r="30051">
          <cell r="B30051" t="str">
            <v>81040901005361</v>
          </cell>
          <cell r="C30051" t="str">
            <v>LPC 30K REACTIVA CORTO PLAZO REPROG VIG 7 D</v>
          </cell>
        </row>
        <row r="30052">
          <cell r="B30052" t="str">
            <v>81040901005362</v>
          </cell>
          <cell r="C30052" t="str">
            <v>LPC 30K REACTIVA CORTO PLAZO REPROG VIG 7 D</v>
          </cell>
        </row>
        <row r="30053">
          <cell r="B30053" t="str">
            <v>81040901005363</v>
          </cell>
          <cell r="C30053" t="str">
            <v>LPC 30K REACTIVA CORTO PLAZO REPROG VIG 7 D</v>
          </cell>
        </row>
        <row r="30054">
          <cell r="B30054" t="str">
            <v>81040901005364</v>
          </cell>
          <cell r="C30054" t="str">
            <v>LPC 30K REACTIVA CORTO PLAZO REPROG VIG 7 D</v>
          </cell>
        </row>
        <row r="30055">
          <cell r="B30055" t="str">
            <v>81040901005365</v>
          </cell>
          <cell r="C30055" t="str">
            <v>MYP REACTIVA REPROG VIG CMED            7 D</v>
          </cell>
        </row>
        <row r="30056">
          <cell r="B30056" t="str">
            <v>81040901005366</v>
          </cell>
          <cell r="C30056" t="str">
            <v>MYP REACTIVA REPROG VIG CMIE            7 D</v>
          </cell>
        </row>
        <row r="30057">
          <cell r="B30057" t="str">
            <v>81040901005367</v>
          </cell>
          <cell r="C30057" t="str">
            <v>MYP REACTIVA REPROG VIG CPEM            7 D</v>
          </cell>
        </row>
        <row r="30058">
          <cell r="B30058" t="str">
            <v>81040901005368</v>
          </cell>
          <cell r="C30058" t="str">
            <v>LPC REPROG REACTIVA DIFE CCOR INT VIG DU7 D</v>
          </cell>
        </row>
        <row r="30059">
          <cell r="B30059" t="str">
            <v>81040901005369</v>
          </cell>
          <cell r="C30059" t="str">
            <v>LPC REPROG REACTIVA DIFE CGEM INT VIG DU7 D</v>
          </cell>
        </row>
        <row r="30060">
          <cell r="B30060" t="str">
            <v>81040901005370</v>
          </cell>
          <cell r="C30060" t="str">
            <v>LPC REPROG REACTIVA DIFE CMED INT VIG DU7 D</v>
          </cell>
        </row>
        <row r="30061">
          <cell r="B30061" t="str">
            <v>81040901005371</v>
          </cell>
          <cell r="C30061" t="str">
            <v>LPC REPROG REACTIVA DIFE CPEM INT VIG DU7 D</v>
          </cell>
        </row>
        <row r="30062">
          <cell r="B30062" t="str">
            <v>81040901005372</v>
          </cell>
          <cell r="C30062" t="str">
            <v>LPC REPROG REACTIVA DIFE CMIE INT VIG DU7 D</v>
          </cell>
        </row>
        <row r="30063">
          <cell r="B30063" t="str">
            <v>81040901005373</v>
          </cell>
          <cell r="C30063" t="str">
            <v>LPC PRE EMBARQUE FONDOS CRECER CPEM VIG\7ND</v>
          </cell>
        </row>
        <row r="30064">
          <cell r="B30064" t="str">
            <v>81040901005374</v>
          </cell>
          <cell r="C30064" t="str">
            <v>LPC REPROG REACTIVA DS.011-2022 CCOR DUP7 D</v>
          </cell>
        </row>
        <row r="30065">
          <cell r="B30065" t="str">
            <v>81040901005375</v>
          </cell>
          <cell r="C30065" t="str">
            <v>LPC REPROG REACTIVA DS.011-2022 CGEM DUP7 D</v>
          </cell>
        </row>
        <row r="30066">
          <cell r="B30066" t="str">
            <v>81040901005376</v>
          </cell>
          <cell r="C30066" t="str">
            <v>LPC REPROG REACTIVA DS.011-2022 CMED DUP7 D</v>
          </cell>
        </row>
        <row r="30067">
          <cell r="B30067" t="str">
            <v>81040901005377</v>
          </cell>
          <cell r="C30067" t="str">
            <v>LPC REPROG REACTIVA DS.011-2022 CMIE DUP7 D</v>
          </cell>
        </row>
        <row r="30068">
          <cell r="B30068" t="str">
            <v>81040901005378</v>
          </cell>
          <cell r="C30068" t="str">
            <v>LPC REPROG REACTIVA DS.011-2022 CPEM DUP7 D</v>
          </cell>
        </row>
        <row r="30069">
          <cell r="B30069" t="str">
            <v>81040901005379</v>
          </cell>
          <cell r="C30069" t="str">
            <v>MYP REPROG REACTIVA DS.011-2022 CGEM DUP7 D</v>
          </cell>
        </row>
        <row r="30070">
          <cell r="B30070" t="str">
            <v>81040901005380</v>
          </cell>
          <cell r="C30070" t="str">
            <v>MYP REPROG REACTIVA DS.011-2022 CMED DUP7 D</v>
          </cell>
        </row>
        <row r="30071">
          <cell r="B30071" t="str">
            <v>81040901005381</v>
          </cell>
          <cell r="C30071" t="str">
            <v>MYP REPROG REACTIVA DS.011-2022 CMIE DUP7 D</v>
          </cell>
        </row>
        <row r="30072">
          <cell r="B30072" t="str">
            <v>81040901005382</v>
          </cell>
          <cell r="C30072" t="str">
            <v>MYP REPROG REACTIVA DS.011-2022 CPEM DUP7 D</v>
          </cell>
        </row>
        <row r="30073">
          <cell r="B30073" t="str">
            <v>81040901005383</v>
          </cell>
          <cell r="C30073" t="str">
            <v>HPC INT X COB CONV PRIVADO NRV VIG      7ND</v>
          </cell>
        </row>
        <row r="30074">
          <cell r="B30074" t="str">
            <v>81040901005384</v>
          </cell>
          <cell r="C30074" t="str">
            <v>HPC INT X COB CONV PRIVADO ME VIG DP    7ND</v>
          </cell>
        </row>
        <row r="30075">
          <cell r="B30075" t="str">
            <v>81040901005403</v>
          </cell>
          <cell r="C30075" t="str">
            <v>MYP CAP.TRAB CIMA INT.X.COB CMIE VIG DUP7 D</v>
          </cell>
        </row>
        <row r="30076">
          <cell r="B30076" t="str">
            <v>81040901005404</v>
          </cell>
          <cell r="C30076" t="str">
            <v>MYP CAP.TRAB CIMA INT.X.COB CMED VIG DUP7 D</v>
          </cell>
        </row>
        <row r="30077">
          <cell r="B30077" t="str">
            <v>81040901005405</v>
          </cell>
          <cell r="C30077" t="str">
            <v>MYP CAP.TRAB CIMA INT.X.COB CPEM VIG DUP7 D</v>
          </cell>
        </row>
        <row r="30078">
          <cell r="B30078" t="str">
            <v>81040901005406</v>
          </cell>
          <cell r="C30078" t="str">
            <v>MYP REPROGRAMADO CIMA INT.X.COB CMED VIG7 D</v>
          </cell>
        </row>
        <row r="30079">
          <cell r="B30079" t="str">
            <v>81040901005407</v>
          </cell>
          <cell r="C30079" t="str">
            <v>MYP REPROGRAMADO CIMA INT.X.COB CMIE VIG7 D</v>
          </cell>
        </row>
        <row r="30080">
          <cell r="B30080" t="str">
            <v>81040901005408</v>
          </cell>
          <cell r="C30080" t="str">
            <v>MYP REPROGRAMADO CIMA INT.X.COB CPEM VIG7 D</v>
          </cell>
        </row>
        <row r="30081">
          <cell r="B30081" t="str">
            <v>81040901005409</v>
          </cell>
          <cell r="C30081" t="str">
            <v>LPC RP MED PZ PREST VERDE-SOCIAL INT CGE7 D</v>
          </cell>
        </row>
        <row r="30082">
          <cell r="B30082" t="str">
            <v>81040901005410</v>
          </cell>
          <cell r="C30082" t="str">
            <v>LPC RP MED PZ PREST VERDE-SOCIAL INT CCO7 D</v>
          </cell>
        </row>
        <row r="30083">
          <cell r="B30083" t="str">
            <v>81040901005411</v>
          </cell>
          <cell r="C30083" t="str">
            <v>LPC RP MED PZ PREST VERDE-SOCIAL INT CME7 D</v>
          </cell>
        </row>
        <row r="30084">
          <cell r="B30084" t="str">
            <v>81040901005412</v>
          </cell>
          <cell r="C30084" t="str">
            <v>LPC RP MED PZ PREST SOSTENIBLE INT CGEM 7 D</v>
          </cell>
        </row>
        <row r="30085">
          <cell r="B30085" t="str">
            <v>81040901005413</v>
          </cell>
          <cell r="C30085" t="str">
            <v>LPC RP MED PZ PREST SOSTENIBLE INT CCOR 7 D</v>
          </cell>
        </row>
        <row r="30086">
          <cell r="B30086" t="str">
            <v>81040901005414</v>
          </cell>
          <cell r="C30086" t="str">
            <v>LPC RP MED PZ PREST SOSTENIBLE INT CMED 7 D</v>
          </cell>
        </row>
        <row r="30087">
          <cell r="B30087" t="str">
            <v>81040901005415</v>
          </cell>
          <cell r="C30087" t="str">
            <v>HPC MICROPRESTAMOS INT X COB VIG DUPE   7 D</v>
          </cell>
        </row>
        <row r="30088">
          <cell r="B30088" t="str">
            <v>81040901005416</v>
          </cell>
          <cell r="C30088" t="str">
            <v>LPC PAG FINAN PROY VERDE-SOCIAL CCOR DUP7 D</v>
          </cell>
        </row>
        <row r="30089">
          <cell r="B30089" t="str">
            <v>81040901005417</v>
          </cell>
          <cell r="C30089" t="str">
            <v>LPC PAG FINAN PROY VERDE-SOCIAL CMED DUP7 D</v>
          </cell>
        </row>
        <row r="30090">
          <cell r="B30090" t="str">
            <v>81040901005418</v>
          </cell>
          <cell r="C30090" t="str">
            <v>LPC PAG FINAN PROY VERDE-SOCIAL CGEM DUP7 D</v>
          </cell>
        </row>
        <row r="30091">
          <cell r="B30091" t="str">
            <v>81040901005419</v>
          </cell>
          <cell r="C30091" t="str">
            <v>LPC PAG FINAN PROY VERDE-SOCIAL CCOR DUP7 D</v>
          </cell>
        </row>
        <row r="30092">
          <cell r="B30092" t="str">
            <v>81040901005420</v>
          </cell>
          <cell r="C30092" t="str">
            <v>LPC PAG FINAN PROY VERDE-SOCIAL CMED DUP7 D</v>
          </cell>
        </row>
        <row r="30093">
          <cell r="B30093" t="str">
            <v>81040901005421</v>
          </cell>
          <cell r="C30093" t="str">
            <v>LPC PAG FINAN PROY VERDE-SOCIAL CGEM DUP7 D</v>
          </cell>
        </row>
        <row r="30094">
          <cell r="B30094" t="str">
            <v>81040901005422</v>
          </cell>
          <cell r="C30094" t="str">
            <v>LPC PAG BIENES INMB RENT VERD-SOCIAL CCO7 D</v>
          </cell>
        </row>
        <row r="30095">
          <cell r="B30095" t="str">
            <v>81040901005423</v>
          </cell>
          <cell r="C30095" t="str">
            <v>LPC PAG BIENES INMB RENT VERD-SOCIAL CME7 D</v>
          </cell>
        </row>
        <row r="30096">
          <cell r="B30096" t="str">
            <v>81040901005424</v>
          </cell>
          <cell r="C30096" t="str">
            <v>LPC PAG BIENES INMB RENT VERD-SOCIAL CGE7 D</v>
          </cell>
        </row>
        <row r="30097">
          <cell r="B30097" t="str">
            <v>81040901005425</v>
          </cell>
          <cell r="C30097" t="str">
            <v>LPC PAG BIEN INMB RENT VINC-SOSTENIB CCO7 D</v>
          </cell>
        </row>
        <row r="30098">
          <cell r="B30098" t="str">
            <v>81040901005426</v>
          </cell>
          <cell r="C30098" t="str">
            <v>LPC PAG BIEN INMB RENT VINC-SOSTENIB CME7 D</v>
          </cell>
        </row>
        <row r="30099">
          <cell r="B30099" t="str">
            <v>81040901005427</v>
          </cell>
          <cell r="C30099" t="str">
            <v>LPC PAG BIEN INMB RENT VINC-SOSTENIB CGE7 D</v>
          </cell>
        </row>
        <row r="30100">
          <cell r="B30100" t="str">
            <v>81040901005428</v>
          </cell>
          <cell r="C30100" t="str">
            <v>MYP REPROG REACTIVA 2023 CMED DUPE VIG I7 D</v>
          </cell>
        </row>
        <row r="30101">
          <cell r="B30101" t="str">
            <v>81040901005429</v>
          </cell>
          <cell r="C30101" t="str">
            <v>MYP REPROG REACTIVA 2023 CMIE DUPE VIG I7 D</v>
          </cell>
        </row>
        <row r="30102">
          <cell r="B30102" t="str">
            <v>81040901005430</v>
          </cell>
          <cell r="C30102" t="str">
            <v>MYP REPROG REACTIVA 2023 CPEM DUPE VIG I7 D</v>
          </cell>
        </row>
        <row r="30103">
          <cell r="B30103" t="str">
            <v>81040901005431</v>
          </cell>
          <cell r="C30103" t="str">
            <v>LPC REPROG REACTIVA 2023 VIG CCOR DUPE I7 D</v>
          </cell>
        </row>
        <row r="30104">
          <cell r="B30104" t="str">
            <v>81040901005432</v>
          </cell>
          <cell r="C30104" t="str">
            <v>LPC REPROG REACTIVA 2023 VIG CGEM DUPE I7 D</v>
          </cell>
        </row>
        <row r="30105">
          <cell r="B30105" t="str">
            <v>81040901005433</v>
          </cell>
          <cell r="C30105" t="str">
            <v>LPC REPROG REACTIVA 2023 VIG CMED DUPE I7 D</v>
          </cell>
        </row>
        <row r="30106">
          <cell r="B30106" t="str">
            <v>81040901005434</v>
          </cell>
          <cell r="C30106" t="str">
            <v>LPC REPROG REACTIVA 2023 VIG CMIE DUPE I7 D</v>
          </cell>
        </row>
        <row r="30107">
          <cell r="B30107" t="str">
            <v>81040901005435</v>
          </cell>
          <cell r="C30107" t="str">
            <v>LPC REPROG REACTIVA 2023 VIG CPEM DUPE I7 D</v>
          </cell>
        </row>
        <row r="30108">
          <cell r="B30108" t="str">
            <v>81040901005436</v>
          </cell>
          <cell r="C30108" t="str">
            <v>MYP CAP. TRAB - PAGARE DIGITAL_INT CMIE 7 D</v>
          </cell>
        </row>
        <row r="30109">
          <cell r="B30109" t="str">
            <v>81040901005437</v>
          </cell>
          <cell r="C30109" t="str">
            <v>MYP CAP. TRAB - PAGARE DIGITAL_INT CGEM 7 D</v>
          </cell>
        </row>
        <row r="30110">
          <cell r="B30110" t="str">
            <v>81040901005438</v>
          </cell>
          <cell r="C30110" t="str">
            <v>MYP CAP. TRAB - PAGARE DIGITAL_INT CPEM 7 D</v>
          </cell>
        </row>
        <row r="30111">
          <cell r="B30111" t="str">
            <v>81040901005439</v>
          </cell>
          <cell r="C30111" t="str">
            <v>MYP CAP. TRAB - PAGARE DIGITAL_INT CMED 7 D</v>
          </cell>
        </row>
        <row r="30112">
          <cell r="B30112" t="str">
            <v>81040901005440</v>
          </cell>
          <cell r="C30112" t="str">
            <v>MYP IMPULSO MYPERU VIG CMED DUPE INT    7 D</v>
          </cell>
        </row>
        <row r="30113">
          <cell r="B30113" t="str">
            <v>81040901005441</v>
          </cell>
          <cell r="C30113" t="str">
            <v>MYP IMPULSO MYPERU VIG CMIE DUPE INT    7 D</v>
          </cell>
        </row>
        <row r="30114">
          <cell r="B30114" t="str">
            <v>81040901005442</v>
          </cell>
          <cell r="C30114" t="str">
            <v>MYP IMPULSO MYPERU VIG CPEM DUPE INT    7 D</v>
          </cell>
        </row>
        <row r="30115">
          <cell r="B30115" t="str">
            <v>81040901005443</v>
          </cell>
          <cell r="C30115" t="str">
            <v>LPC INT SUSP LEASING FINANCIACION PROYEC7 D</v>
          </cell>
        </row>
        <row r="30116">
          <cell r="B30116" t="str">
            <v>81040901005444</v>
          </cell>
          <cell r="C30116" t="str">
            <v>LPC INT SUSP LEASING FINANCIACION PROYEC7 D</v>
          </cell>
        </row>
        <row r="30117">
          <cell r="B30117" t="str">
            <v>81040901005445</v>
          </cell>
          <cell r="C30117" t="str">
            <v>LPC INT SUSP LEASING FINANCIACION PROYEC7 D</v>
          </cell>
        </row>
        <row r="30118">
          <cell r="B30118" t="str">
            <v>81040901005446</v>
          </cell>
          <cell r="C30118" t="str">
            <v>LPC INT SUSP LEASING FINANCIACION PROYEC7 D</v>
          </cell>
        </row>
        <row r="30119">
          <cell r="B30119" t="str">
            <v>81040901005447</v>
          </cell>
          <cell r="C30119" t="str">
            <v>LPC INT SUSP LEASING FINANCIACION PROYEC7 D</v>
          </cell>
        </row>
        <row r="30120">
          <cell r="B30120" t="str">
            <v>81040901005448</v>
          </cell>
          <cell r="C30120" t="str">
            <v>LPC INT SUSP LEASING FINANCIACION PROYEC7 D</v>
          </cell>
        </row>
        <row r="30121">
          <cell r="B30121" t="str">
            <v>81040901005449</v>
          </cell>
          <cell r="C30121" t="str">
            <v>LPC INT SUSP IMPULSO MYPERU CORTO PLAZO 7 D</v>
          </cell>
        </row>
        <row r="30122">
          <cell r="B30122" t="str">
            <v>81040901005450</v>
          </cell>
          <cell r="C30122" t="str">
            <v>LPC INT SUSP IMPULSO MYPERU MEDIANO PLAZ7 D</v>
          </cell>
        </row>
        <row r="30123">
          <cell r="B30123" t="str">
            <v>81040901005451</v>
          </cell>
          <cell r="C30123" t="str">
            <v>HPC INT X COB CONV PRIVADO NRV VIG GRUPO7 D</v>
          </cell>
        </row>
        <row r="30124">
          <cell r="B30124" t="str">
            <v>81040901005452</v>
          </cell>
          <cell r="C30124" t="str">
            <v>MYP CAPITAL DE TRAB CIMA REU DIF INT VIG7 D</v>
          </cell>
        </row>
        <row r="30125">
          <cell r="B30125" t="str">
            <v>81040901005453</v>
          </cell>
          <cell r="C30125" t="str">
            <v>MYP CAPITAL DE TRAB CIMA REU DIF INT VIG7 D</v>
          </cell>
        </row>
        <row r="30126">
          <cell r="B30126" t="str">
            <v>81040901005454</v>
          </cell>
          <cell r="C30126" t="str">
            <v>MYP CAPITAL DE TRAB CIMA REU DIF INT VIG7 D</v>
          </cell>
        </row>
        <row r="30127">
          <cell r="B30127" t="str">
            <v>81040901005455</v>
          </cell>
          <cell r="C30127" t="str">
            <v>MYP LINEA REVOLV CIMA INT VIG DUPE CGEM 7 D</v>
          </cell>
        </row>
        <row r="30128">
          <cell r="B30128" t="str">
            <v>81040901005456</v>
          </cell>
          <cell r="C30128" t="str">
            <v>MYP LINEA REVOLV CIMA INT VIG DUPE CMED 7 D</v>
          </cell>
        </row>
        <row r="30129">
          <cell r="B30129" t="str">
            <v>81040901005457</v>
          </cell>
          <cell r="C30129" t="str">
            <v>MYP LINEA REVOLV CIMA INT VIG DUPE CMIE 7 D</v>
          </cell>
        </row>
        <row r="30130">
          <cell r="B30130" t="str">
            <v>81040901005458</v>
          </cell>
          <cell r="C30130" t="str">
            <v>MYP LINEA REVOLV CIMA INT VIG DUPE CPEM 7 D</v>
          </cell>
        </row>
        <row r="30131">
          <cell r="B30131" t="str">
            <v>81040901005459</v>
          </cell>
          <cell r="C30131" t="str">
            <v>MYP CAP TRAB PER GRACIA PARCIAL INT VIG 7 D</v>
          </cell>
        </row>
        <row r="30132">
          <cell r="B30132" t="str">
            <v>81040901005460</v>
          </cell>
          <cell r="C30132" t="str">
            <v>MYP CAP TRAB PER GRACIA PARCIAL INT VIG 7 D</v>
          </cell>
        </row>
        <row r="30133">
          <cell r="B30133" t="str">
            <v>81040901005461</v>
          </cell>
          <cell r="C30133" t="str">
            <v>MYP CAP TRAB PER GRACIA PARCIAL INT VIG 7 D</v>
          </cell>
        </row>
        <row r="30134">
          <cell r="B30134" t="str">
            <v>81040901005462</v>
          </cell>
          <cell r="C30134" t="str">
            <v>MYP REPROG PERIODO GRACIA PARCIAL INT VI7 D</v>
          </cell>
        </row>
        <row r="30135">
          <cell r="B30135" t="str">
            <v>81040901005463</v>
          </cell>
          <cell r="C30135" t="str">
            <v>MYP REPROG PERIODO GRACIA PARCIAL INT VI7 D</v>
          </cell>
        </row>
        <row r="30136">
          <cell r="B30136" t="str">
            <v>81040901005464</v>
          </cell>
          <cell r="C30136" t="str">
            <v>MYP REPROG PERIODO GRACIA PARCIAL INT VI7 D</v>
          </cell>
        </row>
        <row r="30137">
          <cell r="B30137" t="str">
            <v>81040901005465</v>
          </cell>
          <cell r="C30137" t="str">
            <v>MYP D/P INTXCOB CAP TRAB CESP           7 D</v>
          </cell>
        </row>
        <row r="30138">
          <cell r="B30138" t="str">
            <v>81040901005466</v>
          </cell>
          <cell r="C30138" t="str">
            <v>MYP REACTIVA REPROG DS.011-2022  VIG CGE7 D</v>
          </cell>
        </row>
        <row r="30139">
          <cell r="B30139" t="str">
            <v>81040901005467</v>
          </cell>
          <cell r="C30139" t="str">
            <v>MYP IMPULSO MYPERU VIG CGEM DUPE INT    7 D</v>
          </cell>
        </row>
        <row r="30140">
          <cell r="B30140" t="str">
            <v>81040901005468</v>
          </cell>
          <cell r="C30140" t="str">
            <v>MYP INT 30K REACTIVA PERU REPROG 2023   7 D</v>
          </cell>
        </row>
        <row r="30141">
          <cell r="B30141" t="str">
            <v>81040901005469</v>
          </cell>
          <cell r="C30141" t="str">
            <v>MYP INT 30K REACTIVA PERU REPROG 2023   7 D</v>
          </cell>
        </row>
        <row r="30142">
          <cell r="B30142" t="str">
            <v>81040901005470</v>
          </cell>
          <cell r="C30142" t="str">
            <v>MYP INT CAP.TRAB.REUT.VIG.CGEM   DUPE   7 D</v>
          </cell>
        </row>
        <row r="30143">
          <cell r="B30143" t="str">
            <v>81040901005471</v>
          </cell>
          <cell r="C30143" t="str">
            <v>MYP INT CODIFE FONDO CRECER    DUPE     7 D</v>
          </cell>
        </row>
        <row r="30144">
          <cell r="B30144" t="str">
            <v>81040901005472</v>
          </cell>
          <cell r="C30144" t="str">
            <v>LPC PAG PAPERLESS DERIVADOS REV/NR INT C7ND</v>
          </cell>
        </row>
        <row r="30145">
          <cell r="B30145" t="str">
            <v>81040901005473</v>
          </cell>
          <cell r="C30145" t="str">
            <v>LPC PAG PAPERLESS DERIVADOS REV/NR INT C7ND</v>
          </cell>
        </row>
        <row r="30146">
          <cell r="B30146" t="str">
            <v>81040901005474</v>
          </cell>
          <cell r="C30146" t="str">
            <v>LPC PAG PAPERLESS DERIVADOS REV/NR INT C7ND</v>
          </cell>
        </row>
        <row r="30147">
          <cell r="B30147" t="str">
            <v>81040901005475</v>
          </cell>
          <cell r="C30147" t="str">
            <v>LPC PAG PAPERLESS DERIVADOS REV/NR INT C7ND</v>
          </cell>
        </row>
        <row r="30148">
          <cell r="B30148" t="str">
            <v>81040901005476</v>
          </cell>
          <cell r="C30148" t="str">
            <v>CCD-BPE LINEA REVOLVENTE_CMIE VIG DUPE  7 D</v>
          </cell>
        </row>
        <row r="30149">
          <cell r="B30149" t="str">
            <v>81040901005477</v>
          </cell>
          <cell r="C30149" t="str">
            <v>CCD-BPE CAPITAL DE TRABAJO_CMED VIG DUPE7 D</v>
          </cell>
        </row>
        <row r="30150">
          <cell r="B30150" t="str">
            <v>81040901005478</v>
          </cell>
          <cell r="C30150" t="str">
            <v>CCD-BPE CAPITAL DE TRABAJO_CMIE VIG DUPE7 D</v>
          </cell>
        </row>
        <row r="30151">
          <cell r="B30151" t="str">
            <v>81040901005479</v>
          </cell>
          <cell r="C30151" t="str">
            <v>CCD-BPE CAPITAL DE TRABAJO_CPEM VIG DUPE7 D</v>
          </cell>
        </row>
        <row r="30152">
          <cell r="B30152" t="str">
            <v>81040901005480</v>
          </cell>
          <cell r="C30152" t="str">
            <v>CCD-BPE LINEA REVOLVENTE_CGEM VIG DUPE  7 D</v>
          </cell>
        </row>
        <row r="30153">
          <cell r="B30153" t="str">
            <v>81040901005481</v>
          </cell>
          <cell r="C30153" t="str">
            <v>CCD-BPE LINEA REVOLVENTE_CMED VIG DUPE  7 D</v>
          </cell>
        </row>
        <row r="30154">
          <cell r="B30154" t="str">
            <v>81040901005482</v>
          </cell>
          <cell r="C30154" t="str">
            <v>CCD-BPE LINEA REVOLVENTE_CPEM VIG DUPE  7 D</v>
          </cell>
        </row>
        <row r="30155">
          <cell r="B30155" t="str">
            <v>81040901005483</v>
          </cell>
          <cell r="C30155" t="str">
            <v>CCD-BPE CAPITAL DE TRABAJO_CGEM VIG DUPE7 D</v>
          </cell>
        </row>
        <row r="30156">
          <cell r="B30156" t="str">
            <v>81040901005484</v>
          </cell>
          <cell r="C30156" t="str">
            <v>CCD-BPE CAPITAL DE TRABAJO_CCOR VIG DUPE7 D</v>
          </cell>
        </row>
        <row r="30157">
          <cell r="B30157" t="str">
            <v>81040901005485</v>
          </cell>
          <cell r="C30157" t="str">
            <v>CCD-BPE LINEA REVOLVENTE_CCOR VIG DUPE  7 D</v>
          </cell>
        </row>
        <row r="30158">
          <cell r="B30158" t="str">
            <v>81040901005486</v>
          </cell>
          <cell r="C30158" t="str">
            <v>CCD-BPE CAP DE TRAB REPROG_CGEM VIG DUPE7 D</v>
          </cell>
        </row>
        <row r="30159">
          <cell r="B30159" t="str">
            <v>81040901005487</v>
          </cell>
          <cell r="C30159" t="str">
            <v>CCD-BPE CAP DE TRAB REPROG_CMED VIG DUPE7 D</v>
          </cell>
        </row>
        <row r="30160">
          <cell r="B30160" t="str">
            <v>81040901005488</v>
          </cell>
          <cell r="C30160" t="str">
            <v>CCD-BPE CAP DE TRAB REPROG_CMIE VIG DUPE7 D</v>
          </cell>
        </row>
        <row r="30161">
          <cell r="B30161" t="str">
            <v>81040901005489</v>
          </cell>
          <cell r="C30161" t="str">
            <v>CCD-BPE CAP DE TRAB REPROG_CPEM VIG DUPE7 D</v>
          </cell>
        </row>
        <row r="30162">
          <cell r="B30162" t="str">
            <v>81050601010101</v>
          </cell>
          <cell r="C30162" t="str">
            <v>CL P.T.V.OTROS SUSP.COFIDE SBS          7ND</v>
          </cell>
        </row>
        <row r="30163">
          <cell r="B30163" t="str">
            <v>81050601010102</v>
          </cell>
          <cell r="C30163" t="str">
            <v>CL PTV.REESTRUC.COFIDE SBS .            7ND</v>
          </cell>
        </row>
        <row r="30164">
          <cell r="B30164" t="str">
            <v>81050601010103</v>
          </cell>
          <cell r="C30164" t="str">
            <v>CL COB.JUD.PAG.REC.COFIDE SBS .         7ND</v>
          </cell>
        </row>
        <row r="30165">
          <cell r="B30165" t="str">
            <v>81050601010105</v>
          </cell>
          <cell r="C30165" t="str">
            <v>CTRA CTA PTV CAP COFIDE SBS-LPC         7ND</v>
          </cell>
        </row>
        <row r="30166">
          <cell r="B30166" t="str">
            <v>81050601010111</v>
          </cell>
          <cell r="C30166" t="str">
            <v>CL PRE JUDICIAL PAG. COFIDE VENC GL 70037ND</v>
          </cell>
        </row>
        <row r="30167">
          <cell r="B30167" t="str">
            <v>81050601010112</v>
          </cell>
          <cell r="C30167" t="str">
            <v>CL EXP POST EMB COFIDE COMERCIAL        7ND</v>
          </cell>
        </row>
        <row r="30168">
          <cell r="B30168" t="str">
            <v>81050601010113</v>
          </cell>
          <cell r="C30168" t="str">
            <v>CL IMPORTACION COFIDE COMERCIAL         7ND</v>
          </cell>
        </row>
        <row r="30169">
          <cell r="B30169" t="str">
            <v>81050601020103</v>
          </cell>
          <cell r="C30169" t="str">
            <v>CL P.OTROS SUSP. COFIDE MES SBS .       7ND</v>
          </cell>
        </row>
        <row r="30170">
          <cell r="B30170" t="str">
            <v>81050601020114</v>
          </cell>
          <cell r="C30170" t="str">
            <v>CL PRE JUD. REC COFID SBS MES VENC GL7007ND</v>
          </cell>
        </row>
        <row r="30171">
          <cell r="B30171" t="str">
            <v>81050601020201</v>
          </cell>
          <cell r="C30171" t="str">
            <v>CL PTV.OTROS SUSP.COFIDE SBS CMIE       7ND</v>
          </cell>
        </row>
        <row r="30172">
          <cell r="B30172" t="str">
            <v>81050601020301</v>
          </cell>
          <cell r="C30172" t="str">
            <v>LPC LEASING COFIDE PRI CMIE             7ND</v>
          </cell>
        </row>
        <row r="30173">
          <cell r="B30173" t="str">
            <v>81050601040101</v>
          </cell>
          <cell r="C30173" t="str">
            <v>CHI MI VIVIENDA COFIDE .                7ND</v>
          </cell>
        </row>
        <row r="30174">
          <cell r="B30174" t="str">
            <v>81050601040102</v>
          </cell>
          <cell r="C30174" t="str">
            <v>PH MI VIVIENDA COFIDE COB JUD           7ND</v>
          </cell>
        </row>
        <row r="30175">
          <cell r="B30175" t="str">
            <v>81050601040103</v>
          </cell>
          <cell r="C30175" t="str">
            <v>PH PROGRAMA TECHO PROPIO COFIDE         7ND</v>
          </cell>
        </row>
        <row r="30176">
          <cell r="B30176" t="str">
            <v>81050601040104</v>
          </cell>
          <cell r="C30176" t="str">
            <v>PH MI VIVIENDA CONVENIOS COFIDE         7ND</v>
          </cell>
        </row>
        <row r="30177">
          <cell r="B30177" t="str">
            <v>81050601040105</v>
          </cell>
          <cell r="C30177" t="str">
            <v>CL PREJUD HIP.MIVIV VEN COF SBS         7ND</v>
          </cell>
        </row>
        <row r="30178">
          <cell r="B30178" t="str">
            <v>81050601040106</v>
          </cell>
          <cell r="C30178" t="str">
            <v>CL JUD HIP.MIVIV COF SBS                7ND</v>
          </cell>
        </row>
        <row r="30179">
          <cell r="B30179" t="str">
            <v>81050601040107</v>
          </cell>
          <cell r="C30179" t="str">
            <v>HPC MI VIV COFIDE                       7ND</v>
          </cell>
        </row>
        <row r="30180">
          <cell r="B30180" t="str">
            <v>81050601040108</v>
          </cell>
          <cell r="C30180" t="str">
            <v>HPC TECHO PROPIO COFIDE                 7ND</v>
          </cell>
        </row>
        <row r="30181">
          <cell r="B30181" t="str">
            <v>81050601040109</v>
          </cell>
          <cell r="C30181" t="str">
            <v>CHI COFIDE MI HOGAR                     7ND</v>
          </cell>
        </row>
        <row r="30182">
          <cell r="B30182" t="str">
            <v>81050601040110</v>
          </cell>
          <cell r="C30182" t="str">
            <v>CHI BT MI VIVIENDA COFIDE               7ND</v>
          </cell>
        </row>
        <row r="30183">
          <cell r="B30183" t="str">
            <v>81050601040111</v>
          </cell>
          <cell r="C30183" t="str">
            <v>CL BT JUD HIP.MIVI VEN COF SBS          7ND</v>
          </cell>
        </row>
        <row r="30184">
          <cell r="B30184" t="str">
            <v>81050601040112</v>
          </cell>
          <cell r="C30184" t="str">
            <v>CL BT JUD.HIP.MIVIV COF SBS             7ND</v>
          </cell>
        </row>
        <row r="30185">
          <cell r="B30185" t="str">
            <v>81050601040113</v>
          </cell>
          <cell r="C30185" t="str">
            <v>HPC MI HOGAR-COFIDE                     7ND</v>
          </cell>
        </row>
        <row r="30186">
          <cell r="B30186" t="str">
            <v>81050601040114</v>
          </cell>
          <cell r="C30186" t="str">
            <v>CL PREJUD H.MI HOGAR VEN COF SBS        7ND</v>
          </cell>
        </row>
        <row r="30187">
          <cell r="B30187" t="str">
            <v>81050601040115</v>
          </cell>
          <cell r="C30187" t="str">
            <v>CL COBJUD H MI HOGAR VEN COF SBS        7ND</v>
          </cell>
        </row>
        <row r="30188">
          <cell r="B30188" t="str">
            <v>81050601040116</v>
          </cell>
          <cell r="C30188" t="str">
            <v>HPC NUEVO MVV COFIDE                    7ND</v>
          </cell>
        </row>
        <row r="30189">
          <cell r="B30189" t="str">
            <v>81050601040117</v>
          </cell>
          <cell r="C30189" t="str">
            <v>CL PRE JUD CRED TECHO PROPIO            7ND</v>
          </cell>
        </row>
        <row r="30190">
          <cell r="B30190" t="str">
            <v>81050601040118</v>
          </cell>
          <cell r="C30190" t="str">
            <v>CL JUD CRED TECHO PROPIO                7ND</v>
          </cell>
        </row>
        <row r="30191">
          <cell r="B30191" t="str">
            <v>81050601040119</v>
          </cell>
          <cell r="C30191" t="str">
            <v>JCC PREJUD HIP.MIVIV VEN COF SBS        7ND</v>
          </cell>
        </row>
        <row r="30192">
          <cell r="B30192" t="str">
            <v>81050601040120</v>
          </cell>
          <cell r="C30192" t="str">
            <v>JCC JUD HIP.MIVIV COF SBS               7ND</v>
          </cell>
        </row>
        <row r="30193">
          <cell r="B30193" t="str">
            <v>81050601040121</v>
          </cell>
          <cell r="C30193" t="str">
            <v>JCC PREJUD H.MI HOGAR VEN COF SBS       7ND</v>
          </cell>
        </row>
        <row r="30194">
          <cell r="B30194" t="str">
            <v>81050601040122</v>
          </cell>
          <cell r="C30194" t="str">
            <v>JCC COBJUD H MI HOGAR VEN COF SBS       7ND</v>
          </cell>
        </row>
        <row r="30195">
          <cell r="B30195" t="str">
            <v>81050601040123</v>
          </cell>
          <cell r="C30195" t="str">
            <v>JCC COB.JUD.PAG.REC.COFIDE SBS .        7ND</v>
          </cell>
        </row>
        <row r="30196">
          <cell r="B30196" t="str">
            <v>81050601040124</v>
          </cell>
          <cell r="C30196" t="str">
            <v>JCC PRE JUDICIAL PAG. COFIDE VENC GL 7007ND</v>
          </cell>
        </row>
        <row r="30197">
          <cell r="B30197" t="str">
            <v>81050601040125</v>
          </cell>
          <cell r="C30197" t="str">
            <v>JCC PREJUD TECHO PROPIO VEN COF SBS     7ND</v>
          </cell>
        </row>
        <row r="30198">
          <cell r="B30198" t="str">
            <v>81050601040126</v>
          </cell>
          <cell r="C30198" t="str">
            <v>JCC JUD TECHO PROPIOÂ COF SBS           7ND</v>
          </cell>
        </row>
        <row r="30199">
          <cell r="B30199" t="str">
            <v>81050601040127</v>
          </cell>
          <cell r="C30199" t="str">
            <v>JCC COB JUD CRED TECHOPROPIO-RECUPER CHP7ND</v>
          </cell>
        </row>
        <row r="30200">
          <cell r="B30200" t="str">
            <v>81050601040128</v>
          </cell>
          <cell r="C30200" t="str">
            <v>JCC CAP VENC TECHO PROPIO COFIDE        7ND</v>
          </cell>
        </row>
        <row r="30201">
          <cell r="B30201" t="str">
            <v>81050601050101</v>
          </cell>
          <cell r="C30201" t="str">
            <v>LPC PAG TASA VENC COFIDE CBMD           7ND</v>
          </cell>
        </row>
        <row r="30202">
          <cell r="B30202" t="str">
            <v>81050601050102</v>
          </cell>
          <cell r="C30202" t="str">
            <v>LPC PTV CAP COFIDE SBS D/P CBMD         7ND</v>
          </cell>
        </row>
        <row r="30203">
          <cell r="B30203" t="str">
            <v>81050601050103</v>
          </cell>
          <cell r="C30203" t="str">
            <v>LPC PTV CAP REESTRUC COFIDE CBMD        7ND</v>
          </cell>
        </row>
        <row r="30204">
          <cell r="B30204" t="str">
            <v>81050601060101</v>
          </cell>
          <cell r="C30204" t="str">
            <v>LPC PAG TASA VENCIDA COFIDE CSOB        7ND</v>
          </cell>
        </row>
        <row r="30205">
          <cell r="B30205" t="str">
            <v>81050601060102</v>
          </cell>
          <cell r="C30205" t="str">
            <v>LPC PTV CAP COFIDE SBS D/P CSOB         7ND</v>
          </cell>
        </row>
        <row r="30206">
          <cell r="B30206" t="str">
            <v>81050601060103</v>
          </cell>
          <cell r="C30206" t="str">
            <v>LPC PTV CAP REESTRUC COFIDE CSOB        7ND</v>
          </cell>
        </row>
        <row r="30207">
          <cell r="B30207" t="str">
            <v>81050601070101</v>
          </cell>
          <cell r="C30207" t="str">
            <v>CL PTV.OTROS SUSP.COFIDE SBS CESP       7ND</v>
          </cell>
        </row>
        <row r="30208">
          <cell r="B30208" t="str">
            <v>81050601070102</v>
          </cell>
          <cell r="C30208" t="str">
            <v>CL PTV.REESTRUC.COFIDE SBS CESP         7ND</v>
          </cell>
        </row>
        <row r="30209">
          <cell r="B30209" t="str">
            <v>81050601070103</v>
          </cell>
          <cell r="C30209" t="str">
            <v>CL PTV.REESTRUC.COFIDE SBS CESP         7ND</v>
          </cell>
        </row>
        <row r="30210">
          <cell r="B30210" t="str">
            <v>81050601070104</v>
          </cell>
          <cell r="C30210" t="str">
            <v>CL PRE JUDIC PAG COFIDE VENC GL 7003 CES7ND</v>
          </cell>
        </row>
        <row r="30211">
          <cell r="B30211" t="str">
            <v>81050601070105</v>
          </cell>
          <cell r="C30211" t="str">
            <v>CL PAGARE COFIDE VENC GL 7004 CESP      7ND</v>
          </cell>
        </row>
        <row r="30212">
          <cell r="B30212" t="str">
            <v>81050601070201</v>
          </cell>
          <cell r="C30212" t="str">
            <v>LPC PAG TASA VENC COFIDE CESP           7ND</v>
          </cell>
        </row>
        <row r="30213">
          <cell r="B30213" t="str">
            <v>81050601070202</v>
          </cell>
          <cell r="C30213" t="str">
            <v>LPC PTV CAP COFIDE SBS D/P CESP         7ND</v>
          </cell>
        </row>
        <row r="30214">
          <cell r="B30214" t="str">
            <v>81050601070203</v>
          </cell>
          <cell r="C30214" t="str">
            <v>LPC PTV CAP REESTRUC COFIDE CESP        7ND</v>
          </cell>
        </row>
        <row r="30215">
          <cell r="B30215" t="str">
            <v>81050601070301</v>
          </cell>
          <cell r="C30215" t="str">
            <v>LPC LEASING COFIDE PRI CESP             7ND</v>
          </cell>
        </row>
        <row r="30216">
          <cell r="B30216" t="str">
            <v>81050601080101</v>
          </cell>
          <cell r="C30216" t="str">
            <v>LPC PAG TASA VENC COFIDE CIVA           7ND</v>
          </cell>
        </row>
        <row r="30217">
          <cell r="B30217" t="str">
            <v>81050601080102</v>
          </cell>
          <cell r="C30217" t="str">
            <v>LPC PTV CAP COFIDE SBS D/P CIVA         7ND</v>
          </cell>
        </row>
        <row r="30218">
          <cell r="B30218" t="str">
            <v>81050601080103</v>
          </cell>
          <cell r="C30218" t="str">
            <v>LPC PTV CAP REESTRUC COFIDE CIVA        7ND</v>
          </cell>
        </row>
        <row r="30219">
          <cell r="B30219" t="str">
            <v>81050601080301</v>
          </cell>
          <cell r="C30219" t="str">
            <v>LPC LEASING COFIDE PRI CIVA             7ND</v>
          </cell>
        </row>
        <row r="30220">
          <cell r="B30220" t="str">
            <v>81050601100101</v>
          </cell>
          <cell r="C30220" t="str">
            <v>CL PTV.OTROS SUSP.COFIDE SBS CCOR       7ND</v>
          </cell>
        </row>
        <row r="30221">
          <cell r="B30221" t="str">
            <v>81050601100102</v>
          </cell>
          <cell r="C30221" t="str">
            <v>CL PTV.REESTRUC.COFIDE SBS CCOR         7ND</v>
          </cell>
        </row>
        <row r="30222">
          <cell r="B30222" t="str">
            <v>81050601100103</v>
          </cell>
          <cell r="C30222" t="str">
            <v>CL PTV.REESTRUC.COFIDE SBS CCOR         7ND</v>
          </cell>
        </row>
        <row r="30223">
          <cell r="B30223" t="str">
            <v>81050601100104</v>
          </cell>
          <cell r="C30223" t="str">
            <v>CL PRE JUDIC PAG COFIDE VENC GL 7003 CCO7ND</v>
          </cell>
        </row>
        <row r="30224">
          <cell r="B30224" t="str">
            <v>81050601100105</v>
          </cell>
          <cell r="C30224" t="str">
            <v>CL PAGARE COFIDE VENC GL 7004 CCOR      7ND</v>
          </cell>
        </row>
        <row r="30225">
          <cell r="B30225" t="str">
            <v>81050601100201</v>
          </cell>
          <cell r="C30225" t="str">
            <v>LPC PAG TASA VENCIDA COFIDE CCOR        7ND</v>
          </cell>
        </row>
        <row r="30226">
          <cell r="B30226" t="str">
            <v>81050601100202</v>
          </cell>
          <cell r="C30226" t="str">
            <v>LPC PTV CAP COFIDE SBS D/P CCOR         7ND</v>
          </cell>
        </row>
        <row r="30227">
          <cell r="B30227" t="str">
            <v>81050601100203</v>
          </cell>
          <cell r="C30227" t="str">
            <v>LPC PTV CAP REESTRUC COFIDE CCOR        7ND</v>
          </cell>
        </row>
        <row r="30228">
          <cell r="B30228" t="str">
            <v>81050601100301</v>
          </cell>
          <cell r="C30228" t="str">
            <v>LPC LEASING COFIDE PRI CCOR             7ND</v>
          </cell>
        </row>
        <row r="30229">
          <cell r="B30229" t="str">
            <v>81050601100401</v>
          </cell>
          <cell r="C30229" t="str">
            <v>LPC PAG. FINANC PROY COFIDE CCOR        7ND</v>
          </cell>
        </row>
        <row r="30230">
          <cell r="B30230" t="str">
            <v>81050601100402</v>
          </cell>
          <cell r="C30230" t="str">
            <v>LPC  PAG. FINANC PROY COFIDE  D/P CCOR  7ND</v>
          </cell>
        </row>
        <row r="30231">
          <cell r="B30231" t="str">
            <v>81050601110101</v>
          </cell>
          <cell r="C30231" t="str">
            <v>CL PTV.OTROS SUSP.COFIDE SBS CGEM       7ND</v>
          </cell>
        </row>
        <row r="30232">
          <cell r="B30232" t="str">
            <v>81050601110102</v>
          </cell>
          <cell r="C30232" t="str">
            <v>CL PTV.REESTRUC.COFIDE SBS CGEM         7ND</v>
          </cell>
        </row>
        <row r="30233">
          <cell r="B30233" t="str">
            <v>81050601110103</v>
          </cell>
          <cell r="C30233" t="str">
            <v>CL PTV.REESTRUC.COFIDE SBS CGEM         7ND</v>
          </cell>
        </row>
        <row r="30234">
          <cell r="B30234" t="str">
            <v>81050601110104</v>
          </cell>
          <cell r="C30234" t="str">
            <v>CL PRE JUDIC PAG COFIDE VENC GL 7003 CGE7ND</v>
          </cell>
        </row>
        <row r="30235">
          <cell r="B30235" t="str">
            <v>81050601110105</v>
          </cell>
          <cell r="C30235" t="str">
            <v>CL PAGARE COFIDE VENC GL 7004 CGEM      7ND</v>
          </cell>
        </row>
        <row r="30236">
          <cell r="B30236" t="str">
            <v>81050601110201</v>
          </cell>
          <cell r="C30236" t="str">
            <v>LPC PAG TASA VENC COFIDE CGEM           7ND</v>
          </cell>
        </row>
        <row r="30237">
          <cell r="B30237" t="str">
            <v>81050601110202</v>
          </cell>
          <cell r="C30237" t="str">
            <v>LPC PTV  CAP COFIDE  SBS  - D/P         7ND</v>
          </cell>
        </row>
        <row r="30238">
          <cell r="B30238" t="str">
            <v>81050601110203</v>
          </cell>
          <cell r="C30238" t="str">
            <v>LPC PTV CAP REESTRUC COFIDE CGEM        7ND</v>
          </cell>
        </row>
        <row r="30239">
          <cell r="B30239" t="str">
            <v>81050601110301</v>
          </cell>
          <cell r="C30239" t="str">
            <v>LPC LEASING COFIDE PRI CGEM             7ND</v>
          </cell>
        </row>
        <row r="30240">
          <cell r="B30240" t="str">
            <v>81050601110401</v>
          </cell>
          <cell r="C30240" t="str">
            <v>LPC PAG. FINANC PROY COFIDE CGEM        7ND</v>
          </cell>
        </row>
        <row r="30241">
          <cell r="B30241" t="str">
            <v>81050601110402</v>
          </cell>
          <cell r="C30241" t="str">
            <v>LPC  PAG. FINANC PROY COFIDE  D/P CGEM  7ND</v>
          </cell>
        </row>
        <row r="30242">
          <cell r="B30242" t="str">
            <v>81050601120101</v>
          </cell>
          <cell r="C30242" t="str">
            <v>CL PTV.OTROS SUSP.COFIDE SBS CMED       7ND</v>
          </cell>
        </row>
        <row r="30243">
          <cell r="B30243" t="str">
            <v>81050601120102</v>
          </cell>
          <cell r="C30243" t="str">
            <v>CL PTV.REESTRUC.COFIDE SBS CMED         7ND</v>
          </cell>
        </row>
        <row r="30244">
          <cell r="B30244" t="str">
            <v>81050601120103</v>
          </cell>
          <cell r="C30244" t="str">
            <v>CL PTV.REESTRUC.COFIDE SBS CMED         7ND</v>
          </cell>
        </row>
        <row r="30245">
          <cell r="B30245" t="str">
            <v>81050601120104</v>
          </cell>
          <cell r="C30245" t="str">
            <v>CL PRE JUDIC PAG COFIDE VENC GL 7003 CME7ND</v>
          </cell>
        </row>
        <row r="30246">
          <cell r="B30246" t="str">
            <v>81050601120105</v>
          </cell>
          <cell r="C30246" t="str">
            <v>CL PAGARE COFIDE VENC GL 7004 CMED      7ND</v>
          </cell>
        </row>
        <row r="30247">
          <cell r="B30247" t="str">
            <v>81050601120201</v>
          </cell>
          <cell r="C30247" t="str">
            <v>LPC PAG TASA VENC COFIDE CMED           7ND</v>
          </cell>
        </row>
        <row r="30248">
          <cell r="B30248" t="str">
            <v>81050601120202</v>
          </cell>
          <cell r="C30248" t="str">
            <v>LPC PTV  CAP COFIDE  SBS  - D/P         7ND</v>
          </cell>
        </row>
        <row r="30249">
          <cell r="B30249" t="str">
            <v>81050601120203</v>
          </cell>
          <cell r="C30249" t="str">
            <v>LPC PTV CAP REESTRUC COFIDE CMED        7ND</v>
          </cell>
        </row>
        <row r="30250">
          <cell r="B30250" t="str">
            <v>81050601120204</v>
          </cell>
          <cell r="C30250" t="str">
            <v>LPC LEASING COFIDE PRI CMED             7ND</v>
          </cell>
        </row>
        <row r="30251">
          <cell r="B30251" t="str">
            <v>81050601120401</v>
          </cell>
          <cell r="C30251" t="str">
            <v>LPC PAG. FINANC PROY COFIDE CMED        7ND</v>
          </cell>
        </row>
        <row r="30252">
          <cell r="B30252" t="str">
            <v>81050601120402</v>
          </cell>
          <cell r="C30252" t="str">
            <v>LPC  PAG. FINANC PROY COFIDE  D/P CMED  7ND</v>
          </cell>
        </row>
        <row r="30253">
          <cell r="B30253" t="str">
            <v>81050601130101</v>
          </cell>
          <cell r="C30253" t="str">
            <v>CL PTV.OTROS SUSP.COFIDE SBS CPEM       7ND</v>
          </cell>
        </row>
        <row r="30254">
          <cell r="B30254" t="str">
            <v>81050601130102</v>
          </cell>
          <cell r="C30254" t="str">
            <v>CL PTV.REESTRUC.COFIDE SBS CPEM         7ND</v>
          </cell>
        </row>
        <row r="30255">
          <cell r="B30255" t="str">
            <v>81050601130103</v>
          </cell>
          <cell r="C30255" t="str">
            <v>CL PTV.REESTRUC.COFIDE SBS CPEM         7ND</v>
          </cell>
        </row>
        <row r="30256">
          <cell r="B30256" t="str">
            <v>81050601130104</v>
          </cell>
          <cell r="C30256" t="str">
            <v>CL PRE JUDIC PAG COFIDE VENC GL 7003 CPE7ND</v>
          </cell>
        </row>
        <row r="30257">
          <cell r="B30257" t="str">
            <v>81050601130105</v>
          </cell>
          <cell r="C30257" t="str">
            <v>CL PAGARE COFIDE VENC GL 7004 CPEM      7ND</v>
          </cell>
        </row>
        <row r="30258">
          <cell r="B30258" t="str">
            <v>81050601130201</v>
          </cell>
          <cell r="C30258" t="str">
            <v>LPC PAG TASA VENC COFIDE CPEM           7ND</v>
          </cell>
        </row>
        <row r="30259">
          <cell r="B30259" t="str">
            <v>81050601130202</v>
          </cell>
          <cell r="C30259" t="str">
            <v>LPC PTV  CAP COFIDE  SBS  - D/P         7ND</v>
          </cell>
        </row>
        <row r="30260">
          <cell r="B30260" t="str">
            <v>81050601130203</v>
          </cell>
          <cell r="C30260" t="str">
            <v>LPC PTV CAP REESTRUC COFIDE CPEM        7ND</v>
          </cell>
        </row>
        <row r="30261">
          <cell r="B30261" t="str">
            <v>81050601130301</v>
          </cell>
          <cell r="C30261" t="str">
            <v>LPC LEASING COFIDE PRI CPEM             7ND</v>
          </cell>
        </row>
        <row r="30262">
          <cell r="B30262" t="str">
            <v>81050602010101</v>
          </cell>
          <cell r="C30262" t="str">
            <v>PROV CREDITOS COMERCIALES COFIDE        7ND</v>
          </cell>
        </row>
        <row r="30263">
          <cell r="B30263" t="str">
            <v>81050602010102</v>
          </cell>
          <cell r="C30263" t="str">
            <v>PROV GENERICA LEASING OPERATIVO         7ND</v>
          </cell>
        </row>
        <row r="30264">
          <cell r="B30264" t="str">
            <v>81050602010104</v>
          </cell>
          <cell r="C30264" t="str">
            <v>PROV GENERICA TITULIZADORA PERUANA      7ND</v>
          </cell>
        </row>
        <row r="30265">
          <cell r="B30265" t="str">
            <v>81050602040101</v>
          </cell>
          <cell r="C30265" t="str">
            <v>PROV CREDITOS HIPOTECARIOS COFIDE       7ND</v>
          </cell>
        </row>
        <row r="30266">
          <cell r="B30266" t="str">
            <v>81060101000101</v>
          </cell>
          <cell r="C30266" t="str">
            <v>CREDITOS NORMAL-COMERCIAL               7ND</v>
          </cell>
        </row>
        <row r="30267">
          <cell r="B30267" t="str">
            <v>81060101000102</v>
          </cell>
          <cell r="C30267" t="str">
            <v>CREDITOS NORMAL-MES                     7ND</v>
          </cell>
        </row>
        <row r="30268">
          <cell r="B30268" t="str">
            <v>81060101000103</v>
          </cell>
          <cell r="C30268" t="str">
            <v>CREDITOS NORMAL-CONSUMO                 7ND</v>
          </cell>
        </row>
        <row r="30269">
          <cell r="B30269" t="str">
            <v>81060101000104</v>
          </cell>
          <cell r="C30269" t="str">
            <v>CREDITOS NORMAL-HIPOTECARIO             7ND</v>
          </cell>
        </row>
        <row r="30270">
          <cell r="B30270" t="str">
            <v>81060102000101</v>
          </cell>
          <cell r="C30270" t="str">
            <v>CREDITOS CON PROB POTENCIAL-COMERCIAL   7ND</v>
          </cell>
        </row>
        <row r="30271">
          <cell r="B30271" t="str">
            <v>81060102000102</v>
          </cell>
          <cell r="C30271" t="str">
            <v>CREDITOS CON PROB POTENCIAL-MES         7ND</v>
          </cell>
        </row>
        <row r="30272">
          <cell r="B30272" t="str">
            <v>81060102000103</v>
          </cell>
          <cell r="C30272" t="str">
            <v>CREDITOS CON PROB POTENCIAL-CONSUMO     7ND</v>
          </cell>
        </row>
        <row r="30273">
          <cell r="B30273" t="str">
            <v>81060102000104</v>
          </cell>
          <cell r="C30273" t="str">
            <v>CREDITOS CON PROB POTENCIAL-HIPOTECARIO 7ND</v>
          </cell>
        </row>
        <row r="30274">
          <cell r="B30274" t="str">
            <v>81060103000101</v>
          </cell>
          <cell r="C30274" t="str">
            <v>CREDITOS DEFICIENTE-COMERCIAL           7ND</v>
          </cell>
        </row>
        <row r="30275">
          <cell r="B30275" t="str">
            <v>81060103000102</v>
          </cell>
          <cell r="C30275" t="str">
            <v>CREDITOS DEFICIENTE-MES                 7ND</v>
          </cell>
        </row>
        <row r="30276">
          <cell r="B30276" t="str">
            <v>81060103000103</v>
          </cell>
          <cell r="C30276" t="str">
            <v>CREDITOS DEFICIENTE-CONSUMO             7ND</v>
          </cell>
        </row>
        <row r="30277">
          <cell r="B30277" t="str">
            <v>81060103000104</v>
          </cell>
          <cell r="C30277" t="str">
            <v>CREDITOS DEFICIENTE-HIPOTECARIO         7ND</v>
          </cell>
        </row>
        <row r="30278">
          <cell r="B30278" t="str">
            <v>81060104000101</v>
          </cell>
          <cell r="C30278" t="str">
            <v>CREDITOS DUDOSO-COMERCIAL               7ND</v>
          </cell>
        </row>
        <row r="30279">
          <cell r="B30279" t="str">
            <v>81060104000102</v>
          </cell>
          <cell r="C30279" t="str">
            <v>CREDITOS DUDOSO-MES                     7ND</v>
          </cell>
        </row>
        <row r="30280">
          <cell r="B30280" t="str">
            <v>81060104000103</v>
          </cell>
          <cell r="C30280" t="str">
            <v>CREDITOS DUDOSO-CONSUMO                 7ND</v>
          </cell>
        </row>
        <row r="30281">
          <cell r="B30281" t="str">
            <v>81060104000104</v>
          </cell>
          <cell r="C30281" t="str">
            <v>CREDITOS DUDOSO-HIPOTECARIO             7ND</v>
          </cell>
        </row>
        <row r="30282">
          <cell r="B30282" t="str">
            <v>81060105000101</v>
          </cell>
          <cell r="C30282" t="str">
            <v>CREDITOS PERDIDA-COMERCIAL              7ND</v>
          </cell>
        </row>
        <row r="30283">
          <cell r="B30283" t="str">
            <v>81060105000102</v>
          </cell>
          <cell r="C30283" t="str">
            <v>CREDITOS PERDIDA-MES                    7ND</v>
          </cell>
        </row>
        <row r="30284">
          <cell r="B30284" t="str">
            <v>81060105000103</v>
          </cell>
          <cell r="C30284" t="str">
            <v>CREDITOS PERDIDA-CONSUMO                7ND</v>
          </cell>
        </row>
        <row r="30285">
          <cell r="B30285" t="str">
            <v>81060105000104</v>
          </cell>
          <cell r="C30285" t="str">
            <v>CREDITOS PERDIDA-HIPOTECARIO            7ND</v>
          </cell>
        </row>
        <row r="30286">
          <cell r="B30286" t="str">
            <v>81060201000101</v>
          </cell>
          <cell r="C30286" t="str">
            <v>ACT Y CONTING PONDERADOS RIESGO 0 %     7ND</v>
          </cell>
        </row>
        <row r="30287">
          <cell r="B30287" t="str">
            <v>81060203000101</v>
          </cell>
          <cell r="C30287" t="str">
            <v>ACT Y CONTING PONDERADOS RIESGO 50%     7ND</v>
          </cell>
        </row>
        <row r="30288">
          <cell r="B30288" t="str">
            <v>81060204000101</v>
          </cell>
          <cell r="C30288" t="str">
            <v>ACT Y CONTING PONDERADOS RIESGO 5       7ND</v>
          </cell>
        </row>
        <row r="30289">
          <cell r="B30289" t="str">
            <v>81060205000101</v>
          </cell>
          <cell r="C30289" t="str">
            <v>ACT Y CONTING PONDERADOS RIESGO 100%    7ND</v>
          </cell>
        </row>
        <row r="30290">
          <cell r="B30290" t="str">
            <v>81060304000101</v>
          </cell>
          <cell r="C30290" t="str">
            <v>COLOCACIONES Y CONTING POND RIESGO 50%  7ND</v>
          </cell>
        </row>
        <row r="30291">
          <cell r="B30291" t="str">
            <v>81060305000101</v>
          </cell>
          <cell r="C30291" t="str">
            <v>COLOCACIONES Y CONTING POND RIESGO 100% 7ND</v>
          </cell>
        </row>
        <row r="30292">
          <cell r="B30292" t="str">
            <v>81080102010100</v>
          </cell>
          <cell r="C30292" t="str">
            <v>LPC REACTIVA PERU VIG CMIE\NORM         7ND</v>
          </cell>
        </row>
        <row r="30293">
          <cell r="B30293" t="str">
            <v>81080102010101</v>
          </cell>
          <cell r="C30293" t="str">
            <v>LPC REACTIVA PERU VIG CMIE\DUPE         7ND</v>
          </cell>
        </row>
        <row r="30294">
          <cell r="B30294" t="str">
            <v>81080102010102</v>
          </cell>
          <cell r="C30294" t="str">
            <v>LPC REACTIVA PERU VIG CMIE\NORM         7ND</v>
          </cell>
        </row>
        <row r="30295">
          <cell r="B30295" t="str">
            <v>81080102010103</v>
          </cell>
          <cell r="C30295" t="str">
            <v>LPC REACTIVA PERU VIG CMIE\DUPE         7ND</v>
          </cell>
        </row>
        <row r="30296">
          <cell r="B30296" t="str">
            <v>81080102010104</v>
          </cell>
          <cell r="C30296" t="str">
            <v>MYP CODIFE REACTIVA PERU VIG CMIE\DUPE  7ND</v>
          </cell>
        </row>
        <row r="30297">
          <cell r="B30297" t="str">
            <v>81080102010105</v>
          </cell>
          <cell r="C30297" t="str">
            <v>MYP CODIFE REACTIVA PERU VIG CMIE\NORM  7ND</v>
          </cell>
        </row>
        <row r="30298">
          <cell r="B30298" t="str">
            <v>81080102020100</v>
          </cell>
          <cell r="C30298" t="str">
            <v>LPC REFINANCIADO REACTIVA CMIE VIG      7 D</v>
          </cell>
        </row>
        <row r="30299">
          <cell r="B30299" t="str">
            <v>81080102020101</v>
          </cell>
          <cell r="C30299" t="str">
            <v>LPC REPROG REACTIVA DIFE CMIE VIG       7ND</v>
          </cell>
        </row>
        <row r="30300">
          <cell r="B30300" t="str">
            <v>81080110010100</v>
          </cell>
          <cell r="C30300" t="str">
            <v>LPC REACTIVA PERU VIG CCOR\NORM         7ND</v>
          </cell>
        </row>
        <row r="30301">
          <cell r="B30301" t="str">
            <v>81080110010101</v>
          </cell>
          <cell r="C30301" t="str">
            <v>LPC REACTIVA PERU VIG CCOR\DUPE         7ND</v>
          </cell>
        </row>
        <row r="30302">
          <cell r="B30302" t="str">
            <v>81080110010102</v>
          </cell>
          <cell r="C30302" t="str">
            <v>LPC REACTIVA PERU VIG CCOR\NORM         7ND</v>
          </cell>
        </row>
        <row r="30303">
          <cell r="B30303" t="str">
            <v>81080110010103</v>
          </cell>
          <cell r="C30303" t="str">
            <v>LPC REACTIVA PERU VIG CCOR\DUPE         7ND</v>
          </cell>
        </row>
        <row r="30304">
          <cell r="B30304" t="str">
            <v>81080110010104</v>
          </cell>
          <cell r="C30304" t="str">
            <v>MYP COFIDE REACTIVA PERU   VIG CCOR DUPE7ND</v>
          </cell>
        </row>
        <row r="30305">
          <cell r="B30305" t="str">
            <v>81080110010105</v>
          </cell>
          <cell r="C30305" t="str">
            <v>MYP COFIDE REACTIVA PERU   VIG CCOR NORM7ND</v>
          </cell>
        </row>
        <row r="30306">
          <cell r="B30306" t="str">
            <v>81080110020100</v>
          </cell>
          <cell r="C30306" t="str">
            <v>LPC REFINANCIADO REACTIVA CCOR VIG      7 D</v>
          </cell>
        </row>
        <row r="30307">
          <cell r="B30307" t="str">
            <v>81080110020101</v>
          </cell>
          <cell r="C30307" t="str">
            <v>LPC REPROG REACTIVA DIFE CCOR VIG       7ND</v>
          </cell>
        </row>
        <row r="30308">
          <cell r="B30308" t="str">
            <v>81080111010100</v>
          </cell>
          <cell r="C30308" t="str">
            <v>LPC REACTIVA PERU VIG CGEM\NORM         7ND</v>
          </cell>
        </row>
        <row r="30309">
          <cell r="B30309" t="str">
            <v>81080111010101</v>
          </cell>
          <cell r="C30309" t="str">
            <v>LPC REACTIVA PERU VIG CGEM\DUPE         7ND</v>
          </cell>
        </row>
        <row r="30310">
          <cell r="B30310" t="str">
            <v>81080111010102</v>
          </cell>
          <cell r="C30310" t="str">
            <v>LPC REACTIVA PERU VIG CGEM\NORM         7ND</v>
          </cell>
        </row>
        <row r="30311">
          <cell r="B30311" t="str">
            <v>81080111010103</v>
          </cell>
          <cell r="C30311" t="str">
            <v>LPC REACTIVA PERU VIG CGEM\DUPE         7ND</v>
          </cell>
        </row>
        <row r="30312">
          <cell r="B30312" t="str">
            <v>81080111010104</v>
          </cell>
          <cell r="C30312" t="str">
            <v>MYP COFIDE REACTIVA PERU   VIG CGEM DUPE7ND</v>
          </cell>
        </row>
        <row r="30313">
          <cell r="B30313" t="str">
            <v>81080111010105</v>
          </cell>
          <cell r="C30313" t="str">
            <v>MYP COFIDE REACTIVA PERU   VIG CGEM NORM7ND</v>
          </cell>
        </row>
        <row r="30314">
          <cell r="B30314" t="str">
            <v>81080111020101</v>
          </cell>
          <cell r="C30314" t="str">
            <v>LPC REPROG REACTIVA DIFE CGEM VIG       7ND</v>
          </cell>
        </row>
        <row r="30315">
          <cell r="B30315" t="str">
            <v>81080112010100</v>
          </cell>
          <cell r="C30315" t="str">
            <v>LPC REACTIVA PERU VIG CMED\NORM         7ND</v>
          </cell>
        </row>
        <row r="30316">
          <cell r="B30316" t="str">
            <v>81080112010101</v>
          </cell>
          <cell r="C30316" t="str">
            <v>LPC REACTIVA PERU VIG CMED\DUPE         7ND</v>
          </cell>
        </row>
        <row r="30317">
          <cell r="B30317" t="str">
            <v>81080112010102</v>
          </cell>
          <cell r="C30317" t="str">
            <v>LPC REACTIVA PERU VIG CMED\NORM         7ND</v>
          </cell>
        </row>
        <row r="30318">
          <cell r="B30318" t="str">
            <v>81080112010103</v>
          </cell>
          <cell r="C30318" t="str">
            <v>LPC REACTIVA PERU VIG CMED\DUPE         7ND</v>
          </cell>
        </row>
        <row r="30319">
          <cell r="B30319" t="str">
            <v>81080112010104</v>
          </cell>
          <cell r="C30319" t="str">
            <v>MYP CODIFE REACTIVA PERU VIG CMED\DUPE  7ND</v>
          </cell>
        </row>
        <row r="30320">
          <cell r="B30320" t="str">
            <v>81080112010105</v>
          </cell>
          <cell r="C30320" t="str">
            <v>MYP CODIFE REACTIVA PERU VIG CMED\NORM  7ND</v>
          </cell>
        </row>
        <row r="30321">
          <cell r="B30321" t="str">
            <v>81080112020102</v>
          </cell>
          <cell r="C30321" t="str">
            <v>LPC REPROG REACTIVA DIFE CMED VIG       7ND</v>
          </cell>
        </row>
        <row r="30322">
          <cell r="B30322" t="str">
            <v>81080113010100</v>
          </cell>
          <cell r="C30322" t="str">
            <v>LPC REACTIVA PERU VIG CPEM\NORM         7ND</v>
          </cell>
        </row>
        <row r="30323">
          <cell r="B30323" t="str">
            <v>81080113010101</v>
          </cell>
          <cell r="C30323" t="str">
            <v>LPC REACTIVA PERU VIG CPEM\DUPE         7ND</v>
          </cell>
        </row>
        <row r="30324">
          <cell r="B30324" t="str">
            <v>81080113010102</v>
          </cell>
          <cell r="C30324" t="str">
            <v>LPC REACTIVA PERU VIG CPEM\NORM         7ND</v>
          </cell>
        </row>
        <row r="30325">
          <cell r="B30325" t="str">
            <v>81080113010103</v>
          </cell>
          <cell r="C30325" t="str">
            <v>LPC REACTIVA PERU VIG CPEM\DUPE         7ND</v>
          </cell>
        </row>
        <row r="30326">
          <cell r="B30326" t="str">
            <v>81080113010104</v>
          </cell>
          <cell r="C30326" t="str">
            <v>MYP CODIFE REACTIVA PERU VIG CPEM\DUPE  7ND</v>
          </cell>
        </row>
        <row r="30327">
          <cell r="B30327" t="str">
            <v>81080113010105</v>
          </cell>
          <cell r="C30327" t="str">
            <v>MYP CODIFE REACTIVA PERU VIG CPEM\NORM  7ND</v>
          </cell>
        </row>
        <row r="30328">
          <cell r="B30328" t="str">
            <v>81080113020100</v>
          </cell>
          <cell r="C30328" t="str">
            <v>LPC REFINANCIADO REACTIVA CPEM VIG      7 D</v>
          </cell>
        </row>
        <row r="30329">
          <cell r="B30329" t="str">
            <v>81080113020101</v>
          </cell>
          <cell r="C30329" t="str">
            <v>LPC REPROG REACTIVA DIFE CPEM VIG       7ND</v>
          </cell>
        </row>
        <row r="30330">
          <cell r="B30330" t="str">
            <v>81080411020100</v>
          </cell>
          <cell r="C30330" t="str">
            <v>LPC REFINANCIADO REACTIVA CGEM VIG      7 D</v>
          </cell>
        </row>
        <row r="30331">
          <cell r="B30331" t="str">
            <v>81080412020100</v>
          </cell>
          <cell r="C30331" t="str">
            <v>LPC REFINANCIADO REACTIVA CMED VIG      7 D</v>
          </cell>
        </row>
        <row r="30332">
          <cell r="B30332" t="str">
            <v>81080413020001</v>
          </cell>
          <cell r="C30332" t="str">
            <v>LPC REFINANCIADO REACTIVA CPEM VIG      7 D</v>
          </cell>
        </row>
        <row r="30333">
          <cell r="B30333" t="str">
            <v>81080502010100</v>
          </cell>
          <cell r="C30333" t="str">
            <v>LPC REACTIVA PERU VEN CMIE\NORM         7ND</v>
          </cell>
        </row>
        <row r="30334">
          <cell r="B30334" t="str">
            <v>81080502010101</v>
          </cell>
          <cell r="C30334" t="str">
            <v>LPC REACTIVA PERU VEN CMIE\DUPE         7ND</v>
          </cell>
        </row>
        <row r="30335">
          <cell r="B30335" t="str">
            <v>81080502010102</v>
          </cell>
          <cell r="C30335" t="str">
            <v>LPC REACTIVA PERU VEN CMIE\NORM         7ND</v>
          </cell>
        </row>
        <row r="30336">
          <cell r="B30336" t="str">
            <v>81080502010103</v>
          </cell>
          <cell r="C30336" t="str">
            <v>LPC REACTIVA PERU VEN CMIE\DUPE         7ND</v>
          </cell>
        </row>
        <row r="30337">
          <cell r="B30337" t="str">
            <v>81080502010104</v>
          </cell>
          <cell r="C30337" t="str">
            <v>MYP CODIFE REACTIVA PERU VEN CMIE\DUPE  7ND</v>
          </cell>
        </row>
        <row r="30338">
          <cell r="B30338" t="str">
            <v>81080502010105</v>
          </cell>
          <cell r="C30338" t="str">
            <v>MYP CODIFE REACTIVA PERU VEN CMIE\NORM  7ND</v>
          </cell>
        </row>
        <row r="30339">
          <cell r="B30339" t="str">
            <v>81080502010106</v>
          </cell>
          <cell r="C30339" t="str">
            <v>JCC PRE JUD REACTIVA PERU NO REVOLV CMIE7ND</v>
          </cell>
        </row>
        <row r="30340">
          <cell r="B30340" t="str">
            <v>81080502010107</v>
          </cell>
          <cell r="C30340" t="str">
            <v>JCC PRE JUD REACTIVA PERU NO REVOLV CMIE7 D</v>
          </cell>
        </row>
        <row r="30341">
          <cell r="B30341" t="str">
            <v>81080502010108</v>
          </cell>
          <cell r="C30341" t="str">
            <v>JCC PRE JUD CRECER PRE-HONRAMIENTO CMIE 7 D</v>
          </cell>
        </row>
        <row r="30342">
          <cell r="B30342" t="str">
            <v>81080502010109</v>
          </cell>
          <cell r="C30342" t="str">
            <v>JCC PRE JUD CRECER PRE-HONRAMIENTO CMIE 7 D</v>
          </cell>
        </row>
        <row r="30343">
          <cell r="B30343" t="str">
            <v>81080502020100</v>
          </cell>
          <cell r="C30343" t="str">
            <v>LPC REFINANCIADO REACTIVA CMIE VEN      7 D</v>
          </cell>
        </row>
        <row r="30344">
          <cell r="B30344" t="str">
            <v>81080502020109</v>
          </cell>
          <cell r="C30344" t="str">
            <v>LPC REPROG REACTIVA DIFE CMIE VEN       7ND</v>
          </cell>
        </row>
        <row r="30345">
          <cell r="B30345" t="str">
            <v>81080510010100</v>
          </cell>
          <cell r="C30345" t="str">
            <v>LPC REACTIVA PERU VEN CCOR\NORM         7ND</v>
          </cell>
        </row>
        <row r="30346">
          <cell r="B30346" t="str">
            <v>81080510010101</v>
          </cell>
          <cell r="C30346" t="str">
            <v>LPC REACTIVA PERU VEN CCOR\DUPE         7ND</v>
          </cell>
        </row>
        <row r="30347">
          <cell r="B30347" t="str">
            <v>81080510010102</v>
          </cell>
          <cell r="C30347" t="str">
            <v>LPC REACTIVA PERU VEN CCOR\NORM         7ND</v>
          </cell>
        </row>
        <row r="30348">
          <cell r="B30348" t="str">
            <v>81080510010103</v>
          </cell>
          <cell r="C30348" t="str">
            <v>LPC REACTIVA PERU VEN CCOR\DUPE         7ND</v>
          </cell>
        </row>
        <row r="30349">
          <cell r="B30349" t="str">
            <v>81080510010104</v>
          </cell>
          <cell r="C30349" t="str">
            <v>JCC PRE JUD REACTIVA PERU NO REVOLV CCOR7ND</v>
          </cell>
        </row>
        <row r="30350">
          <cell r="B30350" t="str">
            <v>81080510010105</v>
          </cell>
          <cell r="C30350" t="str">
            <v>JCC PRE JUD REACTIVA PERU NO REVOLV CCOR7 D</v>
          </cell>
        </row>
        <row r="30351">
          <cell r="B30351" t="str">
            <v>81080510010106</v>
          </cell>
          <cell r="C30351" t="str">
            <v>JCC PRE JUD CRECER PRE-HONRAMIENTO CCOR 7 D</v>
          </cell>
        </row>
        <row r="30352">
          <cell r="B30352" t="str">
            <v>81080510010107</v>
          </cell>
          <cell r="C30352" t="str">
            <v>JCC PRE JUD CRECER PRE-HONRAMIENTO CCOR 7 D</v>
          </cell>
        </row>
        <row r="30353">
          <cell r="B30353" t="str">
            <v>81080510010108</v>
          </cell>
          <cell r="C30353" t="str">
            <v>MYP COFIDE REACTIVA PERU   VEN CCOR DUPE7ND</v>
          </cell>
        </row>
        <row r="30354">
          <cell r="B30354" t="str">
            <v>81080510010109</v>
          </cell>
          <cell r="C30354" t="str">
            <v>MYP COFIDE REACTIVA PERU   VEN CCOR NORM7ND</v>
          </cell>
        </row>
        <row r="30355">
          <cell r="B30355" t="str">
            <v>81080510020100</v>
          </cell>
          <cell r="C30355" t="str">
            <v>LPC REFINANCIADO REACTIVA CCOR VEN      7 D</v>
          </cell>
        </row>
        <row r="30356">
          <cell r="B30356" t="str">
            <v>81080510020105</v>
          </cell>
          <cell r="C30356" t="str">
            <v>LPC REPROG REACTIVA DIFE CCOR VEN       7ND</v>
          </cell>
        </row>
        <row r="30357">
          <cell r="B30357" t="str">
            <v>81080511010100</v>
          </cell>
          <cell r="C30357" t="str">
            <v>LPC REACTIVA PERU VEN CGEM\NORM         7ND</v>
          </cell>
        </row>
        <row r="30358">
          <cell r="B30358" t="str">
            <v>81080511010101</v>
          </cell>
          <cell r="C30358" t="str">
            <v>LPC REACTIVA PERU VEN CGEM\DUPE         7ND</v>
          </cell>
        </row>
        <row r="30359">
          <cell r="B30359" t="str">
            <v>81080511010102</v>
          </cell>
          <cell r="C30359" t="str">
            <v>LPC REACTIVA PERU VEN CGEM\NORM         7ND</v>
          </cell>
        </row>
        <row r="30360">
          <cell r="B30360" t="str">
            <v>81080511010103</v>
          </cell>
          <cell r="C30360" t="str">
            <v>LPC REACTIVA PERU VEN CGEM\DUPE         7ND</v>
          </cell>
        </row>
        <row r="30361">
          <cell r="B30361" t="str">
            <v>81080511010104</v>
          </cell>
          <cell r="C30361" t="str">
            <v>JCC PRE JUD REACTIVA PERU NO REVOLV CGEM7ND</v>
          </cell>
        </row>
        <row r="30362">
          <cell r="B30362" t="str">
            <v>81080511010105</v>
          </cell>
          <cell r="C30362" t="str">
            <v>JCC PRE JUD REACTIVA PERU NO REVOLV CGEM7 D</v>
          </cell>
        </row>
        <row r="30363">
          <cell r="B30363" t="str">
            <v>81080511010106</v>
          </cell>
          <cell r="C30363" t="str">
            <v>JCC PRE JUD CRECER PRE-HONRAMIENTO CGEM 7 D</v>
          </cell>
        </row>
        <row r="30364">
          <cell r="B30364" t="str">
            <v>81080511010107</v>
          </cell>
          <cell r="C30364" t="str">
            <v>JCC PRE JUD CRECER PRE-HONRAMIENTO CGEM 7 D</v>
          </cell>
        </row>
        <row r="30365">
          <cell r="B30365" t="str">
            <v>81080511010108</v>
          </cell>
          <cell r="C30365" t="str">
            <v>MYP COFIDE REACTIVA PERU   VEN CGEM DUPE7ND</v>
          </cell>
        </row>
        <row r="30366">
          <cell r="B30366" t="str">
            <v>81080511010109</v>
          </cell>
          <cell r="C30366" t="str">
            <v>MYP COFIDE REACTIVA PERU   VEN CGEM NORM7ND</v>
          </cell>
        </row>
        <row r="30367">
          <cell r="B30367" t="str">
            <v>81080511020109</v>
          </cell>
          <cell r="C30367" t="str">
            <v>LPC REPROG REACTIVA DIFE CGEM VEN       7ND</v>
          </cell>
        </row>
        <row r="30368">
          <cell r="B30368" t="str">
            <v>81080512010100</v>
          </cell>
          <cell r="C30368" t="str">
            <v>LPC REACTIVA PERU VEN CMED\NORM         7ND</v>
          </cell>
        </row>
        <row r="30369">
          <cell r="B30369" t="str">
            <v>81080512010101</v>
          </cell>
          <cell r="C30369" t="str">
            <v>LPC REACTIVA PERU VEN CMED\DUPE         7ND</v>
          </cell>
        </row>
        <row r="30370">
          <cell r="B30370" t="str">
            <v>81080512010102</v>
          </cell>
          <cell r="C30370" t="str">
            <v>LPC REACTIVA PERU VEN CMED\NORM         7ND</v>
          </cell>
        </row>
        <row r="30371">
          <cell r="B30371" t="str">
            <v>81080512010103</v>
          </cell>
          <cell r="C30371" t="str">
            <v>LPC REACTIVA PERU VEN CMED\DUPE         7ND</v>
          </cell>
        </row>
        <row r="30372">
          <cell r="B30372" t="str">
            <v>81080512010104</v>
          </cell>
          <cell r="C30372" t="str">
            <v>MYP CODIFE REACTIVA PERU VEN CMED\DUPE  7ND</v>
          </cell>
        </row>
        <row r="30373">
          <cell r="B30373" t="str">
            <v>81080512010105</v>
          </cell>
          <cell r="C30373" t="str">
            <v>MYP CODIFE REACTIVA PERU VEN CMED\NORM  7ND</v>
          </cell>
        </row>
        <row r="30374">
          <cell r="B30374" t="str">
            <v>81080512010106</v>
          </cell>
          <cell r="C30374" t="str">
            <v>JCC PRE JUD REACTIVA PERU NO REVOLV CMED7ND</v>
          </cell>
        </row>
        <row r="30375">
          <cell r="B30375" t="str">
            <v>81080512010107</v>
          </cell>
          <cell r="C30375" t="str">
            <v>JCC PRE JUD REACTIVA PERU NO REVOLV CMED7 D</v>
          </cell>
        </row>
        <row r="30376">
          <cell r="B30376" t="str">
            <v>81080512010108</v>
          </cell>
          <cell r="C30376" t="str">
            <v>JCC PRE JUD CRECER PRE-HONRAMIENTO CMED 7 D</v>
          </cell>
        </row>
        <row r="30377">
          <cell r="B30377" t="str">
            <v>81080512010109</v>
          </cell>
          <cell r="C30377" t="str">
            <v>JCC PRE JUD CRECER PRE-HONRAMIENTO CMED 7 D</v>
          </cell>
        </row>
        <row r="30378">
          <cell r="B30378" t="str">
            <v>81080512020109</v>
          </cell>
          <cell r="C30378" t="str">
            <v>LPC REPROG REACTIVA DIFE CMED VEN       7ND</v>
          </cell>
        </row>
        <row r="30379">
          <cell r="B30379" t="str">
            <v>81080513010100</v>
          </cell>
          <cell r="C30379" t="str">
            <v>LPC REACTIVA PERU VEN CPEM\NORM         7ND</v>
          </cell>
        </row>
        <row r="30380">
          <cell r="B30380" t="str">
            <v>81080513010101</v>
          </cell>
          <cell r="C30380" t="str">
            <v>LPC REACTIVA PERU VEN CPEM\DUPE         7ND</v>
          </cell>
        </row>
        <row r="30381">
          <cell r="B30381" t="str">
            <v>81080513010102</v>
          </cell>
          <cell r="C30381" t="str">
            <v>LPC REACTIVA PERU VEN CPEM\NORM         7ND</v>
          </cell>
        </row>
        <row r="30382">
          <cell r="B30382" t="str">
            <v>81080513010103</v>
          </cell>
          <cell r="C30382" t="str">
            <v>LPC REACTIVA PERU VEN CPEM\DUPE         7ND</v>
          </cell>
        </row>
        <row r="30383">
          <cell r="B30383" t="str">
            <v>81080513010104</v>
          </cell>
          <cell r="C30383" t="str">
            <v>MYP CODIFE REACTIVA PERU VEN CPEM\DUPE  7ND</v>
          </cell>
        </row>
        <row r="30384">
          <cell r="B30384" t="str">
            <v>81080513010105</v>
          </cell>
          <cell r="C30384" t="str">
            <v>MYP CODIFE REACTIVA PERU VEN CPEM\NORM  7ND</v>
          </cell>
        </row>
        <row r="30385">
          <cell r="B30385" t="str">
            <v>81080513010106</v>
          </cell>
          <cell r="C30385" t="str">
            <v>JCC PRE JUD REACTIVA PERU NO REVOLV CPEM7ND</v>
          </cell>
        </row>
        <row r="30386">
          <cell r="B30386" t="str">
            <v>81080513010107</v>
          </cell>
          <cell r="C30386" t="str">
            <v>JCC PRE JUD REACTIVA PERU NO REVOLV CPEM7 D</v>
          </cell>
        </row>
        <row r="30387">
          <cell r="B30387" t="str">
            <v>81080513010108</v>
          </cell>
          <cell r="C30387" t="str">
            <v>JCC PRE JUD CRECER PRE-HONRAMIENTO CPEM 7 D</v>
          </cell>
        </row>
        <row r="30388">
          <cell r="B30388" t="str">
            <v>81080513010109</v>
          </cell>
          <cell r="C30388" t="str">
            <v>JCC PRE JUD CRECER PRE-HONRAMIENTO CPEM 7 D</v>
          </cell>
        </row>
        <row r="30389">
          <cell r="B30389" t="str">
            <v>81080513020100</v>
          </cell>
          <cell r="C30389" t="str">
            <v>LPC REFINANCIADO REACTIVA CPEM VEN      7 D</v>
          </cell>
        </row>
        <row r="30390">
          <cell r="B30390" t="str">
            <v>81080513020109</v>
          </cell>
          <cell r="C30390" t="str">
            <v>LPC REPROG REACTIVA DIFE CPEM VEN       7ND</v>
          </cell>
        </row>
        <row r="30391">
          <cell r="B30391" t="str">
            <v>81080513020110</v>
          </cell>
          <cell r="C30391" t="str">
            <v>LPC REFINANCIADO REACTIVA CPEM VEN      7 D</v>
          </cell>
        </row>
        <row r="30392">
          <cell r="B30392" t="str">
            <v>81080602010100</v>
          </cell>
          <cell r="C30392" t="str">
            <v>JCC COB JUD REACTIVA PRE HONRAMIENTO CMI7 D</v>
          </cell>
        </row>
        <row r="30393">
          <cell r="B30393" t="str">
            <v>81080602010101</v>
          </cell>
          <cell r="C30393" t="str">
            <v>JCC COB JUD REACTIVA PRE HONRAMIENTO CMI7 D</v>
          </cell>
        </row>
        <row r="30394">
          <cell r="B30394" t="str">
            <v>81080602010102</v>
          </cell>
          <cell r="C30394" t="str">
            <v>JCC COB JUD CRECER PRE-HONRAMIENTO CMIE 7 D</v>
          </cell>
        </row>
        <row r="30395">
          <cell r="B30395" t="str">
            <v>81080602010103</v>
          </cell>
          <cell r="C30395" t="str">
            <v>JCC COB JUD CRECER PRE-HONRAMIENTO CMIE 7 D</v>
          </cell>
        </row>
        <row r="30396">
          <cell r="B30396" t="str">
            <v>81080602020100</v>
          </cell>
          <cell r="C30396" t="str">
            <v>JCC CART.508 COB JUD REACTIVA PERU NO RE7 D</v>
          </cell>
        </row>
        <row r="30397">
          <cell r="B30397" t="str">
            <v>81080602020101</v>
          </cell>
          <cell r="C30397" t="str">
            <v>JCC CART.508 COB JUD REACTIVA PERU NO RE7 D</v>
          </cell>
        </row>
        <row r="30398">
          <cell r="B30398" t="str">
            <v>81080602020102</v>
          </cell>
          <cell r="C30398" t="str">
            <v>JCC COB JUD REACTIVA BC PERU NO REVOLV C7 D</v>
          </cell>
        </row>
        <row r="30399">
          <cell r="B30399" t="str">
            <v>81080602020103</v>
          </cell>
          <cell r="C30399" t="str">
            <v>JCC COB JUD REACTIVA MP PERU NO REVOLV C7 D</v>
          </cell>
        </row>
        <row r="30400">
          <cell r="B30400" t="str">
            <v>81080610010100</v>
          </cell>
          <cell r="C30400" t="str">
            <v>JCC COB JUD REACTIVA PRE HONRAMIENTO CCO7 D</v>
          </cell>
        </row>
        <row r="30401">
          <cell r="B30401" t="str">
            <v>81080610010101</v>
          </cell>
          <cell r="C30401" t="str">
            <v>JCC COB JUD CRECER PRE-HONRAMIENTO CCOR 7 D</v>
          </cell>
        </row>
        <row r="30402">
          <cell r="B30402" t="str">
            <v>81080610010102</v>
          </cell>
          <cell r="C30402" t="str">
            <v>JCC COB JUD CRECER PRE-HONRAMIENTO CCOR 7 D</v>
          </cell>
        </row>
        <row r="30403">
          <cell r="B30403" t="str">
            <v>81080610020100</v>
          </cell>
          <cell r="C30403" t="str">
            <v>JCC CART.508 COB JUD REACTIVA PERU NO RE7 D</v>
          </cell>
        </row>
        <row r="30404">
          <cell r="B30404" t="str">
            <v>81080610020101</v>
          </cell>
          <cell r="C30404" t="str">
            <v>JCC COB JUD REACTIVA BC PERU NO REVOLV C7 D</v>
          </cell>
        </row>
        <row r="30405">
          <cell r="B30405" t="str">
            <v>81080611010100</v>
          </cell>
          <cell r="C30405" t="str">
            <v>JCC COB JUD REACTIVA PRE HONRAMIENTO CGE7 D</v>
          </cell>
        </row>
        <row r="30406">
          <cell r="B30406" t="str">
            <v>81080611010101</v>
          </cell>
          <cell r="C30406" t="str">
            <v>JCC COB JUD REACTIVA PRE HONRAMIENTO CGE7 D</v>
          </cell>
        </row>
        <row r="30407">
          <cell r="B30407" t="str">
            <v>81080611010102</v>
          </cell>
          <cell r="C30407" t="str">
            <v>JCC COB JUD CRECER PRE-HONRAMIENTO CGEM 7 D</v>
          </cell>
        </row>
        <row r="30408">
          <cell r="B30408" t="str">
            <v>81080611010103</v>
          </cell>
          <cell r="C30408" t="str">
            <v>JCC COB JUD CRECER PRE-HONRAMIENTO CGEM 7 D</v>
          </cell>
        </row>
        <row r="30409">
          <cell r="B30409" t="str">
            <v>81080611020100</v>
          </cell>
          <cell r="C30409" t="str">
            <v>JCC CART.508 COB JUD REACTIVA PERU NO RE7 D</v>
          </cell>
        </row>
        <row r="30410">
          <cell r="B30410" t="str">
            <v>81080611020101</v>
          </cell>
          <cell r="C30410" t="str">
            <v>JCC CART.508 COB JUD REACTIVA PERU NO RE7 D</v>
          </cell>
        </row>
        <row r="30411">
          <cell r="B30411" t="str">
            <v>81080611020102</v>
          </cell>
          <cell r="C30411" t="str">
            <v>JCC COB JUD REACTIVA BC PERU NO REVOLV C7 D</v>
          </cell>
        </row>
        <row r="30412">
          <cell r="B30412" t="str">
            <v>81080611020103</v>
          </cell>
          <cell r="C30412" t="str">
            <v>JCC COB JUD REACTIVA MP PERU NO REVOLV C7 D</v>
          </cell>
        </row>
        <row r="30413">
          <cell r="B30413" t="str">
            <v>81080612010100</v>
          </cell>
          <cell r="C30413" t="str">
            <v>JCC COB JUD REACTIVA PRE HONRAMIENTO CME7 D</v>
          </cell>
        </row>
        <row r="30414">
          <cell r="B30414" t="str">
            <v>81080612010101</v>
          </cell>
          <cell r="C30414" t="str">
            <v>JCC COB JUD REACTIVA PRE HONRAMIENTO CME7 D</v>
          </cell>
        </row>
        <row r="30415">
          <cell r="B30415" t="str">
            <v>81080612010102</v>
          </cell>
          <cell r="C30415" t="str">
            <v>JCC COB JUD CRECER PRE-HONRAMIENTO CMED 7 D</v>
          </cell>
        </row>
        <row r="30416">
          <cell r="B30416" t="str">
            <v>81080612010103</v>
          </cell>
          <cell r="C30416" t="str">
            <v>JCC COB JUD CRECER PRE-HONRAMIENTO CMED 7 D</v>
          </cell>
        </row>
        <row r="30417">
          <cell r="B30417" t="str">
            <v>81080612020100</v>
          </cell>
          <cell r="C30417" t="str">
            <v>JCC CART.508 COB JUD REACTIVA PERU NO RE7 D</v>
          </cell>
        </row>
        <row r="30418">
          <cell r="B30418" t="str">
            <v>81080612020101</v>
          </cell>
          <cell r="C30418" t="str">
            <v>JCC CART.508 COB JUD REACTIVA PERU NO RE7 D</v>
          </cell>
        </row>
        <row r="30419">
          <cell r="B30419" t="str">
            <v>81080612020102</v>
          </cell>
          <cell r="C30419" t="str">
            <v>JCC COB JUD REACTIVA BC PERU NO REVOLV C7 D</v>
          </cell>
        </row>
        <row r="30420">
          <cell r="B30420" t="str">
            <v>81080612020103</v>
          </cell>
          <cell r="C30420" t="str">
            <v>JCC COB JUD REACTIVA MP PERU NO REVOLV C7 D</v>
          </cell>
        </row>
        <row r="30421">
          <cell r="B30421" t="str">
            <v>81080613010100</v>
          </cell>
          <cell r="C30421" t="str">
            <v>JCC COB JUD REACTIVA PRE HONRAMIENTO CPE7 D</v>
          </cell>
        </row>
        <row r="30422">
          <cell r="B30422" t="str">
            <v>81080613010101</v>
          </cell>
          <cell r="C30422" t="str">
            <v>JCC COB JUD REACTIVA PRE HONRAMIENTO CPE7 D</v>
          </cell>
        </row>
        <row r="30423">
          <cell r="B30423" t="str">
            <v>81080613010102</v>
          </cell>
          <cell r="C30423" t="str">
            <v>JCC COB JUD CRECER PRE-HONRAMIENTO CPEM 7 D</v>
          </cell>
        </row>
        <row r="30424">
          <cell r="B30424" t="str">
            <v>81080613010103</v>
          </cell>
          <cell r="C30424" t="str">
            <v>JCC COB JUD CRECER PRE-HONRAMIENTO CPEM 7 D</v>
          </cell>
        </row>
        <row r="30425">
          <cell r="B30425" t="str">
            <v>81080613020100</v>
          </cell>
          <cell r="C30425" t="str">
            <v>JCC CART.508 COB JUD REACTIVA PERU NO RE7 D</v>
          </cell>
        </row>
        <row r="30426">
          <cell r="B30426" t="str">
            <v>81080613020101</v>
          </cell>
          <cell r="C30426" t="str">
            <v>JCC CART.508 COB JUD REACTIVA PERU NO RE7 D</v>
          </cell>
        </row>
        <row r="30427">
          <cell r="B30427" t="str">
            <v>81080613020102</v>
          </cell>
          <cell r="C30427" t="str">
            <v>JCC COB JUD REACTIVA BC PERU NO REVOLV C7 D</v>
          </cell>
        </row>
        <row r="30428">
          <cell r="B30428" t="str">
            <v>81080613020103</v>
          </cell>
          <cell r="C30428" t="str">
            <v>JCC COB JUD REACTIVA MP PERU NO REVOLV C7 D</v>
          </cell>
        </row>
        <row r="30429">
          <cell r="B30429" t="str">
            <v>81080802010100</v>
          </cell>
          <cell r="C30429" t="str">
            <v>LPC REACTIVA PERU VIG CMIE\NORM         7ND</v>
          </cell>
        </row>
        <row r="30430">
          <cell r="B30430" t="str">
            <v>81080802010101</v>
          </cell>
          <cell r="C30430" t="str">
            <v>LPC REACTIVA PERU VIG CMIE\DUPE         7ND</v>
          </cell>
        </row>
        <row r="30431">
          <cell r="B30431" t="str">
            <v>81080802010102</v>
          </cell>
          <cell r="C30431" t="str">
            <v>LPC REACTIVA PERU VIG CMIE\NORM         7ND</v>
          </cell>
        </row>
        <row r="30432">
          <cell r="B30432" t="str">
            <v>81080802010103</v>
          </cell>
          <cell r="C30432" t="str">
            <v>LPC REACTIVA PERU VIG CMIE\DUPE         7ND</v>
          </cell>
        </row>
        <row r="30433">
          <cell r="B30433" t="str">
            <v>81080802010104</v>
          </cell>
          <cell r="C30433" t="str">
            <v>LPC REACTIVA PERU VEN CMIE\NORM         7ND</v>
          </cell>
        </row>
        <row r="30434">
          <cell r="B30434" t="str">
            <v>81080802010105</v>
          </cell>
          <cell r="C30434" t="str">
            <v>LPC REACTIVA PERU VEN CMIE\DUPE         7ND</v>
          </cell>
        </row>
        <row r="30435">
          <cell r="B30435" t="str">
            <v>81080802010106</v>
          </cell>
          <cell r="C30435" t="str">
            <v>LPC REACTIVA PERU VEN CMIE\NORM         7ND</v>
          </cell>
        </row>
        <row r="30436">
          <cell r="B30436" t="str">
            <v>81080802010107</v>
          </cell>
          <cell r="C30436" t="str">
            <v>LPC REACTIVA PERU VEN CMIE\DUPE         7ND</v>
          </cell>
        </row>
        <row r="30437">
          <cell r="B30437" t="str">
            <v>81080802010108</v>
          </cell>
          <cell r="C30437" t="str">
            <v>MYP CODIFE REACTIVA PERU VIG CMIE\NORM  7ND</v>
          </cell>
        </row>
        <row r="30438">
          <cell r="B30438" t="str">
            <v>81080802010109</v>
          </cell>
          <cell r="C30438" t="str">
            <v>MYP CODIFE REACTIVA PERU VEN CMIE\DUPE  7ND</v>
          </cell>
        </row>
        <row r="30439">
          <cell r="B30439" t="str">
            <v>81080802010110</v>
          </cell>
          <cell r="C30439" t="str">
            <v>MYP CODIFE REACTIVA PERU VEN CMIE\NORM  7ND</v>
          </cell>
        </row>
        <row r="30440">
          <cell r="B30440" t="str">
            <v>81080802010111</v>
          </cell>
          <cell r="C30440" t="str">
            <v>MYP CODIFE REACTIVA PERU VIG CMIE\DUPE  7ND</v>
          </cell>
        </row>
        <row r="30441">
          <cell r="B30441" t="str">
            <v>81080802020100</v>
          </cell>
          <cell r="C30441" t="str">
            <v>JCC PRE JUD INTERES REACTIVA PERU NO REV7ND</v>
          </cell>
        </row>
        <row r="30442">
          <cell r="B30442" t="str">
            <v>81080802020101</v>
          </cell>
          <cell r="C30442" t="str">
            <v>JCC PRE JUD INTERES REACTIVA PERU NO REV7 D</v>
          </cell>
        </row>
        <row r="30443">
          <cell r="B30443" t="str">
            <v>81080802020102</v>
          </cell>
          <cell r="C30443" t="str">
            <v>LPC REFINANCIADO REACTIVA CMIE INT      7 D</v>
          </cell>
        </row>
        <row r="30444">
          <cell r="B30444" t="str">
            <v>81080802020103</v>
          </cell>
          <cell r="C30444" t="str">
            <v>LPC REPROG REACTIVA DIFE CMIE INT       7ND</v>
          </cell>
        </row>
        <row r="30445">
          <cell r="B30445" t="str">
            <v>81080802020104</v>
          </cell>
          <cell r="C30445" t="str">
            <v>JCC PRE.JUD INT GAN CRECER PRE-HONRAMIEN7 D</v>
          </cell>
        </row>
        <row r="30446">
          <cell r="B30446" t="str">
            <v>81080802020105</v>
          </cell>
          <cell r="C30446" t="str">
            <v>JCC PRE.JUD INT GAN CRECER PRE-HONRAMIEN7 D</v>
          </cell>
        </row>
        <row r="30447">
          <cell r="B30447" t="str">
            <v>81080802020106</v>
          </cell>
          <cell r="C30447" t="str">
            <v>JCC COB.JU INT.SUSP CRECER PRE-HONRAMIEN7 D</v>
          </cell>
        </row>
        <row r="30448">
          <cell r="B30448" t="str">
            <v>81080802020107</v>
          </cell>
          <cell r="C30448" t="str">
            <v>JCC COB.JU INT.SUSP CRECER PRE-HONRAMIEN7 D</v>
          </cell>
        </row>
        <row r="30449">
          <cell r="B30449" t="str">
            <v>81080802020108</v>
          </cell>
          <cell r="C30449" t="str">
            <v>JCC PRE.JUD INT GAN CRECER PRE-HONRAMIEN7 D</v>
          </cell>
        </row>
        <row r="30450">
          <cell r="B30450" t="str">
            <v>81080802020109</v>
          </cell>
          <cell r="C30450" t="str">
            <v>JCC PRE.JUD INT GAN CRECER PRE-HONRAMIEN7 D</v>
          </cell>
        </row>
        <row r="30451">
          <cell r="B30451" t="str">
            <v>81080802020110</v>
          </cell>
          <cell r="C30451" t="str">
            <v>JCC COB.JU INT.SUSP CRECER PRE-HONRAMIEN7 D</v>
          </cell>
        </row>
        <row r="30452">
          <cell r="B30452" t="str">
            <v>81080802020111</v>
          </cell>
          <cell r="C30452" t="str">
            <v>JCC COB.JU INT.SUSP CRECER PRE-HONRAMIEN7 D</v>
          </cell>
        </row>
        <row r="30453">
          <cell r="B30453" t="str">
            <v>81080810010100</v>
          </cell>
          <cell r="C30453" t="str">
            <v>LPC REACTIVA PERU VIG CCOR\NORM         7ND</v>
          </cell>
        </row>
        <row r="30454">
          <cell r="B30454" t="str">
            <v>81080810010101</v>
          </cell>
          <cell r="C30454" t="str">
            <v>LPC REACTIVA PERU VIG CCOR\DUPE         7ND</v>
          </cell>
        </row>
        <row r="30455">
          <cell r="B30455" t="str">
            <v>81080810010102</v>
          </cell>
          <cell r="C30455" t="str">
            <v>LPC REACTIVA PERU VIG CCOR\NORM         7ND</v>
          </cell>
        </row>
        <row r="30456">
          <cell r="B30456" t="str">
            <v>81080810010103</v>
          </cell>
          <cell r="C30456" t="str">
            <v>LPC REACTIVA PERU VIG CCOR\DUPE         7ND</v>
          </cell>
        </row>
        <row r="30457">
          <cell r="B30457" t="str">
            <v>81080810010104</v>
          </cell>
          <cell r="C30457" t="str">
            <v>LPC REACTIVA PERU VEN CCOR\NORM         7ND</v>
          </cell>
        </row>
        <row r="30458">
          <cell r="B30458" t="str">
            <v>81080810010105</v>
          </cell>
          <cell r="C30458" t="str">
            <v>LPC REACTIVA PERU VEN CCOR\DUPE         7ND</v>
          </cell>
        </row>
        <row r="30459">
          <cell r="B30459" t="str">
            <v>81080810010106</v>
          </cell>
          <cell r="C30459" t="str">
            <v>LPC REACTIVA PERU VEN CCOR\NORM         7ND</v>
          </cell>
        </row>
        <row r="30460">
          <cell r="B30460" t="str">
            <v>81080810010107</v>
          </cell>
          <cell r="C30460" t="str">
            <v>LPC REACTIVA PERU VEN CCOR\DUPE         7ND</v>
          </cell>
        </row>
        <row r="30461">
          <cell r="B30461" t="str">
            <v>81080810010108</v>
          </cell>
          <cell r="C30461" t="str">
            <v>MYP COFIDE REACTIVA PERU   VEN CCOR DUPE7ND</v>
          </cell>
        </row>
        <row r="30462">
          <cell r="B30462" t="str">
            <v>81080810010109</v>
          </cell>
          <cell r="C30462" t="str">
            <v>MYP COFIDE REACTIVA PERU   VEN CCOR NORM7ND</v>
          </cell>
        </row>
        <row r="30463">
          <cell r="B30463" t="str">
            <v>81080810010110</v>
          </cell>
          <cell r="C30463" t="str">
            <v>MYP COFIDE REACTIVA PERU   VIG CCOR NORM7ND</v>
          </cell>
        </row>
        <row r="30464">
          <cell r="B30464" t="str">
            <v>81080810020100</v>
          </cell>
          <cell r="C30464" t="str">
            <v>LPC REACTIVA PERU VIG CCOR\NORM         7ND</v>
          </cell>
        </row>
        <row r="30465">
          <cell r="B30465" t="str">
            <v>81080810020101</v>
          </cell>
          <cell r="C30465" t="str">
            <v>LPC REACTIVA PERU VIG CCOR\DUPE         7ND</v>
          </cell>
        </row>
        <row r="30466">
          <cell r="B30466" t="str">
            <v>81080810020102</v>
          </cell>
          <cell r="C30466" t="str">
            <v>LPC REACTIVA PERU VIG CCOR\NORM         7ND</v>
          </cell>
        </row>
        <row r="30467">
          <cell r="B30467" t="str">
            <v>81080810020103</v>
          </cell>
          <cell r="C30467" t="str">
            <v>LPC REACTIVA PERU VIG CCOR\DUPE         7ND</v>
          </cell>
        </row>
        <row r="30468">
          <cell r="B30468" t="str">
            <v>81080810020104</v>
          </cell>
          <cell r="C30468" t="str">
            <v>LPC REACTIVA PERU VEN CCOR\NORM         7ND</v>
          </cell>
        </row>
        <row r="30469">
          <cell r="B30469" t="str">
            <v>81080810020105</v>
          </cell>
          <cell r="C30469" t="str">
            <v>LPC REACTIVA PERU VEN CCOR\DUPE         7ND</v>
          </cell>
        </row>
        <row r="30470">
          <cell r="B30470" t="str">
            <v>81080810020106</v>
          </cell>
          <cell r="C30470" t="str">
            <v>LPC REACTIVA PERU VEN CCOR\NORM         7ND</v>
          </cell>
        </row>
        <row r="30471">
          <cell r="B30471" t="str">
            <v>81080810020107</v>
          </cell>
          <cell r="C30471" t="str">
            <v>LPC REACTIVA PERU VEN CCOR\DUPE         7ND</v>
          </cell>
        </row>
        <row r="30472">
          <cell r="B30472" t="str">
            <v>81080810020108</v>
          </cell>
          <cell r="C30472" t="str">
            <v>JCC PRE JUD INTERES REACTIVA PERU NO REV7ND</v>
          </cell>
        </row>
        <row r="30473">
          <cell r="B30473" t="str">
            <v>81080810020109</v>
          </cell>
          <cell r="C30473" t="str">
            <v>JCC PRE JUD INTERES REACTIVA PERU NO REV7 D</v>
          </cell>
        </row>
        <row r="30474">
          <cell r="B30474" t="str">
            <v>81080810020110</v>
          </cell>
          <cell r="C30474" t="str">
            <v>LPC REFINANCIADO REACTIVA CCOR INT      7 D</v>
          </cell>
        </row>
        <row r="30475">
          <cell r="B30475" t="str">
            <v>81080810020111</v>
          </cell>
          <cell r="C30475" t="str">
            <v>LPC REPROG REACTIVA DIFE CCOR INT       7ND</v>
          </cell>
        </row>
        <row r="30476">
          <cell r="B30476" t="str">
            <v>81080810020112</v>
          </cell>
          <cell r="C30476" t="str">
            <v>JCC PRE.JUD INT GAN CRECER PRE-HONRAMIEN7 D</v>
          </cell>
        </row>
        <row r="30477">
          <cell r="B30477" t="str">
            <v>81080810020113</v>
          </cell>
          <cell r="C30477" t="str">
            <v>JCC PRE.JUD INT GAN CRECER PRE-HONRAMIEN7 D</v>
          </cell>
        </row>
        <row r="30478">
          <cell r="B30478" t="str">
            <v>81080810020114</v>
          </cell>
          <cell r="C30478" t="str">
            <v>JCC COB.JU INT.SUSP CRECER PRE-HONRAMIEN7 D</v>
          </cell>
        </row>
        <row r="30479">
          <cell r="B30479" t="str">
            <v>81080810020115</v>
          </cell>
          <cell r="C30479" t="str">
            <v>JCC COB.JU INT.SUSP CRECER PRE-HONRAMIEN7 D</v>
          </cell>
        </row>
        <row r="30480">
          <cell r="B30480" t="str">
            <v>81080810020116</v>
          </cell>
          <cell r="C30480" t="str">
            <v>JCC PRE.JUD INT GAN CRECER PRE-HONRAMIEN7 D</v>
          </cell>
        </row>
        <row r="30481">
          <cell r="B30481" t="str">
            <v>81080810020117</v>
          </cell>
          <cell r="C30481" t="str">
            <v>JCC PRE.JUD INT GAN CRECER PRE-HONRAMIEN7 D</v>
          </cell>
        </row>
        <row r="30482">
          <cell r="B30482" t="str">
            <v>81080810020118</v>
          </cell>
          <cell r="C30482" t="str">
            <v>JCC COB.JU INT.SUSP CRECER PRE-HONRAMIEN7 D</v>
          </cell>
        </row>
        <row r="30483">
          <cell r="B30483" t="str">
            <v>81080810020119</v>
          </cell>
          <cell r="C30483" t="str">
            <v>JCC COB.JU INT.SUSP CRECER PRE-HONRAMIEN7 D</v>
          </cell>
        </row>
        <row r="30484">
          <cell r="B30484" t="str">
            <v>81080811010100</v>
          </cell>
          <cell r="C30484" t="str">
            <v>LPC REACTIVA PERU VIG CGEM\NORM         7ND</v>
          </cell>
        </row>
        <row r="30485">
          <cell r="B30485" t="str">
            <v>81080811010101</v>
          </cell>
          <cell r="C30485" t="str">
            <v>LPC REACTIVA PERU VIG CGEM\DUPE         7ND</v>
          </cell>
        </row>
        <row r="30486">
          <cell r="B30486" t="str">
            <v>81080811010102</v>
          </cell>
          <cell r="C30486" t="str">
            <v>LPC REACTIVA PERU VIG CGEM\NORM         7ND</v>
          </cell>
        </row>
        <row r="30487">
          <cell r="B30487" t="str">
            <v>81080811010103</v>
          </cell>
          <cell r="C30487" t="str">
            <v>LPC REACTIVA PERU VIG CGEM\DUPE         7ND</v>
          </cell>
        </row>
        <row r="30488">
          <cell r="B30488" t="str">
            <v>81080811010104</v>
          </cell>
          <cell r="C30488" t="str">
            <v>LPC REACTIVA PERU VEN CGEM\NORM         7ND</v>
          </cell>
        </row>
        <row r="30489">
          <cell r="B30489" t="str">
            <v>81080811010105</v>
          </cell>
          <cell r="C30489" t="str">
            <v>LPC REACTIVA PERU VEN CGEM\DUPE         7ND</v>
          </cell>
        </row>
        <row r="30490">
          <cell r="B30490" t="str">
            <v>81080811010106</v>
          </cell>
          <cell r="C30490" t="str">
            <v>LPC REACTIVA PERU VEN CGEM\NORM         7ND</v>
          </cell>
        </row>
        <row r="30491">
          <cell r="B30491" t="str">
            <v>81080811010107</v>
          </cell>
          <cell r="C30491" t="str">
            <v>LPC REACTIVA PERU VEN CGEM\DUPE         7ND</v>
          </cell>
        </row>
        <row r="30492">
          <cell r="B30492" t="str">
            <v>81080811010108</v>
          </cell>
          <cell r="C30492" t="str">
            <v>MYP COFIDE REACTIVA PERU   VEN CGEM DUPE7ND</v>
          </cell>
        </row>
        <row r="30493">
          <cell r="B30493" t="str">
            <v>81080811010109</v>
          </cell>
          <cell r="C30493" t="str">
            <v>MYP COFIDE REACTIVA PERU   VEN CGEM NORM7ND</v>
          </cell>
        </row>
        <row r="30494">
          <cell r="B30494" t="str">
            <v>81080811010110</v>
          </cell>
          <cell r="C30494" t="str">
            <v>MYP COFIDE REACTIVA PERU   VIG CGEM NORM7ND</v>
          </cell>
        </row>
        <row r="30495">
          <cell r="B30495" t="str">
            <v>81080811020100</v>
          </cell>
          <cell r="C30495" t="str">
            <v>LPC REACTIVA PERU VIG CGEM\NORM         7ND</v>
          </cell>
        </row>
        <row r="30496">
          <cell r="B30496" t="str">
            <v>81080811020101</v>
          </cell>
          <cell r="C30496" t="str">
            <v>LPC REACTIVA PERU VIG CGEM\DUPE         7ND</v>
          </cell>
        </row>
        <row r="30497">
          <cell r="B30497" t="str">
            <v>81080811020102</v>
          </cell>
          <cell r="C30497" t="str">
            <v>LPC REACTIVA PERU VIG CGEM\NORM         7ND</v>
          </cell>
        </row>
        <row r="30498">
          <cell r="B30498" t="str">
            <v>81080811020103</v>
          </cell>
          <cell r="C30498" t="str">
            <v>LPC REACTIVA PERU VIG CGEM\DUPE         7ND</v>
          </cell>
        </row>
        <row r="30499">
          <cell r="B30499" t="str">
            <v>81080811020104</v>
          </cell>
          <cell r="C30499" t="str">
            <v>LPC REACTIVA PERU VEN CGEM\NORM         7ND</v>
          </cell>
        </row>
        <row r="30500">
          <cell r="B30500" t="str">
            <v>81080811020105</v>
          </cell>
          <cell r="C30500" t="str">
            <v>LPC REACTIVA PERU VEN CGEM\DUPE         7ND</v>
          </cell>
        </row>
        <row r="30501">
          <cell r="B30501" t="str">
            <v>81080811020106</v>
          </cell>
          <cell r="C30501" t="str">
            <v>LPC REACTIVA PERU VEN CGEM\NORM         7ND</v>
          </cell>
        </row>
        <row r="30502">
          <cell r="B30502" t="str">
            <v>81080811020107</v>
          </cell>
          <cell r="C30502" t="str">
            <v>LPC REACTIVA PERU VEN CGEM\DUPE         7ND</v>
          </cell>
        </row>
        <row r="30503">
          <cell r="B30503" t="str">
            <v>81080811020108</v>
          </cell>
          <cell r="C30503" t="str">
            <v>JCC PRE JUD INTERES REACTIVA PERU NO REV7ND</v>
          </cell>
        </row>
        <row r="30504">
          <cell r="B30504" t="str">
            <v>81080811020109</v>
          </cell>
          <cell r="C30504" t="str">
            <v>JCC PRE JUD INTERES REACTIVA PERU NO REV7 D</v>
          </cell>
        </row>
        <row r="30505">
          <cell r="B30505" t="str">
            <v>81080811020111</v>
          </cell>
          <cell r="C30505" t="str">
            <v>LPC REPROG REACTIVA DIFE CGEM INT       7ND</v>
          </cell>
        </row>
        <row r="30506">
          <cell r="B30506" t="str">
            <v>81080811020112</v>
          </cell>
          <cell r="C30506" t="str">
            <v>JCC PRE.JUD INT GAN CRECER PRE-HONRAMIEN7 D</v>
          </cell>
        </row>
        <row r="30507">
          <cell r="B30507" t="str">
            <v>81080811020113</v>
          </cell>
          <cell r="C30507" t="str">
            <v>JCC PRE.JUD INT GAN CRECER PRE-HONRAMIEN7 D</v>
          </cell>
        </row>
        <row r="30508">
          <cell r="B30508" t="str">
            <v>81080811020114</v>
          </cell>
          <cell r="C30508" t="str">
            <v>JCC COB.JU INT.SUSP CRECER PRE-HONRAMIEN7 D</v>
          </cell>
        </row>
        <row r="30509">
          <cell r="B30509" t="str">
            <v>81080811020115</v>
          </cell>
          <cell r="C30509" t="str">
            <v>JCC COB.JU INT.SUSP CRECER PRE-HONRAMIEN7 D</v>
          </cell>
        </row>
        <row r="30510">
          <cell r="B30510" t="str">
            <v>81080811020116</v>
          </cell>
          <cell r="C30510" t="str">
            <v>JCC PRE.JUD INT GAN CRECER PRE-HONRAMIEN7 D</v>
          </cell>
        </row>
        <row r="30511">
          <cell r="B30511" t="str">
            <v>81080811020117</v>
          </cell>
          <cell r="C30511" t="str">
            <v>JCC PRE.JUD INT GAN CRECER PRE-HONRAMIEN7 D</v>
          </cell>
        </row>
        <row r="30512">
          <cell r="B30512" t="str">
            <v>81080811020118</v>
          </cell>
          <cell r="C30512" t="str">
            <v>JCC COB.JU INT.SUSP CRECER PRE-HONRAMIEN7 D</v>
          </cell>
        </row>
        <row r="30513">
          <cell r="B30513" t="str">
            <v>81080811020119</v>
          </cell>
          <cell r="C30513" t="str">
            <v>JCC COB.JU INT.SUSP CRECER PRE-HONRAMIEN7 D</v>
          </cell>
        </row>
        <row r="30514">
          <cell r="B30514" t="str">
            <v>81080812010100</v>
          </cell>
          <cell r="C30514" t="str">
            <v>MYP CODIFE REACTIVA PERU VIG CMED\NORM  7ND</v>
          </cell>
        </row>
        <row r="30515">
          <cell r="B30515" t="str">
            <v>81080812010101</v>
          </cell>
          <cell r="C30515" t="str">
            <v>MYP CODIFE REACTIVA PERU VEN CMED\DUPE  7ND</v>
          </cell>
        </row>
        <row r="30516">
          <cell r="B30516" t="str">
            <v>81080812010102</v>
          </cell>
          <cell r="C30516" t="str">
            <v>MYP CODIFE REACTIVA PERU VEN CMED\NORM  7ND</v>
          </cell>
        </row>
        <row r="30517">
          <cell r="B30517" t="str">
            <v>81080812010103</v>
          </cell>
          <cell r="C30517" t="str">
            <v>MYP CODIFE REACTIVA PERU VIG CMED\DUPE  7ND</v>
          </cell>
        </row>
        <row r="30518">
          <cell r="B30518" t="str">
            <v>81080812010104</v>
          </cell>
          <cell r="C30518" t="str">
            <v>LPC REACTIVA PERU VIG CMED\NORM         7ND</v>
          </cell>
        </row>
        <row r="30519">
          <cell r="B30519" t="str">
            <v>81080812010105</v>
          </cell>
          <cell r="C30519" t="str">
            <v>LPC REACTIVA PERU VIG CMED\DUPE         7ND</v>
          </cell>
        </row>
        <row r="30520">
          <cell r="B30520" t="str">
            <v>81080812010106</v>
          </cell>
          <cell r="C30520" t="str">
            <v>LPC REACTIVA PERU VIG CMED\NORM         7ND</v>
          </cell>
        </row>
        <row r="30521">
          <cell r="B30521" t="str">
            <v>81080812010107</v>
          </cell>
          <cell r="C30521" t="str">
            <v>LPC REACTIVA PERU VIG CMED\DUPE         7ND</v>
          </cell>
        </row>
        <row r="30522">
          <cell r="B30522" t="str">
            <v>81080812010108</v>
          </cell>
          <cell r="C30522" t="str">
            <v>LPC REACTIVA PERU VEN CMED\NORM         7ND</v>
          </cell>
        </row>
        <row r="30523">
          <cell r="B30523" t="str">
            <v>81080812010109</v>
          </cell>
          <cell r="C30523" t="str">
            <v>LPC REACTIVA PERU VEN CMED\DUPE         7ND</v>
          </cell>
        </row>
        <row r="30524">
          <cell r="B30524" t="str">
            <v>81080812010110</v>
          </cell>
          <cell r="C30524" t="str">
            <v>LPC REACTIVA PERU VEN CMED\NORM         7ND</v>
          </cell>
        </row>
        <row r="30525">
          <cell r="B30525" t="str">
            <v>81080812010111</v>
          </cell>
          <cell r="C30525" t="str">
            <v>LPC REACTIVA PERU VEN CMED\DUPE         7ND</v>
          </cell>
        </row>
        <row r="30526">
          <cell r="B30526" t="str">
            <v>81080812020100</v>
          </cell>
          <cell r="C30526" t="str">
            <v>LPC REACTIVA PERU VIG CMED\NORM         7ND</v>
          </cell>
        </row>
        <row r="30527">
          <cell r="B30527" t="str">
            <v>81080812020101</v>
          </cell>
          <cell r="C30527" t="str">
            <v>LPC REACTIVA PERU VIG CMED\DUPE         7ND</v>
          </cell>
        </row>
        <row r="30528">
          <cell r="B30528" t="str">
            <v>81080812020102</v>
          </cell>
          <cell r="C30528" t="str">
            <v>LPC REACTIVA PERU VIG CMED\NORM         7ND</v>
          </cell>
        </row>
        <row r="30529">
          <cell r="B30529" t="str">
            <v>81080812020103</v>
          </cell>
          <cell r="C30529" t="str">
            <v>LPC REACTIVA PERU VIG CMED\DUPE         7ND</v>
          </cell>
        </row>
        <row r="30530">
          <cell r="B30530" t="str">
            <v>81080812020104</v>
          </cell>
          <cell r="C30530" t="str">
            <v>LPC REACTIVA PERU VEN CMED\NORM         7ND</v>
          </cell>
        </row>
        <row r="30531">
          <cell r="B30531" t="str">
            <v>81080812020105</v>
          </cell>
          <cell r="C30531" t="str">
            <v>LPC REACTIVA PERU VEN CMED\DUPE         7ND</v>
          </cell>
        </row>
        <row r="30532">
          <cell r="B30532" t="str">
            <v>81080812020106</v>
          </cell>
          <cell r="C30532" t="str">
            <v>LPC REACTIVA PERU VEN CMED\NORM         7ND</v>
          </cell>
        </row>
        <row r="30533">
          <cell r="B30533" t="str">
            <v>81080812020107</v>
          </cell>
          <cell r="C30533" t="str">
            <v>LPC REACTIVA PERU VEN CMED\DUPE         7ND</v>
          </cell>
        </row>
        <row r="30534">
          <cell r="B30534" t="str">
            <v>81080812020108</v>
          </cell>
          <cell r="C30534" t="str">
            <v>JCC PRE JUD INTERES REACTIVA PERU NO REV7ND</v>
          </cell>
        </row>
        <row r="30535">
          <cell r="B30535" t="str">
            <v>81080812020109</v>
          </cell>
          <cell r="C30535" t="str">
            <v>JCC PRE JUD INTERES REACTIVA PERU NO REV7 D</v>
          </cell>
        </row>
        <row r="30536">
          <cell r="B30536" t="str">
            <v>81080812020111</v>
          </cell>
          <cell r="C30536" t="str">
            <v>LPC REPROG REACTIVA DIFE CMED INT       7ND</v>
          </cell>
        </row>
        <row r="30537">
          <cell r="B30537" t="str">
            <v>81080812020112</v>
          </cell>
          <cell r="C30537" t="str">
            <v>JCC PRE.JUD INT GAN CRECER PRE-HONRAMIEN7 D</v>
          </cell>
        </row>
        <row r="30538">
          <cell r="B30538" t="str">
            <v>81080812020113</v>
          </cell>
          <cell r="C30538" t="str">
            <v>JCC PRE.JUD INT GAN CRECER PRE-HONRAMIEN7 D</v>
          </cell>
        </row>
        <row r="30539">
          <cell r="B30539" t="str">
            <v>81080812020114</v>
          </cell>
          <cell r="C30539" t="str">
            <v>JCC COB.JU INT.SUSP CRECER PRE-HONRAMIEN7 D</v>
          </cell>
        </row>
        <row r="30540">
          <cell r="B30540" t="str">
            <v>81080812020115</v>
          </cell>
          <cell r="C30540" t="str">
            <v>JCC COB.JU INT.SUSP CRECER PRE-HONRAMIEN7 D</v>
          </cell>
        </row>
        <row r="30541">
          <cell r="B30541" t="str">
            <v>81080812020116</v>
          </cell>
          <cell r="C30541" t="str">
            <v>JCC PRE.JUD INT GAN CRECER PRE-HONRAMIEN7 D</v>
          </cell>
        </row>
        <row r="30542">
          <cell r="B30542" t="str">
            <v>81080812020117</v>
          </cell>
          <cell r="C30542" t="str">
            <v>JCC PRE.JUD INT GAN CRECER PRE-HONRAMIEN7 D</v>
          </cell>
        </row>
        <row r="30543">
          <cell r="B30543" t="str">
            <v>81080812020118</v>
          </cell>
          <cell r="C30543" t="str">
            <v>JCC COB.JU INT.SUSP CRECER PRE-HONRAMIEN7 D</v>
          </cell>
        </row>
        <row r="30544">
          <cell r="B30544" t="str">
            <v>81080812020119</v>
          </cell>
          <cell r="C30544" t="str">
            <v>JCC COB.JU INT.SUSP CRECER PRE-HONRAMIEN7 D</v>
          </cell>
        </row>
        <row r="30545">
          <cell r="B30545" t="str">
            <v>81080813010100</v>
          </cell>
          <cell r="C30545" t="str">
            <v>LPC REACTIVA PERU VIG CPEM\NORM         7ND</v>
          </cell>
        </row>
        <row r="30546">
          <cell r="B30546" t="str">
            <v>81080813010101</v>
          </cell>
          <cell r="C30546" t="str">
            <v>LPC REACTIVA PERU VIG CPEM\DUPE         7ND</v>
          </cell>
        </row>
        <row r="30547">
          <cell r="B30547" t="str">
            <v>81080813010102</v>
          </cell>
          <cell r="C30547" t="str">
            <v>LPC REACTIVA PERU VIG CPEM\NORM         7ND</v>
          </cell>
        </row>
        <row r="30548">
          <cell r="B30548" t="str">
            <v>81080813010103</v>
          </cell>
          <cell r="C30548" t="str">
            <v>LPC REACTIVA PERU VIG CPEM\DUPE         7ND</v>
          </cell>
        </row>
        <row r="30549">
          <cell r="B30549" t="str">
            <v>81080813010104</v>
          </cell>
          <cell r="C30549" t="str">
            <v>LPC REACTIVA PERU VEN CPEM\NORM         7ND</v>
          </cell>
        </row>
        <row r="30550">
          <cell r="B30550" t="str">
            <v>81080813010105</v>
          </cell>
          <cell r="C30550" t="str">
            <v>LPC REACTIVA PERU VEN CPEM\DUPE         7ND</v>
          </cell>
        </row>
        <row r="30551">
          <cell r="B30551" t="str">
            <v>81080813010106</v>
          </cell>
          <cell r="C30551" t="str">
            <v>LPC REACTIVA PERU VEN CPEM\NORM         7ND</v>
          </cell>
        </row>
        <row r="30552">
          <cell r="B30552" t="str">
            <v>81080813010107</v>
          </cell>
          <cell r="C30552" t="str">
            <v>LPC REACTIVA PERU VEN CPEM\DUPE         7ND</v>
          </cell>
        </row>
        <row r="30553">
          <cell r="B30553" t="str">
            <v>81080813010108</v>
          </cell>
          <cell r="C30553" t="str">
            <v>MYP CODIFE REACTIVA PERU VIG CPEM\NORM  7ND</v>
          </cell>
        </row>
        <row r="30554">
          <cell r="B30554" t="str">
            <v>81080813010109</v>
          </cell>
          <cell r="C30554" t="str">
            <v>MYP CODIFE REACTIVA PERU VEN CPEM\DUPE  7ND</v>
          </cell>
        </row>
        <row r="30555">
          <cell r="B30555" t="str">
            <v>81080813010110</v>
          </cell>
          <cell r="C30555" t="str">
            <v>MYP CODIFE REACTIVA PERU VEN CPEM\NORM  7ND</v>
          </cell>
        </row>
        <row r="30556">
          <cell r="B30556" t="str">
            <v>81080813010111</v>
          </cell>
          <cell r="C30556" t="str">
            <v>MYP CODIFE REACTIVA PERU VIG CPEM\DUPE  7ND</v>
          </cell>
        </row>
        <row r="30557">
          <cell r="B30557" t="str">
            <v>81080813020100</v>
          </cell>
          <cell r="C30557" t="str">
            <v>JCC PRE JUD INTERES REACTIVA PERU NO REV7ND</v>
          </cell>
        </row>
        <row r="30558">
          <cell r="B30558" t="str">
            <v>81080813020101</v>
          </cell>
          <cell r="C30558" t="str">
            <v>JCC PRE JUD INTERES REACTIVA PERU NO REV7 D</v>
          </cell>
        </row>
        <row r="30559">
          <cell r="B30559" t="str">
            <v>81080813020102</v>
          </cell>
          <cell r="C30559" t="str">
            <v>LPC REFINANCIADO REACTIVA CPEM INT      7 D</v>
          </cell>
        </row>
        <row r="30560">
          <cell r="B30560" t="str">
            <v>81080813020103</v>
          </cell>
          <cell r="C30560" t="str">
            <v>LPC REPROG REACTIVA DIFE CPEM INT       7ND</v>
          </cell>
        </row>
        <row r="30561">
          <cell r="B30561" t="str">
            <v>81080813020104</v>
          </cell>
          <cell r="C30561" t="str">
            <v>JCC PRE.JUD INT GAN CRECER PRE-HONRAMIEN7 D</v>
          </cell>
        </row>
        <row r="30562">
          <cell r="B30562" t="str">
            <v>81080813020105</v>
          </cell>
          <cell r="C30562" t="str">
            <v>JCC PRE.JUD INT GAN CRECER PRE-HONRAMIEN7 D</v>
          </cell>
        </row>
        <row r="30563">
          <cell r="B30563" t="str">
            <v>81080813020106</v>
          </cell>
          <cell r="C30563" t="str">
            <v>JCC COB.JU INT.SUSP CRECER PRE-HONRAMIEN7 D</v>
          </cell>
        </row>
        <row r="30564">
          <cell r="B30564" t="str">
            <v>81080813020107</v>
          </cell>
          <cell r="C30564" t="str">
            <v>JCC COB.JU INT.SUSP CRECER PRE-HONRAMIEN7 D</v>
          </cell>
        </row>
        <row r="30565">
          <cell r="B30565" t="str">
            <v>81080813020108</v>
          </cell>
          <cell r="C30565" t="str">
            <v>JCC PRE.JUD INT GAN CRECER PRE-HONRAMIEN7 D</v>
          </cell>
        </row>
        <row r="30566">
          <cell r="B30566" t="str">
            <v>81080813020109</v>
          </cell>
          <cell r="C30566" t="str">
            <v>JCC PRE.JUD INT GAN CRECER PRE-HONRAMIEN7 D</v>
          </cell>
        </row>
        <row r="30567">
          <cell r="B30567" t="str">
            <v>81080813020110</v>
          </cell>
          <cell r="C30567" t="str">
            <v>JCC COB.JU INT.SUSP CRECER PRE-HONRAMIEN7 D</v>
          </cell>
        </row>
        <row r="30568">
          <cell r="B30568" t="str">
            <v>81080813020111</v>
          </cell>
          <cell r="C30568" t="str">
            <v>JCC COB.JU INT.SUSP CRECER PRE-HONRAMIEN7 D</v>
          </cell>
        </row>
        <row r="30569">
          <cell r="B30569" t="str">
            <v>81081102010100</v>
          </cell>
          <cell r="C30569" t="str">
            <v>LPC 30K REACTIVA C.PLZ REPROG C/GTIA VIG7ND</v>
          </cell>
        </row>
        <row r="30570">
          <cell r="B30570" t="str">
            <v>81081102010101</v>
          </cell>
          <cell r="C30570" t="str">
            <v>LPC 30K REACTIVA MED PLAZO REPROG C/GTIA7ND</v>
          </cell>
        </row>
        <row r="30571">
          <cell r="B30571" t="str">
            <v>81081102010102</v>
          </cell>
          <cell r="C30571" t="str">
            <v>MYP REACTIVA PERU REPROG C/GTIA VIG CMIE7ND</v>
          </cell>
        </row>
        <row r="30572">
          <cell r="B30572" t="str">
            <v>81081102020100</v>
          </cell>
          <cell r="C30572" t="str">
            <v>LPC 30K REACTIVA C.PLZ REPROG S/GTIA VIG7ND</v>
          </cell>
        </row>
        <row r="30573">
          <cell r="B30573" t="str">
            <v>81081102020101</v>
          </cell>
          <cell r="C30573" t="str">
            <v>LPC 30K REACTIVA MED PLAZO REPROG S/GTIA7ND</v>
          </cell>
        </row>
        <row r="30574">
          <cell r="B30574" t="str">
            <v>81081102020102</v>
          </cell>
          <cell r="C30574" t="str">
            <v>MYP REACTIVA PERU REPROG S/GTIA VIG CMIE7ND</v>
          </cell>
        </row>
        <row r="30575">
          <cell r="B30575" t="str">
            <v>81081102020103</v>
          </cell>
          <cell r="C30575" t="str">
            <v>LPC REPROG REACTIVA DIFE CMIE VIG       7 D</v>
          </cell>
        </row>
        <row r="30576">
          <cell r="B30576" t="str">
            <v>81081110010100</v>
          </cell>
          <cell r="C30576" t="str">
            <v>LPC 30K REACTIVA C.PLZ REPROG C/GTIA VIG7ND</v>
          </cell>
        </row>
        <row r="30577">
          <cell r="B30577" t="str">
            <v>81081110010101</v>
          </cell>
          <cell r="C30577" t="str">
            <v>LPC 30K REACTIVA MED PLAZO REPROG C/GTIA7ND</v>
          </cell>
        </row>
        <row r="30578">
          <cell r="B30578" t="str">
            <v>81081110010102</v>
          </cell>
          <cell r="C30578" t="str">
            <v>MYP REACTIVA PERU REPROG C/GTIA VIG CCOR7ND</v>
          </cell>
        </row>
        <row r="30579">
          <cell r="B30579" t="str">
            <v>81081110020100</v>
          </cell>
          <cell r="C30579" t="str">
            <v>LPC 30K REACTIVA C.PLZ REPROG S/GTIA VIG7ND</v>
          </cell>
        </row>
        <row r="30580">
          <cell r="B30580" t="str">
            <v>81081110020101</v>
          </cell>
          <cell r="C30580" t="str">
            <v>LPC 30K REACTIVA MED PLAZO REPROG S/GTIA7ND</v>
          </cell>
        </row>
        <row r="30581">
          <cell r="B30581" t="str">
            <v>81081110020102</v>
          </cell>
          <cell r="C30581" t="str">
            <v>MYP REACTIVA PERU REPROG S/GTIA VIG CCOR7ND</v>
          </cell>
        </row>
        <row r="30582">
          <cell r="B30582" t="str">
            <v>81081110020103</v>
          </cell>
          <cell r="C30582" t="str">
            <v>LPC REPROG REACTIVA DIFE CCOR VIG       7 D</v>
          </cell>
        </row>
        <row r="30583">
          <cell r="B30583" t="str">
            <v>81081111010100</v>
          </cell>
          <cell r="C30583" t="str">
            <v>LPC 30K REACTIVA C.PLZ REPROG C/GTIA VIG7ND</v>
          </cell>
        </row>
        <row r="30584">
          <cell r="B30584" t="str">
            <v>81081111010101</v>
          </cell>
          <cell r="C30584" t="str">
            <v>LPC 30K REACTIVA MED PLAZO REPROG C/GTIA7ND</v>
          </cell>
        </row>
        <row r="30585">
          <cell r="B30585" t="str">
            <v>81081111010102</v>
          </cell>
          <cell r="C30585" t="str">
            <v>MYP REACTIVA PERU REPROG C/GTIA VIG CGEM7ND</v>
          </cell>
        </row>
        <row r="30586">
          <cell r="B30586" t="str">
            <v>81081111010103</v>
          </cell>
          <cell r="C30586" t="str">
            <v>MYP REACTIVA REPROG DS.011-2022  C/GTIA 7 D</v>
          </cell>
        </row>
        <row r="30587">
          <cell r="B30587" t="str">
            <v>81081111020100</v>
          </cell>
          <cell r="C30587" t="str">
            <v>LPC 30K REACTIVA C.PLZ REPROG S/GTIA VIG7ND</v>
          </cell>
        </row>
        <row r="30588">
          <cell r="B30588" t="str">
            <v>81081111020101</v>
          </cell>
          <cell r="C30588" t="str">
            <v>LPC 30K REACTIVA MED PLAZO REPROG S/GTIA7ND</v>
          </cell>
        </row>
        <row r="30589">
          <cell r="B30589" t="str">
            <v>81081111020102</v>
          </cell>
          <cell r="C30589" t="str">
            <v>MYP REACTIVA PERU REPROG S/GTIA VIG CGEM7ND</v>
          </cell>
        </row>
        <row r="30590">
          <cell r="B30590" t="str">
            <v>81081111020103</v>
          </cell>
          <cell r="C30590" t="str">
            <v>LPC REFINANCIADO REACTIVA CGEM VIG      7 D</v>
          </cell>
        </row>
        <row r="30591">
          <cell r="B30591" t="str">
            <v>81081111020104</v>
          </cell>
          <cell r="C30591" t="str">
            <v>LPC REPROG REACTIVA DIFE CGEM VIG       7 D</v>
          </cell>
        </row>
        <row r="30592">
          <cell r="B30592" t="str">
            <v>81081111020107</v>
          </cell>
          <cell r="C30592" t="str">
            <v>LPC CRED REPROG REACTIVA DIFE CGEM VIG N7 D</v>
          </cell>
        </row>
        <row r="30593">
          <cell r="B30593" t="str">
            <v>81081112010100</v>
          </cell>
          <cell r="C30593" t="str">
            <v>LPC 30K REACTIVA C.PLZ REPROG C/GTIA VIG7 D</v>
          </cell>
        </row>
        <row r="30594">
          <cell r="B30594" t="str">
            <v>81081112010101</v>
          </cell>
          <cell r="C30594" t="str">
            <v>LPC 30K REACTIVA MED PLAZO REPROG C/GTIA7ND</v>
          </cell>
        </row>
        <row r="30595">
          <cell r="B30595" t="str">
            <v>81081112010102</v>
          </cell>
          <cell r="C30595" t="str">
            <v>MYP REACTIVA PERU REPROG C/GTIA VIG CMED7 D</v>
          </cell>
        </row>
        <row r="30596">
          <cell r="B30596" t="str">
            <v>81081112020100</v>
          </cell>
          <cell r="C30596" t="str">
            <v>LPC 30K REACTIVA C.PLZ REPROG S/GTIA VIG7ND</v>
          </cell>
        </row>
        <row r="30597">
          <cell r="B30597" t="str">
            <v>81081112020101</v>
          </cell>
          <cell r="C30597" t="str">
            <v>LPC 30K REACTIVA MED PLAZO REPROG S/GTIA7ND</v>
          </cell>
        </row>
        <row r="30598">
          <cell r="B30598" t="str">
            <v>81081112020102</v>
          </cell>
          <cell r="C30598" t="str">
            <v>MYP REACTIVA PERU REPROG S/GTIA VIG CMED7ND</v>
          </cell>
        </row>
        <row r="30599">
          <cell r="B30599" t="str">
            <v>81081112020103</v>
          </cell>
          <cell r="C30599" t="str">
            <v>LPC REFINANCIADO REACTIVA CMED VIG      7 D</v>
          </cell>
        </row>
        <row r="30600">
          <cell r="B30600" t="str">
            <v>81081112020104</v>
          </cell>
          <cell r="C30600" t="str">
            <v>LPC REPROG REACTIVA DIFE CMED VIG       7 D</v>
          </cell>
        </row>
        <row r="30601">
          <cell r="B30601" t="str">
            <v>81081112020106</v>
          </cell>
          <cell r="C30601" t="str">
            <v>LPC CRED REPROG REACTIVA DIFE CMED VIG N7 D</v>
          </cell>
        </row>
        <row r="30602">
          <cell r="B30602" t="str">
            <v>81081113010100</v>
          </cell>
          <cell r="C30602" t="str">
            <v>LPC 30K REACTIVA C.PLZ REPROG C/GTIA VIG7 D</v>
          </cell>
        </row>
        <row r="30603">
          <cell r="B30603" t="str">
            <v>81081113010101</v>
          </cell>
          <cell r="C30603" t="str">
            <v>LPC 30K REACTIVA MED PLAZO REPROG C/GTIA7ND</v>
          </cell>
        </row>
        <row r="30604">
          <cell r="B30604" t="str">
            <v>81081113010102</v>
          </cell>
          <cell r="C30604" t="str">
            <v>MYP REACTIVA PERU REPROG C/GTIA VIG CPEM7 D</v>
          </cell>
        </row>
        <row r="30605">
          <cell r="B30605" t="str">
            <v>81081113010103</v>
          </cell>
          <cell r="C30605" t="str">
            <v>MYP REACTIVA REPROG DS.011-2022  C/GTIA 7 D</v>
          </cell>
        </row>
        <row r="30606">
          <cell r="B30606" t="str">
            <v>81081113020100</v>
          </cell>
          <cell r="C30606" t="str">
            <v>LPC 30K REACTIVA C.PLZ REPROG S/GTIA VIG7ND</v>
          </cell>
        </row>
        <row r="30607">
          <cell r="B30607" t="str">
            <v>81081113020101</v>
          </cell>
          <cell r="C30607" t="str">
            <v>LPC 30K REACTIVA MED PLAZO REPROG S/GTIA7ND</v>
          </cell>
        </row>
        <row r="30608">
          <cell r="B30608" t="str">
            <v>81081113020102</v>
          </cell>
          <cell r="C30608" t="str">
            <v>MYP REACTIVA PERU REPROG S/GTIA VIG CPEM7ND</v>
          </cell>
        </row>
        <row r="30609">
          <cell r="B30609" t="str">
            <v>81081113020103</v>
          </cell>
          <cell r="C30609" t="str">
            <v>LPC REPROG REACTIVA DIFE CPEM VIG       7 D</v>
          </cell>
        </row>
        <row r="30610">
          <cell r="B30610" t="str">
            <v>81081114010100</v>
          </cell>
          <cell r="C30610" t="str">
            <v>LPC 30K REACTIVA C.PLZ REPROG C/GTIA VEN7ND</v>
          </cell>
        </row>
        <row r="30611">
          <cell r="B30611" t="str">
            <v>81081114010101</v>
          </cell>
          <cell r="C30611" t="str">
            <v>LPC 30K REACTIVA MED PLAZO REPROG C/GTIA7ND</v>
          </cell>
        </row>
        <row r="30612">
          <cell r="B30612" t="str">
            <v>81081114010102</v>
          </cell>
          <cell r="C30612" t="str">
            <v>MYP REACTIVA PERU REPROG C/GTIA VEN CMIE7 D</v>
          </cell>
        </row>
        <row r="30613">
          <cell r="B30613" t="str">
            <v>81081114010103</v>
          </cell>
          <cell r="C30613" t="str">
            <v>JCC PRE JU REACTIVA PRE-HONRAMIENTO REPR7 D</v>
          </cell>
        </row>
        <row r="30614">
          <cell r="B30614" t="str">
            <v>81081114010104</v>
          </cell>
          <cell r="C30614" t="str">
            <v>JCC PRE JU REACTIVA PRE-HONRAMIENTO REPR7 D</v>
          </cell>
        </row>
        <row r="30615">
          <cell r="B30615" t="str">
            <v>81081114020100</v>
          </cell>
          <cell r="C30615" t="str">
            <v>LPC 30K REACTIVA C.PLZ REPROG S/GTIA VEN7ND</v>
          </cell>
        </row>
        <row r="30616">
          <cell r="B30616" t="str">
            <v>81081114020101</v>
          </cell>
          <cell r="C30616" t="str">
            <v>LPC 30K REACTIVA MED PLAZO REPROG S/GTIA7ND</v>
          </cell>
        </row>
        <row r="30617">
          <cell r="B30617" t="str">
            <v>81081114020102</v>
          </cell>
          <cell r="C30617" t="str">
            <v>MYP REACTIVA PERU REPROG S/GTIA VEN CMIE7ND</v>
          </cell>
        </row>
        <row r="30618">
          <cell r="B30618" t="str">
            <v>81081114020103</v>
          </cell>
          <cell r="C30618" t="str">
            <v>LPC REPROG REACTIVA DIFE CMIE VEN       7 D</v>
          </cell>
        </row>
        <row r="30619">
          <cell r="B30619" t="str">
            <v>81081115010100</v>
          </cell>
          <cell r="C30619" t="str">
            <v>LPC 30K REACTIVA C.PLZ REPROG C/GTIA VEN7ND</v>
          </cell>
        </row>
        <row r="30620">
          <cell r="B30620" t="str">
            <v>81081115010101</v>
          </cell>
          <cell r="C30620" t="str">
            <v>LPC 30K REACTIVA MED PLAZO REPROG C/GTIA7ND</v>
          </cell>
        </row>
        <row r="30621">
          <cell r="B30621" t="str">
            <v>81081115010102</v>
          </cell>
          <cell r="C30621" t="str">
            <v>MYP REACTIVA PERU REPROG C/GTIA VEN CCOR7ND</v>
          </cell>
        </row>
        <row r="30622">
          <cell r="B30622" t="str">
            <v>81081115010103</v>
          </cell>
          <cell r="C30622" t="str">
            <v>JCC PRE JU REACTIVA PRE-HONRAMIENTO REPR7 D</v>
          </cell>
        </row>
        <row r="30623">
          <cell r="B30623" t="str">
            <v>81081115010104</v>
          </cell>
          <cell r="C30623" t="str">
            <v>JCC PRE JU REACTIVA PRE-HONRAMIENTO REPR7 D</v>
          </cell>
        </row>
        <row r="30624">
          <cell r="B30624" t="str">
            <v>81081115020100</v>
          </cell>
          <cell r="C30624" t="str">
            <v>LPC 30K REACTIVA C.PLZ REPROG S/GTIA VEN7ND</v>
          </cell>
        </row>
        <row r="30625">
          <cell r="B30625" t="str">
            <v>81081115020101</v>
          </cell>
          <cell r="C30625" t="str">
            <v>LPC 30K REACTIVA MED PLAZO REPROG S/GTIA7ND</v>
          </cell>
        </row>
        <row r="30626">
          <cell r="B30626" t="str">
            <v>81081115020102</v>
          </cell>
          <cell r="C30626" t="str">
            <v>MYP REACTIVA PERU REPROG S/GTIA VEN CCOR7ND</v>
          </cell>
        </row>
        <row r="30627">
          <cell r="B30627" t="str">
            <v>81081115020103</v>
          </cell>
          <cell r="C30627" t="str">
            <v>LPC REPROG REACTIVA DIFE CCOR VEN       7 D</v>
          </cell>
        </row>
        <row r="30628">
          <cell r="B30628" t="str">
            <v>81081116010100</v>
          </cell>
          <cell r="C30628" t="str">
            <v>LPC 30K REACTIVA C.PLZ REPROG C/GTIA VEN7ND</v>
          </cell>
        </row>
        <row r="30629">
          <cell r="B30629" t="str">
            <v>81081116010101</v>
          </cell>
          <cell r="C30629" t="str">
            <v>LPC 30K REACTIVA MED PLAZO REPROG C/GTIA7ND</v>
          </cell>
        </row>
        <row r="30630">
          <cell r="B30630" t="str">
            <v>81081116010102</v>
          </cell>
          <cell r="C30630" t="str">
            <v>MYP REACTIVA PERU REPROG C/GTIA VEN CGEM7ND</v>
          </cell>
        </row>
        <row r="30631">
          <cell r="B30631" t="str">
            <v>81081116010103</v>
          </cell>
          <cell r="C30631" t="str">
            <v>JCC PRE JU REACTIVA PRE-HONRAMIENTO REPR7 D</v>
          </cell>
        </row>
        <row r="30632">
          <cell r="B30632" t="str">
            <v>81081116010104</v>
          </cell>
          <cell r="C30632" t="str">
            <v>JCC PRE JU REACTIVA PRE-HONRAMIENTO REPR7 D</v>
          </cell>
        </row>
        <row r="30633">
          <cell r="B30633" t="str">
            <v>81081116010105</v>
          </cell>
          <cell r="C30633" t="str">
            <v>MYP REACTIVA REPROG DS.011-2022 C/GTIA V7 D</v>
          </cell>
        </row>
        <row r="30634">
          <cell r="B30634" t="str">
            <v>81081116010106</v>
          </cell>
          <cell r="C30634" t="str">
            <v>MYP REACTIVA REPROG DS.011-2022 C/GTIA V7 D</v>
          </cell>
        </row>
        <row r="30635">
          <cell r="B30635" t="str">
            <v>81081116020100</v>
          </cell>
          <cell r="C30635" t="str">
            <v>LPC 30K REACTIVA C.PLZ REPROG S/GTIA VEN7ND</v>
          </cell>
        </row>
        <row r="30636">
          <cell r="B30636" t="str">
            <v>81081116020101</v>
          </cell>
          <cell r="C30636" t="str">
            <v>LPC 30K REACTIVA MED PLAZO REPROG S/GTIA7ND</v>
          </cell>
        </row>
        <row r="30637">
          <cell r="B30637" t="str">
            <v>81081116020102</v>
          </cell>
          <cell r="C30637" t="str">
            <v>MYP REACTIVA PERU REPROG S/GTIA VEN CGEM7ND</v>
          </cell>
        </row>
        <row r="30638">
          <cell r="B30638" t="str">
            <v>81081116020103</v>
          </cell>
          <cell r="C30638" t="str">
            <v>LPC REFINANCIADO REACTIVA CGEM VEN      7 D</v>
          </cell>
        </row>
        <row r="30639">
          <cell r="B30639" t="str">
            <v>81081116020104</v>
          </cell>
          <cell r="C30639" t="str">
            <v>LPC REPROG REACTIVA DIFE CGEM VEN       7 D</v>
          </cell>
        </row>
        <row r="30640">
          <cell r="B30640" t="str">
            <v>81081117010100</v>
          </cell>
          <cell r="C30640" t="str">
            <v>LPC 30K REACTIVA C.PLZ REPROG C/GTIA VEN7 D</v>
          </cell>
        </row>
        <row r="30641">
          <cell r="B30641" t="str">
            <v>81081117010101</v>
          </cell>
          <cell r="C30641" t="str">
            <v>LPC 30K REACTIVA MED PLAZO REPROG C/GTIA7ND</v>
          </cell>
        </row>
        <row r="30642">
          <cell r="B30642" t="str">
            <v>81081117010102</v>
          </cell>
          <cell r="C30642" t="str">
            <v>MYP REACTIVA PERU REPROG C/GTIA VEN CMED7 D</v>
          </cell>
        </row>
        <row r="30643">
          <cell r="B30643" t="str">
            <v>81081117010103</v>
          </cell>
          <cell r="C30643" t="str">
            <v>JCC PRE JU REACTIVA PRE-HONRAMIENTO REPR7 D</v>
          </cell>
        </row>
        <row r="30644">
          <cell r="B30644" t="str">
            <v>81081117010104</v>
          </cell>
          <cell r="C30644" t="str">
            <v>JCC PRE JU REACTIVA PRE-HONRAMIENTO REPR7 D</v>
          </cell>
        </row>
        <row r="30645">
          <cell r="B30645" t="str">
            <v>81081117020100</v>
          </cell>
          <cell r="C30645" t="str">
            <v>LPC 30K REACTIVA C.PLZ REPROG S/GTIA VEN7ND</v>
          </cell>
        </row>
        <row r="30646">
          <cell r="B30646" t="str">
            <v>81081117020101</v>
          </cell>
          <cell r="C30646" t="str">
            <v>LPC 30K REACTIVA MED PLAZO REPROG S/GTIA7ND</v>
          </cell>
        </row>
        <row r="30647">
          <cell r="B30647" t="str">
            <v>81081117020102</v>
          </cell>
          <cell r="C30647" t="str">
            <v>MYP REACTIVA PERU REPROG S/GTIA VEN CMED7ND</v>
          </cell>
        </row>
        <row r="30648">
          <cell r="B30648" t="str">
            <v>81081117020103</v>
          </cell>
          <cell r="C30648" t="str">
            <v>LPC REFINANCIADO REACTIVA CMED VEN      7 D</v>
          </cell>
        </row>
        <row r="30649">
          <cell r="B30649" t="str">
            <v>81081117020104</v>
          </cell>
          <cell r="C30649" t="str">
            <v>LPC REPROG REACTIVA DIFE CMED VEN       7 D</v>
          </cell>
        </row>
        <row r="30650">
          <cell r="B30650" t="str">
            <v>81081118010100</v>
          </cell>
          <cell r="C30650" t="str">
            <v>LPC 30K REACTIVA C.PLZ REPROG C/GTIA VEN7 D</v>
          </cell>
        </row>
        <row r="30651">
          <cell r="B30651" t="str">
            <v>81081118010101</v>
          </cell>
          <cell r="C30651" t="str">
            <v>LPC 30K REACTIVA MED PLAZO REPROG C/GTIA7ND</v>
          </cell>
        </row>
        <row r="30652">
          <cell r="B30652" t="str">
            <v>81081118010102</v>
          </cell>
          <cell r="C30652" t="str">
            <v>MYP REACTIVA PERU REPROG C/GTIA VEN CPEM7 D</v>
          </cell>
        </row>
        <row r="30653">
          <cell r="B30653" t="str">
            <v>81081118010103</v>
          </cell>
          <cell r="C30653" t="str">
            <v>JCC PRE JU REACTIVA PRE-HONRAMIENTO REPR7 D</v>
          </cell>
        </row>
        <row r="30654">
          <cell r="B30654" t="str">
            <v>81081118010104</v>
          </cell>
          <cell r="C30654" t="str">
            <v>JCC PRE JU REACTIVA PRE-HONRAMIENTO REPR7 D</v>
          </cell>
        </row>
        <row r="30655">
          <cell r="B30655" t="str">
            <v>81081118020100</v>
          </cell>
          <cell r="C30655" t="str">
            <v>LPC 30K REACTIVA C.PLZ REPROG S/GTIA VEN7ND</v>
          </cell>
        </row>
        <row r="30656">
          <cell r="B30656" t="str">
            <v>81081118020101</v>
          </cell>
          <cell r="C30656" t="str">
            <v>LPC 30K REACTIVA MED PLAZO REPROG S/GTIA7ND</v>
          </cell>
        </row>
        <row r="30657">
          <cell r="B30657" t="str">
            <v>81081118020102</v>
          </cell>
          <cell r="C30657" t="str">
            <v>MYP REACTIVA PERU REPROG S/GTIA VEN CPEM7ND</v>
          </cell>
        </row>
        <row r="30658">
          <cell r="B30658" t="str">
            <v>81081118020103</v>
          </cell>
          <cell r="C30658" t="str">
            <v>LPC REPROG REACTIVA DIFE CPEM VEN       7 D</v>
          </cell>
        </row>
        <row r="30659">
          <cell r="B30659" t="str">
            <v>81081120010100</v>
          </cell>
          <cell r="C30659" t="str">
            <v>LPC 30K REACTIVA C.PLZ REPROG INT DEV CM7 D</v>
          </cell>
        </row>
        <row r="30660">
          <cell r="B30660" t="str">
            <v>81081120010101</v>
          </cell>
          <cell r="C30660" t="str">
            <v>LPC 30K REACTIVA MED PLAZO REPROG INT DE7ND</v>
          </cell>
        </row>
        <row r="30661">
          <cell r="B30661" t="str">
            <v>81081120010102</v>
          </cell>
          <cell r="C30661" t="str">
            <v>MYP REACTIVA REPROG INT DEV CMIE        7 D</v>
          </cell>
        </row>
        <row r="30662">
          <cell r="B30662" t="str">
            <v>81081120020100</v>
          </cell>
          <cell r="C30662" t="str">
            <v>LPC 30K REACTIVA C.PLZ REPROG INT PER CM7ND</v>
          </cell>
        </row>
        <row r="30663">
          <cell r="B30663" t="str">
            <v>81081120020101</v>
          </cell>
          <cell r="C30663" t="str">
            <v>LPC 30K REACTIVA MED PLAZO REPROG INT PE7ND</v>
          </cell>
        </row>
        <row r="30664">
          <cell r="B30664" t="str">
            <v>81081120020102</v>
          </cell>
          <cell r="C30664" t="str">
            <v>MYP REACTIVA REPROG INT PER CMIE        7ND</v>
          </cell>
        </row>
        <row r="30665">
          <cell r="B30665" t="str">
            <v>81081120020103</v>
          </cell>
          <cell r="C30665" t="str">
            <v>LPC REPROG REACTIVA DIFE CMIE INT       7 D</v>
          </cell>
        </row>
        <row r="30666">
          <cell r="B30666" t="str">
            <v>81081120020104</v>
          </cell>
          <cell r="C30666" t="str">
            <v>JCC COB.JU INT.SUSP REACTI PRE-HONR REPR7 D</v>
          </cell>
        </row>
        <row r="30667">
          <cell r="B30667" t="str">
            <v>81081120020105</v>
          </cell>
          <cell r="C30667" t="str">
            <v>JCC COB.JU INT.SUSP REACTI PRE-HONR REPR7 D</v>
          </cell>
        </row>
        <row r="30668">
          <cell r="B30668" t="str">
            <v>81081120020106</v>
          </cell>
          <cell r="C30668" t="str">
            <v>JCC PRE.JUD INT GAN REACT PRE-HONRAM REP7 D</v>
          </cell>
        </row>
        <row r="30669">
          <cell r="B30669" t="str">
            <v>81081120020107</v>
          </cell>
          <cell r="C30669" t="str">
            <v>JCC PRE.JUD INT GAN REACT PRE-HONRAM REP7 D</v>
          </cell>
        </row>
        <row r="30670">
          <cell r="B30670" t="str">
            <v>81081120020108</v>
          </cell>
          <cell r="C30670" t="str">
            <v>JCC COB.JU INT.SUSP REACTI PRE-HONR REPR7 D</v>
          </cell>
        </row>
        <row r="30671">
          <cell r="B30671" t="str">
            <v>81081120020109</v>
          </cell>
          <cell r="C30671" t="str">
            <v>JCC COB.JU INT.SUSP REACTI PRE-HONR REPR7 D</v>
          </cell>
        </row>
        <row r="30672">
          <cell r="B30672" t="str">
            <v>81081120020110</v>
          </cell>
          <cell r="C30672" t="str">
            <v>JCC PRE.JUD INT GAN REACT PRE-HONRAM REP7 D</v>
          </cell>
        </row>
        <row r="30673">
          <cell r="B30673" t="str">
            <v>81081120020111</v>
          </cell>
          <cell r="C30673" t="str">
            <v>JCC PRE.JUD INT GAN REACT PRE-HONRAM REP7 D</v>
          </cell>
        </row>
        <row r="30674">
          <cell r="B30674" t="str">
            <v>81081121010100</v>
          </cell>
          <cell r="C30674" t="str">
            <v>LPC 30K REACTIVA C.PLZ REPROG INT DEV CC7ND</v>
          </cell>
        </row>
        <row r="30675">
          <cell r="B30675" t="str">
            <v>81081121010101</v>
          </cell>
          <cell r="C30675" t="str">
            <v>LPC 30K REACTIVA MED PLAZO REPROG INT DE7ND</v>
          </cell>
        </row>
        <row r="30676">
          <cell r="B30676" t="str">
            <v>81081121010102</v>
          </cell>
          <cell r="C30676" t="str">
            <v>MYP REACTIVA REPROG INT DEV CCOR        7ND</v>
          </cell>
        </row>
        <row r="30677">
          <cell r="B30677" t="str">
            <v>81081121020100</v>
          </cell>
          <cell r="C30677" t="str">
            <v>LPC 30K REACTIVA C.PLZ REPROG INT PER CC7ND</v>
          </cell>
        </row>
        <row r="30678">
          <cell r="B30678" t="str">
            <v>81081121020101</v>
          </cell>
          <cell r="C30678" t="str">
            <v>LPC 30K REACTIVA MED PLAZO REPROG INT PE7ND</v>
          </cell>
        </row>
        <row r="30679">
          <cell r="B30679" t="str">
            <v>81081121020102</v>
          </cell>
          <cell r="C30679" t="str">
            <v>MYP REACTIVA REPROG INT PER CCOR        7ND</v>
          </cell>
        </row>
        <row r="30680">
          <cell r="B30680" t="str">
            <v>81081121020103</v>
          </cell>
          <cell r="C30680" t="str">
            <v>LPC REPROG REACTIVA DIFE CCOR INT       7 D</v>
          </cell>
        </row>
        <row r="30681">
          <cell r="B30681" t="str">
            <v>81081121020104</v>
          </cell>
          <cell r="C30681" t="str">
            <v>JCC COB.JU INT.SUSP REACTI PRE-HONR REPR7 D</v>
          </cell>
        </row>
        <row r="30682">
          <cell r="B30682" t="str">
            <v>81081121020105</v>
          </cell>
          <cell r="C30682" t="str">
            <v>JCC COB.JU INT.SUSP REACTI PRE-HONR REPR7 D</v>
          </cell>
        </row>
        <row r="30683">
          <cell r="B30683" t="str">
            <v>81081121020106</v>
          </cell>
          <cell r="C30683" t="str">
            <v>JCC PRE.JUD INT GAN REACT PRE-HONRAM REP7 D</v>
          </cell>
        </row>
        <row r="30684">
          <cell r="B30684" t="str">
            <v>81081121020107</v>
          </cell>
          <cell r="C30684" t="str">
            <v>JCC PRE.JUD INT GAN REACT PRE-HONRAM REP7 D</v>
          </cell>
        </row>
        <row r="30685">
          <cell r="B30685" t="str">
            <v>81081121020108</v>
          </cell>
          <cell r="C30685" t="str">
            <v>JCC COB.JU INT.SUSP REACTI PRE-HONR REPR7 D</v>
          </cell>
        </row>
        <row r="30686">
          <cell r="B30686" t="str">
            <v>81081121020109</v>
          </cell>
          <cell r="C30686" t="str">
            <v>JCC COB.JU INT.SUSP REACTI PRE-HONR REPR7 D</v>
          </cell>
        </row>
        <row r="30687">
          <cell r="B30687" t="str">
            <v>81081121020110</v>
          </cell>
          <cell r="C30687" t="str">
            <v>JCC PRE.JUD INT GAN REACT PRE-HONRAM REP7 D</v>
          </cell>
        </row>
        <row r="30688">
          <cell r="B30688" t="str">
            <v>81081121020111</v>
          </cell>
          <cell r="C30688" t="str">
            <v>JCC PRE.JUD INT GAN REACT PRE-HONRAM REP7 D</v>
          </cell>
        </row>
        <row r="30689">
          <cell r="B30689" t="str">
            <v>81081122010100</v>
          </cell>
          <cell r="C30689" t="str">
            <v>LPC 30K REACTIVA C.PLZ REPROG INT DEV CG7ND</v>
          </cell>
        </row>
        <row r="30690">
          <cell r="B30690" t="str">
            <v>81081122010101</v>
          </cell>
          <cell r="C30690" t="str">
            <v>LPC 30K REACTIVA MED PLAZO REPROG INT DE7ND</v>
          </cell>
        </row>
        <row r="30691">
          <cell r="B30691" t="str">
            <v>81081122010102</v>
          </cell>
          <cell r="C30691" t="str">
            <v>MYP REACTIVA REPROG INT DEV CGEM        7ND</v>
          </cell>
        </row>
        <row r="30692">
          <cell r="B30692" t="str">
            <v>81081122010103</v>
          </cell>
          <cell r="C30692" t="str">
            <v>MYP REACTIVA REPROG DS.011-2022  INT DEV7 D</v>
          </cell>
        </row>
        <row r="30693">
          <cell r="B30693" t="str">
            <v>81081122020100</v>
          </cell>
          <cell r="C30693" t="str">
            <v>LPC 30K REACTIVA C.PLZ REPROG INT PER CG7ND</v>
          </cell>
        </row>
        <row r="30694">
          <cell r="B30694" t="str">
            <v>81081122020101</v>
          </cell>
          <cell r="C30694" t="str">
            <v>LPC 30K REACTIVA MED PLAZO REPROG INT PE7ND</v>
          </cell>
        </row>
        <row r="30695">
          <cell r="B30695" t="str">
            <v>81081122020102</v>
          </cell>
          <cell r="C30695" t="str">
            <v>MYP REACTIVA REPROG INT PER CGEM        7ND</v>
          </cell>
        </row>
        <row r="30696">
          <cell r="B30696" t="str">
            <v>81081122020103</v>
          </cell>
          <cell r="C30696" t="str">
            <v>LPC REFINANCIADO REACTIVA CGEM INT      7 D</v>
          </cell>
        </row>
        <row r="30697">
          <cell r="B30697" t="str">
            <v>81081122020104</v>
          </cell>
          <cell r="C30697" t="str">
            <v>LPC REPROG REACTIVA DIFE CGEM INT       7 D</v>
          </cell>
        </row>
        <row r="30698">
          <cell r="B30698" t="str">
            <v>81081122020105</v>
          </cell>
          <cell r="C30698" t="str">
            <v>JCC COB.JU INT.SUSP REACTI PRE-HONR REPR7 D</v>
          </cell>
        </row>
        <row r="30699">
          <cell r="B30699" t="str">
            <v>81081122020106</v>
          </cell>
          <cell r="C30699" t="str">
            <v>JCC COB.JU INT.SUSP REACTI PRE-HONR REPR7 D</v>
          </cell>
        </row>
        <row r="30700">
          <cell r="B30700" t="str">
            <v>81081122020107</v>
          </cell>
          <cell r="C30700" t="str">
            <v>JCC PRE.JUD INT GAN REACT PRE-HONRAM REP7 D</v>
          </cell>
        </row>
        <row r="30701">
          <cell r="B30701" t="str">
            <v>81081122020108</v>
          </cell>
          <cell r="C30701" t="str">
            <v>JCC PRE.JUD INT GAN REACT PRE-HONRAM REP7 D</v>
          </cell>
        </row>
        <row r="30702">
          <cell r="B30702" t="str">
            <v>81081122020109</v>
          </cell>
          <cell r="C30702" t="str">
            <v>JCC COB.JU INT.SUSP REACTI PRE-HONR REPR7 D</v>
          </cell>
        </row>
        <row r="30703">
          <cell r="B30703" t="str">
            <v>81081122020110</v>
          </cell>
          <cell r="C30703" t="str">
            <v>JCC COB.JU INT.SUSP REACTI PRE-HONR REPR7 D</v>
          </cell>
        </row>
        <row r="30704">
          <cell r="B30704" t="str">
            <v>81081122020111</v>
          </cell>
          <cell r="C30704" t="str">
            <v>JCC PRE.JUD INT GAN REACT PRE-HONRAM REP7 D</v>
          </cell>
        </row>
        <row r="30705">
          <cell r="B30705" t="str">
            <v>81081122020112</v>
          </cell>
          <cell r="C30705" t="str">
            <v>JCC PRE.JUD INT GAN REACT PRE-HONRAM REP7 D</v>
          </cell>
        </row>
        <row r="30706">
          <cell r="B30706" t="str">
            <v>81081122020113</v>
          </cell>
          <cell r="C30706" t="str">
            <v>LPC CRED REPROG REACTIVA DIFE CGEM INT N7 D</v>
          </cell>
        </row>
        <row r="30707">
          <cell r="B30707" t="str">
            <v>81081123010100</v>
          </cell>
          <cell r="C30707" t="str">
            <v>LPC 30K REACTIVA C.PLZ REPROG INT DEV CM7 D</v>
          </cell>
        </row>
        <row r="30708">
          <cell r="B30708" t="str">
            <v>81081123010101</v>
          </cell>
          <cell r="C30708" t="str">
            <v>LPC 30K REACTIVA MED PLAZO REPROG INT DE7ND</v>
          </cell>
        </row>
        <row r="30709">
          <cell r="B30709" t="str">
            <v>81081123010102</v>
          </cell>
          <cell r="C30709" t="str">
            <v>MYP REACTIVA REPROG INT DEV CMED        7 D</v>
          </cell>
        </row>
        <row r="30710">
          <cell r="B30710" t="str">
            <v>81081123020100</v>
          </cell>
          <cell r="C30710" t="str">
            <v>LPC 30K REACTIVA C.PLZ REPROG INT PER CM7ND</v>
          </cell>
        </row>
        <row r="30711">
          <cell r="B30711" t="str">
            <v>81081123020101</v>
          </cell>
          <cell r="C30711" t="str">
            <v>LPC 30K REACTIVA MED PLAZO REPROG INT PE7ND</v>
          </cell>
        </row>
        <row r="30712">
          <cell r="B30712" t="str">
            <v>81081123020102</v>
          </cell>
          <cell r="C30712" t="str">
            <v>MYP REACTIVA REPROG INT PER CMED        7ND</v>
          </cell>
        </row>
        <row r="30713">
          <cell r="B30713" t="str">
            <v>81081123020103</v>
          </cell>
          <cell r="C30713" t="str">
            <v>LPC REFINANCIADO REACTIVA CMED INT      7 D</v>
          </cell>
        </row>
        <row r="30714">
          <cell r="B30714" t="str">
            <v>81081123020104</v>
          </cell>
          <cell r="C30714" t="str">
            <v>LPC REPROG REACTIVA DIFE CMED INT       7 D</v>
          </cell>
        </row>
        <row r="30715">
          <cell r="B30715" t="str">
            <v>81081123020105</v>
          </cell>
          <cell r="C30715" t="str">
            <v>JCC COB.JU INT.SUSP REACTI PRE-HONR REPR7 D</v>
          </cell>
        </row>
        <row r="30716">
          <cell r="B30716" t="str">
            <v>81081123020106</v>
          </cell>
          <cell r="C30716" t="str">
            <v>JCC COB.JU INT.SUSP REACTI PRE-HONR REPR7 D</v>
          </cell>
        </row>
        <row r="30717">
          <cell r="B30717" t="str">
            <v>81081123020107</v>
          </cell>
          <cell r="C30717" t="str">
            <v>JCC PRE.JUD INT GAN REACT PRE-HONRAM REP7 D</v>
          </cell>
        </row>
        <row r="30718">
          <cell r="B30718" t="str">
            <v>81081123020108</v>
          </cell>
          <cell r="C30718" t="str">
            <v>JCC PRE.JUD INT GAN REACT PRE-HONRAM REP7 D</v>
          </cell>
        </row>
        <row r="30719">
          <cell r="B30719" t="str">
            <v>81081123020109</v>
          </cell>
          <cell r="C30719" t="str">
            <v>JCC COB.JU INT.SUSP REACTI PRE-HONR REPR7 D</v>
          </cell>
        </row>
        <row r="30720">
          <cell r="B30720" t="str">
            <v>81081123020110</v>
          </cell>
          <cell r="C30720" t="str">
            <v>JCC COB.JU INT.SUSP REACTI PRE-HONR REPR7 D</v>
          </cell>
        </row>
        <row r="30721">
          <cell r="B30721" t="str">
            <v>81081123020111</v>
          </cell>
          <cell r="C30721" t="str">
            <v>JCC PRE.JUD INT GAN REACT PRE-HONRAM REP7 D</v>
          </cell>
        </row>
        <row r="30722">
          <cell r="B30722" t="str">
            <v>81081123020112</v>
          </cell>
          <cell r="C30722" t="str">
            <v>JCC PRE.JUD INT GAN REACT PRE-HONRAM REP7 D</v>
          </cell>
        </row>
        <row r="30723">
          <cell r="B30723" t="str">
            <v>81081123020113</v>
          </cell>
          <cell r="C30723" t="str">
            <v>LPC CRED REPROG REACTIVA DIFE CMED INT N7 D</v>
          </cell>
        </row>
        <row r="30724">
          <cell r="B30724" t="str">
            <v>81081124010100</v>
          </cell>
          <cell r="C30724" t="str">
            <v>LPC 30K REACTIVA C.PLZ REPROG INT DEV CP7 D</v>
          </cell>
        </row>
        <row r="30725">
          <cell r="B30725" t="str">
            <v>81081124010101</v>
          </cell>
          <cell r="C30725" t="str">
            <v>LPC 30K REACTIVA MED PLAZO REPROG INT DE7ND</v>
          </cell>
        </row>
        <row r="30726">
          <cell r="B30726" t="str">
            <v>81081124010102</v>
          </cell>
          <cell r="C30726" t="str">
            <v>MYP REACTIVA REPROG INT DEV CPEM        7 D</v>
          </cell>
        </row>
        <row r="30727">
          <cell r="B30727" t="str">
            <v>81081124010103</v>
          </cell>
          <cell r="C30727" t="str">
            <v>MYP REACTIVA REPROG DS.011-2022  INT DEV7 D</v>
          </cell>
        </row>
        <row r="30728">
          <cell r="B30728" t="str">
            <v>81081124020100</v>
          </cell>
          <cell r="C30728" t="str">
            <v>LPC 30K REACTIVA C.PLZ REPROG INT PER CP7ND</v>
          </cell>
        </row>
        <row r="30729">
          <cell r="B30729" t="str">
            <v>81081124020101</v>
          </cell>
          <cell r="C30729" t="str">
            <v>LPC 30K REACTIVA MED PLAZO REPROG INT PE7ND</v>
          </cell>
        </row>
        <row r="30730">
          <cell r="B30730" t="str">
            <v>81081124020102</v>
          </cell>
          <cell r="C30730" t="str">
            <v>MYP REACTIVA REPROG INT PER CPEM        7ND</v>
          </cell>
        </row>
        <row r="30731">
          <cell r="B30731" t="str">
            <v>81081124020103</v>
          </cell>
          <cell r="C30731" t="str">
            <v>LPC REPROG REACTIVA DIFE CPEM INT       7 D</v>
          </cell>
        </row>
        <row r="30732">
          <cell r="B30732" t="str">
            <v>81081124020104</v>
          </cell>
          <cell r="C30732" t="str">
            <v>JCC COB.JU INT.SUSP REACTI PRE-HONR REPR7 D</v>
          </cell>
        </row>
        <row r="30733">
          <cell r="B30733" t="str">
            <v>81081124020105</v>
          </cell>
          <cell r="C30733" t="str">
            <v>JCC COB.JU INT.SUSP REACTI PRE-HONR REPR7 D</v>
          </cell>
        </row>
        <row r="30734">
          <cell r="B30734" t="str">
            <v>81081124020106</v>
          </cell>
          <cell r="C30734" t="str">
            <v>JCC PRE.JUD INT GAN REACT PRE-HONRAM REP7 D</v>
          </cell>
        </row>
        <row r="30735">
          <cell r="B30735" t="str">
            <v>81081124020107</v>
          </cell>
          <cell r="C30735" t="str">
            <v>JCC PRE.JUD INT GAN REACT PRE-HONRAM REP7 D</v>
          </cell>
        </row>
        <row r="30736">
          <cell r="B30736" t="str">
            <v>81081124020108</v>
          </cell>
          <cell r="C30736" t="str">
            <v>JCC COB.JU INT.SUSP REACTI PRE-HONR REPR7 D</v>
          </cell>
        </row>
        <row r="30737">
          <cell r="B30737" t="str">
            <v>81081124020109</v>
          </cell>
          <cell r="C30737" t="str">
            <v>JCC COB.JU INT.SUSP REACTI PRE-HONR REPR7 D</v>
          </cell>
        </row>
        <row r="30738">
          <cell r="B30738" t="str">
            <v>81081124020110</v>
          </cell>
          <cell r="C30738" t="str">
            <v>JCC PRE.JUD INT GAN REACT PRE-HONRAM REP7 D</v>
          </cell>
        </row>
        <row r="30739">
          <cell r="B30739" t="str">
            <v>81081124020111</v>
          </cell>
          <cell r="C30739" t="str">
            <v>JCC PRE.JUD INT GAN REACT PRE-HONRAM REP7 D</v>
          </cell>
        </row>
        <row r="30740">
          <cell r="B30740" t="str">
            <v>81081130010001</v>
          </cell>
          <cell r="C30740" t="str">
            <v>JCC COB JU REACTIVA PRE-HONRAMIENTO REPR7 D</v>
          </cell>
        </row>
        <row r="30741">
          <cell r="B30741" t="str">
            <v>81081130010002</v>
          </cell>
          <cell r="C30741" t="str">
            <v>JCC COB JU REACTIVA PRE-HONRAMIENTO REPR7 D</v>
          </cell>
        </row>
        <row r="30742">
          <cell r="B30742" t="str">
            <v>81081131010001</v>
          </cell>
          <cell r="C30742" t="str">
            <v>JCC COB JU REACTIVA PRE-HONRAMIENTO REPR7 D</v>
          </cell>
        </row>
        <row r="30743">
          <cell r="B30743" t="str">
            <v>81081131010002</v>
          </cell>
          <cell r="C30743" t="str">
            <v>JCC COB JU REACTIVA PRE-HONRAMIENTO REPR7 D</v>
          </cell>
        </row>
        <row r="30744">
          <cell r="B30744" t="str">
            <v>81081132010001</v>
          </cell>
          <cell r="C30744" t="str">
            <v>JCC COB JU REACTIVA PRE-HONRAMIENTO REPR7 D</v>
          </cell>
        </row>
        <row r="30745">
          <cell r="B30745" t="str">
            <v>81081132010002</v>
          </cell>
          <cell r="C30745" t="str">
            <v>JCC COB JU REACTIVA PRE-HONRAMIENTO REPR7 D</v>
          </cell>
        </row>
        <row r="30746">
          <cell r="B30746" t="str">
            <v>81081133010001</v>
          </cell>
          <cell r="C30746" t="str">
            <v>JCC COB JU REACTIVA PRE-HONRAMIENTO REPR7 D</v>
          </cell>
        </row>
        <row r="30747">
          <cell r="B30747" t="str">
            <v>81081133010002</v>
          </cell>
          <cell r="C30747" t="str">
            <v>JCC COB JU REACTIVA PRE-HONRAMIENTO REPR7 D</v>
          </cell>
        </row>
        <row r="30748">
          <cell r="B30748" t="str">
            <v>81081134010001</v>
          </cell>
          <cell r="C30748" t="str">
            <v>JCC COB JU REACTIVA PRE-HONRAMIENTO REPR7 D</v>
          </cell>
        </row>
        <row r="30749">
          <cell r="B30749" t="str">
            <v>81081134010002</v>
          </cell>
          <cell r="C30749" t="str">
            <v>JCC COB JU REACTIVA PRE-HONRAMIENTO REPR7 D</v>
          </cell>
        </row>
        <row r="30750">
          <cell r="B30750" t="str">
            <v>81081202010100</v>
          </cell>
          <cell r="C30750" t="str">
            <v>LPC REPROG REACTIVA DS.011-2022 CMIE VIG7 D</v>
          </cell>
        </row>
        <row r="30751">
          <cell r="B30751" t="str">
            <v>81081202010101</v>
          </cell>
          <cell r="C30751" t="str">
            <v>MYP REPROG REACTIVA DS.011-2022 CPEM  VI7 D</v>
          </cell>
        </row>
        <row r="30752">
          <cell r="B30752" t="str">
            <v>81081202010102</v>
          </cell>
          <cell r="C30752" t="str">
            <v>LPC REPROG REACTIVA 2023 VIG CMIE       7 D</v>
          </cell>
        </row>
        <row r="30753">
          <cell r="B30753" t="str">
            <v>81081202010103</v>
          </cell>
          <cell r="C30753" t="str">
            <v>MYP REPROG REACTIVA 2023 CPEM  VIG      7 D</v>
          </cell>
        </row>
        <row r="30754">
          <cell r="B30754" t="str">
            <v>81081210010100</v>
          </cell>
          <cell r="C30754" t="str">
            <v>LPC REPROG REACTIVA DS.011-2022 CCOR  VI7 D</v>
          </cell>
        </row>
        <row r="30755">
          <cell r="B30755" t="str">
            <v>81081210010101</v>
          </cell>
          <cell r="C30755" t="str">
            <v>LPC REPROG REACTIVA 2023 VIG CCOR       7 D</v>
          </cell>
        </row>
        <row r="30756">
          <cell r="B30756" t="str">
            <v>81081210010102</v>
          </cell>
          <cell r="C30756" t="str">
            <v>MYP REACTIVA REPRO PERU    VIG CCOR DUPE7ND</v>
          </cell>
        </row>
        <row r="30757">
          <cell r="B30757" t="str">
            <v>81081210010103</v>
          </cell>
          <cell r="C30757" t="str">
            <v>MYP REACTIVA REPRO PERU    VIG CCOR NORM7ND</v>
          </cell>
        </row>
        <row r="30758">
          <cell r="B30758" t="str">
            <v>81081210010104</v>
          </cell>
          <cell r="C30758" t="str">
            <v>MYP 30K REACTIVA PERU REPROG 2023   VIG 7ND</v>
          </cell>
        </row>
        <row r="30759">
          <cell r="B30759" t="str">
            <v>81081210010105</v>
          </cell>
          <cell r="C30759" t="str">
            <v>MYP 30K REACTIVA PERU REPROG 2023   VIG 7ND</v>
          </cell>
        </row>
        <row r="30760">
          <cell r="B30760" t="str">
            <v>81081211010100</v>
          </cell>
          <cell r="C30760" t="str">
            <v>LPC REPROG REACTIVA DS.011-2022 CGEM  VI7 D</v>
          </cell>
        </row>
        <row r="30761">
          <cell r="B30761" t="str">
            <v>81081211010101</v>
          </cell>
          <cell r="C30761" t="str">
            <v>MYP REPROG REACTIVA DS.011-2022 CGEM  VI7 D</v>
          </cell>
        </row>
        <row r="30762">
          <cell r="B30762" t="str">
            <v>81081211010102</v>
          </cell>
          <cell r="C30762" t="str">
            <v>LPC REPROG REACTIVA 2023 VIG CGEM       7 D</v>
          </cell>
        </row>
        <row r="30763">
          <cell r="B30763" t="str">
            <v>81081211010103</v>
          </cell>
          <cell r="C30763" t="str">
            <v>MYP 30K REACTIVA PERU REPROG 2023   VIG 7ND</v>
          </cell>
        </row>
        <row r="30764">
          <cell r="B30764" t="str">
            <v>81081211010104</v>
          </cell>
          <cell r="C30764" t="str">
            <v>MYP 30K REACTIVA PERU REPROG 2023   VIG 7ND</v>
          </cell>
        </row>
        <row r="30765">
          <cell r="B30765" t="str">
            <v>81081212010100</v>
          </cell>
          <cell r="C30765" t="str">
            <v>LPC REPROG REACTIVA DS.011-2022 CMED VIG7 D</v>
          </cell>
        </row>
        <row r="30766">
          <cell r="B30766" t="str">
            <v>81081212010101</v>
          </cell>
          <cell r="C30766" t="str">
            <v>MYP REPROG REACTIVA DS.011-2022 CMED  VI7 D</v>
          </cell>
        </row>
        <row r="30767">
          <cell r="B30767" t="str">
            <v>81081212010102</v>
          </cell>
          <cell r="C30767" t="str">
            <v>LPC REPROG REACTIVA 2023 VIG CMED       7 D</v>
          </cell>
        </row>
        <row r="30768">
          <cell r="B30768" t="str">
            <v>81081212010103</v>
          </cell>
          <cell r="C30768" t="str">
            <v>MYP REPROG REACTIVA 2023 CMED  VIG      7 D</v>
          </cell>
        </row>
        <row r="30769">
          <cell r="B30769" t="str">
            <v>81081213010100</v>
          </cell>
          <cell r="C30769" t="str">
            <v>LPC REPROG REACTIVA DS.011-2022 CPEM VIG7 D</v>
          </cell>
        </row>
        <row r="30770">
          <cell r="B30770" t="str">
            <v>81081213010101</v>
          </cell>
          <cell r="C30770" t="str">
            <v>MYP REPROG REACTIVA DS.011-2022 CMIE  VI7 D</v>
          </cell>
        </row>
        <row r="30771">
          <cell r="B30771" t="str">
            <v>81081213010102</v>
          </cell>
          <cell r="C30771" t="str">
            <v>MYP REPROG REACTIVA DS.011-2022 CMIE  VE7 D</v>
          </cell>
        </row>
        <row r="30772">
          <cell r="B30772" t="str">
            <v>81081213010103</v>
          </cell>
          <cell r="C30772" t="str">
            <v>LPC REPROG REACTIVA 2023 VIG CPEM       7 D</v>
          </cell>
        </row>
        <row r="30773">
          <cell r="B30773" t="str">
            <v>81081213010104</v>
          </cell>
          <cell r="C30773" t="str">
            <v>MYP REPROG REACTIVA 2023 CMIE  VIG      7 D</v>
          </cell>
        </row>
        <row r="30774">
          <cell r="B30774" t="str">
            <v>81081214010100</v>
          </cell>
          <cell r="C30774" t="str">
            <v>LPC REPROG REACTIVA DS.011-2022 CMIE NOR7 D</v>
          </cell>
        </row>
        <row r="30775">
          <cell r="B30775" t="str">
            <v>81081214010101</v>
          </cell>
          <cell r="C30775" t="str">
            <v>MYP REPROG REACTIVA DS.011-2022 CPEM  VE7 D</v>
          </cell>
        </row>
        <row r="30776">
          <cell r="B30776" t="str">
            <v>81081214010102</v>
          </cell>
          <cell r="C30776" t="str">
            <v>LPC REPROG REACTIVA 2023 VEN CMIE       7 D</v>
          </cell>
        </row>
        <row r="30777">
          <cell r="B30777" t="str">
            <v>81081214010103</v>
          </cell>
          <cell r="C30777" t="str">
            <v>MYP REPROG REACTIVA 2023 CPEM  VEN      7 D</v>
          </cell>
        </row>
        <row r="30778">
          <cell r="B30778" t="str">
            <v>81081214010104</v>
          </cell>
          <cell r="C30778" t="str">
            <v>JCC PRE JU REACTIVA PRE-HONRAMIENTO REPR7 D</v>
          </cell>
        </row>
        <row r="30779">
          <cell r="B30779" t="str">
            <v>81081214010105</v>
          </cell>
          <cell r="C30779" t="str">
            <v>JCC PRE JU REACTIVA PRE-HONRAMIENTO REPR7 D</v>
          </cell>
        </row>
        <row r="30780">
          <cell r="B30780" t="str">
            <v>81081214010106</v>
          </cell>
          <cell r="C30780" t="str">
            <v>JCC PRE JU REACTIVA PRE-HONRAMIENTO REPR7 D</v>
          </cell>
        </row>
        <row r="30781">
          <cell r="B30781" t="str">
            <v>81081214010107</v>
          </cell>
          <cell r="C30781" t="str">
            <v>JCC PRE JU REACTIVA PRE-HONRAMIENTO REPR7 D</v>
          </cell>
        </row>
        <row r="30782">
          <cell r="B30782" t="str">
            <v>81081215010100</v>
          </cell>
          <cell r="C30782" t="str">
            <v>LPC REPROG REACTIVA DS.011-2022 CCOR NOR7 D</v>
          </cell>
        </row>
        <row r="30783">
          <cell r="B30783" t="str">
            <v>81081215010101</v>
          </cell>
          <cell r="C30783" t="str">
            <v>LPC REPROG REACTIVA 2023 VEN CCOR       7 D</v>
          </cell>
        </row>
        <row r="30784">
          <cell r="B30784" t="str">
            <v>81081215010102</v>
          </cell>
          <cell r="C30784" t="str">
            <v>JCC PRE JU REACTIVA PRE-HONRAMIENTO REPR7 D</v>
          </cell>
        </row>
        <row r="30785">
          <cell r="B30785" t="str">
            <v>81081215010103</v>
          </cell>
          <cell r="C30785" t="str">
            <v>JCC PRE JU REACTIVA PRE-HONRAMIENTO REPR7 D</v>
          </cell>
        </row>
        <row r="30786">
          <cell r="B30786" t="str">
            <v>81081215010104</v>
          </cell>
          <cell r="C30786" t="str">
            <v>JCC PRE JU REACTIVA PRE-HONRAMIENTO REPR7 D</v>
          </cell>
        </row>
        <row r="30787">
          <cell r="B30787" t="str">
            <v>81081215010105</v>
          </cell>
          <cell r="C30787" t="str">
            <v>JCC PRE JU REACTIVA PRE-HONRAMIENTO REPR7 D</v>
          </cell>
        </row>
        <row r="30788">
          <cell r="B30788" t="str">
            <v>81081215010106</v>
          </cell>
          <cell r="C30788" t="str">
            <v>MYP REACTIVA REPRO PERU    VEN CCOR DUPE7ND</v>
          </cell>
        </row>
        <row r="30789">
          <cell r="B30789" t="str">
            <v>81081215010107</v>
          </cell>
          <cell r="C30789" t="str">
            <v>MYP REACTIVA REPRO PERU    VEN CCOR NORM7ND</v>
          </cell>
        </row>
        <row r="30790">
          <cell r="B30790" t="str">
            <v>81081215010108</v>
          </cell>
          <cell r="C30790" t="str">
            <v>MYP 30K REACTIVA PERU REPROG 2023   VEN 7ND</v>
          </cell>
        </row>
        <row r="30791">
          <cell r="B30791" t="str">
            <v>81081215010109</v>
          </cell>
          <cell r="C30791" t="str">
            <v>MYP 30K REACTIVA PERU REPROG 2023   VEN 7ND</v>
          </cell>
        </row>
        <row r="30792">
          <cell r="B30792" t="str">
            <v>81081216010100</v>
          </cell>
          <cell r="C30792" t="str">
            <v>LPC REPROG REACTIVA DS.011-2022 CGEM NOR7 D</v>
          </cell>
        </row>
        <row r="30793">
          <cell r="B30793" t="str">
            <v>81081216010101</v>
          </cell>
          <cell r="C30793" t="str">
            <v>MYP REPROG REACTIVA DS.011-2022 CGEM  VE7 D</v>
          </cell>
        </row>
        <row r="30794">
          <cell r="B30794" t="str">
            <v>81081216010102</v>
          </cell>
          <cell r="C30794" t="str">
            <v>LPC REPROG REACTIVA 2023 VEN CGEM       7 D</v>
          </cell>
        </row>
        <row r="30795">
          <cell r="B30795" t="str">
            <v>81081216010103</v>
          </cell>
          <cell r="C30795" t="str">
            <v>JCC PRE JU REACTIVA PRE-HONRAMIENTO REPR7 D</v>
          </cell>
        </row>
        <row r="30796">
          <cell r="B30796" t="str">
            <v>81081216010104</v>
          </cell>
          <cell r="C30796" t="str">
            <v>JCC PRE JU REACTIVA PRE-HONRAMIENTO REPR7 D</v>
          </cell>
        </row>
        <row r="30797">
          <cell r="B30797" t="str">
            <v>81081216010105</v>
          </cell>
          <cell r="C30797" t="str">
            <v>JCC PRE JU REACTIVA PRE-HONRAMIENTO REPR7 D</v>
          </cell>
        </row>
        <row r="30798">
          <cell r="B30798" t="str">
            <v>81081216010106</v>
          </cell>
          <cell r="C30798" t="str">
            <v>JCC PRE JU REACTIVA PRE-HONRAMIENTO REPR7 D</v>
          </cell>
        </row>
        <row r="30799">
          <cell r="B30799" t="str">
            <v>81081217010100</v>
          </cell>
          <cell r="C30799" t="str">
            <v>LPC REPROG REACTIVA DS.011-2022 CMED NOR7 D</v>
          </cell>
        </row>
        <row r="30800">
          <cell r="B30800" t="str">
            <v>81081217010101</v>
          </cell>
          <cell r="C30800" t="str">
            <v>MYP REPROG REACTIVA DS.011-2022 CMED  VE7 D</v>
          </cell>
        </row>
        <row r="30801">
          <cell r="B30801" t="str">
            <v>81081217010102</v>
          </cell>
          <cell r="C30801" t="str">
            <v>LPC REPROG REACTIVA 2023 VEN CMED       7 D</v>
          </cell>
        </row>
        <row r="30802">
          <cell r="B30802" t="str">
            <v>81081217010103</v>
          </cell>
          <cell r="C30802" t="str">
            <v>MYP REPROG REACTIVA 2023 CMED  VEN      7 D</v>
          </cell>
        </row>
        <row r="30803">
          <cell r="B30803" t="str">
            <v>81081217010104</v>
          </cell>
          <cell r="C30803" t="str">
            <v>JCC PRE JU REACTIVA PRE-HONRAMIENTO REPR7 D</v>
          </cell>
        </row>
        <row r="30804">
          <cell r="B30804" t="str">
            <v>81081217010105</v>
          </cell>
          <cell r="C30804" t="str">
            <v>JCC PRE JU REACTIVA PRE-HONRAMIENTO REPR7 D</v>
          </cell>
        </row>
        <row r="30805">
          <cell r="B30805" t="str">
            <v>81081217010106</v>
          </cell>
          <cell r="C30805" t="str">
            <v>JCC PRE JU REACTIVA PRE-HONRAMIENTO REPR7 D</v>
          </cell>
        </row>
        <row r="30806">
          <cell r="B30806" t="str">
            <v>81081217010107</v>
          </cell>
          <cell r="C30806" t="str">
            <v>JCC PRE JU REACTIVA PRE-HONRAMIENTO REPR7 D</v>
          </cell>
        </row>
        <row r="30807">
          <cell r="B30807" t="str">
            <v>81081218010100</v>
          </cell>
          <cell r="C30807" t="str">
            <v>LPC REPROG REACTIVA DS.011-2022 CPEM NOR7 D</v>
          </cell>
        </row>
        <row r="30808">
          <cell r="B30808" t="str">
            <v>81081218010101</v>
          </cell>
          <cell r="C30808" t="str">
            <v>MYP REPROG REACTIVA DS.011-2022 CPEM VEN7ND</v>
          </cell>
        </row>
        <row r="30809">
          <cell r="B30809" t="str">
            <v>81081218010102</v>
          </cell>
          <cell r="C30809" t="str">
            <v>LPC REPROG REACTIVA 2023 VEN CPEM       7 D</v>
          </cell>
        </row>
        <row r="30810">
          <cell r="B30810" t="str">
            <v>81081218010103</v>
          </cell>
          <cell r="C30810" t="str">
            <v>MYP REPROG REACTIVA 2023 CPEM VEN       7 D</v>
          </cell>
        </row>
        <row r="30811">
          <cell r="B30811" t="str">
            <v>81081218010104</v>
          </cell>
          <cell r="C30811" t="str">
            <v>JCC PRE JU REACTIVA PRE-HONRAMIENTO REPR7 D</v>
          </cell>
        </row>
        <row r="30812">
          <cell r="B30812" t="str">
            <v>81081218010105</v>
          </cell>
          <cell r="C30812" t="str">
            <v>JCC PRE JU REACTIVA PRE-HONRAMIENTO REPR7 D</v>
          </cell>
        </row>
        <row r="30813">
          <cell r="B30813" t="str">
            <v>81081218010106</v>
          </cell>
          <cell r="C30813" t="str">
            <v>JCC PRE JU REACTIVA PRE-HONRAMIENTO REPR7 D</v>
          </cell>
        </row>
        <row r="30814">
          <cell r="B30814" t="str">
            <v>81081218010107</v>
          </cell>
          <cell r="C30814" t="str">
            <v>JCC PRE JU REACTIVA PRE-HONRAMIENTO REPR7 D</v>
          </cell>
        </row>
        <row r="30815">
          <cell r="B30815" t="str">
            <v>81081220010100</v>
          </cell>
          <cell r="C30815" t="str">
            <v>LPC REPROG REACTIVA DS.011-2022 CMIE VIG7 D</v>
          </cell>
        </row>
        <row r="30816">
          <cell r="B30816" t="str">
            <v>81081220010101</v>
          </cell>
          <cell r="C30816" t="str">
            <v>LPC REPROG REACTIVA DS.011-2022 CMIE NOR7 D</v>
          </cell>
        </row>
        <row r="30817">
          <cell r="B30817" t="str">
            <v>81081220010102</v>
          </cell>
          <cell r="C30817" t="str">
            <v>MYP REPROG REACTIVA DS.011-2022 CMIE  VI7 D</v>
          </cell>
        </row>
        <row r="30818">
          <cell r="B30818" t="str">
            <v>81081220010103</v>
          </cell>
          <cell r="C30818" t="str">
            <v>MYP REPROG REACTIVA DS.011-2022 CMIE  VE7 D</v>
          </cell>
        </row>
        <row r="30819">
          <cell r="B30819" t="str">
            <v>81081220010104</v>
          </cell>
          <cell r="C30819" t="str">
            <v>LPC REPROG REACTIVA 2023 DEV CMIE       7 D</v>
          </cell>
        </row>
        <row r="30820">
          <cell r="B30820" t="str">
            <v>81081220010105</v>
          </cell>
          <cell r="C30820" t="str">
            <v>LPC REPROG REACTIVA 2023 DEV CMIE       7 D</v>
          </cell>
        </row>
        <row r="30821">
          <cell r="B30821" t="str">
            <v>81081220010106</v>
          </cell>
          <cell r="C30821" t="str">
            <v>MYP REPROG REACTIVA 2023 CMIE  VIG      7 D</v>
          </cell>
        </row>
        <row r="30822">
          <cell r="B30822" t="str">
            <v>81081220010107</v>
          </cell>
          <cell r="C30822" t="str">
            <v>MYP REPROG REACTIVA 2023 CMIE  VEN      7 D</v>
          </cell>
        </row>
        <row r="30823">
          <cell r="B30823" t="str">
            <v>81081220020001</v>
          </cell>
          <cell r="C30823" t="str">
            <v>JCC PRE.JUD INT GAN REACT PRE-HONRAM REP7 D</v>
          </cell>
        </row>
        <row r="30824">
          <cell r="B30824" t="str">
            <v>81081220020002</v>
          </cell>
          <cell r="C30824" t="str">
            <v>JCC PRE.JUD INT GAN REACT PRE-HONRAM REP7 D</v>
          </cell>
        </row>
        <row r="30825">
          <cell r="B30825" t="str">
            <v>81081220020003</v>
          </cell>
          <cell r="C30825" t="str">
            <v>JCC COB.JU INT.SUSP REACTI PRE-HONR REPR7 D</v>
          </cell>
        </row>
        <row r="30826">
          <cell r="B30826" t="str">
            <v>81081220020004</v>
          </cell>
          <cell r="C30826" t="str">
            <v>JCC COB.JU INT.SUSP REACTI PRE-HONR REPR7 D</v>
          </cell>
        </row>
        <row r="30827">
          <cell r="B30827" t="str">
            <v>81081220020005</v>
          </cell>
          <cell r="C30827" t="str">
            <v>JCC PRE.JUD INT GAN REACT PRE-HONRAM REP7 D</v>
          </cell>
        </row>
        <row r="30828">
          <cell r="B30828" t="str">
            <v>81081220020006</v>
          </cell>
          <cell r="C30828" t="str">
            <v>JCC PRE.JUD INT GAN REACT PRE-HONRAM REP7 D</v>
          </cell>
        </row>
        <row r="30829">
          <cell r="B30829" t="str">
            <v>81081220020007</v>
          </cell>
          <cell r="C30829" t="str">
            <v>JCC COB.JU INT.SUSP REACTI PRE-HONR REPR7 D</v>
          </cell>
        </row>
        <row r="30830">
          <cell r="B30830" t="str">
            <v>81081220020008</v>
          </cell>
          <cell r="C30830" t="str">
            <v>JCC COB.JU INT.SUSP REACTI PRE-HONR REPR7 D</v>
          </cell>
        </row>
        <row r="30831">
          <cell r="B30831" t="str">
            <v>81081220020009</v>
          </cell>
          <cell r="C30831" t="str">
            <v>JCC PRE.JUD INT GAN REACT PRE-HONRAM REP7 D</v>
          </cell>
        </row>
        <row r="30832">
          <cell r="B30832" t="str">
            <v>81081220020010</v>
          </cell>
          <cell r="C30832" t="str">
            <v>JCC PRE.JUD INT GAN REACT PRE-HONRAM REP7 D</v>
          </cell>
        </row>
        <row r="30833">
          <cell r="B30833" t="str">
            <v>81081220020011</v>
          </cell>
          <cell r="C30833" t="str">
            <v>JCC COB.JU INT.SUSP REACTI PRE-HONR REPR7 D</v>
          </cell>
        </row>
        <row r="30834">
          <cell r="B30834" t="str">
            <v>81081220020012</v>
          </cell>
          <cell r="C30834" t="str">
            <v>JCC COB.JU INT.SUSP REACTI PRE-HONR REPR7 D</v>
          </cell>
        </row>
        <row r="30835">
          <cell r="B30835" t="str">
            <v>81081220020013</v>
          </cell>
          <cell r="C30835" t="str">
            <v>JCC PRE.JUD INT GAN REACT PRE-HONRAM REP7 D</v>
          </cell>
        </row>
        <row r="30836">
          <cell r="B30836" t="str">
            <v>81081220020014</v>
          </cell>
          <cell r="C30836" t="str">
            <v>JCC PRE.JUD INT GAN REACT PRE-HONRAM REP7 D</v>
          </cell>
        </row>
        <row r="30837">
          <cell r="B30837" t="str">
            <v>81081220020015</v>
          </cell>
          <cell r="C30837" t="str">
            <v>JCC COB.JU INT.SUSP REACTI PRE-HONR REPR7 D</v>
          </cell>
        </row>
        <row r="30838">
          <cell r="B30838" t="str">
            <v>81081220020016</v>
          </cell>
          <cell r="C30838" t="str">
            <v>JCC COB.JU INT.SUSP REACTI PRE-HONR REPR7 D</v>
          </cell>
        </row>
        <row r="30839">
          <cell r="B30839" t="str">
            <v>81081221010100</v>
          </cell>
          <cell r="C30839" t="str">
            <v>LPC REPROG REACTIVA DS.011-2022 CCOR VIG7 D</v>
          </cell>
        </row>
        <row r="30840">
          <cell r="B30840" t="str">
            <v>81081221010101</v>
          </cell>
          <cell r="C30840" t="str">
            <v>LPC REPROG REACTIVA DS.011-2022 CCOR NOR7 D</v>
          </cell>
        </row>
        <row r="30841">
          <cell r="B30841" t="str">
            <v>81081221010102</v>
          </cell>
          <cell r="C30841" t="str">
            <v>LPC REPROG REACTIVA 2023 DEV CCOR       7 D</v>
          </cell>
        </row>
        <row r="30842">
          <cell r="B30842" t="str">
            <v>81081221010103</v>
          </cell>
          <cell r="C30842" t="str">
            <v>LPC REPROG REACTIVA 2023 DEV CCOR       7 D</v>
          </cell>
        </row>
        <row r="30843">
          <cell r="B30843" t="str">
            <v>81081221010104</v>
          </cell>
          <cell r="C30843" t="str">
            <v>MYP REACTIVA REPRO PERU    VEN CCOR DUPE7ND</v>
          </cell>
        </row>
        <row r="30844">
          <cell r="B30844" t="str">
            <v>81081221010105</v>
          </cell>
          <cell r="C30844" t="str">
            <v>MYP REACTIVA REPRO PERU    VEN CCOR NORM7ND</v>
          </cell>
        </row>
        <row r="30845">
          <cell r="B30845" t="str">
            <v>81081221010106</v>
          </cell>
          <cell r="C30845" t="str">
            <v>MYP REACTIVA REPRO PERU    VIG CCOR NORM7ND</v>
          </cell>
        </row>
        <row r="30846">
          <cell r="B30846" t="str">
            <v>81081221010107</v>
          </cell>
          <cell r="C30846" t="str">
            <v>MYP 30K REACTIVA PERU REPROG 2023   VEN 7ND</v>
          </cell>
        </row>
        <row r="30847">
          <cell r="B30847" t="str">
            <v>81081221010108</v>
          </cell>
          <cell r="C30847" t="str">
            <v>MYP 30K REACTIVA PERU REPROG 2023   VEN 7ND</v>
          </cell>
        </row>
        <row r="30848">
          <cell r="B30848" t="str">
            <v>81081221010109</v>
          </cell>
          <cell r="C30848" t="str">
            <v>MYP 30K REACTIVA PERU REPROG 2023   VIG 7ND</v>
          </cell>
        </row>
        <row r="30849">
          <cell r="B30849" t="str">
            <v>81081221010110</v>
          </cell>
          <cell r="C30849" t="str">
            <v>MYP 30K REACTIVA PERU REPROG 2023   VIG 7ND</v>
          </cell>
        </row>
        <row r="30850">
          <cell r="B30850" t="str">
            <v>81081221020001</v>
          </cell>
          <cell r="C30850" t="str">
            <v>JCC PRE.JUD INT GAN REACT PRE-HONRAM REP7 D</v>
          </cell>
        </row>
        <row r="30851">
          <cell r="B30851" t="str">
            <v>81081221020002</v>
          </cell>
          <cell r="C30851" t="str">
            <v>JCC PRE.JUD INT GAN REACT PRE-HONRAM REP7 D</v>
          </cell>
        </row>
        <row r="30852">
          <cell r="B30852" t="str">
            <v>81081221020003</v>
          </cell>
          <cell r="C30852" t="str">
            <v>JCC COB.JU INT.SUSP REACTI PRE-HONR REPR7 D</v>
          </cell>
        </row>
        <row r="30853">
          <cell r="B30853" t="str">
            <v>81081221020004</v>
          </cell>
          <cell r="C30853" t="str">
            <v>JCC COB.JU INT.SUSP REACTI PRE-HONR REPR7 D</v>
          </cell>
        </row>
        <row r="30854">
          <cell r="B30854" t="str">
            <v>81081221020005</v>
          </cell>
          <cell r="C30854" t="str">
            <v>JCC PRE.JUD INT GAN REACT PRE-HONRAM REP7 D</v>
          </cell>
        </row>
        <row r="30855">
          <cell r="B30855" t="str">
            <v>81081221020006</v>
          </cell>
          <cell r="C30855" t="str">
            <v>JCC PRE.JUD INT GAN REACT PRE-HONRAM REP7 D</v>
          </cell>
        </row>
        <row r="30856">
          <cell r="B30856" t="str">
            <v>81081221020007</v>
          </cell>
          <cell r="C30856" t="str">
            <v>JCC COB.JU INT.SUSP REACTI PRE-HONR REPR7 D</v>
          </cell>
        </row>
        <row r="30857">
          <cell r="B30857" t="str">
            <v>81081221020008</v>
          </cell>
          <cell r="C30857" t="str">
            <v>JCC COB.JU INT.SUSP REACTI PRE-HONR REPR7 D</v>
          </cell>
        </row>
        <row r="30858">
          <cell r="B30858" t="str">
            <v>81081221020009</v>
          </cell>
          <cell r="C30858" t="str">
            <v>JCC PRE.JUD INT GAN REACT PRE-HONRAM REP7 D</v>
          </cell>
        </row>
        <row r="30859">
          <cell r="B30859" t="str">
            <v>81081221020010</v>
          </cell>
          <cell r="C30859" t="str">
            <v>JCC PRE.JUD INT GAN REACT PRE-HONRAM REP7 D</v>
          </cell>
        </row>
        <row r="30860">
          <cell r="B30860" t="str">
            <v>81081221020011</v>
          </cell>
          <cell r="C30860" t="str">
            <v>JCC COB.JU INT.SUSP REACTI PRE-HONR REPR7 D</v>
          </cell>
        </row>
        <row r="30861">
          <cell r="B30861" t="str">
            <v>81081221020012</v>
          </cell>
          <cell r="C30861" t="str">
            <v>JCC COB.JU INT.SUSP REACTI PRE-HONR REPR7 D</v>
          </cell>
        </row>
        <row r="30862">
          <cell r="B30862" t="str">
            <v>81081221020013</v>
          </cell>
          <cell r="C30862" t="str">
            <v>JCC PRE.JUD INT GAN REACT PRE-HONRAM REP7 D</v>
          </cell>
        </row>
        <row r="30863">
          <cell r="B30863" t="str">
            <v>81081221020014</v>
          </cell>
          <cell r="C30863" t="str">
            <v>JCC PRE.JUD INT GAN REACT PRE-HONRAM REP7 D</v>
          </cell>
        </row>
        <row r="30864">
          <cell r="B30864" t="str">
            <v>81081221020015</v>
          </cell>
          <cell r="C30864" t="str">
            <v>JCC COB.JU INT.SUSP REACTI PRE-HONR REPR7 D</v>
          </cell>
        </row>
        <row r="30865">
          <cell r="B30865" t="str">
            <v>81081221020016</v>
          </cell>
          <cell r="C30865" t="str">
            <v>JCC COB.JU INT.SUSP REACTI PRE-HONR REPR7 D</v>
          </cell>
        </row>
        <row r="30866">
          <cell r="B30866" t="str">
            <v>81081222010100</v>
          </cell>
          <cell r="C30866" t="str">
            <v>LPC REPROG REACTIVA DS.011-2022 CGEM VIG7 D</v>
          </cell>
        </row>
        <row r="30867">
          <cell r="B30867" t="str">
            <v>81081222010101</v>
          </cell>
          <cell r="C30867" t="str">
            <v>LPC REPROG REACTIVA DS.011-2022 CGEM NOR7 D</v>
          </cell>
        </row>
        <row r="30868">
          <cell r="B30868" t="str">
            <v>81081222010102</v>
          </cell>
          <cell r="C30868" t="str">
            <v>MYP REPROG REACTIVA DS.011-2022 CGEM  VI7 D</v>
          </cell>
        </row>
        <row r="30869">
          <cell r="B30869" t="str">
            <v>81081222010103</v>
          </cell>
          <cell r="C30869" t="str">
            <v>MYP REPROG REACTIVA DS.011-2022 CGEM  VE7 D</v>
          </cell>
        </row>
        <row r="30870">
          <cell r="B30870" t="str">
            <v>81081222010104</v>
          </cell>
          <cell r="C30870" t="str">
            <v>LPC REPROG REACTIVA 2023 DEV CGEM       7 D</v>
          </cell>
        </row>
        <row r="30871">
          <cell r="B30871" t="str">
            <v>81081222010105</v>
          </cell>
          <cell r="C30871" t="str">
            <v>LPC REPROG REACTIVA 2023 DEV CGEM       7 D</v>
          </cell>
        </row>
        <row r="30872">
          <cell r="B30872" t="str">
            <v>81081222010106</v>
          </cell>
          <cell r="C30872" t="str">
            <v>MYP 30K REACTIVA PERU REPROG 2023   VEN 7ND</v>
          </cell>
        </row>
        <row r="30873">
          <cell r="B30873" t="str">
            <v>81081222010107</v>
          </cell>
          <cell r="C30873" t="str">
            <v>MYP 30K REACTIVA PERU REPROG 2023   VEN 7ND</v>
          </cell>
        </row>
        <row r="30874">
          <cell r="B30874" t="str">
            <v>81081222010108</v>
          </cell>
          <cell r="C30874" t="str">
            <v>MYP 30K REACTIVA PERU REPROG 2023   VEN 7ND</v>
          </cell>
        </row>
        <row r="30875">
          <cell r="B30875" t="str">
            <v>81081222010109</v>
          </cell>
          <cell r="C30875" t="str">
            <v>MYP 30K REACTIVA PERU REPROG 2023   VEN 7ND</v>
          </cell>
        </row>
        <row r="30876">
          <cell r="B30876" t="str">
            <v>81081222010110</v>
          </cell>
          <cell r="C30876" t="str">
            <v>MYP 30K REACTIVA PERU REPROG 2023   VIG 7ND</v>
          </cell>
        </row>
        <row r="30877">
          <cell r="B30877" t="str">
            <v>81081222010111</v>
          </cell>
          <cell r="C30877" t="str">
            <v>MYP 30K REACTIVA PERU REPROG 2023   VIG 7ND</v>
          </cell>
        </row>
        <row r="30878">
          <cell r="B30878" t="str">
            <v>81081222020001</v>
          </cell>
          <cell r="C30878" t="str">
            <v>JCC PRE.JUD INT GAN REACT PRE-HONRAM REP7 D</v>
          </cell>
        </row>
        <row r="30879">
          <cell r="B30879" t="str">
            <v>81081222020002</v>
          </cell>
          <cell r="C30879" t="str">
            <v>JCC PRE.JUD INT GAN REACT PRE-HONRAM REP7 D</v>
          </cell>
        </row>
        <row r="30880">
          <cell r="B30880" t="str">
            <v>81081222020003</v>
          </cell>
          <cell r="C30880" t="str">
            <v>JCC COB.JU INT.SUSP REACTI PRE-HONR REPR7 D</v>
          </cell>
        </row>
        <row r="30881">
          <cell r="B30881" t="str">
            <v>81081222020004</v>
          </cell>
          <cell r="C30881" t="str">
            <v>JCC COB.JU INT.SUSP REACTI PRE-HONR REPR7 D</v>
          </cell>
        </row>
        <row r="30882">
          <cell r="B30882" t="str">
            <v>81081222020005</v>
          </cell>
          <cell r="C30882" t="str">
            <v>JCC PRE.JUD INT GAN REACT PRE-HONRAM REP7 D</v>
          </cell>
        </row>
        <row r="30883">
          <cell r="B30883" t="str">
            <v>81081222020006</v>
          </cell>
          <cell r="C30883" t="str">
            <v>JCC PRE.JUD INT GAN REACT PRE-HONRAM REP7 D</v>
          </cell>
        </row>
        <row r="30884">
          <cell r="B30884" t="str">
            <v>81081222020007</v>
          </cell>
          <cell r="C30884" t="str">
            <v>JCC COB.JU INT.SUSP REACTI PRE-HONR REPR7 D</v>
          </cell>
        </row>
        <row r="30885">
          <cell r="B30885" t="str">
            <v>81081222020008</v>
          </cell>
          <cell r="C30885" t="str">
            <v>JCC COB.JU INT.SUSP REACTI PRE-HONR REPR7 D</v>
          </cell>
        </row>
        <row r="30886">
          <cell r="B30886" t="str">
            <v>81081222020009</v>
          </cell>
          <cell r="C30886" t="str">
            <v>JCC PRE.JUD INT GAN REACT PRE-HONRAM REP7 D</v>
          </cell>
        </row>
        <row r="30887">
          <cell r="B30887" t="str">
            <v>81081222020010</v>
          </cell>
          <cell r="C30887" t="str">
            <v>JCC PRE.JUD INT GAN REACT PRE-HONRAM REP7 D</v>
          </cell>
        </row>
        <row r="30888">
          <cell r="B30888" t="str">
            <v>81081222020011</v>
          </cell>
          <cell r="C30888" t="str">
            <v>JCC COB.JU INT.SUSP REACTI PRE-HONR REPR7 D</v>
          </cell>
        </row>
        <row r="30889">
          <cell r="B30889" t="str">
            <v>81081222020012</v>
          </cell>
          <cell r="C30889" t="str">
            <v>JCC COB.JU INT.SUSP REACTI PRE-HONR REPR7 D</v>
          </cell>
        </row>
        <row r="30890">
          <cell r="B30890" t="str">
            <v>81081222020013</v>
          </cell>
          <cell r="C30890" t="str">
            <v>JCC PRE.JUD INT GAN REACT PRE-HONRAM REP7 D</v>
          </cell>
        </row>
        <row r="30891">
          <cell r="B30891" t="str">
            <v>81081222020014</v>
          </cell>
          <cell r="C30891" t="str">
            <v>JCC PRE.JUD INT GAN REACT PRE-HONRAM REP7 D</v>
          </cell>
        </row>
        <row r="30892">
          <cell r="B30892" t="str">
            <v>81081222020015</v>
          </cell>
          <cell r="C30892" t="str">
            <v>JCC COB.JU INT.SUSP REACTI PRE-HONR REPR7 D</v>
          </cell>
        </row>
        <row r="30893">
          <cell r="B30893" t="str">
            <v>81081222020016</v>
          </cell>
          <cell r="C30893" t="str">
            <v>JCC COB.JU INT.SUSP REACTI PRE-HONR REPR7 D</v>
          </cell>
        </row>
        <row r="30894">
          <cell r="B30894" t="str">
            <v>81081223010100</v>
          </cell>
          <cell r="C30894" t="str">
            <v>LPC REPROG REACTIVA DS.011-2022 CMED  VI7 D</v>
          </cell>
        </row>
        <row r="30895">
          <cell r="B30895" t="str">
            <v>81081223010101</v>
          </cell>
          <cell r="C30895" t="str">
            <v>LPC REPROG REACTIVA DS.011-2022 CMED NOR7 D</v>
          </cell>
        </row>
        <row r="30896">
          <cell r="B30896" t="str">
            <v>81081223010102</v>
          </cell>
          <cell r="C30896" t="str">
            <v>MYP REPROG REACTIVA DS.011-2022 CMED  VI7 D</v>
          </cell>
        </row>
        <row r="30897">
          <cell r="B30897" t="str">
            <v>81081223010103</v>
          </cell>
          <cell r="C30897" t="str">
            <v>MYP REPROG REACTIVA DS.011-2022 CMED  VE7 D</v>
          </cell>
        </row>
        <row r="30898">
          <cell r="B30898" t="str">
            <v>81081223010104</v>
          </cell>
          <cell r="C30898" t="str">
            <v>LPC REPROG REACTIVA 2023 DEV CMED       7 D</v>
          </cell>
        </row>
        <row r="30899">
          <cell r="B30899" t="str">
            <v>81081223010105</v>
          </cell>
          <cell r="C30899" t="str">
            <v>LPC REPROG REACTIVA 2023 DEV CMED       7 D</v>
          </cell>
        </row>
        <row r="30900">
          <cell r="B30900" t="str">
            <v>81081223010106</v>
          </cell>
          <cell r="C30900" t="str">
            <v>MYP REPROG REACTIVA 2023 CMED  VEN      7 D</v>
          </cell>
        </row>
        <row r="30901">
          <cell r="B30901" t="str">
            <v>81081223010107</v>
          </cell>
          <cell r="C30901" t="str">
            <v>MYP REPROG REACTIVA 2023 CMED VIG       7 D</v>
          </cell>
        </row>
        <row r="30902">
          <cell r="B30902" t="str">
            <v>81081223020001</v>
          </cell>
          <cell r="C30902" t="str">
            <v>JCC PRE.JUD INT GAN REACT PRE-HONRAM REP7 D</v>
          </cell>
        </row>
        <row r="30903">
          <cell r="B30903" t="str">
            <v>81081223020002</v>
          </cell>
          <cell r="C30903" t="str">
            <v>JCC PRE.JUD INT GAN REACT PRE-HONRAM REP7 D</v>
          </cell>
        </row>
        <row r="30904">
          <cell r="B30904" t="str">
            <v>81081223020003</v>
          </cell>
          <cell r="C30904" t="str">
            <v>JCC COB.JU INT.SUSP REACTI PRE-HONR REPR7 D</v>
          </cell>
        </row>
        <row r="30905">
          <cell r="B30905" t="str">
            <v>81081223020004</v>
          </cell>
          <cell r="C30905" t="str">
            <v>JCC COB.JU INT.SUSP REACTI PRE-HONR REPR7 D</v>
          </cell>
        </row>
        <row r="30906">
          <cell r="B30906" t="str">
            <v>81081223020005</v>
          </cell>
          <cell r="C30906" t="str">
            <v>JCC PRE.JUD INT GAN REACT PRE-HONRAM REP7 D</v>
          </cell>
        </row>
        <row r="30907">
          <cell r="B30907" t="str">
            <v>81081223020006</v>
          </cell>
          <cell r="C30907" t="str">
            <v>JCC PRE.JUD INT GAN REACT PRE-HONRAM REP7 D</v>
          </cell>
        </row>
        <row r="30908">
          <cell r="B30908" t="str">
            <v>81081223020007</v>
          </cell>
          <cell r="C30908" t="str">
            <v>JCC COB.JU INT.SUSP REACTI PRE-HONR REPR7 D</v>
          </cell>
        </row>
        <row r="30909">
          <cell r="B30909" t="str">
            <v>81081223020008</v>
          </cell>
          <cell r="C30909" t="str">
            <v>JCC COB.JU INT.SUSP REACTI PRE-HONR REPR7 D</v>
          </cell>
        </row>
        <row r="30910">
          <cell r="B30910" t="str">
            <v>81081223020009</v>
          </cell>
          <cell r="C30910" t="str">
            <v>JCC PRE.JUD INT GAN REACT PRE-HONRAM REP7 D</v>
          </cell>
        </row>
        <row r="30911">
          <cell r="B30911" t="str">
            <v>81081223020010</v>
          </cell>
          <cell r="C30911" t="str">
            <v>JCC PRE.JUD INT GAN REACT PRE-HONRAM REP7 D</v>
          </cell>
        </row>
        <row r="30912">
          <cell r="B30912" t="str">
            <v>81081223020011</v>
          </cell>
          <cell r="C30912" t="str">
            <v>JCC COB.JU INT.SUSP REACTI PRE-HONR REPR7 D</v>
          </cell>
        </row>
        <row r="30913">
          <cell r="B30913" t="str">
            <v>81081223020012</v>
          </cell>
          <cell r="C30913" t="str">
            <v>JCC COB.JU INT.SUSP REACTI PRE-HONR REPR7 D</v>
          </cell>
        </row>
        <row r="30914">
          <cell r="B30914" t="str">
            <v>81081223020013</v>
          </cell>
          <cell r="C30914" t="str">
            <v>JCC PRE.JUD INT GAN REACT PRE-HONRAM REP7 D</v>
          </cell>
        </row>
        <row r="30915">
          <cell r="B30915" t="str">
            <v>81081223020014</v>
          </cell>
          <cell r="C30915" t="str">
            <v>JCC PRE.JUD INT GAN REACT PRE-HONRAM REP7 D</v>
          </cell>
        </row>
        <row r="30916">
          <cell r="B30916" t="str">
            <v>81081223020015</v>
          </cell>
          <cell r="C30916" t="str">
            <v>JCC COB.JU INT.SUSP REACTI PRE-HONR REPR7 D</v>
          </cell>
        </row>
        <row r="30917">
          <cell r="B30917" t="str">
            <v>81081223020016</v>
          </cell>
          <cell r="C30917" t="str">
            <v>JCC COB.JU INT.SUSP REACTI PRE-HONR REPR7 D</v>
          </cell>
        </row>
        <row r="30918">
          <cell r="B30918" t="str">
            <v>81081224010100</v>
          </cell>
          <cell r="C30918" t="str">
            <v>LPC REPROG REACTIVA DS.011-2022 CPEM VIG7 D</v>
          </cell>
        </row>
        <row r="30919">
          <cell r="B30919" t="str">
            <v>81081224010101</v>
          </cell>
          <cell r="C30919" t="str">
            <v>LPC REPROG REACTIVA DS.011-2022 CPEM NOR7 D</v>
          </cell>
        </row>
        <row r="30920">
          <cell r="B30920" t="str">
            <v>81081224010102</v>
          </cell>
          <cell r="C30920" t="str">
            <v>MYP REPROG REACTIVA DS.011-2022 CPEM  VI7 D</v>
          </cell>
        </row>
        <row r="30921">
          <cell r="B30921" t="str">
            <v>81081224010103</v>
          </cell>
          <cell r="C30921" t="str">
            <v>MYP REPROG REACTIVA DS.011-2022 CPEM  VE7 D</v>
          </cell>
        </row>
        <row r="30922">
          <cell r="B30922" t="str">
            <v>81081224010104</v>
          </cell>
          <cell r="C30922" t="str">
            <v>LPC REPROG REACTIVA 2023 DEV CPEM       7 D</v>
          </cell>
        </row>
        <row r="30923">
          <cell r="B30923" t="str">
            <v>81081224010105</v>
          </cell>
          <cell r="C30923" t="str">
            <v>LPC REPROG REACTIVA 2023 DEV CPEM       7 D</v>
          </cell>
        </row>
        <row r="30924">
          <cell r="B30924" t="str">
            <v>81081224010106</v>
          </cell>
          <cell r="C30924" t="str">
            <v>MYP REPROG REACTIVA 2023 CPEM  VIG      7 D</v>
          </cell>
        </row>
        <row r="30925">
          <cell r="B30925" t="str">
            <v>81081224010107</v>
          </cell>
          <cell r="C30925" t="str">
            <v>MYP REPROG REACTIVA 2023 CPEM  VEN      7 D</v>
          </cell>
        </row>
        <row r="30926">
          <cell r="B30926" t="str">
            <v>81081224020001</v>
          </cell>
          <cell r="C30926" t="str">
            <v>JCC PRE.JUD INT GAN REACT PRE-HONRAM REP7 D</v>
          </cell>
        </row>
        <row r="30927">
          <cell r="B30927" t="str">
            <v>81081224020002</v>
          </cell>
          <cell r="C30927" t="str">
            <v>JCC PRE.JUD INT GAN REACT PRE-HONRAM REP7 D</v>
          </cell>
        </row>
        <row r="30928">
          <cell r="B30928" t="str">
            <v>81081224020003</v>
          </cell>
          <cell r="C30928" t="str">
            <v>JCC COB.JU INT.SUSP REACTI PRE-HONR REPR7 D</v>
          </cell>
        </row>
        <row r="30929">
          <cell r="B30929" t="str">
            <v>81081224020004</v>
          </cell>
          <cell r="C30929" t="str">
            <v>JCC COB.JU INT.SUSP REACTI PRE-HONR REPR7 D</v>
          </cell>
        </row>
        <row r="30930">
          <cell r="B30930" t="str">
            <v>81081224020005</v>
          </cell>
          <cell r="C30930" t="str">
            <v>JCC PRE.JUD INT GAN REACT PRE-HONRAM REP7 D</v>
          </cell>
        </row>
        <row r="30931">
          <cell r="B30931" t="str">
            <v>81081224020006</v>
          </cell>
          <cell r="C30931" t="str">
            <v>JCC PRE.JUD INT GAN REACT PRE-HONRAM REP7 D</v>
          </cell>
        </row>
        <row r="30932">
          <cell r="B30932" t="str">
            <v>81081224020007</v>
          </cell>
          <cell r="C30932" t="str">
            <v>JCC COB.JU INT.SUSP REACTI PRE-HONR REPR7 D</v>
          </cell>
        </row>
        <row r="30933">
          <cell r="B30933" t="str">
            <v>81081224020008</v>
          </cell>
          <cell r="C30933" t="str">
            <v>JCC COB.JU INT.SUSP REACTI PRE-HONR REPR7 D</v>
          </cell>
        </row>
        <row r="30934">
          <cell r="B30934" t="str">
            <v>81081224020009</v>
          </cell>
          <cell r="C30934" t="str">
            <v>JCC PRE.JUD INT GAN REACT PRE-HONRAM REP7 D</v>
          </cell>
        </row>
        <row r="30935">
          <cell r="B30935" t="str">
            <v>81081224020010</v>
          </cell>
          <cell r="C30935" t="str">
            <v>JCC PRE.JUD INT GAN REACT PRE-HONRAM REP7 D</v>
          </cell>
        </row>
        <row r="30936">
          <cell r="B30936" t="str">
            <v>81081224020011</v>
          </cell>
          <cell r="C30936" t="str">
            <v>JCC COB.JU INT.SUSP REACTI PRE-HONR REPR7 D</v>
          </cell>
        </row>
        <row r="30937">
          <cell r="B30937" t="str">
            <v>81081224020012</v>
          </cell>
          <cell r="C30937" t="str">
            <v>JCC COB.JU INT.SUSP REACTI PRE-HONR REPR7 D</v>
          </cell>
        </row>
        <row r="30938">
          <cell r="B30938" t="str">
            <v>81081224020013</v>
          </cell>
          <cell r="C30938" t="str">
            <v>JCC PRE.JUD INT GAN REACT PRE-HONRAM REP7 D</v>
          </cell>
        </row>
        <row r="30939">
          <cell r="B30939" t="str">
            <v>81081224020014</v>
          </cell>
          <cell r="C30939" t="str">
            <v>JCC PRE.JUD INT GAN REACT PRE-HONRAM REP7 D</v>
          </cell>
        </row>
        <row r="30940">
          <cell r="B30940" t="str">
            <v>81081224020015</v>
          </cell>
          <cell r="C30940" t="str">
            <v>JCC COB.JU INT.SUSP REACTI PRE-HONR REPR7 D</v>
          </cell>
        </row>
        <row r="30941">
          <cell r="B30941" t="str">
            <v>81081224020016</v>
          </cell>
          <cell r="C30941" t="str">
            <v>JCC COB.JU INT.SUSP REACTI PRE-HONR REPR7 D</v>
          </cell>
        </row>
        <row r="30942">
          <cell r="B30942" t="str">
            <v>81081227020001</v>
          </cell>
          <cell r="C30942" t="str">
            <v>LPC REFINANCIADO REACTIVA 2023 CGEM     7 D</v>
          </cell>
        </row>
        <row r="30943">
          <cell r="B30943" t="str">
            <v>81081228020001</v>
          </cell>
          <cell r="C30943" t="str">
            <v>LPC REFINANCIADO REACTIVA 2023 CMED     7 D</v>
          </cell>
        </row>
        <row r="30944">
          <cell r="B30944" t="str">
            <v>81081229020001</v>
          </cell>
          <cell r="C30944" t="str">
            <v>LPC REFINANCIADO REACTIVA 2023 CPEM     7 D</v>
          </cell>
        </row>
        <row r="30945">
          <cell r="B30945" t="str">
            <v>81081230010001</v>
          </cell>
          <cell r="C30945" t="str">
            <v>JCC COB JU REACTIVA PRE-HONRAMIENTO REPR7 D</v>
          </cell>
        </row>
        <row r="30946">
          <cell r="B30946" t="str">
            <v>81081230010002</v>
          </cell>
          <cell r="C30946" t="str">
            <v>JCC COB JU REACTIVA PRE-HONRAMIENTO REPR7 D</v>
          </cell>
        </row>
        <row r="30947">
          <cell r="B30947" t="str">
            <v>81081230010003</v>
          </cell>
          <cell r="C30947" t="str">
            <v>JCC COB JU REACTIVA PRE-HONRAMIENTO REPR7 D</v>
          </cell>
        </row>
        <row r="30948">
          <cell r="B30948" t="str">
            <v>81081230010004</v>
          </cell>
          <cell r="C30948" t="str">
            <v>JCC COB JU REACTIVA PRE-HONRAMIENTO REPR7 D</v>
          </cell>
        </row>
        <row r="30949">
          <cell r="B30949" t="str">
            <v>81081231010001</v>
          </cell>
          <cell r="C30949" t="str">
            <v>JCC COB JU REACTIVA PRE-HONRAMIENTO REPR7 D</v>
          </cell>
        </row>
        <row r="30950">
          <cell r="B30950" t="str">
            <v>81081231010002</v>
          </cell>
          <cell r="C30950" t="str">
            <v>JCC COB JU REACTIVA PRE-HONRAMIENTO REPR7 D</v>
          </cell>
        </row>
        <row r="30951">
          <cell r="B30951" t="str">
            <v>81081231010003</v>
          </cell>
          <cell r="C30951" t="str">
            <v>JCC COB JU REACTIVA PRE-HONRAMIENTO REPR7 D</v>
          </cell>
        </row>
        <row r="30952">
          <cell r="B30952" t="str">
            <v>81081231010004</v>
          </cell>
          <cell r="C30952" t="str">
            <v>JCC COB JU REACTIVA PRE-HONRAMIENTO REPR7 D</v>
          </cell>
        </row>
        <row r="30953">
          <cell r="B30953" t="str">
            <v>81081232010001</v>
          </cell>
          <cell r="C30953" t="str">
            <v>JCC COB JU REACTIVA PRE-HONRAMIENTO REPR7 D</v>
          </cell>
        </row>
        <row r="30954">
          <cell r="B30954" t="str">
            <v>81081232010002</v>
          </cell>
          <cell r="C30954" t="str">
            <v>JCC COB JU REACTIVA PRE-HONRAMIENTO REPR7 D</v>
          </cell>
        </row>
        <row r="30955">
          <cell r="B30955" t="str">
            <v>81081232010003</v>
          </cell>
          <cell r="C30955" t="str">
            <v>JCC COB JU REACTIVA PRE-HONRAMIENTO REPR7 D</v>
          </cell>
        </row>
        <row r="30956">
          <cell r="B30956" t="str">
            <v>81081232010004</v>
          </cell>
          <cell r="C30956" t="str">
            <v>JCC COB JU REACTIVA PRE-HONRAMIENTO REPR7 D</v>
          </cell>
        </row>
        <row r="30957">
          <cell r="B30957" t="str">
            <v>81081233010001</v>
          </cell>
          <cell r="C30957" t="str">
            <v>JCC COB JU REACTIVA PRE-HONRAMIENTO REPR7 D</v>
          </cell>
        </row>
        <row r="30958">
          <cell r="B30958" t="str">
            <v>81081233010002</v>
          </cell>
          <cell r="C30958" t="str">
            <v>JCC COB JU REACTIVA PRE-HONRAMIENTO REPR7 D</v>
          </cell>
        </row>
        <row r="30959">
          <cell r="B30959" t="str">
            <v>81081233010003</v>
          </cell>
          <cell r="C30959" t="str">
            <v>JCC COB JU REACTIVA PRE-HONRAMIENTO REPR7 D</v>
          </cell>
        </row>
        <row r="30960">
          <cell r="B30960" t="str">
            <v>81081233010004</v>
          </cell>
          <cell r="C30960" t="str">
            <v>JCC COB JU REACTIVA PRE-HONRAMIENTO REPR7 D</v>
          </cell>
        </row>
        <row r="30961">
          <cell r="B30961" t="str">
            <v>81081234010001</v>
          </cell>
          <cell r="C30961" t="str">
            <v>JCC COB JU REACTIVA PRE-HONRAMIENTO REPR7 D</v>
          </cell>
        </row>
        <row r="30962">
          <cell r="B30962" t="str">
            <v>81081234010002</v>
          </cell>
          <cell r="C30962" t="str">
            <v>JCC COB JU REACTIVA PRE-HONRAMIENTO REPR7 D</v>
          </cell>
        </row>
        <row r="30963">
          <cell r="B30963" t="str">
            <v>81081234010003</v>
          </cell>
          <cell r="C30963" t="str">
            <v>JCC COB JU REACTIVA PRE-HONRAMIENTO REPR7 D</v>
          </cell>
        </row>
        <row r="30964">
          <cell r="B30964" t="str">
            <v>81081234010004</v>
          </cell>
          <cell r="C30964" t="str">
            <v>JCC COB JU REACTIVA PRE-HONRAMIENTO REPR7 D</v>
          </cell>
        </row>
        <row r="30965">
          <cell r="B30965" t="str">
            <v>81090100000101</v>
          </cell>
          <cell r="C30965" t="str">
            <v>EDIFICIOS PARA USO DEL BANCO            7ND</v>
          </cell>
        </row>
        <row r="30966">
          <cell r="B30966" t="str">
            <v>81090100000102</v>
          </cell>
          <cell r="C30966" t="str">
            <v>EDIFICIOS-REVALUACIÃ“N                  7ND</v>
          </cell>
        </row>
        <row r="30967">
          <cell r="B30967" t="str">
            <v>81090100000103</v>
          </cell>
          <cell r="C30967" t="str">
            <v>INSTALACIONES                           7ND</v>
          </cell>
        </row>
        <row r="30968">
          <cell r="B30968" t="str">
            <v>81090100000104</v>
          </cell>
          <cell r="C30968" t="str">
            <v>MOBILIARIO                              7ND</v>
          </cell>
        </row>
        <row r="30969">
          <cell r="B30969" t="str">
            <v>81090100000105</v>
          </cell>
          <cell r="C30969" t="str">
            <v>EQUIPOS DE COMPUTACIÃ“N                 7ND</v>
          </cell>
        </row>
        <row r="30970">
          <cell r="B30970" t="str">
            <v>81090100000106</v>
          </cell>
          <cell r="C30970" t="str">
            <v>TARJETA DE COMPUTO Y COMUNICACIONES     7ND</v>
          </cell>
        </row>
        <row r="30971">
          <cell r="B30971" t="str">
            <v>81090100000107</v>
          </cell>
          <cell r="C30971" t="str">
            <v>EQUIPOS DE COMPUNICACIÃ“N               7ND</v>
          </cell>
        </row>
        <row r="30972">
          <cell r="B30972" t="str">
            <v>81090100000108</v>
          </cell>
          <cell r="C30972" t="str">
            <v>AIRE ACONDICIONADO                      7ND</v>
          </cell>
        </row>
        <row r="30973">
          <cell r="B30973" t="str">
            <v>81090100000109</v>
          </cell>
          <cell r="C30973" t="str">
            <v>EQUIPO ELECTROGENO                      7ND</v>
          </cell>
        </row>
        <row r="30974">
          <cell r="B30974" t="str">
            <v>81090100000110</v>
          </cell>
          <cell r="C30974" t="str">
            <v>BL OTROS EQUIPOS DIVERSOS               7ND</v>
          </cell>
        </row>
        <row r="30975">
          <cell r="B30975" t="str">
            <v>81090100000111</v>
          </cell>
          <cell r="C30975" t="str">
            <v>OTROS EQUIPOS DIVERSOS                  7ND</v>
          </cell>
        </row>
        <row r="30976">
          <cell r="B30976" t="str">
            <v>81090100000112</v>
          </cell>
          <cell r="C30976" t="str">
            <v>VEHICULOS                               7ND</v>
          </cell>
        </row>
        <row r="30977">
          <cell r="B30977" t="str">
            <v>81090100000113</v>
          </cell>
          <cell r="C30977" t="str">
            <v>MEJORAS EN PROPIEDADES ALQUILADAS IB    7ND</v>
          </cell>
        </row>
        <row r="30978">
          <cell r="B30978" t="str">
            <v>81090100000114</v>
          </cell>
          <cell r="C30978" t="str">
            <v>MEJORAS EN PROPIEDADES ALQUILADAS BL    7ND</v>
          </cell>
        </row>
        <row r="30979">
          <cell r="B30979" t="str">
            <v>81090100000201</v>
          </cell>
          <cell r="C30979" t="str">
            <v>EQUIPOS DE COMPUTACION-SERVICIOS CORPORA7ND</v>
          </cell>
        </row>
        <row r="30980">
          <cell r="B30980" t="str">
            <v>81090100000202</v>
          </cell>
          <cell r="C30980" t="str">
            <v>EQUIPO PARA EL RECONOCIMIENTO Y CONTEO D7ND</v>
          </cell>
        </row>
        <row r="30981">
          <cell r="B30981" t="str">
            <v>81090500000101</v>
          </cell>
          <cell r="C30981" t="str">
            <v>LINEAS CRED FAV EMPR NO UTILIZ COFIDE   7ND</v>
          </cell>
        </row>
        <row r="30982">
          <cell r="B30982" t="str">
            <v>81090600000101</v>
          </cell>
          <cell r="C30982" t="str">
            <v>LINEAS DISPONIB BANQUEROS EXTERIOR      7ND</v>
          </cell>
        </row>
        <row r="30983">
          <cell r="B30983" t="str">
            <v>81090700000203</v>
          </cell>
          <cell r="C30983" t="str">
            <v>BONOS SUBORDINADOS 5TA Y 6TA EMISION    7ND</v>
          </cell>
        </row>
        <row r="30984">
          <cell r="B30984" t="str">
            <v>81090700000303</v>
          </cell>
          <cell r="C30984" t="str">
            <v>PRIMER PROGRAMA B. SUBORDINADOS 2DA E   7ND</v>
          </cell>
        </row>
        <row r="30985">
          <cell r="B30985" t="str">
            <v>81090900000104</v>
          </cell>
          <cell r="C30985" t="str">
            <v>PUNTOS MEMBERSHIP REWARDS               7ND</v>
          </cell>
        </row>
        <row r="30986">
          <cell r="B30986" t="str">
            <v>81091001010101</v>
          </cell>
          <cell r="C30986" t="str">
            <v>BL AVANCE CTA.CTE. PJ-VN                7ND</v>
          </cell>
        </row>
        <row r="30987">
          <cell r="B30987" t="str">
            <v>81091001010103</v>
          </cell>
          <cell r="C30987" t="str">
            <v>BL SOBREGIROS CTA.CTE.PJ-BL             7ND</v>
          </cell>
        </row>
        <row r="30988">
          <cell r="B30988" t="str">
            <v>81091001010106</v>
          </cell>
          <cell r="C30988" t="str">
            <v>BL PAGARES-EXP-PRE EMB-CL-VN            7ND</v>
          </cell>
        </row>
        <row r="30989">
          <cell r="B30989" t="str">
            <v>81091001010112</v>
          </cell>
          <cell r="C30989" t="str">
            <v>BL CREDITOS POR LIQUIDAR CL             7ND</v>
          </cell>
        </row>
        <row r="30990">
          <cell r="B30990" t="str">
            <v>81091001010114</v>
          </cell>
          <cell r="C30990" t="str">
            <v>BL SOBREGIROS CTA.CTE.PJ S/FL VN        7ND</v>
          </cell>
        </row>
        <row r="30991">
          <cell r="B30991" t="str">
            <v>81091001010116</v>
          </cell>
          <cell r="C30991" t="str">
            <v>BL CTAS CTES VENC PJ S/FL VN            7ND</v>
          </cell>
        </row>
        <row r="30992">
          <cell r="B30992" t="str">
            <v>81091001010303</v>
          </cell>
          <cell r="C30992" t="str">
            <v>BL SOBREGIROS CTA.CTE. PN-BL            7ND</v>
          </cell>
        </row>
        <row r="30993">
          <cell r="B30993" t="str">
            <v>81091001010307</v>
          </cell>
          <cell r="C30993" t="str">
            <v>BL PRESTAMOS GTIA CTS CTA CTE BL-CTS    7ND</v>
          </cell>
        </row>
        <row r="30994">
          <cell r="B30994" t="str">
            <v>81091001010308</v>
          </cell>
          <cell r="C30994" t="str">
            <v>BL AVANCE CTA CTE PN-VN                 7ND</v>
          </cell>
        </row>
        <row r="30995">
          <cell r="B30995" t="str">
            <v>81091001010309</v>
          </cell>
          <cell r="C30995" t="str">
            <v>BL CTAS CTES DEUDORAS PN                7ND</v>
          </cell>
        </row>
        <row r="30996">
          <cell r="B30996" t="str">
            <v>81091001030102</v>
          </cell>
          <cell r="C30996" t="str">
            <v>BL LEASING REESTRUCTURADO VIGENTE       7ND</v>
          </cell>
        </row>
        <row r="30997">
          <cell r="B30997" t="str">
            <v>81091001050102</v>
          </cell>
          <cell r="C30997" t="str">
            <v>BL SOBREG.CTA.CTE.VENCIDO PJ-BL         7ND</v>
          </cell>
        </row>
        <row r="30998">
          <cell r="B30998" t="str">
            <v>81091001050105</v>
          </cell>
          <cell r="C30998" t="str">
            <v>BL PAGARES-VENCEXP-PRE EMB-CL           7ND</v>
          </cell>
        </row>
        <row r="30999">
          <cell r="B30999" t="str">
            <v>81091001050107</v>
          </cell>
          <cell r="C30999" t="str">
            <v>BL PAGARES-VENC IMP-CL                  7ND</v>
          </cell>
        </row>
        <row r="31000">
          <cell r="B31000" t="str">
            <v>81091001050108</v>
          </cell>
          <cell r="C31000" t="str">
            <v>BL PAGARE VENC EXP PRE EMB RBANK CL     7ND</v>
          </cell>
        </row>
        <row r="31001">
          <cell r="B31001" t="str">
            <v>81091001050115</v>
          </cell>
          <cell r="C31001" t="str">
            <v>BL AD AC CAP TRAB VENCIDOS              7ND</v>
          </cell>
        </row>
        <row r="31002">
          <cell r="B31002" t="str">
            <v>81091001050117</v>
          </cell>
          <cell r="C31002" t="str">
            <v>BL LEASING REESTRUCTURADO VENCIDO       7ND</v>
          </cell>
        </row>
        <row r="31003">
          <cell r="B31003" t="str">
            <v>81091001050303</v>
          </cell>
          <cell r="C31003" t="str">
            <v>BL SOBREG.VENCIDO CTA.CTE.PN-BL         7ND</v>
          </cell>
        </row>
        <row r="31004">
          <cell r="B31004" t="str">
            <v>81091201010101</v>
          </cell>
          <cell r="C31004" t="str">
            <v>GTIA VTA CART CRED EMPL INTERSEGURO     7ND</v>
          </cell>
        </row>
        <row r="31005">
          <cell r="B31005" t="str">
            <v>81091201010106</v>
          </cell>
          <cell r="C31005" t="str">
            <v>GTIA NO PREF VTA CART CRED EMPL INTER   7ND</v>
          </cell>
        </row>
        <row r="31006">
          <cell r="B31006" t="str">
            <v>81091602060101</v>
          </cell>
          <cell r="C31006" t="str">
            <v>MYP CAP.VIG.FIN. CAP. TRABÂ  PRO.REFIN  7ND</v>
          </cell>
        </row>
        <row r="31007">
          <cell r="B31007" t="str">
            <v>81091702090101</v>
          </cell>
          <cell r="C31007" t="str">
            <v>HPC CAP.VIG.TITULIZADORA                7ND</v>
          </cell>
        </row>
        <row r="31008">
          <cell r="B31008" t="str">
            <v>81091702090102</v>
          </cell>
          <cell r="C31008" t="str">
            <v>HPC CAP.VENC-90.TITULIZADORA            7ND</v>
          </cell>
        </row>
        <row r="31009">
          <cell r="B31009" t="str">
            <v>81091702090103</v>
          </cell>
          <cell r="C31009" t="str">
            <v>HPC CAP.VENC+90 .TITULIZADORA           7ND</v>
          </cell>
        </row>
        <row r="31010">
          <cell r="B31010" t="str">
            <v>81091702090104</v>
          </cell>
          <cell r="C31010" t="str">
            <v>HPC INT.X COB.VIG.TITULIZADORA          7ND</v>
          </cell>
        </row>
        <row r="31011">
          <cell r="B31011" t="str">
            <v>81091702090105</v>
          </cell>
          <cell r="C31011" t="str">
            <v>HPC. INT.X COB. VENC.TITULIZADO         7ND</v>
          </cell>
        </row>
        <row r="31012">
          <cell r="B31012" t="str">
            <v>81091702090106</v>
          </cell>
          <cell r="C31012" t="str">
            <v>HPC SEG.DESG.VIG.TITULIZADORA           7ND</v>
          </cell>
        </row>
        <row r="31013">
          <cell r="B31013" t="str">
            <v>81091702090107</v>
          </cell>
          <cell r="C31013" t="str">
            <v>HPC SEG.INMB.VIG.TITULIZADORA           7ND</v>
          </cell>
        </row>
        <row r="31014">
          <cell r="B31014" t="str">
            <v>81091702090108</v>
          </cell>
          <cell r="C31014" t="str">
            <v>HPC.SEG.DESG.VENC.TITULIZADORA          7ND</v>
          </cell>
        </row>
        <row r="31015">
          <cell r="B31015" t="str">
            <v>81091702090109</v>
          </cell>
          <cell r="C31015" t="str">
            <v>HPC.SEG.INMB VENC.TITULIZADORA          7ND</v>
          </cell>
        </row>
        <row r="31016">
          <cell r="B31016" t="str">
            <v>81091702090125</v>
          </cell>
          <cell r="C31016" t="str">
            <v>HPC INT.DIF ESPECIAL TITULIZADO         7ND</v>
          </cell>
        </row>
        <row r="31017">
          <cell r="B31017" t="str">
            <v>81091702090126</v>
          </cell>
          <cell r="C31017" t="str">
            <v>HPC SEG DESG.DIF ESPEC TITULIZA         7ND</v>
          </cell>
        </row>
        <row r="31018">
          <cell r="B31018" t="str">
            <v>81091702090127</v>
          </cell>
          <cell r="C31018" t="str">
            <v>HPC SEG BIEN DIF ESPEC TITULIZA         7ND</v>
          </cell>
        </row>
        <row r="31019">
          <cell r="B31019" t="str">
            <v>81091702090128</v>
          </cell>
          <cell r="C31019" t="str">
            <v>HPC CAP.VIG.TITULIZADORA REFINANCIADO   7ND</v>
          </cell>
        </row>
        <row r="31020">
          <cell r="B31020" t="str">
            <v>81091702090129</v>
          </cell>
          <cell r="C31020" t="str">
            <v>HPC CAP.VENC-90.TITULIZADORA REFINANCIAD7ND</v>
          </cell>
        </row>
        <row r="31021">
          <cell r="B31021" t="str">
            <v>81091702090130</v>
          </cell>
          <cell r="C31021" t="str">
            <v>HPC CAP.VENC+90 .TITULIZADORA REFINANCIA7ND</v>
          </cell>
        </row>
        <row r="31022">
          <cell r="B31022" t="str">
            <v>81091702090131</v>
          </cell>
          <cell r="C31022" t="str">
            <v>HPC INT.X COB.VIG.TITULIZADORA REFINANCI7ND</v>
          </cell>
        </row>
        <row r="31023">
          <cell r="B31023" t="str">
            <v>81091702090132</v>
          </cell>
          <cell r="C31023" t="str">
            <v>HPC INT.X COB. VENC.TITULIZADORA REFINAN7ND</v>
          </cell>
        </row>
        <row r="31024">
          <cell r="B31024" t="str">
            <v>81091702090133</v>
          </cell>
          <cell r="C31024" t="str">
            <v>HPC SEG.DESG.VIG.TITULIZADORA REFINANCIA7ND</v>
          </cell>
        </row>
        <row r="31025">
          <cell r="B31025" t="str">
            <v>81091702090134</v>
          </cell>
          <cell r="C31025" t="str">
            <v>HPC SEG.DESG.VENC.TITULIZADORA REFINANCI7ND</v>
          </cell>
        </row>
        <row r="31026">
          <cell r="B31026" t="str">
            <v>81091702090135</v>
          </cell>
          <cell r="C31026" t="str">
            <v>HPC SEG.INMB.VIG.TITULIZADORA REFINANCIA7ND</v>
          </cell>
        </row>
        <row r="31027">
          <cell r="B31027" t="str">
            <v>81091702090136</v>
          </cell>
          <cell r="C31027" t="str">
            <v>HPC SEG.INMB VENC.TITULIZADORA REFINANCI7ND</v>
          </cell>
        </row>
        <row r="31028">
          <cell r="B31028" t="str">
            <v>81091702090137</v>
          </cell>
          <cell r="C31028" t="str">
            <v>HPC SEG DESG.DIF ESPEC TITULIZADORA REFI7ND</v>
          </cell>
        </row>
        <row r="31029">
          <cell r="B31029" t="str">
            <v>81091702090138</v>
          </cell>
          <cell r="C31029" t="str">
            <v>HPC SEG BIEN DIF ESPEC TITULIZADORA REFI7ND</v>
          </cell>
        </row>
        <row r="31030">
          <cell r="B31030" t="str">
            <v>81091702090139</v>
          </cell>
          <cell r="C31030" t="str">
            <v>HPC INT.DIF ESPEC TITULIZADORA REFINANCI7ND</v>
          </cell>
        </row>
        <row r="31031">
          <cell r="B31031" t="str">
            <v>81091702090140</v>
          </cell>
          <cell r="C31031" t="str">
            <v>HPC INT.DIF. VIGÂ TITULIZADORA REFINANCI7ND</v>
          </cell>
        </row>
        <row r="31032">
          <cell r="B31032" t="str">
            <v>81091702090141</v>
          </cell>
          <cell r="C31032" t="str">
            <v>HPC INT.DIF VENC TITULIZADORA REFINANCIA7ND</v>
          </cell>
        </row>
        <row r="31033">
          <cell r="B31033" t="str">
            <v>81091702090142</v>
          </cell>
          <cell r="C31033" t="str">
            <v>HPC COM.DIF VIGÂ  TITULIZADORA REFINANCI7ND</v>
          </cell>
        </row>
        <row r="31034">
          <cell r="B31034" t="str">
            <v>81091702090143</v>
          </cell>
          <cell r="C31034" t="str">
            <v>HPC COM.DIF VENCÂ TITULIZADORA REFINANCI7ND</v>
          </cell>
        </row>
        <row r="31035">
          <cell r="B31035" t="str">
            <v>81091702090144</v>
          </cell>
          <cell r="C31035" t="str">
            <v>GTIA C.HIPOTECAR TRADIC T.PERUANA       7ND</v>
          </cell>
        </row>
        <row r="31036">
          <cell r="B31036" t="str">
            <v>81091702090155</v>
          </cell>
          <cell r="C31036" t="str">
            <v>HPC D/P.INT.X COB.VIG.TITULIZAD         7ND</v>
          </cell>
        </row>
        <row r="31037">
          <cell r="B31037" t="str">
            <v>81091702090156</v>
          </cell>
          <cell r="C31037" t="str">
            <v>HPC D/P. SEG.DESG.VIG.TITULIZAD         7ND</v>
          </cell>
        </row>
        <row r="31038">
          <cell r="B31038" t="str">
            <v>81091702090157</v>
          </cell>
          <cell r="C31038" t="str">
            <v>HPC D/P.SEG.INMB.VIG.TITULIZADO         7ND</v>
          </cell>
        </row>
        <row r="31039">
          <cell r="B31039" t="str">
            <v>81091702090164</v>
          </cell>
          <cell r="C31039" t="str">
            <v>HPC.D/P.INT.DIF ESPECIAL TITULI         7ND</v>
          </cell>
        </row>
        <row r="31040">
          <cell r="B31040" t="str">
            <v>81091702090165</v>
          </cell>
          <cell r="C31040" t="str">
            <v>HPC.D/P.SEG DESG.DIF ESPEC TITU         7ND</v>
          </cell>
        </row>
        <row r="31041">
          <cell r="B31041" t="str">
            <v>81091702090166</v>
          </cell>
          <cell r="C31041" t="str">
            <v>Â HPC.D/P.SEG BIEN DIF ESPEC TITU       7ND</v>
          </cell>
        </row>
        <row r="31042">
          <cell r="B31042" t="str">
            <v>81091702090201</v>
          </cell>
          <cell r="C31042" t="str">
            <v>CL PREJUD.CAP.CRED.HIPOT. TP            7ND</v>
          </cell>
        </row>
        <row r="31043">
          <cell r="B31043" t="str">
            <v>81091702090202</v>
          </cell>
          <cell r="C31043" t="str">
            <v>CL PREJUD.INT.CRED.HIPOT. TP            7ND</v>
          </cell>
        </row>
        <row r="31044">
          <cell r="B31044" t="str">
            <v>81091702090203</v>
          </cell>
          <cell r="C31044" t="str">
            <v>CL JUDICIAL CAP.CRED.HIPOTEC.TP         7ND</v>
          </cell>
        </row>
        <row r="31045">
          <cell r="B31045" t="str">
            <v>81091702090204</v>
          </cell>
          <cell r="C31045" t="str">
            <v>CL JUDICIAL INT.CRED.HIPOTEC.TP         7ND</v>
          </cell>
        </row>
        <row r="31046">
          <cell r="B31046" t="str">
            <v>81091702090205</v>
          </cell>
          <cell r="C31046" t="str">
            <v>CL CASTIGO CAP.CRED.HIPOTEC.TP          7ND</v>
          </cell>
        </row>
        <row r="31047">
          <cell r="B31047" t="str">
            <v>81091702090206</v>
          </cell>
          <cell r="C31047" t="str">
            <v>CL CASTIGO INT.CRED.HIPOTEC.TP          7ND</v>
          </cell>
        </row>
        <row r="31048">
          <cell r="B31048" t="str">
            <v>81091901060101</v>
          </cell>
          <cell r="C31048" t="str">
            <v>CL PREST.VIG-CTRL SBS(ANTES REF.)       7ND</v>
          </cell>
        </row>
        <row r="31049">
          <cell r="B31049" t="str">
            <v>81091901110101</v>
          </cell>
          <cell r="C31049" t="str">
            <v>LPC LEASING.VIG-CTRL SBS(ANT REF.)      7ND</v>
          </cell>
        </row>
        <row r="31050">
          <cell r="B31050" t="str">
            <v>81091902060101</v>
          </cell>
          <cell r="C31050" t="str">
            <v>MYP CAP.VIG.FIN. CAP. TRAB  PRO.REFIN   7ND</v>
          </cell>
        </row>
        <row r="31051">
          <cell r="B31051" t="str">
            <v>81091902060102</v>
          </cell>
          <cell r="C31051" t="str">
            <v>MYP LINEA REVOL PROVREFCMIE             7ND</v>
          </cell>
        </row>
        <row r="31052">
          <cell r="B31052" t="str">
            <v>81091903060110</v>
          </cell>
          <cell r="C31052" t="str">
            <v>HPC CTA ORDEN VIG EFEC C/GARANT.H       7ND</v>
          </cell>
        </row>
        <row r="31053">
          <cell r="B31053" t="str">
            <v>81091903060111</v>
          </cell>
          <cell r="C31053" t="str">
            <v>HPC D/P CTA ORDEN VIG EFEC C/GARA       7ND</v>
          </cell>
        </row>
        <row r="31054">
          <cell r="B31054" t="str">
            <v>81091903060112</v>
          </cell>
          <cell r="C31054" t="str">
            <v>HPC CTA ORDEN VIG .PRESTAMO PERSO       7ND</v>
          </cell>
        </row>
        <row r="31055">
          <cell r="B31055" t="str">
            <v>81091903060113</v>
          </cell>
          <cell r="C31055" t="str">
            <v>HPC D/P CTA ORDEN VIG .PRESTAMO P       7ND</v>
          </cell>
        </row>
        <row r="31056">
          <cell r="B31056" t="str">
            <v>81091903060114</v>
          </cell>
          <cell r="C31056" t="str">
            <v>HPC CTA ORDEN VIG. CRED EFECT FINAN.PROV7ND</v>
          </cell>
        </row>
        <row r="31057">
          <cell r="B31057" t="str">
            <v>81091903060115</v>
          </cell>
          <cell r="C31057" t="str">
            <v>HPC CTA ORDEN VIG. CRED VEHIC FINAN.PROV7ND</v>
          </cell>
        </row>
        <row r="31058">
          <cell r="B31058" t="str">
            <v>81091903060116</v>
          </cell>
          <cell r="C31058" t="str">
            <v>HPC CRED VEH PROV REF                   7ND</v>
          </cell>
        </row>
        <row r="31059">
          <cell r="B31059" t="str">
            <v>81091903290101</v>
          </cell>
          <cell r="C31059" t="str">
            <v>HPC CTA ORDEN VIG FINAN.PROV.REFIN      7ND</v>
          </cell>
        </row>
        <row r="31060">
          <cell r="B31060" t="str">
            <v>81091904060102</v>
          </cell>
          <cell r="C31060" t="str">
            <v>HPC CTA ORDEN VIG HIPOT.TRAD.FINAN.PR   7ND</v>
          </cell>
        </row>
        <row r="31061">
          <cell r="B31061" t="str">
            <v>81091904060103</v>
          </cell>
          <cell r="C31061" t="str">
            <v>HPC D/P CTA ORDEN VIG HIPOT.TRAD.FINA   7ND</v>
          </cell>
        </row>
        <row r="31062">
          <cell r="B31062" t="str">
            <v>81091904060104</v>
          </cell>
          <cell r="C31062" t="str">
            <v>HPC CTA ORDEN VIG HIPOT.FINAN.PROV.RE   7ND</v>
          </cell>
        </row>
        <row r="31063">
          <cell r="B31063" t="str">
            <v>81091904060105</v>
          </cell>
          <cell r="C31063" t="str">
            <v>HPC D/P CTA ORDEN VIG HIPOT.FINAN.PRO   7ND</v>
          </cell>
        </row>
        <row r="31064">
          <cell r="B31064" t="str">
            <v>81091905000101</v>
          </cell>
          <cell r="C31064" t="str">
            <v>CL PREST.VIG-CTRL SBS CBMD (ANTES REF.) 7ND</v>
          </cell>
        </row>
        <row r="31065">
          <cell r="B31065" t="str">
            <v>81091905000201</v>
          </cell>
          <cell r="C31065" t="str">
            <v>LPC PREST.VIG-CTRL SBS CBMD (ANTES REF.)7ND</v>
          </cell>
        </row>
        <row r="31066">
          <cell r="B31066" t="str">
            <v>81091906000101</v>
          </cell>
          <cell r="C31066" t="str">
            <v>CL PREST.VIG-CTRL SBS CSOB (ANTES REF.) 7ND</v>
          </cell>
        </row>
        <row r="31067">
          <cell r="B31067" t="str">
            <v>81091906000201</v>
          </cell>
          <cell r="C31067" t="str">
            <v>LPC PREST.VIG-CTRL SBS CSOB (ANTES REF.)7ND</v>
          </cell>
        </row>
        <row r="31068">
          <cell r="B31068" t="str">
            <v>81091907000101</v>
          </cell>
          <cell r="C31068" t="str">
            <v>CL PREST.VIG-CTRL SBS CESP (ANTES REF.) 7ND</v>
          </cell>
        </row>
        <row r="31069">
          <cell r="B31069" t="str">
            <v>81091907000201</v>
          </cell>
          <cell r="C31069" t="str">
            <v>LPC PREST.VIG-CTRL SBS CESP (ANTES REF.)7ND</v>
          </cell>
        </row>
        <row r="31070">
          <cell r="B31070" t="str">
            <v>81091908000101</v>
          </cell>
          <cell r="C31070" t="str">
            <v>CL PREST.VIG-CTRL SBS CIVA (ANTES REF.) 7ND</v>
          </cell>
        </row>
        <row r="31071">
          <cell r="B31071" t="str">
            <v>81091908000201</v>
          </cell>
          <cell r="C31071" t="str">
            <v>LPC PREST.VIG-CTRL SBS CIVA (ANTES REF.)7ND</v>
          </cell>
        </row>
        <row r="31072">
          <cell r="B31072" t="str">
            <v>81091909000101</v>
          </cell>
          <cell r="C31072" t="str">
            <v>CL PREST.VIG-CTRL SBS CESF (ANTES REF.) 7ND</v>
          </cell>
        </row>
        <row r="31073">
          <cell r="B31073" t="str">
            <v>81091909000201</v>
          </cell>
          <cell r="C31073" t="str">
            <v>LPC PREST.VIG-CTRL SBS CESF (ANTES REF.)7ND</v>
          </cell>
        </row>
        <row r="31074">
          <cell r="B31074" t="str">
            <v>81091910000101</v>
          </cell>
          <cell r="C31074" t="str">
            <v>CL PREST.VIG-CTRL SBS CCOR (ANTES REF.) 7ND</v>
          </cell>
        </row>
        <row r="31075">
          <cell r="B31075" t="str">
            <v>81091910000201</v>
          </cell>
          <cell r="C31075" t="str">
            <v>LPC PREST.VIG-CTRL SBS CCOR (ANTES REF.)7ND</v>
          </cell>
        </row>
        <row r="31076">
          <cell r="B31076" t="str">
            <v>81091911000101</v>
          </cell>
          <cell r="C31076" t="str">
            <v>CL PREST.VIG-CTRL SBS CGEM (ANTES REF.) 7ND</v>
          </cell>
        </row>
        <row r="31077">
          <cell r="B31077" t="str">
            <v>81091911000201</v>
          </cell>
          <cell r="C31077" t="str">
            <v>LPC PREST.VIG-CTRL SBS CGEM (ANTES REF.)7ND</v>
          </cell>
        </row>
        <row r="31078">
          <cell r="B31078" t="str">
            <v>81091912000101</v>
          </cell>
          <cell r="C31078" t="str">
            <v>CL PREST.VIG-CTRL SBS CMED (ANTES REF.) 7ND</v>
          </cell>
        </row>
        <row r="31079">
          <cell r="B31079" t="str">
            <v>81091912000201</v>
          </cell>
          <cell r="C31079" t="str">
            <v>LPC PREST.VIG-CTRL SBS CMED (ANTES REF.)7ND</v>
          </cell>
        </row>
        <row r="31080">
          <cell r="B31080" t="str">
            <v>81091912000301</v>
          </cell>
          <cell r="C31080" t="str">
            <v>MYP CAP.VIG CAP. TRAB. CMED PRO.REFIN   7ND</v>
          </cell>
        </row>
        <row r="31081">
          <cell r="B31081" t="str">
            <v>81091912000302</v>
          </cell>
          <cell r="C31081" t="str">
            <v>MYP LINEA REVOL PROVREFCMED             7ND</v>
          </cell>
        </row>
        <row r="31082">
          <cell r="B31082" t="str">
            <v>81091913000101</v>
          </cell>
          <cell r="C31082" t="str">
            <v>CL PREST.VIG-CTRL SBS CPEM (ANTES REF.) 7ND</v>
          </cell>
        </row>
        <row r="31083">
          <cell r="B31083" t="str">
            <v>81091913000201</v>
          </cell>
          <cell r="C31083" t="str">
            <v>LPC PREST.VIG-CTRL SBS CPEM (ANTES REF.)7ND</v>
          </cell>
        </row>
        <row r="31084">
          <cell r="B31084" t="str">
            <v>81091913000301</v>
          </cell>
          <cell r="C31084" t="str">
            <v>MYP CAP.VIG CAP. TRAB. CPEM PRO.REFIN   7ND</v>
          </cell>
        </row>
        <row r="31085">
          <cell r="B31085" t="str">
            <v>81091913000302</v>
          </cell>
          <cell r="C31085" t="str">
            <v>MYP LINEA REVOL PROVREFCPEM             7ND</v>
          </cell>
        </row>
        <row r="31086">
          <cell r="B31086" t="str">
            <v>81092201000101</v>
          </cell>
          <cell r="C31086" t="str">
            <v>CL CRED.CONDONADO CAPITAL COMER         7ND</v>
          </cell>
        </row>
        <row r="31087">
          <cell r="B31087" t="str">
            <v>81092201000102</v>
          </cell>
          <cell r="C31087" t="str">
            <v>CJ CAPITAL CRED.CONDONADOS MES          7ND</v>
          </cell>
        </row>
        <row r="31088">
          <cell r="B31088" t="str">
            <v>81092201000103</v>
          </cell>
          <cell r="C31088" t="str">
            <v>CL CR.CONDONADO CAPITAL CONSUMO         7ND</v>
          </cell>
        </row>
        <row r="31089">
          <cell r="B31089" t="str">
            <v>81092201000104</v>
          </cell>
          <cell r="C31089" t="str">
            <v>CJ CAPITAL CRED.CONDONADOS HIPOTECARIOS 7ND</v>
          </cell>
        </row>
        <row r="31090">
          <cell r="B31090" t="str">
            <v>81092201000105</v>
          </cell>
          <cell r="C31090" t="str">
            <v>JCC CR.CONDONADO CAPITAL CONSUMO        7ND</v>
          </cell>
        </row>
        <row r="31091">
          <cell r="B31091" t="str">
            <v>81092201000106</v>
          </cell>
          <cell r="C31091" t="str">
            <v>CJ CAPITAL CRED.CONDONADOS HIPOTECARIOS 7ND</v>
          </cell>
        </row>
        <row r="31092">
          <cell r="B31092" t="str">
            <v>81092201000107</v>
          </cell>
          <cell r="C31092" t="str">
            <v>JCC CRED.CONDONADO CAPITAL COMER        7ND</v>
          </cell>
        </row>
        <row r="31093">
          <cell r="B31093" t="str">
            <v>81092201000108</v>
          </cell>
          <cell r="C31093" t="str">
            <v>JCC CAPITAL CRED.CONDONADOS MES         7ND</v>
          </cell>
        </row>
        <row r="31094">
          <cell r="B31094" t="str">
            <v>81092201000109</v>
          </cell>
          <cell r="C31094" t="str">
            <v>JCC .CONDONADO CAPITAL BCA.PERSONAL     7ND</v>
          </cell>
        </row>
        <row r="31095">
          <cell r="B31095" t="str">
            <v>81092201000110</v>
          </cell>
          <cell r="C31095" t="str">
            <v>JCC .CONDONADO CAPITAL BCA.COMERCIAL    7ND</v>
          </cell>
        </row>
        <row r="31096">
          <cell r="B31096" t="str">
            <v>81092201000111</v>
          </cell>
          <cell r="C31096" t="str">
            <v>JCC .CONDONADO CAPITAL MYPES            7ND</v>
          </cell>
        </row>
        <row r="31097">
          <cell r="B31097" t="str">
            <v>81092201000112</v>
          </cell>
          <cell r="C31097" t="str">
            <v>JCC .CONDONADO CAPITAL BCA.COMERCIAL    7ND</v>
          </cell>
        </row>
        <row r="31098">
          <cell r="B31098" t="str">
            <v>81092201000113</v>
          </cell>
          <cell r="C31098" t="str">
            <v>JCC .CONDONADO CAPITAL BCA.COMERCIAL    7 D</v>
          </cell>
        </row>
        <row r="31099">
          <cell r="B31099" t="str">
            <v>81092201000114</v>
          </cell>
          <cell r="C31099" t="str">
            <v>JCC .CONDONADO CAPITAL FONDO CRECER MP  7 D</v>
          </cell>
        </row>
        <row r="31100">
          <cell r="B31100" t="str">
            <v>81092201000115</v>
          </cell>
          <cell r="C31100" t="str">
            <v>JCC .CONDONADO CAPITAL FONDO CRECER BC  7 D</v>
          </cell>
        </row>
        <row r="31101">
          <cell r="B31101" t="str">
            <v>81092201000116</v>
          </cell>
          <cell r="C31101" t="str">
            <v>JCC .CONDONADO CAPITAL REACTIVA PRE-HONR7 D</v>
          </cell>
        </row>
        <row r="31102">
          <cell r="B31102" t="str">
            <v>81092201000117</v>
          </cell>
          <cell r="C31102" t="str">
            <v>JCC .CONDONADO CAPITAL REACTIVA PRE-HONR7 D</v>
          </cell>
        </row>
        <row r="31103">
          <cell r="B31103" t="str">
            <v>81092201000118</v>
          </cell>
          <cell r="C31103" t="str">
            <v>JCC CONDONADO CAPITAL RAPPIBANK         7 D</v>
          </cell>
        </row>
        <row r="31104">
          <cell r="B31104" t="str">
            <v>81092202000101</v>
          </cell>
          <cell r="C31104" t="str">
            <v>CL CRED.CONDONADO INTERES COMER         7ND</v>
          </cell>
        </row>
        <row r="31105">
          <cell r="B31105" t="str">
            <v>81092202000102</v>
          </cell>
          <cell r="C31105" t="str">
            <v>CJ INTERES CRED.CONDONADOS MES          7ND</v>
          </cell>
        </row>
        <row r="31106">
          <cell r="B31106" t="str">
            <v>81092202000103</v>
          </cell>
          <cell r="C31106" t="str">
            <v>CL CR.CONDONADO INTERES CONSUMO         7ND</v>
          </cell>
        </row>
        <row r="31107">
          <cell r="B31107" t="str">
            <v>81092202000104</v>
          </cell>
          <cell r="C31107" t="str">
            <v>CL CRE.CONDONADO INTERES HIPOTE         7ND</v>
          </cell>
        </row>
        <row r="31108">
          <cell r="B31108" t="str">
            <v>81092202000105</v>
          </cell>
          <cell r="C31108" t="str">
            <v>JCC CR.CONDONADO INTERES CONSUMO        7ND</v>
          </cell>
        </row>
        <row r="31109">
          <cell r="B31109" t="str">
            <v>81092202000106</v>
          </cell>
          <cell r="C31109" t="str">
            <v>CJ INTERES CRED.CONDONADOS HIPOTECARIOS 7ND</v>
          </cell>
        </row>
        <row r="31110">
          <cell r="B31110" t="str">
            <v>81092202000107</v>
          </cell>
          <cell r="C31110" t="str">
            <v>JCC CRED.CONDONADO INTERES COMER        7ND</v>
          </cell>
        </row>
        <row r="31111">
          <cell r="B31111" t="str">
            <v>81092202000108</v>
          </cell>
          <cell r="C31111" t="str">
            <v>JCC INTERES CRED.CONDONADOS MES         7ND</v>
          </cell>
        </row>
        <row r="31112">
          <cell r="B31112" t="str">
            <v>81092202000109</v>
          </cell>
          <cell r="C31112" t="str">
            <v>JCC .CONDONADO INTERES BCA PERSONAL     7ND</v>
          </cell>
        </row>
        <row r="31113">
          <cell r="B31113" t="str">
            <v>81092202000110</v>
          </cell>
          <cell r="C31113" t="str">
            <v>JCC .CONDONADO INTERES BCA COMERCIAL    7ND</v>
          </cell>
        </row>
        <row r="31114">
          <cell r="B31114" t="str">
            <v>81092202000111</v>
          </cell>
          <cell r="C31114" t="str">
            <v>JCC .CONDONADO INTERES MYPES            7ND</v>
          </cell>
        </row>
        <row r="31115">
          <cell r="B31115" t="str">
            <v>81092202000112</v>
          </cell>
          <cell r="C31115" t="str">
            <v>JCC .CONDONADO INTERES BCA COMERCIAL    7ND</v>
          </cell>
        </row>
        <row r="31116">
          <cell r="B31116" t="str">
            <v>81092202000113</v>
          </cell>
          <cell r="C31116" t="str">
            <v>JCC .CONDONADO INTERES BCA COMERCIAL    7 D</v>
          </cell>
        </row>
        <row r="31117">
          <cell r="B31117" t="str">
            <v>81092202000114</v>
          </cell>
          <cell r="C31117" t="str">
            <v>JCC .CONDONADO INTERES FONDO CRECER MP  7 D</v>
          </cell>
        </row>
        <row r="31118">
          <cell r="B31118" t="str">
            <v>81092202000115</v>
          </cell>
          <cell r="C31118" t="str">
            <v>JCC .CONDONADO INTERES FONDO CRECER BC  7 D</v>
          </cell>
        </row>
        <row r="31119">
          <cell r="B31119" t="str">
            <v>81092202000116</v>
          </cell>
          <cell r="C31119" t="str">
            <v>JCC .CONDONADO INTERES REACTIVA PRE-HONR7 D</v>
          </cell>
        </row>
        <row r="31120">
          <cell r="B31120" t="str">
            <v>81092202000117</v>
          </cell>
          <cell r="C31120" t="str">
            <v>JCC .CONDONADO INTERES REACTIVA PRE-HONR7 D</v>
          </cell>
        </row>
        <row r="31121">
          <cell r="B31121" t="str">
            <v>81092202000118</v>
          </cell>
          <cell r="C31121" t="str">
            <v>JCC CONDONADO INTERESES RAPPIBANK       7 D</v>
          </cell>
        </row>
        <row r="31122">
          <cell r="B31122" t="str">
            <v>81092300000101</v>
          </cell>
          <cell r="C31122" t="str">
            <v>LINEAS CRED TARJETAS DE CREDITO CONSU   7ND</v>
          </cell>
        </row>
        <row r="31123">
          <cell r="B31123" t="str">
            <v>81092300000102</v>
          </cell>
          <cell r="C31123" t="str">
            <v>TC LINEA DE CREDITO AUTORIZADA CCRV     7ND</v>
          </cell>
        </row>
        <row r="31124">
          <cell r="B31124" t="str">
            <v>81092300000103</v>
          </cell>
          <cell r="C31124" t="str">
            <v>TC LINEA DE CREDITO AUTORIZADA CCNR     7ND</v>
          </cell>
        </row>
        <row r="31125">
          <cell r="B31125" t="str">
            <v>81092300000104</v>
          </cell>
          <cell r="C31125" t="str">
            <v>TC LINEA DE CREDITO AUTORIZADA CBMD     7ND</v>
          </cell>
        </row>
        <row r="31126">
          <cell r="B31126" t="str">
            <v>81092300000105</v>
          </cell>
          <cell r="C31126" t="str">
            <v>TC LINEA DE CREDITO AUTORIZADA CCOR     7ND</v>
          </cell>
        </row>
        <row r="31127">
          <cell r="B31127" t="str">
            <v>81092300000106</v>
          </cell>
          <cell r="C31127" t="str">
            <v>TC LINEA DE CREDITO AUTORIZADA CESP     7ND</v>
          </cell>
        </row>
        <row r="31128">
          <cell r="B31128" t="str">
            <v>81092300000107</v>
          </cell>
          <cell r="C31128" t="str">
            <v>TC LINEA DE CREDITO AUTORIZADA CGEM     7ND</v>
          </cell>
        </row>
        <row r="31129">
          <cell r="B31129" t="str">
            <v>81092300000108</v>
          </cell>
          <cell r="C31129" t="str">
            <v>TC LINEA DE CREDITO AUTORIZADA CIVA     7ND</v>
          </cell>
        </row>
        <row r="31130">
          <cell r="B31130" t="str">
            <v>81092300000109</v>
          </cell>
          <cell r="C31130" t="str">
            <v>TC LINEA DE CREDITO AUTORIZADA CMED     7ND</v>
          </cell>
        </row>
        <row r="31131">
          <cell r="B31131" t="str">
            <v>81092300000110</v>
          </cell>
          <cell r="C31131" t="str">
            <v>TC LINEA DE CREDITO AUTORIZADA CMIE     7ND</v>
          </cell>
        </row>
        <row r="31132">
          <cell r="B31132" t="str">
            <v>81092300000111</v>
          </cell>
          <cell r="C31132" t="str">
            <v>TC LINEA DE CREDITO AUTORIZADA CPEM     7ND</v>
          </cell>
        </row>
        <row r="31133">
          <cell r="B31133" t="str">
            <v>81092300000112</v>
          </cell>
          <cell r="C31133" t="str">
            <v>TC LINEA DE CREDITO AUTORIZADA CSOB     7ND</v>
          </cell>
        </row>
        <row r="31134">
          <cell r="B31134" t="str">
            <v>81092300000113</v>
          </cell>
          <cell r="C31134" t="str">
            <v>TC LINEA DE CREDITO AUTORIZADA CESF     7ND</v>
          </cell>
        </row>
        <row r="31135">
          <cell r="B31135" t="str">
            <v>81092300000203</v>
          </cell>
          <cell r="C31135" t="str">
            <v>BTC LINEA DE CREDITO AUTORIZADA CCRV    7ND</v>
          </cell>
        </row>
        <row r="31136">
          <cell r="B31136" t="str">
            <v>81092301000100</v>
          </cell>
          <cell r="C31136" t="str">
            <v>LINEAS CRED TARJETAS DE CREDITO  REV CON7ND</v>
          </cell>
        </row>
        <row r="31137">
          <cell r="B31137" t="str">
            <v>81092301000101</v>
          </cell>
          <cell r="C31137" t="str">
            <v>TC LINEA DE CREDITO AUTORIZADA REV CCRV 7ND</v>
          </cell>
        </row>
        <row r="31138">
          <cell r="B31138" t="str">
            <v>81092301000102</v>
          </cell>
          <cell r="C31138" t="str">
            <v>TC LINEA DE CREDITO AUTORIZADA REV CCOR 7ND</v>
          </cell>
        </row>
        <row r="31139">
          <cell r="B31139" t="str">
            <v>81092301000103</v>
          </cell>
          <cell r="C31139" t="str">
            <v>TC LINEA DE CREDITO AUTORIZADA REV CGEM 7ND</v>
          </cell>
        </row>
        <row r="31140">
          <cell r="B31140" t="str">
            <v>81092301000104</v>
          </cell>
          <cell r="C31140" t="str">
            <v>TC LINEA DE CREDITO AUTORIZADA REV CIVA 7ND</v>
          </cell>
        </row>
        <row r="31141">
          <cell r="B31141" t="str">
            <v>81092301000105</v>
          </cell>
          <cell r="C31141" t="str">
            <v>TC LINEA DE CREDITO AUTORIZADA REV CMED 7ND</v>
          </cell>
        </row>
        <row r="31142">
          <cell r="B31142" t="str">
            <v>81092301000106</v>
          </cell>
          <cell r="C31142" t="str">
            <v>TC LINEA DE CREDITO AUTORIZADA REV CMIE 7ND</v>
          </cell>
        </row>
        <row r="31143">
          <cell r="B31143" t="str">
            <v>81092301000107</v>
          </cell>
          <cell r="C31143" t="str">
            <v>TC LINEA DE CREDITO AUTORIZADA REV CPEM 7ND</v>
          </cell>
        </row>
        <row r="31144">
          <cell r="B31144" t="str">
            <v>81092301000108</v>
          </cell>
          <cell r="C31144" t="str">
            <v>TC LINEA DE CREDITO AUTORIZADA REV CESF 7ND</v>
          </cell>
        </row>
        <row r="31145">
          <cell r="B31145" t="str">
            <v>81092301000109</v>
          </cell>
          <cell r="C31145" t="str">
            <v>LINEAS CRED TARJETAS DE CREDITO  REV CON7ND</v>
          </cell>
        </row>
        <row r="31146">
          <cell r="B31146" t="str">
            <v>81092301000110</v>
          </cell>
          <cell r="C31146" t="str">
            <v>TC LINEA DE CREDITO AUTORIZADA REV CCRV 7ND</v>
          </cell>
        </row>
        <row r="31147">
          <cell r="B31147" t="str">
            <v>81092301000111</v>
          </cell>
          <cell r="C31147" t="str">
            <v>TC LINEA DE CREDITO AUTORIZADA REV CCOR 7ND</v>
          </cell>
        </row>
        <row r="31148">
          <cell r="B31148" t="str">
            <v>81092301000112</v>
          </cell>
          <cell r="C31148" t="str">
            <v>TC LINEA DE CREDITO AUTORIZADA REV CGEM 7ND</v>
          </cell>
        </row>
        <row r="31149">
          <cell r="B31149" t="str">
            <v>81092301000113</v>
          </cell>
          <cell r="C31149" t="str">
            <v>TC LINEA DE CREDITO AUTORIZADA REV CIVA 7ND</v>
          </cell>
        </row>
        <row r="31150">
          <cell r="B31150" t="str">
            <v>81092301000114</v>
          </cell>
          <cell r="C31150" t="str">
            <v>TC LINEA DE CREDITO AUTORIZADA REV CMED 7ND</v>
          </cell>
        </row>
        <row r="31151">
          <cell r="B31151" t="str">
            <v>81092301000115</v>
          </cell>
          <cell r="C31151" t="str">
            <v>TC LINEA DE CREDITO AUTORIZADA REV CMIE 7ND</v>
          </cell>
        </row>
        <row r="31152">
          <cell r="B31152" t="str">
            <v>81092301000116</v>
          </cell>
          <cell r="C31152" t="str">
            <v>TC LINEA DE CREDITO AUTORIZADA REV CPEM 7ND</v>
          </cell>
        </row>
        <row r="31153">
          <cell r="B31153" t="str">
            <v>81092301000117</v>
          </cell>
          <cell r="C31153" t="str">
            <v>TC LINEA DE CREDITO AUTORIZADA REV CESF 7ND</v>
          </cell>
        </row>
        <row r="31154">
          <cell r="B31154" t="str">
            <v>81092301000118</v>
          </cell>
          <cell r="C31154" t="str">
            <v>BTC LINEA DE CREDITO AUTORIZADA REV CCRV7ND</v>
          </cell>
        </row>
        <row r="31155">
          <cell r="B31155" t="str">
            <v>81092302000100</v>
          </cell>
          <cell r="C31155" t="str">
            <v>LINEAS CRED TARJETAS DE CREDITO N REV  C7ND</v>
          </cell>
        </row>
        <row r="31156">
          <cell r="B31156" t="str">
            <v>81092302000101</v>
          </cell>
          <cell r="C31156" t="str">
            <v>TC LINEA DE CREDITO AUTORIZADA N REV  CC7ND</v>
          </cell>
        </row>
        <row r="31157">
          <cell r="B31157" t="str">
            <v>81092302000102</v>
          </cell>
          <cell r="C31157" t="str">
            <v>TC LINEA DE CREDITO AUTORIZADA N REV  CC7ND</v>
          </cell>
        </row>
        <row r="31158">
          <cell r="B31158" t="str">
            <v>81092302000103</v>
          </cell>
          <cell r="C31158" t="str">
            <v>TC LINEA DE CREDITO AUTORIZADA N REV  CG7ND</v>
          </cell>
        </row>
        <row r="31159">
          <cell r="B31159" t="str">
            <v>81092302000104</v>
          </cell>
          <cell r="C31159" t="str">
            <v>TC LINEA DE CREDITO AUTORIZADA N REV  CI7ND</v>
          </cell>
        </row>
        <row r="31160">
          <cell r="B31160" t="str">
            <v>81092302000105</v>
          </cell>
          <cell r="C31160" t="str">
            <v>TC LINEA DE CREDITO AUTORIZADA N REV  CM7ND</v>
          </cell>
        </row>
        <row r="31161">
          <cell r="B31161" t="str">
            <v>81092302000106</v>
          </cell>
          <cell r="C31161" t="str">
            <v>TC LINEA DE CREDITO AUTORIZADA N REV  CM7ND</v>
          </cell>
        </row>
        <row r="31162">
          <cell r="B31162" t="str">
            <v>81092302000107</v>
          </cell>
          <cell r="C31162" t="str">
            <v>TC LINEA DE CREDITO AUTORIZADA N REV  CP7ND</v>
          </cell>
        </row>
        <row r="31163">
          <cell r="B31163" t="str">
            <v>81092302000108</v>
          </cell>
          <cell r="C31163" t="str">
            <v>TC LINEA DE CREDITO AUTORIZADA N REV  CE7ND</v>
          </cell>
        </row>
        <row r="31164">
          <cell r="B31164" t="str">
            <v>81092302000109</v>
          </cell>
          <cell r="C31164" t="str">
            <v>LINEAS CRED TARJETAS DE CREDITO N REV  C7ND</v>
          </cell>
        </row>
        <row r="31165">
          <cell r="B31165" t="str">
            <v>81092302000110</v>
          </cell>
          <cell r="C31165" t="str">
            <v>TC LINEA DE CREDITO AUTORIZADA N REV  CC7ND</v>
          </cell>
        </row>
        <row r="31166">
          <cell r="B31166" t="str">
            <v>81092302000111</v>
          </cell>
          <cell r="C31166" t="str">
            <v>TC LINEA DE CREDITO AUTORIZADA N REV  CC7ND</v>
          </cell>
        </row>
        <row r="31167">
          <cell r="B31167" t="str">
            <v>81092302000112</v>
          </cell>
          <cell r="C31167" t="str">
            <v>TC LINEA DE CREDITO AUTORIZADA N REV  CG7ND</v>
          </cell>
        </row>
        <row r="31168">
          <cell r="B31168" t="str">
            <v>81092302000113</v>
          </cell>
          <cell r="C31168" t="str">
            <v>TC LINEA DE CREDITO AUTORIZADA N REV  CI7ND</v>
          </cell>
        </row>
        <row r="31169">
          <cell r="B31169" t="str">
            <v>81092302000114</v>
          </cell>
          <cell r="C31169" t="str">
            <v>TC LINEA DE CREDITO AUTORIZADA N REV  CM7ND</v>
          </cell>
        </row>
        <row r="31170">
          <cell r="B31170" t="str">
            <v>81092302000115</v>
          </cell>
          <cell r="C31170" t="str">
            <v>TC LINEA DE CREDITO AUTORIZADA N REV  CM7ND</v>
          </cell>
        </row>
        <row r="31171">
          <cell r="B31171" t="str">
            <v>81092302000116</v>
          </cell>
          <cell r="C31171" t="str">
            <v>TC LINEA DE CREDITO AUTORIZADA N REV  CP7ND</v>
          </cell>
        </row>
        <row r="31172">
          <cell r="B31172" t="str">
            <v>81092302000117</v>
          </cell>
          <cell r="C31172" t="str">
            <v>TC LINEA DE CREDITO AUTORIZADA N REV  CE7ND</v>
          </cell>
        </row>
        <row r="31173">
          <cell r="B31173" t="str">
            <v>81092404010101</v>
          </cell>
          <cell r="C31173" t="str">
            <v>CL P.REF.RFA SUBO.Y FINAN.COMER         7ND</v>
          </cell>
        </row>
        <row r="31174">
          <cell r="B31174" t="str">
            <v>81092404020101</v>
          </cell>
          <cell r="C31174" t="str">
            <v>CL P.REF.RFA SUBO.Y FINAN.MES           7ND</v>
          </cell>
        </row>
        <row r="31175">
          <cell r="B31175" t="str">
            <v>81092501000101</v>
          </cell>
          <cell r="C31175" t="str">
            <v>CON ACUERDO EXTRAJUDICIAL -COMERCIAL    7ND</v>
          </cell>
        </row>
        <row r="31176">
          <cell r="B31176" t="str">
            <v>81092501000102</v>
          </cell>
          <cell r="C31176" t="str">
            <v>SIN ACUERDO EXTRAJUDICIAL -COMERCIAL    7ND</v>
          </cell>
        </row>
        <row r="31177">
          <cell r="B31177" t="str">
            <v>81092503000201</v>
          </cell>
          <cell r="C31177" t="str">
            <v>CON ACUERDO EXTRAJUDICIAL -CONSUMO      7ND</v>
          </cell>
        </row>
        <row r="31178">
          <cell r="B31178" t="str">
            <v>81092503000202</v>
          </cell>
          <cell r="C31178" t="str">
            <v>SIN ACUERDO EXTRAJUDICIAL -CONSUMO      7ND</v>
          </cell>
        </row>
        <row r="31179">
          <cell r="B31179" t="str">
            <v>81092600000104</v>
          </cell>
          <cell r="C31179" t="str">
            <v>LPC SISM PAG TV NO REVOL VIG SBS        7ND</v>
          </cell>
        </row>
        <row r="31180">
          <cell r="B31180" t="str">
            <v>81092600000105</v>
          </cell>
          <cell r="C31180" t="str">
            <v>LPC SISMO LEASING VIGENTE SBS           7ND</v>
          </cell>
        </row>
        <row r="31181">
          <cell r="B31181" t="str">
            <v>81092600000106</v>
          </cell>
          <cell r="C31181" t="str">
            <v>IC S CRED REPROG SISMO HIPOT            7ND</v>
          </cell>
        </row>
        <row r="31182">
          <cell r="B31182" t="str">
            <v>81092600000107</v>
          </cell>
          <cell r="C31182" t="str">
            <v>IC S CRED REPROG SISMO EFECT C/G HIP    7ND</v>
          </cell>
        </row>
        <row r="31183">
          <cell r="B31183" t="str">
            <v>81092600000109</v>
          </cell>
          <cell r="C31183" t="str">
            <v>IC S CRED REPROG SISMO VEHIC            7ND</v>
          </cell>
        </row>
        <row r="31184">
          <cell r="B31184" t="str">
            <v>81092600000111</v>
          </cell>
          <cell r="C31184" t="str">
            <v>LIC S CRED REPROG SISMO CONVENIO        7ND</v>
          </cell>
        </row>
        <row r="31185">
          <cell r="B31185" t="str">
            <v>81092600000112</v>
          </cell>
          <cell r="C31185" t="str">
            <v>CHI S CRED REPROG SISMO MI VIVIENDA     7ND</v>
          </cell>
        </row>
        <row r="31186">
          <cell r="B31186" t="str">
            <v>81092600000503</v>
          </cell>
          <cell r="C31186" t="str">
            <v>LPC SISMO PAG TV REVOL VEN SBS          7ND</v>
          </cell>
        </row>
        <row r="31187">
          <cell r="B31187" t="str">
            <v>81092600000504</v>
          </cell>
          <cell r="C31187" t="str">
            <v>LPC SISM PAG TV NO REVOL VEN SBS        7ND</v>
          </cell>
        </row>
        <row r="31188">
          <cell r="B31188" t="str">
            <v>81092600000505</v>
          </cell>
          <cell r="C31188" t="str">
            <v>LPC SISMO LEASING VENCIDO SBS           7ND</v>
          </cell>
        </row>
        <row r="31189">
          <cell r="B31189" t="str">
            <v>81092700000103</v>
          </cell>
          <cell r="C31189" t="str">
            <v>LIC E CRED REPROG LIC CONVENIO EMERGE   7ND</v>
          </cell>
        </row>
        <row r="31190">
          <cell r="B31190" t="str">
            <v>81092700000105</v>
          </cell>
          <cell r="C31190" t="str">
            <v>TC REPROGRAMACION VIGENTE               7ND</v>
          </cell>
        </row>
        <row r="31191">
          <cell r="B31191" t="str">
            <v>81092700000116</v>
          </cell>
          <cell r="C31191" t="str">
            <v>MYP E.R.C.CAP.VIG.FIN.CAP.TRAB          7ND</v>
          </cell>
        </row>
        <row r="31192">
          <cell r="B31192" t="str">
            <v>81092700000117</v>
          </cell>
          <cell r="C31192" t="str">
            <v>LPC CRED REPROG CARTERA NO MINORISTA    7ND</v>
          </cell>
        </row>
        <row r="31193">
          <cell r="B31193" t="str">
            <v>81092700000118</v>
          </cell>
          <cell r="C31193" t="str">
            <v>LPC CRED REPROG. BCA. INMOBILIARIA      7ND</v>
          </cell>
        </row>
        <row r="31194">
          <cell r="B31194" t="str">
            <v>81092700000201</v>
          </cell>
          <cell r="C31194" t="str">
            <v>TC REPROGRAMACION VENCIDO               7ND</v>
          </cell>
        </row>
        <row r="31195">
          <cell r="B31195" t="str">
            <v>81092700000202</v>
          </cell>
          <cell r="C31195" t="str">
            <v>TC REPROGRAMACION VIGENTE               7ND</v>
          </cell>
        </row>
        <row r="31196">
          <cell r="B31196" t="str">
            <v>81092700000203</v>
          </cell>
          <cell r="C31196" t="str">
            <v>CDO REPROGRAMACION DE DEUDA TC          7ND</v>
          </cell>
        </row>
        <row r="31197">
          <cell r="B31197" t="str">
            <v>81092700000206</v>
          </cell>
          <cell r="C31197" t="str">
            <v>MYP REPROG PERIODO GRACIA PARCIAL       7 D</v>
          </cell>
        </row>
        <row r="31198">
          <cell r="B31198" t="str">
            <v>81092700000207</v>
          </cell>
          <cell r="C31198" t="str">
            <v>CCD BPE CAPITAL DE TRABAJO_REPROGRAMADO 7 D</v>
          </cell>
        </row>
        <row r="31199">
          <cell r="B31199" t="str">
            <v>81092700000208</v>
          </cell>
          <cell r="C31199" t="str">
            <v>CCD BPE LINEA REVOLVENTE_REPROGRAMADO   7 D</v>
          </cell>
        </row>
        <row r="31200">
          <cell r="B31200" t="str">
            <v>81092801000101</v>
          </cell>
          <cell r="C31200" t="str">
            <v>HPC CAP. 1RA HIPOT.REC PROP. (C/HIP. INS7ND</v>
          </cell>
        </row>
        <row r="31201">
          <cell r="B31201" t="str">
            <v>81092801000102</v>
          </cell>
          <cell r="C31201" t="str">
            <v>HPC CAP. 1RA HIP. RP. BONOS  (C/HIP. INS7ND</v>
          </cell>
        </row>
        <row r="31202">
          <cell r="B31202" t="str">
            <v>81092801000103</v>
          </cell>
          <cell r="C31202" t="str">
            <v>HPC CAP. 1RA HIP. TECHO PROPIO COFIDE (C7ND</v>
          </cell>
        </row>
        <row r="31203">
          <cell r="B31203" t="str">
            <v>81092801000104</v>
          </cell>
          <cell r="C31203" t="str">
            <v>HPC CAP. 1RA HIP. NUEVO MIVIVIENDA COFID7ND</v>
          </cell>
        </row>
        <row r="31204">
          <cell r="B31204" t="str">
            <v>81092801000105</v>
          </cell>
          <cell r="C31204" t="str">
            <v>HPC CAP. 1RA HIP. NUEVO MIVIVIENDA COFID7ND</v>
          </cell>
        </row>
        <row r="31205">
          <cell r="B31205" t="str">
            <v>81092802000101</v>
          </cell>
          <cell r="C31205" t="str">
            <v>HPC CAP. 1RA HIPOT TASA MIXTA REC PROP (7ND</v>
          </cell>
        </row>
        <row r="31206">
          <cell r="B31206" t="str">
            <v>81092803000101</v>
          </cell>
          <cell r="C31206" t="str">
            <v>HPC CAP. 2DA HIPOT. (C/HIP. INSCRITA)   7ND</v>
          </cell>
        </row>
        <row r="31207">
          <cell r="B31207" t="str">
            <v>81092803000102</v>
          </cell>
          <cell r="C31207" t="str">
            <v>HPC CAP. 2DA HIP. RP. BONOS  (C/HIP. INS7ND</v>
          </cell>
        </row>
        <row r="31208">
          <cell r="B31208" t="str">
            <v>81092803000103</v>
          </cell>
          <cell r="C31208" t="str">
            <v>HPC CAP. 2DA HIPOT TASA MIXTA REC PROP (7ND</v>
          </cell>
        </row>
        <row r="31209">
          <cell r="B31209" t="str">
            <v>81092804000101</v>
          </cell>
          <cell r="C31209" t="str">
            <v>HPC CAP.1RA HIPOT.REC PROP (S/HIP. INSCR7ND</v>
          </cell>
        </row>
        <row r="31210">
          <cell r="B31210" t="str">
            <v>81092804000102</v>
          </cell>
          <cell r="C31210" t="str">
            <v>HPC CAP. 1RA HIP. RP. BONOS  (S/HIP. INS7ND</v>
          </cell>
        </row>
        <row r="31211">
          <cell r="B31211" t="str">
            <v>81092804000103</v>
          </cell>
          <cell r="C31211" t="str">
            <v>HPC CAP. 1RA HIP. TECHO PROPIO COFIDE (S7ND</v>
          </cell>
        </row>
        <row r="31212">
          <cell r="B31212" t="str">
            <v>81092804000104</v>
          </cell>
          <cell r="C31212" t="str">
            <v>HPC CAP. 1RA HIP. NUEVO MIVIENDA COFIDE 7ND</v>
          </cell>
        </row>
        <row r="31213">
          <cell r="B31213" t="str">
            <v>81092804000105</v>
          </cell>
          <cell r="C31213" t="str">
            <v>HPC CAP. 1RA HIP. NUEVO MIVIENDA COFIDE 7ND</v>
          </cell>
        </row>
        <row r="31214">
          <cell r="B31214" t="str">
            <v>81092805000101</v>
          </cell>
          <cell r="C31214" t="str">
            <v>HPC CAP. 1RA HIPOT. TASA MIXTA REC PROP 7ND</v>
          </cell>
        </row>
        <row r="31215">
          <cell r="B31215" t="str">
            <v>81092806000101</v>
          </cell>
          <cell r="C31215" t="str">
            <v>HPC CAP.2DA HIPOT. (S/HIP. INSCRITA)    7ND</v>
          </cell>
        </row>
        <row r="31216">
          <cell r="B31216" t="str">
            <v>81092806000102</v>
          </cell>
          <cell r="C31216" t="str">
            <v>HPC CAP. 2DA HIP. RP. BONOS  (S/HIP. INS7ND</v>
          </cell>
        </row>
        <row r="31217">
          <cell r="B31217" t="str">
            <v>81092806000103</v>
          </cell>
          <cell r="C31217" t="str">
            <v>HPC CAP. 2DA HIPOT. TASA MIXTA REC PROP 7ND</v>
          </cell>
        </row>
        <row r="31218">
          <cell r="B31218" t="str">
            <v>81092900000101</v>
          </cell>
          <cell r="C31218" t="str">
            <v>OTRAS-OP.FINANCIERAS                    7ND</v>
          </cell>
        </row>
        <row r="31219">
          <cell r="B31219" t="str">
            <v>81092900000109</v>
          </cell>
          <cell r="C31219" t="str">
            <v>CTAS DE ORDEN NO ASENTADOS              7ND</v>
          </cell>
        </row>
        <row r="31220">
          <cell r="B31220" t="str">
            <v>81092900000110</v>
          </cell>
          <cell r="C31220" t="str">
            <v>REGISTRO NO ASENTADOS                   7ND</v>
          </cell>
        </row>
        <row r="31221">
          <cell r="B31221" t="str">
            <v>81092900000111</v>
          </cell>
          <cell r="C31221" t="str">
            <v>REGISTRO NO ASENTADOS _C                7ND</v>
          </cell>
        </row>
        <row r="31222">
          <cell r="B31222" t="str">
            <v>81092900000201</v>
          </cell>
          <cell r="C31222" t="str">
            <v>454776 CLASICA NACIONAL                 7ND</v>
          </cell>
        </row>
        <row r="31223">
          <cell r="B31223" t="str">
            <v>81092900000202</v>
          </cell>
          <cell r="C31223" t="str">
            <v>454775 CLASICA INTERNACIONAL            7ND</v>
          </cell>
        </row>
        <row r="31224">
          <cell r="B31224" t="str">
            <v>81092900000203</v>
          </cell>
          <cell r="C31224" t="str">
            <v>491337 VISA ORO                         7ND</v>
          </cell>
        </row>
        <row r="31225">
          <cell r="B31225" t="str">
            <v>81092900000204</v>
          </cell>
          <cell r="C31225" t="str">
            <v>473244 WONG PLATA                       7ND</v>
          </cell>
        </row>
        <row r="31226">
          <cell r="B31226" t="str">
            <v>81092900000205</v>
          </cell>
          <cell r="C31226" t="str">
            <v>473245 WONG ORO                         7ND</v>
          </cell>
        </row>
        <row r="31227">
          <cell r="B31227" t="str">
            <v>81092900000206</v>
          </cell>
          <cell r="C31227" t="str">
            <v>456814 VISA EMPRESARIAL                 7ND</v>
          </cell>
        </row>
        <row r="31228">
          <cell r="B31228" t="str">
            <v>81092900000208</v>
          </cell>
          <cell r="C31228" t="str">
            <v>VISA CLASICA NACIONAL AVAL              7ND</v>
          </cell>
        </row>
        <row r="31229">
          <cell r="B31229" t="str">
            <v>81092900000209</v>
          </cell>
          <cell r="C31229" t="str">
            <v>VISA CLASICA INTERNACIONAL AVAL         7ND</v>
          </cell>
        </row>
        <row r="31230">
          <cell r="B31230" t="str">
            <v>81092900000210</v>
          </cell>
          <cell r="C31230" t="str">
            <v>VISA ORO AVAL                           7ND</v>
          </cell>
        </row>
        <row r="31231">
          <cell r="B31231" t="str">
            <v>81092900000211</v>
          </cell>
          <cell r="C31231" t="str">
            <v>VISA MEGA PLAZA                         7ND</v>
          </cell>
        </row>
        <row r="31232">
          <cell r="B31232" t="str">
            <v>81092900000301</v>
          </cell>
          <cell r="C31232" t="str">
            <v>377750 GREEN CARD                       7ND</v>
          </cell>
        </row>
        <row r="31233">
          <cell r="B31233" t="str">
            <v>81092900000302</v>
          </cell>
          <cell r="C31233" t="str">
            <v>377751 GOLD CARD                        7ND</v>
          </cell>
        </row>
        <row r="31234">
          <cell r="B31234" t="str">
            <v>81092900000303</v>
          </cell>
          <cell r="C31234" t="str">
            <v>377753 REVOLVING                        7ND</v>
          </cell>
        </row>
        <row r="31235">
          <cell r="B31235" t="str">
            <v>81092900000304</v>
          </cell>
          <cell r="C31235" t="str">
            <v>377753 GOLD REVOLVING                   7ND</v>
          </cell>
        </row>
        <row r="31236">
          <cell r="B31236" t="str">
            <v>81092900000401</v>
          </cell>
          <cell r="C31236" t="str">
            <v>544402 MC ESTANDAR                      7ND</v>
          </cell>
        </row>
        <row r="31237">
          <cell r="B31237" t="str">
            <v>81092900000402</v>
          </cell>
          <cell r="C31237" t="str">
            <v>544359 MC ORO                           7ND</v>
          </cell>
        </row>
        <row r="31238">
          <cell r="B31238" t="str">
            <v>81092900000403</v>
          </cell>
          <cell r="C31238" t="str">
            <v>547782 MC EMPRESARIAL                   7ND</v>
          </cell>
        </row>
        <row r="31239">
          <cell r="B31239" t="str">
            <v>81092900000404</v>
          </cell>
          <cell r="C31239" t="str">
            <v>549161 MC PLATINO                       7ND</v>
          </cell>
        </row>
        <row r="31240">
          <cell r="B31240" t="str">
            <v>81092900000502</v>
          </cell>
          <cell r="C31240" t="str">
            <v>ST DINERO ELECTRONICO                   7ND</v>
          </cell>
        </row>
        <row r="31241">
          <cell r="B31241" t="str">
            <v>81092900000601</v>
          </cell>
          <cell r="C31241" t="str">
            <v>TARJETA DE DEBITO EMPRESARIAL           7ND</v>
          </cell>
        </row>
        <row r="31242">
          <cell r="B31242" t="str">
            <v>81092900000602</v>
          </cell>
          <cell r="C31242" t="str">
            <v>TARJETA PRIORITY PASS                   7ND</v>
          </cell>
        </row>
        <row r="31243">
          <cell r="B31243" t="str">
            <v>81092900000603</v>
          </cell>
          <cell r="C31243" t="str">
            <v>TARJETA DE TERCEROS                     7ND</v>
          </cell>
        </row>
        <row r="31244">
          <cell r="B31244" t="str">
            <v>81092900000701</v>
          </cell>
          <cell r="C31244" t="str">
            <v>FIN PRE EMBARQUE IB PANAMÃ CGEM        7ND</v>
          </cell>
        </row>
        <row r="31245">
          <cell r="B31245" t="str">
            <v>81092900000702</v>
          </cell>
          <cell r="C31245" t="str">
            <v>FIN POST EMBARQUE IB PANAMÃ CGEM       7ND</v>
          </cell>
        </row>
        <row r="31246">
          <cell r="B31246" t="str">
            <v>81092900000703</v>
          </cell>
          <cell r="C31246" t="str">
            <v>FIN IMPORTACION IB PANAMA CGEM          7ND</v>
          </cell>
        </row>
        <row r="31247">
          <cell r="B31247" t="str">
            <v>81092900000704</v>
          </cell>
          <cell r="C31247" t="str">
            <v>ADEUDADO CP IB PANAMA                   7ND</v>
          </cell>
        </row>
        <row r="31248">
          <cell r="B31248" t="str">
            <v>81092900000705</v>
          </cell>
          <cell r="C31248" t="str">
            <v>ADEUDADO LP IB PANAMA                   7ND</v>
          </cell>
        </row>
        <row r="31249">
          <cell r="B31249" t="str">
            <v>81092900000706</v>
          </cell>
          <cell r="C31249" t="str">
            <v>INTERESES FIN IMPORTACION IB PANAMA CGEM7ND</v>
          </cell>
        </row>
        <row r="31250">
          <cell r="B31250" t="str">
            <v>81092900000707</v>
          </cell>
          <cell r="C31250" t="str">
            <v>INTERESES FIN PRE EMBARQUE IB PANAMÃ CG7ND</v>
          </cell>
        </row>
        <row r="31251">
          <cell r="B31251" t="str">
            <v>81092900000708</v>
          </cell>
          <cell r="C31251" t="str">
            <v>INTERESES FIN POST EMBARQUE IB PANAMÃ C7ND</v>
          </cell>
        </row>
        <row r="31252">
          <cell r="B31252" t="str">
            <v>81092900000709</v>
          </cell>
          <cell r="C31252" t="str">
            <v>PRO GEN RIE CRED - PANAMA FIN.EXP       7ND</v>
          </cell>
        </row>
        <row r="31253">
          <cell r="B31253" t="str">
            <v>81092900000710</v>
          </cell>
          <cell r="C31253" t="str">
            <v>PRO ESP RIE CRED - LEASING              7ND</v>
          </cell>
        </row>
        <row r="31254">
          <cell r="B31254" t="str">
            <v>81092900000711</v>
          </cell>
          <cell r="C31254" t="str">
            <v>PRO GEN RIE CRED - PANAMA FIN.EXP       7ND</v>
          </cell>
        </row>
        <row r="31255">
          <cell r="B31255" t="str">
            <v>81092900000712</v>
          </cell>
          <cell r="C31255" t="str">
            <v>PRO GEN PROCICLICA - PANAMA FIN.EXP     7ND</v>
          </cell>
        </row>
        <row r="31256">
          <cell r="B31256" t="str">
            <v>81092900000713</v>
          </cell>
          <cell r="C31256" t="str">
            <v>PRO GEN PROCICLICA - PANAMA FIN.EXP     7ND</v>
          </cell>
        </row>
        <row r="31257">
          <cell r="B31257" t="str">
            <v>81092900000714</v>
          </cell>
          <cell r="C31257" t="str">
            <v>CL ADEUDADO IB PANAMA INTERESES         7ND</v>
          </cell>
        </row>
        <row r="31258">
          <cell r="B31258" t="str">
            <v>81092900000715</v>
          </cell>
          <cell r="C31258" t="str">
            <v>CL ADEUDADO IB PANAMA  DEVENGO  AÃ‘O    7ND</v>
          </cell>
        </row>
        <row r="31259">
          <cell r="B31259" t="str">
            <v>81092900000716</v>
          </cell>
          <cell r="C31259" t="str">
            <v>COLOCACIONES IB PANAMA  - DEVENGO AÃ‘O  7ND</v>
          </cell>
        </row>
        <row r="31260">
          <cell r="B31260" t="str">
            <v>81092900000717</v>
          </cell>
          <cell r="C31260" t="str">
            <v>IM PANAMA DEPOSITOS                     7ND</v>
          </cell>
        </row>
        <row r="31261">
          <cell r="B31261" t="str">
            <v>81092900000718</v>
          </cell>
          <cell r="C31261" t="str">
            <v>BKT PANAMA CARTA CREDITO IMPO           7ND</v>
          </cell>
        </row>
        <row r="31262">
          <cell r="B31262" t="str">
            <v>81092900000719</v>
          </cell>
          <cell r="C31262" t="str">
            <v>BKT PANAMA COMIS C/C IMPORTACION        7ND</v>
          </cell>
        </row>
        <row r="31263">
          <cell r="B31263" t="str">
            <v>81092900000720</v>
          </cell>
          <cell r="C31263" t="str">
            <v>GAC STAND BY PANAMA 1ER ORD.            7ND</v>
          </cell>
        </row>
        <row r="31264">
          <cell r="B31264" t="str">
            <v>81092900000721</v>
          </cell>
          <cell r="C31264" t="str">
            <v>GAC STAND BY PANAMA 1ERA CATEG.         7ND</v>
          </cell>
        </row>
        <row r="31265">
          <cell r="B31265" t="str">
            <v>81092900000722</v>
          </cell>
          <cell r="C31265" t="str">
            <v>GAC STAND BY PANAMA OTROS               7ND</v>
          </cell>
        </row>
        <row r="31266">
          <cell r="B31266" t="str">
            <v>81092900000723</v>
          </cell>
          <cell r="C31266" t="str">
            <v>FIN IMPORTACION IB PANAMA CCOR          7ND</v>
          </cell>
        </row>
        <row r="31267">
          <cell r="B31267" t="str">
            <v>81092900000724</v>
          </cell>
          <cell r="C31267" t="str">
            <v>FIN PRE EMBARQUE IB PANAMÃ CCOR        7ND</v>
          </cell>
        </row>
        <row r="31268">
          <cell r="B31268" t="str">
            <v>81092900000725</v>
          </cell>
          <cell r="C31268" t="str">
            <v>FIN POST EMBARQUE IB PANAMÃ CCOR       7ND</v>
          </cell>
        </row>
        <row r="31269">
          <cell r="B31269" t="str">
            <v>81092900000726</v>
          </cell>
          <cell r="C31269" t="str">
            <v>INTERESES FIN IMPORTACION IB PANAMA CCOR7ND</v>
          </cell>
        </row>
        <row r="31270">
          <cell r="B31270" t="str">
            <v>81092900000727</v>
          </cell>
          <cell r="C31270" t="str">
            <v>INTERESES FIN PRE EMBARQUE IB PANAMÃ CC7ND</v>
          </cell>
        </row>
        <row r="31271">
          <cell r="B31271" t="str">
            <v>81092900000728</v>
          </cell>
          <cell r="C31271" t="str">
            <v>INTERESES FIN POST EMBARQUE IB PANAMÃ C7ND</v>
          </cell>
        </row>
        <row r="31272">
          <cell r="B31272" t="str">
            <v>81092900000729</v>
          </cell>
          <cell r="C31272" t="str">
            <v>FIN IMPORTACION IB PANAMA CMED          7ND</v>
          </cell>
        </row>
        <row r="31273">
          <cell r="B31273" t="str">
            <v>81092900000730</v>
          </cell>
          <cell r="C31273" t="str">
            <v>FIN PRE EMBARQUE IB PANAMÃ CMED        7ND</v>
          </cell>
        </row>
        <row r="31274">
          <cell r="B31274" t="str">
            <v>81092900000731</v>
          </cell>
          <cell r="C31274" t="str">
            <v>FIN POST EMBARQUE IB PANAMÃ CMED       7ND</v>
          </cell>
        </row>
        <row r="31275">
          <cell r="B31275" t="str">
            <v>81092900000732</v>
          </cell>
          <cell r="C31275" t="str">
            <v>INTERESES FIN IMPORTACION IB PANAMA CMED7ND</v>
          </cell>
        </row>
        <row r="31276">
          <cell r="B31276" t="str">
            <v>81092900000733</v>
          </cell>
          <cell r="C31276" t="str">
            <v>INTERESES FIN PRE EMBARQUE IB PANAMÃ CM7ND</v>
          </cell>
        </row>
        <row r="31277">
          <cell r="B31277" t="str">
            <v>81092900000734</v>
          </cell>
          <cell r="C31277" t="str">
            <v>INTERESES FIN POST EMBARQUE IB PANAMÃ C7ND</v>
          </cell>
        </row>
        <row r="31278">
          <cell r="B31278" t="str">
            <v>81092900000735</v>
          </cell>
          <cell r="C31278" t="str">
            <v>BKT PANAMÃ AVAL POR ACEPTACIÃ“N        7ND</v>
          </cell>
        </row>
        <row r="31279">
          <cell r="B31279" t="str">
            <v>81092900000820</v>
          </cell>
          <cell r="C31279" t="str">
            <v>GASTOS DE SOFTWARE                      7ND</v>
          </cell>
        </row>
        <row r="31280">
          <cell r="B31280" t="str">
            <v>81092900000821</v>
          </cell>
          <cell r="C31280" t="str">
            <v>PROYECTO NUEVOS CAJEROS                 7ND</v>
          </cell>
        </row>
        <row r="31281">
          <cell r="B31281" t="str">
            <v>81092900000822</v>
          </cell>
          <cell r="C31281" t="str">
            <v>SOFTWARE TARJETA DE CREDITO             7ND</v>
          </cell>
        </row>
        <row r="31282">
          <cell r="B31282" t="str">
            <v>81092900000823</v>
          </cell>
          <cell r="C31282" t="str">
            <v>PROYECTO AÃ‘O 2000                      7ND</v>
          </cell>
        </row>
        <row r="31283">
          <cell r="B31283" t="str">
            <v>81092900000824</v>
          </cell>
          <cell r="C31283" t="str">
            <v>SOFTWARE INTEGRAL                       7ND</v>
          </cell>
        </row>
        <row r="31284">
          <cell r="B31284" t="str">
            <v>81092900000825</v>
          </cell>
          <cell r="C31284" t="str">
            <v>GOODWILL                                7ND</v>
          </cell>
        </row>
        <row r="31285">
          <cell r="B31285" t="str">
            <v>81092900000826</v>
          </cell>
          <cell r="C31285" t="str">
            <v>GOODWILL AVALCARD                       7ND</v>
          </cell>
        </row>
        <row r="31286">
          <cell r="B31286" t="str">
            <v>81092900000827</v>
          </cell>
          <cell r="C31286" t="str">
            <v>FRANQ AMERICAN EXPRESS                  7ND</v>
          </cell>
        </row>
        <row r="31287">
          <cell r="B31287" t="str">
            <v>81092900000828</v>
          </cell>
          <cell r="C31287" t="str">
            <v>BL INTANGIBLES                          7ND</v>
          </cell>
        </row>
        <row r="31288">
          <cell r="B31288" t="str">
            <v>81092900000829</v>
          </cell>
          <cell r="C31288" t="str">
            <v>BASE DE DATOS                           7ND</v>
          </cell>
        </row>
        <row r="31289">
          <cell r="B31289" t="str">
            <v>81092900000902</v>
          </cell>
          <cell r="C31289" t="str">
            <v>DOLARES EXPRESS                         7ND</v>
          </cell>
        </row>
        <row r="31290">
          <cell r="B31290" t="str">
            <v>81092900000905</v>
          </cell>
          <cell r="C31290" t="str">
            <v>PERSONAL POR RC                         7ND</v>
          </cell>
        </row>
        <row r="31291">
          <cell r="B31291" t="str">
            <v>81092900000906</v>
          </cell>
          <cell r="C31291" t="str">
            <v>PLASTICOS PARA TC VEA                   7ND</v>
          </cell>
        </row>
        <row r="31292">
          <cell r="B31292" t="str">
            <v>81092900000907</v>
          </cell>
          <cell r="C31292" t="str">
            <v>PLASTICOS VISA VEA                      7ND</v>
          </cell>
        </row>
        <row r="31293">
          <cell r="B31293" t="str">
            <v>81092900000908</v>
          </cell>
          <cell r="C31293" t="str">
            <v>PR LETRAS BNES.ADJUDICADOS VIG          7ND</v>
          </cell>
        </row>
        <row r="31294">
          <cell r="B31294" t="str">
            <v>81092900000909</v>
          </cell>
          <cell r="C31294" t="str">
            <v>FCD  LETRAS BNES.ADJUDICADOS VEN        7ND</v>
          </cell>
        </row>
        <row r="31295">
          <cell r="B31295" t="str">
            <v>81092900000910</v>
          </cell>
          <cell r="C31295" t="str">
            <v>PLASTICOS CONVENIOS                     7ND</v>
          </cell>
        </row>
        <row r="31296">
          <cell r="B31296" t="str">
            <v>81092900000911</v>
          </cell>
          <cell r="C31296" t="str">
            <v>PLASTICOS TARJETAS ELECTRONIC           7ND</v>
          </cell>
        </row>
        <row r="31297">
          <cell r="B31297" t="str">
            <v>81092900000912</v>
          </cell>
          <cell r="C31297" t="str">
            <v>PLASTICOS VISA MINI CARD                7ND</v>
          </cell>
        </row>
        <row r="31298">
          <cell r="B31298" t="str">
            <v>81092900000913</v>
          </cell>
          <cell r="C31298" t="str">
            <v>LPC LS BIEN RP C/CAPITAL LS2000         7ND</v>
          </cell>
        </row>
        <row r="31299">
          <cell r="B31299" t="str">
            <v>81092900000918</v>
          </cell>
          <cell r="C31299" t="str">
            <v>PLASTICOS VISA BANMAT                   7ND</v>
          </cell>
        </row>
        <row r="31300">
          <cell r="B31300" t="str">
            <v>81092900000920</v>
          </cell>
          <cell r="C31300" t="str">
            <v>PLASTICOS INTERBANK DIRECTO             7ND</v>
          </cell>
        </row>
        <row r="31301">
          <cell r="B31301" t="str">
            <v>81092900000921</v>
          </cell>
          <cell r="C31301" t="str">
            <v>PLASTICOS TC VISA PLATINO               7ND</v>
          </cell>
        </row>
        <row r="31302">
          <cell r="B31302" t="str">
            <v>81092900000922</v>
          </cell>
          <cell r="C31302" t="str">
            <v>PLASTICOS TC PLATINO AMEX               7ND</v>
          </cell>
        </row>
        <row r="31303">
          <cell r="B31303" t="str">
            <v>81092900000923</v>
          </cell>
          <cell r="C31303" t="str">
            <v>PLASTICOS TC MILLAS EXPRESS AMEX CLAS   7ND</v>
          </cell>
        </row>
        <row r="31304">
          <cell r="B31304" t="str">
            <v>81092900000924</v>
          </cell>
          <cell r="C31304" t="str">
            <v>PLASTICOS TC MILLAS EXPRESS AMEX ORO    7ND</v>
          </cell>
        </row>
        <row r="31305">
          <cell r="B31305" t="str">
            <v>81092900000926</v>
          </cell>
          <cell r="C31305" t="str">
            <v>PLASTICOS TC VEA VISA ORO               7ND</v>
          </cell>
        </row>
        <row r="31306">
          <cell r="B31306" t="str">
            <v>81092900000927</v>
          </cell>
          <cell r="C31306" t="str">
            <v>PLASTICOS PEQUEÃ‘A EMPRESA              7ND</v>
          </cell>
        </row>
        <row r="31307">
          <cell r="B31307" t="str">
            <v>81092900000928</v>
          </cell>
          <cell r="C31307" t="str">
            <v>INC COMIS.OUR PTE DE COBRO              7ND</v>
          </cell>
        </row>
        <row r="31308">
          <cell r="B31308" t="str">
            <v>81092900000929</v>
          </cell>
          <cell r="C31308" t="str">
            <v>TC PLASTICO VISA VEA PRE PAGO           7ND</v>
          </cell>
        </row>
        <row r="31309">
          <cell r="B31309" t="str">
            <v>81092900000930</v>
          </cell>
          <cell r="C31309" t="str">
            <v>TC PLASTICO AMEX VIVANDA GOLD           7ND</v>
          </cell>
        </row>
        <row r="31310">
          <cell r="B31310" t="str">
            <v>81092900000931</v>
          </cell>
          <cell r="C31310" t="str">
            <v>TC PLASTICO AMEX VIVANDA PLATINO        7ND</v>
          </cell>
        </row>
        <row r="31311">
          <cell r="B31311" t="str">
            <v>81092900000934</v>
          </cell>
          <cell r="C31311" t="str">
            <v>PRIORITY PASS AMEX                      7ND</v>
          </cell>
        </row>
        <row r="31312">
          <cell r="B31312" t="str">
            <v>81092900000936</v>
          </cell>
          <cell r="C31312" t="str">
            <v>LPC LEASING CAPITAL OPERATIVO           7ND</v>
          </cell>
        </row>
        <row r="31313">
          <cell r="B31313" t="str">
            <v>81092900000937</v>
          </cell>
          <cell r="C31313" t="str">
            <v>LPC LEASING INTERES OPERATIVO           7ND</v>
          </cell>
        </row>
        <row r="31314">
          <cell r="B31314" t="str">
            <v>81092900000938</v>
          </cell>
          <cell r="C31314" t="str">
            <v>PROVIS                                  7ND</v>
          </cell>
        </row>
        <row r="31315">
          <cell r="B31315" t="str">
            <v>81092900000941</v>
          </cell>
          <cell r="C31315" t="str">
            <v>PROVIS PLATA GASOLINA                   7ND</v>
          </cell>
        </row>
        <row r="31316">
          <cell r="B31316" t="str">
            <v>81092900000942</v>
          </cell>
          <cell r="C31316" t="str">
            <v>PROVISION PLATA COMPRAS                 7ND</v>
          </cell>
        </row>
        <row r="31317">
          <cell r="B31317" t="str">
            <v>81092900000943</v>
          </cell>
          <cell r="C31317" t="str">
            <v>TARJETA PROVIS PLATA CLASICA            7ND</v>
          </cell>
        </row>
        <row r="31318">
          <cell r="B31318" t="str">
            <v>81092900000944</v>
          </cell>
          <cell r="C31318" t="str">
            <v>AMERICAN EXPRESS INTERBANK DISTANCIA GOL7ND</v>
          </cell>
        </row>
        <row r="31319">
          <cell r="B31319" t="str">
            <v>81092900000945</v>
          </cell>
          <cell r="C31319" t="str">
            <v>AMERICAN EXPRESS INTERBANK DISTANCIA PLA7ND</v>
          </cell>
        </row>
        <row r="31320">
          <cell r="B31320" t="str">
            <v>81092900000946</v>
          </cell>
          <cell r="C31320" t="str">
            <v>AMERICAN EXPRESS INTERBANK DISTANCIA ELI7ND</v>
          </cell>
        </row>
        <row r="31321">
          <cell r="B31321" t="str">
            <v>81092900000947</v>
          </cell>
          <cell r="C31321" t="str">
            <v>PREPAGO VEA / VEA RECARGA               7ND</v>
          </cell>
        </row>
        <row r="31322">
          <cell r="B31322" t="str">
            <v>81092900000948</v>
          </cell>
          <cell r="C31322" t="str">
            <v>MASTERCARD RECARGA                      7ND</v>
          </cell>
        </row>
        <row r="31323">
          <cell r="B31323" t="str">
            <v>81092900000949</v>
          </cell>
          <cell r="C31323" t="str">
            <v>VISA MEGAPLAZA ORO                      7ND</v>
          </cell>
        </row>
        <row r="31324">
          <cell r="B31324" t="str">
            <v>81092900000950</v>
          </cell>
          <cell r="C31324" t="str">
            <v>VISA MEGAPLAZA RECARGA                  7ND</v>
          </cell>
        </row>
        <row r="31325">
          <cell r="B31325" t="str">
            <v>81092900000951</v>
          </cell>
          <cell r="C31325" t="str">
            <v>SERVI-TEBCA PLATA CLASICA VISA          7ND</v>
          </cell>
        </row>
        <row r="31326">
          <cell r="B31326" t="str">
            <v>81092900000952</v>
          </cell>
          <cell r="C31326" t="str">
            <v>PROVISION VISA                          7ND</v>
          </cell>
        </row>
        <row r="31327">
          <cell r="B31327" t="str">
            <v>81092900000953</v>
          </cell>
          <cell r="C31327" t="str">
            <v>Interbank Visa Claro Clasica            7ND</v>
          </cell>
        </row>
        <row r="31328">
          <cell r="B31328" t="str">
            <v>81092900000954</v>
          </cell>
          <cell r="C31328" t="str">
            <v>Interbank Visa Claro Oro                7ND</v>
          </cell>
        </row>
        <row r="31329">
          <cell r="B31329" t="str">
            <v>81092900000955</v>
          </cell>
          <cell r="C31329" t="str">
            <v>Interbank Visa Claro Platinim           7ND</v>
          </cell>
        </row>
        <row r="31330">
          <cell r="B31330" t="str">
            <v>81092900000956</v>
          </cell>
          <cell r="C31330" t="str">
            <v>PROVIS MAPFRE                           7ND</v>
          </cell>
        </row>
        <row r="31331">
          <cell r="B31331" t="str">
            <v>81092900000957</v>
          </cell>
          <cell r="C31331" t="str">
            <v>TARJETA MC PLATA COMPRAS IBK            7ND</v>
          </cell>
        </row>
        <row r="31332">
          <cell r="B31332" t="str">
            <v>81092900000958</v>
          </cell>
          <cell r="C31332" t="str">
            <v>MASTERCARD CORPORATE                    7ND</v>
          </cell>
        </row>
        <row r="31333">
          <cell r="B31333" t="str">
            <v>81092900000959</v>
          </cell>
          <cell r="C31333" t="str">
            <v>VISA CLARO RECARGA                      7ND</v>
          </cell>
        </row>
        <row r="31334">
          <cell r="B31334" t="str">
            <v>81092900000960</v>
          </cell>
          <cell r="C31334" t="str">
            <v>MC KLOB  PLATA                          7ND</v>
          </cell>
        </row>
        <row r="31335">
          <cell r="B31335" t="str">
            <v>81092900000961</v>
          </cell>
          <cell r="C31335" t="str">
            <v>PLATA CLASICA DOLARES VIATICO           7ND</v>
          </cell>
        </row>
        <row r="31336">
          <cell r="B31336" t="str">
            <v>81092900000962</v>
          </cell>
          <cell r="C31336" t="str">
            <v>VALES CAMPAÃ‘A CAMBIOS-PREMIO NO MONETAR7ND</v>
          </cell>
        </row>
        <row r="31337">
          <cell r="B31337" t="str">
            <v>81092900000963</v>
          </cell>
          <cell r="C31337" t="str">
            <v>OTRAS COMIS.POR NO PROCESAD             7ND</v>
          </cell>
        </row>
        <row r="31338">
          <cell r="B31338" t="str">
            <v>81092900001101</v>
          </cell>
          <cell r="C31338" t="str">
            <v>VISA CLARO RECARGA                      7ND</v>
          </cell>
        </row>
        <row r="31339">
          <cell r="B31339" t="str">
            <v>81092900001102</v>
          </cell>
          <cell r="C31339" t="str">
            <v>TARJETA DE REGALO MUNDO EXPRESS         7ND</v>
          </cell>
        </row>
        <row r="31340">
          <cell r="B31340" t="str">
            <v>81092900001103</v>
          </cell>
          <cell r="C31340" t="str">
            <v>JCC COB.JUD. REACTIVA PERU              7 D</v>
          </cell>
        </row>
        <row r="31341">
          <cell r="B31341" t="str">
            <v>81092900001104</v>
          </cell>
          <cell r="C31341" t="str">
            <v>JCC PRE.JUD. REACTIVA PERU              7 D</v>
          </cell>
        </row>
        <row r="31342">
          <cell r="B31342" t="str">
            <v>81092900001105</v>
          </cell>
          <cell r="C31342" t="str">
            <v>JCC COB.JUD. REACTIVA PERU              7 D</v>
          </cell>
        </row>
        <row r="31343">
          <cell r="B31343" t="str">
            <v>81092900001106</v>
          </cell>
          <cell r="C31343" t="str">
            <v>JCC PRE.JUD. REACTIVA PERU              7 D</v>
          </cell>
        </row>
        <row r="31344">
          <cell r="B31344" t="str">
            <v>81092900001107</v>
          </cell>
          <cell r="C31344" t="str">
            <v>JCC COB.JUD. FONDO CRECER COFIDE MP     7 D</v>
          </cell>
        </row>
        <row r="31345">
          <cell r="B31345" t="str">
            <v>81092900001108</v>
          </cell>
          <cell r="C31345" t="str">
            <v>JCC PRE.JUD. FONDO CRECER COFIDE MP     7 D</v>
          </cell>
        </row>
        <row r="31346">
          <cell r="B31346" t="str">
            <v>81092900001109</v>
          </cell>
          <cell r="C31346" t="str">
            <v>JCC COB.JUD. FONDO CRECER COFIDE BC     7 D</v>
          </cell>
        </row>
        <row r="31347">
          <cell r="B31347" t="str">
            <v>81092900001110</v>
          </cell>
          <cell r="C31347" t="str">
            <v>JCC PRE.JUD. FONDO CRECER COFIDE BC     7 D</v>
          </cell>
        </row>
        <row r="31348">
          <cell r="B31348" t="str">
            <v>81092900001111</v>
          </cell>
          <cell r="C31348" t="str">
            <v>LPC REFINANCIADO REACTIVA COFIDE INT CGE7 D</v>
          </cell>
        </row>
        <row r="31349">
          <cell r="B31349" t="str">
            <v>81092900001112</v>
          </cell>
          <cell r="C31349" t="str">
            <v>LPC REFINANCIADO REACTIVA COFIDE INT CME7 D</v>
          </cell>
        </row>
        <row r="31350">
          <cell r="B31350" t="str">
            <v>81092900001113</v>
          </cell>
          <cell r="C31350" t="str">
            <v>LPC REFINANCIADO REACTIVA COFIDE INT CCO7 D</v>
          </cell>
        </row>
        <row r="31351">
          <cell r="B31351" t="str">
            <v>81092900001114</v>
          </cell>
          <cell r="C31351" t="str">
            <v>LPC REFINANCIADO REACTIVA COFIDE INT CMI7 D</v>
          </cell>
        </row>
        <row r="31352">
          <cell r="B31352" t="str">
            <v>81092900001115</v>
          </cell>
          <cell r="C31352" t="str">
            <v>LPC REFINANCIADO REACTIVA COFIDE INT CPE7 D</v>
          </cell>
        </row>
        <row r="31353">
          <cell r="B31353" t="str">
            <v>81092900001116</v>
          </cell>
          <cell r="C31353" t="str">
            <v>LPC REPROG REACTIVA COFIDE INT CCOR     7ND</v>
          </cell>
        </row>
        <row r="31354">
          <cell r="B31354" t="str">
            <v>81092900001117</v>
          </cell>
          <cell r="C31354" t="str">
            <v>LPC REPROG REACTIVA COFIDE INT CMED     7ND</v>
          </cell>
        </row>
        <row r="31355">
          <cell r="B31355" t="str">
            <v>81092900001118</v>
          </cell>
          <cell r="C31355" t="str">
            <v>LPC REPROG REACTIVA COFIDE INT CPEM     7ND</v>
          </cell>
        </row>
        <row r="31356">
          <cell r="B31356" t="str">
            <v>81092900001119</v>
          </cell>
          <cell r="C31356" t="str">
            <v>LPC REPROG REACTIVA COFIDE INT CGEM     7ND</v>
          </cell>
        </row>
        <row r="31357">
          <cell r="B31357" t="str">
            <v>81092900001120</v>
          </cell>
          <cell r="C31357" t="str">
            <v>LPC REPROG REACTIVA COFIDE INT CMIE     7ND</v>
          </cell>
        </row>
        <row r="31358">
          <cell r="B31358" t="str">
            <v>81092900001121</v>
          </cell>
          <cell r="C31358" t="str">
            <v>LPC REFINANCIADO INT COFIDE POST HONR   7 D</v>
          </cell>
        </row>
        <row r="31359">
          <cell r="B31359" t="str">
            <v>81092900001122</v>
          </cell>
          <cell r="C31359" t="str">
            <v>JCC MP INT IMPULSO MYPERU COFIDE        7 D</v>
          </cell>
        </row>
        <row r="31360">
          <cell r="B31360" t="str">
            <v>81092900001123</v>
          </cell>
          <cell r="C31360" t="str">
            <v>JCC MP INT PRE JUD IMPLUSO MYPERU HONRAD7 D</v>
          </cell>
        </row>
        <row r="31361">
          <cell r="B31361" t="str">
            <v>81093200000101</v>
          </cell>
          <cell r="C31361" t="str">
            <v>LIC LINEAS NO UTILIZADAS POR  CRED BLOQU7ND</v>
          </cell>
        </row>
        <row r="31362">
          <cell r="B31362" t="str">
            <v>81093200000102</v>
          </cell>
          <cell r="C31362" t="str">
            <v>SAT LINEAS CRED TC NO UTILIZADAS - BLOQU7ND</v>
          </cell>
        </row>
        <row r="31363">
          <cell r="B31363" t="str">
            <v>81093200000103</v>
          </cell>
          <cell r="C31363" t="str">
            <v>CDO LINEAS CRED TC NO UTILIZADAS - BLOQU7ND</v>
          </cell>
        </row>
        <row r="31364">
          <cell r="B31364" t="str">
            <v>81093200000104</v>
          </cell>
          <cell r="C31364" t="str">
            <v>MYP LINEAS CRED BPE NO UTILIZADAS - BLOQ7ND</v>
          </cell>
        </row>
        <row r="31365">
          <cell r="B31365" t="str">
            <v>81093200000105</v>
          </cell>
          <cell r="C31365" t="str">
            <v>SAT LIN CRED TC NO UTILIZADAS - BLOQUEAD7ND</v>
          </cell>
        </row>
        <row r="31366">
          <cell r="B31366" t="str">
            <v>81093200000106</v>
          </cell>
          <cell r="C31366" t="str">
            <v>CDO LIN CRED TC NO UTILIZADAS - BLOQUEAD7ND</v>
          </cell>
        </row>
        <row r="31367">
          <cell r="B31367" t="str">
            <v>81093200000107</v>
          </cell>
          <cell r="C31367" t="str">
            <v>BTC LINEAS CRED  NO UTILIZADAS - BLOQUEA7ND</v>
          </cell>
        </row>
        <row r="31368">
          <cell r="B31368" t="str">
            <v>81093600000101</v>
          </cell>
          <cell r="C31368" t="str">
            <v>SAT REPROG E 2017                       7ND</v>
          </cell>
        </row>
        <row r="31369">
          <cell r="B31369" t="str">
            <v>81093600000102</v>
          </cell>
          <cell r="C31369" t="str">
            <v>CDO REPROG E 2017                       7ND</v>
          </cell>
        </row>
        <row r="31370">
          <cell r="B31370" t="str">
            <v>81093600000103</v>
          </cell>
          <cell r="C31370" t="str">
            <v>HPC REPROG E 2017                       7ND</v>
          </cell>
        </row>
        <row r="31371">
          <cell r="B31371" t="str">
            <v>81093600000104</v>
          </cell>
          <cell r="C31371" t="str">
            <v>LIC REPROG E 2017                       7ND</v>
          </cell>
        </row>
        <row r="31372">
          <cell r="B31372" t="str">
            <v>81093600000105</v>
          </cell>
          <cell r="C31372" t="str">
            <v>MYP REPROG E 2017                       7ND</v>
          </cell>
        </row>
        <row r="31373">
          <cell r="B31373" t="str">
            <v>81093702010101</v>
          </cell>
          <cell r="C31373" t="str">
            <v>MYP REPROG CAPITAL EM 2020  CMIE        7ND</v>
          </cell>
        </row>
        <row r="31374">
          <cell r="B31374" t="str">
            <v>81093702010102</v>
          </cell>
          <cell r="C31374" t="str">
            <v>CDO REPROG CAPITAL EM 2020  CMIE        7ND</v>
          </cell>
        </row>
        <row r="31375">
          <cell r="B31375" t="str">
            <v>81093702010103</v>
          </cell>
          <cell r="C31375" t="str">
            <v>MYP REFINANC. COVID-19 CAPITAL CMIE     7ND</v>
          </cell>
        </row>
        <row r="31376">
          <cell r="B31376" t="str">
            <v>81093702010104</v>
          </cell>
          <cell r="C31376" t="str">
            <v>LPC REPROG CAPITAL EM 2020  CMIE        7ND</v>
          </cell>
        </row>
        <row r="31377">
          <cell r="B31377" t="str">
            <v>81093702020101</v>
          </cell>
          <cell r="C31377" t="str">
            <v>MYP REPROG INT DEV EM 2020  CMIE        7ND</v>
          </cell>
        </row>
        <row r="31378">
          <cell r="B31378" t="str">
            <v>81093702020102</v>
          </cell>
          <cell r="C31378" t="str">
            <v>CDO REPROG INT DEV EM 2020  CMIE        7ND</v>
          </cell>
        </row>
        <row r="31379">
          <cell r="B31379" t="str">
            <v>81093702020103</v>
          </cell>
          <cell r="C31379" t="str">
            <v>MYP REFINANC. COVID-19 CAPITAL CMIE     7ND</v>
          </cell>
        </row>
        <row r="31380">
          <cell r="B31380" t="str">
            <v>81093702020104</v>
          </cell>
          <cell r="C31380" t="str">
            <v>MYP REFINANC. COVID-19 INT CMIE         7ND</v>
          </cell>
        </row>
        <row r="31381">
          <cell r="B31381" t="str">
            <v>81093702020105</v>
          </cell>
          <cell r="C31381" t="str">
            <v>LPC REPROG CAPITAL EM 2020  CMIE        7ND</v>
          </cell>
        </row>
        <row r="31382">
          <cell r="B31382" t="str">
            <v>81093702030101</v>
          </cell>
          <cell r="C31382" t="str">
            <v>MYP REPROG INT PERCIBIDO EM 2020  CMIE  7ND</v>
          </cell>
        </row>
        <row r="31383">
          <cell r="B31383" t="str">
            <v>81093703010101</v>
          </cell>
          <cell r="C31383" t="str">
            <v>LIC REPROG CAPITAL EM 2020  CCNR        7ND</v>
          </cell>
        </row>
        <row r="31384">
          <cell r="B31384" t="str">
            <v>81093703010102</v>
          </cell>
          <cell r="C31384" t="str">
            <v>CDO REPROG CAPITAL EM 2020  CCNR /CCRV  7ND</v>
          </cell>
        </row>
        <row r="31385">
          <cell r="B31385" t="str">
            <v>81093703010103</v>
          </cell>
          <cell r="C31385" t="str">
            <v>HPC REPROG CAPITAL EM 2020  CP_CV CCNR /7ND</v>
          </cell>
        </row>
        <row r="31386">
          <cell r="B31386" t="str">
            <v>81093703010104</v>
          </cell>
          <cell r="C31386" t="str">
            <v>HPC REPROG CAPITAL EM 2020Â  VEHICULAR  7ND</v>
          </cell>
        </row>
        <row r="31387">
          <cell r="B31387" t="str">
            <v>81093703010105</v>
          </cell>
          <cell r="C31387" t="str">
            <v>HPC REPROG CAPITAL EM 2020Â _CRED EFECT 7ND</v>
          </cell>
        </row>
        <row r="31388">
          <cell r="B31388" t="str">
            <v>81093703020101</v>
          </cell>
          <cell r="C31388" t="str">
            <v>LIC REPROG INT DEV EM 2020  CCNR        7ND</v>
          </cell>
        </row>
        <row r="31389">
          <cell r="B31389" t="str">
            <v>81093703020102</v>
          </cell>
          <cell r="C31389" t="str">
            <v>CDO REPROG INT DEV EM 2020  CCNR /CCRV  7ND</v>
          </cell>
        </row>
        <row r="31390">
          <cell r="B31390" t="str">
            <v>81093703020103</v>
          </cell>
          <cell r="C31390" t="str">
            <v>HPC REPROG INT DEV EM 2020  CP_CV CCNR /7ND</v>
          </cell>
        </row>
        <row r="31391">
          <cell r="B31391" t="str">
            <v>81093703020104</v>
          </cell>
          <cell r="C31391" t="str">
            <v>HPC REPROG INT DEV EM 2020Â  VEHICULAR C7ND</v>
          </cell>
        </row>
        <row r="31392">
          <cell r="B31392" t="str">
            <v>81093703020105</v>
          </cell>
          <cell r="C31392" t="str">
            <v>HPC REPROG INT DEV EM 2020_ CRED EFECT  7ND</v>
          </cell>
        </row>
        <row r="31393">
          <cell r="B31393" t="str">
            <v>81093704010101</v>
          </cell>
          <cell r="C31393" t="str">
            <v>HPC REPROG CAPITAL EM 2020  HC CCNR /CCR7ND</v>
          </cell>
        </row>
        <row r="31394">
          <cell r="B31394" t="str">
            <v>81093704020101</v>
          </cell>
          <cell r="C31394" t="str">
            <v>HPC REPROG INT DEV EM 2020  HC CCNR /CCR7ND</v>
          </cell>
        </row>
        <row r="31395">
          <cell r="B31395" t="str">
            <v>81093706010101</v>
          </cell>
          <cell r="C31395" t="str">
            <v>CDO REPROG CAPITAL EM 2020  CSOB        7ND</v>
          </cell>
        </row>
        <row r="31396">
          <cell r="B31396" t="str">
            <v>81093706020101</v>
          </cell>
          <cell r="C31396" t="str">
            <v>CDO REPROG INT DEV EM 2020  CSOB        7ND</v>
          </cell>
        </row>
        <row r="31397">
          <cell r="B31397" t="str">
            <v>81093707010101</v>
          </cell>
          <cell r="C31397" t="str">
            <v>CDO REPROG CAPITAL EM 2020  CESP        7ND</v>
          </cell>
        </row>
        <row r="31398">
          <cell r="B31398" t="str">
            <v>81093707010102</v>
          </cell>
          <cell r="C31398" t="str">
            <v>LPC REPROG CAPITAL EM 2020  CESP        7ND</v>
          </cell>
        </row>
        <row r="31399">
          <cell r="B31399" t="str">
            <v>81093707020101</v>
          </cell>
          <cell r="C31399" t="str">
            <v>CDO REPROG INT DEV EM 2020  CESP        7ND</v>
          </cell>
        </row>
        <row r="31400">
          <cell r="B31400" t="str">
            <v>81093707020102</v>
          </cell>
          <cell r="C31400" t="str">
            <v>LPC REPRO INT DEVENGADO COVID-19_CESP   7ND</v>
          </cell>
        </row>
        <row r="31401">
          <cell r="B31401" t="str">
            <v>81093708010101</v>
          </cell>
          <cell r="C31401" t="str">
            <v>CDO REPROG CAPITAL EM 2020  CIVA        7ND</v>
          </cell>
        </row>
        <row r="31402">
          <cell r="B31402" t="str">
            <v>81093708020101</v>
          </cell>
          <cell r="C31402" t="str">
            <v>CDO REPROG INT DEV EM 2020  CIVA        7ND</v>
          </cell>
        </row>
        <row r="31403">
          <cell r="B31403" t="str">
            <v>81093709010101</v>
          </cell>
          <cell r="C31403" t="str">
            <v>CDO REPROG CAPITAL EM 2020  CESF        7ND</v>
          </cell>
        </row>
        <row r="31404">
          <cell r="B31404" t="str">
            <v>81093709020101</v>
          </cell>
          <cell r="C31404" t="str">
            <v>CDO REPROG INT DEV EM 2020  CESF        7ND</v>
          </cell>
        </row>
        <row r="31405">
          <cell r="B31405" t="str">
            <v>81093710010101</v>
          </cell>
          <cell r="C31405" t="str">
            <v>LPC REPRO PAGARE INMOB CCOR CAPITAL COVI7ND</v>
          </cell>
        </row>
        <row r="31406">
          <cell r="B31406" t="str">
            <v>81093710010102</v>
          </cell>
          <cell r="C31406" t="str">
            <v>LPC REPRO PAGARE INMOB CCOR CAPITAL COVI7ND</v>
          </cell>
        </row>
        <row r="31407">
          <cell r="B31407" t="str">
            <v>81093710010103</v>
          </cell>
          <cell r="C31407" t="str">
            <v>LIC REPROG CAPITAL EM 2020  CCNR        7ND</v>
          </cell>
        </row>
        <row r="31408">
          <cell r="B31408" t="str">
            <v>81093710010104</v>
          </cell>
          <cell r="C31408" t="str">
            <v>MYP REPROG CAPITAL EM 2020  CMIE        7ND</v>
          </cell>
        </row>
        <row r="31409">
          <cell r="B31409" t="str">
            <v>81093710010105</v>
          </cell>
          <cell r="C31409" t="str">
            <v>MYP REPROG CAPITAL EM 2020  CGEM        7ND</v>
          </cell>
        </row>
        <row r="31410">
          <cell r="B31410" t="str">
            <v>81093710010106</v>
          </cell>
          <cell r="C31410" t="str">
            <v>CDO REPROG CAPITAL EM 2020  CMIE        7ND</v>
          </cell>
        </row>
        <row r="31411">
          <cell r="B31411" t="str">
            <v>81093710010107</v>
          </cell>
          <cell r="C31411" t="str">
            <v>CDO REPROG CAPITAL EM 2020  CGEM        7ND</v>
          </cell>
        </row>
        <row r="31412">
          <cell r="B31412" t="str">
            <v>81093710010108</v>
          </cell>
          <cell r="C31412" t="str">
            <v>CDO REPROG CAPITAL EM 2020  CESF        7ND</v>
          </cell>
        </row>
        <row r="31413">
          <cell r="B31413" t="str">
            <v>81093710010109</v>
          </cell>
          <cell r="C31413" t="str">
            <v>CDO REPROG CAPITAL EM 2020  CESP        7ND</v>
          </cell>
        </row>
        <row r="31414">
          <cell r="B31414" t="str">
            <v>81093710010110</v>
          </cell>
          <cell r="C31414" t="str">
            <v>CDO REPROG CAPITAL EM 2020  CCNR /CCRV  7ND</v>
          </cell>
        </row>
        <row r="31415">
          <cell r="B31415" t="str">
            <v>81093710010111</v>
          </cell>
          <cell r="C31415" t="str">
            <v>CDO REPROG CAPITAL EM 2020  CCOR        7ND</v>
          </cell>
        </row>
        <row r="31416">
          <cell r="B31416" t="str">
            <v>81093710010112</v>
          </cell>
          <cell r="C31416" t="str">
            <v>LPC REPROG EM COVID-19 PRE-EMBARQUE CCOR7ND</v>
          </cell>
        </row>
        <row r="31417">
          <cell r="B31417" t="str">
            <v>81093710010113</v>
          </cell>
          <cell r="C31417" t="str">
            <v>LPC REPROG EM COVID-19 PRE-EMBARQUE CCOR7ND</v>
          </cell>
        </row>
        <row r="31418">
          <cell r="B31418" t="str">
            <v>81093710010114</v>
          </cell>
          <cell r="C31418" t="str">
            <v>LPC REPROG EM COVID-19 POST-EMBARQUE CCO7ND</v>
          </cell>
        </row>
        <row r="31419">
          <cell r="B31419" t="str">
            <v>81093710010115</v>
          </cell>
          <cell r="C31419" t="str">
            <v>LPC REPROG EM COVID-19 POST-EMBARQUE CCO7ND</v>
          </cell>
        </row>
        <row r="31420">
          <cell r="B31420" t="str">
            <v>81093710010116</v>
          </cell>
          <cell r="C31420" t="str">
            <v>LPC REPROG EM COVID-19 FINAN.COMEX CCOR\7ND</v>
          </cell>
        </row>
        <row r="31421">
          <cell r="B31421" t="str">
            <v>81093710010117</v>
          </cell>
          <cell r="C31421" t="str">
            <v>LPC REPROG EM COVID-19 FINAN.COMEX CCOR\7ND</v>
          </cell>
        </row>
        <row r="31422">
          <cell r="B31422" t="str">
            <v>81093710010118</v>
          </cell>
          <cell r="C31422" t="str">
            <v>LPC REFINANC COVID-19 CAPITAL CCOR      7ND</v>
          </cell>
        </row>
        <row r="31423">
          <cell r="B31423" t="str">
            <v>81093710020101</v>
          </cell>
          <cell r="C31423" t="str">
            <v>LPC REPRO PAGINT DEVENGADO COVID-19_CCOR7ND</v>
          </cell>
        </row>
        <row r="31424">
          <cell r="B31424" t="str">
            <v>81093710020102</v>
          </cell>
          <cell r="C31424" t="str">
            <v>LPC REPRO PAG INMOB CCOR INT DEVENGADO C7ND</v>
          </cell>
        </row>
        <row r="31425">
          <cell r="B31425" t="str">
            <v>81093710020103</v>
          </cell>
          <cell r="C31425" t="str">
            <v>LIC REPROG INT DEV EM 2020  CCNR        7ND</v>
          </cell>
        </row>
        <row r="31426">
          <cell r="B31426" t="str">
            <v>81093710020104</v>
          </cell>
          <cell r="C31426" t="str">
            <v>MYP REPROG INT DEV EM 2020  CMIE        7ND</v>
          </cell>
        </row>
        <row r="31427">
          <cell r="B31427" t="str">
            <v>81093710020105</v>
          </cell>
          <cell r="C31427" t="str">
            <v>MYP REPROG INT DEV EM 2020  CGEM        7ND</v>
          </cell>
        </row>
        <row r="31428">
          <cell r="B31428" t="str">
            <v>81093710020106</v>
          </cell>
          <cell r="C31428" t="str">
            <v>CDO REPROG INT DEV EM 2020  CMIE        7ND</v>
          </cell>
        </row>
        <row r="31429">
          <cell r="B31429" t="str">
            <v>81093710020107</v>
          </cell>
          <cell r="C31429" t="str">
            <v>CDO REPROG INT DEV EM 2020  CGEM        7ND</v>
          </cell>
        </row>
        <row r="31430">
          <cell r="B31430" t="str">
            <v>81093710020108</v>
          </cell>
          <cell r="C31430" t="str">
            <v>CDO REPROG INT DEV EM 2020  CESF        7ND</v>
          </cell>
        </row>
        <row r="31431">
          <cell r="B31431" t="str">
            <v>81093710020109</v>
          </cell>
          <cell r="C31431" t="str">
            <v>CDO REPROG INT DEV EM 2020  CESP        7ND</v>
          </cell>
        </row>
        <row r="31432">
          <cell r="B31432" t="str">
            <v>81093710020110</v>
          </cell>
          <cell r="C31432" t="str">
            <v>CDO REPROG INT DEV EM 2020  CCNR /CCRV  7ND</v>
          </cell>
        </row>
        <row r="31433">
          <cell r="B31433" t="str">
            <v>81093710020111</v>
          </cell>
          <cell r="C31433" t="str">
            <v>CDO REPROG INT DEV EM 2020  CCOR        7ND</v>
          </cell>
        </row>
        <row r="31434">
          <cell r="B31434" t="str">
            <v>81093710030101</v>
          </cell>
          <cell r="C31434" t="str">
            <v>LPC REPRO PAG INMOB CCOR INT PERCIBIDO C7ND</v>
          </cell>
        </row>
        <row r="31435">
          <cell r="B31435" t="str">
            <v>81093710030102</v>
          </cell>
          <cell r="C31435" t="str">
            <v>LPC REPRO PAG INMOB CCOR INT PERCIBIDO C7ND</v>
          </cell>
        </row>
        <row r="31436">
          <cell r="B31436" t="str">
            <v>81093710030103</v>
          </cell>
          <cell r="C31436" t="str">
            <v>MYP REPROG INT PERCIBIDO EM 2020  CMIE  7ND</v>
          </cell>
        </row>
        <row r="31437">
          <cell r="B31437" t="str">
            <v>81093710030104</v>
          </cell>
          <cell r="C31437" t="str">
            <v>MYP REPROG INT PERCIBIDO EM 2020  CGEM  7ND</v>
          </cell>
        </row>
        <row r="31438">
          <cell r="B31438" t="str">
            <v>81093710030105</v>
          </cell>
          <cell r="C31438" t="str">
            <v>CDO REPROG INT PERCIBIDO EM 2020  CGEM  7ND</v>
          </cell>
        </row>
        <row r="31439">
          <cell r="B31439" t="str">
            <v>81093710030106</v>
          </cell>
          <cell r="C31439" t="str">
            <v>CDO REPROG INT PERCIBIDO EM 2020  CCOR  7ND</v>
          </cell>
        </row>
        <row r="31440">
          <cell r="B31440" t="str">
            <v>81093710030107</v>
          </cell>
          <cell r="C31440" t="str">
            <v>LPC REPROG EM COVID-19 PRE-EMBARQUE CCOR7ND</v>
          </cell>
        </row>
        <row r="31441">
          <cell r="B31441" t="str">
            <v>81093710030108</v>
          </cell>
          <cell r="C31441" t="str">
            <v>LPC REPROG EM COVID-19 POST-EMBARQUE CCO7ND</v>
          </cell>
        </row>
        <row r="31442">
          <cell r="B31442" t="str">
            <v>81093710030109</v>
          </cell>
          <cell r="C31442" t="str">
            <v>LPC REPROG EM COVID-19 FINAN.COMEX CCOR\7ND</v>
          </cell>
        </row>
        <row r="31443">
          <cell r="B31443" t="str">
            <v>81093710030110</v>
          </cell>
          <cell r="C31443" t="str">
            <v>LPC REFINANC COVID-19 INT CCOR          7ND</v>
          </cell>
        </row>
        <row r="31444">
          <cell r="B31444" t="str">
            <v>81093711010101</v>
          </cell>
          <cell r="C31444" t="str">
            <v>LPC REPRO PAGARE INMOB CGEM CAPITAL COVI7ND</v>
          </cell>
        </row>
        <row r="31445">
          <cell r="B31445" t="str">
            <v>81093711010102</v>
          </cell>
          <cell r="C31445" t="str">
            <v>LPC REPRO PAGARE INMOB CGEM CAPITAL COVI7ND</v>
          </cell>
        </row>
        <row r="31446">
          <cell r="B31446" t="str">
            <v>81093711010103</v>
          </cell>
          <cell r="C31446" t="str">
            <v>MYP REPROG CAPITAL EM 2020  CGEM        7ND</v>
          </cell>
        </row>
        <row r="31447">
          <cell r="B31447" t="str">
            <v>81093711010104</v>
          </cell>
          <cell r="C31447" t="str">
            <v>CDO REPROG CAPITAL EM 2020  CGEM        7ND</v>
          </cell>
        </row>
        <row r="31448">
          <cell r="B31448" t="str">
            <v>81093711010105</v>
          </cell>
          <cell r="C31448" t="str">
            <v>LPC REPROG EM COVID-19 PRE-EMBARQUE CGEM7ND</v>
          </cell>
        </row>
        <row r="31449">
          <cell r="B31449" t="str">
            <v>81093711010106</v>
          </cell>
          <cell r="C31449" t="str">
            <v>LPC REPROG EM COVID-19 PRE-EMBARQUE CGEM7ND</v>
          </cell>
        </row>
        <row r="31450">
          <cell r="B31450" t="str">
            <v>81093711010107</v>
          </cell>
          <cell r="C31450" t="str">
            <v>LPC REPROG EM COVID-19 POST-EMBARQUE CGE7ND</v>
          </cell>
        </row>
        <row r="31451">
          <cell r="B31451" t="str">
            <v>81093711010108</v>
          </cell>
          <cell r="C31451" t="str">
            <v>LPC REPROG EM COVID-19 POST-EMBARQUE CGE7ND</v>
          </cell>
        </row>
        <row r="31452">
          <cell r="B31452" t="str">
            <v>81093711010109</v>
          </cell>
          <cell r="C31452" t="str">
            <v>LPC REPROG EM COVID-19 FINAN.COMEX CGEM\7ND</v>
          </cell>
        </row>
        <row r="31453">
          <cell r="B31453" t="str">
            <v>81093711010110</v>
          </cell>
          <cell r="C31453" t="str">
            <v>LPC REPROG EM COVID-19 FINAN.COMEX CGEM\7ND</v>
          </cell>
        </row>
        <row r="31454">
          <cell r="B31454" t="str">
            <v>81093711010111</v>
          </cell>
          <cell r="C31454" t="str">
            <v>LPC REFINANC COVID-19 CAPITAL CGEM      7ND</v>
          </cell>
        </row>
        <row r="31455">
          <cell r="B31455" t="str">
            <v>81093711020101</v>
          </cell>
          <cell r="C31455" t="str">
            <v>LPC REPRO INT DEVENGADO COVID-19_CGEM   7ND</v>
          </cell>
        </row>
        <row r="31456">
          <cell r="B31456" t="str">
            <v>81093711020102</v>
          </cell>
          <cell r="C31456" t="str">
            <v>LPC REPRO PAG INMOB CGEM INT DEVENGADO C7ND</v>
          </cell>
        </row>
        <row r="31457">
          <cell r="B31457" t="str">
            <v>81093711020103</v>
          </cell>
          <cell r="C31457" t="str">
            <v>MYP REPROG INT DEV EM 2020  CGEM        7ND</v>
          </cell>
        </row>
        <row r="31458">
          <cell r="B31458" t="str">
            <v>81093711020104</v>
          </cell>
          <cell r="C31458" t="str">
            <v>CDO REPROG INT DEV EM 2020  CGEM        7ND</v>
          </cell>
        </row>
        <row r="31459">
          <cell r="B31459" t="str">
            <v>81093711030101</v>
          </cell>
          <cell r="C31459" t="str">
            <v>LPC REPRO PAG INMOB CGEM INT PERCIBIDO C7ND</v>
          </cell>
        </row>
        <row r="31460">
          <cell r="B31460" t="str">
            <v>81093711030102</v>
          </cell>
          <cell r="C31460" t="str">
            <v>LPC REPRO PAG INMOB CGEM INT PERCIBIDO C7ND</v>
          </cell>
        </row>
        <row r="31461">
          <cell r="B31461" t="str">
            <v>81093711030103</v>
          </cell>
          <cell r="C31461" t="str">
            <v>MYP REPROG INT PERCIBIDO EM 2020  CGEM  7ND</v>
          </cell>
        </row>
        <row r="31462">
          <cell r="B31462" t="str">
            <v>81093711030104</v>
          </cell>
          <cell r="C31462" t="str">
            <v>CDO REPROG INT PERCIBIDO EM 2020  CGEM  7ND</v>
          </cell>
        </row>
        <row r="31463">
          <cell r="B31463" t="str">
            <v>81093711030105</v>
          </cell>
          <cell r="C31463" t="str">
            <v>LPC REPROG EM COVID-19 PRE-EMBARQUE CGEM7ND</v>
          </cell>
        </row>
        <row r="31464">
          <cell r="B31464" t="str">
            <v>81093711030106</v>
          </cell>
          <cell r="C31464" t="str">
            <v>LPC REPROG EM COVID-19 POST-EMBARQUE CGE7ND</v>
          </cell>
        </row>
        <row r="31465">
          <cell r="B31465" t="str">
            <v>81093711030107</v>
          </cell>
          <cell r="C31465" t="str">
            <v>LPC REPROG EM COVID-19 FINAN.COMEX CGEM\7ND</v>
          </cell>
        </row>
        <row r="31466">
          <cell r="B31466" t="str">
            <v>81093711030108</v>
          </cell>
          <cell r="C31466" t="str">
            <v>LPC REFINANC COVID-19 INT CGEM          7ND</v>
          </cell>
        </row>
        <row r="31467">
          <cell r="B31467" t="str">
            <v>81093712010101</v>
          </cell>
          <cell r="C31467" t="str">
            <v>LPC REPRO PAGARE INMOB CMED CAPITAL COVI7ND</v>
          </cell>
        </row>
        <row r="31468">
          <cell r="B31468" t="str">
            <v>81093712010102</v>
          </cell>
          <cell r="C31468" t="str">
            <v>LPC REPRO PAGARE INMOB CMED CAPITAL COVI7ND</v>
          </cell>
        </row>
        <row r="31469">
          <cell r="B31469" t="str">
            <v>81093712010103</v>
          </cell>
          <cell r="C31469" t="str">
            <v>LIC REPROG CAPITAL EM 2020  CMED        7ND</v>
          </cell>
        </row>
        <row r="31470">
          <cell r="B31470" t="str">
            <v>81093712010104</v>
          </cell>
          <cell r="C31470" t="str">
            <v>MYP REPROG CAPITAL EM 2020  CMED        7ND</v>
          </cell>
        </row>
        <row r="31471">
          <cell r="B31471" t="str">
            <v>81093712010105</v>
          </cell>
          <cell r="C31471" t="str">
            <v>MYP REPROG CAPITAL EM 2020  CPEM        7ND</v>
          </cell>
        </row>
        <row r="31472">
          <cell r="B31472" t="str">
            <v>81093712010106</v>
          </cell>
          <cell r="C31472" t="str">
            <v>CDO REPROG CAPITAL EM 2020  CMED        7ND</v>
          </cell>
        </row>
        <row r="31473">
          <cell r="B31473" t="str">
            <v>81093712010107</v>
          </cell>
          <cell r="C31473" t="str">
            <v>CDO REPROG CAPITAL EM 2020  CPEM        7ND</v>
          </cell>
        </row>
        <row r="31474">
          <cell r="B31474" t="str">
            <v>81093712010108</v>
          </cell>
          <cell r="C31474" t="str">
            <v>HPC REPROG CAPITAL EM 2020  HC CMED     7ND</v>
          </cell>
        </row>
        <row r="31475">
          <cell r="B31475" t="str">
            <v>81093712010109</v>
          </cell>
          <cell r="C31475" t="str">
            <v>HPC REPROG CAPITAL EM 2020  CR CMED     7ND</v>
          </cell>
        </row>
        <row r="31476">
          <cell r="B31476" t="str">
            <v>81093712010110</v>
          </cell>
          <cell r="C31476" t="str">
            <v>CDO REPROG CAPITAL EM 2020  CSOB        7ND</v>
          </cell>
        </row>
        <row r="31477">
          <cell r="B31477" t="str">
            <v>81093712010111</v>
          </cell>
          <cell r="C31477" t="str">
            <v>LPC REPROG EM COVID-19 PRE-EMBARQUE CMED7ND</v>
          </cell>
        </row>
        <row r="31478">
          <cell r="B31478" t="str">
            <v>81093712010112</v>
          </cell>
          <cell r="C31478" t="str">
            <v>LPC REPROG EM COVID-19 PRE-EMBARQUE CMED7ND</v>
          </cell>
        </row>
        <row r="31479">
          <cell r="B31479" t="str">
            <v>81093712010113</v>
          </cell>
          <cell r="C31479" t="str">
            <v>LPC REPROG EM COVID-19 POST-EMBARQUE CME7ND</v>
          </cell>
        </row>
        <row r="31480">
          <cell r="B31480" t="str">
            <v>81093712010114</v>
          </cell>
          <cell r="C31480" t="str">
            <v>LPC REPROG EM COVID-19 POST-EMBARQUE CME7ND</v>
          </cell>
        </row>
        <row r="31481">
          <cell r="B31481" t="str">
            <v>81093712010115</v>
          </cell>
          <cell r="C31481" t="str">
            <v>LPC REPROG EM COVID-19 FINAN.COMEX CMED\7ND</v>
          </cell>
        </row>
        <row r="31482">
          <cell r="B31482" t="str">
            <v>81093712010116</v>
          </cell>
          <cell r="C31482" t="str">
            <v>LPC REPROG EM COVID-19 FINAN.COMEX CMED\7ND</v>
          </cell>
        </row>
        <row r="31483">
          <cell r="B31483" t="str">
            <v>81093712010117</v>
          </cell>
          <cell r="C31483" t="str">
            <v>MYP REFINANC. COVID-19 CAPITAL CMED     7ND</v>
          </cell>
        </row>
        <row r="31484">
          <cell r="B31484" t="str">
            <v>81093712010118</v>
          </cell>
          <cell r="C31484" t="str">
            <v>LPC REFINANC COVID-19 CAPITAL CMED      7ND</v>
          </cell>
        </row>
        <row r="31485">
          <cell r="B31485" t="str">
            <v>81093712010119</v>
          </cell>
          <cell r="C31485" t="str">
            <v>HPC REPROG CAPITAL EM 2020Â  VEHICULAR C7ND</v>
          </cell>
        </row>
        <row r="31486">
          <cell r="B31486" t="str">
            <v>81093712020101</v>
          </cell>
          <cell r="C31486" t="str">
            <v>LPC REPRO INT DEVENGADO COVID-19_CMED   7ND</v>
          </cell>
        </row>
        <row r="31487">
          <cell r="B31487" t="str">
            <v>81093712020102</v>
          </cell>
          <cell r="C31487" t="str">
            <v>LPC REPRO PAG INMOB CMED INT DEVENGADO C7ND</v>
          </cell>
        </row>
        <row r="31488">
          <cell r="B31488" t="str">
            <v>81093712020103</v>
          </cell>
          <cell r="C31488" t="str">
            <v>LIC REPROG INT DEV EM 2020  CMED        7ND</v>
          </cell>
        </row>
        <row r="31489">
          <cell r="B31489" t="str">
            <v>81093712020104</v>
          </cell>
          <cell r="C31489" t="str">
            <v>MYP REPROG INT DEV EM 2020  CMED        7ND</v>
          </cell>
        </row>
        <row r="31490">
          <cell r="B31490" t="str">
            <v>81093712020105</v>
          </cell>
          <cell r="C31490" t="str">
            <v>MYP REPROG INT DEV EM 2020  CPEM        7ND</v>
          </cell>
        </row>
        <row r="31491">
          <cell r="B31491" t="str">
            <v>81093712020106</v>
          </cell>
          <cell r="C31491" t="str">
            <v>CDO REPROG INT DEV EM 2020  CMED        7ND</v>
          </cell>
        </row>
        <row r="31492">
          <cell r="B31492" t="str">
            <v>81093712020107</v>
          </cell>
          <cell r="C31492" t="str">
            <v>CDO REPROG INT DEV EM 2020  CPEM        7ND</v>
          </cell>
        </row>
        <row r="31493">
          <cell r="B31493" t="str">
            <v>81093712020108</v>
          </cell>
          <cell r="C31493" t="str">
            <v>HPC REPROG INT DEV EM 2020  HC CMED     7ND</v>
          </cell>
        </row>
        <row r="31494">
          <cell r="B31494" t="str">
            <v>81093712020109</v>
          </cell>
          <cell r="C31494" t="str">
            <v>HPC REPROG CAPITAL EM 2020  CR CMED     7ND</v>
          </cell>
        </row>
        <row r="31495">
          <cell r="B31495" t="str">
            <v>81093712020110</v>
          </cell>
          <cell r="C31495" t="str">
            <v>CDO REPROG INT DEV EM 2020  CSOB        7ND</v>
          </cell>
        </row>
        <row r="31496">
          <cell r="B31496" t="str">
            <v>81093712020111</v>
          </cell>
          <cell r="C31496" t="str">
            <v>HPC REPROG INT DEV EM 2020Â  VEHICULAR  7ND</v>
          </cell>
        </row>
        <row r="31497">
          <cell r="B31497" t="str">
            <v>81093712030101</v>
          </cell>
          <cell r="C31497" t="str">
            <v>LPC REPRO PAG INMOB CMED INT PERCIBIDO C7ND</v>
          </cell>
        </row>
        <row r="31498">
          <cell r="B31498" t="str">
            <v>81093712030102</v>
          </cell>
          <cell r="C31498" t="str">
            <v>LPC REPRO PAG INMOB CMED INT PERCIBIDO C7ND</v>
          </cell>
        </row>
        <row r="31499">
          <cell r="B31499" t="str">
            <v>81093712030103</v>
          </cell>
          <cell r="C31499" t="str">
            <v>MYP REPROG INT PERCIBIDO EM 2020  CMED  7ND</v>
          </cell>
        </row>
        <row r="31500">
          <cell r="B31500" t="str">
            <v>81093712030104</v>
          </cell>
          <cell r="C31500" t="str">
            <v>MYP REPROG INT PERCIBIDO EM 2020  CPEM  7ND</v>
          </cell>
        </row>
        <row r="31501">
          <cell r="B31501" t="str">
            <v>81093712030105</v>
          </cell>
          <cell r="C31501" t="str">
            <v>CDO REPROG INT PERCIBIDO EM 2020  CMED  7ND</v>
          </cell>
        </row>
        <row r="31502">
          <cell r="B31502" t="str">
            <v>81093712030106</v>
          </cell>
          <cell r="C31502" t="str">
            <v>CDO REPROG INT PERCIBIDO EM 2020  CCOR  7ND</v>
          </cell>
        </row>
        <row r="31503">
          <cell r="B31503" t="str">
            <v>81093712030107</v>
          </cell>
          <cell r="C31503" t="str">
            <v>LPC REPROG EM COVID-19 PRE-EMBARQUE CMED7ND</v>
          </cell>
        </row>
        <row r="31504">
          <cell r="B31504" t="str">
            <v>81093712030108</v>
          </cell>
          <cell r="C31504" t="str">
            <v>LPC REPROG EM COVID-19 POST-EMBARQUE CME7ND</v>
          </cell>
        </row>
        <row r="31505">
          <cell r="B31505" t="str">
            <v>81093712030109</v>
          </cell>
          <cell r="C31505" t="str">
            <v>LPC REPROG EM COVID-19 FINAN.COMEX CMED\7ND</v>
          </cell>
        </row>
        <row r="31506">
          <cell r="B31506" t="str">
            <v>81093712030110</v>
          </cell>
          <cell r="C31506" t="str">
            <v>MYP REFINANC. COVID-19 INT CMED         7ND</v>
          </cell>
        </row>
        <row r="31507">
          <cell r="B31507" t="str">
            <v>81093712030111</v>
          </cell>
          <cell r="C31507" t="str">
            <v>LPC REFINANC COVID-19 INT CMED          7ND</v>
          </cell>
        </row>
        <row r="31508">
          <cell r="B31508" t="str">
            <v>81093713010101</v>
          </cell>
          <cell r="C31508" t="str">
            <v>MYP REPROG CAPITAL EM 2020  CPEM        7ND</v>
          </cell>
        </row>
        <row r="31509">
          <cell r="B31509" t="str">
            <v>81093713010102</v>
          </cell>
          <cell r="C31509" t="str">
            <v>CDO REPROG CAPITAL EM 2020  CPEM        7ND</v>
          </cell>
        </row>
        <row r="31510">
          <cell r="B31510" t="str">
            <v>81093713010103</v>
          </cell>
          <cell r="C31510" t="str">
            <v>LPC REPROG CAPITAL EM 2020  CPEM        7ND</v>
          </cell>
        </row>
        <row r="31511">
          <cell r="B31511" t="str">
            <v>81093713010104</v>
          </cell>
          <cell r="C31511" t="str">
            <v>MYP REFINANC. COVID-19 CAPITAL CPEM     7ND</v>
          </cell>
        </row>
        <row r="31512">
          <cell r="B31512" t="str">
            <v>81093713020101</v>
          </cell>
          <cell r="C31512" t="str">
            <v>MYP REPROG INT DEV EM 2020  CPEM        7ND</v>
          </cell>
        </row>
        <row r="31513">
          <cell r="B31513" t="str">
            <v>81093713020102</v>
          </cell>
          <cell r="C31513" t="str">
            <v>CDO REPROG INT DEV EM 2020  CPEM        7ND</v>
          </cell>
        </row>
        <row r="31514">
          <cell r="B31514" t="str">
            <v>81093713020103</v>
          </cell>
          <cell r="C31514" t="str">
            <v>LPC REPRO INT DEVENGADO COVID-19_CPEM   7ND</v>
          </cell>
        </row>
        <row r="31515">
          <cell r="B31515" t="str">
            <v>81093713020104</v>
          </cell>
          <cell r="C31515" t="str">
            <v>MYP REFINANC. COVID-19 CAPITAL CPEM     7ND</v>
          </cell>
        </row>
        <row r="31516">
          <cell r="B31516" t="str">
            <v>81093713020105</v>
          </cell>
          <cell r="C31516" t="str">
            <v>MYP REFINANC. COVID-19 INT CPEM         7ND</v>
          </cell>
        </row>
        <row r="31517">
          <cell r="B31517" t="str">
            <v>81093713030101</v>
          </cell>
          <cell r="C31517" t="str">
            <v>MYP REPROG INT PERCIBIDO EM 2020  CPEM  7ND</v>
          </cell>
        </row>
        <row r="31518">
          <cell r="B31518" t="str">
            <v>81093713030102</v>
          </cell>
          <cell r="C31518" t="str">
            <v>LPC REPRO EM COVID-19 INT PERCIBIDO     7ND</v>
          </cell>
        </row>
        <row r="31519">
          <cell r="B31519" t="str">
            <v>81094401010100</v>
          </cell>
          <cell r="C31519" t="str">
            <v>CDO REPRO COVID_ CON GTIA VIG CAP       7ND</v>
          </cell>
        </row>
        <row r="31520">
          <cell r="B31520" t="str">
            <v>81094406010100</v>
          </cell>
          <cell r="C31520" t="str">
            <v>CDO REPRO COVID_ CON GTIA VEN CAP       7ND</v>
          </cell>
        </row>
        <row r="31521">
          <cell r="B31521" t="str">
            <v>81094416010100</v>
          </cell>
          <cell r="C31521" t="str">
            <v>CDO REPRO COVID_ PROG GTIA INT          7ND</v>
          </cell>
        </row>
        <row r="31522">
          <cell r="B31522" t="str">
            <v>81095201010001</v>
          </cell>
          <cell r="C31522" t="str">
            <v>MYP CTRA CTA IMPULSO MYPERU CMIE VIG    7 D</v>
          </cell>
        </row>
        <row r="31523">
          <cell r="B31523" t="str">
            <v>81095201010002</v>
          </cell>
          <cell r="C31523" t="str">
            <v>LPC IMPULSO MYPERU CORTO PLAZO CMIE VIG 7 D</v>
          </cell>
        </row>
        <row r="31524">
          <cell r="B31524" t="str">
            <v>81095201010003</v>
          </cell>
          <cell r="C31524" t="str">
            <v>LPC IMPULSO MYPERU MEDIANO PLAZO VIG CMI7 D</v>
          </cell>
        </row>
        <row r="31525">
          <cell r="B31525" t="str">
            <v>81095201020001</v>
          </cell>
          <cell r="C31525" t="str">
            <v>MYP CAP TRAB IMPULSO IBK SG VIG N/DP CMI7 D</v>
          </cell>
        </row>
        <row r="31526">
          <cell r="B31526" t="str">
            <v>81095202010001</v>
          </cell>
          <cell r="C31526" t="str">
            <v>MYP CTRA CTA IMPULSO MYPERU CPEM VIG    7 D</v>
          </cell>
        </row>
        <row r="31527">
          <cell r="B31527" t="str">
            <v>81095202010002</v>
          </cell>
          <cell r="C31527" t="str">
            <v>LPC IMPULSO MYPERU CORTO PLAZO CPEM VIG 7 D</v>
          </cell>
        </row>
        <row r="31528">
          <cell r="B31528" t="str">
            <v>81095202010003</v>
          </cell>
          <cell r="C31528" t="str">
            <v>LPC IMPULSO MYPERU MEDIANO PLAZO VIG CPE7 D</v>
          </cell>
        </row>
        <row r="31529">
          <cell r="B31529" t="str">
            <v>81095202020001</v>
          </cell>
          <cell r="C31529" t="str">
            <v>MYP CAP TRAB IMPULSO IBK SG VIG N/DP CPE7 D</v>
          </cell>
        </row>
        <row r="31530">
          <cell r="B31530" t="str">
            <v>81095203010001</v>
          </cell>
          <cell r="C31530" t="str">
            <v>MYP CTRA CTA IMPULSO MYPERU CMED VIG    7 D</v>
          </cell>
        </row>
        <row r="31531">
          <cell r="B31531" t="str">
            <v>81095203010002</v>
          </cell>
          <cell r="C31531" t="str">
            <v>LPC IMPULSO MYPERU CORTO PLAZO CMED VIG 7 D</v>
          </cell>
        </row>
        <row r="31532">
          <cell r="B31532" t="str">
            <v>81095203010003</v>
          </cell>
          <cell r="C31532" t="str">
            <v>LPC IMPULSO MYPERU MEDIANO PLAZO VIG CME7 D</v>
          </cell>
        </row>
        <row r="31533">
          <cell r="B31533" t="str">
            <v>81095203020001</v>
          </cell>
          <cell r="C31533" t="str">
            <v>MYP CAP TRAB IMPULSO IBK SG VIG N/DP CME7 D</v>
          </cell>
        </row>
        <row r="31534">
          <cell r="B31534" t="str">
            <v>81095204010001</v>
          </cell>
          <cell r="C31534" t="str">
            <v>MYP CTRA CTA IMPULSO MYPERU CMIE VEN    7 D</v>
          </cell>
        </row>
        <row r="31535">
          <cell r="B31535" t="str">
            <v>81095204010002</v>
          </cell>
          <cell r="C31535" t="str">
            <v>LPC IMPULSO MYPERU CORTO PLAZO CMIE VENC7 D</v>
          </cell>
        </row>
        <row r="31536">
          <cell r="B31536" t="str">
            <v>81095204010003</v>
          </cell>
          <cell r="C31536" t="str">
            <v>LPC IMPULSO MYPERU MEDIANO PLAZO VEN CMI7 D</v>
          </cell>
        </row>
        <row r="31537">
          <cell r="B31537" t="str">
            <v>81095204010004</v>
          </cell>
          <cell r="C31537" t="str">
            <v>JCC BC PRE JUD CAP IMPULSO MYPERU PRE-HO7 D</v>
          </cell>
        </row>
        <row r="31538">
          <cell r="B31538" t="str">
            <v>81095204020001</v>
          </cell>
          <cell r="C31538" t="str">
            <v>JCC MP PRE JUD CAP IMPULSO MYPERU IBK CM7 D</v>
          </cell>
        </row>
        <row r="31539">
          <cell r="B31539" t="str">
            <v>81095204020002</v>
          </cell>
          <cell r="C31539" t="str">
            <v>JCC CART.508 PRE JUD CAP IMPULSO MYPERU 7 D</v>
          </cell>
        </row>
        <row r="31540">
          <cell r="B31540" t="str">
            <v>81095204020003</v>
          </cell>
          <cell r="C31540" t="str">
            <v>MYP CAP TRAB IMPULSO IBK SG VEN N/DP CMI7 D</v>
          </cell>
        </row>
        <row r="31541">
          <cell r="B31541" t="str">
            <v>81095204020004</v>
          </cell>
          <cell r="C31541" t="str">
            <v>JCC MP PRE JUD IMPLUSO MYPERU HONRADO IB7 D</v>
          </cell>
        </row>
        <row r="31542">
          <cell r="B31542" t="str">
            <v>81095204020005</v>
          </cell>
          <cell r="C31542" t="str">
            <v>JCC BC PRE JUD IMPULSO MYPERU HONRADO CO7 D</v>
          </cell>
        </row>
        <row r="31543">
          <cell r="B31543" t="str">
            <v>81095205010001</v>
          </cell>
          <cell r="C31543" t="str">
            <v>MYP CTRA CTA IMPULSO MYPERU CPEM VEN    7 D</v>
          </cell>
        </row>
        <row r="31544">
          <cell r="B31544" t="str">
            <v>81095205010002</v>
          </cell>
          <cell r="C31544" t="str">
            <v>LPC IMPULSO MYPERU CORTO PLAZO CPEM VENC7 D</v>
          </cell>
        </row>
        <row r="31545">
          <cell r="B31545" t="str">
            <v>81095205010003</v>
          </cell>
          <cell r="C31545" t="str">
            <v>LPC IMPULSO MYPERU MEDIANO PLAZO VEN CPE7 D</v>
          </cell>
        </row>
        <row r="31546">
          <cell r="B31546" t="str">
            <v>81095205010004</v>
          </cell>
          <cell r="C31546" t="str">
            <v>JCC BC PRE JUD CAP IMPULSO MYPERU PRE-HO7 D</v>
          </cell>
        </row>
        <row r="31547">
          <cell r="B31547" t="str">
            <v>81095205020001</v>
          </cell>
          <cell r="C31547" t="str">
            <v>JCC MP PRE JUD CAP IMPULSO MYPERU IBK CP7 D</v>
          </cell>
        </row>
        <row r="31548">
          <cell r="B31548" t="str">
            <v>81095205020002</v>
          </cell>
          <cell r="C31548" t="str">
            <v>JCC CART.508 PRE JUD CAP IMPULSO MYPERU 7 D</v>
          </cell>
        </row>
        <row r="31549">
          <cell r="B31549" t="str">
            <v>81095205020003</v>
          </cell>
          <cell r="C31549" t="str">
            <v>MYP CAP TRAB IMPULSO IBK SG VEN N/DP CPE7 D</v>
          </cell>
        </row>
        <row r="31550">
          <cell r="B31550" t="str">
            <v>81095205020004</v>
          </cell>
          <cell r="C31550" t="str">
            <v>JCC MP PRE JUD IMPLUSO MYPERU HONRADO IB7 D</v>
          </cell>
        </row>
        <row r="31551">
          <cell r="B31551" t="str">
            <v>81095205020005</v>
          </cell>
          <cell r="C31551" t="str">
            <v>JCC BC PRE JUD IMPULSO MYPERU HONRADO CO7 D</v>
          </cell>
        </row>
        <row r="31552">
          <cell r="B31552" t="str">
            <v>81095206010001</v>
          </cell>
          <cell r="C31552" t="str">
            <v>MYP CTRA CTA IMPULSO MYPERU CMED VEN    7 D</v>
          </cell>
        </row>
        <row r="31553">
          <cell r="B31553" t="str">
            <v>81095206010002</v>
          </cell>
          <cell r="C31553" t="str">
            <v>LPC IMPULSO MYPERU CORTO PLAZO CMED VENC7 D</v>
          </cell>
        </row>
        <row r="31554">
          <cell r="B31554" t="str">
            <v>81095206010003</v>
          </cell>
          <cell r="C31554" t="str">
            <v>LPC IMPULSO MYPERU MEDIANO PLAZO VEN CME7 D</v>
          </cell>
        </row>
        <row r="31555">
          <cell r="B31555" t="str">
            <v>81095206010004</v>
          </cell>
          <cell r="C31555" t="str">
            <v>JCC BC PRE JUD CAP IMPULSO MYPERU PRE-HO7 D</v>
          </cell>
        </row>
        <row r="31556">
          <cell r="B31556" t="str">
            <v>81095206020001</v>
          </cell>
          <cell r="C31556" t="str">
            <v>JCC MP PRE JUD CAP IMPULSO MYPERU IBK CM7 D</v>
          </cell>
        </row>
        <row r="31557">
          <cell r="B31557" t="str">
            <v>81095206020002</v>
          </cell>
          <cell r="C31557" t="str">
            <v>JCC CART.508 PRE JUD CAP IMPULSO MYPERU 7 D</v>
          </cell>
        </row>
        <row r="31558">
          <cell r="B31558" t="str">
            <v>81095206020003</v>
          </cell>
          <cell r="C31558" t="str">
            <v>MYP CAP TRAB IMPULSO IBK SG VEN N/DP CME7 D</v>
          </cell>
        </row>
        <row r="31559">
          <cell r="B31559" t="str">
            <v>81095206020004</v>
          </cell>
          <cell r="C31559" t="str">
            <v>JCC MP PRE JUD IMPLUSO MYPERU HONRADO IB7 D</v>
          </cell>
        </row>
        <row r="31560">
          <cell r="B31560" t="str">
            <v>81095206020005</v>
          </cell>
          <cell r="C31560" t="str">
            <v>JCC BC PRE JUD IMPULSO MYPERU HONRADO CO7 D</v>
          </cell>
        </row>
        <row r="31561">
          <cell r="B31561" t="str">
            <v>81095207010001</v>
          </cell>
          <cell r="C31561" t="str">
            <v>LPC IMPULSO MYPERU CORTO PLAZO CGEM VIG 7 D</v>
          </cell>
        </row>
        <row r="31562">
          <cell r="B31562" t="str">
            <v>81095207010002</v>
          </cell>
          <cell r="C31562" t="str">
            <v>LPC IMPULSO MYPERU MEDIANO PLAZO VIG CGE7 D</v>
          </cell>
        </row>
        <row r="31563">
          <cell r="B31563" t="str">
            <v>81095207010003</v>
          </cell>
          <cell r="C31563" t="str">
            <v>MYP CTRA CTA IMPULSO MYPERU CGEM VIG    7 D</v>
          </cell>
        </row>
        <row r="31564">
          <cell r="B31564" t="str">
            <v>81095208010001</v>
          </cell>
          <cell r="C31564" t="str">
            <v>LPC IMPULSO MYPERU CORTO PLAZO CCOR VIG 7 D</v>
          </cell>
        </row>
        <row r="31565">
          <cell r="B31565" t="str">
            <v>81095208010002</v>
          </cell>
          <cell r="C31565" t="str">
            <v>LPC IMPULSO MYPERU MEDIANO PLAZO REV CCO7 D</v>
          </cell>
        </row>
        <row r="31566">
          <cell r="B31566" t="str">
            <v>81095209010001</v>
          </cell>
          <cell r="C31566" t="str">
            <v>LPC IMPULSO MYPERU CORTO PLAZO CGEM VENC7 D</v>
          </cell>
        </row>
        <row r="31567">
          <cell r="B31567" t="str">
            <v>81095209010002</v>
          </cell>
          <cell r="C31567" t="str">
            <v>LPC IMPULSO MYPERU MEDIANO PLAZO VEN CGE7 D</v>
          </cell>
        </row>
        <row r="31568">
          <cell r="B31568" t="str">
            <v>81095209010003</v>
          </cell>
          <cell r="C31568" t="str">
            <v>JCC BC PRE JUD CAP IMPULSO MYPERU PRE-HO7 D</v>
          </cell>
        </row>
        <row r="31569">
          <cell r="B31569" t="str">
            <v>81095209010004</v>
          </cell>
          <cell r="C31569" t="str">
            <v>MYP CTRA CTA IMPULSO MYPERU CGEM VEN    7 D</v>
          </cell>
        </row>
        <row r="31570">
          <cell r="B31570" t="str">
            <v>81095209020001</v>
          </cell>
          <cell r="C31570" t="str">
            <v>JCC MP PRE JUD CAP IMPULSO MYPERU IBK CG7 D</v>
          </cell>
        </row>
        <row r="31571">
          <cell r="B31571" t="str">
            <v>81095209020002</v>
          </cell>
          <cell r="C31571" t="str">
            <v>JCC CART.508 PRE JUD CAP IMPULSO MYPERU 7 D</v>
          </cell>
        </row>
        <row r="31572">
          <cell r="B31572" t="str">
            <v>81095209020003</v>
          </cell>
          <cell r="C31572" t="str">
            <v>JCC MP PRE JUD IMPLUSO MYPERU HONRADO IB7 D</v>
          </cell>
        </row>
        <row r="31573">
          <cell r="B31573" t="str">
            <v>81095209020004</v>
          </cell>
          <cell r="C31573" t="str">
            <v>JCC BC PRE JUD IMPULSO MYPERU HONRADO CO7 D</v>
          </cell>
        </row>
        <row r="31574">
          <cell r="B31574" t="str">
            <v>81095210010001</v>
          </cell>
          <cell r="C31574" t="str">
            <v>LPC IMPULSO MYPERU CORTO PLAZO CCOR VENC7 D</v>
          </cell>
        </row>
        <row r="31575">
          <cell r="B31575" t="str">
            <v>81095210010002</v>
          </cell>
          <cell r="C31575" t="str">
            <v>LPC IMPULSO MYPERU MEDIANO PLAZO VEN CCO7 D</v>
          </cell>
        </row>
        <row r="31576">
          <cell r="B31576" t="str">
            <v>81095210010003</v>
          </cell>
          <cell r="C31576" t="str">
            <v>JCC BC PRE JUD CAP IMPULSO MYPERU PRE-HO7 D</v>
          </cell>
        </row>
        <row r="31577">
          <cell r="B31577" t="str">
            <v>81095210020001</v>
          </cell>
          <cell r="C31577" t="str">
            <v>JCC BC PRE JUD IMPULSO MYPERU HONRADO IB7 D</v>
          </cell>
        </row>
        <row r="31578">
          <cell r="B31578" t="str">
            <v>81095210020002</v>
          </cell>
          <cell r="C31578" t="str">
            <v>JCC BC PRE JUD IMPLUSO MYPERU HONRADO CO7 D</v>
          </cell>
        </row>
        <row r="31579">
          <cell r="B31579" t="str">
            <v>81095211010001</v>
          </cell>
          <cell r="C31579" t="str">
            <v>MYP CTRA CTA IMPULSO MYPERU CMIE INT    7 D</v>
          </cell>
        </row>
        <row r="31580">
          <cell r="B31580" t="str">
            <v>81095211010002</v>
          </cell>
          <cell r="C31580" t="str">
            <v>MYP CTRA CTA IMPULSO MYPERU CMIE INT    7 D</v>
          </cell>
        </row>
        <row r="31581">
          <cell r="B31581" t="str">
            <v>81095211010004</v>
          </cell>
          <cell r="C31581" t="str">
            <v>LPC INT VIG IMPULSO MYPERU CORTO PLAZO C7 D</v>
          </cell>
        </row>
        <row r="31582">
          <cell r="B31582" t="str">
            <v>81095211010005</v>
          </cell>
          <cell r="C31582" t="str">
            <v>LPC INT VIG IMPULSO MYPERU MEDIANO PLAZO7 D</v>
          </cell>
        </row>
        <row r="31583">
          <cell r="B31583" t="str">
            <v>81095211010006</v>
          </cell>
          <cell r="C31583" t="str">
            <v>JCC BC INT.SUSP IMPULSO MYPERU PRE-HONRA7 D</v>
          </cell>
        </row>
        <row r="31584">
          <cell r="B31584" t="str">
            <v>81095211010007</v>
          </cell>
          <cell r="C31584" t="str">
            <v>MYP CAP TRAB IMPULSO IBK SG INT VIG N/DP7 D</v>
          </cell>
        </row>
        <row r="31585">
          <cell r="B31585" t="str">
            <v>81095211010008</v>
          </cell>
          <cell r="C31585" t="str">
            <v>MYP CAP TRAB IMPULSO IBK SG INT VEN N/DP7 D</v>
          </cell>
        </row>
        <row r="31586">
          <cell r="B31586" t="str">
            <v>81095211020001</v>
          </cell>
          <cell r="C31586" t="str">
            <v>JCC MP INT.SUSP IMPULSO MYPERU IBK CMIE 7 D</v>
          </cell>
        </row>
        <row r="31587">
          <cell r="B31587" t="str">
            <v>81095211020002</v>
          </cell>
          <cell r="C31587" t="str">
            <v>JCC CART.508 INT.SUSP IMPULSO MYPERU IBK7 D</v>
          </cell>
        </row>
        <row r="31588">
          <cell r="B31588" t="str">
            <v>81095211020003</v>
          </cell>
          <cell r="C31588" t="str">
            <v>JCC MP INT IMPLUSO MYPERU HONRADO IBK   7 D</v>
          </cell>
        </row>
        <row r="31589">
          <cell r="B31589" t="str">
            <v>81095211020004</v>
          </cell>
          <cell r="C31589" t="str">
            <v>JCC BC INT IMPULSO MYPERU HONRADO COFIDE7 D</v>
          </cell>
        </row>
        <row r="31590">
          <cell r="B31590" t="str">
            <v>81095212010001</v>
          </cell>
          <cell r="C31590" t="str">
            <v>MYP CTRA CTA IMPULSO MYPERU CPEM INT    7 D</v>
          </cell>
        </row>
        <row r="31591">
          <cell r="B31591" t="str">
            <v>81095212010002</v>
          </cell>
          <cell r="C31591" t="str">
            <v>MYP CTRA CTA IMPULSO MYPERU CPEM INT    7 D</v>
          </cell>
        </row>
        <row r="31592">
          <cell r="B31592" t="str">
            <v>81095212010004</v>
          </cell>
          <cell r="C31592" t="str">
            <v>LPC INT VIG IMPULSO MYPERU CORTO PLAZO C7 D</v>
          </cell>
        </row>
        <row r="31593">
          <cell r="B31593" t="str">
            <v>81095212010005</v>
          </cell>
          <cell r="C31593" t="str">
            <v>LPC INT VIG IMPULSO MYPERU MEDIANO PLAZO7 D</v>
          </cell>
        </row>
        <row r="31594">
          <cell r="B31594" t="str">
            <v>81095212010006</v>
          </cell>
          <cell r="C31594" t="str">
            <v>JCC BC INT.SUSP IMPULSO MYPERU PRE-HONRA7 D</v>
          </cell>
        </row>
        <row r="31595">
          <cell r="B31595" t="str">
            <v>81095212010007</v>
          </cell>
          <cell r="C31595" t="str">
            <v>MYP CAP TRAB IMPULSO IBK SG INT VIG N/DP7 D</v>
          </cell>
        </row>
        <row r="31596">
          <cell r="B31596" t="str">
            <v>81095212010008</v>
          </cell>
          <cell r="C31596" t="str">
            <v>MYP CAP TRAB IMPULSO IBK SG INT VEN N/DP7 D</v>
          </cell>
        </row>
        <row r="31597">
          <cell r="B31597" t="str">
            <v>81095212020001</v>
          </cell>
          <cell r="C31597" t="str">
            <v>JCC MP INT.SUSP IMPULSO MYPERU IBK CPEM 7 D</v>
          </cell>
        </row>
        <row r="31598">
          <cell r="B31598" t="str">
            <v>81095212020002</v>
          </cell>
          <cell r="C31598" t="str">
            <v>JCC CART.508 INT.SUSP IMPULSO MYPERU IBK7 D</v>
          </cell>
        </row>
        <row r="31599">
          <cell r="B31599" t="str">
            <v>81095212020003</v>
          </cell>
          <cell r="C31599" t="str">
            <v>JCC MP INT IMPLUSO MYPERU HONRADO IBK   7 D</v>
          </cell>
        </row>
        <row r="31600">
          <cell r="B31600" t="str">
            <v>81095212020004</v>
          </cell>
          <cell r="C31600" t="str">
            <v>JCC BC INT IMPULSO MYPERU HONRADO COFIDE7 D</v>
          </cell>
        </row>
        <row r="31601">
          <cell r="B31601" t="str">
            <v>81095213010001</v>
          </cell>
          <cell r="C31601" t="str">
            <v>MYP CTRA CTA IMPULSO MYPERU CMED INT    7 D</v>
          </cell>
        </row>
        <row r="31602">
          <cell r="B31602" t="str">
            <v>81095213010002</v>
          </cell>
          <cell r="C31602" t="str">
            <v>MYP CTRA CTA IMPULSO MYPERU CMED IN     7 D</v>
          </cell>
        </row>
        <row r="31603">
          <cell r="B31603" t="str">
            <v>81095213010003</v>
          </cell>
          <cell r="C31603" t="str">
            <v>LPC INT VIG IMPULSO MYPERU CORTO PLAZO C7 D</v>
          </cell>
        </row>
        <row r="31604">
          <cell r="B31604" t="str">
            <v>81095213010004</v>
          </cell>
          <cell r="C31604" t="str">
            <v>LPC INT VIG IMPULSO MYPERU MEDIANO PLAZO7 D</v>
          </cell>
        </row>
        <row r="31605">
          <cell r="B31605" t="str">
            <v>81095213010005</v>
          </cell>
          <cell r="C31605" t="str">
            <v>JCC BC INT.SUSP IMPULSO MYPERU PRE-HONRA7 D</v>
          </cell>
        </row>
        <row r="31606">
          <cell r="B31606" t="str">
            <v>81095213010006</v>
          </cell>
          <cell r="C31606" t="str">
            <v>MYP CAP TRAB IMPULSO IBK SG INT VIG N/DP7 D</v>
          </cell>
        </row>
        <row r="31607">
          <cell r="B31607" t="str">
            <v>81095213010007</v>
          </cell>
          <cell r="C31607" t="str">
            <v>MYP CAP TRAB IMPULSO IBK SG INT VEN N/DP7 D</v>
          </cell>
        </row>
        <row r="31608">
          <cell r="B31608" t="str">
            <v>81095213020001</v>
          </cell>
          <cell r="C31608" t="str">
            <v>JCC MP INT.SUSP IMPULSO MYPERU IBK CMED 7 D</v>
          </cell>
        </row>
        <row r="31609">
          <cell r="B31609" t="str">
            <v>81095213020002</v>
          </cell>
          <cell r="C31609" t="str">
            <v>JCC CART.508 INT.SUSP IMPULSO MYPERU IBK7 D</v>
          </cell>
        </row>
        <row r="31610">
          <cell r="B31610" t="str">
            <v>81095213020003</v>
          </cell>
          <cell r="C31610" t="str">
            <v>JCC MP INT IMPLUSO MYPERU HONRADO IBK   7 D</v>
          </cell>
        </row>
        <row r="31611">
          <cell r="B31611" t="str">
            <v>81095213020004</v>
          </cell>
          <cell r="C31611" t="str">
            <v>JCC BC INT IMPULSO MYPERU HONRADO COFIDE7 D</v>
          </cell>
        </row>
        <row r="31612">
          <cell r="B31612" t="str">
            <v>81095214010001</v>
          </cell>
          <cell r="C31612" t="str">
            <v>LPC INT VIG IMPULSO MYPERU CORTO PLAZO C7 D</v>
          </cell>
        </row>
        <row r="31613">
          <cell r="B31613" t="str">
            <v>81095214010002</v>
          </cell>
          <cell r="C31613" t="str">
            <v>LPC INT VIG IMPULSO MYPERU MEDIANO PLAZO7 D</v>
          </cell>
        </row>
        <row r="31614">
          <cell r="B31614" t="str">
            <v>81095214010003</v>
          </cell>
          <cell r="C31614" t="str">
            <v>JCC BC INT.SUSP IMPULSO MYPERU PRE-HONRA7 D</v>
          </cell>
        </row>
        <row r="31615">
          <cell r="B31615" t="str">
            <v>81095214010004</v>
          </cell>
          <cell r="C31615" t="str">
            <v>MYP CTRA CTA IMPULSO MYPERU CGEM INT    7 D</v>
          </cell>
        </row>
        <row r="31616">
          <cell r="B31616" t="str">
            <v>81095214010005</v>
          </cell>
          <cell r="C31616" t="str">
            <v>MYP CTRA CTA IMPULSO MYPERU CGEM INT    7 D</v>
          </cell>
        </row>
        <row r="31617">
          <cell r="B31617" t="str">
            <v>81095214020001</v>
          </cell>
          <cell r="C31617" t="str">
            <v>JCC MP INT.SUSP IMPULSO MYPERU IBK CGEM 7 D</v>
          </cell>
        </row>
        <row r="31618">
          <cell r="B31618" t="str">
            <v>81095214020002</v>
          </cell>
          <cell r="C31618" t="str">
            <v>JCC CART.508 INT.SUSP IMPULSO MYPERU IBK7 D</v>
          </cell>
        </row>
        <row r="31619">
          <cell r="B31619" t="str">
            <v>81095214020003</v>
          </cell>
          <cell r="C31619" t="str">
            <v>JCC MP INT IMPLUSO MYPERU HONRADO IBK   7 D</v>
          </cell>
        </row>
        <row r="31620">
          <cell r="B31620" t="str">
            <v>81095214020004</v>
          </cell>
          <cell r="C31620" t="str">
            <v>JCC BC INT IMPULSO MYPERU HONRADO COFIDE7 D</v>
          </cell>
        </row>
        <row r="31621">
          <cell r="B31621" t="str">
            <v>81095215010001</v>
          </cell>
          <cell r="C31621" t="str">
            <v>LPC INT VIG IMPULSO MYPERU CORTO PLAZO C7 D</v>
          </cell>
        </row>
        <row r="31622">
          <cell r="B31622" t="str">
            <v>81095215010002</v>
          </cell>
          <cell r="C31622" t="str">
            <v>LPC INT VIG IMPULSO MYPERU MEDIANO PLAZO7 D</v>
          </cell>
        </row>
        <row r="31623">
          <cell r="B31623" t="str">
            <v>81095215010003</v>
          </cell>
          <cell r="C31623" t="str">
            <v>JCC BC INT.SUSP IMPULSO MYPERU PRE-HONRA7 D</v>
          </cell>
        </row>
        <row r="31624">
          <cell r="B31624" t="str">
            <v>81095215020001</v>
          </cell>
          <cell r="C31624" t="str">
            <v>JCC BC INT IMPULSO MYPERU HONRADO IBK CC7 D</v>
          </cell>
        </row>
        <row r="31625">
          <cell r="B31625" t="str">
            <v>81095216010001</v>
          </cell>
          <cell r="C31625" t="str">
            <v>JCC BC COB JUD CAP IMPULSO MYPERU PRE-HO7 D</v>
          </cell>
        </row>
        <row r="31626">
          <cell r="B31626" t="str">
            <v>81095216020001</v>
          </cell>
          <cell r="C31626" t="str">
            <v>JCC MP COB JUD CAP IMPULSO MYPERU IBK CM7 D</v>
          </cell>
        </row>
        <row r="31627">
          <cell r="B31627" t="str">
            <v>81095216020002</v>
          </cell>
          <cell r="C31627" t="str">
            <v>JCC CART.508 COB JUD CAP IMPULSO MYPERU 7 D</v>
          </cell>
        </row>
        <row r="31628">
          <cell r="B31628" t="str">
            <v>81095216020003</v>
          </cell>
          <cell r="C31628" t="str">
            <v>JCC MP COB JUD IMPLUSO MYPERU HONRADO IB7 D</v>
          </cell>
        </row>
        <row r="31629">
          <cell r="B31629" t="str">
            <v>81095216020004</v>
          </cell>
          <cell r="C31629" t="str">
            <v>JCC BC COB JUD IMPULSO MYPERU HONRADO CO7 D</v>
          </cell>
        </row>
        <row r="31630">
          <cell r="B31630" t="str">
            <v>81095217010001</v>
          </cell>
          <cell r="C31630" t="str">
            <v>JCC BC COB JUD CAP IMPULSO MYPERU PRE-HO7 D</v>
          </cell>
        </row>
        <row r="31631">
          <cell r="B31631" t="str">
            <v>81095217020001</v>
          </cell>
          <cell r="C31631" t="str">
            <v>JCC MP COB JUD CAP IMPULSO MYPERU IBK CP7 D</v>
          </cell>
        </row>
        <row r="31632">
          <cell r="B31632" t="str">
            <v>81095217020002</v>
          </cell>
          <cell r="C31632" t="str">
            <v>JCC CART.508 COB JUD CAP IMPULSO MYPERU 7 D</v>
          </cell>
        </row>
        <row r="31633">
          <cell r="B31633" t="str">
            <v>81095217020003</v>
          </cell>
          <cell r="C31633" t="str">
            <v>JCC MP COB JUD IMPLUSO MYPERU HONRADO IB7 D</v>
          </cell>
        </row>
        <row r="31634">
          <cell r="B31634" t="str">
            <v>81095217020004</v>
          </cell>
          <cell r="C31634" t="str">
            <v>JCC BC COB JUD IMPULSO MYPERU HONRADO CO7 D</v>
          </cell>
        </row>
        <row r="31635">
          <cell r="B31635" t="str">
            <v>81095218010001</v>
          </cell>
          <cell r="C31635" t="str">
            <v>JCC BC COB JUD CAP IMPULSO MYPERU PRE-HO7 D</v>
          </cell>
        </row>
        <row r="31636">
          <cell r="B31636" t="str">
            <v>81095218020001</v>
          </cell>
          <cell r="C31636" t="str">
            <v>JCC MP COB JUD CAP IMPULSO MYPERU IBK CM7 D</v>
          </cell>
        </row>
        <row r="31637">
          <cell r="B31637" t="str">
            <v>81095218020002</v>
          </cell>
          <cell r="C31637" t="str">
            <v>JCC CART.508 COB JUD CAP IMPULSO MYPERU 7 D</v>
          </cell>
        </row>
        <row r="31638">
          <cell r="B31638" t="str">
            <v>81095218020003</v>
          </cell>
          <cell r="C31638" t="str">
            <v>JCC MP COB JUD IMPLUSO MYPERU HONRADO IB7 D</v>
          </cell>
        </row>
        <row r="31639">
          <cell r="B31639" t="str">
            <v>81095218020004</v>
          </cell>
          <cell r="C31639" t="str">
            <v>JCC BC COB JUD IMPULSO MYPERU HONRADO CO7 D</v>
          </cell>
        </row>
        <row r="31640">
          <cell r="B31640" t="str">
            <v>81095219010001</v>
          </cell>
          <cell r="C31640" t="str">
            <v>JCC BC COB JUD CAP IMPULSO MYPERU PRE-HO7 D</v>
          </cell>
        </row>
        <row r="31641">
          <cell r="B31641" t="str">
            <v>81095219020001</v>
          </cell>
          <cell r="C31641" t="str">
            <v>JCC MP COB JUD CAP IMPULSO MYPERU IBK CG7 D</v>
          </cell>
        </row>
        <row r="31642">
          <cell r="B31642" t="str">
            <v>81095219020002</v>
          </cell>
          <cell r="C31642" t="str">
            <v>JCC CART.508 COB JUD CAP IMPULSO MYPERU 7 D</v>
          </cell>
        </row>
        <row r="31643">
          <cell r="B31643" t="str">
            <v>81095219020003</v>
          </cell>
          <cell r="C31643" t="str">
            <v>JCC MP COB JUD IMPLUSO MYPERU HONRADO IB7 D</v>
          </cell>
        </row>
        <row r="31644">
          <cell r="B31644" t="str">
            <v>81095219020004</v>
          </cell>
          <cell r="C31644" t="str">
            <v>JCC BC COB JUD IMPULSO MYPERU HONRADO CO7 D</v>
          </cell>
        </row>
        <row r="31645">
          <cell r="B31645" t="str">
            <v>81095220010001</v>
          </cell>
          <cell r="C31645" t="str">
            <v>JCC BC COB JUD CAP IMPULSO MYPERU PRE-HO7 D</v>
          </cell>
        </row>
        <row r="31646">
          <cell r="B31646" t="str">
            <v>81095220020001</v>
          </cell>
          <cell r="C31646" t="str">
            <v>JCC BC COB JUD IMPULSO MYPERU HONRADO IB7 D</v>
          </cell>
        </row>
        <row r="31647">
          <cell r="B31647" t="str">
            <v>81095220020002</v>
          </cell>
          <cell r="C31647" t="str">
            <v>JCC BC COB JUD IMPLUSO MYPERU HONRADO CO7 D</v>
          </cell>
        </row>
        <row r="31648">
          <cell r="B31648" t="str">
            <v>81095401010102</v>
          </cell>
          <cell r="C31648" t="str">
            <v>HPC REPROG CP VIG EECN_2023 CAP DESASTRE7ND</v>
          </cell>
        </row>
        <row r="31649">
          <cell r="B31649" t="str">
            <v>81095401010103</v>
          </cell>
          <cell r="C31649" t="str">
            <v>HPC REPROG CV VIG EECN_2023 CAP DESASTRE7ND</v>
          </cell>
        </row>
        <row r="31650">
          <cell r="B31650" t="str">
            <v>81095401020102</v>
          </cell>
          <cell r="C31650" t="str">
            <v>HPC REPROG CP VIG EECN_2023 INT DESASTRE7ND</v>
          </cell>
        </row>
        <row r="31651">
          <cell r="B31651" t="str">
            <v>81095401020103</v>
          </cell>
          <cell r="C31651" t="str">
            <v>HPC REPROG CV VIG EECN_2023 INT DESASTRE7ND</v>
          </cell>
        </row>
        <row r="31652">
          <cell r="B31652" t="str">
            <v>81095409010106</v>
          </cell>
          <cell r="C31652" t="str">
            <v>HPC REPROG CP VEN EECN_2023 CAP DESASTRE7ND</v>
          </cell>
        </row>
        <row r="31653">
          <cell r="B31653" t="str">
            <v>81095409010107</v>
          </cell>
          <cell r="C31653" t="str">
            <v>HPC REPROG CV VEN EECN_2023 CAP DESASTRE7ND</v>
          </cell>
        </row>
        <row r="31654">
          <cell r="B31654" t="str">
            <v>81095409020106</v>
          </cell>
          <cell r="C31654" t="str">
            <v>HPC REPROG CP VEN EECN_2023 INT DESASTRE7ND</v>
          </cell>
        </row>
        <row r="31655">
          <cell r="B31655" t="str">
            <v>81095409020107</v>
          </cell>
          <cell r="C31655" t="str">
            <v>HPC REPROG CV VEN EECN_2023 INT DESASTRE7ND</v>
          </cell>
        </row>
        <row r="31656">
          <cell r="B31656" t="str">
            <v>81095415010001</v>
          </cell>
          <cell r="C31656" t="str">
            <v>MYP REPROG CAPITAL PJ EECN 2023 CMIE    7ND</v>
          </cell>
        </row>
        <row r="31657">
          <cell r="B31657" t="str">
            <v>81095415020001</v>
          </cell>
          <cell r="C31657" t="str">
            <v>MYP REPROG INTERESES PJ EECN 2023 CMIE  7ND</v>
          </cell>
        </row>
        <row r="31658">
          <cell r="B31658" t="str">
            <v>81095416010001</v>
          </cell>
          <cell r="C31658" t="str">
            <v>MYP REPROG CAPITAL EECN 2023 CPEM       7ND</v>
          </cell>
        </row>
        <row r="31659">
          <cell r="B31659" t="str">
            <v>81095416020001</v>
          </cell>
          <cell r="C31659" t="str">
            <v>MYP REPROG INTERESES EECN 2023 CPEM     7ND</v>
          </cell>
        </row>
        <row r="31660">
          <cell r="B31660" t="str">
            <v>82000000000101</v>
          </cell>
          <cell r="C31660" t="str">
            <v>CTRA CTA VAL Y BS PROP EN CUSTODIA      7NC</v>
          </cell>
        </row>
        <row r="31661">
          <cell r="B31661" t="str">
            <v>82000000000102</v>
          </cell>
          <cell r="C31661" t="str">
            <v>LPC CTRA CTA INT PAG REPROGRAMADO D/P   7NC</v>
          </cell>
        </row>
        <row r="31662">
          <cell r="B31662" t="str">
            <v>82000000000103</v>
          </cell>
          <cell r="C31662" t="str">
            <v>LPC CTRA.CTA INTXCOB PAG REPROGRAMADO NO7NC</v>
          </cell>
        </row>
        <row r="31663">
          <cell r="B31663" t="str">
            <v>82000000000104</v>
          </cell>
          <cell r="C31663" t="str">
            <v>LPC CTRA.CTA. INTXCOB PAG REPROGRAMADO  7NC</v>
          </cell>
        </row>
        <row r="31664">
          <cell r="B31664" t="str">
            <v>82000000000105</v>
          </cell>
          <cell r="C31664" t="str">
            <v>LPC CTRA CTA INT PAG REPROGRAMADO D/P   7NC</v>
          </cell>
        </row>
        <row r="31665">
          <cell r="B31665" t="str">
            <v>82000000000106</v>
          </cell>
          <cell r="C31665" t="str">
            <v>LPC CTRA.CTA INTXCOB PAG REPROGRAMADO NO7NC</v>
          </cell>
        </row>
        <row r="31666">
          <cell r="B31666" t="str">
            <v>82000000000107</v>
          </cell>
          <cell r="C31666" t="str">
            <v>LPC CTRA.CTA. INTXCOB PAG REPROGRAMADO  7NC</v>
          </cell>
        </row>
        <row r="31667">
          <cell r="B31667" t="str">
            <v>82000000000108</v>
          </cell>
          <cell r="C31667" t="str">
            <v>LPC CTRA CTA INT PAG REPROGRAMADO D/P   7NC</v>
          </cell>
        </row>
        <row r="31668">
          <cell r="B31668" t="str">
            <v>82000000000109</v>
          </cell>
          <cell r="C31668" t="str">
            <v>LPC CTRA.CTA INTXCOB PAG REPROGRAMADO NO7NC</v>
          </cell>
        </row>
        <row r="31669">
          <cell r="B31669" t="str">
            <v>82000000000110</v>
          </cell>
          <cell r="C31669" t="str">
            <v>LPC CTRA.CTA. INTXCOB PAG REPROGRAMADO  7NC</v>
          </cell>
        </row>
        <row r="31670">
          <cell r="B31670" t="str">
            <v>82000000000111</v>
          </cell>
          <cell r="C31670" t="str">
            <v>LPC CTRA CTA INT PAG REPROGRAMADO D/P   7NC</v>
          </cell>
        </row>
        <row r="31671">
          <cell r="B31671" t="str">
            <v>82000000000112</v>
          </cell>
          <cell r="C31671" t="str">
            <v>LPC CTRA.CTA INTXCOB PAG REPROGRAMADO NO7NC</v>
          </cell>
        </row>
        <row r="31672">
          <cell r="B31672" t="str">
            <v>82000000000113</v>
          </cell>
          <cell r="C31672" t="str">
            <v>LPC CTRA.CTA. INTXCOB PAG REPROGRAMADO  7NC</v>
          </cell>
        </row>
        <row r="31673">
          <cell r="B31673" t="str">
            <v>82000000000114</v>
          </cell>
          <cell r="C31673" t="str">
            <v>LPC CTRA CTA INT PAG REPROGRAMADO D/P   7NC</v>
          </cell>
        </row>
        <row r="31674">
          <cell r="B31674" t="str">
            <v>82000000000115</v>
          </cell>
          <cell r="C31674" t="str">
            <v>LPC CTRA.CTA INTXCOB PAG REPROGRAMADO NO7NC</v>
          </cell>
        </row>
        <row r="31675">
          <cell r="B31675" t="str">
            <v>82000000000116</v>
          </cell>
          <cell r="C31675" t="str">
            <v>LPC CTRA.CTA. INTXCOB PAG REPROGRAMADO  7NC</v>
          </cell>
        </row>
        <row r="31676">
          <cell r="B31676" t="str">
            <v>82000000000117</v>
          </cell>
          <cell r="C31676" t="str">
            <v>LPC C.CTA. CRED REPROG CARTERA NO MINORI7NC</v>
          </cell>
        </row>
        <row r="31677">
          <cell r="B31677" t="str">
            <v>82000000000201</v>
          </cell>
          <cell r="C31677" t="str">
            <v>FACT INTER IMPORT CTRA. CTA  COMP.VIG. C7NC</v>
          </cell>
        </row>
        <row r="31678">
          <cell r="B31678" t="str">
            <v>82000000000202</v>
          </cell>
          <cell r="C31678" t="str">
            <v>FACT INTER IMPORT CTRA. CTA  COMP.VENC. 7NC</v>
          </cell>
        </row>
        <row r="31679">
          <cell r="B31679" t="str">
            <v>82000000000203</v>
          </cell>
          <cell r="C31679" t="str">
            <v>FACT INTER IMPORT CTRA. CTA  COMP.VIG. C7NC</v>
          </cell>
        </row>
        <row r="31680">
          <cell r="B31680" t="str">
            <v>82000000000204</v>
          </cell>
          <cell r="C31680" t="str">
            <v>FACT INTER IMPORT CTRA. CTA  COMP.VENC. 7NC</v>
          </cell>
        </row>
        <row r="31681">
          <cell r="B31681" t="str">
            <v>82000000000205</v>
          </cell>
          <cell r="C31681" t="str">
            <v>FACT INTER IMPORT CTRA. CTA  COMP.VIG. C7NC</v>
          </cell>
        </row>
        <row r="31682">
          <cell r="B31682" t="str">
            <v>82000000000206</v>
          </cell>
          <cell r="C31682" t="str">
            <v>FACT INTER IMPORT CTRA. CTA  COMP.VENC. 7NC</v>
          </cell>
        </row>
        <row r="31683">
          <cell r="B31683" t="str">
            <v>82000000000207</v>
          </cell>
          <cell r="C31683" t="str">
            <v>FACT INTER IMPORT CTRA. CTA  COMP.VIG. C7NC</v>
          </cell>
        </row>
        <row r="31684">
          <cell r="B31684" t="str">
            <v>82000000000208</v>
          </cell>
          <cell r="C31684" t="str">
            <v>FACT INTER IMPORT CTRA. CTA  COMP.VENC. 7NC</v>
          </cell>
        </row>
        <row r="31685">
          <cell r="B31685" t="str">
            <v>82000000000209</v>
          </cell>
          <cell r="C31685" t="str">
            <v>FACT INTER IMPORT CTRA. CTA  COMP.VIG. C7NC</v>
          </cell>
        </row>
        <row r="31686">
          <cell r="B31686" t="str">
            <v>82000000000210</v>
          </cell>
          <cell r="C31686" t="str">
            <v>FACT INTER IMPORT CTRA. CTA  COMP.VENC. 7NC</v>
          </cell>
        </row>
        <row r="31687">
          <cell r="B31687" t="str">
            <v>82000000000211</v>
          </cell>
          <cell r="C31687" t="str">
            <v>FACT INTER IMPORT CTRA. CTA  COMP.VIG. C7NC</v>
          </cell>
        </row>
        <row r="31688">
          <cell r="B31688" t="str">
            <v>82000000000212</v>
          </cell>
          <cell r="C31688" t="str">
            <v>FACT INTER IMPORT CTRA. CTA  COMP.VENC. 7NC</v>
          </cell>
        </row>
        <row r="31689">
          <cell r="B31689" t="str">
            <v>82000000000213</v>
          </cell>
          <cell r="C31689" t="str">
            <v>FACT INTER IMPORT  CTRA. CTA  COMP.VENC.7NC</v>
          </cell>
        </row>
        <row r="31690">
          <cell r="B31690" t="str">
            <v>82000000000214</v>
          </cell>
          <cell r="C31690" t="str">
            <v>FACT INTER IMPORT  CTRA. CTA  COMP.VENC.7NC</v>
          </cell>
        </row>
        <row r="31691">
          <cell r="B31691" t="str">
            <v>82000000000215</v>
          </cell>
          <cell r="C31691" t="str">
            <v>FACT INTER IMPORT  CTRA. CTA  COMP.VENC.7NC</v>
          </cell>
        </row>
        <row r="31692">
          <cell r="B31692" t="str">
            <v>82000000000216</v>
          </cell>
          <cell r="C31692" t="str">
            <v>FACT INTER IMPORT  CTRA. CTA  COMP.VENC.7NC</v>
          </cell>
        </row>
        <row r="31693">
          <cell r="B31693" t="str">
            <v>82000000000217</v>
          </cell>
          <cell r="C31693" t="str">
            <v>FACT INTER IMPORT  CTRA. CTA  COMP.VENC.7NC</v>
          </cell>
        </row>
        <row r="31694">
          <cell r="B31694" t="str">
            <v>82000000000218</v>
          </cell>
          <cell r="C31694" t="str">
            <v>FACT INTER IMPORT  CTRA. CTA  COMP.VENC.7NC</v>
          </cell>
        </row>
        <row r="31695">
          <cell r="B31695" t="str">
            <v>82000000000302</v>
          </cell>
          <cell r="C31695" t="str">
            <v>CL CASTIGO CAPITAL CTRA CTA             7NC</v>
          </cell>
        </row>
        <row r="31696">
          <cell r="B31696" t="str">
            <v>82000000000303</v>
          </cell>
          <cell r="C31696" t="str">
            <v>CL CASTIG PRINC MYP C.TRAB COMERCIAL    7NC</v>
          </cell>
        </row>
        <row r="31697">
          <cell r="B31697" t="str">
            <v>82000000000304</v>
          </cell>
          <cell r="C31697" t="str">
            <v>CL CASTIG PRINC MYP A.F. INMB. COMER    7NC</v>
          </cell>
        </row>
        <row r="31698">
          <cell r="B31698" t="str">
            <v>82000000000305</v>
          </cell>
          <cell r="C31698" t="str">
            <v>CL CASTIG PRINC MYP A.F. INMB. MES      7NC</v>
          </cell>
        </row>
        <row r="31699">
          <cell r="B31699" t="str">
            <v>82000000000306</v>
          </cell>
          <cell r="C31699" t="str">
            <v>CL CASTIG PRINC MYP A.F. MUEBLE. COM    7NC</v>
          </cell>
        </row>
        <row r="31700">
          <cell r="B31700" t="str">
            <v>82000000000307</v>
          </cell>
          <cell r="C31700" t="str">
            <v>CL CASTIG PRINC MYP A.F. MUEBLE. MES    7NC</v>
          </cell>
        </row>
        <row r="31701">
          <cell r="B31701" t="str">
            <v>82000000000308</v>
          </cell>
          <cell r="C31701" t="str">
            <v>CL CASTIG PRINC MYP ESTAC. COMERCIA     7NC</v>
          </cell>
        </row>
        <row r="31702">
          <cell r="B31702" t="str">
            <v>82000000000309</v>
          </cell>
          <cell r="C31702" t="str">
            <v>CL CASTIG PRINC MYP ESTAC.MES           7NC</v>
          </cell>
        </row>
        <row r="31703">
          <cell r="B31703" t="str">
            <v>82000000000310</v>
          </cell>
          <cell r="C31703" t="str">
            <v>CL CASTIG PRINC MYP A.F. CYBER. COME    7NC</v>
          </cell>
        </row>
        <row r="31704">
          <cell r="B31704" t="str">
            <v>82000000000311</v>
          </cell>
          <cell r="C31704" t="str">
            <v>CL CASTIG PRINC MYP A.F. CYBER. MES     7NC</v>
          </cell>
        </row>
        <row r="31705">
          <cell r="B31705" t="str">
            <v>82000000000404</v>
          </cell>
          <cell r="C31705" t="str">
            <v>CL LETRA DSCTO.REFINA.INT.SUS           7NC</v>
          </cell>
        </row>
        <row r="31706">
          <cell r="B31706" t="str">
            <v>82000000000405</v>
          </cell>
          <cell r="C31706" t="str">
            <v>CL PAG.FOPE SUBOR.REFIN.INT.SUS         7NC</v>
          </cell>
        </row>
        <row r="31707">
          <cell r="B31707" t="str">
            <v>82000000000406</v>
          </cell>
          <cell r="C31707" t="str">
            <v>CTRA CTA CRED REF EN SUSPENSO CONSUMO   7NC</v>
          </cell>
        </row>
        <row r="31708">
          <cell r="B31708" t="str">
            <v>82000000000408</v>
          </cell>
          <cell r="C31708" t="str">
            <v>CL P.T.VENCIDA COFIDE INT.SUSP          7NC</v>
          </cell>
        </row>
        <row r="31709">
          <cell r="B31709" t="str">
            <v>82000000000410</v>
          </cell>
          <cell r="C31709" t="str">
            <v>CL PAG.T.DSCTA.REFINAN.INT.SUS          7NC</v>
          </cell>
        </row>
        <row r="31710">
          <cell r="B31710" t="str">
            <v>82000000000411</v>
          </cell>
          <cell r="C31710" t="str">
            <v>CL P.CONS.DEUDA BCO.REFIN.SUS           7NC</v>
          </cell>
        </row>
        <row r="31711">
          <cell r="B31711" t="str">
            <v>82000000000412</v>
          </cell>
          <cell r="C31711" t="str">
            <v>CL P.EXP PRE EMB REFINA.INT.SUS         7NC</v>
          </cell>
        </row>
        <row r="31712">
          <cell r="B31712" t="str">
            <v>82000000000413</v>
          </cell>
          <cell r="C31712" t="str">
            <v>CL P.IMPORT RP REFINAN.INT.SUS          7NC</v>
          </cell>
        </row>
        <row r="31713">
          <cell r="B31713" t="str">
            <v>82000000000417</v>
          </cell>
          <cell r="C31713" t="str">
            <v>CL PAG.TASA VENCIDA INT.SUSP            7NC</v>
          </cell>
        </row>
        <row r="31714">
          <cell r="B31714" t="str">
            <v>82000000000418</v>
          </cell>
          <cell r="C31714" t="str">
            <v>PR FACTORING FACTU.INT.COMP             7NC</v>
          </cell>
        </row>
        <row r="31715">
          <cell r="B31715" t="str">
            <v>82000000000419</v>
          </cell>
          <cell r="C31715" t="str">
            <v>CL PAG.TASA DSCTA.INT.X SUS             7NC</v>
          </cell>
        </row>
        <row r="31716">
          <cell r="B31716" t="str">
            <v>82000000000420</v>
          </cell>
          <cell r="C31716" t="str">
            <v>CTRA CTA SOBREG VENC.EN SUSP OTRAS PJ   7NC</v>
          </cell>
        </row>
        <row r="31717">
          <cell r="B31717" t="str">
            <v>82000000000421</v>
          </cell>
          <cell r="C31717" t="str">
            <v>PR LETR./FACT.DSCTO.INT.SUS             7NC</v>
          </cell>
        </row>
        <row r="31718">
          <cell r="B31718" t="str">
            <v>82000000000422</v>
          </cell>
          <cell r="C31718" t="str">
            <v>CL P. EXP.PRE EM.RP INT.SUS             7NC</v>
          </cell>
        </row>
        <row r="31719">
          <cell r="B31719" t="str">
            <v>82000000000423</v>
          </cell>
          <cell r="C31719" t="str">
            <v>PR LET.FACTOR.SUSP.COMP.VEN             7NC</v>
          </cell>
        </row>
        <row r="31720">
          <cell r="B31720" t="str">
            <v>82000000000424</v>
          </cell>
          <cell r="C31720" t="str">
            <v>CTRA CTA CRED VENC EN SUSP ARREND FINAN 7NC</v>
          </cell>
        </row>
        <row r="31721">
          <cell r="B31721" t="str">
            <v>82000000000425</v>
          </cell>
          <cell r="C31721" t="str">
            <v>CL CXL AVAL ACEPT.BKT INT.SUSP .        7NC</v>
          </cell>
        </row>
        <row r="31722">
          <cell r="B31722" t="str">
            <v>82000000000426</v>
          </cell>
          <cell r="C31722" t="str">
            <v>CTRA CTA SOB VENC.SUS - PN Y PJ S/F LUCR7NC</v>
          </cell>
        </row>
        <row r="31723">
          <cell r="B31723" t="str">
            <v>82000000000427</v>
          </cell>
          <cell r="C31723" t="str">
            <v>CTAR CTA CRED VENC EN SUSP-PREST PERSONA7NC</v>
          </cell>
        </row>
        <row r="31724">
          <cell r="B31724" t="str">
            <v>82000000000430</v>
          </cell>
          <cell r="C31724" t="str">
            <v>CTRA CTA INT VENC TC -COMERCIAL         7NC</v>
          </cell>
        </row>
        <row r="31725">
          <cell r="B31725" t="str">
            <v>82000000000434</v>
          </cell>
          <cell r="C31725" t="str">
            <v>IC CCTA INT VENC SUSP HIPOTECAR         7NC</v>
          </cell>
        </row>
        <row r="31726">
          <cell r="B31726" t="str">
            <v>82000000000437</v>
          </cell>
          <cell r="C31726" t="str">
            <v>IC CCTA INT VENC HIPOT BS ADJUDIC       7NC</v>
          </cell>
        </row>
        <row r="31727">
          <cell r="B31727" t="str">
            <v>82000000000439</v>
          </cell>
          <cell r="C31727" t="str">
            <v>IC CCTA INT EFECT VENC SUSPENSO         7NC</v>
          </cell>
        </row>
        <row r="31728">
          <cell r="B31728" t="str">
            <v>82000000000440</v>
          </cell>
          <cell r="C31728" t="str">
            <v>IC CCTA INT VENC SUSP CONVENIO          7NC</v>
          </cell>
        </row>
        <row r="31729">
          <cell r="B31729" t="str">
            <v>82000000000441</v>
          </cell>
          <cell r="C31729" t="str">
            <v>IC CCTA INT VENC SUSP CRED VEHIC        7NC</v>
          </cell>
        </row>
        <row r="31730">
          <cell r="B31730" t="str">
            <v>82000000000448</v>
          </cell>
          <cell r="C31730" t="str">
            <v>BL CTRA CTA SOB VENC.SUS - PN           7NC</v>
          </cell>
        </row>
        <row r="31731">
          <cell r="B31731" t="str">
            <v>82000000000449</v>
          </cell>
          <cell r="C31731" t="str">
            <v>BL CTRA CTA SOB VENC.SUS - PJ           7NC</v>
          </cell>
        </row>
        <row r="31732">
          <cell r="B31732" t="str">
            <v>82000000000450</v>
          </cell>
          <cell r="C31732" t="str">
            <v>CL COB.JUD. CRTA CTA INT.SUSP           7NC</v>
          </cell>
        </row>
        <row r="31733">
          <cell r="B31733" t="str">
            <v>82000000000460</v>
          </cell>
          <cell r="C31733" t="str">
            <v>CTRA CTA CRED REES CONSOL EN SUS CL     7NC</v>
          </cell>
        </row>
        <row r="31734">
          <cell r="B31734" t="str">
            <v>82000000000461</v>
          </cell>
          <cell r="C31734" t="str">
            <v>CL CTA.CTE.REESTRUC.INT.SUS             7NC</v>
          </cell>
        </row>
        <row r="31735">
          <cell r="B31735" t="str">
            <v>82000000000462</v>
          </cell>
          <cell r="C31735" t="str">
            <v>CL LETRA DSCTO.REEST.INT.SUS            7NC</v>
          </cell>
        </row>
        <row r="31736">
          <cell r="B31736" t="str">
            <v>82000000000463</v>
          </cell>
          <cell r="C31736" t="str">
            <v>CL PAG.T.DSCTA.REESTR.INT.SUS           7NC</v>
          </cell>
        </row>
        <row r="31737">
          <cell r="B31737" t="str">
            <v>82000000000464</v>
          </cell>
          <cell r="C31737" t="str">
            <v>CL P.TASA VEN.REEST.INT.SUS             7NC</v>
          </cell>
        </row>
        <row r="31738">
          <cell r="B31738" t="str">
            <v>82000000000465</v>
          </cell>
          <cell r="C31738" t="str">
            <v>CL P.EXP RP REESTRUCT.INT.SUS           7NC</v>
          </cell>
        </row>
        <row r="31739">
          <cell r="B31739" t="str">
            <v>82000000000466</v>
          </cell>
          <cell r="C31739" t="str">
            <v>CL P.IMPORT RP REEST.INT.SUS            7NC</v>
          </cell>
        </row>
        <row r="31740">
          <cell r="B31740" t="str">
            <v>82000000000469</v>
          </cell>
          <cell r="C31740" t="str">
            <v>CL P.LEASING REESTRUC.INT.SUS           7NC</v>
          </cell>
        </row>
        <row r="31741">
          <cell r="B31741" t="str">
            <v>82000000000470</v>
          </cell>
          <cell r="C31741" t="str">
            <v>CL C.CRED REESTR BKT INT.SUSP           7NC</v>
          </cell>
        </row>
        <row r="31742">
          <cell r="B31742" t="str">
            <v>82000000000473</v>
          </cell>
          <cell r="C31742" t="str">
            <v>COM CTA. CTE. PN Y P/J PRIV.S/F LUCRO   7NC</v>
          </cell>
        </row>
        <row r="31743">
          <cell r="B31743" t="str">
            <v>82000000000477</v>
          </cell>
          <cell r="C31743" t="str">
            <v>IC COM.GTOS ADM VENC SUSPENSO           7NC</v>
          </cell>
        </row>
        <row r="31744">
          <cell r="B31744" t="str">
            <v>82000000000478</v>
          </cell>
          <cell r="C31744" t="str">
            <v>IC CCTA COM GT AD VENC CONVENIO         7NC</v>
          </cell>
        </row>
        <row r="31745">
          <cell r="B31745" t="str">
            <v>82000000000480</v>
          </cell>
          <cell r="C31745" t="str">
            <v>IC CCTA COM GT AD REFIN SUSP-VIG        7NC</v>
          </cell>
        </row>
        <row r="31746">
          <cell r="B31746" t="str">
            <v>82000000000483</v>
          </cell>
          <cell r="C31746" t="str">
            <v>CTRA CTA OTROS CRED CONS-COMP DEUDA     7NC</v>
          </cell>
        </row>
        <row r="31747">
          <cell r="B31747" t="str">
            <v>82000000000484</v>
          </cell>
          <cell r="C31747" t="str">
            <v>COM CTA. CTE. OTRAS PJ                  7NC</v>
          </cell>
        </row>
        <row r="31748">
          <cell r="B31748" t="str">
            <v>82000000000485</v>
          </cell>
          <cell r="C31748" t="str">
            <v>PR FACTORING FACTU.TITU.INT.DIF         7NC</v>
          </cell>
        </row>
        <row r="31749">
          <cell r="B31749" t="str">
            <v>82000000000486</v>
          </cell>
          <cell r="C31749" t="str">
            <v>PR FACTORING FACTU.INT.SUS.DIF          7NC</v>
          </cell>
        </row>
        <row r="31750">
          <cell r="B31750" t="str">
            <v>82000000000487</v>
          </cell>
          <cell r="C31750" t="str">
            <v>PR LET.FACTO.TITU.DIF.SUSP.VEN          7NC</v>
          </cell>
        </row>
        <row r="31751">
          <cell r="B31751" t="str">
            <v>82000000000488</v>
          </cell>
          <cell r="C31751" t="str">
            <v>PR LET.FACTO.TITU.DIF.SUSP.VEN          7NC</v>
          </cell>
        </row>
        <row r="31752">
          <cell r="B31752" t="str">
            <v>82000000000489</v>
          </cell>
          <cell r="C31752" t="str">
            <v>BL COM CTA. CTE.PJ BL                   7NC</v>
          </cell>
        </row>
        <row r="31753">
          <cell r="B31753" t="str">
            <v>82000000000494</v>
          </cell>
          <cell r="C31753" t="str">
            <v>BL CTRA CTA DE CRED CONTINGENTES-CL     7NC</v>
          </cell>
        </row>
        <row r="31754">
          <cell r="B31754" t="str">
            <v>82000000000498</v>
          </cell>
          <cell r="C31754" t="str">
            <v>BL INT. SUSP. LEASING                   7NC</v>
          </cell>
        </row>
        <row r="31755">
          <cell r="B31755" t="str">
            <v>82000000000505</v>
          </cell>
          <cell r="C31755" t="str">
            <v>CTRA CTA INT SUSP PJ SF IB              7NC</v>
          </cell>
        </row>
        <row r="31756">
          <cell r="B31756" t="str">
            <v>82000000000506</v>
          </cell>
          <cell r="C31756" t="str">
            <v>LPC PAG.REFI.TV VAC VN INT.SUS          7NC</v>
          </cell>
        </row>
        <row r="31757">
          <cell r="B31757" t="str">
            <v>82000000000507</v>
          </cell>
          <cell r="C31757" t="str">
            <v>IM CTRA CTA MANTE.SUSPENSO PJ SB IF     7NC</v>
          </cell>
        </row>
        <row r="31758">
          <cell r="B31758" t="str">
            <v>82000000000508</v>
          </cell>
          <cell r="C31758" t="str">
            <v>CTRCTA MANT SUSP PJ SF BL               7NC</v>
          </cell>
        </row>
        <row r="31759">
          <cell r="B31759" t="str">
            <v>82000000000509</v>
          </cell>
          <cell r="C31759" t="str">
            <v>IC CCTA INT SUSP CRED REF HIPOT         7NC</v>
          </cell>
        </row>
        <row r="31760">
          <cell r="B31760" t="str">
            <v>82000000000511</v>
          </cell>
          <cell r="C31760" t="str">
            <v>CL D/P P.TASA DSCTO.INT.SUSP            7NC</v>
          </cell>
        </row>
        <row r="31761">
          <cell r="B31761" t="str">
            <v>82000000000512</v>
          </cell>
          <cell r="C31761" t="str">
            <v>CL D/P PAG.TSA.VENC.INT.SUSPEN          7NC</v>
          </cell>
        </row>
        <row r="31762">
          <cell r="B31762" t="str">
            <v>82000000000514</v>
          </cell>
          <cell r="C31762" t="str">
            <v>CL D/P P.PRE EXP.EMBAR.INT.SUS          7NC</v>
          </cell>
        </row>
        <row r="31763">
          <cell r="B31763" t="str">
            <v>82000000000516</v>
          </cell>
          <cell r="C31763" t="str">
            <v>CTRA CTA TC CONSUMO VIG-DUDOSO CL       7NC</v>
          </cell>
        </row>
        <row r="31764">
          <cell r="B31764" t="str">
            <v>82000000000521</v>
          </cell>
          <cell r="C31764" t="str">
            <v>CTRA CTA CRED VIG.SUSP-SOBREGIRO        7NC</v>
          </cell>
        </row>
        <row r="31765">
          <cell r="B31765" t="str">
            <v>82000000000522</v>
          </cell>
          <cell r="C31765" t="str">
            <v>PR D/P LETRAS DSCTO.INT.SUS             7NC</v>
          </cell>
        </row>
        <row r="31766">
          <cell r="B31766" t="str">
            <v>82000000000530</v>
          </cell>
          <cell r="C31766" t="str">
            <v>IC D/P CCTA INT CRED EFECT SUSP         7NC</v>
          </cell>
        </row>
        <row r="31767">
          <cell r="B31767" t="str">
            <v>82000000000544</v>
          </cell>
          <cell r="C31767" t="str">
            <v>BL COM X COB AVAL AA PJ EXP PREEMB D/   7NC</v>
          </cell>
        </row>
        <row r="31768">
          <cell r="B31768" t="str">
            <v>82000000000545</v>
          </cell>
          <cell r="C31768" t="str">
            <v>BL INT X COB PAG EXP PRE EMB CL D/P     7NC</v>
          </cell>
        </row>
        <row r="31769">
          <cell r="B31769" t="str">
            <v>82000000000546</v>
          </cell>
          <cell r="C31769" t="str">
            <v>LPC PAG.VAC RP D/P VN INT.VIG           7NC</v>
          </cell>
        </row>
        <row r="31770">
          <cell r="B31770" t="str">
            <v>82000000000550</v>
          </cell>
          <cell r="C31770" t="str">
            <v>CL D/P P.EXP.PR EMB.BQ INT.SUS          7NC</v>
          </cell>
        </row>
        <row r="31771">
          <cell r="B31771" t="str">
            <v>82000000000559</v>
          </cell>
          <cell r="C31771" t="str">
            <v>LPC COB.JUD.PAG.VAC RP VN INT           7NC</v>
          </cell>
        </row>
        <row r="31772">
          <cell r="B31772" t="str">
            <v>82000000000560</v>
          </cell>
          <cell r="C31772" t="str">
            <v>LPC COB.JUD.PAG.VAC RP INDX.INT         7NC</v>
          </cell>
        </row>
        <row r="31773">
          <cell r="B31773" t="str">
            <v>82000000000562</v>
          </cell>
          <cell r="C31773" t="str">
            <v>LPC IDL LS BIEN D/P INT.DIFE VIG .      7NC</v>
          </cell>
        </row>
        <row r="31774">
          <cell r="B31774" t="str">
            <v>82000000000563</v>
          </cell>
          <cell r="C31774" t="str">
            <v>CTRCTA DIF LSG SEG VIG D/P RP LPC       7NC</v>
          </cell>
        </row>
        <row r="31775">
          <cell r="B31775" t="str">
            <v>82000000000564</v>
          </cell>
          <cell r="C31775" t="str">
            <v>LPC IDL LS BIEN RP INT.SUS.VEN          7NC</v>
          </cell>
        </row>
        <row r="31776">
          <cell r="B31776" t="str">
            <v>82000000000565</v>
          </cell>
          <cell r="C31776" t="str">
            <v>CTRCTA LEASING VENC SEG INT DIF RP LPC  7NC</v>
          </cell>
        </row>
        <row r="31777">
          <cell r="B31777" t="str">
            <v>82000000000566</v>
          </cell>
          <cell r="C31777" t="str">
            <v>LPC IDL LS BIEN D/P INT.DIFE VEN .      7NC</v>
          </cell>
        </row>
        <row r="31778">
          <cell r="B31778" t="str">
            <v>82000000000567</v>
          </cell>
          <cell r="C31778" t="str">
            <v>CTRCTA I.VEN LSG SEG D/P RP LPC         7NC</v>
          </cell>
        </row>
        <row r="31779">
          <cell r="B31779" t="str">
            <v>82000000000568</v>
          </cell>
          <cell r="C31779" t="str">
            <v>LPC PAG.TASA VENCIDA INT.SUS.VEN        7NC</v>
          </cell>
        </row>
        <row r="31780">
          <cell r="B31780" t="str">
            <v>82000000000569</v>
          </cell>
          <cell r="C31780" t="str">
            <v>LPC P.TASA VENC. D/P INT.SUS            7NC</v>
          </cell>
        </row>
        <row r="31781">
          <cell r="B31781" t="str">
            <v>82000000000572</v>
          </cell>
          <cell r="C31781" t="str">
            <v>LPC PAG.TV REFIN.INT.SUSP               7NC</v>
          </cell>
        </row>
        <row r="31782">
          <cell r="B31782" t="str">
            <v>82000000000573</v>
          </cell>
          <cell r="C31782" t="str">
            <v>CTRACTA  INT SUSP PAGTV REESTRUC-LPC    7NC</v>
          </cell>
        </row>
        <row r="31783">
          <cell r="B31783" t="str">
            <v>82000000000575</v>
          </cell>
          <cell r="C31783" t="str">
            <v>CHI CCTA INT CRED HIPOT VENC            7NC</v>
          </cell>
        </row>
        <row r="31784">
          <cell r="B31784" t="str">
            <v>82000000000579</v>
          </cell>
          <cell r="C31784" t="str">
            <v>CTRA CTA PH MI VIVIENDA CONV COFIDE     7NC</v>
          </cell>
        </row>
        <row r="31785">
          <cell r="B31785" t="str">
            <v>82000000000587</v>
          </cell>
          <cell r="C31785" t="str">
            <v>LPC IDL/IDS LS BIEN REFI.INT.V+S .      7NC</v>
          </cell>
        </row>
        <row r="31786">
          <cell r="B31786" t="str">
            <v>82000000000590</v>
          </cell>
          <cell r="C31786" t="str">
            <v>CL PAG.T.V COFIDE REFIN.INT.SUS         7NC</v>
          </cell>
        </row>
        <row r="31787">
          <cell r="B31787" t="str">
            <v>82000000000591</v>
          </cell>
          <cell r="C31787" t="str">
            <v>LPC P.COFI.VAC D/P VN INT. VEN          7NC</v>
          </cell>
        </row>
        <row r="31788">
          <cell r="B31788" t="str">
            <v>82000000000594</v>
          </cell>
          <cell r="C31788" t="str">
            <v>LPC LS BIEN COB.JUD.INT.COMP .          7NC</v>
          </cell>
        </row>
        <row r="31789">
          <cell r="B31789" t="str">
            <v>82000000000597</v>
          </cell>
          <cell r="C31789" t="str">
            <v>CL P.VTA.BNES.ADJUDICA.INT.SUS          7NC</v>
          </cell>
        </row>
        <row r="31790">
          <cell r="B31790" t="str">
            <v>82000000000598</v>
          </cell>
          <cell r="C31790" t="str">
            <v>CTRA CTA LINEAS CRED NO UTILZ COFIDE    7NC</v>
          </cell>
        </row>
        <row r="31791">
          <cell r="B31791" t="str">
            <v>82000000000601</v>
          </cell>
          <cell r="C31791" t="str">
            <v>CTRA CTA PONDERACION POR RIESGO CREDITI 7NC</v>
          </cell>
        </row>
        <row r="31792">
          <cell r="B31792" t="str">
            <v>82000000000602</v>
          </cell>
          <cell r="C31792" t="str">
            <v>CTRA CTA PROVISIONES POR POND RGO CREDIT7NC</v>
          </cell>
        </row>
        <row r="31793">
          <cell r="B31793" t="str">
            <v>82000000000603</v>
          </cell>
          <cell r="C31793" t="str">
            <v>CTRA CTA PROV GENERICA LEASING OPERAT   7NC</v>
          </cell>
        </row>
        <row r="31794">
          <cell r="B31794" t="str">
            <v>82000000000605</v>
          </cell>
          <cell r="C31794" t="str">
            <v>CTRA CTA PROV GENERICA TITULIZADORA P   7NC</v>
          </cell>
        </row>
        <row r="31795">
          <cell r="B31795" t="str">
            <v>82000000000701</v>
          </cell>
          <cell r="C31795" t="str">
            <v>LIC CCTA INT X COB CONV NRV VENC        7NC</v>
          </cell>
        </row>
        <row r="31796">
          <cell r="B31796" t="str">
            <v>82000000000702</v>
          </cell>
          <cell r="C31796" t="str">
            <v>LIC DP CCTA INT X COB CONV NRV VENC     7NC</v>
          </cell>
        </row>
        <row r="31797">
          <cell r="B31797" t="str">
            <v>82000000000703</v>
          </cell>
          <cell r="C31797" t="str">
            <v>LIC DP CCTA INT X COB CONV NRV  VENC    7NC</v>
          </cell>
        </row>
        <row r="31798">
          <cell r="B31798" t="str">
            <v>82000000000704</v>
          </cell>
          <cell r="C31798" t="str">
            <v>LIC DP CCTA INT X COB CONV VIIG/VENC MED7NC</v>
          </cell>
        </row>
        <row r="31799">
          <cell r="B31799" t="str">
            <v>82000000000705</v>
          </cell>
          <cell r="C31799" t="str">
            <v>LIC CCTA INTXCOB PREF NRV OT BAJ C NE.VE7NC</v>
          </cell>
        </row>
        <row r="31800">
          <cell r="B31800" t="str">
            <v>82000000000706</v>
          </cell>
          <cell r="C31800" t="str">
            <v>LIC DP CCTA INTXCOB PREF NRV OT BAJ C NE7NC</v>
          </cell>
        </row>
        <row r="31801">
          <cell r="B31801" t="str">
            <v>82000000000750</v>
          </cell>
          <cell r="C31801" t="str">
            <v>MYP E.R.C CCTA INT.X C.VEN F.C.T        7NC</v>
          </cell>
        </row>
        <row r="31802">
          <cell r="B31802" t="str">
            <v>82000000000751</v>
          </cell>
          <cell r="C31802" t="str">
            <v>MYP E.R.CCTA INT.X COB.VEN F.C.T        7NC</v>
          </cell>
        </row>
        <row r="31803">
          <cell r="B31803" t="str">
            <v>82000000000752</v>
          </cell>
          <cell r="C31803" t="str">
            <v>MYP E.R.C CCTA CAP.FINAN.CAP.T          7NC</v>
          </cell>
        </row>
        <row r="31804">
          <cell r="B31804" t="str">
            <v>82000000000755</v>
          </cell>
          <cell r="C31804" t="str">
            <v>HPC DP CCTA INT.X COB.VENC TC FINAN.PROV7NC</v>
          </cell>
        </row>
        <row r="31805">
          <cell r="B31805" t="str">
            <v>82000000000756</v>
          </cell>
          <cell r="C31805" t="str">
            <v>HPC  CCTA INT.X COB.VENC CRED EFECT FINA7NC</v>
          </cell>
        </row>
        <row r="31806">
          <cell r="B31806" t="str">
            <v>82000000000757</v>
          </cell>
          <cell r="C31806" t="str">
            <v>HPC DP CCTA INT.X COB.VENC CRED EFECT FI7NC</v>
          </cell>
        </row>
        <row r="31807">
          <cell r="B31807" t="str">
            <v>82000000000758</v>
          </cell>
          <cell r="C31807" t="str">
            <v>HPC  CCTA INT.X COB.VENC CRED VEHIC FINA7NC</v>
          </cell>
        </row>
        <row r="31808">
          <cell r="B31808" t="str">
            <v>82000000000759</v>
          </cell>
          <cell r="C31808" t="str">
            <v>HPC DP CCTA INT.X COB.VENC CRED VEHIC FI7NC</v>
          </cell>
        </row>
        <row r="31809">
          <cell r="B31809" t="str">
            <v>82000000000760</v>
          </cell>
          <cell r="C31809" t="str">
            <v>HPC CCTA ORDEN VIG. CRED EFECT FINAN.PRO7NC</v>
          </cell>
        </row>
        <row r="31810">
          <cell r="B31810" t="str">
            <v>82000000000761</v>
          </cell>
          <cell r="C31810" t="str">
            <v>HPC CCTA ORDEN VIG. CRED VEHIC FINAN.PRO7NC</v>
          </cell>
        </row>
        <row r="31811">
          <cell r="B31811" t="str">
            <v>82000000000762</v>
          </cell>
          <cell r="C31811" t="str">
            <v>HPC CCTA INT.X COB.VENC LIC CONV PROV.RE7NC</v>
          </cell>
        </row>
        <row r="31812">
          <cell r="B31812" t="str">
            <v>82000000000763</v>
          </cell>
          <cell r="C31812" t="str">
            <v>HPC DP CCTA INT.X COB.VENC LIC CONV PROV7NC</v>
          </cell>
        </row>
        <row r="31813">
          <cell r="B31813" t="str">
            <v>82000000000764</v>
          </cell>
          <cell r="C31813" t="str">
            <v>HPC CCTA INT.X COB.VENC CRED CONV PROV.R7NC</v>
          </cell>
        </row>
        <row r="31814">
          <cell r="B31814" t="str">
            <v>82000000000765</v>
          </cell>
          <cell r="C31814" t="str">
            <v>HPC DP CCTA INT.X COB.VENC CRED CONV PRO7NC</v>
          </cell>
        </row>
        <row r="31815">
          <cell r="B31815" t="str">
            <v>82000000000801</v>
          </cell>
          <cell r="C31815" t="str">
            <v>CL CXL CC ACEP.CTA INT SUSP-MES         7NC</v>
          </cell>
        </row>
        <row r="31816">
          <cell r="B31816" t="str">
            <v>82000000000823</v>
          </cell>
          <cell r="C31816" t="str">
            <v>CL P.TASA VENCIDA MES INT.SUS           7NC</v>
          </cell>
        </row>
        <row r="31817">
          <cell r="B31817" t="str">
            <v>82000000000824</v>
          </cell>
          <cell r="C31817" t="str">
            <v>CL INTXCOB SUSP T. VENC CALIF. DUDOSA CL7NC</v>
          </cell>
        </row>
        <row r="31818">
          <cell r="B31818" t="str">
            <v>82000000000828</v>
          </cell>
          <cell r="C31818" t="str">
            <v>CL CTRA CTA PAG. TASA VENCIDA COF.SBS ME7NC</v>
          </cell>
        </row>
        <row r="31819">
          <cell r="B31819" t="str">
            <v>82000000000843</v>
          </cell>
          <cell r="C31819" t="str">
            <v>CL P.RFA REFIN.MES INT.SUS              7NC</v>
          </cell>
        </row>
        <row r="31820">
          <cell r="B31820" t="str">
            <v>82000000000848</v>
          </cell>
          <cell r="C31820" t="str">
            <v>CL PAG.TV REFINA. MES INT.SUS           7NC</v>
          </cell>
        </row>
        <row r="31821">
          <cell r="B31821" t="str">
            <v>82000000000853</v>
          </cell>
          <cell r="C31821" t="str">
            <v>CL CASTIGO CAPITAL CRTA CTA MES         7NC</v>
          </cell>
        </row>
        <row r="31822">
          <cell r="B31822" t="str">
            <v>82000000000854</v>
          </cell>
          <cell r="C31822" t="str">
            <v>CL COB.JUD.CRTA CTA MES INT.SUS         7NC</v>
          </cell>
        </row>
        <row r="31823">
          <cell r="B31823" t="str">
            <v>82000000000856</v>
          </cell>
          <cell r="C31823" t="str">
            <v>PR LETR./FACT.DSCTO.INT.MES SUS         7NC</v>
          </cell>
        </row>
        <row r="31824">
          <cell r="B31824" t="str">
            <v>82000000000859</v>
          </cell>
          <cell r="C31824" t="str">
            <v>PR FACTORING FACTU.MES INT.COMP         7NC</v>
          </cell>
        </row>
        <row r="31825">
          <cell r="B31825" t="str">
            <v>82000000000860</v>
          </cell>
          <cell r="C31825" t="str">
            <v>PR LETRAS FACTO.MES INT.COMP.           7NC</v>
          </cell>
        </row>
        <row r="31826">
          <cell r="B31826" t="str">
            <v>82000000000862</v>
          </cell>
          <cell r="C31826" t="str">
            <v>PR FACTORING FACTU.MES INT.DIFE         7NC</v>
          </cell>
        </row>
        <row r="31827">
          <cell r="B31827" t="str">
            <v>82000000000864</v>
          </cell>
          <cell r="C31827" t="str">
            <v>PR LETRAS FACTO.MES INT.DIF             7NC</v>
          </cell>
        </row>
        <row r="31828">
          <cell r="B31828" t="str">
            <v>82000000000865</v>
          </cell>
          <cell r="C31828" t="str">
            <v>LPC CTRA CTA INT EN SUSP TASA VENC MES  7NC</v>
          </cell>
        </row>
        <row r="31829">
          <cell r="B31829" t="str">
            <v>82000000000866</v>
          </cell>
          <cell r="C31829" t="str">
            <v>LPC CTRA CTA SUSP PAGARE TV D/P MES     7NC</v>
          </cell>
        </row>
        <row r="31830">
          <cell r="B31830" t="str">
            <v>82000000000869</v>
          </cell>
          <cell r="C31830" t="str">
            <v>LPC CTRA CTA INT SUSP PAG T V REF-      7NC</v>
          </cell>
        </row>
        <row r="31831">
          <cell r="B31831" t="str">
            <v>82000000000870</v>
          </cell>
          <cell r="C31831" t="str">
            <v>LPC CTRACTA INT SUSP PAG.TV REESTRU-MES 7NC</v>
          </cell>
        </row>
        <row r="31832">
          <cell r="B31832" t="str">
            <v>82000000000895</v>
          </cell>
          <cell r="C31832" t="str">
            <v>INT EN SUSPENSO MES PJ SF               7NC</v>
          </cell>
        </row>
        <row r="31833">
          <cell r="B31833" t="str">
            <v>82000000000896</v>
          </cell>
          <cell r="C31833" t="str">
            <v>CTRA CTA INT SUSP SOBREG CTA CT6        7NC</v>
          </cell>
        </row>
        <row r="31834">
          <cell r="B31834" t="str">
            <v>82000000000901</v>
          </cell>
          <cell r="C31834" t="str">
            <v>CTRA CTA - OTRAS OP.FINANCIERAS         7NC</v>
          </cell>
        </row>
        <row r="31835">
          <cell r="B31835" t="str">
            <v>82000000000902</v>
          </cell>
          <cell r="C31835" t="str">
            <v>IC CCTA INT VENC OTROS C. COMERC        7NC</v>
          </cell>
        </row>
        <row r="31836">
          <cell r="B31836" t="str">
            <v>82000000000903</v>
          </cell>
          <cell r="C31836" t="str">
            <v>CTRA CTA OTROS TC- INVENTARIO           7NC</v>
          </cell>
        </row>
        <row r="31837">
          <cell r="B31837" t="str">
            <v>82000000000909</v>
          </cell>
          <cell r="C31837" t="str">
            <v>CTRA CTA NO ASENTADOS                   7NC</v>
          </cell>
        </row>
        <row r="31838">
          <cell r="B31838" t="str">
            <v>82000000000910</v>
          </cell>
          <cell r="C31838" t="str">
            <v>IC CCTA SEGURO DESGRAV VENC             7NC</v>
          </cell>
        </row>
        <row r="31839">
          <cell r="B31839" t="str">
            <v>82000000000911</v>
          </cell>
          <cell r="C31839" t="str">
            <v>CTRA CTA SEGUROS PRENDA IC              7NC</v>
          </cell>
        </row>
        <row r="31840">
          <cell r="B31840" t="str">
            <v>82000000000912</v>
          </cell>
          <cell r="C31840" t="str">
            <v>IC CCTA SEGURO INMUEBLE VENC            7NC</v>
          </cell>
        </row>
        <row r="31841">
          <cell r="B31841" t="str">
            <v>82000000000914</v>
          </cell>
          <cell r="C31841" t="str">
            <v>CTRA CTA LINEAS DISP BANQ EXTERIOR      7NC</v>
          </cell>
        </row>
        <row r="31842">
          <cell r="B31842" t="str">
            <v>82000000000916</v>
          </cell>
          <cell r="C31842" t="str">
            <v>CTRACTA DOLARES EXPRESS                 7NC</v>
          </cell>
        </row>
        <row r="31843">
          <cell r="B31843" t="str">
            <v>82000000000920</v>
          </cell>
          <cell r="C31843" t="str">
            <v>CTRA CTA PERSONAL POR RC                7NC</v>
          </cell>
        </row>
        <row r="31844">
          <cell r="B31844" t="str">
            <v>82000000000922</v>
          </cell>
          <cell r="C31844" t="str">
            <v>FCD  LETRAS BNES.ADJUDICADOS VEN CTRA CT7NC</v>
          </cell>
        </row>
        <row r="31845">
          <cell r="B31845" t="str">
            <v>82000000000923</v>
          </cell>
          <cell r="C31845" t="str">
            <v>LPC LS BIEN RP C/CAPITAL LS2000 .       7NC</v>
          </cell>
        </row>
        <row r="31846">
          <cell r="B31846" t="str">
            <v>82000000000929</v>
          </cell>
          <cell r="C31846" t="str">
            <v>CTRCTA LINEAS CRED TARJ CRED CONSUMO    7NC</v>
          </cell>
        </row>
        <row r="31847">
          <cell r="B31847" t="str">
            <v>82000000000930</v>
          </cell>
          <cell r="C31847" t="str">
            <v>INC CRTACTA COM.OUR PTE DE COBRO        7NC</v>
          </cell>
        </row>
        <row r="31848">
          <cell r="B31848" t="str">
            <v>82000000000935</v>
          </cell>
          <cell r="C31848" t="str">
            <v>TC CONTRA CUENTA INT/COM VENCIDO        7NC</v>
          </cell>
        </row>
        <row r="31849">
          <cell r="B31849" t="str">
            <v>82000000000936</v>
          </cell>
          <cell r="C31849" t="str">
            <v>TC CONTRA CTA INT/COM DUDOSO/PERDIDA    7NC</v>
          </cell>
        </row>
        <row r="31850">
          <cell r="B31850" t="str">
            <v>82000000000937</v>
          </cell>
          <cell r="C31850" t="str">
            <v>TC LINEAS DE CREDITO AUTORIZADAS        7NC</v>
          </cell>
        </row>
        <row r="31851">
          <cell r="B31851" t="str">
            <v>82000000000938</v>
          </cell>
          <cell r="C31851" t="str">
            <v>CL COB.JUD. CRTA CTA INT.SUSP           7NC</v>
          </cell>
        </row>
        <row r="31852">
          <cell r="B31852" t="str">
            <v>82000000000939</v>
          </cell>
          <cell r="C31852" t="str">
            <v>CL COB.JUD. CRTA CTA INT.SUSP CCNR      7NC</v>
          </cell>
        </row>
        <row r="31853">
          <cell r="B31853" t="str">
            <v>82000000000940</v>
          </cell>
          <cell r="C31853" t="str">
            <v>CL CTRA CTA PRE-JUD INT.SUPS.P.REF.RP CA7NC</v>
          </cell>
        </row>
        <row r="31854">
          <cell r="B31854" t="str">
            <v>82000000000941</v>
          </cell>
          <cell r="C31854" t="str">
            <v>CL MYP CTRA CTA PRE-JUD.C.TRAB.INT.SUSP.7NC</v>
          </cell>
        </row>
        <row r="31855">
          <cell r="B31855" t="str">
            <v>82000000000942</v>
          </cell>
          <cell r="C31855" t="str">
            <v>CL MYP CTRA CTA JUD.C.TRAB.INT.SUSP.REV.7NC</v>
          </cell>
        </row>
        <row r="31856">
          <cell r="B31856" t="str">
            <v>82000000000943</v>
          </cell>
          <cell r="C31856" t="str">
            <v>EDIFICIOS PARA USO DEL BANCO            7NC</v>
          </cell>
        </row>
        <row r="31857">
          <cell r="B31857" t="str">
            <v>82000000000944</v>
          </cell>
          <cell r="C31857" t="str">
            <v>EDIFICIOS-REVALUACIÃ“N                  7NC</v>
          </cell>
        </row>
        <row r="31858">
          <cell r="B31858" t="str">
            <v>82000000000945</v>
          </cell>
          <cell r="C31858" t="str">
            <v>INSTALACIONES                           7NC</v>
          </cell>
        </row>
        <row r="31859">
          <cell r="B31859" t="str">
            <v>82000000000946</v>
          </cell>
          <cell r="C31859" t="str">
            <v>MOBILIARIO                              7NC</v>
          </cell>
        </row>
        <row r="31860">
          <cell r="B31860" t="str">
            <v>82000000000947</v>
          </cell>
          <cell r="C31860" t="str">
            <v>EQUIPOS DE COMPUTACIÃ“N                 7NC</v>
          </cell>
        </row>
        <row r="31861">
          <cell r="B31861" t="str">
            <v>82000000000948</v>
          </cell>
          <cell r="C31861" t="str">
            <v>TARJETA DE COMPUTO Y COMUNICACIONES     7NC</v>
          </cell>
        </row>
        <row r="31862">
          <cell r="B31862" t="str">
            <v>82000000000949</v>
          </cell>
          <cell r="C31862" t="str">
            <v>EQUIPOS DE COMPUNICACIÃ“N               7NC</v>
          </cell>
        </row>
        <row r="31863">
          <cell r="B31863" t="str">
            <v>82000000000950</v>
          </cell>
          <cell r="C31863" t="str">
            <v>AIRE ACONDICIONADO                      7NC</v>
          </cell>
        </row>
        <row r="31864">
          <cell r="B31864" t="str">
            <v>82000000000951</v>
          </cell>
          <cell r="C31864" t="str">
            <v>EQUIPO ELECTROGENO                      7NC</v>
          </cell>
        </row>
        <row r="31865">
          <cell r="B31865" t="str">
            <v>82000000000952</v>
          </cell>
          <cell r="C31865" t="str">
            <v>BL OTROS EQUIPOS DIVERSOS               7NC</v>
          </cell>
        </row>
        <row r="31866">
          <cell r="B31866" t="str">
            <v>82000000000953</v>
          </cell>
          <cell r="C31866" t="str">
            <v>OTROS EQUIPOS DIVERSOS                  7NC</v>
          </cell>
        </row>
        <row r="31867">
          <cell r="B31867" t="str">
            <v>82000000000954</v>
          </cell>
          <cell r="C31867" t="str">
            <v>VEHICULOS                               7NC</v>
          </cell>
        </row>
        <row r="31868">
          <cell r="B31868" t="str">
            <v>82000000000955</v>
          </cell>
          <cell r="C31868" t="str">
            <v>MEJORAS EN PROPIEDADES ALQUILADAS IB    7NC</v>
          </cell>
        </row>
        <row r="31869">
          <cell r="B31869" t="str">
            <v>82000000000956</v>
          </cell>
          <cell r="C31869" t="str">
            <v>MEJORAS EN PROPIEDADES ALQUILADAS BL    7NC</v>
          </cell>
        </row>
        <row r="31870">
          <cell r="B31870" t="str">
            <v>82000000000957</v>
          </cell>
          <cell r="C31870" t="str">
            <v>CRTA CTA VALES CAMPAÃ‘A CAMBIOS-PREMIO N7NC</v>
          </cell>
        </row>
        <row r="31871">
          <cell r="B31871" t="str">
            <v>82000000001101</v>
          </cell>
          <cell r="C31871" t="str">
            <v>BL AVANCE CTA.CTE. PJ-VN                7NC</v>
          </cell>
        </row>
        <row r="31872">
          <cell r="B31872" t="str">
            <v>82000000001103</v>
          </cell>
          <cell r="C31872" t="str">
            <v>BL SOBREGIROS CTA.CTE.PJ-BL             7NC</v>
          </cell>
        </row>
        <row r="31873">
          <cell r="B31873" t="str">
            <v>82000000001106</v>
          </cell>
          <cell r="C31873" t="str">
            <v>BL PAGARES-EXP-PRE EMB-CL-VN            7NC</v>
          </cell>
        </row>
        <row r="31874">
          <cell r="B31874" t="str">
            <v>82000000001110</v>
          </cell>
          <cell r="C31874" t="str">
            <v>BL LEASING VIGENTE                      7NC</v>
          </cell>
        </row>
        <row r="31875">
          <cell r="B31875" t="str">
            <v>82000000001113</v>
          </cell>
          <cell r="C31875" t="str">
            <v>BL SOBREGIROS CTA.CTE. PN-BL            7NC</v>
          </cell>
        </row>
        <row r="31876">
          <cell r="B31876" t="str">
            <v>82000000001116</v>
          </cell>
          <cell r="C31876" t="str">
            <v>BL PRESTAMOS GTIA CTS CTA CTE BL-CTS    7NC</v>
          </cell>
        </row>
        <row r="31877">
          <cell r="B31877" t="str">
            <v>82000000001117</v>
          </cell>
          <cell r="C31877" t="str">
            <v>BL PRESTAMO EFECTIVO                    7NC</v>
          </cell>
        </row>
        <row r="31878">
          <cell r="B31878" t="str">
            <v>82000000001128</v>
          </cell>
          <cell r="C31878" t="str">
            <v>BL SOBREG.CTA.CTE.VENCIDO PJ-BL         7NC</v>
          </cell>
        </row>
        <row r="31879">
          <cell r="B31879" t="str">
            <v>82000000001131</v>
          </cell>
          <cell r="C31879" t="str">
            <v>BL PAGAR S-VENCEXP-PRE EMB-CL           7NC</v>
          </cell>
        </row>
        <row r="31880">
          <cell r="B31880" t="str">
            <v>82000000001133</v>
          </cell>
          <cell r="C31880" t="str">
            <v>BL PAGAR S-VENC IMP-CL                  7NC</v>
          </cell>
        </row>
        <row r="31881">
          <cell r="B31881" t="str">
            <v>82000000001134</v>
          </cell>
          <cell r="C31881" t="str">
            <v>BL PAGARE VENC EXP PRE EMB RBANK CL     7NC</v>
          </cell>
        </row>
        <row r="31882">
          <cell r="B31882" t="str">
            <v>82000000001141</v>
          </cell>
          <cell r="C31882" t="str">
            <v>BL AD AC CAP TRAB VENCIDOS              7NC</v>
          </cell>
        </row>
        <row r="31883">
          <cell r="B31883" t="str">
            <v>82000000001146</v>
          </cell>
          <cell r="C31883" t="str">
            <v>BL SOBREG.VENCIDO CTA.CTE.PN-BL         7NC</v>
          </cell>
        </row>
        <row r="31884">
          <cell r="B31884" t="str">
            <v>82000000001149</v>
          </cell>
          <cell r="C31884" t="str">
            <v>BL PREST.DE EFECT.VENC.- 60 D BL        7NC</v>
          </cell>
        </row>
        <row r="31885">
          <cell r="B31885" t="str">
            <v>82000000001151</v>
          </cell>
          <cell r="C31885" t="str">
            <v>BL PREST.EFECT.VENC.+ 60 D BL           7NC</v>
          </cell>
        </row>
        <row r="31886">
          <cell r="B31886" t="str">
            <v>82000000001183</v>
          </cell>
          <cell r="C31886" t="str">
            <v>AVANCE CTA CTE PN BL                    7NC</v>
          </cell>
        </row>
        <row r="31887">
          <cell r="B31887" t="str">
            <v>82000000001185</v>
          </cell>
          <cell r="C31887" t="str">
            <v>BL CTRA CTA CRED LIQUIDAR CL            7NC</v>
          </cell>
        </row>
        <row r="31888">
          <cell r="B31888" t="str">
            <v>82000000001187</v>
          </cell>
          <cell r="C31888" t="str">
            <v>BL CTRA CTA CTE DEUDORA PN              7NC</v>
          </cell>
        </row>
        <row r="31889">
          <cell r="B31889" t="str">
            <v>82000000001190</v>
          </cell>
          <cell r="C31889" t="str">
            <v>BL SOBREGIROS CTA.CTE.PJ S/FL VN        7NC</v>
          </cell>
        </row>
        <row r="31890">
          <cell r="B31890" t="str">
            <v>82000000001192</v>
          </cell>
          <cell r="C31890" t="str">
            <v>BL CTAS CTES VENC PJ S/FL VN            7NC</v>
          </cell>
        </row>
        <row r="31891">
          <cell r="B31891" t="str">
            <v>82000000001301</v>
          </cell>
          <cell r="C31891" t="str">
            <v>CL P.T.V.OTROS SUSP.COFIDE SBS          7NC</v>
          </cell>
        </row>
        <row r="31892">
          <cell r="B31892" t="str">
            <v>82000000001302</v>
          </cell>
          <cell r="C31892" t="str">
            <v>CL PTV.REESTRUC.COFIDE SBS .            7NC</v>
          </cell>
        </row>
        <row r="31893">
          <cell r="B31893" t="str">
            <v>82000000001303</v>
          </cell>
          <cell r="C31893" t="str">
            <v>CL COB.JUD.PAG.REC.COFIDE SBS .         7NC</v>
          </cell>
        </row>
        <row r="31894">
          <cell r="B31894" t="str">
            <v>82000000001305</v>
          </cell>
          <cell r="C31894" t="str">
            <v>CHI CCTA MI VIVIENDA COFIDE .           7NC</v>
          </cell>
        </row>
        <row r="31895">
          <cell r="B31895" t="str">
            <v>82000000001306</v>
          </cell>
          <cell r="C31895" t="str">
            <v>CTRA CTA PROV CREDITOS COFIDE           7NC</v>
          </cell>
        </row>
        <row r="31896">
          <cell r="B31896" t="str">
            <v>82000000001307</v>
          </cell>
          <cell r="C31896" t="str">
            <v>CL PTV.REESTRUC.COFIDE INT.SUS          7NC</v>
          </cell>
        </row>
        <row r="31897">
          <cell r="B31897" t="str">
            <v>82000000001308</v>
          </cell>
          <cell r="C31897" t="str">
            <v>CL PAG.RFA SUBOR.REFIN.INT.SUS          7NC</v>
          </cell>
        </row>
        <row r="31898">
          <cell r="B31898" t="str">
            <v>82000000001309</v>
          </cell>
          <cell r="C31898" t="str">
            <v>CTRA CTA PH MV COB JUD                  7NC</v>
          </cell>
        </row>
        <row r="31899">
          <cell r="B31899" t="str">
            <v>82000000001310</v>
          </cell>
          <cell r="C31899" t="str">
            <v>INT GAN VIG PAG TV COFIDE - LPC         7NC</v>
          </cell>
        </row>
        <row r="31900">
          <cell r="B31900" t="str">
            <v>82000000001311</v>
          </cell>
          <cell r="C31900" t="str">
            <v>CTRA CTA PAG TV COFIDE -LPC D/P         7NC</v>
          </cell>
        </row>
        <row r="31901">
          <cell r="B31901" t="str">
            <v>82000000001313</v>
          </cell>
          <cell r="C31901" t="str">
            <v>CHI CCTA TECHO PROPIO COFIDE            7NC</v>
          </cell>
        </row>
        <row r="31902">
          <cell r="B31902" t="str">
            <v>82000000001317</v>
          </cell>
          <cell r="C31902" t="str">
            <v>CL P.T.V.OTROS SUSP.INT.SUSP            7NC</v>
          </cell>
        </row>
        <row r="31903">
          <cell r="B31903" t="str">
            <v>82000000001318</v>
          </cell>
          <cell r="C31903" t="str">
            <v>CL PTV.OTROS SUSP.COFI. INT.SUS         7NC</v>
          </cell>
        </row>
        <row r="31904">
          <cell r="B31904" t="str">
            <v>82000000001319</v>
          </cell>
          <cell r="C31904" t="str">
            <v>IC CCTA INT VENC C HIPOT BONOS          7NC</v>
          </cell>
        </row>
        <row r="31905">
          <cell r="B31905" t="str">
            <v>82000000001320</v>
          </cell>
          <cell r="C31905" t="str">
            <v>CTRCTA INT SUSP EXP POST EMB D/P        7NC</v>
          </cell>
        </row>
        <row r="31906">
          <cell r="B31906" t="str">
            <v>82000000001323</v>
          </cell>
          <cell r="C31906" t="str">
            <v>INT SUSP PREST COFIDE BIENES ADJUDIC    7NC</v>
          </cell>
        </row>
        <row r="31907">
          <cell r="B31907" t="str">
            <v>82000000001325</v>
          </cell>
          <cell r="C31907" t="str">
            <v>LPC PAG.VAC RP D/P INDX.INT.VIG         7NC</v>
          </cell>
        </row>
        <row r="31908">
          <cell r="B31908" t="str">
            <v>82000000001328</v>
          </cell>
          <cell r="C31908" t="str">
            <v>LPC PAG.REEST.VAC RP VN INT.SUS         7NC</v>
          </cell>
        </row>
        <row r="31909">
          <cell r="B31909" t="str">
            <v>82000000001329</v>
          </cell>
          <cell r="C31909" t="str">
            <v>LPC PAG.REES.VAC RP INDX.INT.SUS        7NC</v>
          </cell>
        </row>
        <row r="31910">
          <cell r="B31910" t="str">
            <v>82000000001330</v>
          </cell>
          <cell r="C31910" t="str">
            <v>LPC IDL LSBACK BIEN INT.DIF.VEN         7NC</v>
          </cell>
        </row>
        <row r="31911">
          <cell r="B31911" t="str">
            <v>82000000001331</v>
          </cell>
          <cell r="C31911" t="str">
            <v>LPC IDS LSBACK BIEN INT.SEG VEN         7NC</v>
          </cell>
        </row>
        <row r="31912">
          <cell r="B31912" t="str">
            <v>82000000001332</v>
          </cell>
          <cell r="C31912" t="str">
            <v>LPC IDL LSBACK BIEN D/P DIFE.VIG .      7NC</v>
          </cell>
        </row>
        <row r="31913">
          <cell r="B31913" t="str">
            <v>82000000001333</v>
          </cell>
          <cell r="C31913" t="str">
            <v>CTRCTA DIF LSBACK SEG VIG D/P RP LPC    7NC</v>
          </cell>
        </row>
        <row r="31914">
          <cell r="B31914" t="str">
            <v>82000000001336</v>
          </cell>
          <cell r="C31914" t="str">
            <v>LIC CTRA CTA INTXC CREDXCONV.VEN        7NC</v>
          </cell>
        </row>
        <row r="31915">
          <cell r="B31915" t="str">
            <v>82000000001338</v>
          </cell>
          <cell r="C31915" t="str">
            <v>LIC CTRA CTA SEGXC CRXCONV.VEN          7NC</v>
          </cell>
        </row>
        <row r="31916">
          <cell r="B31916" t="str">
            <v>82000000001339</v>
          </cell>
          <cell r="C31916" t="str">
            <v>LIC CTRA CTA INTXC CRDXCONV.D/P VIG     7NC</v>
          </cell>
        </row>
        <row r="31917">
          <cell r="B31917" t="str">
            <v>82000000001340</v>
          </cell>
          <cell r="C31917" t="str">
            <v>LIC CTRA CTA INTXC CRDXCONV.D/P VEN     7NC</v>
          </cell>
        </row>
        <row r="31918">
          <cell r="B31918" t="str">
            <v>82000000001343</v>
          </cell>
          <cell r="C31918" t="str">
            <v>CTRA CTA SEGXC CRXCONV D/P VIG -        7NC</v>
          </cell>
        </row>
        <row r="31919">
          <cell r="B31919" t="str">
            <v>82000000001344</v>
          </cell>
          <cell r="C31919" t="str">
            <v>LIC CTRA CTA SEGXC CRXCONV D/P VEN      7NC</v>
          </cell>
        </row>
        <row r="31920">
          <cell r="B31920" t="str">
            <v>82000000001359</v>
          </cell>
          <cell r="C31920" t="str">
            <v>LPC P.TV.OTROS SUSP. INT.SUSP           7NC</v>
          </cell>
        </row>
        <row r="31921">
          <cell r="B31921" t="str">
            <v>82000000001361</v>
          </cell>
          <cell r="C31921" t="str">
            <v>LPC C/ C SUS PAG.EMP.SIST.FIN.PAIS NO   7NC</v>
          </cell>
        </row>
        <row r="31922">
          <cell r="B31922" t="str">
            <v>82000000001362</v>
          </cell>
          <cell r="C31922" t="str">
            <v>CL CASTIGO INTERES CRTA.CTA             7NC</v>
          </cell>
        </row>
        <row r="31923">
          <cell r="B31923" t="str">
            <v>82000000001363</v>
          </cell>
          <cell r="C31923" t="str">
            <v>LPC IDL LS BIEN ADJU.INT. VEN           7NC</v>
          </cell>
        </row>
        <row r="31924">
          <cell r="B31924" t="str">
            <v>82000000001364</v>
          </cell>
          <cell r="C31924" t="str">
            <v>LPC CCTA LSG INT VEN.SEG.ADJ.RP         7NC</v>
          </cell>
        </row>
        <row r="31925">
          <cell r="B31925" t="str">
            <v>82000000001371</v>
          </cell>
          <cell r="C31925" t="str">
            <v>CL CRED.CONDONADO CAPITAL               7NC</v>
          </cell>
        </row>
        <row r="31926">
          <cell r="B31926" t="str">
            <v>82000000001372</v>
          </cell>
          <cell r="C31926" t="str">
            <v>CL CRED.CONDONADO INTERES               7NC</v>
          </cell>
        </row>
        <row r="31927">
          <cell r="B31927" t="str">
            <v>82000000001373</v>
          </cell>
          <cell r="C31927" t="str">
            <v>CL PRE.JUD.CRTA CTA INT.SUSP            7NC</v>
          </cell>
        </row>
        <row r="31928">
          <cell r="B31928" t="str">
            <v>82000000001374</v>
          </cell>
          <cell r="C31928" t="str">
            <v>CL CTRA CTA PRE JUD PAG COFIDE VENC GL707NC</v>
          </cell>
        </row>
        <row r="31929">
          <cell r="B31929" t="str">
            <v>82000000001375</v>
          </cell>
          <cell r="C31929" t="str">
            <v>IC CCTA INT VIG REF HIP CR COMER        7NC</v>
          </cell>
        </row>
        <row r="31930">
          <cell r="B31930" t="str">
            <v>82000000001376</v>
          </cell>
          <cell r="C31930" t="str">
            <v>IC CCTA INT VENC REF HIP CRD COME       7NC</v>
          </cell>
        </row>
        <row r="31931">
          <cell r="B31931" t="str">
            <v>82000000001377</v>
          </cell>
          <cell r="C31931" t="str">
            <v>IC CCTA INT VEN C PER C/GT HIPOT        7NC</v>
          </cell>
        </row>
        <row r="31932">
          <cell r="B31932" t="str">
            <v>82000000001378</v>
          </cell>
          <cell r="C31932" t="str">
            <v>CHI CCTA COM GT ADM CRED HIPOTECARIO    7NC</v>
          </cell>
        </row>
        <row r="31933">
          <cell r="B31933" t="str">
            <v>82000000001379</v>
          </cell>
          <cell r="C31933" t="str">
            <v>CHI CCTA SEG DESG CRED HIPOTECARIO VE   7NC</v>
          </cell>
        </row>
        <row r="31934">
          <cell r="B31934" t="str">
            <v>82000000001380</v>
          </cell>
          <cell r="C31934" t="str">
            <v>CHI CCT SEG INMUEB CRED HIPOTECARIO V   7NC</v>
          </cell>
        </row>
        <row r="31935">
          <cell r="B31935" t="str">
            <v>82000000001381</v>
          </cell>
          <cell r="C31935" t="str">
            <v>IC D/P CCTA COM GTO AD CONVEN           7NC</v>
          </cell>
        </row>
        <row r="31936">
          <cell r="B31936" t="str">
            <v>82000000001382</v>
          </cell>
          <cell r="C31936" t="str">
            <v>IC D/P COM.GASTOS ADM VIG-VENC          7NC</v>
          </cell>
        </row>
        <row r="31937">
          <cell r="B31937" t="str">
            <v>82000000001383</v>
          </cell>
          <cell r="C31937" t="str">
            <v>IC D/P CCTRA SEG DES  INMB  BIEN        7NC</v>
          </cell>
        </row>
        <row r="31938">
          <cell r="B31938" t="str">
            <v>82000000001384</v>
          </cell>
          <cell r="C31938" t="str">
            <v>LPC IDL LS BIEN OTR.SUSP.DIF VIG .      7NC</v>
          </cell>
        </row>
        <row r="31939">
          <cell r="B31939" t="str">
            <v>82000000001386</v>
          </cell>
          <cell r="C31939" t="str">
            <v>LPC IDS LS BIEN OTR.SUSP.SEG VIG .      7NC</v>
          </cell>
        </row>
        <row r="31940">
          <cell r="B31940" t="str">
            <v>82000000001388</v>
          </cell>
          <cell r="C31940" t="str">
            <v>LPC IDL LSBACK OTRO SUS.DIF.VIG .       7NC</v>
          </cell>
        </row>
        <row r="31941">
          <cell r="B31941" t="str">
            <v>82000000001407</v>
          </cell>
          <cell r="C31941" t="str">
            <v>HPC CCTA INT.X COB.VENC  NUEVO MVV CO   7NC</v>
          </cell>
        </row>
        <row r="31942">
          <cell r="B31942" t="str">
            <v>82000000001408</v>
          </cell>
          <cell r="C31942" t="str">
            <v>HPC D/P CCTA INT.X COB.NUEVO MVV COFIDE 7NC</v>
          </cell>
        </row>
        <row r="31943">
          <cell r="B31943" t="str">
            <v>82000000001409</v>
          </cell>
          <cell r="C31943" t="str">
            <v>HPC CCTA NUEVO MVV COFIDE               7NC</v>
          </cell>
        </row>
        <row r="31944">
          <cell r="B31944" t="str">
            <v>82000000001410</v>
          </cell>
          <cell r="C31944" t="str">
            <v>LPC AVA CTRA CTA INTxC DUPE CMIE        7NC</v>
          </cell>
        </row>
        <row r="31945">
          <cell r="B31945" t="str">
            <v>82000000001411</v>
          </cell>
          <cell r="C31945" t="str">
            <v>LPC AVA CTRA CTA INTxC DUPE CESP        7NC</v>
          </cell>
        </row>
        <row r="31946">
          <cell r="B31946" t="str">
            <v>82000000001412</v>
          </cell>
          <cell r="C31946" t="str">
            <v>LPC AVA CTRA CTA INTxC DUPE CIVA        7NC</v>
          </cell>
        </row>
        <row r="31947">
          <cell r="B31947" t="str">
            <v>82000000001413</v>
          </cell>
          <cell r="C31947" t="str">
            <v>LPC AVA CTRA CTA INTxC DUPE CCOR        7NC</v>
          </cell>
        </row>
        <row r="31948">
          <cell r="B31948" t="str">
            <v>82000000001414</v>
          </cell>
          <cell r="C31948" t="str">
            <v>LPC AVA CTRA CTA INTxC DUPE CGEM        7NC</v>
          </cell>
        </row>
        <row r="31949">
          <cell r="B31949" t="str">
            <v>82000000001415</v>
          </cell>
          <cell r="C31949" t="str">
            <v>LPC AVA CTRA CTA INTxC DUPE CMED        7NC</v>
          </cell>
        </row>
        <row r="31950">
          <cell r="B31950" t="str">
            <v>82000000001416</v>
          </cell>
          <cell r="C31950" t="str">
            <v>LPC AVA CTRA CTA INTxC DUPE CPEM        7NC</v>
          </cell>
        </row>
        <row r="31951">
          <cell r="B31951" t="str">
            <v>82000000001417</v>
          </cell>
          <cell r="C31951" t="str">
            <v>LPC CTRA CTA INT SUSP PRE EMBAR FIN. VEN7NC</v>
          </cell>
        </row>
        <row r="31952">
          <cell r="B31952" t="str">
            <v>82000000001418</v>
          </cell>
          <cell r="C31952" t="str">
            <v>LPC CTRA CTA INT SUSP PRE EMBAR FIN. VIG7NC</v>
          </cell>
        </row>
        <row r="31953">
          <cell r="B31953" t="str">
            <v>82000000001419</v>
          </cell>
          <cell r="C31953" t="str">
            <v>LPC CTRA CTA INT SUSP PRE EMBAR FIN. VEN7NC</v>
          </cell>
        </row>
        <row r="31954">
          <cell r="B31954" t="str">
            <v>82000000001420</v>
          </cell>
          <cell r="C31954" t="str">
            <v>LPC CTRA CTA INT SUSP PRE EMBAR FIN. VEN7NC</v>
          </cell>
        </row>
        <row r="31955">
          <cell r="B31955" t="str">
            <v>82000000001421</v>
          </cell>
          <cell r="C31955" t="str">
            <v>LPC CTRA CTA INT SUSP PRE EMBAR FIN. VIG7NC</v>
          </cell>
        </row>
        <row r="31956">
          <cell r="B31956" t="str">
            <v>82000000001422</v>
          </cell>
          <cell r="C31956" t="str">
            <v>LPC CTRA CTA INT SUSP PRE EMBAR FIN. VEN7NC</v>
          </cell>
        </row>
        <row r="31957">
          <cell r="B31957" t="str">
            <v>82000000001423</v>
          </cell>
          <cell r="C31957" t="str">
            <v>LPC CTRA CTA INT SUSP PRE EMBAR FIN. VEN7NC</v>
          </cell>
        </row>
        <row r="31958">
          <cell r="B31958" t="str">
            <v>82000000001424</v>
          </cell>
          <cell r="C31958" t="str">
            <v>LPC CTRA CTA INT SUSP PRE EMBAR FIN. VIG7NC</v>
          </cell>
        </row>
        <row r="31959">
          <cell r="B31959" t="str">
            <v>82000000001425</v>
          </cell>
          <cell r="C31959" t="str">
            <v>LPC CTRA CTA INT SUSP PRE EMBAR FIN. VEN7NC</v>
          </cell>
        </row>
        <row r="31960">
          <cell r="B31960" t="str">
            <v>82000000001426</v>
          </cell>
          <cell r="C31960" t="str">
            <v>LPC CTRA CTA INT SUSP PRE EMBAR FIN. VEN7NC</v>
          </cell>
        </row>
        <row r="31961">
          <cell r="B31961" t="str">
            <v>82000000001427</v>
          </cell>
          <cell r="C31961" t="str">
            <v>LPC CTRA CTA INT SUSP PRE EMBAR FIN. VIG7NC</v>
          </cell>
        </row>
        <row r="31962">
          <cell r="B31962" t="str">
            <v>82000000001428</v>
          </cell>
          <cell r="C31962" t="str">
            <v>LPC CTRA CTA INT SUSP PRE EMBAR FIN. VEN7NC</v>
          </cell>
        </row>
        <row r="31963">
          <cell r="B31963" t="str">
            <v>82000000001429</v>
          </cell>
          <cell r="C31963" t="str">
            <v>LPC CTRA CTA INT SUSP PRE EMBAR FIN. VEN7NC</v>
          </cell>
        </row>
        <row r="31964">
          <cell r="B31964" t="str">
            <v>82000000001430</v>
          </cell>
          <cell r="C31964" t="str">
            <v>LPC CTRA CTA INT SUSP PRE EMBAR FIN. VIG7NC</v>
          </cell>
        </row>
        <row r="31965">
          <cell r="B31965" t="str">
            <v>82000000001431</v>
          </cell>
          <cell r="C31965" t="str">
            <v>LPC CTRA CTA INT SUSP PRE EMBAR FIN. VEN7NC</v>
          </cell>
        </row>
        <row r="31966">
          <cell r="B31966" t="str">
            <v>82000000001432</v>
          </cell>
          <cell r="C31966" t="str">
            <v>LPC CTRA CTA INT SUSP PRE EMBAR FIN. VEN7NC</v>
          </cell>
        </row>
        <row r="31967">
          <cell r="B31967" t="str">
            <v>82000000001433</v>
          </cell>
          <cell r="C31967" t="str">
            <v>LPC CTRA CTA INT SUSP PRE EMBAR FIN. VIG7NC</v>
          </cell>
        </row>
        <row r="31968">
          <cell r="B31968" t="str">
            <v>82000000001434</v>
          </cell>
          <cell r="C31968" t="str">
            <v>LPC CTRA CTA INT SUSP PRE EMBAR FIN. VEN7NC</v>
          </cell>
        </row>
        <row r="31969">
          <cell r="B31969" t="str">
            <v>82000000001435</v>
          </cell>
          <cell r="C31969" t="str">
            <v>LPC CTRA CTA INT SUSP POST EMBAR FIN. VE7NC</v>
          </cell>
        </row>
        <row r="31970">
          <cell r="B31970" t="str">
            <v>82000000001436</v>
          </cell>
          <cell r="C31970" t="str">
            <v>LPC CTRA CTA INT SUSP POST EMBAR FIN. VI7NC</v>
          </cell>
        </row>
        <row r="31971">
          <cell r="B31971" t="str">
            <v>82000000001437</v>
          </cell>
          <cell r="C31971" t="str">
            <v>LPC CTRA CTA INT SUSP POST EMBAR FIN. VE7NC</v>
          </cell>
        </row>
        <row r="31972">
          <cell r="B31972" t="str">
            <v>82000000001438</v>
          </cell>
          <cell r="C31972" t="str">
            <v>LPC CTRA CTA INT SUSP POST EMBAR FIN. VE7NC</v>
          </cell>
        </row>
        <row r="31973">
          <cell r="B31973" t="str">
            <v>82000000001439</v>
          </cell>
          <cell r="C31973" t="str">
            <v>LPC CTRA CTA INT SUSP POST EMBAR FIN. VI7NC</v>
          </cell>
        </row>
        <row r="31974">
          <cell r="B31974" t="str">
            <v>82000000001440</v>
          </cell>
          <cell r="C31974" t="str">
            <v>LPC CTRA CTA INT SUSP POST EMBAR FIN. VE7NC</v>
          </cell>
        </row>
        <row r="31975">
          <cell r="B31975" t="str">
            <v>82000000001441</v>
          </cell>
          <cell r="C31975" t="str">
            <v>LPC CTRA CTA INT SUSP POST EMBAR FIN. VE7NC</v>
          </cell>
        </row>
        <row r="31976">
          <cell r="B31976" t="str">
            <v>82000000001442</v>
          </cell>
          <cell r="C31976" t="str">
            <v>LPC CTRA CTA INT SUSP POST EMBAR FIN. VI7NC</v>
          </cell>
        </row>
        <row r="31977">
          <cell r="B31977" t="str">
            <v>82000000001443</v>
          </cell>
          <cell r="C31977" t="str">
            <v>LPC CTRA CTA INT SUSP POST EMBAR FIN. VE7NC</v>
          </cell>
        </row>
        <row r="31978">
          <cell r="B31978" t="str">
            <v>82000000001444</v>
          </cell>
          <cell r="C31978" t="str">
            <v>LPC CTRA CTA INT SUSP POST EMBAR FIN. VE7NC</v>
          </cell>
        </row>
        <row r="31979">
          <cell r="B31979" t="str">
            <v>82000000001445</v>
          </cell>
          <cell r="C31979" t="str">
            <v>LPC CTRA CTA INT SUSP POST EMBAR FIN. VI7NC</v>
          </cell>
        </row>
        <row r="31980">
          <cell r="B31980" t="str">
            <v>82000000001446</v>
          </cell>
          <cell r="C31980" t="str">
            <v>LPC CTRA CTA INT SUSP POST EMBAR FIN. VE7NC</v>
          </cell>
        </row>
        <row r="31981">
          <cell r="B31981" t="str">
            <v>82000000001447</v>
          </cell>
          <cell r="C31981" t="str">
            <v>LPC CTRA CTA INT SUSP POST EMBAR FIN. VE7NC</v>
          </cell>
        </row>
        <row r="31982">
          <cell r="B31982" t="str">
            <v>82000000001448</v>
          </cell>
          <cell r="C31982" t="str">
            <v>LPC CTRA CTA INT SUSP POST EMBAR FIN. VI7NC</v>
          </cell>
        </row>
        <row r="31983">
          <cell r="B31983" t="str">
            <v>82000000001449</v>
          </cell>
          <cell r="C31983" t="str">
            <v>LPC CTRA CTA INT SUSP POST EMBAR FIN. VE7NC</v>
          </cell>
        </row>
        <row r="31984">
          <cell r="B31984" t="str">
            <v>82000000001450</v>
          </cell>
          <cell r="C31984" t="str">
            <v>LPC CTRA CTA INT SUSP POST EMBAR FIN. VE7NC</v>
          </cell>
        </row>
        <row r="31985">
          <cell r="B31985" t="str">
            <v>82000000001451</v>
          </cell>
          <cell r="C31985" t="str">
            <v>LPC CTRA CTA INT SUSP POST EMBAR FIN. VI7NC</v>
          </cell>
        </row>
        <row r="31986">
          <cell r="B31986" t="str">
            <v>82000000001452</v>
          </cell>
          <cell r="C31986" t="str">
            <v>LPC CTRA CTA INT SUSP POST EMBAR FIN. VE7NC</v>
          </cell>
        </row>
        <row r="31987">
          <cell r="B31987" t="str">
            <v>82000000001453</v>
          </cell>
          <cell r="C31987" t="str">
            <v>LPC CTRA CTA INT SUSP IMPORT. CARTA CRED7NC</v>
          </cell>
        </row>
        <row r="31988">
          <cell r="B31988" t="str">
            <v>82000000001454</v>
          </cell>
          <cell r="C31988" t="str">
            <v>LPC CTRA CTA INT SUSP IMPORT. CARTA CRED7NC</v>
          </cell>
        </row>
        <row r="31989">
          <cell r="B31989" t="str">
            <v>82000000001455</v>
          </cell>
          <cell r="C31989" t="str">
            <v>LPC CTRA CTA INT SUSP IMPORT. CARTA CRED7NC</v>
          </cell>
        </row>
        <row r="31990">
          <cell r="B31990" t="str">
            <v>82000000001456</v>
          </cell>
          <cell r="C31990" t="str">
            <v>LPC CTRA CTA INT SUSP IMPORT. CARTA CRED7NC</v>
          </cell>
        </row>
        <row r="31991">
          <cell r="B31991" t="str">
            <v>82000000001457</v>
          </cell>
          <cell r="C31991" t="str">
            <v>LPC CTRA CTA INT SUSP IMPORT. CARTA CRED7NC</v>
          </cell>
        </row>
        <row r="31992">
          <cell r="B31992" t="str">
            <v>82000000001458</v>
          </cell>
          <cell r="C31992" t="str">
            <v>LPC CTRA CTA INT SUSP IMPORT. CARTA CRED7NC</v>
          </cell>
        </row>
        <row r="31993">
          <cell r="B31993" t="str">
            <v>82000000001459</v>
          </cell>
          <cell r="C31993" t="str">
            <v>LPC CTRA CTA INT SUSP IMPORT. CARTA CRED7NC</v>
          </cell>
        </row>
        <row r="31994">
          <cell r="B31994" t="str">
            <v>82000000001460</v>
          </cell>
          <cell r="C31994" t="str">
            <v>LPC CTRA CTA INT SUSP IMPORT. CARTA CRED7NC</v>
          </cell>
        </row>
        <row r="31995">
          <cell r="B31995" t="str">
            <v>82000000001461</v>
          </cell>
          <cell r="C31995" t="str">
            <v>LPC CTRA CTA INT SUSP IMPORT. CARTA CRED7NC</v>
          </cell>
        </row>
        <row r="31996">
          <cell r="B31996" t="str">
            <v>82000000001462</v>
          </cell>
          <cell r="C31996" t="str">
            <v>LPC CTRA CTA INT SUSP IMPORT. CARTA CRED7NC</v>
          </cell>
        </row>
        <row r="31997">
          <cell r="B31997" t="str">
            <v>82000000001463</v>
          </cell>
          <cell r="C31997" t="str">
            <v>LPC CTRA CTA INT SUSP IMPORT. CARTA CRED7NC</v>
          </cell>
        </row>
        <row r="31998">
          <cell r="B31998" t="str">
            <v>82000000001464</v>
          </cell>
          <cell r="C31998" t="str">
            <v>LPC CTRA CTA INT SUSP IMPORT. CARTA CRED7NC</v>
          </cell>
        </row>
        <row r="31999">
          <cell r="B31999" t="str">
            <v>82000000001465</v>
          </cell>
          <cell r="C31999" t="str">
            <v>LPC CTRA CTA INT SUSP IMPORT. CARTA CRED7NC</v>
          </cell>
        </row>
        <row r="32000">
          <cell r="B32000" t="str">
            <v>82000000001466</v>
          </cell>
          <cell r="C32000" t="str">
            <v>LPC CTRA CTA INT SUSP IMPORT. CARTA CRED7NC</v>
          </cell>
        </row>
        <row r="32001">
          <cell r="B32001" t="str">
            <v>82000000001467</v>
          </cell>
          <cell r="C32001" t="str">
            <v>LPC CTRA CTA INT SUSP IMPORT. CARTA CRED7NC</v>
          </cell>
        </row>
        <row r="32002">
          <cell r="B32002" t="str">
            <v>82000000001468</v>
          </cell>
          <cell r="C32002" t="str">
            <v>LPC CTRA CTA INT SUSP IMPORT. CARTA CRED7NC</v>
          </cell>
        </row>
        <row r="32003">
          <cell r="B32003" t="str">
            <v>82000000001469</v>
          </cell>
          <cell r="C32003" t="str">
            <v>LPC CTRA CTA INT SUSP IMPORT. CARTA CRED7NC</v>
          </cell>
        </row>
        <row r="32004">
          <cell r="B32004" t="str">
            <v>82000000001470</v>
          </cell>
          <cell r="C32004" t="str">
            <v>LPC CTRA CTA INT SUSP IMPORT. CARTA CRED7NC</v>
          </cell>
        </row>
        <row r="32005">
          <cell r="B32005" t="str">
            <v>82000000001471</v>
          </cell>
          <cell r="C32005" t="str">
            <v>LPC CTRA CTA INT SUSP IMPORT.  FIN. VEN.7NC</v>
          </cell>
        </row>
        <row r="32006">
          <cell r="B32006" t="str">
            <v>82000000001472</v>
          </cell>
          <cell r="C32006" t="str">
            <v>LPC CTRA CTA INT SUSP IMPORT.  FIN. VIG.7NC</v>
          </cell>
        </row>
        <row r="32007">
          <cell r="B32007" t="str">
            <v>82000000001473</v>
          </cell>
          <cell r="C32007" t="str">
            <v>LPC CTRA CTA INT SUSP IMPORT.  FIN. VEN.7NC</v>
          </cell>
        </row>
        <row r="32008">
          <cell r="B32008" t="str">
            <v>82000000001474</v>
          </cell>
          <cell r="C32008" t="str">
            <v>LPC CTRA CTA INT SUSP IMPORT.  FIN. VEN.7NC</v>
          </cell>
        </row>
        <row r="32009">
          <cell r="B32009" t="str">
            <v>82000000001475</v>
          </cell>
          <cell r="C32009" t="str">
            <v>LPC CTRA CTA INT SUSP IMPORT.  FIN. VIG.7NC</v>
          </cell>
        </row>
        <row r="32010">
          <cell r="B32010" t="str">
            <v>82000000001476</v>
          </cell>
          <cell r="C32010" t="str">
            <v>LPC CTRA CTA INT SUSP IMPORT.  FIN. VEN.7NC</v>
          </cell>
        </row>
        <row r="32011">
          <cell r="B32011" t="str">
            <v>82000000001477</v>
          </cell>
          <cell r="C32011" t="str">
            <v>LPC CTRA CTA INT SUSP IMPORT.  FIN. VEN.7NC</v>
          </cell>
        </row>
        <row r="32012">
          <cell r="B32012" t="str">
            <v>82000000001478</v>
          </cell>
          <cell r="C32012" t="str">
            <v>LPC CTRA CTA INT SUSP IMPORT.  FIN. VIG.7NC</v>
          </cell>
        </row>
        <row r="32013">
          <cell r="B32013" t="str">
            <v>82000000001479</v>
          </cell>
          <cell r="C32013" t="str">
            <v>LPC CTRA CTA INT SUSP IMPORT.  FIN. VEN.7NC</v>
          </cell>
        </row>
        <row r="32014">
          <cell r="B32014" t="str">
            <v>82000000001480</v>
          </cell>
          <cell r="C32014" t="str">
            <v>LPC CTRA CTA INT SUSP IMPORT.  FIN. VEN.7NC</v>
          </cell>
        </row>
        <row r="32015">
          <cell r="B32015" t="str">
            <v>82000000001481</v>
          </cell>
          <cell r="C32015" t="str">
            <v>LPC CTRA CTA INT SUSP IMPORT.  FIN. VIG.7NC</v>
          </cell>
        </row>
        <row r="32016">
          <cell r="B32016" t="str">
            <v>82000000001482</v>
          </cell>
          <cell r="C32016" t="str">
            <v>LPC CTRA CTA INT SUSP IMPORT.  FIN. VEN.7NC</v>
          </cell>
        </row>
        <row r="32017">
          <cell r="B32017" t="str">
            <v>82000000001483</v>
          </cell>
          <cell r="C32017" t="str">
            <v>LPC CTRA CTA INT SUSP IMPORT.  FIN. VEN.7NC</v>
          </cell>
        </row>
        <row r="32018">
          <cell r="B32018" t="str">
            <v>82000000001484</v>
          </cell>
          <cell r="C32018" t="str">
            <v>LPC CTRA CTA INT SUSP IMPORT.  FIN. VIG.7NC</v>
          </cell>
        </row>
        <row r="32019">
          <cell r="B32019" t="str">
            <v>82000000001485</v>
          </cell>
          <cell r="C32019" t="str">
            <v>LPC CTRA CTA INT SUSP IMPORT.  FIN. VEN.7NC</v>
          </cell>
        </row>
        <row r="32020">
          <cell r="B32020" t="str">
            <v>82000000001486</v>
          </cell>
          <cell r="C32020" t="str">
            <v>LPC CTRA CTA INT SUSP IMPORT.  FIN. VEN.7NC</v>
          </cell>
        </row>
        <row r="32021">
          <cell r="B32021" t="str">
            <v>82000000001487</v>
          </cell>
          <cell r="C32021" t="str">
            <v>LPC CTRA CTA INT SUSP IMPORT.  FIN. VIG.7NC</v>
          </cell>
        </row>
        <row r="32022">
          <cell r="B32022" t="str">
            <v>82000000001488</v>
          </cell>
          <cell r="C32022" t="str">
            <v>LPC CTRA CTA INT SUSP IMPORT.  FIN. VEN.7NC</v>
          </cell>
        </row>
        <row r="32023">
          <cell r="B32023" t="str">
            <v>82000000001489</v>
          </cell>
          <cell r="C32023" t="str">
            <v>LPC CTRA.CTA P.TSA.DSCTO.INT.SUS VEN D/P7NC</v>
          </cell>
        </row>
        <row r="32024">
          <cell r="B32024" t="str">
            <v>82000000001490</v>
          </cell>
          <cell r="C32024" t="str">
            <v>LPC CTRA.CTA P.TSA.DSCTO.INT.SUS VIG D/P7NC</v>
          </cell>
        </row>
        <row r="32025">
          <cell r="B32025" t="str">
            <v>82000000001491</v>
          </cell>
          <cell r="C32025" t="str">
            <v>LPC CTRA.CTA P.TSA.DSCTO.INT.SUS VEN    7NC</v>
          </cell>
        </row>
        <row r="32026">
          <cell r="B32026" t="str">
            <v>82000000001492</v>
          </cell>
          <cell r="C32026" t="str">
            <v>LPC CTRA CTA INT PAG TV INMOBILIARIO D/P7NC</v>
          </cell>
        </row>
        <row r="32027">
          <cell r="B32027" t="str">
            <v>82000000001493</v>
          </cell>
          <cell r="C32027" t="str">
            <v>LPC C.CTA INT LEAS BPE REF IDL CMED     7NC</v>
          </cell>
        </row>
        <row r="32028">
          <cell r="B32028" t="str">
            <v>82000000001494</v>
          </cell>
          <cell r="C32028" t="str">
            <v>LPC C.CTA INT LEAS BPE SEG REF RP CMED  7NC</v>
          </cell>
        </row>
        <row r="32029">
          <cell r="B32029" t="str">
            <v>82000000001495</v>
          </cell>
          <cell r="C32029" t="str">
            <v>LPC C.CTA LEAS BPE VENC REF INT DIFER RP7NC</v>
          </cell>
        </row>
        <row r="32030">
          <cell r="B32030" t="str">
            <v>82000000001496</v>
          </cell>
          <cell r="C32030" t="str">
            <v>LPC C.CTA LEAS BPE VENC REF SEG INT DIF 7NC</v>
          </cell>
        </row>
        <row r="32031">
          <cell r="B32031" t="str">
            <v>82000000001604</v>
          </cell>
          <cell r="C32031" t="str">
            <v>PRIMER PROGRAMA B. SUBORDINADOS 2DA E   7NC</v>
          </cell>
        </row>
        <row r="32032">
          <cell r="B32032" t="str">
            <v>82000000001605</v>
          </cell>
          <cell r="C32032" t="str">
            <v>BONOS SUBORDINADOS 5TA Y 6TA EMISION    7NC</v>
          </cell>
        </row>
        <row r="32033">
          <cell r="B32033" t="str">
            <v>82000000001705</v>
          </cell>
          <cell r="C32033" t="str">
            <v>IC CCTA INT SUSP CRED REF TC IB PN      7NC</v>
          </cell>
        </row>
        <row r="32034">
          <cell r="B32034" t="str">
            <v>82000000001706</v>
          </cell>
          <cell r="C32034" t="str">
            <v>IC CCTA COM SUSP C. REF TC IB PN        7NC</v>
          </cell>
        </row>
        <row r="32035">
          <cell r="B32035" t="str">
            <v>82000000001802</v>
          </cell>
          <cell r="C32035" t="str">
            <v>LPC CTRCTA LEASING VENC BIEN INT DIFER R7NC</v>
          </cell>
        </row>
        <row r="32036">
          <cell r="B32036" t="str">
            <v>82000000001803</v>
          </cell>
          <cell r="C32036" t="str">
            <v>LPC CTRCTA LEASING VENC SEG INT DIF RP M7NC</v>
          </cell>
        </row>
        <row r="32037">
          <cell r="B32037" t="str">
            <v>82000000001804</v>
          </cell>
          <cell r="C32037" t="str">
            <v>LPC CTRCTA DIF.LSG BIEN VIG.D/P RP MES  7NC</v>
          </cell>
        </row>
        <row r="32038">
          <cell r="B32038" t="str">
            <v>82000000001805</v>
          </cell>
          <cell r="C32038" t="str">
            <v>LPC CTRCTA DIF LSG SEG VIG D/P RP MES   7NC</v>
          </cell>
        </row>
        <row r="32039">
          <cell r="B32039" t="str">
            <v>82000000001806</v>
          </cell>
          <cell r="C32039" t="str">
            <v>LPC CTRCTA I.VEN LSG DEL BIEN D/P RP MES7NC</v>
          </cell>
        </row>
        <row r="32040">
          <cell r="B32040" t="str">
            <v>82000000001807</v>
          </cell>
          <cell r="C32040" t="str">
            <v>LPC CTRCTA I.VEN LSG SEG D/P RP MES     7NC</v>
          </cell>
        </row>
        <row r="32041">
          <cell r="B32041" t="str">
            <v>82000000001808</v>
          </cell>
          <cell r="C32041" t="str">
            <v>LPC CCTA LEASBACK VENC BIEN INT DIF RP  7NC</v>
          </cell>
        </row>
        <row r="32042">
          <cell r="B32042" t="str">
            <v>82000000001809</v>
          </cell>
          <cell r="C32042" t="str">
            <v>LPC CTA LEASEBACK VENC SEG INTDIF RP ME 7NC</v>
          </cell>
        </row>
        <row r="32043">
          <cell r="B32043" t="str">
            <v>82000000001810</v>
          </cell>
          <cell r="C32043" t="str">
            <v>LPC CTRCTA DIF.LSBACK BIEN VIG.D/P RP ME7NC</v>
          </cell>
        </row>
        <row r="32044">
          <cell r="B32044" t="str">
            <v>82000000001811</v>
          </cell>
          <cell r="C32044" t="str">
            <v>LPC CTRCTA DIF LSBACK SEG VIG D/P RP CMI7NC</v>
          </cell>
        </row>
        <row r="32045">
          <cell r="B32045" t="str">
            <v>82000000001812</v>
          </cell>
          <cell r="C32045" t="str">
            <v>LPC CTCTA I.VEN LSBACK DEL BIEN D/P RP M7NC</v>
          </cell>
        </row>
        <row r="32046">
          <cell r="B32046" t="str">
            <v>82000000001813</v>
          </cell>
          <cell r="C32046" t="str">
            <v>LPC C.CTA I.VEN LSBACK SEG D/P RP CMIE  7NC</v>
          </cell>
        </row>
        <row r="32047">
          <cell r="B32047" t="str">
            <v>82000000001815</v>
          </cell>
          <cell r="C32047" t="str">
            <v>LPC CTRA CTA INT .COB. JUD. LEASING - ME7NC</v>
          </cell>
        </row>
        <row r="32048">
          <cell r="B32048" t="str">
            <v>82000000001818</v>
          </cell>
          <cell r="C32048" t="str">
            <v>LPC CCTA DIF.LSG BIEN VIG.D/P MES RP    7NC</v>
          </cell>
        </row>
        <row r="32049">
          <cell r="B32049" t="str">
            <v>82000000001819</v>
          </cell>
          <cell r="C32049" t="str">
            <v>LPC CCTA I.VEN LSG BIEN D/P MES RP      7NC</v>
          </cell>
        </row>
        <row r="32050">
          <cell r="B32050" t="str">
            <v>82000000001820</v>
          </cell>
          <cell r="C32050" t="str">
            <v>LPC CCTA DIF LSG SEG VIG D/P MES RP     7NC</v>
          </cell>
        </row>
        <row r="32051">
          <cell r="B32051" t="str">
            <v>82000000001821</v>
          </cell>
          <cell r="C32051" t="str">
            <v>LPC CCTA I.VEN LSG SEG D/P MES RP       7NC</v>
          </cell>
        </row>
        <row r="32052">
          <cell r="B32052" t="str">
            <v>82000000001824</v>
          </cell>
          <cell r="C32052" t="str">
            <v>CL COB.PRE-JUD. CRTA CTA INT.SUSP       7NC</v>
          </cell>
        </row>
        <row r="32053">
          <cell r="B32053" t="str">
            <v>82000000001825</v>
          </cell>
          <cell r="C32053" t="str">
            <v>CL CTRA CTA INT.EN SUSP.CRED.POR LIQ. CA7NC</v>
          </cell>
        </row>
        <row r="32054">
          <cell r="B32054" t="str">
            <v>82000000001826</v>
          </cell>
          <cell r="C32054" t="str">
            <v>LPC CTRA CTA INT.EN SUSP LS COB.JUD BPE 7NC</v>
          </cell>
        </row>
        <row r="32055">
          <cell r="B32055" t="str">
            <v>82000000001827</v>
          </cell>
          <cell r="C32055" t="str">
            <v>CL MYP CASTIGO CTRA CTA CAPITAL CAP.TRAB7NC</v>
          </cell>
        </row>
        <row r="32056">
          <cell r="B32056" t="str">
            <v>82000000001828</v>
          </cell>
          <cell r="C32056" t="str">
            <v>CL MYP CASTIGO CTRA CTA INTERES CAP.TRAB7NC</v>
          </cell>
        </row>
        <row r="32057">
          <cell r="B32057" t="str">
            <v>82000000001829</v>
          </cell>
          <cell r="C32057" t="str">
            <v>HPC CCTA. CAP.2DA HIPOT.REC PROP (S/HIP.7NC</v>
          </cell>
        </row>
        <row r="32058">
          <cell r="B32058" t="str">
            <v>82000000001830</v>
          </cell>
          <cell r="C32058" t="str">
            <v>HPC CCTA. CAP. 2DA HIPOT.REC PROP. (C/HI7NC</v>
          </cell>
        </row>
        <row r="32059">
          <cell r="B32059" t="str">
            <v>82000000001831</v>
          </cell>
          <cell r="C32059" t="str">
            <v>HPC CCTA. CAP. 2DA HIP. RP. BONOS  (S/HI7NC</v>
          </cell>
        </row>
        <row r="32060">
          <cell r="B32060" t="str">
            <v>82000000001832</v>
          </cell>
          <cell r="C32060" t="str">
            <v>HPC CCTA. CAP. 2DA HIP. RP. BONOS  (C/HI7NC</v>
          </cell>
        </row>
        <row r="32061">
          <cell r="B32061" t="str">
            <v>82000000001833</v>
          </cell>
          <cell r="C32061" t="str">
            <v>HPC CCTA CAP. 2DA HIPOT.TASA MIXTA REC P7NC</v>
          </cell>
        </row>
        <row r="32062">
          <cell r="B32062" t="str">
            <v>82000000001834</v>
          </cell>
          <cell r="C32062" t="str">
            <v>HPC CCTA. CAP. 2DA HIPOT TASA MIXTA REC 7NC</v>
          </cell>
        </row>
        <row r="32063">
          <cell r="B32063" t="str">
            <v>82000000001835</v>
          </cell>
          <cell r="C32063" t="str">
            <v>HPC CCTA. CAP.1RA HIPOT.REC PROP (S/HIP.7NC</v>
          </cell>
        </row>
        <row r="32064">
          <cell r="B32064" t="str">
            <v>82000000001836</v>
          </cell>
          <cell r="C32064" t="str">
            <v>HPC CCTA. CAP. 1RA HIPOT.REC PROP. (C/HI7NC</v>
          </cell>
        </row>
        <row r="32065">
          <cell r="B32065" t="str">
            <v>82000000001837</v>
          </cell>
          <cell r="C32065" t="str">
            <v>HPC CCTA. CAP. 1RA HIP. RP. BONOS  (S/HI7NC</v>
          </cell>
        </row>
        <row r="32066">
          <cell r="B32066" t="str">
            <v>82000000001838</v>
          </cell>
          <cell r="C32066" t="str">
            <v>HPC CCTA. CAP. 1RA HIP. RP. BONOS  (C/HI7NC</v>
          </cell>
        </row>
        <row r="32067">
          <cell r="B32067" t="str">
            <v>82000000001839</v>
          </cell>
          <cell r="C32067" t="str">
            <v>HPC CCTA CAP. 1RA HIPOT.TASA MIXTA REC P7NC</v>
          </cell>
        </row>
        <row r="32068">
          <cell r="B32068" t="str">
            <v>82000000001840</v>
          </cell>
          <cell r="C32068" t="str">
            <v>HPC CCTA. CAP. 1RA HIPOT TASA MIXTA REC 7NC</v>
          </cell>
        </row>
        <row r="32069">
          <cell r="B32069" t="str">
            <v>82000000001841</v>
          </cell>
          <cell r="C32069" t="str">
            <v>HPC CCTA. CAP. 1RA HIP TECHO PROPIO COFI7NC</v>
          </cell>
        </row>
        <row r="32070">
          <cell r="B32070" t="str">
            <v>82000000001842</v>
          </cell>
          <cell r="C32070" t="str">
            <v>HPC CCTA. CAP. 1RA HIP TECHO PROPIO COFI7NC</v>
          </cell>
        </row>
        <row r="32071">
          <cell r="B32071" t="str">
            <v>82000000001843</v>
          </cell>
          <cell r="C32071" t="str">
            <v>HPC CCTA. CAP. 1RA NUEVO MIVIVIENDA COFI7NC</v>
          </cell>
        </row>
        <row r="32072">
          <cell r="B32072" t="str">
            <v>82000000001844</v>
          </cell>
          <cell r="C32072" t="str">
            <v>HPC CCTA. CAP. 1RA HIP NUEVO MIVIVIENDA 7NC</v>
          </cell>
        </row>
        <row r="32073">
          <cell r="B32073" t="str">
            <v>82000000001845</v>
          </cell>
          <cell r="C32073" t="str">
            <v>HPC CCTA. CAP. 1RA NUEVO MIVIVIENDA COFI7NC</v>
          </cell>
        </row>
        <row r="32074">
          <cell r="B32074" t="str">
            <v>82000000001846</v>
          </cell>
          <cell r="C32074" t="str">
            <v>HPC CCTA. CAP. 1RA HIP NUEVO MIVIVIENDA 7NC</v>
          </cell>
        </row>
        <row r="32075">
          <cell r="B32075" t="str">
            <v>82000000001847</v>
          </cell>
          <cell r="C32075" t="str">
            <v>HPC CRED VEH PROV REF                   7NC</v>
          </cell>
        </row>
        <row r="32076">
          <cell r="B32076" t="str">
            <v>82000000002001</v>
          </cell>
          <cell r="C32076" t="str">
            <v>IC CTRA CTA SUSP REF EFECT EMPLEADO     7NC</v>
          </cell>
        </row>
        <row r="32077">
          <cell r="B32077" t="str">
            <v>82000000002002</v>
          </cell>
          <cell r="C32077" t="str">
            <v>EQUIPOS DE COMPUTACION-SERVICIOS CORPORA7NC</v>
          </cell>
        </row>
        <row r="32078">
          <cell r="B32078" t="str">
            <v>82000000002003</v>
          </cell>
          <cell r="C32078" t="str">
            <v>CTRCTA DE COMIS. NO PROCESADOS          7NC</v>
          </cell>
        </row>
        <row r="32079">
          <cell r="B32079" t="str">
            <v>82000000002201</v>
          </cell>
          <cell r="C32079" t="str">
            <v>SAT CTR CTA LINEAS CRED TC NO UTILIZADAS7NC</v>
          </cell>
        </row>
        <row r="32080">
          <cell r="B32080" t="str">
            <v>82000000002202</v>
          </cell>
          <cell r="C32080" t="str">
            <v>CDO CTR CTA LINEAS CRED TC NO UTILIZADAS7NC</v>
          </cell>
        </row>
        <row r="32081">
          <cell r="B32081" t="str">
            <v>82000000002203</v>
          </cell>
          <cell r="C32081" t="str">
            <v>CTRA CTA LIC LINEAS NO UTILIZADAS POR  C7NC</v>
          </cell>
        </row>
        <row r="32082">
          <cell r="B32082" t="str">
            <v>82000000002204</v>
          </cell>
          <cell r="C32082" t="str">
            <v>MYP CTRA.CTA.LINEAS CRED BPE NO UTILIZAD7NC</v>
          </cell>
        </row>
        <row r="32083">
          <cell r="B32083" t="str">
            <v>82000000002301</v>
          </cell>
          <cell r="C32083" t="str">
            <v>MYP CCTA INT.VENC C.TRAB. NORM CGEM     7NC</v>
          </cell>
        </row>
        <row r="32084">
          <cell r="B32084" t="str">
            <v>82000000002302</v>
          </cell>
          <cell r="C32084" t="str">
            <v>MYP CCTA INTXCOB.COMP AF NORM CGEM      7NC</v>
          </cell>
        </row>
        <row r="32085">
          <cell r="B32085" t="str">
            <v>82000000002303</v>
          </cell>
          <cell r="C32085" t="str">
            <v>MYP CCTA INT.COB.VEN CRED PARA NORM CGEM7NC</v>
          </cell>
        </row>
        <row r="32086">
          <cell r="B32086" t="str">
            <v>82000000002304</v>
          </cell>
          <cell r="C32086" t="str">
            <v>MYP CCTA INT.X COB.VENC LIN REVOL NORM C7NC</v>
          </cell>
        </row>
        <row r="32087">
          <cell r="B32087" t="str">
            <v>82000000002305</v>
          </cell>
          <cell r="C32087" t="str">
            <v>MYP D/P CCTA INTXCOB CAP.TRAB CGEM      7NC</v>
          </cell>
        </row>
        <row r="32088">
          <cell r="B32088" t="str">
            <v>82000000002306</v>
          </cell>
          <cell r="C32088" t="str">
            <v>MYP D/P CCTA INT.X COB.CAP.TRAB CGEM    7NC</v>
          </cell>
        </row>
        <row r="32089">
          <cell r="B32089" t="str">
            <v>82000000002307</v>
          </cell>
          <cell r="C32089" t="str">
            <v>MYP D/P CCTA INT.XCOB AF INMUEBLE CGEM  7NC</v>
          </cell>
        </row>
        <row r="32090">
          <cell r="B32090" t="str">
            <v>82000000002308</v>
          </cell>
          <cell r="C32090" t="str">
            <v>MYP D/P CCTA INT.X COB A F INMUEBLE CGEM7NC</v>
          </cell>
        </row>
        <row r="32091">
          <cell r="B32091" t="str">
            <v>82000000002309</v>
          </cell>
          <cell r="C32091" t="str">
            <v>MYP D/P CCTA INT.X COB CRED PARAL CGEM  7NC</v>
          </cell>
        </row>
        <row r="32092">
          <cell r="B32092" t="str">
            <v>82000000002310</v>
          </cell>
          <cell r="C32092" t="str">
            <v>MYP D/P CCTA INTXCOB CRED PARAL CGEM    7NC</v>
          </cell>
        </row>
        <row r="32093">
          <cell r="B32093" t="str">
            <v>82000000002311</v>
          </cell>
          <cell r="C32093" t="str">
            <v>MYP D/P CCTA INT.X COB. LINEA REVOL.CGEM7NC</v>
          </cell>
        </row>
        <row r="32094">
          <cell r="B32094" t="str">
            <v>82000000002312</v>
          </cell>
          <cell r="C32094" t="str">
            <v>MYP D/P CCTA INT.X COB. LINEA REVOL.CGEM7NC</v>
          </cell>
        </row>
        <row r="32095">
          <cell r="B32095" t="str">
            <v>82000000002313</v>
          </cell>
          <cell r="C32095" t="str">
            <v>MYP D/P CCTA IXCOB VIG PAG.BPE-BE COM.CG7NC</v>
          </cell>
        </row>
        <row r="32096">
          <cell r="B32096" t="str">
            <v>82000000002314</v>
          </cell>
          <cell r="C32096" t="str">
            <v>MYP D/P CCTA INTX COB PAG.BPE-BE COMER.C7NC</v>
          </cell>
        </row>
        <row r="32097">
          <cell r="B32097" t="str">
            <v>82000000002315</v>
          </cell>
          <cell r="C32097" t="str">
            <v>MYP D/P CCTA IXCOB VIG PAG.BPE-BE COM.CM7NC</v>
          </cell>
        </row>
        <row r="32098">
          <cell r="B32098" t="str">
            <v>82000000002316</v>
          </cell>
          <cell r="C32098" t="str">
            <v>MYP D/P CCTA INTX COB PAG.BPE-BE COMER.C7NC</v>
          </cell>
        </row>
        <row r="32099">
          <cell r="B32099" t="str">
            <v>82000000002317</v>
          </cell>
          <cell r="C32099" t="str">
            <v>MYP D/P CCTA IXCOB VIG PAG.BPE-BE COM.CP7NC</v>
          </cell>
        </row>
        <row r="32100">
          <cell r="B32100" t="str">
            <v>82000000002318</v>
          </cell>
          <cell r="C32100" t="str">
            <v>MYP D/P CCTA INTX COB PAG.BPE-BE COMER.C7NC</v>
          </cell>
        </row>
        <row r="32101">
          <cell r="B32101" t="str">
            <v>82000000002319</v>
          </cell>
          <cell r="C32101" t="str">
            <v>MYP CCTA INT.VENC PAG BPE-BE NORM COM.CG7NC</v>
          </cell>
        </row>
        <row r="32102">
          <cell r="B32102" t="str">
            <v>82000000002320</v>
          </cell>
          <cell r="C32102" t="str">
            <v>MYP CCTA INT.VENC PAG BPE-BE COM.NORM CM7NC</v>
          </cell>
        </row>
        <row r="32103">
          <cell r="B32103" t="str">
            <v>82000000002321</v>
          </cell>
          <cell r="C32103" t="str">
            <v>MYP CCTA INT.VENC PAG BPE-BE COM.NORM CP7NC</v>
          </cell>
        </row>
        <row r="32104">
          <cell r="B32104" t="str">
            <v>82000000002322</v>
          </cell>
          <cell r="C32104" t="str">
            <v>MYP D/P CCTA INT.X COB. LIN REV.BPE-BE C7NC</v>
          </cell>
        </row>
        <row r="32105">
          <cell r="B32105" t="str">
            <v>82000000002323</v>
          </cell>
          <cell r="C32105" t="str">
            <v>MYP D/P CCTA INT.X COB. LIN REV.BPE-BE C7NC</v>
          </cell>
        </row>
        <row r="32106">
          <cell r="B32106" t="str">
            <v>82000000002324</v>
          </cell>
          <cell r="C32106" t="str">
            <v>MYP D/P CCTA INT.X COB. LIN REV.BPE-BE C7NC</v>
          </cell>
        </row>
        <row r="32107">
          <cell r="B32107" t="str">
            <v>82000000002325</v>
          </cell>
          <cell r="C32107" t="str">
            <v>MYP D/P CCTA INT.X COB. LIN REV.BPE-BE C7NC</v>
          </cell>
        </row>
        <row r="32108">
          <cell r="B32108" t="str">
            <v>82000000002326</v>
          </cell>
          <cell r="C32108" t="str">
            <v>MYP D/P CCTA INT.X COB. LIN REV.BPE-BE C7NC</v>
          </cell>
        </row>
        <row r="32109">
          <cell r="B32109" t="str">
            <v>82000000002327</v>
          </cell>
          <cell r="C32109" t="str">
            <v>MYP D/P CCTA INT.X COB. LIN REV.BPE-BE C7NC</v>
          </cell>
        </row>
        <row r="32110">
          <cell r="B32110" t="str">
            <v>82000000002328</v>
          </cell>
          <cell r="C32110" t="str">
            <v>MYP CCTA I.X C.VENC L.REV.BPE-BE COM NOR7NC</v>
          </cell>
        </row>
        <row r="32111">
          <cell r="B32111" t="str">
            <v>82000000002329</v>
          </cell>
          <cell r="C32111" t="str">
            <v>MYP CCTA I.X C.VENC L.REV.BPE-BE COM NOR7NC</v>
          </cell>
        </row>
        <row r="32112">
          <cell r="B32112" t="str">
            <v>82000000002330</v>
          </cell>
          <cell r="C32112" t="str">
            <v>MYP CCTA I.X C.VENC L.REV.BPE-BE COM NOR7NC</v>
          </cell>
        </row>
        <row r="32113">
          <cell r="B32113" t="str">
            <v>82000000002331</v>
          </cell>
          <cell r="C32113" t="str">
            <v>MYP CCTA INTVENC CTRABPROVREFCMED       7NC</v>
          </cell>
        </row>
        <row r="32114">
          <cell r="B32114" t="str">
            <v>82000000002332</v>
          </cell>
          <cell r="C32114" t="str">
            <v>MYP CCTACAPVIG CAPTRABPROREFIN          7NC</v>
          </cell>
        </row>
        <row r="32115">
          <cell r="B32115" t="str">
            <v>82000000002333</v>
          </cell>
          <cell r="C32115" t="str">
            <v>MYP CCTA INTVENC CTRABPROVREFCMIE       7NC</v>
          </cell>
        </row>
        <row r="32116">
          <cell r="B32116" t="str">
            <v>82000000002334</v>
          </cell>
          <cell r="C32116" t="str">
            <v>MYP CCTA INTVENC CTRABPROVREFCPEM       7NC</v>
          </cell>
        </row>
        <row r="32117">
          <cell r="B32117" t="str">
            <v>82000000002335</v>
          </cell>
          <cell r="C32117" t="str">
            <v>MYP CCTA IX COBVENC LREVPROVREFCMED     7NC</v>
          </cell>
        </row>
        <row r="32118">
          <cell r="B32118" t="str">
            <v>82000000002336</v>
          </cell>
          <cell r="C32118" t="str">
            <v>MYP CCTALINEA REVOLV PROREFIN           7NC</v>
          </cell>
        </row>
        <row r="32119">
          <cell r="B32119" t="str">
            <v>82000000002337</v>
          </cell>
          <cell r="C32119" t="str">
            <v>MYP CCTA IX COBVENC LREVPROVREFCMIE     7NC</v>
          </cell>
        </row>
        <row r="32120">
          <cell r="B32120" t="str">
            <v>82000000002338</v>
          </cell>
          <cell r="C32120" t="str">
            <v>MYP CCTA IX COBVENC LREVPROVREFCPEM     7NC</v>
          </cell>
        </row>
        <row r="32121">
          <cell r="B32121" t="str">
            <v>82000000002339</v>
          </cell>
          <cell r="C32121" t="str">
            <v>MYP CCTA INT.VENC C.TRAB.REUT.CMED      7NC</v>
          </cell>
        </row>
        <row r="32122">
          <cell r="B32122" t="str">
            <v>82000000002340</v>
          </cell>
          <cell r="C32122" t="str">
            <v>MYP CCTA INT.VENC C.TRAB.REUT.CMIE      7NC</v>
          </cell>
        </row>
        <row r="32123">
          <cell r="B32123" t="str">
            <v>82000000002341</v>
          </cell>
          <cell r="C32123" t="str">
            <v>MYP CCTA INT.VENC C.TRAB.REUT.CPEM      7NC</v>
          </cell>
        </row>
        <row r="32124">
          <cell r="B32124" t="str">
            <v>82000000002342</v>
          </cell>
          <cell r="C32124" t="str">
            <v>MYP CCTA I.X COB.VENC L.REV.REUT.CMED   7NC</v>
          </cell>
        </row>
        <row r="32125">
          <cell r="B32125" t="str">
            <v>82000000002343</v>
          </cell>
          <cell r="C32125" t="str">
            <v>MYP CCTA I.X COB.VENC L.REV.REUT.CMIE   7NC</v>
          </cell>
        </row>
        <row r="32126">
          <cell r="B32126" t="str">
            <v>82000000002344</v>
          </cell>
          <cell r="C32126" t="str">
            <v>MYP CCTA I.X COB.VENC L.REV.REUT.CPEM   7NC</v>
          </cell>
        </row>
        <row r="32127">
          <cell r="B32127" t="str">
            <v>82000000002345</v>
          </cell>
          <cell r="C32127" t="str">
            <v>MYP CCTRA.INTX COB VENC LIN REVOL PROVRE7NC</v>
          </cell>
        </row>
        <row r="32128">
          <cell r="B32128" t="str">
            <v>82000000002346</v>
          </cell>
          <cell r="C32128" t="str">
            <v>MYP CCTRA.SEG.BIEN VENC FINANC CMIE DUPE7NC</v>
          </cell>
        </row>
        <row r="32129">
          <cell r="B32129" t="str">
            <v>82000000002401</v>
          </cell>
          <cell r="C32129" t="str">
            <v>HPC CCTA ORDEN  VIG FINAN.PROV.REFIN    7NC</v>
          </cell>
        </row>
        <row r="32130">
          <cell r="B32130" t="str">
            <v>82000000002501</v>
          </cell>
          <cell r="C32130" t="str">
            <v>HPC CCTA INT.X COB.VENC TC FINAN.PROV.RE7NC</v>
          </cell>
        </row>
        <row r="32131">
          <cell r="B32131" t="str">
            <v>82000000002601</v>
          </cell>
          <cell r="C32131" t="str">
            <v>EX FORFAITING CTRA CTA INT.SUSP. VENC   7NC</v>
          </cell>
        </row>
        <row r="32132">
          <cell r="B32132" t="str">
            <v>82000000002603</v>
          </cell>
          <cell r="C32132" t="str">
            <v>CL INT.SUSP WORKING CAPITAL EXPORT      7NC</v>
          </cell>
        </row>
        <row r="32133">
          <cell r="B32133" t="str">
            <v>82000000002704</v>
          </cell>
          <cell r="C32133" t="str">
            <v>MANTENIMIENTO SUSP MES PJ SF            7NC</v>
          </cell>
        </row>
        <row r="32134">
          <cell r="B32134" t="str">
            <v>82000000002705</v>
          </cell>
          <cell r="C32134" t="str">
            <v>CTRACTA MANT SUSPENSO PJ MES2705        7NC</v>
          </cell>
        </row>
        <row r="32135">
          <cell r="B32135" t="str">
            <v>82000000002707</v>
          </cell>
          <cell r="C32135" t="str">
            <v>CL CASTIGO INTERES CRTA CTA MES         7NC</v>
          </cell>
        </row>
        <row r="32136">
          <cell r="B32136" t="str">
            <v>82000000002708</v>
          </cell>
          <cell r="C32136" t="str">
            <v>CL PRE.JUD.CRTA CTA MES INT.SUS         7NC</v>
          </cell>
        </row>
        <row r="32137">
          <cell r="B32137" t="str">
            <v>82000000002709</v>
          </cell>
          <cell r="C32137" t="str">
            <v>CL CTRCTA PRE JUD. COFID SBS MES GL7003 7NC</v>
          </cell>
        </row>
        <row r="32138">
          <cell r="B32138" t="str">
            <v>82000000002710</v>
          </cell>
          <cell r="C32138" t="str">
            <v>CL P.REF.RFA SUBO.Y FINAN.MES CTRCTA    7NC</v>
          </cell>
        </row>
        <row r="32139">
          <cell r="B32139" t="str">
            <v>82000000002711</v>
          </cell>
          <cell r="C32139" t="str">
            <v>PR FACT ELECTR LET/FACT I.COMP MES      7NC</v>
          </cell>
        </row>
        <row r="32140">
          <cell r="B32140" t="str">
            <v>82000000002712</v>
          </cell>
          <cell r="C32140" t="str">
            <v>PR FACT ELECTR LET/FACT I.DIF MES       7NC</v>
          </cell>
        </row>
        <row r="32141">
          <cell r="B32141" t="str">
            <v>82000000002713</v>
          </cell>
          <cell r="C32141" t="str">
            <v>PR  DSCTO ELECTR SM PERUAN I.COM MES    7NC</v>
          </cell>
        </row>
        <row r="32142">
          <cell r="B32142" t="str">
            <v>82000000002714</v>
          </cell>
          <cell r="C32142" t="str">
            <v>CL INT.SUSP.DEUD.VTA CARTERA            7NC</v>
          </cell>
        </row>
        <row r="32143">
          <cell r="B32143" t="str">
            <v>82000000002715</v>
          </cell>
          <cell r="C32143" t="str">
            <v>MYP CCTA INT.X COB.VENC LINEA REVOL.    7NC</v>
          </cell>
        </row>
        <row r="32144">
          <cell r="B32144" t="str">
            <v>82000000002716</v>
          </cell>
          <cell r="C32144" t="str">
            <v>MYP D/P CCTA INT.X COB. LINEA REVOL.    7NC</v>
          </cell>
        </row>
        <row r="32145">
          <cell r="B32145" t="str">
            <v>82000000002717</v>
          </cell>
          <cell r="C32145" t="str">
            <v>MYP C CCTA INT.X COB. VENC LINEA REVOL  7NC</v>
          </cell>
        </row>
        <row r="32146">
          <cell r="B32146" t="str">
            <v>82000000002718</v>
          </cell>
          <cell r="C32146" t="str">
            <v>MYP D/P C CCTA INT.X COB. LINEA REVOL.  7NC</v>
          </cell>
        </row>
        <row r="32147">
          <cell r="B32147" t="str">
            <v>82000000002719</v>
          </cell>
          <cell r="C32147" t="str">
            <v>MYP IMPORT RP C.CTA MES VENC            7NC</v>
          </cell>
        </row>
        <row r="32148">
          <cell r="B32148" t="str">
            <v>82000000002720</v>
          </cell>
          <cell r="C32148" t="str">
            <v>MYP D/P IMPOR RP C.CTA MES VENC         7NC</v>
          </cell>
        </row>
        <row r="32149">
          <cell r="B32149" t="str">
            <v>82000000002723</v>
          </cell>
          <cell r="C32149" t="str">
            <v>CL PRE JUD MYP C.CTA CAP TRAB INT SU    7NC</v>
          </cell>
        </row>
        <row r="32150">
          <cell r="B32150" t="str">
            <v>82000000002724</v>
          </cell>
          <cell r="C32150" t="str">
            <v>CL PRE JUD MYP C.CTA INT SUSP COMP      7NC</v>
          </cell>
        </row>
        <row r="32151">
          <cell r="B32151" t="str">
            <v>82000000002725</v>
          </cell>
          <cell r="C32151" t="str">
            <v>CL PRE JUD MYP C.CTA INT SUSP COMP      7NC</v>
          </cell>
        </row>
        <row r="32152">
          <cell r="B32152" t="str">
            <v>82000000002726</v>
          </cell>
          <cell r="C32152" t="str">
            <v>UCL PRE JUD MYP C.CTA CRED ESTAC INT    7NC</v>
          </cell>
        </row>
        <row r="32153">
          <cell r="B32153" t="str">
            <v>82000000002727</v>
          </cell>
          <cell r="C32153" t="str">
            <v>CL CTRA CTA PRE JUD MYP  AF CYBERPL     7NC</v>
          </cell>
        </row>
        <row r="32154">
          <cell r="B32154" t="str">
            <v>82000000002728</v>
          </cell>
          <cell r="C32154" t="str">
            <v>MYP EXPORT.POST EMBARQ RP C.CTA MES VENC7NC</v>
          </cell>
        </row>
        <row r="32155">
          <cell r="B32155" t="str">
            <v>82000000002729</v>
          </cell>
          <cell r="C32155" t="str">
            <v>MYP D/P EXPORT.POST EMBARQ C.CTA VENC CP7NC</v>
          </cell>
        </row>
        <row r="32156">
          <cell r="B32156" t="str">
            <v>82000000002732</v>
          </cell>
          <cell r="C32156" t="str">
            <v>MYP EXPORT.PRE EMBAR RP C.CTAÂ  VENC CPE7NC</v>
          </cell>
        </row>
        <row r="32157">
          <cell r="B32157" t="str">
            <v>82000000002733</v>
          </cell>
          <cell r="C32157" t="str">
            <v>MYP D/P EXPORT.PRE EMB CCTA INTXCOB VIG 7NC</v>
          </cell>
        </row>
        <row r="32158">
          <cell r="B32158" t="str">
            <v>82000000002736</v>
          </cell>
          <cell r="C32158" t="str">
            <v>MYP CCTA INT.X COB.VENC TRANSP PUB      7NC</v>
          </cell>
        </row>
        <row r="32159">
          <cell r="B32159" t="str">
            <v>82000000002737</v>
          </cell>
          <cell r="C32159" t="str">
            <v>MYP D/P CCTA INT.X COB. TRANSP PUB      7NC</v>
          </cell>
        </row>
        <row r="32160">
          <cell r="B32160" t="str">
            <v>82000000002738</v>
          </cell>
          <cell r="C32160" t="str">
            <v>MYP C CCTA INT.X COB.VENC TRANSP P      7NC</v>
          </cell>
        </row>
        <row r="32161">
          <cell r="B32161" t="str">
            <v>82000000002739</v>
          </cell>
          <cell r="C32161" t="str">
            <v>MYP D/P C CCTA INT.X COB. TRANSP PUBL   7NC</v>
          </cell>
        </row>
        <row r="32162">
          <cell r="B32162" t="str">
            <v>82000000002740</v>
          </cell>
          <cell r="C32162" t="str">
            <v>CL PRE.JUD.CRTA CTA INT.SUSP CCNR       7NC</v>
          </cell>
        </row>
        <row r="32163">
          <cell r="B32163" t="str">
            <v>82000000002741</v>
          </cell>
          <cell r="C32163" t="str">
            <v>MYP ER CONTRA CTA TRA DUP CMED          7NC</v>
          </cell>
        </row>
        <row r="32164">
          <cell r="B32164" t="str">
            <v>82000000002742</v>
          </cell>
          <cell r="C32164" t="str">
            <v>MYP E.R.CTRA CTA INT.VIG FIN CAP TRA DUP7NC</v>
          </cell>
        </row>
        <row r="32165">
          <cell r="B32165" t="str">
            <v>82000000002743</v>
          </cell>
          <cell r="C32165" t="str">
            <v>MYP E.R.CTRA CTA INT.VEN FIN CAP TRA DUP7NC</v>
          </cell>
        </row>
        <row r="32166">
          <cell r="B32166" t="str">
            <v>82000000002744</v>
          </cell>
          <cell r="C32166" t="str">
            <v>MYP DUPE INTXCOBVIG CTRABPROVREFCPEM    7NC</v>
          </cell>
        </row>
        <row r="32167">
          <cell r="B32167" t="str">
            <v>82000000002745</v>
          </cell>
          <cell r="C32167" t="str">
            <v>MYP CCTA DUPE  INTVENC CTRABPROVREFCPEM 7NC</v>
          </cell>
        </row>
        <row r="32168">
          <cell r="B32168" t="str">
            <v>82000000002746</v>
          </cell>
          <cell r="C32168" t="str">
            <v>MYP CCTA DUPEÂ  INTVENC LIN.REV.REUT CPE7NC</v>
          </cell>
        </row>
        <row r="32169">
          <cell r="B32169" t="str">
            <v>82000000002747</v>
          </cell>
          <cell r="C32169" t="str">
            <v>MYP CCTA DUPE INT.X COB.VIG L.REV.REUT.C7NC</v>
          </cell>
        </row>
        <row r="32170">
          <cell r="B32170" t="str">
            <v>82000000002748</v>
          </cell>
          <cell r="C32170" t="str">
            <v>MYP CCTA DUPE INT.X COB.VIG L.REV.REUT.C7NC</v>
          </cell>
        </row>
        <row r="32171">
          <cell r="B32171" t="str">
            <v>82000000002749</v>
          </cell>
          <cell r="C32171" t="str">
            <v>MYP CCTA DUPE  INTVENC LIN.REV.REUT CMED7NC</v>
          </cell>
        </row>
        <row r="32172">
          <cell r="B32172" t="str">
            <v>82000000002750</v>
          </cell>
          <cell r="C32172" t="str">
            <v>MYP DUPE INTXCOB VIG C TRAB PROV REF CME7NC</v>
          </cell>
        </row>
        <row r="32173">
          <cell r="B32173" t="str">
            <v>82000000002751</v>
          </cell>
          <cell r="C32173" t="str">
            <v>MYP CCTA DUPE INT VENC C TRAB PROV REF C7NC</v>
          </cell>
        </row>
        <row r="32174">
          <cell r="B32174" t="str">
            <v>82000000002801</v>
          </cell>
          <cell r="C32174" t="str">
            <v>CHI CCTA D/P INTERES VIG.CRED.HIPOTEC   7NC</v>
          </cell>
        </row>
        <row r="32175">
          <cell r="B32175" t="str">
            <v>82000000002802</v>
          </cell>
          <cell r="C32175" t="str">
            <v>CHI CCTA D/P INTERES VENC.CRED.H        7NC</v>
          </cell>
        </row>
        <row r="32176">
          <cell r="B32176" t="str">
            <v>82000000002803</v>
          </cell>
          <cell r="C32176" t="str">
            <v>CHI CCTA D/P COM G.ADM VIG HIPOTECARI   7NC</v>
          </cell>
        </row>
        <row r="32177">
          <cell r="B32177" t="str">
            <v>82000000002804</v>
          </cell>
          <cell r="C32177" t="str">
            <v>CHI CCTA D/P COM G.ADM VEN HIPO4        7NC</v>
          </cell>
        </row>
        <row r="32178">
          <cell r="B32178" t="str">
            <v>82000000002805</v>
          </cell>
          <cell r="C32178" t="str">
            <v>CHI CCTA D/P SEG DESG VIG CRED5         7NC</v>
          </cell>
        </row>
        <row r="32179">
          <cell r="B32179" t="str">
            <v>82000000002806</v>
          </cell>
          <cell r="C32179" t="str">
            <v>CHI CCTA D/P SEG DESG VENC MIVIV        7NC</v>
          </cell>
        </row>
        <row r="32180">
          <cell r="B32180" t="str">
            <v>82000000002807</v>
          </cell>
          <cell r="C32180" t="str">
            <v>CHI CCTA D/P SEG INMUEB VIG  CR7        7NC</v>
          </cell>
        </row>
        <row r="32181">
          <cell r="B32181" t="str">
            <v>82000000002808</v>
          </cell>
          <cell r="C32181" t="str">
            <v>CHI CCTA D/P SEG INMUEB VENC CRE        7NC</v>
          </cell>
        </row>
        <row r="32182">
          <cell r="B32182" t="str">
            <v>82000000002809</v>
          </cell>
          <cell r="C32182" t="str">
            <v>CHI CCTA D/P INT INDEX VIG CRED.HIPOT   7NC</v>
          </cell>
        </row>
        <row r="32183">
          <cell r="B32183" t="str">
            <v>82000000002810</v>
          </cell>
          <cell r="C32183" t="str">
            <v>CHI CCTA D/P INT INDEX VENC MI VIVIEN   7NC</v>
          </cell>
        </row>
        <row r="32184">
          <cell r="B32184" t="str">
            <v>82000000002811</v>
          </cell>
          <cell r="C32184" t="str">
            <v>CHI CCTA D/P INDEX COM G.ADM VIG HIPO   7NC</v>
          </cell>
        </row>
        <row r="32185">
          <cell r="B32185" t="str">
            <v>82000000002812</v>
          </cell>
          <cell r="C32185" t="str">
            <v>CHI CCTA D/P INDEX COM G.ADM VEN HIPO   7NC</v>
          </cell>
        </row>
        <row r="32186">
          <cell r="B32186" t="str">
            <v>82000000002813</v>
          </cell>
          <cell r="C32186" t="str">
            <v>CHI CCTA D/P INDX SEG DESG VIG3         7NC</v>
          </cell>
        </row>
        <row r="32187">
          <cell r="B32187" t="str">
            <v>82000000002814</v>
          </cell>
          <cell r="C32187" t="str">
            <v>CHI CCTA D/P INDX SEG DESG VEN HIPOT    7NC</v>
          </cell>
        </row>
        <row r="32188">
          <cell r="B32188" t="str">
            <v>82000000002815</v>
          </cell>
          <cell r="C32188" t="str">
            <v>CHI CCTA D/P INDX SEG BIEN VIG5         7NC</v>
          </cell>
        </row>
        <row r="32189">
          <cell r="B32189" t="str">
            <v>82000000002816</v>
          </cell>
          <cell r="C32189" t="str">
            <v>CHI CCTA D/P INDX SEG BIEN VEN HIPOT    7NC</v>
          </cell>
        </row>
        <row r="32190">
          <cell r="B32190" t="str">
            <v>82000000002821</v>
          </cell>
          <cell r="C32190" t="str">
            <v>CL P.REF.RFA SUBO.Y FINAN.COMER CRTC    7NC</v>
          </cell>
        </row>
        <row r="32191">
          <cell r="B32191" t="str">
            <v>82000000002822</v>
          </cell>
          <cell r="C32191" t="str">
            <v>CL PREJUD HIP.MIVIV VEN COF SBS         7NC</v>
          </cell>
        </row>
        <row r="32192">
          <cell r="B32192" t="str">
            <v>82000000002823</v>
          </cell>
          <cell r="C32192" t="str">
            <v>CL JUD HIP.MIVIV COF SBS                7NC</v>
          </cell>
        </row>
        <row r="32193">
          <cell r="B32193" t="str">
            <v>82000000002825</v>
          </cell>
          <cell r="C32193" t="str">
            <v>CL PREST.VIG-CTRL SBS(ANTES REF.)       7NC</v>
          </cell>
        </row>
        <row r="32194">
          <cell r="B32194" t="str">
            <v>82000000002826</v>
          </cell>
          <cell r="C32194" t="str">
            <v>LPC PREST.VIG-CTRL SBS(ANTES REF.)      7NC</v>
          </cell>
        </row>
        <row r="32195">
          <cell r="B32195" t="str">
            <v>82000000002833</v>
          </cell>
          <cell r="C32195" t="str">
            <v>HPC CCTA INT.X COB.VENC HIPOT.RP        7NC</v>
          </cell>
        </row>
        <row r="32196">
          <cell r="B32196" t="str">
            <v>82000000002834</v>
          </cell>
          <cell r="C32196" t="str">
            <v>HPC D/P CCTA INT.X COB. HIPOT.RP        7NC</v>
          </cell>
        </row>
        <row r="32197">
          <cell r="B32197" t="str">
            <v>82000000002835</v>
          </cell>
          <cell r="C32197" t="str">
            <v>HPC CCTA.SEG.DESGR - INMB HIPOT.        7NC</v>
          </cell>
        </row>
        <row r="32198">
          <cell r="B32198" t="str">
            <v>82000000002836</v>
          </cell>
          <cell r="C32198" t="str">
            <v>HPC D/P CCTA.SEG.DESGR - INMB.HI        7NC</v>
          </cell>
        </row>
        <row r="32199">
          <cell r="B32199" t="str">
            <v>82000000002837</v>
          </cell>
          <cell r="C32199" t="str">
            <v>LPC LEASING.VIG-CTRL SBS(ANT REF.)      7NC</v>
          </cell>
        </row>
        <row r="32200">
          <cell r="B32200" t="str">
            <v>82000000002838</v>
          </cell>
          <cell r="C32200" t="str">
            <v>HPC CCTA INT.X COB.VENC MI VIV C        7NC</v>
          </cell>
        </row>
        <row r="32201">
          <cell r="B32201" t="str">
            <v>82000000002839</v>
          </cell>
          <cell r="C32201" t="str">
            <v>HPC CCTA.SEG.DESGR - INMB MI VI         7NC</v>
          </cell>
        </row>
        <row r="32202">
          <cell r="B32202" t="str">
            <v>82000000002840</v>
          </cell>
          <cell r="C32202" t="str">
            <v>HPC D/P CCTA INT.X COB. MI VIV CO       7NC</v>
          </cell>
        </row>
        <row r="32203">
          <cell r="B32203" t="str">
            <v>82000000002841</v>
          </cell>
          <cell r="C32203" t="str">
            <v>HPC D/P CCTA.SEG.DESGR - INMB.MI        7NC</v>
          </cell>
        </row>
        <row r="32204">
          <cell r="B32204" t="str">
            <v>82000000002842</v>
          </cell>
          <cell r="C32204" t="str">
            <v>HPC D/P CCTA INT.X COB.VIG MI VIV COF   7NC</v>
          </cell>
        </row>
        <row r="32205">
          <cell r="B32205" t="str">
            <v>82000000002843</v>
          </cell>
          <cell r="C32205" t="str">
            <v>HPC D/P CCTA SEG DESGR-INMB MI VIV CO   7NC</v>
          </cell>
        </row>
        <row r="32206">
          <cell r="B32206" t="str">
            <v>82000000002844</v>
          </cell>
          <cell r="C32206" t="str">
            <v>HPC CCTA MI VIVIENDA COFIDE             7NC</v>
          </cell>
        </row>
        <row r="32207">
          <cell r="B32207" t="str">
            <v>82000000002845</v>
          </cell>
          <cell r="C32207" t="str">
            <v>HPC D/P CCTA INT.X COB.VIG RP EMP       7NC</v>
          </cell>
        </row>
        <row r="32208">
          <cell r="B32208" t="str">
            <v>82000000002846</v>
          </cell>
          <cell r="C32208" t="str">
            <v>HPC D/P CCTA SEG.DESG-INMB.VIG          7NC</v>
          </cell>
        </row>
        <row r="32209">
          <cell r="B32209" t="str">
            <v>82000000002847</v>
          </cell>
          <cell r="C32209" t="str">
            <v>HPC CCTA INT.X COB.VENC TEC PROP        7NC</v>
          </cell>
        </row>
        <row r="32210">
          <cell r="B32210" t="str">
            <v>82000000002848</v>
          </cell>
          <cell r="C32210" t="str">
            <v>HPC CCTA.SEG.DESGR-INMB TEC PROP        7NC</v>
          </cell>
        </row>
        <row r="32211">
          <cell r="B32211" t="str">
            <v>82000000002849</v>
          </cell>
          <cell r="C32211" t="str">
            <v>HPC D/P CCTA INT.X COB. TEC PROP        7NC</v>
          </cell>
        </row>
        <row r="32212">
          <cell r="B32212" t="str">
            <v>82000000002850</v>
          </cell>
          <cell r="C32212" t="str">
            <v>HPC D/P CCTA.SEG.DESGR-INMB.T PRO       7NC</v>
          </cell>
        </row>
        <row r="32213">
          <cell r="B32213" t="str">
            <v>82000000002851</v>
          </cell>
          <cell r="C32213" t="str">
            <v>HPC CCTA TECHO PROPIO COFIDE            7NC</v>
          </cell>
        </row>
        <row r="32214">
          <cell r="B32214" t="str">
            <v>82000000002852</v>
          </cell>
          <cell r="C32214" t="str">
            <v>HPC CCTA INT.X COB.VENC MI VIV          7NC</v>
          </cell>
        </row>
        <row r="32215">
          <cell r="B32215" t="str">
            <v>82000000002853</v>
          </cell>
          <cell r="C32215" t="str">
            <v>HPC CCTA.SEG.DESGR - INMB MI VI         7NC</v>
          </cell>
        </row>
        <row r="32216">
          <cell r="B32216" t="str">
            <v>82000000002854</v>
          </cell>
          <cell r="C32216" t="str">
            <v>HPC D/P CCTA INT.X COB. MI VIV R        7NC</v>
          </cell>
        </row>
        <row r="32217">
          <cell r="B32217" t="str">
            <v>82000000002855</v>
          </cell>
          <cell r="C32217" t="str">
            <v>HPC D/P CCTA.SEG.DESGR - INMB.MI        7NC</v>
          </cell>
        </row>
        <row r="32218">
          <cell r="B32218" t="str">
            <v>82000000002856</v>
          </cell>
          <cell r="C32218" t="str">
            <v>HPC CCTA INT.X COB.VENC HIP. RP.        7NC</v>
          </cell>
        </row>
        <row r="32219">
          <cell r="B32219" t="str">
            <v>82000000002857</v>
          </cell>
          <cell r="C32219" t="str">
            <v>HPC CCTA.SEG.DESGR - INMB HIP. R        7NC</v>
          </cell>
        </row>
        <row r="32220">
          <cell r="B32220" t="str">
            <v>82000000002858</v>
          </cell>
          <cell r="C32220" t="str">
            <v>HPC D/P CCTA INT.X COB. HIP. RP.        7NC</v>
          </cell>
        </row>
        <row r="32221">
          <cell r="B32221" t="str">
            <v>82000000002859</v>
          </cell>
          <cell r="C32221" t="str">
            <v>HPC D/P CCTA.SEG.DESGR - INMB.HI        7NC</v>
          </cell>
        </row>
        <row r="32222">
          <cell r="B32222" t="str">
            <v>82000000002860</v>
          </cell>
          <cell r="C32222" t="str">
            <v>HPC CCTA INT.X COB.VENC HIP RP AD       7NC</v>
          </cell>
        </row>
        <row r="32223">
          <cell r="B32223" t="str">
            <v>82000000002861</v>
          </cell>
          <cell r="C32223" t="str">
            <v>HPC CCTA.SEG.DESGR-INMB HIP RP AD       7NC</v>
          </cell>
        </row>
        <row r="32224">
          <cell r="B32224" t="str">
            <v>82000000002862</v>
          </cell>
          <cell r="C32224" t="str">
            <v>HPC D/P CCTA INT.X COB. HIP RP AD       7NC</v>
          </cell>
        </row>
        <row r="32225">
          <cell r="B32225" t="str">
            <v>82000000002866</v>
          </cell>
          <cell r="C32225" t="str">
            <v>HPC D/P CCTA.SEG.DESGR-INMB.HIP R       7NC</v>
          </cell>
        </row>
        <row r="32226">
          <cell r="B32226" t="str">
            <v>82000000002867</v>
          </cell>
          <cell r="C32226" t="str">
            <v>HPC CCTA INT.X COB.VENC EFEC C/GA       7NC</v>
          </cell>
        </row>
        <row r="32227">
          <cell r="B32227" t="str">
            <v>82000000002868</v>
          </cell>
          <cell r="C32227" t="str">
            <v>HPC CCTA.SEG.DESGR - INMB EFEC C        7NC</v>
          </cell>
        </row>
        <row r="32228">
          <cell r="B32228" t="str">
            <v>82000000002869</v>
          </cell>
          <cell r="C32228" t="str">
            <v>HPC D/P CCTA INT.X COB. EFEC C/GA       7NC</v>
          </cell>
        </row>
        <row r="32229">
          <cell r="B32229" t="str">
            <v>82000000002870</v>
          </cell>
          <cell r="C32229" t="str">
            <v>HPC D/P CCTA.SEG.DESG-INMB. EFEC        7NC</v>
          </cell>
        </row>
        <row r="32230">
          <cell r="B32230" t="str">
            <v>82000000002873</v>
          </cell>
          <cell r="C32230" t="str">
            <v>CL INT.SUSP PAG.TV NEG.INMOBILI         7NC</v>
          </cell>
        </row>
        <row r="32231">
          <cell r="B32231" t="str">
            <v>82000000002874</v>
          </cell>
          <cell r="C32231" t="str">
            <v>HPC CCTA INT.X COB.VENC EFEC REGU       7NC</v>
          </cell>
        </row>
        <row r="32232">
          <cell r="B32232" t="str">
            <v>82000000002875</v>
          </cell>
          <cell r="C32232" t="str">
            <v>HPC CCTA.SEG.DESGR - INMB EFEC RE       7NC</v>
          </cell>
        </row>
        <row r="32233">
          <cell r="B32233" t="str">
            <v>82000000002876</v>
          </cell>
          <cell r="C32233" t="str">
            <v>HPC D/P CCTA INT.X COB. EFEC REGU       7NC</v>
          </cell>
        </row>
        <row r="32234">
          <cell r="B32234" t="str">
            <v>82000000002877</v>
          </cell>
          <cell r="C32234" t="str">
            <v>HPC D/P CCTA.SEG.DESG-INMB. EFEC        7NC</v>
          </cell>
        </row>
        <row r="32235">
          <cell r="B32235" t="str">
            <v>82000000002884</v>
          </cell>
          <cell r="C32235" t="str">
            <v>LPC IN SUS.P.REES.MED.PLZ C/FIJA        7NC</v>
          </cell>
        </row>
        <row r="32236">
          <cell r="B32236" t="str">
            <v>82000000002887</v>
          </cell>
          <cell r="C32236" t="str">
            <v>IC CCTRA REF CONV PREST RV INT SUSP     7NC</v>
          </cell>
        </row>
        <row r="32237">
          <cell r="B32237" t="str">
            <v>82000000002888</v>
          </cell>
          <cell r="C32237" t="str">
            <v>IC CCTRA REF CONV PREST RV COMIS SUSP   7NC</v>
          </cell>
        </row>
        <row r="32238">
          <cell r="B32238" t="str">
            <v>82000000002891</v>
          </cell>
          <cell r="C32238" t="str">
            <v>CHI CCTA COFIDE MI HOGAR                7NC</v>
          </cell>
        </row>
        <row r="32239">
          <cell r="B32239" t="str">
            <v>82000000002892</v>
          </cell>
          <cell r="C32239" t="str">
            <v>CHI CTRA CTA BT MI VIVIENDA COFIDE      7NC</v>
          </cell>
        </row>
        <row r="32240">
          <cell r="B32240" t="str">
            <v>82000000002893</v>
          </cell>
          <cell r="C32240" t="str">
            <v>CL BT PJUD HIP.MIVI VEN COF SBS         7NC</v>
          </cell>
        </row>
        <row r="32241">
          <cell r="B32241" t="str">
            <v>82000000002894</v>
          </cell>
          <cell r="C32241" t="str">
            <v>CL BT JUD.HIP.MIVIV COF SBS             7NC</v>
          </cell>
        </row>
        <row r="32242">
          <cell r="B32242" t="str">
            <v>82000000002895</v>
          </cell>
          <cell r="C32242" t="str">
            <v>HPC REF CCTA INT.X COB. HIPOT.TR        7NC</v>
          </cell>
        </row>
        <row r="32243">
          <cell r="B32243" t="str">
            <v>82000000002896</v>
          </cell>
          <cell r="C32243" t="str">
            <v>HPC REF CCTA.SEG.DESGR-INMB.HIP         7NC</v>
          </cell>
        </row>
        <row r="32244">
          <cell r="B32244" t="str">
            <v>82000000002897</v>
          </cell>
          <cell r="C32244" t="str">
            <v>HPC REF CCTA INT.X COB. HIP  ADJU       7NC</v>
          </cell>
        </row>
        <row r="32245">
          <cell r="B32245" t="str">
            <v>82000000002898</v>
          </cell>
          <cell r="C32245" t="str">
            <v>HPC REF CCTA.SEG.DESGR-INMB.HIP         7NC</v>
          </cell>
        </row>
        <row r="32246">
          <cell r="B32246" t="str">
            <v>82000000002901</v>
          </cell>
          <cell r="C32246" t="str">
            <v>HPC  REF CCTA INT.X COB. EFEC C/G03001087NC</v>
          </cell>
        </row>
        <row r="32247">
          <cell r="B32247" t="str">
            <v>82000000002902</v>
          </cell>
          <cell r="C32247" t="str">
            <v>HPC REF CCTA.SEG.DESG-INMB. EFEC        7NC</v>
          </cell>
        </row>
        <row r="32248">
          <cell r="B32248" t="str">
            <v>82000000002903</v>
          </cell>
          <cell r="C32248" t="str">
            <v>HPC REF  CCTA INT.X COB. PREST.PE       7NC</v>
          </cell>
        </row>
        <row r="32249">
          <cell r="B32249" t="str">
            <v>82000000002904</v>
          </cell>
          <cell r="C32249" t="str">
            <v>HPC  REF CCTA.SEG.DESG-INMB. PRES       7NC</v>
          </cell>
        </row>
        <row r="32250">
          <cell r="B32250" t="str">
            <v>82000000002914</v>
          </cell>
          <cell r="C32250" t="str">
            <v>HPC CCTA INT.X COB.VENC MI HOGAR        7NC</v>
          </cell>
        </row>
        <row r="32251">
          <cell r="B32251" t="str">
            <v>82000000002915</v>
          </cell>
          <cell r="C32251" t="str">
            <v>HPC CCTA.SEG.DESGR - INMB MI HO         7NC</v>
          </cell>
        </row>
        <row r="32252">
          <cell r="B32252" t="str">
            <v>82000000002916</v>
          </cell>
          <cell r="C32252" t="str">
            <v>HPC D/P CCTA INT.X COB. MI HOGAR        7NC</v>
          </cell>
        </row>
        <row r="32253">
          <cell r="B32253" t="str">
            <v>82000000002917</v>
          </cell>
          <cell r="C32253" t="str">
            <v>HPC D/P CCTA.SEG.DESGR - INMB.MI        7NC</v>
          </cell>
        </row>
        <row r="32254">
          <cell r="B32254" t="str">
            <v>82000000002918</v>
          </cell>
          <cell r="C32254" t="str">
            <v>HPC CCTA INT.X COB.VENC HIPOT.TRA       7NC</v>
          </cell>
        </row>
        <row r="32255">
          <cell r="B32255" t="str">
            <v>82000000002919</v>
          </cell>
          <cell r="C32255" t="str">
            <v>HPC D/P CCTA INT.X COB.VENC.PREST       7NC</v>
          </cell>
        </row>
        <row r="32256">
          <cell r="B32256" t="str">
            <v>82000000002920</v>
          </cell>
          <cell r="C32256" t="str">
            <v>HPC D/P CCTA INT.X COB. HIPOT.TRA       7NC</v>
          </cell>
        </row>
        <row r="32257">
          <cell r="B32257" t="str">
            <v>82000000002921</v>
          </cell>
          <cell r="C32257" t="str">
            <v>HPC CCTA INT.X COB.VENC.PRESTAMO        7NC</v>
          </cell>
        </row>
        <row r="32258">
          <cell r="B32258" t="str">
            <v>82000000002922</v>
          </cell>
          <cell r="C32258" t="str">
            <v>HPC CCTA INT.X COB.VENC HIPOT.FIN       7NC</v>
          </cell>
        </row>
        <row r="32259">
          <cell r="B32259" t="str">
            <v>82000000002923</v>
          </cell>
          <cell r="C32259" t="str">
            <v>HPC D/P CCTA INT.X COB.VENC HIPOT       7NC</v>
          </cell>
        </row>
        <row r="32260">
          <cell r="B32260" t="str">
            <v>82000000002924</v>
          </cell>
          <cell r="C32260" t="str">
            <v>HPC CCTA INT.X COB.VENC EFEC C/GA       7NC</v>
          </cell>
        </row>
        <row r="32261">
          <cell r="B32261" t="str">
            <v>82000000002925</v>
          </cell>
          <cell r="C32261" t="str">
            <v>HPC D/P  CCTA INT.X COB.VENC EFEC       7NC</v>
          </cell>
        </row>
        <row r="32262">
          <cell r="B32262" t="str">
            <v>82000000002926</v>
          </cell>
          <cell r="C32262" t="str">
            <v>HPC CCTA.SEG.DESGR - INMB HIPOT.F       7NC</v>
          </cell>
        </row>
        <row r="32263">
          <cell r="B32263" t="str">
            <v>82000000002927</v>
          </cell>
          <cell r="C32263" t="str">
            <v>HPC D/P CCTA.SEG.DESGR - INMB HIP       7NC</v>
          </cell>
        </row>
        <row r="32264">
          <cell r="B32264" t="str">
            <v>82000000002928</v>
          </cell>
          <cell r="C32264" t="str">
            <v>HPC CCTA ORDEN  VIG HIPOT.TRAD.FI       7NC</v>
          </cell>
        </row>
        <row r="32265">
          <cell r="B32265" t="str">
            <v>82000000002929</v>
          </cell>
          <cell r="C32265" t="str">
            <v>HPC D/P  CCTA ORDEN VIG HIPOT.TRA       7NC</v>
          </cell>
        </row>
        <row r="32266">
          <cell r="B32266" t="str">
            <v>82000000002930</v>
          </cell>
          <cell r="C32266" t="str">
            <v>HPC CCTA ORDEN VIG HIPOT.FINAN.PR       7NC</v>
          </cell>
        </row>
        <row r="32267">
          <cell r="B32267" t="str">
            <v>82000000002931</v>
          </cell>
          <cell r="C32267" t="str">
            <v>HPC D/PCCTA ORDEN VIG HIPOT.FINAN       7NC</v>
          </cell>
        </row>
        <row r="32268">
          <cell r="B32268" t="str">
            <v>82000000002932</v>
          </cell>
          <cell r="C32268" t="str">
            <v>HPC CCTA ORDEN VIG EFEC C/GARANT.       7NC</v>
          </cell>
        </row>
        <row r="32269">
          <cell r="B32269" t="str">
            <v>82000000002933</v>
          </cell>
          <cell r="C32269" t="str">
            <v>HPC D/P CCTA ORDEN VIG EFEC C/GAR       7NC</v>
          </cell>
        </row>
        <row r="32270">
          <cell r="B32270" t="str">
            <v>82000000002934</v>
          </cell>
          <cell r="C32270" t="str">
            <v>HPC CCTA ORDEN VIG .PRESTAMO PERS       7NC</v>
          </cell>
        </row>
        <row r="32271">
          <cell r="B32271" t="str">
            <v>82000000002935</v>
          </cell>
          <cell r="C32271" t="str">
            <v>HPC D/P CCTA ORDEN VIG .PRESTAMO        7NC</v>
          </cell>
        </row>
        <row r="32272">
          <cell r="B32272" t="str">
            <v>82000000002936</v>
          </cell>
          <cell r="C32272" t="str">
            <v>HPC CCTA MI HOGAR-COFIDE                7NC</v>
          </cell>
        </row>
        <row r="32273">
          <cell r="B32273" t="str">
            <v>82000000002941</v>
          </cell>
          <cell r="C32273" t="str">
            <v>CL CTRA CTA EXP POST EMB COFIDE COM     7NC</v>
          </cell>
        </row>
        <row r="32274">
          <cell r="B32274" t="str">
            <v>82000000002942</v>
          </cell>
          <cell r="C32274" t="str">
            <v>CL CTRA CTA IMPORTACION COFIDE COMER    7NC</v>
          </cell>
        </row>
        <row r="32275">
          <cell r="B32275" t="str">
            <v>82000000002944</v>
          </cell>
          <cell r="C32275" t="str">
            <v>CL PRE JUD MYP C.CTA CAP TRAB INT SU    7NC</v>
          </cell>
        </row>
        <row r="32276">
          <cell r="B32276" t="str">
            <v>82000000002945</v>
          </cell>
          <cell r="C32276" t="str">
            <v>CL PRE JUD MYP C.CTA INT SUSP COMP      7NC</v>
          </cell>
        </row>
        <row r="32277">
          <cell r="B32277" t="str">
            <v>82000000002946</v>
          </cell>
          <cell r="C32277" t="str">
            <v>CL PRE JUD MYP C.CTA INT SUSP COMP      7NC</v>
          </cell>
        </row>
        <row r="32278">
          <cell r="B32278" t="str">
            <v>82000000002947</v>
          </cell>
          <cell r="C32278" t="str">
            <v>CL PRE JUD MYP C.CTA CRED ESTAC INT     7NC</v>
          </cell>
        </row>
        <row r="32279">
          <cell r="B32279" t="str">
            <v>82000000002948</v>
          </cell>
          <cell r="C32279" t="str">
            <v>CL PRE JUD MYP C.CTA AF CYBERPL INT     7NC</v>
          </cell>
        </row>
        <row r="32280">
          <cell r="B32280" t="str">
            <v>82000000002950</v>
          </cell>
          <cell r="C32280" t="str">
            <v>MYP C.CTA INTxCOB SUSP PAG TV REF. REV C7NC</v>
          </cell>
        </row>
        <row r="32281">
          <cell r="B32281" t="str">
            <v>82000000002951</v>
          </cell>
          <cell r="C32281" t="str">
            <v>MYP CTRA.CTA IN SUS.PAG.TV REFIN.C/FIJA 7NC</v>
          </cell>
        </row>
        <row r="32282">
          <cell r="B32282" t="str">
            <v>82000000002952</v>
          </cell>
          <cell r="C32282" t="str">
            <v>MYP CTRA.CTA IN SUS.PAG.TV REFIN.C/FIJA 7NC</v>
          </cell>
        </row>
        <row r="32283">
          <cell r="B32283" t="str">
            <v>82000000002953</v>
          </cell>
          <cell r="C32283" t="str">
            <v>CL CASTIG PRINC MYP C.TRAB MES C.CTA    7NC</v>
          </cell>
        </row>
        <row r="32284">
          <cell r="B32284" t="str">
            <v>82000000002954</v>
          </cell>
          <cell r="C32284" t="str">
            <v>CL CASTIG INT MYP C.TRAB MES C.CTA      7NC</v>
          </cell>
        </row>
        <row r="32285">
          <cell r="B32285" t="str">
            <v>82000000002955</v>
          </cell>
          <cell r="C32285" t="str">
            <v>CRTA CTA CL LETRAS REFIN.LP.INDE GL3    7NC</v>
          </cell>
        </row>
        <row r="32286">
          <cell r="B32286" t="str">
            <v>82000000002956</v>
          </cell>
          <cell r="C32286" t="str">
            <v>CL CRTACT P.LEASING REF.INDECOPI GL3    7NC</v>
          </cell>
        </row>
        <row r="32287">
          <cell r="B32287" t="str">
            <v>82000000002957</v>
          </cell>
          <cell r="C32287" t="str">
            <v>CL CRT CTA INT CTAS.CTES.REFI.INDE G    7NC</v>
          </cell>
        </row>
        <row r="32288">
          <cell r="B32288" t="str">
            <v>82000000002958</v>
          </cell>
          <cell r="C32288" t="str">
            <v>CL PRE JUD H. MIVIVIENDA RP C.CTA INTER 7NC</v>
          </cell>
        </row>
        <row r="32289">
          <cell r="B32289" t="str">
            <v>82000000002959</v>
          </cell>
          <cell r="C32289" t="str">
            <v>CL COB JUD H. MIVIVIENDA RP C.CTA INTER 7NC</v>
          </cell>
        </row>
        <row r="32290">
          <cell r="B32290" t="str">
            <v>82000000002960</v>
          </cell>
          <cell r="C32290" t="str">
            <v>CL CAPIT CASTIGO H. MIVIVIENDA RP C.CTA 7NC</v>
          </cell>
        </row>
        <row r="32291">
          <cell r="B32291" t="str">
            <v>82000000002961</v>
          </cell>
          <cell r="C32291" t="str">
            <v>CL INTER CASTIGO H. MIVIVIENDA RP C.CTA 7NC</v>
          </cell>
        </row>
        <row r="32292">
          <cell r="B32292" t="str">
            <v>82000000002962</v>
          </cell>
          <cell r="C32292" t="str">
            <v>CL PREJUD H.MI HOGAR VEN COF SBS C.CTA  7NC</v>
          </cell>
        </row>
        <row r="32293">
          <cell r="B32293" t="str">
            <v>82000000002963</v>
          </cell>
          <cell r="C32293" t="str">
            <v>CL PRE JUD H. MI HOGAR COFIDE C.CTA IN  7NC</v>
          </cell>
        </row>
        <row r="32294">
          <cell r="B32294" t="str">
            <v>82000000002964</v>
          </cell>
          <cell r="C32294" t="str">
            <v>CL COBJUD H MI HOGAR VEN COF SBS C CTA  7NC</v>
          </cell>
        </row>
        <row r="32295">
          <cell r="B32295" t="str">
            <v>82000000002965</v>
          </cell>
          <cell r="C32295" t="str">
            <v>CL COB JUD H. MI HOGAR COFIDE  C.CTA IN 7NC</v>
          </cell>
        </row>
        <row r="32296">
          <cell r="B32296" t="str">
            <v>82000000002966</v>
          </cell>
          <cell r="C32296" t="str">
            <v>CL INTER CASTIGO H. MI HOGAR COFIDE C.C 7NC</v>
          </cell>
        </row>
        <row r="32297">
          <cell r="B32297" t="str">
            <v>82000000002967</v>
          </cell>
          <cell r="C32297" t="str">
            <v>CL CAPIT CASTIGO H. MI HOGAR COFIDE C.C 7NC</v>
          </cell>
        </row>
        <row r="32298">
          <cell r="B32298" t="str">
            <v>82000000002968</v>
          </cell>
          <cell r="C32298" t="str">
            <v>CL PRE JUD PREST EFEC GTIA HIPOT C.CTA  7NC</v>
          </cell>
        </row>
        <row r="32299">
          <cell r="B32299" t="str">
            <v>82000000002969</v>
          </cell>
          <cell r="C32299" t="str">
            <v>CL COB JUD PREST EFEC GTIA HIPOT C.CT   7NC</v>
          </cell>
        </row>
        <row r="32300">
          <cell r="B32300" t="str">
            <v>82000000002970</v>
          </cell>
          <cell r="C32300" t="str">
            <v>CL CAPIT CASTIGO  PREST EFEC GTIA HIPOT 7NC</v>
          </cell>
        </row>
        <row r="32301">
          <cell r="B32301" t="str">
            <v>82000000002971</v>
          </cell>
          <cell r="C32301" t="str">
            <v>CL INTER CASTIGO  PREST EFEC GTIA HI    7NC</v>
          </cell>
        </row>
        <row r="32302">
          <cell r="B32302" t="str">
            <v>82000000003001</v>
          </cell>
          <cell r="C32302" t="str">
            <v>PR FACT ELECTR LET/FACT I.COMPENS       7NC</v>
          </cell>
        </row>
        <row r="32303">
          <cell r="B32303" t="str">
            <v>82000000003002</v>
          </cell>
          <cell r="C32303" t="str">
            <v>PR FACT ELECTR LET/FACT I.DIF           7NC</v>
          </cell>
        </row>
        <row r="32304">
          <cell r="B32304" t="str">
            <v>82000000003004</v>
          </cell>
          <cell r="C32304" t="str">
            <v>CL INT.REF SUSP.DEU.VTA.CARTE           7NC</v>
          </cell>
        </row>
        <row r="32305">
          <cell r="B32305" t="str">
            <v>82000000003101</v>
          </cell>
          <cell r="C32305" t="str">
            <v>MYP CCTA INT.X COB.VENC FIN.CAP.TRAB    7NC</v>
          </cell>
        </row>
        <row r="32306">
          <cell r="B32306" t="str">
            <v>82000000003102</v>
          </cell>
          <cell r="C32306" t="str">
            <v>MYP D/P CCTA INT.X COB. FIN.CAP.TRAB    7NC</v>
          </cell>
        </row>
        <row r="32307">
          <cell r="B32307" t="str">
            <v>82000000003103</v>
          </cell>
          <cell r="C32307" t="str">
            <v>MYP CCTA INT.X COB.VEN FIN.COMP. AF     7NC</v>
          </cell>
        </row>
        <row r="32308">
          <cell r="B32308" t="str">
            <v>82000000003104</v>
          </cell>
          <cell r="C32308" t="str">
            <v>MYP D/P CCTA INT.X COB. FIN.COMPRA. A   7NC</v>
          </cell>
        </row>
        <row r="32309">
          <cell r="B32309" t="str">
            <v>82000000003105</v>
          </cell>
          <cell r="C32309" t="str">
            <v>MYP CCTA INT.X COB.VEN FIN.CRED. PARAL  7NC</v>
          </cell>
        </row>
        <row r="32310">
          <cell r="B32310" t="str">
            <v>82000000003106</v>
          </cell>
          <cell r="C32310" t="str">
            <v>MYP D/P CCTA INT.X COB. FIN.CRED. PAR   7NC</v>
          </cell>
        </row>
        <row r="32311">
          <cell r="B32311" t="str">
            <v>82000000003107</v>
          </cell>
          <cell r="C32311" t="str">
            <v>MYP CCTA.SEG.DESGR VENC FINANC          7NC</v>
          </cell>
        </row>
        <row r="32312">
          <cell r="B32312" t="str">
            <v>82000000003108</v>
          </cell>
          <cell r="C32312" t="str">
            <v>MYP CCTA.SEG.BIEN VENC FINANC           7NC</v>
          </cell>
        </row>
        <row r="32313">
          <cell r="B32313" t="str">
            <v>82000000003109</v>
          </cell>
          <cell r="C32313" t="str">
            <v>MYP D/P CCTA.SEG.DESGR FINANC           7NC</v>
          </cell>
        </row>
        <row r="32314">
          <cell r="B32314" t="str">
            <v>82000000003110</v>
          </cell>
          <cell r="C32314" t="str">
            <v>MYP D/P CCTA.SEG.BIEN FINANC            7NC</v>
          </cell>
        </row>
        <row r="32315">
          <cell r="B32315" t="str">
            <v>82000000003120</v>
          </cell>
          <cell r="C32315" t="str">
            <v>MYP C CCTA INT.X COB.VENC FIN.CAP.TRA   7NC</v>
          </cell>
        </row>
        <row r="32316">
          <cell r="B32316" t="str">
            <v>82000000003121</v>
          </cell>
          <cell r="C32316" t="str">
            <v>MYP D/P C CCTA INT.X COB. FIN.CA        7NC</v>
          </cell>
        </row>
        <row r="32317">
          <cell r="B32317" t="str">
            <v>82000000003122</v>
          </cell>
          <cell r="C32317" t="str">
            <v>MYP C CCTA INT.X COB.VEN FIN.COMP. AF   7NC</v>
          </cell>
        </row>
        <row r="32318">
          <cell r="B32318" t="str">
            <v>82000000003123</v>
          </cell>
          <cell r="C32318" t="str">
            <v>MYP D/P C CCTA INT.X COB. FIN.CO        7NC</v>
          </cell>
        </row>
        <row r="32319">
          <cell r="B32319" t="str">
            <v>82000000003124</v>
          </cell>
          <cell r="C32319" t="str">
            <v>MYP C CCTA INT.X COB.VEN FIN.CRED. PA   7NC</v>
          </cell>
        </row>
        <row r="32320">
          <cell r="B32320" t="str">
            <v>82000000003125</v>
          </cell>
          <cell r="C32320" t="str">
            <v>MYP D/P C CCTA INT.X COB. FIN.CRED. P   7NC</v>
          </cell>
        </row>
        <row r="32321">
          <cell r="B32321" t="str">
            <v>82000000003130</v>
          </cell>
          <cell r="C32321" t="str">
            <v>MYP CCTA INT X COB. VEN FIN.COMP.DE D   7NC</v>
          </cell>
        </row>
        <row r="32322">
          <cell r="B32322" t="str">
            <v>82000000003131</v>
          </cell>
          <cell r="C32322" t="str">
            <v>MYP D/P CCTA INT.X COB. FIN. COMPRA D   7NC</v>
          </cell>
        </row>
        <row r="32323">
          <cell r="B32323" t="str">
            <v>82000000003132</v>
          </cell>
          <cell r="C32323" t="str">
            <v>MYP CCTA INT.X COB.VENC FIN.COMPRA DE   7NC</v>
          </cell>
        </row>
        <row r="32324">
          <cell r="B32324" t="str">
            <v>82000000003133</v>
          </cell>
          <cell r="C32324" t="str">
            <v>MYP D/P CCTA INT.X COB. FIN. COMPRA D   7NC</v>
          </cell>
        </row>
        <row r="32325">
          <cell r="B32325" t="str">
            <v>82000000003134</v>
          </cell>
          <cell r="C32325" t="str">
            <v>CL CJ MYP C.CTA CAP TRAB INT SUS        7NC</v>
          </cell>
        </row>
        <row r="32326">
          <cell r="B32326" t="str">
            <v>82000000003135</v>
          </cell>
          <cell r="C32326" t="str">
            <v>CL CJ MYP C.CTA CAP TRAB INT SU         7NC</v>
          </cell>
        </row>
        <row r="32327">
          <cell r="B32327" t="str">
            <v>82000000003136</v>
          </cell>
          <cell r="C32327" t="str">
            <v>CL CJ MYP C.CTA INT SUSP COMP A         7NC</v>
          </cell>
        </row>
        <row r="32328">
          <cell r="B32328" t="str">
            <v>82000000003137</v>
          </cell>
          <cell r="C32328" t="str">
            <v>CL CJ MYP C.CTA INT SUSP COMP           7NC</v>
          </cell>
        </row>
        <row r="32329">
          <cell r="B32329" t="str">
            <v>82000000003138</v>
          </cell>
          <cell r="C32329" t="str">
            <v>CL CJ MYP C.CTA INT SUSP COMP A         7NC</v>
          </cell>
        </row>
        <row r="32330">
          <cell r="B32330" t="str">
            <v>82000000003139</v>
          </cell>
          <cell r="C32330" t="str">
            <v>CL CJ MYP C.CTA INT SUSP COMP A         7NC</v>
          </cell>
        </row>
        <row r="32331">
          <cell r="B32331" t="str">
            <v>82000000003140</v>
          </cell>
          <cell r="C32331" t="str">
            <v>CL CJ MYP C.CTA CRED ESTAC INT S        7NC</v>
          </cell>
        </row>
        <row r="32332">
          <cell r="B32332" t="str">
            <v>82000000003141</v>
          </cell>
          <cell r="C32332" t="str">
            <v>CL CJ MYP C.CTA CRED ESTAC INT S        7NC</v>
          </cell>
        </row>
        <row r="32333">
          <cell r="B32333" t="str">
            <v>82000000003142</v>
          </cell>
          <cell r="C32333" t="str">
            <v>CL CJ MYP C.CTA AF CYBERPL INT S        7NC</v>
          </cell>
        </row>
        <row r="32334">
          <cell r="B32334" t="str">
            <v>82000000003143</v>
          </cell>
          <cell r="C32334" t="str">
            <v>CL CJ MYP C.CTA AF CYBERPL INT S        7NC</v>
          </cell>
        </row>
        <row r="32335">
          <cell r="B32335" t="str">
            <v>82000000003147</v>
          </cell>
          <cell r="C32335" t="str">
            <v>CL CASTIG INT MYP C.TRAB COMERCIAL C    7NC</v>
          </cell>
        </row>
        <row r="32336">
          <cell r="B32336" t="str">
            <v>82000000003148</v>
          </cell>
          <cell r="C32336" t="str">
            <v>CL CASTIG INT MYP A.F. INMB.COMERCIA    7NC</v>
          </cell>
        </row>
        <row r="32337">
          <cell r="B32337" t="str">
            <v>82000000003149</v>
          </cell>
          <cell r="C32337" t="str">
            <v>CL CASTIG INT MYP A.F. INMB.MES         7NC</v>
          </cell>
        </row>
        <row r="32338">
          <cell r="B32338" t="str">
            <v>82000000003150</v>
          </cell>
          <cell r="C32338" t="str">
            <v>CL CASTIG INT MYP A.F. MUEBLE.COMERC    7NC</v>
          </cell>
        </row>
        <row r="32339">
          <cell r="B32339" t="str">
            <v>82000000003151</v>
          </cell>
          <cell r="C32339" t="str">
            <v>CL CASTIG INT MYP A.F. MUEBLE.MES       7NC</v>
          </cell>
        </row>
        <row r="32340">
          <cell r="B32340" t="str">
            <v>82000000003152</v>
          </cell>
          <cell r="C32340" t="str">
            <v>CL CASTIG INT MYP ESTAC. COMERCIAL      7NC</v>
          </cell>
        </row>
        <row r="32341">
          <cell r="B32341" t="str">
            <v>82000000003153</v>
          </cell>
          <cell r="C32341" t="str">
            <v>CL CASTIG INT MYP ESTAC.MES             7NC</v>
          </cell>
        </row>
        <row r="32342">
          <cell r="B32342" t="str">
            <v>82000000003154</v>
          </cell>
          <cell r="C32342" t="str">
            <v>CL CASTIG INT MYP A.F. CYBER.COMERCI    7NC</v>
          </cell>
        </row>
        <row r="32343">
          <cell r="B32343" t="str">
            <v>82000000003155</v>
          </cell>
          <cell r="C32343" t="str">
            <v>CL CASTIG INT MYP A.F. CYBER.MES        7NC</v>
          </cell>
        </row>
        <row r="32344">
          <cell r="B32344" t="str">
            <v>82000000003156</v>
          </cell>
          <cell r="C32344" t="str">
            <v>LPC CONTRA CTA  INT SUSPENSO PAG IMPORT 7NC</v>
          </cell>
        </row>
        <row r="32345">
          <cell r="B32345" t="str">
            <v>82000000003157</v>
          </cell>
          <cell r="C32345" t="str">
            <v>LPC CONTRA CTA PAG.IMPORT RP D/P INT.VIG7NC</v>
          </cell>
        </row>
        <row r="32346">
          <cell r="B32346" t="str">
            <v>82000000003158</v>
          </cell>
          <cell r="C32346" t="str">
            <v>LPC CONTRA CTA PAG.IMPORT RP D/P INT.VEN7NC</v>
          </cell>
        </row>
        <row r="32347">
          <cell r="B32347" t="str">
            <v>82000000003159</v>
          </cell>
          <cell r="C32347" t="str">
            <v>LPC CONTRA CTA  INT.SUSP.PAG IMPORT RP M7NC</v>
          </cell>
        </row>
        <row r="32348">
          <cell r="B32348" t="str">
            <v>82000000003160</v>
          </cell>
          <cell r="C32348" t="str">
            <v>LPC CONTRA CTA PAG.IMPORT RP MES D/P INT7NC</v>
          </cell>
        </row>
        <row r="32349">
          <cell r="B32349" t="str">
            <v>82000000003161</v>
          </cell>
          <cell r="C32349" t="str">
            <v>LPC CONTRA CTA PAG.IMPORT RP MES D/P INT7NC</v>
          </cell>
        </row>
        <row r="32350">
          <cell r="B32350" t="str">
            <v>82000000003162</v>
          </cell>
          <cell r="C32350" t="str">
            <v>LPC IDL CTRCTA LEASING MYP CGEM         7NC</v>
          </cell>
        </row>
        <row r="32351">
          <cell r="B32351" t="str">
            <v>82000000003163</v>
          </cell>
          <cell r="C32351" t="str">
            <v>LPC IDS CTRCTA LEASING MYP CGEM         7NC</v>
          </cell>
        </row>
        <row r="32352">
          <cell r="B32352" t="str">
            <v>82000000003164</v>
          </cell>
          <cell r="C32352" t="str">
            <v>LPC IDL MYP CTRA CTA D/P CGEM           7NC</v>
          </cell>
        </row>
        <row r="32353">
          <cell r="B32353" t="str">
            <v>82000000003165</v>
          </cell>
          <cell r="C32353" t="str">
            <v>LPC IDL MYP CTRA CTA D/P CGEM           7NC</v>
          </cell>
        </row>
        <row r="32354">
          <cell r="B32354" t="str">
            <v>82000000003166</v>
          </cell>
          <cell r="C32354" t="str">
            <v>LPC IDS MYP CTRA CTA D/P CGEM           7NC</v>
          </cell>
        </row>
        <row r="32355">
          <cell r="B32355" t="str">
            <v>82000000003167</v>
          </cell>
          <cell r="C32355" t="str">
            <v>LPC IDS BPE CTRA CTA D/P CGEM           7NC</v>
          </cell>
        </row>
        <row r="32356">
          <cell r="B32356" t="str">
            <v>82000000003168</v>
          </cell>
          <cell r="C32356" t="str">
            <v>GAC C.CTA. PRENDA BPE GARANTIA MAQUINARI7NC</v>
          </cell>
        </row>
        <row r="32357">
          <cell r="B32357" t="str">
            <v>82000000003169</v>
          </cell>
          <cell r="C32357" t="str">
            <v>LPC C.CTA INT LEAS BPE REF IDL CGEM     7NC</v>
          </cell>
        </row>
        <row r="32358">
          <cell r="B32358" t="str">
            <v>82000000003170</v>
          </cell>
          <cell r="C32358" t="str">
            <v>LPC C.CTA INT LEAS BPE SEG REF RP CGEM  7NC</v>
          </cell>
        </row>
        <row r="32359">
          <cell r="B32359" t="str">
            <v>82000000003171</v>
          </cell>
          <cell r="C32359" t="str">
            <v>LPC C.CTA LEAS BPE VENC REF INT DIFER RP7NC</v>
          </cell>
        </row>
        <row r="32360">
          <cell r="B32360" t="str">
            <v>82000000003172</v>
          </cell>
          <cell r="C32360" t="str">
            <v>LPC C.CTA LEAS BPE VENC REF SEG INT DIF 7NC</v>
          </cell>
        </row>
        <row r="32361">
          <cell r="B32361" t="str">
            <v>82000000003173</v>
          </cell>
          <cell r="C32361" t="str">
            <v>GAC CRTA CTA LET GARANTIA               7NC</v>
          </cell>
        </row>
        <row r="32362">
          <cell r="B32362" t="str">
            <v>82000000003201</v>
          </cell>
          <cell r="C32362" t="str">
            <v>JCC CASTIGO CAPITAL CTRA CTA            7NC</v>
          </cell>
        </row>
        <row r="32363">
          <cell r="B32363" t="str">
            <v>82000000003202</v>
          </cell>
          <cell r="C32363" t="str">
            <v>JCC COB.JUD. CRTA CTA INT.SUSP          7NC</v>
          </cell>
        </row>
        <row r="32364">
          <cell r="B32364" t="str">
            <v>82000000003203</v>
          </cell>
          <cell r="C32364" t="str">
            <v>JCC CASTIGO INTERES CRTA.CTA            7NC</v>
          </cell>
        </row>
        <row r="32365">
          <cell r="B32365" t="str">
            <v>82000000003204</v>
          </cell>
          <cell r="C32365" t="str">
            <v>JCC PRE.JUD.CRTA CTA INT.SUSP           7NC</v>
          </cell>
        </row>
        <row r="32366">
          <cell r="B32366" t="str">
            <v>82000000003205</v>
          </cell>
          <cell r="C32366" t="str">
            <v>JCC CASTIGO CAPITAL CTRA CTA            7NC</v>
          </cell>
        </row>
        <row r="32367">
          <cell r="B32367" t="str">
            <v>82000000003206</v>
          </cell>
          <cell r="C32367" t="str">
            <v>JCC COB.JUD. CRTA CTA INT.SUSP          7NC</v>
          </cell>
        </row>
        <row r="32368">
          <cell r="B32368" t="str">
            <v>82000000003207</v>
          </cell>
          <cell r="C32368" t="str">
            <v>JCC CASTIGO INTERES CRTA.CTA            7NC</v>
          </cell>
        </row>
        <row r="32369">
          <cell r="B32369" t="str">
            <v>82000000003208</v>
          </cell>
          <cell r="C32369" t="str">
            <v>JCC PRE.JUD.CRTA CTA INT.SUSP           7NC</v>
          </cell>
        </row>
        <row r="32370">
          <cell r="B32370" t="str">
            <v>82000000003209</v>
          </cell>
          <cell r="C32370" t="str">
            <v>JCC CASTIGO CAPITAL CTRA CTA            7NC</v>
          </cell>
        </row>
        <row r="32371">
          <cell r="B32371" t="str">
            <v>82000000003210</v>
          </cell>
          <cell r="C32371" t="str">
            <v>JCC COB.JUD. CRTA CTA INT.SUSP          7NC</v>
          </cell>
        </row>
        <row r="32372">
          <cell r="B32372" t="str">
            <v>82000000003211</v>
          </cell>
          <cell r="C32372" t="str">
            <v>JCC CASTIGO INTERES CRTA.CTA            7NC</v>
          </cell>
        </row>
        <row r="32373">
          <cell r="B32373" t="str">
            <v>82000000003212</v>
          </cell>
          <cell r="C32373" t="str">
            <v>JCC PRE.JUD.CRTA CTA INT.SUSP           7NC</v>
          </cell>
        </row>
        <row r="32374">
          <cell r="B32374" t="str">
            <v>82000000003213</v>
          </cell>
          <cell r="C32374" t="str">
            <v>JCC CASTIGO CAPITAL CTRA CTA            7NC</v>
          </cell>
        </row>
        <row r="32375">
          <cell r="B32375" t="str">
            <v>82000000003214</v>
          </cell>
          <cell r="C32375" t="str">
            <v>JCC COB.JUD. CRTA CTA INT.SUSP          7NC</v>
          </cell>
        </row>
        <row r="32376">
          <cell r="B32376" t="str">
            <v>82000000003215</v>
          </cell>
          <cell r="C32376" t="str">
            <v>JCC CASTIGO INTERES CRTA.CTA            7NC</v>
          </cell>
        </row>
        <row r="32377">
          <cell r="B32377" t="str">
            <v>82000000003216</v>
          </cell>
          <cell r="C32377" t="str">
            <v>JCC PRE.JUD.CRTA CTA INT.SUSP           7NC</v>
          </cell>
        </row>
        <row r="32378">
          <cell r="B32378" t="str">
            <v>82000000003217</v>
          </cell>
          <cell r="C32378" t="str">
            <v>JCC CASTIGO CAPITAL CTRA CTA            7NC</v>
          </cell>
        </row>
        <row r="32379">
          <cell r="B32379" t="str">
            <v>82000000003218</v>
          </cell>
          <cell r="C32379" t="str">
            <v>JCC COB.JUD. CRTA CTA INT.SUSP          7NC</v>
          </cell>
        </row>
        <row r="32380">
          <cell r="B32380" t="str">
            <v>82000000003219</v>
          </cell>
          <cell r="C32380" t="str">
            <v>JCC CASTIGO INTERES CRTA.CTA            7NC</v>
          </cell>
        </row>
        <row r="32381">
          <cell r="B32381" t="str">
            <v>82000000003220</v>
          </cell>
          <cell r="C32381" t="str">
            <v>JCC PRE.JUD.CRTA CTA INT.SUSP           7NC</v>
          </cell>
        </row>
        <row r="32382">
          <cell r="B32382" t="str">
            <v>82000000003221</v>
          </cell>
          <cell r="C32382" t="str">
            <v>JCC CASTIGO CAPITAL CTRA CTA            7NC</v>
          </cell>
        </row>
        <row r="32383">
          <cell r="B32383" t="str">
            <v>82000000003222</v>
          </cell>
          <cell r="C32383" t="str">
            <v>JCC COB.JUD. CRTA CTA INT.SUSP          7NC</v>
          </cell>
        </row>
        <row r="32384">
          <cell r="B32384" t="str">
            <v>82000000003223</v>
          </cell>
          <cell r="C32384" t="str">
            <v>JCC CASTIGO INTERES CRTA.CTA            7NC</v>
          </cell>
        </row>
        <row r="32385">
          <cell r="B32385" t="str">
            <v>82000000003224</v>
          </cell>
          <cell r="C32385" t="str">
            <v>JCC PRE.JUD.CRTA CTA INT.SUSP           7NC</v>
          </cell>
        </row>
        <row r="32386">
          <cell r="B32386" t="str">
            <v>82000000003225</v>
          </cell>
          <cell r="C32386" t="str">
            <v>JCC CASTIGO CAPITAL CTRA CTA CONVENIO   7NC</v>
          </cell>
        </row>
        <row r="32387">
          <cell r="B32387" t="str">
            <v>82000000003226</v>
          </cell>
          <cell r="C32387" t="str">
            <v>JCC COB.JUD. CRTA CTA INT.SUSP CONVENIO 7NC</v>
          </cell>
        </row>
        <row r="32388">
          <cell r="B32388" t="str">
            <v>82000000003227</v>
          </cell>
          <cell r="C32388" t="str">
            <v>JCC CASTIGO INTERES CRTA.CTA CONVENIO   7NC</v>
          </cell>
        </row>
        <row r="32389">
          <cell r="B32389" t="str">
            <v>82000000003228</v>
          </cell>
          <cell r="C32389" t="str">
            <v>JCC PRE.JUD.CRTA CTA INT.SUSP CONVENIO  7NC</v>
          </cell>
        </row>
        <row r="32390">
          <cell r="B32390" t="str">
            <v>82000000003229</v>
          </cell>
          <cell r="C32390" t="str">
            <v>JCC CASTIGO CAPITAL CTRA CTA .REFINANC  7NC</v>
          </cell>
        </row>
        <row r="32391">
          <cell r="B32391" t="str">
            <v>82000000003230</v>
          </cell>
          <cell r="C32391" t="str">
            <v>JCC COB.JUD. CRTA CTA INT.SUSP..REFINANC7NC</v>
          </cell>
        </row>
        <row r="32392">
          <cell r="B32392" t="str">
            <v>82000000003231</v>
          </cell>
          <cell r="C32392" t="str">
            <v>JCC CASTIGO INTERES CRTA.CTA.REFINANC   7NC</v>
          </cell>
        </row>
        <row r="32393">
          <cell r="B32393" t="str">
            <v>82000000003232</v>
          </cell>
          <cell r="C32393" t="str">
            <v>JCC PRE.JUD.CRTA CTA INT.SUSP.REFINANC  7NC</v>
          </cell>
        </row>
        <row r="32394">
          <cell r="B32394" t="str">
            <v>82000000003233</v>
          </cell>
          <cell r="C32394" t="str">
            <v>JCC CASTIGO CAPITAL CTRA CTA.MIVIV      7NC</v>
          </cell>
        </row>
        <row r="32395">
          <cell r="B32395" t="str">
            <v>82000000003234</v>
          </cell>
          <cell r="C32395" t="str">
            <v>JCC COB.JUD. CRTA CTA INT.SUSP.MIVIV    7NC</v>
          </cell>
        </row>
        <row r="32396">
          <cell r="B32396" t="str">
            <v>82000000003235</v>
          </cell>
          <cell r="C32396" t="str">
            <v>JCC CASTIGO INTERES CRTA.CTA.MIVIV      7NC</v>
          </cell>
        </row>
        <row r="32397">
          <cell r="B32397" t="str">
            <v>82000000003236</v>
          </cell>
          <cell r="C32397" t="str">
            <v>JCC PRE.JUD.CRTA CTA INT.SUSP.MIVIV     7NC</v>
          </cell>
        </row>
        <row r="32398">
          <cell r="B32398" t="str">
            <v>82000000003237</v>
          </cell>
          <cell r="C32398" t="str">
            <v>JCC PREJUD HIP.MIVIV VEN COF SBS        7NC</v>
          </cell>
        </row>
        <row r="32399">
          <cell r="B32399" t="str">
            <v>82000000003238</v>
          </cell>
          <cell r="C32399" t="str">
            <v>JCC JUD HIP.MIVIV COF SBS               7NC</v>
          </cell>
        </row>
        <row r="32400">
          <cell r="B32400" t="str">
            <v>82000000003239</v>
          </cell>
          <cell r="C32400" t="str">
            <v>JCC CASTIGO CAPITAL CTRA CTA.COB.JUD    7NC</v>
          </cell>
        </row>
        <row r="32401">
          <cell r="B32401" t="str">
            <v>82000000003240</v>
          </cell>
          <cell r="C32401" t="str">
            <v>JCC CASTIGO INTERES CRTA.CTA.COB.JUD    7NC</v>
          </cell>
        </row>
        <row r="32402">
          <cell r="B32402" t="str">
            <v>82000000003241</v>
          </cell>
          <cell r="C32402" t="str">
            <v>JCC CASTIGO CAPITAL CTRA CTA ADEL.SUELD 7NC</v>
          </cell>
        </row>
        <row r="32403">
          <cell r="B32403" t="str">
            <v>82000000003242</v>
          </cell>
          <cell r="C32403" t="str">
            <v>JCC COB.JUD. CRTA CTA INT.SUSP.ADEL.SUEL7NC</v>
          </cell>
        </row>
        <row r="32404">
          <cell r="B32404" t="str">
            <v>82000000003243</v>
          </cell>
          <cell r="C32404" t="str">
            <v>JCC CASTIGO INTERES CRTA.CTA.ADEL.SUELD 7NC</v>
          </cell>
        </row>
        <row r="32405">
          <cell r="B32405" t="str">
            <v>82000000003244</v>
          </cell>
          <cell r="C32405" t="str">
            <v>JCC PRE.JUD.CRTA CTA INT.SUSP.ADEL.SUELD7NC</v>
          </cell>
        </row>
        <row r="32406">
          <cell r="B32406" t="str">
            <v>82000000003245</v>
          </cell>
          <cell r="C32406" t="str">
            <v>JCC CASTIGO CAPITAL CTRA CTA.PREFERENTE 7NC</v>
          </cell>
        </row>
        <row r="32407">
          <cell r="B32407" t="str">
            <v>82000000003246</v>
          </cell>
          <cell r="C32407" t="str">
            <v>JCC COB.JUD. CRTA CTA INT.SUSP.PREFERENT7NC</v>
          </cell>
        </row>
        <row r="32408">
          <cell r="B32408" t="str">
            <v>82000000003247</v>
          </cell>
          <cell r="C32408" t="str">
            <v>JCC CASTIGO INTERES CRTA.CTA.PREFERENTE 7NC</v>
          </cell>
        </row>
        <row r="32409">
          <cell r="B32409" t="str">
            <v>82000000003248</v>
          </cell>
          <cell r="C32409" t="str">
            <v>JCC PRE.JUD.CRTA CTA INT.SUSP.PREFERENTE7NC</v>
          </cell>
        </row>
        <row r="32410">
          <cell r="B32410" t="str">
            <v>82000000003249</v>
          </cell>
          <cell r="C32410" t="str">
            <v>JCC CASTIGO CAPITAL CTRA CTA.MASTER     7NC</v>
          </cell>
        </row>
        <row r="32411">
          <cell r="B32411" t="str">
            <v>82000000003250</v>
          </cell>
          <cell r="C32411" t="str">
            <v>JCC COB.JUD. CRTA CTA INT.SUSP.MASTER   7NC</v>
          </cell>
        </row>
        <row r="32412">
          <cell r="B32412" t="str">
            <v>82000000003251</v>
          </cell>
          <cell r="C32412" t="str">
            <v>JCC CASTIGO INTERES CRTA.CTA.MASTER     7NC</v>
          </cell>
        </row>
        <row r="32413">
          <cell r="B32413" t="str">
            <v>82000000003252</v>
          </cell>
          <cell r="C32413" t="str">
            <v>JCC PRE.JUD.CRTA CTA INT.SUSP.MASTER    7NC</v>
          </cell>
        </row>
        <row r="32414">
          <cell r="B32414" t="str">
            <v>82000000003253</v>
          </cell>
          <cell r="C32414" t="str">
            <v>JCC COB.JUD. CRTA CTA INT.SUSP PREFE CCN7NC</v>
          </cell>
        </row>
        <row r="32415">
          <cell r="B32415" t="str">
            <v>82000000003254</v>
          </cell>
          <cell r="C32415" t="str">
            <v>JCC PRE.JUD.CRTA CTA INT.SUSP PREFE CCNR7NC</v>
          </cell>
        </row>
        <row r="32416">
          <cell r="B32416" t="str">
            <v>82000000003255</v>
          </cell>
          <cell r="C32416" t="str">
            <v>JCC CASTIG PRINC MYP A.F. INMB. MES     7NC</v>
          </cell>
        </row>
        <row r="32417">
          <cell r="B32417" t="str">
            <v>82000000003256</v>
          </cell>
          <cell r="C32417" t="str">
            <v>JCC PRE JUD MYP C.CTA INT SUSP COMP     7NC</v>
          </cell>
        </row>
        <row r="32418">
          <cell r="B32418" t="str">
            <v>82000000003257</v>
          </cell>
          <cell r="C32418" t="str">
            <v>JCC CJ MYP C.CTA INT SUSP COMP          7NC</v>
          </cell>
        </row>
        <row r="32419">
          <cell r="B32419" t="str">
            <v>82000000003258</v>
          </cell>
          <cell r="C32419" t="str">
            <v>JCC CASTIG INT MYP A.F. INMB.MES        7NC</v>
          </cell>
        </row>
        <row r="32420">
          <cell r="B32420" t="str">
            <v>82000000003259</v>
          </cell>
          <cell r="C32420" t="str">
            <v>JCC CASTIG PRINC MYP A.F. MUEBLE. MES   7NC</v>
          </cell>
        </row>
        <row r="32421">
          <cell r="B32421" t="str">
            <v>82000000003260</v>
          </cell>
          <cell r="C32421" t="str">
            <v>JCC PRE JUD MYP.AF C.CTA INT SUSP COMP  7NC</v>
          </cell>
        </row>
        <row r="32422">
          <cell r="B32422" t="str">
            <v>82000000003261</v>
          </cell>
          <cell r="C32422" t="str">
            <v>JCC CJ MYP AF.C.CTA INT SUSP COMP A     7NC</v>
          </cell>
        </row>
        <row r="32423">
          <cell r="B32423" t="str">
            <v>82000000003262</v>
          </cell>
          <cell r="C32423" t="str">
            <v>JCC CASTIG INT MYP A.F. MUEBLE.MES      7NC</v>
          </cell>
        </row>
        <row r="32424">
          <cell r="B32424" t="str">
            <v>82000000003263</v>
          </cell>
          <cell r="C32424" t="str">
            <v>JCC CASTIGO CAPITAL CTRA CTA.TC MASTER  7NC</v>
          </cell>
        </row>
        <row r="32425">
          <cell r="B32425" t="str">
            <v>82000000003264</v>
          </cell>
          <cell r="C32425" t="str">
            <v>JCC COB.JUD. CRTA CTA INT.SUSP.TC MASTER7NC</v>
          </cell>
        </row>
        <row r="32426">
          <cell r="B32426" t="str">
            <v>82000000003265</v>
          </cell>
          <cell r="C32426" t="str">
            <v>JCC CASTIGO INTERES CRTA.CTA.TC MASTER  7NC</v>
          </cell>
        </row>
        <row r="32427">
          <cell r="B32427" t="str">
            <v>82000000003266</v>
          </cell>
          <cell r="C32427" t="str">
            <v>JCC PRE.JUD.CRTA CTA INT.SUSP.TC MASTER 7NC</v>
          </cell>
        </row>
        <row r="32428">
          <cell r="B32428" t="str">
            <v>82000000003267</v>
          </cell>
          <cell r="C32428" t="str">
            <v>JCC CASTIGO CAPITAL CTRA CTA..JUD.SOB   7NC</v>
          </cell>
        </row>
        <row r="32429">
          <cell r="B32429" t="str">
            <v>82000000003268</v>
          </cell>
          <cell r="C32429" t="str">
            <v>JCC COB.JUD. CRTA CTA INT.SUSP.JUD.SOB  7NC</v>
          </cell>
        </row>
        <row r="32430">
          <cell r="B32430" t="str">
            <v>82000000003269</v>
          </cell>
          <cell r="C32430" t="str">
            <v>JCC CASTIGO INTERES CRTA.CTA.JUD.SOB    7NC</v>
          </cell>
        </row>
        <row r="32431">
          <cell r="B32431" t="str">
            <v>82000000003270</v>
          </cell>
          <cell r="C32431" t="str">
            <v>JCC PRE.JUD.CRTA CTA INT.SUSP.JUD.SOB   7NC</v>
          </cell>
        </row>
        <row r="32432">
          <cell r="B32432" t="str">
            <v>82000000003271</v>
          </cell>
          <cell r="C32432" t="str">
            <v>JCC CASTIGO CAPITAL CTRA CTA.ARREN.FINA 7NC</v>
          </cell>
        </row>
        <row r="32433">
          <cell r="B32433" t="str">
            <v>82000000003272</v>
          </cell>
          <cell r="C32433" t="str">
            <v>JCC COB.JUD. CRTA CTA INT.SUSP.ARREN.FIN7NC</v>
          </cell>
        </row>
        <row r="32434">
          <cell r="B32434" t="str">
            <v>82000000003273</v>
          </cell>
          <cell r="C32434" t="str">
            <v>JCC CASTIGO INTERES CRTA.CTA.ARREN.FINA 7NC</v>
          </cell>
        </row>
        <row r="32435">
          <cell r="B32435" t="str">
            <v>82000000003274</v>
          </cell>
          <cell r="C32435" t="str">
            <v>JCC CASTIGO .DIRECTCAPITAL CTRA CTA     7NC</v>
          </cell>
        </row>
        <row r="32436">
          <cell r="B32436" t="str">
            <v>82000000003275</v>
          </cell>
          <cell r="C32436" t="str">
            <v>JCC CASTIGO.DIRECT INTERES CRTA.CTA     7NC</v>
          </cell>
        </row>
        <row r="32437">
          <cell r="B32437" t="str">
            <v>82000000003276</v>
          </cell>
          <cell r="C32437" t="str">
            <v>JCC PREJUD H.MI HOGAR VEN COF SBS C.CTA 7NC</v>
          </cell>
        </row>
        <row r="32438">
          <cell r="B32438" t="str">
            <v>82000000003277</v>
          </cell>
          <cell r="C32438" t="str">
            <v>JCC PRE JUD H. MI HOGAR COFIDE C.CTA IN 7NC</v>
          </cell>
        </row>
        <row r="32439">
          <cell r="B32439" t="str">
            <v>82000000003278</v>
          </cell>
          <cell r="C32439" t="str">
            <v>JCC COBJUD H MI HOGAR VEN COF SBS C CTA 7NC</v>
          </cell>
        </row>
        <row r="32440">
          <cell r="B32440" t="str">
            <v>82000000003279</v>
          </cell>
          <cell r="C32440" t="str">
            <v>JCC COB JUD H. MI HOGAR COFIDE  C.CTA IN7NC</v>
          </cell>
        </row>
        <row r="32441">
          <cell r="B32441" t="str">
            <v>82000000003280</v>
          </cell>
          <cell r="C32441" t="str">
            <v>JCC INTER CASTIGO H. MI HOGAR COFIDE C.C7NC</v>
          </cell>
        </row>
        <row r="32442">
          <cell r="B32442" t="str">
            <v>82000000003281</v>
          </cell>
          <cell r="C32442" t="str">
            <v>JCC CAPIT CASTIGO H. MI HOGAR COFIDE C.C7NC</v>
          </cell>
        </row>
        <row r="32443">
          <cell r="B32443" t="str">
            <v>82000000003282</v>
          </cell>
          <cell r="C32443" t="str">
            <v>JCC PRE JUD PREST EFEC GTIA HIPOT C.CTA 7NC</v>
          </cell>
        </row>
        <row r="32444">
          <cell r="B32444" t="str">
            <v>82000000003283</v>
          </cell>
          <cell r="C32444" t="str">
            <v>JCC COB JUD PREST EFEC GTIA HIPOT C.CT  7NC</v>
          </cell>
        </row>
        <row r="32445">
          <cell r="B32445" t="str">
            <v>82000000003284</v>
          </cell>
          <cell r="C32445" t="str">
            <v>JCC CAPIT CASTIGO  PREST EFEC GTIA HIPOT7NC</v>
          </cell>
        </row>
        <row r="32446">
          <cell r="B32446" t="str">
            <v>82000000003285</v>
          </cell>
          <cell r="C32446" t="str">
            <v>JCC INTER CASTIGO  PREST EFEC GTIA HI   7NC</v>
          </cell>
        </row>
        <row r="32447">
          <cell r="B32447" t="str">
            <v>82000000003286</v>
          </cell>
          <cell r="C32447" t="str">
            <v>JCC CASTIGO CAPITAL CTRA CTA.TECH.PROP  7NC</v>
          </cell>
        </row>
        <row r="32448">
          <cell r="B32448" t="str">
            <v>82000000003287</v>
          </cell>
          <cell r="C32448" t="str">
            <v>JCC COB.JUD. CRTA CTA INT.SUSP.TECH.PROP7NC</v>
          </cell>
        </row>
        <row r="32449">
          <cell r="B32449" t="str">
            <v>82000000003288</v>
          </cell>
          <cell r="C32449" t="str">
            <v>JCC CASTIGO INTERES CRTA.CTA.TECH.PROP  7NC</v>
          </cell>
        </row>
        <row r="32450">
          <cell r="B32450" t="str">
            <v>82000000003289</v>
          </cell>
          <cell r="C32450" t="str">
            <v>JCC PRE.JUD.CRTA CTA INT.SUSP.TECH.PROP 7NC</v>
          </cell>
        </row>
        <row r="32451">
          <cell r="B32451" t="str">
            <v>82000000003290</v>
          </cell>
          <cell r="C32451" t="str">
            <v>JCC CASTIGO CAPITAL CTRA CTA.BCA PERS   7NC</v>
          </cell>
        </row>
        <row r="32452">
          <cell r="B32452" t="str">
            <v>82000000003291</v>
          </cell>
          <cell r="C32452" t="str">
            <v>JCC CASTIGO INTERES CRTA.CTA.BCA PERS   7NC</v>
          </cell>
        </row>
        <row r="32453">
          <cell r="B32453" t="str">
            <v>82000000003292</v>
          </cell>
          <cell r="C32453" t="str">
            <v>JCC CRED.CONDONADO CAPITAL              7NC</v>
          </cell>
        </row>
        <row r="32454">
          <cell r="B32454" t="str">
            <v>82000000003293</v>
          </cell>
          <cell r="C32454" t="str">
            <v>JCC CRED.CONDONADO INTERES              7NC</v>
          </cell>
        </row>
        <row r="32455">
          <cell r="B32455" t="str">
            <v>82000000003294</v>
          </cell>
          <cell r="C32455" t="str">
            <v>JCC CRED.CONDONADO HIP CAPITAL          7NC</v>
          </cell>
        </row>
        <row r="32456">
          <cell r="B32456" t="str">
            <v>82000000003295</v>
          </cell>
          <cell r="C32456" t="str">
            <v>JCC CRED.CONDONADO HIP INTERES          7NC</v>
          </cell>
        </row>
        <row r="32457">
          <cell r="B32457" t="str">
            <v>82000000003296</v>
          </cell>
          <cell r="C32457" t="str">
            <v>JCC CASTIGO CAPITAL CTRA CTA TAR.VISA   7NC</v>
          </cell>
        </row>
        <row r="32458">
          <cell r="B32458" t="str">
            <v>82000000003297</v>
          </cell>
          <cell r="C32458" t="str">
            <v>JCC COB.JUD. CRTA CTA INT.SUSP.TAR.VISA 7NC</v>
          </cell>
        </row>
        <row r="32459">
          <cell r="B32459" t="str">
            <v>82000000003298</v>
          </cell>
          <cell r="C32459" t="str">
            <v>JCC CASTIGO INTERES CRTA.CTA.TAR.VISA   7NC</v>
          </cell>
        </row>
        <row r="32460">
          <cell r="B32460" t="str">
            <v>82000000003299</v>
          </cell>
          <cell r="C32460" t="str">
            <v>JCC PRE.JUD.CRTA CTA INT.SUSP.TAR.VISA  7NC</v>
          </cell>
        </row>
        <row r="32461">
          <cell r="B32461" t="str">
            <v>82000000003301</v>
          </cell>
          <cell r="C32461" t="str">
            <v>JCC CASTIGO CAPITAL CTRA CTA.AMEX       7NC</v>
          </cell>
        </row>
        <row r="32462">
          <cell r="B32462" t="str">
            <v>82000000003302</v>
          </cell>
          <cell r="C32462" t="str">
            <v>JCC COB.JUD. CRTA CTA INT.SUSP.AMEX     7NC</v>
          </cell>
        </row>
        <row r="32463">
          <cell r="B32463" t="str">
            <v>82000000003303</v>
          </cell>
          <cell r="C32463" t="str">
            <v>JCC CASTIGO INTERES CRTA.CTA.AMEX       7NC</v>
          </cell>
        </row>
        <row r="32464">
          <cell r="B32464" t="str">
            <v>82000000003304</v>
          </cell>
          <cell r="C32464" t="str">
            <v>JCC PRE.JUD.CRTA CTA INT.SUSP.AMEX      7NC</v>
          </cell>
        </row>
        <row r="32465">
          <cell r="B32465" t="str">
            <v>82000000003305</v>
          </cell>
          <cell r="C32465" t="str">
            <v>JCC CASTIGO CAPITAL CTRA CTA.AMEX PN    7NC</v>
          </cell>
        </row>
        <row r="32466">
          <cell r="B32466" t="str">
            <v>82000000003306</v>
          </cell>
          <cell r="C32466" t="str">
            <v>JCC COB.JUD. CRTA CTA INT.SUSP.AMEX PN  7NC</v>
          </cell>
        </row>
        <row r="32467">
          <cell r="B32467" t="str">
            <v>82000000003307</v>
          </cell>
          <cell r="C32467" t="str">
            <v>JCC CASTIGO INTERES CRTA.CTA.AMEX PN    7NC</v>
          </cell>
        </row>
        <row r="32468">
          <cell r="B32468" t="str">
            <v>82000000003308</v>
          </cell>
          <cell r="C32468" t="str">
            <v>JCC PRE.JUD.CRTA CTA INT.SUSP.AMEX PN   7NC</v>
          </cell>
        </row>
        <row r="32469">
          <cell r="B32469" t="str">
            <v>82000000003309</v>
          </cell>
          <cell r="C32469" t="str">
            <v>JCC CASTIGO CAPITAL CTRA CTA.DSCTO PAG  7NC</v>
          </cell>
        </row>
        <row r="32470">
          <cell r="B32470" t="str">
            <v>82000000003310</v>
          </cell>
          <cell r="C32470" t="str">
            <v>JCC COB.JUD. CRTA CTA INT.SUSP.DSCTO PAG7NC</v>
          </cell>
        </row>
        <row r="32471">
          <cell r="B32471" t="str">
            <v>82000000003311</v>
          </cell>
          <cell r="C32471" t="str">
            <v>JCC CASTIGO INTERES CRTA.CTA.DSCTO PAG  7NC</v>
          </cell>
        </row>
        <row r="32472">
          <cell r="B32472" t="str">
            <v>82000000003312</v>
          </cell>
          <cell r="C32472" t="str">
            <v>JCC PRE.JUD.CRTA CTA INT.SUSP.DSCTO PAG 7NC</v>
          </cell>
        </row>
        <row r="32473">
          <cell r="B32473" t="str">
            <v>82000000003336</v>
          </cell>
          <cell r="C32473" t="str">
            <v>JCC PRE JUD MYP C.CTA CAP TRAB INT SU   7NC</v>
          </cell>
        </row>
        <row r="32474">
          <cell r="B32474" t="str">
            <v>82000000003337</v>
          </cell>
          <cell r="C32474" t="str">
            <v>JCC CASTIG PRINC MYP C.TRAB MES C.CTA.MY7NC</v>
          </cell>
        </row>
        <row r="32475">
          <cell r="B32475" t="str">
            <v>82000000003338</v>
          </cell>
          <cell r="C32475" t="str">
            <v>JCC CASTIG INT MYP C.TRAB MES C.CTA     7NC</v>
          </cell>
        </row>
        <row r="32476">
          <cell r="B32476" t="str">
            <v>82000000003339</v>
          </cell>
          <cell r="C32476" t="str">
            <v>JCC  MYP C.CTA CAP TRAB INT SU          7NC</v>
          </cell>
        </row>
        <row r="32477">
          <cell r="B32477" t="str">
            <v>82000000003340</v>
          </cell>
          <cell r="C32477" t="str">
            <v>JCC CASTIG PRINC MYP ESTAC.MES          7NC</v>
          </cell>
        </row>
        <row r="32478">
          <cell r="B32478" t="str">
            <v>82000000003341</v>
          </cell>
          <cell r="C32478" t="str">
            <v>JCC PRE JUD MYP C.CTA CRED ESTAC INT    7NC</v>
          </cell>
        </row>
        <row r="32479">
          <cell r="B32479" t="str">
            <v>82000000003342</v>
          </cell>
          <cell r="C32479" t="str">
            <v>JCC PRE JUD MYP C.CTA CRED ESTAC INT    7NC</v>
          </cell>
        </row>
        <row r="32480">
          <cell r="B32480" t="str">
            <v>82000000003343</v>
          </cell>
          <cell r="C32480" t="str">
            <v>JCC  MYP C.CTA CRED ESTAC INT           7NC</v>
          </cell>
        </row>
        <row r="32481">
          <cell r="B32481" t="str">
            <v>82000000003344</v>
          </cell>
          <cell r="C32481" t="str">
            <v>JCC  MYP C.CTA CRED ESTAC INT S         7NC</v>
          </cell>
        </row>
        <row r="32482">
          <cell r="B32482" t="str">
            <v>82000000003345</v>
          </cell>
          <cell r="C32482" t="str">
            <v>JCC CASTIG INT MYP ESTAC.MES            7NC</v>
          </cell>
        </row>
        <row r="32483">
          <cell r="B32483" t="str">
            <v>82000000003346</v>
          </cell>
          <cell r="C32483" t="str">
            <v>JCC CASTIG PRINC MYP A.F. CYBER. MES    7NC</v>
          </cell>
        </row>
        <row r="32484">
          <cell r="B32484" t="str">
            <v>82000000003347</v>
          </cell>
          <cell r="C32484" t="str">
            <v>JCC CTRA CTA PRE JUD MYP  AF CYBERPL    7NC</v>
          </cell>
        </row>
        <row r="32485">
          <cell r="B32485" t="str">
            <v>82000000003348</v>
          </cell>
          <cell r="C32485" t="str">
            <v>JCC  MYP C.CTA AF CYBERPL INT S         7NC</v>
          </cell>
        </row>
        <row r="32486">
          <cell r="B32486" t="str">
            <v>82000000003349</v>
          </cell>
          <cell r="C32486" t="str">
            <v>JCC CASTIG INT MYP A.F. CYBER.COMERCI   7NC</v>
          </cell>
        </row>
        <row r="32487">
          <cell r="B32487" t="str">
            <v>82000000003350</v>
          </cell>
          <cell r="C32487" t="str">
            <v>JCC CASTIG INT MYP A.F. CYBER.MES       7NC</v>
          </cell>
        </row>
        <row r="32488">
          <cell r="B32488" t="str">
            <v>82000000003383</v>
          </cell>
          <cell r="C32488" t="str">
            <v>JCC CRED.CONDONADO CAPITAL              7NC</v>
          </cell>
        </row>
        <row r="32489">
          <cell r="B32489" t="str">
            <v>82000000003384</v>
          </cell>
          <cell r="C32489" t="str">
            <v>JCC CRED.CONDONADO INTERES              7NC</v>
          </cell>
        </row>
        <row r="32490">
          <cell r="B32490" t="str">
            <v>82000000003385</v>
          </cell>
          <cell r="C32490" t="str">
            <v>JCC CRED.CONDONADO CAPITAL              7NC</v>
          </cell>
        </row>
        <row r="32491">
          <cell r="B32491" t="str">
            <v>82000000003386</v>
          </cell>
          <cell r="C32491" t="str">
            <v>JCC CRED.CONDONADO INTERES              7NC</v>
          </cell>
        </row>
        <row r="32492">
          <cell r="B32492" t="str">
            <v>82000000003406</v>
          </cell>
          <cell r="C32492" t="str">
            <v>JCC COB.JUD.CRTA CTA MES INT.SUS. TC VIS7NC</v>
          </cell>
        </row>
        <row r="32493">
          <cell r="B32493" t="str">
            <v>82000000003409</v>
          </cell>
          <cell r="C32493" t="str">
            <v>JCC CASTIGO INTERES CRTA CTA MES. TC VIS7NC</v>
          </cell>
        </row>
        <row r="32494">
          <cell r="B32494" t="str">
            <v>82000000003410</v>
          </cell>
          <cell r="C32494" t="str">
            <v>JCC CRTA CTA PRE JUD. INT. MES GL 7003.S7NC</v>
          </cell>
        </row>
        <row r="32495">
          <cell r="B32495" t="str">
            <v>82000000003413</v>
          </cell>
          <cell r="C32495" t="str">
            <v>JCC CASTIGO CAPITAL CRTA CTA MES.CASTIG.7NC</v>
          </cell>
        </row>
        <row r="32496">
          <cell r="B32496" t="str">
            <v>82000000003432</v>
          </cell>
          <cell r="C32496" t="str">
            <v>JCC COB.JUD.PAG.REC.COFIDE SBS .PAG.REC.7NC</v>
          </cell>
        </row>
        <row r="32497">
          <cell r="B32497" t="str">
            <v>82000000003435</v>
          </cell>
          <cell r="C32497" t="str">
            <v>JCC CTRA CTA PRE JUD PAG COFIDE VENC GL77NC</v>
          </cell>
        </row>
        <row r="32498">
          <cell r="B32498" t="str">
            <v>82000000003468</v>
          </cell>
          <cell r="C32498" t="str">
            <v>JCC PRE JUD H. MIVIVIENDA RP C.CTA INTER7NC</v>
          </cell>
        </row>
        <row r="32499">
          <cell r="B32499" t="str">
            <v>82000000003469</v>
          </cell>
          <cell r="C32499" t="str">
            <v>JCC COB JUD H. MIVIVIENDA RP C.CTA INTER7NC</v>
          </cell>
        </row>
        <row r="32500">
          <cell r="B32500" t="str">
            <v>82000000003470</v>
          </cell>
          <cell r="C32500" t="str">
            <v>JCC CAPIT CASTIGO H. MIVIVIENDA RP C.CTA7NC</v>
          </cell>
        </row>
        <row r="32501">
          <cell r="B32501" t="str">
            <v>82000000003471</v>
          </cell>
          <cell r="C32501" t="str">
            <v>JCC INTER CASTIGO H. MIVIVIENDA RP C.CTA7NC</v>
          </cell>
        </row>
        <row r="32502">
          <cell r="B32502" t="str">
            <v>82000000003472</v>
          </cell>
          <cell r="C32502" t="str">
            <v>JCC CASTIGO CAPITAL CTRA CTA..VISA.PN   7NC</v>
          </cell>
        </row>
        <row r="32503">
          <cell r="B32503" t="str">
            <v>82000000003473</v>
          </cell>
          <cell r="C32503" t="str">
            <v>JCC COB.JUD. CRTA CTA INT.SUSP.VISA.PN  7NC</v>
          </cell>
        </row>
        <row r="32504">
          <cell r="B32504" t="str">
            <v>82000000003474</v>
          </cell>
          <cell r="C32504" t="str">
            <v>JCC CASTIGO INTERES CRTA.CTA.VISA.PN    7NC</v>
          </cell>
        </row>
        <row r="32505">
          <cell r="B32505" t="str">
            <v>82000000003475</v>
          </cell>
          <cell r="C32505" t="str">
            <v>JCC PRE.JUD.CRTA CTA INT.SUSP.VISA.PN   7NC</v>
          </cell>
        </row>
        <row r="32506">
          <cell r="B32506" t="str">
            <v>82000000003476</v>
          </cell>
          <cell r="C32506" t="str">
            <v>JCC.CTRA CTA CONDONADO CAPITAL .BCA.PERS7NC</v>
          </cell>
        </row>
        <row r="32507">
          <cell r="B32507" t="str">
            <v>82000000003477</v>
          </cell>
          <cell r="C32507" t="str">
            <v>JCC CTRA CTA CONDONADO INTERES.BCA PERSO7NC</v>
          </cell>
        </row>
        <row r="32508">
          <cell r="B32508" t="str">
            <v>82000000003478</v>
          </cell>
          <cell r="C32508" t="str">
            <v>JCC.CTRA CTA CONDONADO CAPITAL .BCA.COME7NC</v>
          </cell>
        </row>
        <row r="32509">
          <cell r="B32509" t="str">
            <v>82000000003479</v>
          </cell>
          <cell r="C32509" t="str">
            <v>JCC CTRA CTA CONDONADO INTERES.BCA COMER7NC</v>
          </cell>
        </row>
        <row r="32510">
          <cell r="B32510" t="str">
            <v>82000000003480</v>
          </cell>
          <cell r="C32510" t="str">
            <v>JCC CRTA CTA INTER.PRE JUD. CONV.NO REV.7NC</v>
          </cell>
        </row>
        <row r="32511">
          <cell r="B32511" t="str">
            <v>82000000003481</v>
          </cell>
          <cell r="C32511" t="str">
            <v>JCC CRTA CTA INTER.JUD. CONV.NO REV.CNG 7NC</v>
          </cell>
        </row>
        <row r="32512">
          <cell r="B32512" t="str">
            <v>82000000003482</v>
          </cell>
          <cell r="C32512" t="str">
            <v>JCC CASTIGO CAPITAL CTRA CTA CONV.NO REV7NC</v>
          </cell>
        </row>
        <row r="32513">
          <cell r="B32513" t="str">
            <v>82000000003483</v>
          </cell>
          <cell r="C32513" t="str">
            <v>JCC CASTIGO INTERES CRTA.CTA CONV.NO REV7NC</v>
          </cell>
        </row>
        <row r="32514">
          <cell r="B32514" t="str">
            <v>82000000003484</v>
          </cell>
          <cell r="C32514" t="str">
            <v>JCC CRTA CTA INTER.PRE JUD.CONV.NO REV.C7NC</v>
          </cell>
        </row>
        <row r="32515">
          <cell r="B32515" t="str">
            <v>82000000003485</v>
          </cell>
          <cell r="C32515" t="str">
            <v>JCC CRTA CTA INTER.JUD.CONV.NO REV.CNG  7NC</v>
          </cell>
        </row>
        <row r="32516">
          <cell r="B32516" t="str">
            <v>82000000003486</v>
          </cell>
          <cell r="C32516" t="str">
            <v>JCC CASTIGO CAPITAL CTRA CTA CONV.NO REV7NC</v>
          </cell>
        </row>
        <row r="32517">
          <cell r="B32517" t="str">
            <v>82000000003487</v>
          </cell>
          <cell r="C32517" t="str">
            <v>JCC CASTIGO INTERES CTRA.CTA CONV.NO REV7NC</v>
          </cell>
        </row>
        <row r="32518">
          <cell r="B32518" t="str">
            <v>82000000003488</v>
          </cell>
          <cell r="C32518" t="str">
            <v>JCC MYP CTRA CTA PRE-JUD.C.TRAB.INT.SUSP7NC</v>
          </cell>
        </row>
        <row r="32519">
          <cell r="B32519" t="str">
            <v>82000000003489</v>
          </cell>
          <cell r="C32519" t="str">
            <v>JCC MYP CTRA CTA JUD.C.TRAB.INT.SUSP.REV7NC</v>
          </cell>
        </row>
        <row r="32520">
          <cell r="B32520" t="str">
            <v>82000000003490</v>
          </cell>
          <cell r="C32520" t="str">
            <v>JCC.CTRA CTA CONDONADO CAPITAL .MYPES   7NC</v>
          </cell>
        </row>
        <row r="32521">
          <cell r="B32521" t="str">
            <v>82000000003491</v>
          </cell>
          <cell r="C32521" t="str">
            <v>JCC CTRA CTA CONDONADO INTERES.MYPES    7NC</v>
          </cell>
        </row>
        <row r="32522">
          <cell r="B32522" t="str">
            <v>82000000003492</v>
          </cell>
          <cell r="C32522" t="str">
            <v>JCC COB.JUD. CRTA CTA INT.SUSP.BCA PERSO7NC</v>
          </cell>
        </row>
        <row r="32523">
          <cell r="B32523" t="str">
            <v>82000000003493</v>
          </cell>
          <cell r="C32523" t="str">
            <v>JCC CASTIGO INTERES CRTA.CTA.BCA PERSONA7NC</v>
          </cell>
        </row>
        <row r="32524">
          <cell r="B32524" t="str">
            <v>82000000003494</v>
          </cell>
          <cell r="C32524" t="str">
            <v>JCC PRE.JUD.CRTA CTA INT.SUSP.BCA PERSON7NC</v>
          </cell>
        </row>
        <row r="32525">
          <cell r="B32525" t="str">
            <v>82000000003495</v>
          </cell>
          <cell r="C32525" t="str">
            <v>JCC CASTIGO CAPITAL CTRA CTA.BCA PERSONA7NC</v>
          </cell>
        </row>
        <row r="32526">
          <cell r="B32526" t="str">
            <v>82000000003496</v>
          </cell>
          <cell r="C32526" t="str">
            <v>JCC CASTIGO INTERES CRTA.CTA BCA PERSONA7NC</v>
          </cell>
        </row>
        <row r="32527">
          <cell r="B32527" t="str">
            <v>82000000003497</v>
          </cell>
          <cell r="C32527" t="str">
            <v>JCC COB.JUD. CRTA CTA INT.SUSP BCA PERSO7NC</v>
          </cell>
        </row>
        <row r="32528">
          <cell r="B32528" t="str">
            <v>82000000003498</v>
          </cell>
          <cell r="C32528" t="str">
            <v>JCC PRE.JUD.CRTA CTA INT.SUSP BCA PERSON7NC</v>
          </cell>
        </row>
        <row r="32529">
          <cell r="B32529" t="str">
            <v>82000000003499</v>
          </cell>
          <cell r="C32529" t="str">
            <v>JCC CASTIGO INTERES CRTA CTA.BCA COMERCI7NC</v>
          </cell>
        </row>
        <row r="32530">
          <cell r="B32530" t="str">
            <v>82000000003501</v>
          </cell>
          <cell r="C32530" t="str">
            <v>JCC CASTIGO CAPITAL CRTA CTA BCA COMERCI7NC</v>
          </cell>
        </row>
        <row r="32531">
          <cell r="B32531" t="str">
            <v>82000000003502</v>
          </cell>
          <cell r="C32531" t="str">
            <v>JCC CASTIGO CAPITAL CTRA CTA BCA PERSONA7NC</v>
          </cell>
        </row>
        <row r="32532">
          <cell r="B32532" t="str">
            <v>82000000003503</v>
          </cell>
          <cell r="C32532" t="str">
            <v>JCC CRTA CTA PRE JUD. INT. BCA COMERCIAL7NC</v>
          </cell>
        </row>
        <row r="32533">
          <cell r="B32533" t="str">
            <v>82000000003504</v>
          </cell>
          <cell r="C32533" t="str">
            <v>JCC COB.JUD.CRTA CTA  INT. BCA COMERCIAL7NC</v>
          </cell>
        </row>
        <row r="32534">
          <cell r="B32534" t="str">
            <v>82000000003505</v>
          </cell>
          <cell r="C32534" t="str">
            <v>JCC CASTIG CTRA. CTA. PRINC MYP C.TRAB R7NC</v>
          </cell>
        </row>
        <row r="32535">
          <cell r="B32535" t="str">
            <v>82000000003506</v>
          </cell>
          <cell r="C32535" t="str">
            <v>JCC CASTIG CTRA. CTA. INT MYP C.TRAB REV7NC</v>
          </cell>
        </row>
        <row r="32536">
          <cell r="B32536" t="str">
            <v>82000000003507</v>
          </cell>
          <cell r="C32536" t="str">
            <v>JCC  CTRA. CTA. PREJUD TECHO PROPIO VEN 7NC</v>
          </cell>
        </row>
        <row r="32537">
          <cell r="B32537" t="str">
            <v>82000000003508</v>
          </cell>
          <cell r="C32537" t="str">
            <v>JCC JUD  CTRA. CTA. TECHO PROPIOÂ COF SB7NC</v>
          </cell>
        </row>
        <row r="32538">
          <cell r="B32538" t="str">
            <v>82000000003509</v>
          </cell>
          <cell r="C32538" t="str">
            <v>JCC CCTA. CAP VENC TECHO PROPIO COFIDE  7NC</v>
          </cell>
        </row>
        <row r="32539">
          <cell r="B32539" t="str">
            <v>82000000003510</v>
          </cell>
          <cell r="C32539" t="str">
            <v>JCC CCTA. COB JUD CRED TECHOPROPIO-RECUP7NC</v>
          </cell>
        </row>
        <row r="32540">
          <cell r="B32540" t="str">
            <v>82000000003511</v>
          </cell>
          <cell r="C32540" t="str">
            <v>JCC COB.JUD. CRTA CTA LS PN INT.SUSP.   7NC</v>
          </cell>
        </row>
        <row r="32541">
          <cell r="B32541" t="str">
            <v>82000000003512</v>
          </cell>
          <cell r="C32541" t="str">
            <v>JCC CTRA.CTA.INT.EN SUSP.PREJUDIC MYP LS7NC</v>
          </cell>
        </row>
        <row r="32542">
          <cell r="B32542" t="str">
            <v>82000000003513</v>
          </cell>
          <cell r="C32542" t="str">
            <v>JCC CTRA.CTA.INT.EN SUSP.JUD.MYP LS BPE 7NC</v>
          </cell>
        </row>
        <row r="32543">
          <cell r="B32543" t="str">
            <v>82000000003514</v>
          </cell>
          <cell r="C32543" t="str">
            <v>JCC CTRA.CTA.CAP.JUD.MYP LEASING BPE CA-7NC</v>
          </cell>
        </row>
        <row r="32544">
          <cell r="B32544" t="str">
            <v>82000000003515</v>
          </cell>
          <cell r="C32544" t="str">
            <v>JCC CTRA.CTA.INT.JUD.MYP LEASING BPE CA-7NC</v>
          </cell>
        </row>
        <row r="32545">
          <cell r="B32545" t="str">
            <v>82000000003516</v>
          </cell>
          <cell r="C32545" t="str">
            <v>JCC COB.JUD. CRTA CTA LS INT.SUSP. CPEM 7NC</v>
          </cell>
        </row>
        <row r="32546">
          <cell r="B32546" t="str">
            <v>82000000003517</v>
          </cell>
          <cell r="C32546" t="str">
            <v>JCC MYP JUD C.CTA CAP TRAB INT SU CMED  7NC</v>
          </cell>
        </row>
        <row r="32547">
          <cell r="B32547" t="str">
            <v>82000000003518</v>
          </cell>
          <cell r="C32547" t="str">
            <v>JCC MYP PJ C.CTA CAP TRAB INT SUSP CMED 7NC</v>
          </cell>
        </row>
        <row r="32548">
          <cell r="B32548" t="str">
            <v>82000000003610</v>
          </cell>
          <cell r="C32548" t="str">
            <v>LPC SISM PAG TV NO REVOL VIG SBS        7NC</v>
          </cell>
        </row>
        <row r="32549">
          <cell r="B32549" t="str">
            <v>82000000003611</v>
          </cell>
          <cell r="C32549" t="str">
            <v>LPC SISMO PAG TV REVOL VEN SBS          7NC</v>
          </cell>
        </row>
        <row r="32550">
          <cell r="B32550" t="str">
            <v>82000000003612</v>
          </cell>
          <cell r="C32550" t="str">
            <v>LPC SISM PAG TV NO REVOL VEN SBS        7NC</v>
          </cell>
        </row>
        <row r="32551">
          <cell r="B32551" t="str">
            <v>82000000003613</v>
          </cell>
          <cell r="C32551" t="str">
            <v>LPC SISMO PAG TV INT SUSP VIG           7NC</v>
          </cell>
        </row>
        <row r="32552">
          <cell r="B32552" t="str">
            <v>82000000003615</v>
          </cell>
          <cell r="C32552" t="str">
            <v>LPC SISM IDL LSG INT SUSP VIG           7NC</v>
          </cell>
        </row>
        <row r="32553">
          <cell r="B32553" t="str">
            <v>82000000003616</v>
          </cell>
          <cell r="C32553" t="str">
            <v>LPC SISM IDL LSG INT SUS SEG VIG        7NC</v>
          </cell>
        </row>
        <row r="32554">
          <cell r="B32554" t="str">
            <v>82000000003617</v>
          </cell>
          <cell r="C32554" t="str">
            <v>LPC SISMO LEASING VIGENTE SBS           7NC</v>
          </cell>
        </row>
        <row r="32555">
          <cell r="B32555" t="str">
            <v>82000000003618</v>
          </cell>
          <cell r="C32555" t="str">
            <v>LPC SISM IDL LSG INT SUSP VEN           7NC</v>
          </cell>
        </row>
        <row r="32556">
          <cell r="B32556" t="str">
            <v>82000000003619</v>
          </cell>
          <cell r="C32556" t="str">
            <v>LPC SISM IDL LSG INT SUS SEG VEN        7NC</v>
          </cell>
        </row>
        <row r="32557">
          <cell r="B32557" t="str">
            <v>82000000003620</v>
          </cell>
          <cell r="C32557" t="str">
            <v>LPC SISMO LEASING VENCIDO SBS           7NC</v>
          </cell>
        </row>
        <row r="32558">
          <cell r="B32558" t="str">
            <v>82000000003621</v>
          </cell>
          <cell r="C32558" t="str">
            <v>IC S CCTA CRED SUSP HIPOTEC             7NC</v>
          </cell>
        </row>
        <row r="32559">
          <cell r="B32559" t="str">
            <v>82000000003622</v>
          </cell>
          <cell r="C32559" t="str">
            <v>IC S CCTA CRED REPROG SISMO HIPOT       7NC</v>
          </cell>
        </row>
        <row r="32560">
          <cell r="B32560" t="str">
            <v>82000000003623</v>
          </cell>
          <cell r="C32560" t="str">
            <v>IC S CTRA CTA CRED PERS C/GARANT HIP VE 7NC</v>
          </cell>
        </row>
        <row r="32561">
          <cell r="B32561" t="str">
            <v>82000000003624</v>
          </cell>
          <cell r="C32561" t="str">
            <v>IC S CCTA REPROG SISMO EFECT C/G HIP    7NC</v>
          </cell>
        </row>
        <row r="32562">
          <cell r="B32562" t="str">
            <v>82000000003625</v>
          </cell>
          <cell r="C32562" t="str">
            <v>IC S CCTRA PREST PERS VENC SUSP         7NC</v>
          </cell>
        </row>
        <row r="32563">
          <cell r="B32563" t="str">
            <v>82000000003627</v>
          </cell>
          <cell r="C32563" t="str">
            <v>IC S PREST VEHIC CTRA CTA EN SUSP       7NC</v>
          </cell>
        </row>
        <row r="32564">
          <cell r="B32564" t="str">
            <v>82000000003628</v>
          </cell>
          <cell r="C32564" t="str">
            <v>IC S CCTA REPROG SISMO VEHIC            7NC</v>
          </cell>
        </row>
        <row r="32565">
          <cell r="B32565" t="str">
            <v>82000000003629</v>
          </cell>
          <cell r="C32565" t="str">
            <v>IC S CCTA PREST CONV SUSP               7NC</v>
          </cell>
        </row>
        <row r="32566">
          <cell r="B32566" t="str">
            <v>82000000003631</v>
          </cell>
          <cell r="C32566" t="str">
            <v>IC S CCTRA SEG DESG  INMUEB  BIEN       7NC</v>
          </cell>
        </row>
        <row r="32567">
          <cell r="B32567" t="str">
            <v>82000000003632</v>
          </cell>
          <cell r="C32567" t="str">
            <v>IC S CCTRA COM GTO ADM CONV SUSP        7NC</v>
          </cell>
        </row>
        <row r="32568">
          <cell r="B32568" t="str">
            <v>82000000003633</v>
          </cell>
          <cell r="C32568" t="str">
            <v>IC S CCTRA COM GTO ADM                  7NC</v>
          </cell>
        </row>
        <row r="32569">
          <cell r="B32569" t="str">
            <v>82000000003634</v>
          </cell>
          <cell r="C32569" t="str">
            <v>LIC S PREST X CONV CTRA CTA VENC EN S   7NC</v>
          </cell>
        </row>
        <row r="32570">
          <cell r="B32570" t="str">
            <v>82000000003635</v>
          </cell>
          <cell r="C32570" t="str">
            <v>LIC E CCTA REPROG CONVENIO EMERGENCIA   7NC</v>
          </cell>
        </row>
        <row r="32571">
          <cell r="B32571" t="str">
            <v>82000000003636</v>
          </cell>
          <cell r="C32571" t="str">
            <v>LIC S CCTA SEG X COB SUSP CONV          7NC</v>
          </cell>
        </row>
        <row r="32572">
          <cell r="B32572" t="str">
            <v>82000000003638</v>
          </cell>
          <cell r="C32572" t="str">
            <v>CHI S CCTA CRED REPROG SISMO MI VIV     7NC</v>
          </cell>
        </row>
        <row r="32573">
          <cell r="B32573" t="str">
            <v>82000000003642</v>
          </cell>
          <cell r="C32573" t="str">
            <v>CHI S CCTA INT CRED HIPOTECARIO         7NC</v>
          </cell>
        </row>
        <row r="32574">
          <cell r="B32574" t="str">
            <v>82000000003645</v>
          </cell>
          <cell r="C32574" t="str">
            <v>CHI S CCTA SEGUROS CRED HIPOTECARIO     7NC</v>
          </cell>
        </row>
        <row r="32575">
          <cell r="B32575" t="str">
            <v>82000000003651</v>
          </cell>
          <cell r="C32575" t="str">
            <v>TC SISMO INTERES SUSPEN VIGENTE         7NC</v>
          </cell>
        </row>
        <row r="32576">
          <cell r="B32576" t="str">
            <v>82000000003653</v>
          </cell>
          <cell r="C32576" t="str">
            <v>PR FACTORING INTL INT VENCIDO           7NC</v>
          </cell>
        </row>
        <row r="32577">
          <cell r="B32577" t="str">
            <v>82000000003701</v>
          </cell>
          <cell r="C32577" t="str">
            <v>HPC CCTA. CAPITAL TITULIZADORA          7NC</v>
          </cell>
        </row>
        <row r="32578">
          <cell r="B32578" t="str">
            <v>82000000003703</v>
          </cell>
          <cell r="C32578" t="str">
            <v>HPC CCTA.SEGUROS TITULIZADORA           7NC</v>
          </cell>
        </row>
        <row r="32579">
          <cell r="B32579" t="str">
            <v>82000000003704</v>
          </cell>
          <cell r="C32579" t="str">
            <v>HPC CCTA INT.X COB.TITULIZADORA         7NC</v>
          </cell>
        </row>
        <row r="32580">
          <cell r="B32580" t="str">
            <v>82000000003705</v>
          </cell>
          <cell r="C32580" t="str">
            <v>HPC CCTA SEG DIF.TITULIZADORA           7NC</v>
          </cell>
        </row>
        <row r="32581">
          <cell r="B32581" t="str">
            <v>82000000003706</v>
          </cell>
          <cell r="C32581" t="str">
            <v>HPC CCTA INT. DIF.TITULIZADORA          7NC</v>
          </cell>
        </row>
        <row r="32582">
          <cell r="B32582" t="str">
            <v>82000000003709</v>
          </cell>
          <cell r="C32582" t="str">
            <v>HPC CCTA. CAPITAL TITULIZADORA REFINANCI7NC</v>
          </cell>
        </row>
        <row r="32583">
          <cell r="B32583" t="str">
            <v>82000000003710</v>
          </cell>
          <cell r="C32583" t="str">
            <v>HPC CCTA INT.X COB.TITULIZADORA REFINANC7NC</v>
          </cell>
        </row>
        <row r="32584">
          <cell r="B32584" t="str">
            <v>82000000003711</v>
          </cell>
          <cell r="C32584" t="str">
            <v>HPC CCTA.SEGUROS TITULIZADORA REFINANCIA7NC</v>
          </cell>
        </row>
        <row r="32585">
          <cell r="B32585" t="str">
            <v>82000000003712</v>
          </cell>
          <cell r="C32585" t="str">
            <v>HPC CCTA SEG DIF.ESPC.TITULIZADORA REFIN7NC</v>
          </cell>
        </row>
        <row r="32586">
          <cell r="B32586" t="str">
            <v>82000000003713</v>
          </cell>
          <cell r="C32586" t="str">
            <v>HPC CCTA INT. DIF.ESPEC.TITULIZADORA REF7NC</v>
          </cell>
        </row>
        <row r="32587">
          <cell r="B32587" t="str">
            <v>82000000003716</v>
          </cell>
          <cell r="C32587" t="str">
            <v>GANANCIA EN VENTA DE BIENES ADJUDICAD   7NC</v>
          </cell>
        </row>
        <row r="32588">
          <cell r="B32588" t="str">
            <v>82000000003717</v>
          </cell>
          <cell r="C32588" t="str">
            <v>HPC CCTA COM.DIF.TITULIZADORA REFINANCIA7NC</v>
          </cell>
        </row>
        <row r="32589">
          <cell r="B32589" t="str">
            <v>82000000003721</v>
          </cell>
          <cell r="C32589" t="str">
            <v>CRTA CTA C.HIPOTECAR TRADIC T.PERUANA   7NC</v>
          </cell>
        </row>
        <row r="32590">
          <cell r="B32590" t="str">
            <v>82000000003734</v>
          </cell>
          <cell r="C32590" t="str">
            <v>HPC D/P.CCTA INT.X COB.TITULIZA         7NC</v>
          </cell>
        </row>
        <row r="32591">
          <cell r="B32591" t="str">
            <v>82000000003735</v>
          </cell>
          <cell r="C32591" t="str">
            <v>HPC D/P.CCTA.SEG.DESGR - INMB.T         7NC</v>
          </cell>
        </row>
        <row r="32592">
          <cell r="B32592" t="str">
            <v>82000000003736</v>
          </cell>
          <cell r="C32592" t="str">
            <v>HPC. CCTA. INT.X COB. VENC.TITU         7NC</v>
          </cell>
        </row>
        <row r="32593">
          <cell r="B32593" t="str">
            <v>82000000003737</v>
          </cell>
          <cell r="C32593" t="str">
            <v>HPC CCTA .SEGUROS .VENC TITULIZ         7NC</v>
          </cell>
        </row>
        <row r="32594">
          <cell r="B32594" t="str">
            <v>82000000003742</v>
          </cell>
          <cell r="C32594" t="str">
            <v>HPC.D/P.CCTA INT. DIF.TITULIZAD         7NC</v>
          </cell>
        </row>
        <row r="32595">
          <cell r="B32595" t="str">
            <v>82000000003743</v>
          </cell>
          <cell r="C32595" t="str">
            <v>HPC.D/P.CCTA SEG DIF.TITULIZADO         7NC</v>
          </cell>
        </row>
        <row r="32596">
          <cell r="B32596" t="str">
            <v>82000000003744</v>
          </cell>
          <cell r="C32596" t="str">
            <v>HPC INT CRED REFIN  EN SUSPENSO         7NC</v>
          </cell>
        </row>
        <row r="32597">
          <cell r="B32597" t="str">
            <v>82000000003745</v>
          </cell>
          <cell r="C32597" t="str">
            <v>HPC CCTRA REFIN TC IB PN INT SUSP       7NC</v>
          </cell>
        </row>
        <row r="32598">
          <cell r="B32598" t="str">
            <v>82000000003748</v>
          </cell>
          <cell r="C32598" t="str">
            <v>TC REPROGRAMACION VIGENTE               7NC</v>
          </cell>
        </row>
        <row r="32599">
          <cell r="B32599" t="str">
            <v>82000000003753</v>
          </cell>
          <cell r="C32599" t="str">
            <v>HPC ME REF CCTA INT.X COB.VENC EFEC C/GA7NC</v>
          </cell>
        </row>
        <row r="32600">
          <cell r="B32600" t="str">
            <v>82000000003754</v>
          </cell>
          <cell r="C32600" t="str">
            <v>HPC CCNR REF.INT GAN CONV REV VIG       7NC</v>
          </cell>
        </row>
        <row r="32601">
          <cell r="B32601" t="str">
            <v>82000000003755</v>
          </cell>
          <cell r="C32601" t="str">
            <v>FCD CTRA CTA INT. SUP DSCTO ELECTR VIG D7NC</v>
          </cell>
        </row>
        <row r="32602">
          <cell r="B32602" t="str">
            <v>82000000003756</v>
          </cell>
          <cell r="C32602" t="str">
            <v>FCD CTRA CTA INT. SUP DSCTO ELECTR VENC 7NC</v>
          </cell>
        </row>
        <row r="32603">
          <cell r="B32603" t="str">
            <v>82000000003757</v>
          </cell>
          <cell r="C32603" t="str">
            <v>FCD CTRA CTA INT. SUP FACT ELECTR VIG DU7NC</v>
          </cell>
        </row>
        <row r="32604">
          <cell r="B32604" t="str">
            <v>82000000003758</v>
          </cell>
          <cell r="C32604" t="str">
            <v>FCD CTRA CTA INT. SUP FACT ELECTR VENC D7NC</v>
          </cell>
        </row>
        <row r="32605">
          <cell r="B32605" t="str">
            <v>82000000003759</v>
          </cell>
          <cell r="C32605" t="str">
            <v>FCD FACT INTER EXPO CONTRA INT VENCIDO N7NC</v>
          </cell>
        </row>
        <row r="32606">
          <cell r="B32606" t="str">
            <v>82000000003760</v>
          </cell>
          <cell r="C32606" t="str">
            <v>FCD FORFAINTING CONTRA INT VENCIDO NORM 7NC</v>
          </cell>
        </row>
        <row r="32607">
          <cell r="B32607" t="str">
            <v>82000000003761</v>
          </cell>
          <cell r="C32607" t="str">
            <v>FCD FACT INTER EXPO  CONTRA INT VIG DUPE7NC</v>
          </cell>
        </row>
        <row r="32608">
          <cell r="B32608" t="str">
            <v>82000000003762</v>
          </cell>
          <cell r="C32608" t="str">
            <v>FCD FACT INTER EXPO CONTRA INT VENCIDO D7NC</v>
          </cell>
        </row>
        <row r="32609">
          <cell r="B32609" t="str">
            <v>82000000003763</v>
          </cell>
          <cell r="C32609" t="str">
            <v>FCD FORFAINTING  CONTRA INTL INT VIG DUP7NC</v>
          </cell>
        </row>
        <row r="32610">
          <cell r="B32610" t="str">
            <v>82000000003764</v>
          </cell>
          <cell r="C32610" t="str">
            <v>FCD FORFAINTING CONTRA INT VENCIDO DUPE 7NC</v>
          </cell>
        </row>
        <row r="32611">
          <cell r="B32611" t="str">
            <v>82000000003765</v>
          </cell>
          <cell r="C32611" t="str">
            <v>FCD  CONTRA CTA CONFIR INTERNACIONAL INT7NC</v>
          </cell>
        </row>
        <row r="32612">
          <cell r="B32612" t="str">
            <v>82000000003766</v>
          </cell>
          <cell r="C32612" t="str">
            <v>FCD  CONTRA CTA CONFIR INTERNACIONAL INT7NC</v>
          </cell>
        </row>
        <row r="32613">
          <cell r="B32613" t="str">
            <v>82000000003767</v>
          </cell>
          <cell r="C32613" t="str">
            <v>FCD  CONTRA CTA CONFIR INTERNACIONAL VIG7NC</v>
          </cell>
        </row>
        <row r="32614">
          <cell r="B32614" t="str">
            <v>82000000003801</v>
          </cell>
          <cell r="C32614" t="str">
            <v>CONTRA - CREDITOS CASTIGADOS -AMORTIZADO7NC</v>
          </cell>
        </row>
        <row r="32615">
          <cell r="B32615" t="str">
            <v>82000000003802</v>
          </cell>
          <cell r="C32615" t="str">
            <v>CONTRA - CREDITOS CASTIGADOS -AMORTIZADO7NC</v>
          </cell>
        </row>
        <row r="32616">
          <cell r="B32616" t="str">
            <v>82000000003901</v>
          </cell>
          <cell r="C32616" t="str">
            <v>GTIA VTA CART CRED EMPL INTERSEGURO     7NC</v>
          </cell>
        </row>
        <row r="32617">
          <cell r="B32617" t="str">
            <v>82000000003941</v>
          </cell>
          <cell r="C32617" t="str">
            <v>HPC CCTA CRED EFECT VENC SU             7NC</v>
          </cell>
        </row>
        <row r="32618">
          <cell r="B32618" t="str">
            <v>82000000003942</v>
          </cell>
          <cell r="C32618" t="str">
            <v>HPC D/P CCTA CRED EFECT VEN             7NC</v>
          </cell>
        </row>
        <row r="32619">
          <cell r="B32619" t="str">
            <v>82000000003943</v>
          </cell>
          <cell r="C32619" t="str">
            <v>HPC CCTA CRED VEHIC VENC SU             7NC</v>
          </cell>
        </row>
        <row r="32620">
          <cell r="B32620" t="str">
            <v>82000000003944</v>
          </cell>
          <cell r="C32620" t="str">
            <v>HPC D/P CCTA CRED VEHIC VEN             7NC</v>
          </cell>
        </row>
        <row r="32621">
          <cell r="B32621" t="str">
            <v>82000000003945</v>
          </cell>
          <cell r="C32621" t="str">
            <v>HPC CCTA.SEG.DESGR - PREND              7NC</v>
          </cell>
        </row>
        <row r="32622">
          <cell r="B32622" t="str">
            <v>82000000003946</v>
          </cell>
          <cell r="C32622" t="str">
            <v>HPC D/P CCTA.SEG.DESGR - PR             7NC</v>
          </cell>
        </row>
        <row r="32623">
          <cell r="B32623" t="str">
            <v>82000000003947</v>
          </cell>
          <cell r="C32623" t="str">
            <v>LIC CCTRA INTXC CREDXCONV.PREF          7NC</v>
          </cell>
        </row>
        <row r="32624">
          <cell r="B32624" t="str">
            <v>82000000003948</v>
          </cell>
          <cell r="C32624" t="str">
            <v>LIC DP CCTRA INTXC CRDXCONV PRE         7NC</v>
          </cell>
        </row>
        <row r="32625">
          <cell r="B32625" t="str">
            <v>82000000003950</v>
          </cell>
          <cell r="C32625" t="str">
            <v>LPC C.CTA CAP LEASING OPERATIVO         7NC</v>
          </cell>
        </row>
        <row r="32626">
          <cell r="B32626" t="str">
            <v>82000000003951</v>
          </cell>
          <cell r="C32626" t="str">
            <v>LPC C.CTA INT LEAS OPERATIVO            7NC</v>
          </cell>
        </row>
        <row r="32627">
          <cell r="B32627" t="str">
            <v>82000000003955</v>
          </cell>
          <cell r="C32627" t="str">
            <v>CL PAG REF P.CONS DEUDA BCO INT SUSP    7NC</v>
          </cell>
        </row>
        <row r="32628">
          <cell r="B32628" t="str">
            <v>82000000003956</v>
          </cell>
          <cell r="C32628" t="str">
            <v>CL PAG REF FOPE INT SUSP                7NC</v>
          </cell>
        </row>
        <row r="32629">
          <cell r="B32629" t="str">
            <v>82000000003958</v>
          </cell>
          <cell r="C32629" t="str">
            <v>MYP C.CTA INT.X COB.VENC FIN.IMPORT CAP 7NC</v>
          </cell>
        </row>
        <row r="32630">
          <cell r="B32630" t="str">
            <v>82000000003959</v>
          </cell>
          <cell r="C32630" t="str">
            <v>MYP C.CTA D/P INT.X COB IMP.CAP DE TRABÂ7NC</v>
          </cell>
        </row>
        <row r="32631">
          <cell r="B32631" t="str">
            <v>82000000003960</v>
          </cell>
          <cell r="C32631" t="str">
            <v>MYP D/P CCTA INT.X COB. IMP. CAP DE TRAB7NC</v>
          </cell>
        </row>
        <row r="32632">
          <cell r="B32632" t="str">
            <v>82000000003961</v>
          </cell>
          <cell r="C32632" t="str">
            <v>MYP C.CTA INT.X COB.VENC FIN.IMPORT ACTI7NC</v>
          </cell>
        </row>
        <row r="32633">
          <cell r="B32633" t="str">
            <v>82000000003962</v>
          </cell>
          <cell r="C32633" t="str">
            <v>MYP D/P C.CTA INT.X COB.VENC IMPOR AF CP7NC</v>
          </cell>
        </row>
        <row r="32634">
          <cell r="B32634" t="str">
            <v>82000000003963</v>
          </cell>
          <cell r="C32634" t="str">
            <v>MYP C.CTA INT.X COB.VENC FIN.IMPORT CAP 7NC</v>
          </cell>
        </row>
        <row r="32635">
          <cell r="B32635" t="str">
            <v>82000000003966</v>
          </cell>
          <cell r="C32635" t="str">
            <v>MYP C.CTA INT.X COB.VENC FIN.IMPORT A   7NC</v>
          </cell>
        </row>
        <row r="32636">
          <cell r="B32636" t="str">
            <v>82000000003969</v>
          </cell>
          <cell r="C32636" t="str">
            <v>MYP C.CTA D/P INT.X COB FIN IMPOR AF CPE7NC</v>
          </cell>
        </row>
        <row r="32637">
          <cell r="B32637" t="str">
            <v>82000000003970</v>
          </cell>
          <cell r="C32637" t="str">
            <v>HPC D/P CCTA INT.X COB.VIG EMPLEADO E   7NC</v>
          </cell>
        </row>
        <row r="32638">
          <cell r="B32638" t="str">
            <v>82000000003972</v>
          </cell>
          <cell r="C32638" t="str">
            <v>LPC C.CTA INT LEASEBACK REF RP LPC      7NC</v>
          </cell>
        </row>
        <row r="32639">
          <cell r="B32639" t="str">
            <v>82000000003973</v>
          </cell>
          <cell r="C32639" t="str">
            <v>LPC C.CTA INT LEASEBACK SEG REF RP LP   7NC</v>
          </cell>
        </row>
        <row r="32640">
          <cell r="B32640" t="str">
            <v>82000000003980</v>
          </cell>
          <cell r="C32640" t="str">
            <v>OP APLICATIVO MDC SWAP                  7NC</v>
          </cell>
        </row>
        <row r="32641">
          <cell r="B32641" t="str">
            <v>82000000004001</v>
          </cell>
          <cell r="C32641" t="str">
            <v>HPC ME CCTA CRED EFECT VENC SUSPENSO    7NC</v>
          </cell>
        </row>
        <row r="32642">
          <cell r="B32642" t="str">
            <v>82000000004002</v>
          </cell>
          <cell r="C32642" t="str">
            <v>HPC ME CCTA CRED VEHIC VENC SUSPENSO    7NC</v>
          </cell>
        </row>
        <row r="32643">
          <cell r="B32643" t="str">
            <v>82000000004003</v>
          </cell>
          <cell r="C32643" t="str">
            <v>HPC ME D/P CCTA CRED EFECT VENC SUSPENSO7NC</v>
          </cell>
        </row>
        <row r="32644">
          <cell r="B32644" t="str">
            <v>82000000004004</v>
          </cell>
          <cell r="C32644" t="str">
            <v>HPC ME D/P CCTA CRED VEHIC VENC SUSPENSO7NC</v>
          </cell>
        </row>
        <row r="32645">
          <cell r="B32645" t="str">
            <v>82000000004005</v>
          </cell>
          <cell r="C32645" t="str">
            <v>HPC ME INT CRED REFIN  EN SUSP EFECT/VEH7NC</v>
          </cell>
        </row>
        <row r="32646">
          <cell r="B32646" t="str">
            <v>82000000004006</v>
          </cell>
          <cell r="C32646" t="str">
            <v>HPC ME CCTA INT.X COB.VENC EFEC C/GAR. H7NC</v>
          </cell>
        </row>
        <row r="32647">
          <cell r="B32647" t="str">
            <v>82000000004007</v>
          </cell>
          <cell r="C32647" t="str">
            <v>HPC ME D/P CCTA INT.X COB. EFEC C/GARANT7NC</v>
          </cell>
        </row>
        <row r="32648">
          <cell r="B32648" t="str">
            <v>82000000004008</v>
          </cell>
          <cell r="C32648" t="str">
            <v>HPC CCTA INT.X COB.VENC HIPOT TASA MIXTA7NC</v>
          </cell>
        </row>
        <row r="32649">
          <cell r="B32649" t="str">
            <v>82000000004009</v>
          </cell>
          <cell r="C32649" t="str">
            <v>HPC D/P CCTA INT.X COB. HIPOT.TASA MIXTA7NC</v>
          </cell>
        </row>
        <row r="32650">
          <cell r="B32650" t="str">
            <v>82000000004022</v>
          </cell>
          <cell r="C32650" t="str">
            <v>LPC INT.SUSP PAG.TV NEG.INMOBILI        7NC</v>
          </cell>
        </row>
        <row r="32651">
          <cell r="B32651" t="str">
            <v>82000000004023</v>
          </cell>
          <cell r="C32651" t="str">
            <v>LPC CTRA CTA INT SUSP INT DIF VEN LS BAC7NC</v>
          </cell>
        </row>
        <row r="32652">
          <cell r="B32652" t="str">
            <v>82000000004024</v>
          </cell>
          <cell r="C32652" t="str">
            <v>LPC CTRA CTA INT SUSP SEG INT DIF VEN LS7NC</v>
          </cell>
        </row>
        <row r="32653">
          <cell r="B32653" t="str">
            <v>82000000004025</v>
          </cell>
          <cell r="C32653" t="str">
            <v>LPC CTRA CTA INT SUSP DIF VIG LS BACK CO7NC</v>
          </cell>
        </row>
        <row r="32654">
          <cell r="B32654" t="str">
            <v>82000000004026</v>
          </cell>
          <cell r="C32654" t="str">
            <v>LPC CTRA CTA INT SUSP INT DIF VEN LS BAC7NC</v>
          </cell>
        </row>
        <row r="32655">
          <cell r="B32655" t="str">
            <v>82000000004027</v>
          </cell>
          <cell r="C32655" t="str">
            <v>LPC CTRA CTA INT. SUSP SEG DIF VIG LS BA7NC</v>
          </cell>
        </row>
        <row r="32656">
          <cell r="B32656" t="str">
            <v>82000000004028</v>
          </cell>
          <cell r="C32656" t="str">
            <v>LPC CTRA CTA INT SUSP SEG DIF VEN LS BAC7NC</v>
          </cell>
        </row>
        <row r="32657">
          <cell r="B32657" t="str">
            <v>82000000004029</v>
          </cell>
          <cell r="C32657" t="str">
            <v>LPC C.CTA INT LEAS BPE REF IDL CPEM     7NC</v>
          </cell>
        </row>
        <row r="32658">
          <cell r="B32658" t="str">
            <v>82000000004030</v>
          </cell>
          <cell r="C32658" t="str">
            <v>LPC C.CTA INT LEAS BPE SEG REF RP CPEM  7NC</v>
          </cell>
        </row>
        <row r="32659">
          <cell r="B32659" t="str">
            <v>82000000004031</v>
          </cell>
          <cell r="C32659" t="str">
            <v>LPC C.CTA LEAS BPE VENC REF INT DIFER RP7NC</v>
          </cell>
        </row>
        <row r="32660">
          <cell r="B32660" t="str">
            <v>82000000004032</v>
          </cell>
          <cell r="C32660" t="str">
            <v>LPC C.CTA LEAS BPE VENC REF SEG INT DIF 7NC</v>
          </cell>
        </row>
        <row r="32661">
          <cell r="B32661" t="str">
            <v>82000000004033</v>
          </cell>
          <cell r="C32661" t="str">
            <v>LPC C.CTA INT LEAS BPE REF IDL CMIE     7NC</v>
          </cell>
        </row>
        <row r="32662">
          <cell r="B32662" t="str">
            <v>82000000004034</v>
          </cell>
          <cell r="C32662" t="str">
            <v>LPC C.CTA INT LEAS BPE SEG REF RP CMIE  7NC</v>
          </cell>
        </row>
        <row r="32663">
          <cell r="B32663" t="str">
            <v>82000000004035</v>
          </cell>
          <cell r="C32663" t="str">
            <v>LPC C.CTA LEAS BPE VENC REF INT DIFER RP7NC</v>
          </cell>
        </row>
        <row r="32664">
          <cell r="B32664" t="str">
            <v>82000000004036</v>
          </cell>
          <cell r="C32664" t="str">
            <v>LPC C.CTA LEAS BPE VENC REF SEG INT DIF 7NC</v>
          </cell>
        </row>
        <row r="32665">
          <cell r="B32665" t="str">
            <v>82000000004037</v>
          </cell>
          <cell r="C32665" t="str">
            <v>LPC REF LS C CTA CGAS INT.SUP. VIG PDL/I7NC</v>
          </cell>
        </row>
        <row r="32666">
          <cell r="B32666" t="str">
            <v>82000000004038</v>
          </cell>
          <cell r="C32666" t="str">
            <v>LPC REF LS C CTA CGAS I.SUP SB VIG PDS/I7NC</v>
          </cell>
        </row>
        <row r="32667">
          <cell r="B32667" t="str">
            <v>82000000004039</v>
          </cell>
          <cell r="C32667" t="str">
            <v>LPC REF LS C CTA CGAS INT.SUP. VEN PDL/I7NC</v>
          </cell>
        </row>
        <row r="32668">
          <cell r="B32668" t="str">
            <v>82000000004040</v>
          </cell>
          <cell r="C32668" t="str">
            <v>LPC REF LS C CTA CGAS I.SUP SB VEN PDS/I7NC</v>
          </cell>
        </row>
        <row r="32669">
          <cell r="B32669" t="str">
            <v>82000000004041</v>
          </cell>
          <cell r="C32669" t="str">
            <v>LPC REF LS C CTA CGAS INT.SUP. VIG PDL/I7NC</v>
          </cell>
        </row>
        <row r="32670">
          <cell r="B32670" t="str">
            <v>82000000004042</v>
          </cell>
          <cell r="C32670" t="str">
            <v>LPC REF LS C CTA CGAS I.SUP SB VIG PDS/I7NC</v>
          </cell>
        </row>
        <row r="32671">
          <cell r="B32671" t="str">
            <v>82000000004043</v>
          </cell>
          <cell r="C32671" t="str">
            <v>LPC REF LS C CTA CGAS INT.SUP. VEN PDL/I7NC</v>
          </cell>
        </row>
        <row r="32672">
          <cell r="B32672" t="str">
            <v>82000000004044</v>
          </cell>
          <cell r="C32672" t="str">
            <v>LPC REF LS C CTA CGAS I.SUP SB VEN PDS/I7NC</v>
          </cell>
        </row>
        <row r="32673">
          <cell r="B32673" t="str">
            <v>82000000004045</v>
          </cell>
          <cell r="C32673" t="str">
            <v>LPC REF LS C CTA CGAS INT.SUP. VIG PDL/I7NC</v>
          </cell>
        </row>
        <row r="32674">
          <cell r="B32674" t="str">
            <v>82000000004046</v>
          </cell>
          <cell r="C32674" t="str">
            <v>LPC REF LS C CTA CGAS I.SUP SB VIG PDS/I7NC</v>
          </cell>
        </row>
        <row r="32675">
          <cell r="B32675" t="str">
            <v>82000000004047</v>
          </cell>
          <cell r="C32675" t="str">
            <v>LPC REF LS C CTA CGAS INT.SUP. VEN PDL/I7NC</v>
          </cell>
        </row>
        <row r="32676">
          <cell r="B32676" t="str">
            <v>82000000004048</v>
          </cell>
          <cell r="C32676" t="str">
            <v>LPC REF LS C CTA CGAS I.SUP SB VEN PDS/I7NC</v>
          </cell>
        </row>
        <row r="32677">
          <cell r="B32677" t="str">
            <v>82000000004049</v>
          </cell>
          <cell r="C32677" t="str">
            <v>LPC REF LS C CTA CGAS INT.SUP. VIG PDL/I7NC</v>
          </cell>
        </row>
        <row r="32678">
          <cell r="B32678" t="str">
            <v>82000000004050</v>
          </cell>
          <cell r="C32678" t="str">
            <v>LPC REF LS C CTA CGAS I.SUP SB VIG PDS/I7NC</v>
          </cell>
        </row>
        <row r="32679">
          <cell r="B32679" t="str">
            <v>82000000004051</v>
          </cell>
          <cell r="C32679" t="str">
            <v>LPC REF LS C CTA CGAS INT.SUP. VEN PDL/I7NC</v>
          </cell>
        </row>
        <row r="32680">
          <cell r="B32680" t="str">
            <v>82000000004052</v>
          </cell>
          <cell r="C32680" t="str">
            <v>LPC REF LS C CTA CGAS I.SUP SB VEN PDS/I7NC</v>
          </cell>
        </row>
        <row r="32681">
          <cell r="B32681" t="str">
            <v>82000000004101</v>
          </cell>
          <cell r="C32681" t="str">
            <v>MYP CCTA INT.VENC C.TRAB.CPEM           7NC</v>
          </cell>
        </row>
        <row r="32682">
          <cell r="B32682" t="str">
            <v>82000000004102</v>
          </cell>
          <cell r="C32682" t="str">
            <v>MYP CCTA INT.VENC C.TRAB.CMED           7NC</v>
          </cell>
        </row>
        <row r="32683">
          <cell r="B32683" t="str">
            <v>82000000004103</v>
          </cell>
          <cell r="C32683" t="str">
            <v>MYP CCTA INTXCOB.COMP AF CPEM           7NC</v>
          </cell>
        </row>
        <row r="32684">
          <cell r="B32684" t="str">
            <v>82000000004104</v>
          </cell>
          <cell r="C32684" t="str">
            <v>MYP CCTA INTXCOB.COMP AF CMED           7NC</v>
          </cell>
        </row>
        <row r="32685">
          <cell r="B32685" t="str">
            <v>82000000004105</v>
          </cell>
          <cell r="C32685" t="str">
            <v>MYP CCTA INT.COB.VEN CRED PARA CPEM     7NC</v>
          </cell>
        </row>
        <row r="32686">
          <cell r="B32686" t="str">
            <v>82000000004106</v>
          </cell>
          <cell r="C32686" t="str">
            <v>MYP CCTA INT.COB.VEN CRED PARA CMED     7NC</v>
          </cell>
        </row>
        <row r="32687">
          <cell r="B32687" t="str">
            <v>82000000004107</v>
          </cell>
          <cell r="C32687" t="str">
            <v>MYP D/P CCTA INT.X COB.CAP.TRAB CMED    7NC</v>
          </cell>
        </row>
        <row r="32688">
          <cell r="B32688" t="str">
            <v>82000000004108</v>
          </cell>
          <cell r="C32688" t="str">
            <v>MYP D/P CCTA INT.X COB.CAP.TRAB CPEM    7NC</v>
          </cell>
        </row>
        <row r="32689">
          <cell r="B32689" t="str">
            <v>82000000004109</v>
          </cell>
          <cell r="C32689" t="str">
            <v>MYP D/P CCTA INT.X COB A F INMUEBLE CPEM7NC</v>
          </cell>
        </row>
        <row r="32690">
          <cell r="B32690" t="str">
            <v>82000000004110</v>
          </cell>
          <cell r="C32690" t="str">
            <v>MYP D/P CCTA INT.X COB A F INMUEBLE CMED7NC</v>
          </cell>
        </row>
        <row r="32691">
          <cell r="B32691" t="str">
            <v>82000000004111</v>
          </cell>
          <cell r="C32691" t="str">
            <v>MYP D/P CCTA INTXCOB CRED ESTAC CPEM    7NC</v>
          </cell>
        </row>
        <row r="32692">
          <cell r="B32692" t="str">
            <v>82000000004112</v>
          </cell>
          <cell r="C32692" t="str">
            <v>MYP D/P CCTA INTXCOB CRED ESTAC CMED    7NC</v>
          </cell>
        </row>
        <row r="32693">
          <cell r="B32693" t="str">
            <v>82000000004113</v>
          </cell>
          <cell r="C32693" t="str">
            <v>MYP D/P CCTA INT.X COB A F INMUEBLE CPEM7NC</v>
          </cell>
        </row>
        <row r="32694">
          <cell r="B32694" t="str">
            <v>82000000004114</v>
          </cell>
          <cell r="C32694" t="str">
            <v>MYP D/P CCTA INT.X COB A F INMUEBLE CMED7NC</v>
          </cell>
        </row>
        <row r="32695">
          <cell r="B32695" t="str">
            <v>82000000004115</v>
          </cell>
          <cell r="C32695" t="str">
            <v>MYP D/P CCTA INT.X COB A F INMUEBLE CPEM7NC</v>
          </cell>
        </row>
        <row r="32696">
          <cell r="B32696" t="str">
            <v>82000000004116</v>
          </cell>
          <cell r="C32696" t="str">
            <v>MYP D/P CCTA INT.X COB A F INMUEBLE CMED7NC</v>
          </cell>
        </row>
        <row r="32697">
          <cell r="B32697" t="str">
            <v>82000000004117</v>
          </cell>
          <cell r="C32697" t="str">
            <v>MYP CCTA INT X COB. VEN FIN.COMP.DEU CPE7NC</v>
          </cell>
        </row>
        <row r="32698">
          <cell r="B32698" t="str">
            <v>82000000004118</v>
          </cell>
          <cell r="C32698" t="str">
            <v>MYP CCTA INT X COB. VEN FIN.COMP.DEU CME7NC</v>
          </cell>
        </row>
        <row r="32699">
          <cell r="B32699" t="str">
            <v>82000000004119</v>
          </cell>
          <cell r="C32699" t="str">
            <v>MYP CCTA INT X COB. VEN FIN.COMP.DEU CME7NC</v>
          </cell>
        </row>
        <row r="32700">
          <cell r="B32700" t="str">
            <v>82000000004120</v>
          </cell>
          <cell r="C32700" t="str">
            <v>MYP D/P CCTA INT.X COB. FIN.COMP.DEU  CP7NC</v>
          </cell>
        </row>
        <row r="32701">
          <cell r="B32701" t="str">
            <v>82000000004121</v>
          </cell>
          <cell r="C32701" t="str">
            <v>MYP D/P CCTA INT.X COB. FIN.COMP.DEU  CM7NC</v>
          </cell>
        </row>
        <row r="32702">
          <cell r="B32702" t="str">
            <v>82000000004122</v>
          </cell>
          <cell r="C32702" t="str">
            <v>MYP CCTA INT.X COB.VENC LIN REVOL CPEM  7NC</v>
          </cell>
        </row>
        <row r="32703">
          <cell r="B32703" t="str">
            <v>82000000004123</v>
          </cell>
          <cell r="C32703" t="str">
            <v>MYP CCTA INT.X COB.VENC LIN REVOL CMED  7NC</v>
          </cell>
        </row>
        <row r="32704">
          <cell r="B32704" t="str">
            <v>82000000004124</v>
          </cell>
          <cell r="C32704" t="str">
            <v>MYP D/P CCTA INT.X COB. LINEA REVOL.CPEM7NC</v>
          </cell>
        </row>
        <row r="32705">
          <cell r="B32705" t="str">
            <v>82000000004125</v>
          </cell>
          <cell r="C32705" t="str">
            <v>MYP D/P CCTA INT.X COB. LINEA REVOL.CMED7NC</v>
          </cell>
        </row>
        <row r="32706">
          <cell r="B32706" t="str">
            <v>82000000004126</v>
          </cell>
          <cell r="C32706" t="str">
            <v>MYP CCTA INT.X COB.VEN FIN.CRED. PARA  C7NC</v>
          </cell>
        </row>
        <row r="32707">
          <cell r="B32707" t="str">
            <v>82000000004127</v>
          </cell>
          <cell r="C32707" t="str">
            <v>MYP CCTA INT.X COB.VEN FIN.CRED. PARA  C7NC</v>
          </cell>
        </row>
        <row r="32708">
          <cell r="B32708" t="str">
            <v>82000000004128</v>
          </cell>
          <cell r="C32708" t="str">
            <v>MYP EXPORT.POST EMBARQ RP C.CTA MES VENC7NC</v>
          </cell>
        </row>
        <row r="32709">
          <cell r="B32709" t="str">
            <v>82000000004129</v>
          </cell>
          <cell r="C32709" t="str">
            <v>MYP EXP.POST EMBARQ RP C.CTA VENC CMED  7NC</v>
          </cell>
        </row>
        <row r="32710">
          <cell r="B32710" t="str">
            <v>82000000004130</v>
          </cell>
          <cell r="C32710" t="str">
            <v>MYP EXPORT.PRE EMBAR RP C.CTA  VENC CPEM7NC</v>
          </cell>
        </row>
        <row r="32711">
          <cell r="B32711" t="str">
            <v>82000000004131</v>
          </cell>
          <cell r="C32711" t="str">
            <v>MYP EXPORT.PRE EMBAR RP C.CTA  VENC CMED7NC</v>
          </cell>
        </row>
        <row r="32712">
          <cell r="B32712" t="str">
            <v>82000000004132</v>
          </cell>
          <cell r="C32712" t="str">
            <v>MYP D/P EXPORT.POST EMB C.CTA VENC CPEM 7NC</v>
          </cell>
        </row>
        <row r="32713">
          <cell r="B32713" t="str">
            <v>82000000004133</v>
          </cell>
          <cell r="C32713" t="str">
            <v>MYP D/P EXP.POST EMB C.CTA  VENC CMED   7NC</v>
          </cell>
        </row>
        <row r="32714">
          <cell r="B32714" t="str">
            <v>82000000004134</v>
          </cell>
          <cell r="C32714" t="str">
            <v>MYP D/P EXPORT.PRE EMBC.CTA VENC CPEM   7NC</v>
          </cell>
        </row>
        <row r="32715">
          <cell r="B32715" t="str">
            <v>82000000004135</v>
          </cell>
          <cell r="C32715" t="str">
            <v>MYP D/P EXPORT.PRE EMBC.CTA VENC CMED   7NC</v>
          </cell>
        </row>
        <row r="32716">
          <cell r="B32716" t="str">
            <v>82000000004136</v>
          </cell>
          <cell r="C32716" t="str">
            <v>MYP D/P IMPOR RP C.CTA COM VENC CPEM    7NC</v>
          </cell>
        </row>
        <row r="32717">
          <cell r="B32717" t="str">
            <v>82000000004137</v>
          </cell>
          <cell r="C32717" t="str">
            <v>MYP D/P IMPOR RP C.CTA COM VENC CMED    7NC</v>
          </cell>
        </row>
        <row r="32718">
          <cell r="B32718" t="str">
            <v>82000000004138</v>
          </cell>
          <cell r="C32718" t="str">
            <v>MYP CCTA INT.X COB.VENC TRANSP PUBL CPEM7NC</v>
          </cell>
        </row>
        <row r="32719">
          <cell r="B32719" t="str">
            <v>82000000004139</v>
          </cell>
          <cell r="C32719" t="str">
            <v>MYP CCTA INT.X COB.VENC TRANSP PUBL CMED7NC</v>
          </cell>
        </row>
        <row r="32720">
          <cell r="B32720" t="str">
            <v>82000000004140</v>
          </cell>
          <cell r="C32720" t="str">
            <v>MYP D/P CCTA INT.X COB. TRANSP PUB CPEM 7NC</v>
          </cell>
        </row>
        <row r="32721">
          <cell r="B32721" t="str">
            <v>82000000004141</v>
          </cell>
          <cell r="C32721" t="str">
            <v>MYP D/P CCTA INT.X COB. TRANSP PUB CMED 7NC</v>
          </cell>
        </row>
        <row r="32722">
          <cell r="B32722" t="str">
            <v>82000000004142</v>
          </cell>
          <cell r="C32722" t="str">
            <v>MYP C.CTA INT.X COB.VENC FIN.IMPORT CAP 7NC</v>
          </cell>
        </row>
        <row r="32723">
          <cell r="B32723" t="str">
            <v>82000000004143</v>
          </cell>
          <cell r="C32723" t="str">
            <v>MYP C.CTA INT.X COB.VENC FIN.IMPORT CAP 7NC</v>
          </cell>
        </row>
        <row r="32724">
          <cell r="B32724" t="str">
            <v>82000000004144</v>
          </cell>
          <cell r="C32724" t="str">
            <v>MYP C.CTA INT.X COB.VENC FIN.IMPORT A.FI7NC</v>
          </cell>
        </row>
        <row r="32725">
          <cell r="B32725" t="str">
            <v>82000000004145</v>
          </cell>
          <cell r="C32725" t="str">
            <v>MYP C.CTA INT.X COB.VENC FIN.IMPORT A.FI7NC</v>
          </cell>
        </row>
        <row r="32726">
          <cell r="B32726" t="str">
            <v>82000000004146</v>
          </cell>
          <cell r="C32726" t="str">
            <v>MYP D/P CCTA INT.X COB. IMP. CAP DE TRAB7NC</v>
          </cell>
        </row>
        <row r="32727">
          <cell r="B32727" t="str">
            <v>82000000004147</v>
          </cell>
          <cell r="C32727" t="str">
            <v>MYP D/P CCTA INT.X COB. IMP. CAP DE TRAB7NC</v>
          </cell>
        </row>
        <row r="32728">
          <cell r="B32728" t="str">
            <v>82000000004148</v>
          </cell>
          <cell r="C32728" t="str">
            <v>MYP D/P C.CTA INT.X COB.VENC IMPOR AF CP7NC</v>
          </cell>
        </row>
        <row r="32729">
          <cell r="B32729" t="str">
            <v>82000000004149</v>
          </cell>
          <cell r="C32729" t="str">
            <v>MYP D/P C.CTA INT.X COB.VENC IMPOR AF CM7NC</v>
          </cell>
        </row>
        <row r="32730">
          <cell r="B32730" t="str">
            <v>82000000004201</v>
          </cell>
          <cell r="C32730" t="str">
            <v>MYP D/P CCTA INTXCOB CAP.TRAB CMED      7NC</v>
          </cell>
        </row>
        <row r="32731">
          <cell r="B32731" t="str">
            <v>82000000004202</v>
          </cell>
          <cell r="C32731" t="str">
            <v>MYP D/P CCTA INTXCOB CAP.TRAB CPEM      7NC</v>
          </cell>
        </row>
        <row r="32732">
          <cell r="B32732" t="str">
            <v>82000000004203</v>
          </cell>
          <cell r="C32732" t="str">
            <v>MYP D/P CCTA INT.XCOB AF INMUEBLE CPEM  7NC</v>
          </cell>
        </row>
        <row r="32733">
          <cell r="B32733" t="str">
            <v>82000000004204</v>
          </cell>
          <cell r="C32733" t="str">
            <v>MYP D/P CCTA INT.XCOB AF INMUEBLE CMED  7NC</v>
          </cell>
        </row>
        <row r="32734">
          <cell r="B32734" t="str">
            <v>82000000004205</v>
          </cell>
          <cell r="C32734" t="str">
            <v>MYP D/P CCTA INT.X COB CRED ESTAC CPEM  7NC</v>
          </cell>
        </row>
        <row r="32735">
          <cell r="B32735" t="str">
            <v>82000000004206</v>
          </cell>
          <cell r="C32735" t="str">
            <v>MYP D/P CCTA INT.X COB CRED ESTAC CMED  7NC</v>
          </cell>
        </row>
        <row r="32736">
          <cell r="B32736" t="str">
            <v>82000000004207</v>
          </cell>
          <cell r="C32736" t="str">
            <v>MYP D/P CCTA INT.XCOB AF INMUEBLE CPEM  7NC</v>
          </cell>
        </row>
        <row r="32737">
          <cell r="B32737" t="str">
            <v>82000000004208</v>
          </cell>
          <cell r="C32737" t="str">
            <v>MYP D/P CCTA INT.XCOB AF INMUEBLE CMED  7NC</v>
          </cell>
        </row>
        <row r="32738">
          <cell r="B32738" t="str">
            <v>82000000004209</v>
          </cell>
          <cell r="C32738" t="str">
            <v>MYP D/P CCTA INT.XCOB AF INMUEBLE CPEM  7NC</v>
          </cell>
        </row>
        <row r="32739">
          <cell r="B32739" t="str">
            <v>82000000004210</v>
          </cell>
          <cell r="C32739" t="str">
            <v>MYP D/P CCTA INT.XCOB AF INMUEBLE CMED  7NC</v>
          </cell>
        </row>
        <row r="32740">
          <cell r="B32740" t="str">
            <v>82000000004211</v>
          </cell>
          <cell r="C32740" t="str">
            <v>MYP D/P CCTA INT.X COB. FIN.COMP.DEU CPE7NC</v>
          </cell>
        </row>
        <row r="32741">
          <cell r="B32741" t="str">
            <v>82000000004212</v>
          </cell>
          <cell r="C32741" t="str">
            <v>MYP D/P CCTA INT.X COB. FIN.COMP.DEU CME7NC</v>
          </cell>
        </row>
        <row r="32742">
          <cell r="B32742" t="str">
            <v>82000000004213</v>
          </cell>
          <cell r="C32742" t="str">
            <v>MYP D/P CCTA INT.X COB. LINEA REVOL.    7NC</v>
          </cell>
        </row>
        <row r="32743">
          <cell r="B32743" t="str">
            <v>82000000004214</v>
          </cell>
          <cell r="C32743" t="str">
            <v>MYP D/P CCTA INT.X COB. LINEA REVOL.    7NC</v>
          </cell>
        </row>
        <row r="32744">
          <cell r="B32744" t="str">
            <v>82000000004215</v>
          </cell>
          <cell r="C32744" t="str">
            <v>MYP D/P EXPORT.POST EMBARQ C.CTA VENC CP7NC</v>
          </cell>
        </row>
        <row r="32745">
          <cell r="B32745" t="str">
            <v>82000000004216</v>
          </cell>
          <cell r="C32745" t="str">
            <v>MYP D/P EXPORT.POST EMBARQ RP C.CTA MES 7NC</v>
          </cell>
        </row>
        <row r="32746">
          <cell r="B32746" t="str">
            <v>82000000004217</v>
          </cell>
          <cell r="C32746" t="str">
            <v>MYP D/P EXPORT.PRE EMB CCTA INTXCOB VIG 7NC</v>
          </cell>
        </row>
        <row r="32747">
          <cell r="B32747" t="str">
            <v>82000000004218</v>
          </cell>
          <cell r="C32747" t="str">
            <v>MYP D/P EXPORT.PRE EMB CCTA INTXCOB VIG 7NC</v>
          </cell>
        </row>
        <row r="32748">
          <cell r="B32748" t="str">
            <v>82000000004219</v>
          </cell>
          <cell r="C32748" t="str">
            <v>MYP D/P IMPOR RP C.CTA COM VENC CPEM    7NC</v>
          </cell>
        </row>
        <row r="32749">
          <cell r="B32749" t="str">
            <v>82000000004220</v>
          </cell>
          <cell r="C32749" t="str">
            <v>MYP D/P IMPOR RP C.CTA COM VENC CMED    7NC</v>
          </cell>
        </row>
        <row r="32750">
          <cell r="B32750" t="str">
            <v>82000000004221</v>
          </cell>
          <cell r="C32750" t="str">
            <v>MYP D/P CCTA INT.X COB. TRANSP PUB CPEM 7NC</v>
          </cell>
        </row>
        <row r="32751">
          <cell r="B32751" t="str">
            <v>82000000004222</v>
          </cell>
          <cell r="C32751" t="str">
            <v>MYP D/P CCTA INT.X COB. TRANSP PUB CMED 7NC</v>
          </cell>
        </row>
        <row r="32752">
          <cell r="B32752" t="str">
            <v>82000000004223</v>
          </cell>
          <cell r="C32752" t="str">
            <v>MYP C.CTA D/P INT.X COB IMP.CAP DE TRAB 7NC</v>
          </cell>
        </row>
        <row r="32753">
          <cell r="B32753" t="str">
            <v>82000000004224</v>
          </cell>
          <cell r="C32753" t="str">
            <v>MYP C.CTA D/P INT.X COB IMP.CAP DE TRAB 7NC</v>
          </cell>
        </row>
        <row r="32754">
          <cell r="B32754" t="str">
            <v>82000000004225</v>
          </cell>
          <cell r="C32754" t="str">
            <v>MYP C.CTA D/P INT.X COB FIN IMPOR AF CPE7NC</v>
          </cell>
        </row>
        <row r="32755">
          <cell r="B32755" t="str">
            <v>82000000004226</v>
          </cell>
          <cell r="C32755" t="str">
            <v>MYP C.CTA D/P INT.X COB FIN IMPOR AF CME7NC</v>
          </cell>
        </row>
        <row r="32756">
          <cell r="B32756" t="str">
            <v>82000000004227</v>
          </cell>
          <cell r="C32756" t="str">
            <v>MYP CTRA.CTA IN SUS.REF.COBR.C/FIJA MES 7NC</v>
          </cell>
        </row>
        <row r="32757">
          <cell r="B32757" t="str">
            <v>82000000004228</v>
          </cell>
          <cell r="C32757" t="str">
            <v>MYP CTRA.CTA IN SUS.REF.COBR.REVOL.MES  7NC</v>
          </cell>
        </row>
        <row r="32758">
          <cell r="B32758" t="str">
            <v>82000000004229</v>
          </cell>
          <cell r="C32758" t="str">
            <v>MYP CTRA.CTA IN SUS.REF.COBR.C/FIJA COM.7NC</v>
          </cell>
        </row>
        <row r="32759">
          <cell r="B32759" t="str">
            <v>82000000004230</v>
          </cell>
          <cell r="C32759" t="str">
            <v>MYP CTRA.CTA IN SUS.REF.COBR.REVOL.COM  7NC</v>
          </cell>
        </row>
        <row r="32760">
          <cell r="B32760" t="str">
            <v>82000000004231</v>
          </cell>
          <cell r="C32760" t="str">
            <v>MYP CTRA.CTA IN SUS.PAG.TV REFIN.C/FI CG7NC</v>
          </cell>
        </row>
        <row r="32761">
          <cell r="B32761" t="str">
            <v>82000000004232</v>
          </cell>
          <cell r="C32761" t="str">
            <v>MYP CTRA.CTA IN SUS.PAG.TV REFIN.C/FIJA 7NC</v>
          </cell>
        </row>
        <row r="32762">
          <cell r="B32762" t="str">
            <v>82000000004301</v>
          </cell>
          <cell r="C32762" t="str">
            <v>MYP CTRA.CTA IN SUS.PAG.TV REFIN.C/FI CP7NC</v>
          </cell>
        </row>
        <row r="32763">
          <cell r="B32763" t="str">
            <v>82000000004302</v>
          </cell>
          <cell r="C32763" t="str">
            <v>MYP CTRA.CTA IN SUS.PAG.TV REFIN.C/FI CM7NC</v>
          </cell>
        </row>
        <row r="32764">
          <cell r="B32764" t="str">
            <v>82000000004303</v>
          </cell>
          <cell r="C32764" t="str">
            <v>MYP C.CTA INTXCOB SUSP PAG TV REF. REV C7NC</v>
          </cell>
        </row>
        <row r="32765">
          <cell r="B32765" t="str">
            <v>82000000004304</v>
          </cell>
          <cell r="C32765" t="str">
            <v>MYP C.CTA INTXCOB SUSP PAG TV REF. REV C7NC</v>
          </cell>
        </row>
        <row r="32766">
          <cell r="B32766" t="str">
            <v>82000000004305</v>
          </cell>
          <cell r="C32766" t="str">
            <v>MYP C.CTA INT  COMP DEU AF VENC CPEM    7NC</v>
          </cell>
        </row>
        <row r="32767">
          <cell r="B32767" t="str">
            <v>82000000004306</v>
          </cell>
          <cell r="C32767" t="str">
            <v>MYP C.CTA INT  COMP DEU AF VENC CMED    7NC</v>
          </cell>
        </row>
        <row r="32768">
          <cell r="B32768" t="str">
            <v>82000000004307</v>
          </cell>
          <cell r="C32768" t="str">
            <v>MYP C.CTA INTXCOB COMP DEU AF CPEM VIG D7NC</v>
          </cell>
        </row>
        <row r="32769">
          <cell r="B32769" t="str">
            <v>82000000004308</v>
          </cell>
          <cell r="C32769" t="str">
            <v>MYP C.CTA INT  COMP DEU AF VENC CPEM D/P7NC</v>
          </cell>
        </row>
        <row r="32770">
          <cell r="B32770" t="str">
            <v>82000000004309</v>
          </cell>
          <cell r="C32770" t="str">
            <v>MYP C.CTA INTXCOB COMP DEU AF CMED VIG D7NC</v>
          </cell>
        </row>
        <row r="32771">
          <cell r="B32771" t="str">
            <v>82000000004310</v>
          </cell>
          <cell r="C32771" t="str">
            <v>MYP C.CTA INT  COMP DEU AF VENC CMED D/P7NC</v>
          </cell>
        </row>
        <row r="32772">
          <cell r="B32772" t="str">
            <v>82000000004311</v>
          </cell>
          <cell r="C32772" t="str">
            <v>MYP C.CTA INT  FINANC IMPORT CPEM       7NC</v>
          </cell>
        </row>
        <row r="32773">
          <cell r="B32773" t="str">
            <v>82000000004312</v>
          </cell>
          <cell r="C32773" t="str">
            <v>MYP C.CTA INT  FINANC IMPORT CMED       7NC</v>
          </cell>
        </row>
        <row r="32774">
          <cell r="B32774" t="str">
            <v>82000000004313</v>
          </cell>
          <cell r="C32774" t="str">
            <v>MYP C.CTA INTXCOB COMP DEU AF CPEM VIG D7NC</v>
          </cell>
        </row>
        <row r="32775">
          <cell r="B32775" t="str">
            <v>82000000004314</v>
          </cell>
          <cell r="C32775" t="str">
            <v>MYP C.CTA INT  FINANC IMPORT CPEM D/P   7NC</v>
          </cell>
        </row>
        <row r="32776">
          <cell r="B32776" t="str">
            <v>82000000004315</v>
          </cell>
          <cell r="C32776" t="str">
            <v>MYP C.CTA INTXCOB COMP DEU AF CMED VIG D7NC</v>
          </cell>
        </row>
        <row r="32777">
          <cell r="B32777" t="str">
            <v>82000000004316</v>
          </cell>
          <cell r="C32777" t="str">
            <v>MYP C.CTA INT  FINANC IMPORT CMED D/P   7NC</v>
          </cell>
        </row>
        <row r="32778">
          <cell r="B32778" t="str">
            <v>82000000004317</v>
          </cell>
          <cell r="C32778" t="str">
            <v>MYP C.CTA INT E.R. VENC CPEM            7NC</v>
          </cell>
        </row>
        <row r="32779">
          <cell r="B32779" t="str">
            <v>82000000004318</v>
          </cell>
          <cell r="C32779" t="str">
            <v>MYP C.CTA INT E.R. VENC CMED            7NC</v>
          </cell>
        </row>
        <row r="32780">
          <cell r="B32780" t="str">
            <v>82000000004319</v>
          </cell>
          <cell r="C32780" t="str">
            <v>MYP INT GAN E.R CAP TRAB VEN CPEM D/P   7NC</v>
          </cell>
        </row>
        <row r="32781">
          <cell r="B32781" t="str">
            <v>82000000004320</v>
          </cell>
          <cell r="C32781" t="str">
            <v>MYP C.CTA INT E.R. VENC CPEM D/P        7NC</v>
          </cell>
        </row>
        <row r="32782">
          <cell r="B32782" t="str">
            <v>82000000004321</v>
          </cell>
          <cell r="C32782" t="str">
            <v>MYP INT GAN E.R CAP TRAB VEN CMED D/P   7NC</v>
          </cell>
        </row>
        <row r="32783">
          <cell r="B32783" t="str">
            <v>82000000004322</v>
          </cell>
          <cell r="C32783" t="str">
            <v>MYP C.CTA INT E.R. VENC CMED D/P        7NC</v>
          </cell>
        </row>
        <row r="32784">
          <cell r="B32784" t="str">
            <v>82000000004323</v>
          </cell>
          <cell r="C32784" t="str">
            <v>MYP C.CTA INT VENC REFIN.COBRAN C/FIJA C7NC</v>
          </cell>
        </row>
        <row r="32785">
          <cell r="B32785" t="str">
            <v>82000000004324</v>
          </cell>
          <cell r="C32785" t="str">
            <v>MYP C.CTA INT VENC REFIN.COBRAN C/FIJA C7NC</v>
          </cell>
        </row>
        <row r="32786">
          <cell r="B32786" t="str">
            <v>82000000004325</v>
          </cell>
          <cell r="C32786" t="str">
            <v>MYP C.CTA INT VENC REFIN.COBRAN REVOLCPE7NC</v>
          </cell>
        </row>
        <row r="32787">
          <cell r="B32787" t="str">
            <v>82000000004326</v>
          </cell>
          <cell r="C32787" t="str">
            <v>MYP C.CTA INT VENC REFIN.COBRAN REVOLCME7NC</v>
          </cell>
        </row>
        <row r="32788">
          <cell r="B32788" t="str">
            <v>82000000004327</v>
          </cell>
          <cell r="C32788" t="str">
            <v>MYP CTRA VD C ER FIN CAP TRB DUP        7NC</v>
          </cell>
        </row>
        <row r="32789">
          <cell r="B32789" t="str">
            <v>82000000004328</v>
          </cell>
          <cell r="C32789" t="str">
            <v>MYP CTRA V C ER FIN CAP TRB DUP         7NC</v>
          </cell>
        </row>
        <row r="32790">
          <cell r="B32790" t="str">
            <v>82000000004329</v>
          </cell>
          <cell r="C32790" t="str">
            <v>MYP CTRA S ER FIN CAP TRB DUPÂ Â        7NC</v>
          </cell>
        </row>
        <row r="32791">
          <cell r="B32791" t="str">
            <v>82000000004330</v>
          </cell>
          <cell r="C32791" t="str">
            <v>MYP CTRA D ER FIN CAP TRB DUPÂ Â        7NC</v>
          </cell>
        </row>
        <row r="32792">
          <cell r="B32792" t="str">
            <v>82000000004331</v>
          </cell>
          <cell r="C32792" t="str">
            <v>MYP D/P CCTA INT.X COB.CAP.TRAB CPEM    7NC</v>
          </cell>
        </row>
        <row r="32793">
          <cell r="B32793" t="str">
            <v>82000000004332</v>
          </cell>
          <cell r="C32793" t="str">
            <v>MYP ER CONTRA CTA TRA DUP CPEM          7NC</v>
          </cell>
        </row>
        <row r="32794">
          <cell r="B32794" t="str">
            <v>82000000004333</v>
          </cell>
          <cell r="C32794" t="str">
            <v>MYP CCTA INT.VENC C.TRAB CIMA NOR/DP    7NC</v>
          </cell>
        </row>
        <row r="32795">
          <cell r="B32795" t="str">
            <v>82000000004401</v>
          </cell>
          <cell r="C32795" t="str">
            <v>CL CTRA CTA PREJ.CAP.CRED.H.TP          7NC</v>
          </cell>
        </row>
        <row r="32796">
          <cell r="B32796" t="str">
            <v>82000000004402</v>
          </cell>
          <cell r="C32796" t="str">
            <v>CL CTRA CTA PREJ.INT.CRED.H.TP          7NC</v>
          </cell>
        </row>
        <row r="32797">
          <cell r="B32797" t="str">
            <v>82000000004403</v>
          </cell>
          <cell r="C32797" t="str">
            <v>CL CTRA CTA JUD.CAP.CRED.HIP.TP         7NC</v>
          </cell>
        </row>
        <row r="32798">
          <cell r="B32798" t="str">
            <v>82000000004404</v>
          </cell>
          <cell r="C32798" t="str">
            <v>CL CTRA CTA JUD.INT.CRED.HIP.TP         7NC</v>
          </cell>
        </row>
        <row r="32799">
          <cell r="B32799" t="str">
            <v>82000000004405</v>
          </cell>
          <cell r="C32799" t="str">
            <v>CL CTRA CTA CAST.CAP.CR.HIP.TP          7NC</v>
          </cell>
        </row>
        <row r="32800">
          <cell r="B32800" t="str">
            <v>82000000004406</v>
          </cell>
          <cell r="C32800" t="str">
            <v>CL CTRA CTA CAST.INT.CR.HIP.TP          7NC</v>
          </cell>
        </row>
        <row r="32801">
          <cell r="B32801" t="str">
            <v>82000000004407</v>
          </cell>
          <cell r="C32801" t="str">
            <v>CL CJA MUN AH CRED SULL PAG DSCTO INT VE7NC</v>
          </cell>
        </row>
        <row r="32802">
          <cell r="B32802" t="str">
            <v>82000000004408</v>
          </cell>
          <cell r="C32802" t="str">
            <v>CL CXL AVAL ACEPT.BKT INT.SUSP CIVA     7NC</v>
          </cell>
        </row>
        <row r="32803">
          <cell r="B32803" t="str">
            <v>82000000004409</v>
          </cell>
          <cell r="C32803" t="str">
            <v>CL CRTA CTA INTER.PRE JUD.CONV.NO REV.CN7NC</v>
          </cell>
        </row>
        <row r="32804">
          <cell r="B32804" t="str">
            <v>82000000004410</v>
          </cell>
          <cell r="C32804" t="str">
            <v>CL CRTA CTA INTER.JUD.CONV.NO REV.CNG   7NC</v>
          </cell>
        </row>
        <row r="32805">
          <cell r="B32805" t="str">
            <v>82000000004411</v>
          </cell>
          <cell r="C32805" t="str">
            <v>CL CASTIGO CAPITAL CTRA CTA CONV.NO REV.7NC</v>
          </cell>
        </row>
        <row r="32806">
          <cell r="B32806" t="str">
            <v>82000000004412</v>
          </cell>
          <cell r="C32806" t="str">
            <v>CL CASTIGO INTERES CTRA.CTA CONV.NO REV.7NC</v>
          </cell>
        </row>
        <row r="32807">
          <cell r="B32807" t="str">
            <v>82000000004413</v>
          </cell>
          <cell r="C32807" t="str">
            <v>CL CRTA CTA INTER.PRE JUD. CONV.NO REV.C7NC</v>
          </cell>
        </row>
        <row r="32808">
          <cell r="B32808" t="str">
            <v>82000000004414</v>
          </cell>
          <cell r="C32808" t="str">
            <v>CL CRTA CTA INTER.JUD. CONV.NO REV.CNG  7NC</v>
          </cell>
        </row>
        <row r="32809">
          <cell r="B32809" t="str">
            <v>82000000004415</v>
          </cell>
          <cell r="C32809" t="str">
            <v>CL CASTIGO CAPITAL CTRA CTA CONV.NO REV.7NC</v>
          </cell>
        </row>
        <row r="32810">
          <cell r="B32810" t="str">
            <v>82000000004416</v>
          </cell>
          <cell r="C32810" t="str">
            <v>CL CASTIGO INTERES CRTA.CTA CONV.NO REV.7NC</v>
          </cell>
        </row>
        <row r="32811">
          <cell r="B32811" t="str">
            <v>82000000004502</v>
          </cell>
          <cell r="C32811" t="str">
            <v>ST CTRA CTA DINERO ELECTRONICO          7NC</v>
          </cell>
        </row>
        <row r="32812">
          <cell r="B32812" t="str">
            <v>82000000005001</v>
          </cell>
          <cell r="C32812" t="str">
            <v>LPC C.CTA LEASING VENC BIEN INT DIFER RP7NC</v>
          </cell>
        </row>
        <row r="32813">
          <cell r="B32813" t="str">
            <v>82000000005002</v>
          </cell>
          <cell r="C32813" t="str">
            <v>LPC C.CTA LEAS VENC SEG INT DIF RP CCOR 7NC</v>
          </cell>
        </row>
        <row r="32814">
          <cell r="B32814" t="str">
            <v>82000000005003</v>
          </cell>
          <cell r="C32814" t="str">
            <v>LPC C.CTA LEASING VENC BIEN INT DIFER RP7NC</v>
          </cell>
        </row>
        <row r="32815">
          <cell r="B32815" t="str">
            <v>82000000005004</v>
          </cell>
          <cell r="C32815" t="str">
            <v>LPC C.CTA LEAS VENC SEG INT DIF RP CGEM 7NC</v>
          </cell>
        </row>
        <row r="32816">
          <cell r="B32816" t="str">
            <v>82000000005005</v>
          </cell>
          <cell r="C32816" t="str">
            <v>LPC C.CTA LEASING VENC BIEN INT DIFER RP7NC</v>
          </cell>
        </row>
        <row r="32817">
          <cell r="B32817" t="str">
            <v>82000000005006</v>
          </cell>
          <cell r="C32817" t="str">
            <v>LPC C.CTA LEAS VENC SEG INT DIF RP CMED 7NC</v>
          </cell>
        </row>
        <row r="32818">
          <cell r="B32818" t="str">
            <v>82000000005007</v>
          </cell>
          <cell r="C32818" t="str">
            <v>LPC C.CTA LEASING VENC BIEN INT DIFER RP7NC</v>
          </cell>
        </row>
        <row r="32819">
          <cell r="B32819" t="str">
            <v>82000000005008</v>
          </cell>
          <cell r="C32819" t="str">
            <v>LPC C.CTA LEAS VENC SEG INT DIF RP CPEM 7NC</v>
          </cell>
        </row>
        <row r="32820">
          <cell r="B32820" t="str">
            <v>82000000005009</v>
          </cell>
          <cell r="C32820" t="str">
            <v>LPC C.CTA DIF.LSG BIEN VIG.D/P RP CCOR  7NC</v>
          </cell>
        </row>
        <row r="32821">
          <cell r="B32821" t="str">
            <v>82000000005010</v>
          </cell>
          <cell r="C32821" t="str">
            <v>LPC C.CTA I.VEN LSG DEL BIEN D/P RP CCOR7NC</v>
          </cell>
        </row>
        <row r="32822">
          <cell r="B32822" t="str">
            <v>82000000005011</v>
          </cell>
          <cell r="C32822" t="str">
            <v>LPC C.CTA DIF LSG SEG VIG D/P RP CCOR   7NC</v>
          </cell>
        </row>
        <row r="32823">
          <cell r="B32823" t="str">
            <v>82000000005012</v>
          </cell>
          <cell r="C32823" t="str">
            <v>LPC C.CTA I.VEN LSG SEG D/P RP CCOR     7NC</v>
          </cell>
        </row>
        <row r="32824">
          <cell r="B32824" t="str">
            <v>82000000005013</v>
          </cell>
          <cell r="C32824" t="str">
            <v>LPC C.CTA DIF.LSG BIEN VIG.D/P RP CGEM  7NC</v>
          </cell>
        </row>
        <row r="32825">
          <cell r="B32825" t="str">
            <v>82000000005014</v>
          </cell>
          <cell r="C32825" t="str">
            <v>LPC C.CTA I.VEN LSG DEL BIEN D/P RP CGEM7NC</v>
          </cell>
        </row>
        <row r="32826">
          <cell r="B32826" t="str">
            <v>82000000005015</v>
          </cell>
          <cell r="C32826" t="str">
            <v>LPC C.CTA DIF LSG SEG VIG D/P RP CGEM   7NC</v>
          </cell>
        </row>
        <row r="32827">
          <cell r="B32827" t="str">
            <v>82000000005016</v>
          </cell>
          <cell r="C32827" t="str">
            <v>LPC C.CTA I.VEN LSG SEG D/P RP CGEM     7NC</v>
          </cell>
        </row>
        <row r="32828">
          <cell r="B32828" t="str">
            <v>82000000005017</v>
          </cell>
          <cell r="C32828" t="str">
            <v>LPC C.CTA DIF.LSG BIEN VIG.D/P RP CMED  7NC</v>
          </cell>
        </row>
        <row r="32829">
          <cell r="B32829" t="str">
            <v>82000000005018</v>
          </cell>
          <cell r="C32829" t="str">
            <v>LPC C.CTA I.VEN LSG DEL BIEN D/P RP CMED7NC</v>
          </cell>
        </row>
        <row r="32830">
          <cell r="B32830" t="str">
            <v>82000000005019</v>
          </cell>
          <cell r="C32830" t="str">
            <v>LPC C.CTA DIF LSG SEG VIG D/P RP CMED   7NC</v>
          </cell>
        </row>
        <row r="32831">
          <cell r="B32831" t="str">
            <v>82000000005020</v>
          </cell>
          <cell r="C32831" t="str">
            <v>LPC C.CTA I.VEN LSG SEG D/P RP CMED     7NC</v>
          </cell>
        </row>
        <row r="32832">
          <cell r="B32832" t="str">
            <v>82000000005021</v>
          </cell>
          <cell r="C32832" t="str">
            <v>LPC C.CTA DIF.LSG BIEN VIG.D/P RP CPEM  7NC</v>
          </cell>
        </row>
        <row r="32833">
          <cell r="B32833" t="str">
            <v>82000000005022</v>
          </cell>
          <cell r="C32833" t="str">
            <v>LPC C.CTA I.VEN LSG DEL BIEN D/P RP CPEM7NC</v>
          </cell>
        </row>
        <row r="32834">
          <cell r="B32834" t="str">
            <v>82000000005023</v>
          </cell>
          <cell r="C32834" t="str">
            <v>LPC C.CTA DIF LSG SEG VIG D/P RP CPEM   7NC</v>
          </cell>
        </row>
        <row r="32835">
          <cell r="B32835" t="str">
            <v>82000000005024</v>
          </cell>
          <cell r="C32835" t="str">
            <v>LPC C.CTA I.VEN LSG SEG D/P RP CPEM     7NC</v>
          </cell>
        </row>
        <row r="32836">
          <cell r="B32836" t="str">
            <v>82000000005025</v>
          </cell>
          <cell r="C32836" t="str">
            <v>LPC CCTA LEASBACK VENC BIEN INT DIF RP C7NC</v>
          </cell>
        </row>
        <row r="32837">
          <cell r="B32837" t="str">
            <v>82000000005026</v>
          </cell>
          <cell r="C32837" t="str">
            <v>LPC CCTA LSBACK VENC SEG INTDIF RP CCOR 7NC</v>
          </cell>
        </row>
        <row r="32838">
          <cell r="B32838" t="str">
            <v>82000000005027</v>
          </cell>
          <cell r="C32838" t="str">
            <v>LPC CCTA LEASBACK VENC BIEN INT DIF RP C7NC</v>
          </cell>
        </row>
        <row r="32839">
          <cell r="B32839" t="str">
            <v>82000000005028</v>
          </cell>
          <cell r="C32839" t="str">
            <v>LPC CCTA LSBACK VENC SEG INTDIF RP CGEM 7NC</v>
          </cell>
        </row>
        <row r="32840">
          <cell r="B32840" t="str">
            <v>82000000005029</v>
          </cell>
          <cell r="C32840" t="str">
            <v>LPC CCTA LEASBACK VENC BIEN INT DIF RP C7NC</v>
          </cell>
        </row>
        <row r="32841">
          <cell r="B32841" t="str">
            <v>82000000005030</v>
          </cell>
          <cell r="C32841" t="str">
            <v>LPC CCTA LSBACK VENC SEG INTDIF RP CMED 7NC</v>
          </cell>
        </row>
        <row r="32842">
          <cell r="B32842" t="str">
            <v>82000000005031</v>
          </cell>
          <cell r="C32842" t="str">
            <v>LPC CCTA LEASBACK VENC BIEN INT DIF RP C7NC</v>
          </cell>
        </row>
        <row r="32843">
          <cell r="B32843" t="str">
            <v>82000000005032</v>
          </cell>
          <cell r="C32843" t="str">
            <v>LPC CCTA LSBACK VENC SEG INTDIF RP CPEM 7NC</v>
          </cell>
        </row>
        <row r="32844">
          <cell r="B32844" t="str">
            <v>82000000005033</v>
          </cell>
          <cell r="C32844" t="str">
            <v>LPC C.CTA DIF.LSBACK BIEN VIG.D/P RP CCO7NC</v>
          </cell>
        </row>
        <row r="32845">
          <cell r="B32845" t="str">
            <v>82000000005034</v>
          </cell>
          <cell r="C32845" t="str">
            <v>LPC CTCTA I.VEN LSBACK DEL BIEN D/P RP C7NC</v>
          </cell>
        </row>
        <row r="32846">
          <cell r="B32846" t="str">
            <v>82000000005035</v>
          </cell>
          <cell r="C32846" t="str">
            <v>LPC CTRCTA DIF LSBACK SEG VIG D/P RP CCO7NC</v>
          </cell>
        </row>
        <row r="32847">
          <cell r="B32847" t="str">
            <v>82000000005036</v>
          </cell>
          <cell r="C32847" t="str">
            <v>LPC C.CTA I.VEN LSBACK SEG D/P RP CCOR  7NC</v>
          </cell>
        </row>
        <row r="32848">
          <cell r="B32848" t="str">
            <v>82000000005037</v>
          </cell>
          <cell r="C32848" t="str">
            <v>LPC C.CTA DIF.LSBACK BIEN VIG.D/P RP CGE7NC</v>
          </cell>
        </row>
        <row r="32849">
          <cell r="B32849" t="str">
            <v>82000000005038</v>
          </cell>
          <cell r="C32849" t="str">
            <v>LPC CTCTA I.VEN LSBACK DEL BIEN D/P RP C7NC</v>
          </cell>
        </row>
        <row r="32850">
          <cell r="B32850" t="str">
            <v>82000000005039</v>
          </cell>
          <cell r="C32850" t="str">
            <v>LPC CTRCTA DIF LSBACK SEG VIG D/P RP CGE7NC</v>
          </cell>
        </row>
        <row r="32851">
          <cell r="B32851" t="str">
            <v>82000000005040</v>
          </cell>
          <cell r="C32851" t="str">
            <v>LPC C.CTA I.VEN LSBACK SEG D/P RP CGEM  7NC</v>
          </cell>
        </row>
        <row r="32852">
          <cell r="B32852" t="str">
            <v>82000000005041</v>
          </cell>
          <cell r="C32852" t="str">
            <v>LPC C.CTA DIF.LSBACK BIEN VIG.D/P RP CME7NC</v>
          </cell>
        </row>
        <row r="32853">
          <cell r="B32853" t="str">
            <v>82000000005042</v>
          </cell>
          <cell r="C32853" t="str">
            <v>LPC CTCTA I.VEN LSBACK DEL BIEN D/P RP C7NC</v>
          </cell>
        </row>
        <row r="32854">
          <cell r="B32854" t="str">
            <v>82000000005043</v>
          </cell>
          <cell r="C32854" t="str">
            <v>LPC CTRCTA DIF LSBACK SEG VIG D/P RP CME7NC</v>
          </cell>
        </row>
        <row r="32855">
          <cell r="B32855" t="str">
            <v>82000000005044</v>
          </cell>
          <cell r="C32855" t="str">
            <v>LPC C.CTA I.VEN LSBACK SEG D/P RP CMED  7NC</v>
          </cell>
        </row>
        <row r="32856">
          <cell r="B32856" t="str">
            <v>82000000005045</v>
          </cell>
          <cell r="C32856" t="str">
            <v>LPC C.CTA DIF.LSBACK BIEN VIG.D/P RP CPE7NC</v>
          </cell>
        </row>
        <row r="32857">
          <cell r="B32857" t="str">
            <v>82000000005046</v>
          </cell>
          <cell r="C32857" t="str">
            <v>LPC CTCTA I.VEN LSBACK DEL BIEN D/P RP C7NC</v>
          </cell>
        </row>
        <row r="32858">
          <cell r="B32858" t="str">
            <v>82000000005047</v>
          </cell>
          <cell r="C32858" t="str">
            <v>LPC CTRCTA DIF LSBACK SEG VIG D/P RP CPE7NC</v>
          </cell>
        </row>
        <row r="32859">
          <cell r="B32859" t="str">
            <v>82000000005048</v>
          </cell>
          <cell r="C32859" t="str">
            <v>LPC C.CTA I.VEN LSBACK SEG D/P RP CPEM  7NC</v>
          </cell>
        </row>
        <row r="32860">
          <cell r="B32860" t="str">
            <v>82000000005049</v>
          </cell>
          <cell r="C32860" t="str">
            <v>LPC IDL LS BIEN BPE INT.SUS.VEN         7NC</v>
          </cell>
        </row>
        <row r="32861">
          <cell r="B32861" t="str">
            <v>82000000005050</v>
          </cell>
          <cell r="C32861" t="str">
            <v>LPC IDS LS BIEN BPE INT.VEN SEG         7NC</v>
          </cell>
        </row>
        <row r="32862">
          <cell r="B32862" t="str">
            <v>82000000005051</v>
          </cell>
          <cell r="C32862" t="str">
            <v>LPC CCTA LS VENC SEG INT DIF BPE        7NC</v>
          </cell>
        </row>
        <row r="32863">
          <cell r="B32863" t="str">
            <v>82000000005052</v>
          </cell>
          <cell r="C32863" t="str">
            <v>LPC CCTA DIF.LSG B.VIG.D/P BPE          7NC</v>
          </cell>
        </row>
        <row r="32864">
          <cell r="B32864" t="str">
            <v>82000000005053</v>
          </cell>
          <cell r="C32864" t="str">
            <v>LPC CCTA DIF LSG SEG VIG D/P BPE        7NC</v>
          </cell>
        </row>
        <row r="32865">
          <cell r="B32865" t="str">
            <v>82000000005054</v>
          </cell>
          <cell r="C32865" t="str">
            <v>LPC CCTA I.VEN LSG BIEN D/P BPE         7NC</v>
          </cell>
        </row>
        <row r="32866">
          <cell r="B32866" t="str">
            <v>82000000005055</v>
          </cell>
          <cell r="C32866" t="str">
            <v>LPC CTRCTA I.VEN LSG SEG D/P BPE        7NC</v>
          </cell>
        </row>
        <row r="32867">
          <cell r="B32867" t="str">
            <v>82000000005056</v>
          </cell>
          <cell r="C32867" t="str">
            <v>LPC CTRCTA LEASING MYP CMIE             7NC</v>
          </cell>
        </row>
        <row r="32868">
          <cell r="B32868" t="str">
            <v>82000000005057</v>
          </cell>
          <cell r="C32868" t="str">
            <v>LPC CTRCTA LEASING MYP CMIE             7NC</v>
          </cell>
        </row>
        <row r="32869">
          <cell r="B32869" t="str">
            <v>82000000005058</v>
          </cell>
          <cell r="C32869" t="str">
            <v>LPC CCTA LS VE SEG I.DIF BPE MES        7NC</v>
          </cell>
        </row>
        <row r="32870">
          <cell r="B32870" t="str">
            <v>82000000005059</v>
          </cell>
          <cell r="C32870" t="str">
            <v>LPC IDL MYP CTRA CTA D/P CMIE           7NC</v>
          </cell>
        </row>
        <row r="32871">
          <cell r="B32871" t="str">
            <v>82000000005060</v>
          </cell>
          <cell r="C32871" t="str">
            <v>LPC IDS MYP CTRA CTA D/P CMIE           7NC</v>
          </cell>
        </row>
        <row r="32872">
          <cell r="B32872" t="str">
            <v>82000000005061</v>
          </cell>
          <cell r="C32872" t="str">
            <v>LPC IDL MYP CTRA CTA D/P CMIE           7NC</v>
          </cell>
        </row>
        <row r="32873">
          <cell r="B32873" t="str">
            <v>82000000005062</v>
          </cell>
          <cell r="C32873" t="str">
            <v>LPC IDS MYP CTRA CTA D/P CMIE           7NC</v>
          </cell>
        </row>
        <row r="32874">
          <cell r="B32874" t="str">
            <v>82000000005063</v>
          </cell>
          <cell r="C32874" t="str">
            <v>LPC CCTA INT VIG LS SEG OTR SUSP RP CMED7NC</v>
          </cell>
        </row>
        <row r="32875">
          <cell r="B32875" t="str">
            <v>82000000005064</v>
          </cell>
          <cell r="C32875" t="str">
            <v>LPC CCTA INT VIG LS BIEN OTRO SUSP RP CP7NC</v>
          </cell>
        </row>
        <row r="32876">
          <cell r="B32876" t="str">
            <v>82000000005065</v>
          </cell>
          <cell r="C32876" t="str">
            <v>LPC CCTA INT VIG LS SEG OTR SUSP RP CPEM7NC</v>
          </cell>
        </row>
        <row r="32877">
          <cell r="B32877" t="str">
            <v>82000000005066</v>
          </cell>
          <cell r="C32877" t="str">
            <v>LPC CCTA INT VIG LSB BIEN OTROS SUSP CCO7NC</v>
          </cell>
        </row>
        <row r="32878">
          <cell r="B32878" t="str">
            <v>82000000005067</v>
          </cell>
          <cell r="C32878" t="str">
            <v>LPC CCTA I.VEN LSB BIEN OTROS SUSP CCOR 7NC</v>
          </cell>
        </row>
        <row r="32879">
          <cell r="B32879" t="str">
            <v>82000000005068</v>
          </cell>
          <cell r="C32879" t="str">
            <v>LPC CCTA INT VIG LSB SEG OTROS SUSP CCOR7NC</v>
          </cell>
        </row>
        <row r="32880">
          <cell r="B32880" t="str">
            <v>82000000005069</v>
          </cell>
          <cell r="C32880" t="str">
            <v>LPC CCTA I.VEN LSB SEG OTROS SUSP CCOR  7NC</v>
          </cell>
        </row>
        <row r="32881">
          <cell r="B32881" t="str">
            <v>82000000005070</v>
          </cell>
          <cell r="C32881" t="str">
            <v>LPC CCTA INT VIG LSB BIEN OTROS SUSP CGE7NC</v>
          </cell>
        </row>
        <row r="32882">
          <cell r="B32882" t="str">
            <v>82000000005071</v>
          </cell>
          <cell r="C32882" t="str">
            <v>LPC CCTA I.VEN LSB BIEN OTROS SUSP CGEM 7NC</v>
          </cell>
        </row>
        <row r="32883">
          <cell r="B32883" t="str">
            <v>82000000005072</v>
          </cell>
          <cell r="C32883" t="str">
            <v>LPC CCTA INT VIG LSB SEG OTROS SUSP CGEM7NC</v>
          </cell>
        </row>
        <row r="32884">
          <cell r="B32884" t="str">
            <v>82000000005073</v>
          </cell>
          <cell r="C32884" t="str">
            <v>LPC CCTA I.VEN LSB SEG OTROS SUSP CGEM  7NC</v>
          </cell>
        </row>
        <row r="32885">
          <cell r="B32885" t="str">
            <v>82000000005074</v>
          </cell>
          <cell r="C32885" t="str">
            <v>LPC CCTA INT VIG LSB BIEN OTROS SUSP CME7NC</v>
          </cell>
        </row>
        <row r="32886">
          <cell r="B32886" t="str">
            <v>82000000005075</v>
          </cell>
          <cell r="C32886" t="str">
            <v>LPC CCTA I.VEN LSB BIEN OTROS SUSP CMED 7NC</v>
          </cell>
        </row>
        <row r="32887">
          <cell r="B32887" t="str">
            <v>82000000005076</v>
          </cell>
          <cell r="C32887" t="str">
            <v>LPC CCTA INT VIG LSB SEG OTROS SUSP CMED7NC</v>
          </cell>
        </row>
        <row r="32888">
          <cell r="B32888" t="str">
            <v>82000000005077</v>
          </cell>
          <cell r="C32888" t="str">
            <v>LPC CCTA I.VEN LSB SEG OTROS SUSP CMED  7NC</v>
          </cell>
        </row>
        <row r="32889">
          <cell r="B32889" t="str">
            <v>82000000005078</v>
          </cell>
          <cell r="C32889" t="str">
            <v>LPC CCTA INT VIG LSB BIEN OTROS SUSP CPE7NC</v>
          </cell>
        </row>
        <row r="32890">
          <cell r="B32890" t="str">
            <v>82000000005079</v>
          </cell>
          <cell r="C32890" t="str">
            <v>LPC CCTA I.VEN LSB BIEN OTROS SUSP CPEM 7NC</v>
          </cell>
        </row>
        <row r="32891">
          <cell r="B32891" t="str">
            <v>82000000005080</v>
          </cell>
          <cell r="C32891" t="str">
            <v>LPC CCTA INT VIG LSB SEG OTROS SUSP CPEM7NC</v>
          </cell>
        </row>
        <row r="32892">
          <cell r="B32892" t="str">
            <v>82000000005081</v>
          </cell>
          <cell r="C32892" t="str">
            <v>LPC CCTA I.VEN LSB SEG OTROS SUSP CPEM  7NC</v>
          </cell>
        </row>
        <row r="32893">
          <cell r="B32893" t="str">
            <v>82000000005082</v>
          </cell>
          <cell r="C32893" t="str">
            <v>LPC IDL LS BIEN BPE INT.SUS.VEN         7NC</v>
          </cell>
        </row>
        <row r="32894">
          <cell r="B32894" t="str">
            <v>82000000005083</v>
          </cell>
          <cell r="C32894" t="str">
            <v>LPC IDS LS BIEN BPE INT.VEN SEG         7NC</v>
          </cell>
        </row>
        <row r="32895">
          <cell r="B32895" t="str">
            <v>82000000005084</v>
          </cell>
          <cell r="C32895" t="str">
            <v>LPC CCTA LS VENC SEG INT DIF BPE        7NC</v>
          </cell>
        </row>
        <row r="32896">
          <cell r="B32896" t="str">
            <v>82000000005085</v>
          </cell>
          <cell r="C32896" t="str">
            <v>LPC CCTA DIF.LSG B.VIG.D/P BPE          7NC</v>
          </cell>
        </row>
        <row r="32897">
          <cell r="B32897" t="str">
            <v>82000000005086</v>
          </cell>
          <cell r="C32897" t="str">
            <v>LPC CCTA DIF LSG SEG VIG D/P BPE        7NC</v>
          </cell>
        </row>
        <row r="32898">
          <cell r="B32898" t="str">
            <v>82000000005087</v>
          </cell>
          <cell r="C32898" t="str">
            <v>LPC CCTA I.VEN LSG BIEN D/P BPE         7NC</v>
          </cell>
        </row>
        <row r="32899">
          <cell r="B32899" t="str">
            <v>82000000005088</v>
          </cell>
          <cell r="C32899" t="str">
            <v>LPC CTRCTA I.VEN LSG SEG D/P BPE        7NC</v>
          </cell>
        </row>
        <row r="32900">
          <cell r="B32900" t="str">
            <v>82000000005089</v>
          </cell>
          <cell r="C32900" t="str">
            <v>LPC CCTA LS VENC B.INT D.BPE MES        7NC</v>
          </cell>
        </row>
        <row r="32901">
          <cell r="B32901" t="str">
            <v>82000000005090</v>
          </cell>
          <cell r="C32901" t="str">
            <v>LPC CCTA LS VC SEG I.DIF BPE ME         7NC</v>
          </cell>
        </row>
        <row r="32902">
          <cell r="B32902" t="str">
            <v>82000000005091</v>
          </cell>
          <cell r="C32902" t="str">
            <v>LPC CCTA LS VE SEG I.DIF BPE MES        7NC</v>
          </cell>
        </row>
        <row r="32903">
          <cell r="B32903" t="str">
            <v>82000000005092</v>
          </cell>
          <cell r="C32903" t="str">
            <v>LPC CCTA DIF.LSG B V.D/P BPE MES        7NC</v>
          </cell>
        </row>
        <row r="32904">
          <cell r="B32904" t="str">
            <v>82000000005093</v>
          </cell>
          <cell r="C32904" t="str">
            <v>LPC CCTA DIF LSG S V D/P BPE MES        7NC</v>
          </cell>
        </row>
        <row r="32905">
          <cell r="B32905" t="str">
            <v>82000000005094</v>
          </cell>
          <cell r="C32905" t="str">
            <v>LPC CCTA I.VEN LSG B.D/P BPE MES        7NC</v>
          </cell>
        </row>
        <row r="32906">
          <cell r="B32906" t="str">
            <v>82000000005095</v>
          </cell>
          <cell r="C32906" t="str">
            <v>LPC CCTA I.VEN LSG S D/P BPE MES        7NC</v>
          </cell>
        </row>
        <row r="32907">
          <cell r="B32907" t="str">
            <v>82000000005096</v>
          </cell>
          <cell r="C32907" t="str">
            <v>LPC IDL MYP CTRA CTA D/P CMED           7NC</v>
          </cell>
        </row>
        <row r="32908">
          <cell r="B32908" t="str">
            <v>82000000005097</v>
          </cell>
          <cell r="C32908" t="str">
            <v>LPC IDL MYP CTRA CTA D/P CMED           7NC</v>
          </cell>
        </row>
        <row r="32909">
          <cell r="B32909" t="str">
            <v>82000000005098</v>
          </cell>
          <cell r="C32909" t="str">
            <v>LPC IDS MYP CTRA CTA D/P CMED           7NC</v>
          </cell>
        </row>
        <row r="32910">
          <cell r="B32910" t="str">
            <v>82000000005099</v>
          </cell>
          <cell r="C32910" t="str">
            <v>LPC IDS MYP CTRA CTA D/P CMED           7NC</v>
          </cell>
        </row>
        <row r="32911">
          <cell r="B32911" t="str">
            <v>82000000005101</v>
          </cell>
          <cell r="C32911" t="str">
            <v>LPC C.CTA INTXCOB  PAG TV D/P VIG CCOR  7NC</v>
          </cell>
        </row>
        <row r="32912">
          <cell r="B32912" t="str">
            <v>82000000005102</v>
          </cell>
          <cell r="C32912" t="str">
            <v>LPC C.CTA INT RESTRUCT CCOR             7NC</v>
          </cell>
        </row>
        <row r="32913">
          <cell r="B32913" t="str">
            <v>82000000005103</v>
          </cell>
          <cell r="C32913" t="str">
            <v>LPC C.CTA INTXCOB  PAG TV D/P VIG CIVA  7NC</v>
          </cell>
        </row>
        <row r="32914">
          <cell r="B32914" t="str">
            <v>82000000005104</v>
          </cell>
          <cell r="C32914" t="str">
            <v>LPC C.CTA INT RESTRUCTURADOS CCOR       7NC</v>
          </cell>
        </row>
        <row r="32915">
          <cell r="B32915" t="str">
            <v>82000000005105</v>
          </cell>
          <cell r="C32915" t="str">
            <v>LPC  CCTA. INT LEASING RESTR RP CGEM    7NC</v>
          </cell>
        </row>
        <row r="32916">
          <cell r="B32916" t="str">
            <v>82000000005106</v>
          </cell>
          <cell r="C32916" t="str">
            <v>LPC C.CTA INT RESTRUCT CGEM             7NC</v>
          </cell>
        </row>
        <row r="32917">
          <cell r="B32917" t="str">
            <v>82000000005107</v>
          </cell>
          <cell r="C32917" t="str">
            <v>LPC C.CTA INTXCOB  PAG TV D/P VIG CPEM  7NC</v>
          </cell>
        </row>
        <row r="32918">
          <cell r="B32918" t="str">
            <v>82000000005108</v>
          </cell>
          <cell r="C32918" t="str">
            <v>LPC C.CTA INT RESTRUCTURADOS CGEM       7NC</v>
          </cell>
        </row>
        <row r="32919">
          <cell r="B32919" t="str">
            <v>82000000005109</v>
          </cell>
          <cell r="C32919" t="str">
            <v>LPC C.CTA INT LEASEBACK SEG REF CCOR    7NC</v>
          </cell>
        </row>
        <row r="32920">
          <cell r="B32920" t="str">
            <v>82000000005110</v>
          </cell>
          <cell r="C32920" t="str">
            <v>LPC C.CTA INT RESTRUCT CMED             7NC</v>
          </cell>
        </row>
        <row r="32921">
          <cell r="B32921" t="str">
            <v>82000000005111</v>
          </cell>
          <cell r="C32921" t="str">
            <v>LPC CCTA. INT LEAS SEG REESTR RP CMED   7NC</v>
          </cell>
        </row>
        <row r="32922">
          <cell r="B32922" t="str">
            <v>82000000005112</v>
          </cell>
          <cell r="C32922" t="str">
            <v>LPC C.CTA INT RESTRUCTURADOS CMED       7NC</v>
          </cell>
        </row>
        <row r="32923">
          <cell r="B32923" t="str">
            <v>82000000005113</v>
          </cell>
          <cell r="C32923" t="str">
            <v>LPC C.CTA INT LEASEBACK SEG REF CGEM    7NC</v>
          </cell>
        </row>
        <row r="32924">
          <cell r="B32924" t="str">
            <v>82000000005114</v>
          </cell>
          <cell r="C32924" t="str">
            <v>LPC C.CTA INT RESTRUCT CPEM             7NC</v>
          </cell>
        </row>
        <row r="32925">
          <cell r="B32925" t="str">
            <v>82000000005115</v>
          </cell>
          <cell r="C32925" t="str">
            <v>LPC  CCTA. INT LEAS SEG REESTR RP CPEM  7NC</v>
          </cell>
        </row>
        <row r="32926">
          <cell r="B32926" t="str">
            <v>82000000005116</v>
          </cell>
          <cell r="C32926" t="str">
            <v>LPC C.CTA INT RESTRUCTURADOS CPEM       7NC</v>
          </cell>
        </row>
        <row r="32927">
          <cell r="B32927" t="str">
            <v>82000000005117</v>
          </cell>
          <cell r="C32927" t="str">
            <v>LPC C.CTA INT LEASEBACK SEG REF CMED    7NC</v>
          </cell>
        </row>
        <row r="32928">
          <cell r="B32928" t="str">
            <v>82000000005118</v>
          </cell>
          <cell r="C32928" t="str">
            <v>LPC C.CTA INT LEAS SEG REF RP CCOR      7NC</v>
          </cell>
        </row>
        <row r="32929">
          <cell r="B32929" t="str">
            <v>82000000005119</v>
          </cell>
          <cell r="C32929" t="str">
            <v>LPC C.CTA LEAS VENC REF INT DIFER RP CCO7NC</v>
          </cell>
        </row>
        <row r="32930">
          <cell r="B32930" t="str">
            <v>82000000005120</v>
          </cell>
          <cell r="C32930" t="str">
            <v>LPC C.CTA LEAS VENC REF SEG INT DIF RP C7NC</v>
          </cell>
        </row>
        <row r="32931">
          <cell r="B32931" t="str">
            <v>82000000005121</v>
          </cell>
          <cell r="C32931" t="str">
            <v>LPC C.CTA INT LEASEBACK SEG REF CPEM    7NC</v>
          </cell>
        </row>
        <row r="32932">
          <cell r="B32932" t="str">
            <v>82000000005122</v>
          </cell>
          <cell r="C32932" t="str">
            <v>LPC C.CTA INT LEAS SEG REF RP CGEM      7NC</v>
          </cell>
        </row>
        <row r="32933">
          <cell r="B32933" t="str">
            <v>82000000005123</v>
          </cell>
          <cell r="C32933" t="str">
            <v>LPC C.CTA LEAS VENC REF INT DIFER RP CGE7NC</v>
          </cell>
        </row>
        <row r="32934">
          <cell r="B32934" t="str">
            <v>82000000005124</v>
          </cell>
          <cell r="C32934" t="str">
            <v>LPC C.CTA LEAS VENC REF SEG INT DIF RP C7NC</v>
          </cell>
        </row>
        <row r="32935">
          <cell r="B32935" t="str">
            <v>82000000005125</v>
          </cell>
          <cell r="C32935" t="str">
            <v>LPC C.CTA INT REF IDL CMED              7NC</v>
          </cell>
        </row>
        <row r="32936">
          <cell r="B32936" t="str">
            <v>82000000005126</v>
          </cell>
          <cell r="C32936" t="str">
            <v>LPC C.CTA INT LEAS SEG REF RP CMED      7NC</v>
          </cell>
        </row>
        <row r="32937">
          <cell r="B32937" t="str">
            <v>82000000005127</v>
          </cell>
          <cell r="C32937" t="str">
            <v>LPC C.CTA LEAS VENC REF INT DIFER RP CME7NC</v>
          </cell>
        </row>
        <row r="32938">
          <cell r="B32938" t="str">
            <v>82000000005128</v>
          </cell>
          <cell r="C32938" t="str">
            <v>LPC C.CTA LEAS VENC REF SEG INT DIF RP C7NC</v>
          </cell>
        </row>
        <row r="32939">
          <cell r="B32939" t="str">
            <v>82000000005129</v>
          </cell>
          <cell r="C32939" t="str">
            <v>LPC C.CTA INT REF IDL CPEM              7NC</v>
          </cell>
        </row>
        <row r="32940">
          <cell r="B32940" t="str">
            <v>82000000005130</v>
          </cell>
          <cell r="C32940" t="str">
            <v>LPC C.CTA INT LEAS SEG REF RP CPEM      7NC</v>
          </cell>
        </row>
        <row r="32941">
          <cell r="B32941" t="str">
            <v>82000000005131</v>
          </cell>
          <cell r="C32941" t="str">
            <v>LPC C.CTA LEAS VENC REF INT DIFER RP CPE7NC</v>
          </cell>
        </row>
        <row r="32942">
          <cell r="B32942" t="str">
            <v>82000000005132</v>
          </cell>
          <cell r="C32942" t="str">
            <v>LPC C.CTA LEAS VENC REF SEG INT DIF RP C7NC</v>
          </cell>
        </row>
        <row r="32943">
          <cell r="B32943" t="str">
            <v>82000000005133</v>
          </cell>
          <cell r="C32943" t="str">
            <v>LPC CCTA. D/P INT SUSP EX PRE EMB CPEM  7NC</v>
          </cell>
        </row>
        <row r="32944">
          <cell r="B32944" t="str">
            <v>82000000005134</v>
          </cell>
          <cell r="C32944" t="str">
            <v>LPC D/P INT EXP POST EMB RP  CCOR       7NC</v>
          </cell>
        </row>
        <row r="32945">
          <cell r="B32945" t="str">
            <v>82000000005135</v>
          </cell>
          <cell r="C32945" t="str">
            <v>LPC D/P INT EXP POST EMB RP  CESP       7NC</v>
          </cell>
        </row>
        <row r="32946">
          <cell r="B32946" t="str">
            <v>82000000005136</v>
          </cell>
          <cell r="C32946" t="str">
            <v>LPC D/P INT EXP POST EMB RP  CGEM       7NC</v>
          </cell>
        </row>
        <row r="32947">
          <cell r="B32947" t="str">
            <v>82000000005137</v>
          </cell>
          <cell r="C32947" t="str">
            <v>LPC D/P INT EXP POST EMB RP  CMED       7NC</v>
          </cell>
        </row>
        <row r="32948">
          <cell r="B32948" t="str">
            <v>82000000005138</v>
          </cell>
          <cell r="C32948" t="str">
            <v>LPC D/P INT EXP POST EMB RP  CPEM       7NC</v>
          </cell>
        </row>
        <row r="32949">
          <cell r="B32949" t="str">
            <v>82000000005139</v>
          </cell>
          <cell r="C32949" t="str">
            <v>LPC IDL MYP CTRA CTA D/P CPEM           7NC</v>
          </cell>
        </row>
        <row r="32950">
          <cell r="B32950" t="str">
            <v>82000000005140</v>
          </cell>
          <cell r="C32950" t="str">
            <v>LPC IDL MYP CTRA CTA D/P CPEM           7NC</v>
          </cell>
        </row>
        <row r="32951">
          <cell r="B32951" t="str">
            <v>82000000005141</v>
          </cell>
          <cell r="C32951" t="str">
            <v>LPC IDS MYP CTRA CTA D/P CPEM           7NC</v>
          </cell>
        </row>
        <row r="32952">
          <cell r="B32952" t="str">
            <v>82000000005142</v>
          </cell>
          <cell r="C32952" t="str">
            <v>LPC IDS MYP CTRA CTA D/P CPEM           7NC</v>
          </cell>
        </row>
        <row r="32953">
          <cell r="B32953" t="str">
            <v>82000000005143</v>
          </cell>
          <cell r="C32953" t="str">
            <v>LPC C.CTA INTXCOB  PAG TV D/P VIG CGEM  7NC</v>
          </cell>
        </row>
        <row r="32954">
          <cell r="B32954" t="str">
            <v>82000000005144</v>
          </cell>
          <cell r="C32954" t="str">
            <v>LPC C.CTA INTXCOB  PAG TV D/P VIG CMED  7NC</v>
          </cell>
        </row>
        <row r="32955">
          <cell r="B32955" t="str">
            <v>82000000005145</v>
          </cell>
          <cell r="C32955" t="str">
            <v>LPC CCTA. INT LEAS SEG REESTR RP CGEM   7NC</v>
          </cell>
        </row>
        <row r="32956">
          <cell r="B32956" t="str">
            <v>82000000005146</v>
          </cell>
          <cell r="C32956" t="str">
            <v>LPC INT LEASEBACK REF RP CCOR           7NC</v>
          </cell>
        </row>
        <row r="32957">
          <cell r="B32957" t="str">
            <v>82000000005147</v>
          </cell>
          <cell r="C32957" t="str">
            <v>LPC CCTA. INT LEASING RESTR RP CMED     7NC</v>
          </cell>
        </row>
        <row r="32958">
          <cell r="B32958" t="str">
            <v>82000000005148</v>
          </cell>
          <cell r="C32958" t="str">
            <v>LPC INT LEASEBACKSEG REFIN CCOR         7NC</v>
          </cell>
        </row>
        <row r="32959">
          <cell r="B32959" t="str">
            <v>82000000005149</v>
          </cell>
          <cell r="C32959" t="str">
            <v>LPC LEASEBACK VENC REFIN SEG INT DIF CCO7NC</v>
          </cell>
        </row>
        <row r="32960">
          <cell r="B32960" t="str">
            <v>82000000005150</v>
          </cell>
          <cell r="C32960" t="str">
            <v>LPC INT LEASEBACK REF RP CGEM           7NC</v>
          </cell>
        </row>
        <row r="32961">
          <cell r="B32961" t="str">
            <v>82000000005151</v>
          </cell>
          <cell r="C32961" t="str">
            <v>LPC CCTA. INT LEASING RESTR RP CPEM     7NC</v>
          </cell>
        </row>
        <row r="32962">
          <cell r="B32962" t="str">
            <v>82000000005152</v>
          </cell>
          <cell r="C32962" t="str">
            <v>LPC INT LEASEBACKSEG REFIN CGEM         7NC</v>
          </cell>
        </row>
        <row r="32963">
          <cell r="B32963" t="str">
            <v>82000000005153</v>
          </cell>
          <cell r="C32963" t="str">
            <v>LPC LEASEBACK VENC REFIN SEG INT DIF CGE7NC</v>
          </cell>
        </row>
        <row r="32964">
          <cell r="B32964" t="str">
            <v>82000000005154</v>
          </cell>
          <cell r="C32964" t="str">
            <v>LPC INT LEASEBACK REF RP CMED           7NC</v>
          </cell>
        </row>
        <row r="32965">
          <cell r="B32965" t="str">
            <v>82000000005155</v>
          </cell>
          <cell r="C32965" t="str">
            <v>LPC C.CTA INT REF IDL CCOR              7NC</v>
          </cell>
        </row>
        <row r="32966">
          <cell r="B32966" t="str">
            <v>82000000005156</v>
          </cell>
          <cell r="C32966" t="str">
            <v>LPC INT LEASEBACKSEG REFIN CMED         7NC</v>
          </cell>
        </row>
        <row r="32967">
          <cell r="B32967" t="str">
            <v>82000000005157</v>
          </cell>
          <cell r="C32967" t="str">
            <v>LPC LEASEBACK VENC REFIN SEG INT DIF CME7NC</v>
          </cell>
        </row>
        <row r="32968">
          <cell r="B32968" t="str">
            <v>82000000005158</v>
          </cell>
          <cell r="C32968" t="str">
            <v>LPC INT LEASEBACK REF RP CPEM           7NC</v>
          </cell>
        </row>
        <row r="32969">
          <cell r="B32969" t="str">
            <v>82000000005159</v>
          </cell>
          <cell r="C32969" t="str">
            <v>LPC C.CTA INT REF IDL CGEM              7NC</v>
          </cell>
        </row>
        <row r="32970">
          <cell r="B32970" t="str">
            <v>82000000005160</v>
          </cell>
          <cell r="C32970" t="str">
            <v>LPC INT LEASEBACKSEG REFIN CPEM         7NC</v>
          </cell>
        </row>
        <row r="32971">
          <cell r="B32971" t="str">
            <v>82000000005161</v>
          </cell>
          <cell r="C32971" t="str">
            <v>LPC LEASEBACK VENC REFIN SEG INT DIF CPE7NC</v>
          </cell>
        </row>
        <row r="32972">
          <cell r="B32972" t="str">
            <v>82000000005162</v>
          </cell>
          <cell r="C32972" t="str">
            <v>LPC CCTA. INT SUSP IMPORT CCOR          7NC</v>
          </cell>
        </row>
        <row r="32973">
          <cell r="B32973" t="str">
            <v>82000000005163</v>
          </cell>
          <cell r="C32973" t="str">
            <v>LPC CCTA. INT SUSP IMPORT CESP          7NC</v>
          </cell>
        </row>
        <row r="32974">
          <cell r="B32974" t="str">
            <v>82000000005164</v>
          </cell>
          <cell r="C32974" t="str">
            <v>LPC CCTA. INT SUSP IMPORT CGEM          7NC</v>
          </cell>
        </row>
        <row r="32975">
          <cell r="B32975" t="str">
            <v>82000000005165</v>
          </cell>
          <cell r="C32975" t="str">
            <v>LPC CCTA. INT SUSP IMPORT CMED          7NC</v>
          </cell>
        </row>
        <row r="32976">
          <cell r="B32976" t="str">
            <v>82000000005166</v>
          </cell>
          <cell r="C32976" t="str">
            <v>LPC CCTA. INT SUSP IMPORT CPEM          7NC</v>
          </cell>
        </row>
        <row r="32977">
          <cell r="B32977" t="str">
            <v>82000000005167</v>
          </cell>
          <cell r="C32977" t="str">
            <v>LPC CCTA. D/P INT SUSP EX PRE EMB CCOR  7NC</v>
          </cell>
        </row>
        <row r="32978">
          <cell r="B32978" t="str">
            <v>82000000005168</v>
          </cell>
          <cell r="C32978" t="str">
            <v>LPC CCTA. D/P INT SUSP EX PRE EMB CESP  7NC</v>
          </cell>
        </row>
        <row r="32979">
          <cell r="B32979" t="str">
            <v>82000000005169</v>
          </cell>
          <cell r="C32979" t="str">
            <v>LPC CCTA. D/P INT SUSP EX PRE EMB CGEM  7NC</v>
          </cell>
        </row>
        <row r="32980">
          <cell r="B32980" t="str">
            <v>82000000005170</v>
          </cell>
          <cell r="C32980" t="str">
            <v>LPC CCTA. D/P INT SUSP EX PRE EMB CMED  7NC</v>
          </cell>
        </row>
        <row r="32981">
          <cell r="B32981" t="str">
            <v>82000000005171</v>
          </cell>
          <cell r="C32981" t="str">
            <v>LPC MAPFRE PERU CIA DE SEGUROS Y REASEGU7NC</v>
          </cell>
        </row>
        <row r="32982">
          <cell r="B32982" t="str">
            <v>82000000005172</v>
          </cell>
          <cell r="C32982" t="str">
            <v>LPC CCTA. INT LEASING RESTR RP CCOR     7NC</v>
          </cell>
        </row>
        <row r="32983">
          <cell r="B32983" t="str">
            <v>82000000005173</v>
          </cell>
          <cell r="C32983" t="str">
            <v>LPC C.CTA INT RESTRUCT CCOR             7NC</v>
          </cell>
        </row>
        <row r="32984">
          <cell r="B32984" t="str">
            <v>82000000005174</v>
          </cell>
          <cell r="C32984" t="str">
            <v>LPC CCTA. INT LEAS SEG REESTR RP CCOR   7NC</v>
          </cell>
        </row>
        <row r="32985">
          <cell r="B32985" t="str">
            <v>82000000005175</v>
          </cell>
          <cell r="C32985" t="str">
            <v>LPC C.CTA LEASING VENC BIEN INT DIFER RP7NC</v>
          </cell>
        </row>
        <row r="32986">
          <cell r="B32986" t="str">
            <v>82000000005176</v>
          </cell>
          <cell r="C32986" t="str">
            <v>LPC C.CTA LEAS VENC SEG INT DIF RP CIVA 7NC</v>
          </cell>
        </row>
        <row r="32987">
          <cell r="B32987" t="str">
            <v>82000000005177</v>
          </cell>
          <cell r="C32987" t="str">
            <v>LPC C.CTA LEASING VENC BIEN INT DIFER RP7NC</v>
          </cell>
        </row>
        <row r="32988">
          <cell r="B32988" t="str">
            <v>82000000005178</v>
          </cell>
          <cell r="C32988" t="str">
            <v>LPC C.CTA LEAS VENC SEG INT DIF RP CESP 7NC</v>
          </cell>
        </row>
        <row r="32989">
          <cell r="B32989" t="str">
            <v>82000000005179</v>
          </cell>
          <cell r="C32989" t="str">
            <v>LPC C.CTA DIF.LSG BIEN VIG.D/P RP CESP  7NC</v>
          </cell>
        </row>
        <row r="32990">
          <cell r="B32990" t="str">
            <v>82000000005180</v>
          </cell>
          <cell r="C32990" t="str">
            <v>LPC C.CTA I.VEN LSG DEL BIEN D/P RP CESP7NC</v>
          </cell>
        </row>
        <row r="32991">
          <cell r="B32991" t="str">
            <v>82000000005181</v>
          </cell>
          <cell r="C32991" t="str">
            <v>LPC C.CTA DIF LSG SEG VIG D/P RP CESP   7NC</v>
          </cell>
        </row>
        <row r="32992">
          <cell r="B32992" t="str">
            <v>82000000005182</v>
          </cell>
          <cell r="C32992" t="str">
            <v>LPC C.CTA I.VEN LSG SEG D/P RP CESP     7NC</v>
          </cell>
        </row>
        <row r="32993">
          <cell r="B32993" t="str">
            <v>82000000005183</v>
          </cell>
          <cell r="C32993" t="str">
            <v>LPC C.CTA DIF.LSG BIEN VIG.D/P RP CIVA  7NC</v>
          </cell>
        </row>
        <row r="32994">
          <cell r="B32994" t="str">
            <v>82000000005184</v>
          </cell>
          <cell r="C32994" t="str">
            <v>LPC C.CTA I.VEN LSG DEL BIEN D/P RP CIVA7NC</v>
          </cell>
        </row>
        <row r="32995">
          <cell r="B32995" t="str">
            <v>82000000005185</v>
          </cell>
          <cell r="C32995" t="str">
            <v>LPC C.CTA DIF LSG SEG VIG D/P RP CIVA   7NC</v>
          </cell>
        </row>
        <row r="32996">
          <cell r="B32996" t="str">
            <v>82000000005186</v>
          </cell>
          <cell r="C32996" t="str">
            <v>LPC C.CTA I.VEN LSG SEG D/P RP CIVA     7NC</v>
          </cell>
        </row>
        <row r="32997">
          <cell r="B32997" t="str">
            <v>82000000005187</v>
          </cell>
          <cell r="C32997" t="str">
            <v>LPC CTRA CTA INT PAG MED PLZ CMIE       7NC</v>
          </cell>
        </row>
        <row r="32998">
          <cell r="B32998" t="str">
            <v>82000000005188</v>
          </cell>
          <cell r="C32998" t="str">
            <v>LPC CTRA CTA INT PAG MED PLZ D/P CMIE   7NC</v>
          </cell>
        </row>
        <row r="32999">
          <cell r="B32999" t="str">
            <v>82000000005189</v>
          </cell>
          <cell r="C32999" t="str">
            <v>LPC CTRA CTA INT PAG TV INMOBILIARIO CMI7NC</v>
          </cell>
        </row>
        <row r="33000">
          <cell r="B33000" t="str">
            <v>82000000005190</v>
          </cell>
          <cell r="C33000" t="str">
            <v>LPC CTRA CTA INT PAG TV INMOBILIARIO D/P7NC</v>
          </cell>
        </row>
        <row r="33001">
          <cell r="B33001" t="str">
            <v>82000000005191</v>
          </cell>
          <cell r="C33001" t="str">
            <v>LPC CTRA CTA INT FACT INTER BRITISH ARAB7NC</v>
          </cell>
        </row>
        <row r="33002">
          <cell r="B33002" t="str">
            <v>82000000005192</v>
          </cell>
          <cell r="C33002" t="str">
            <v>LPC IDS BPE CTRA CTA D/P CMED           7NC</v>
          </cell>
        </row>
        <row r="33003">
          <cell r="B33003" t="str">
            <v>82000000005201</v>
          </cell>
          <cell r="C33003" t="str">
            <v>LPC C.CTA INTXCOB PAG TV D/P VENC CCOR  7NC</v>
          </cell>
        </row>
        <row r="33004">
          <cell r="B33004" t="str">
            <v>82000000005202</v>
          </cell>
          <cell r="C33004" t="str">
            <v>LPC C.CTA INTXCOB PAG TV D/P VENC CESP  7NC</v>
          </cell>
        </row>
        <row r="33005">
          <cell r="B33005" t="str">
            <v>82000000005203</v>
          </cell>
          <cell r="C33005" t="str">
            <v>LPC C.CTA INTXCOB PAG TV D/P VENC CIVA  7NC</v>
          </cell>
        </row>
        <row r="33006">
          <cell r="B33006" t="str">
            <v>82000000005204</v>
          </cell>
          <cell r="C33006" t="str">
            <v>LPC C.CTA INTXCOB PAG TV D/P VENC CGEM  7NC</v>
          </cell>
        </row>
        <row r="33007">
          <cell r="B33007" t="str">
            <v>82000000005205</v>
          </cell>
          <cell r="C33007" t="str">
            <v>LPC C.CTA INTXCOB PAG TV D/P VENC CMED  7NC</v>
          </cell>
        </row>
        <row r="33008">
          <cell r="B33008" t="str">
            <v>82000000005206</v>
          </cell>
          <cell r="C33008" t="str">
            <v>LPC C.CTA INTXCOB PAG TV D/P VENC CPEM  7NC</v>
          </cell>
        </row>
        <row r="33009">
          <cell r="B33009" t="str">
            <v>82000000005207</v>
          </cell>
          <cell r="C33009" t="str">
            <v>LPC C.CTA PAG TV INT SUSP RP CCOR       7NC</v>
          </cell>
        </row>
        <row r="33010">
          <cell r="B33010" t="str">
            <v>82000000005208</v>
          </cell>
          <cell r="C33010" t="str">
            <v>LPC C.CTA PAG TV INT SUSP RP CSOB       7NC</v>
          </cell>
        </row>
        <row r="33011">
          <cell r="B33011" t="str">
            <v>82000000005209</v>
          </cell>
          <cell r="C33011" t="str">
            <v>LPC C.CTA PAG TV INT SUSP RP CBMD       7NC</v>
          </cell>
        </row>
        <row r="33012">
          <cell r="B33012" t="str">
            <v>82000000005210</v>
          </cell>
          <cell r="C33012" t="str">
            <v>LPC C.CTA PAG TV INT SUSP RP CESP       7NC</v>
          </cell>
        </row>
        <row r="33013">
          <cell r="B33013" t="str">
            <v>82000000005211</v>
          </cell>
          <cell r="C33013" t="str">
            <v>LPC C.CTA PAG TV INT SUSP RP CIVA       7NC</v>
          </cell>
        </row>
        <row r="33014">
          <cell r="B33014" t="str">
            <v>82000000005212</v>
          </cell>
          <cell r="C33014" t="str">
            <v>LPC C.CTA PAG TV INT SUSP RP CGEM       7NC</v>
          </cell>
        </row>
        <row r="33015">
          <cell r="B33015" t="str">
            <v>82000000005213</v>
          </cell>
          <cell r="C33015" t="str">
            <v>LPC C.CTA PAG TV INT SUSP RP CMED       7NC</v>
          </cell>
        </row>
        <row r="33016">
          <cell r="B33016" t="str">
            <v>82000000005214</v>
          </cell>
          <cell r="C33016" t="str">
            <v>LPC C.CTA PAG TV INT SUSP RP CPEM       7NC</v>
          </cell>
        </row>
        <row r="33017">
          <cell r="B33017" t="str">
            <v>82000000005215</v>
          </cell>
          <cell r="C33017" t="str">
            <v>LPC CTRA CTA INT SUSP EX PRE EMB RP CCOR7NC</v>
          </cell>
        </row>
        <row r="33018">
          <cell r="B33018" t="str">
            <v>82000000005216</v>
          </cell>
          <cell r="C33018" t="str">
            <v>LPC CTRA CTA INT SUSP EX PRE EMB RP CESP7NC</v>
          </cell>
        </row>
        <row r="33019">
          <cell r="B33019" t="str">
            <v>82000000005217</v>
          </cell>
          <cell r="C33019" t="str">
            <v>LPC CTRA CTA INT SUSP EX PRE EMB RP CGEM7NC</v>
          </cell>
        </row>
        <row r="33020">
          <cell r="B33020" t="str">
            <v>82000000005218</v>
          </cell>
          <cell r="C33020" t="str">
            <v>LPC CTRA CTA INT SUSP EX PRE EMB RP CMED7NC</v>
          </cell>
        </row>
        <row r="33021">
          <cell r="B33021" t="str">
            <v>82000000005219</v>
          </cell>
          <cell r="C33021" t="str">
            <v>LPC CTRA CTA INT SUSP EX PRE EMB RP CPEM7NC</v>
          </cell>
        </row>
        <row r="33022">
          <cell r="B33022" t="str">
            <v>82000000005220</v>
          </cell>
          <cell r="C33022" t="str">
            <v>LPC CCTA. INT SUSP EXP POST EMB CCOR    7NC</v>
          </cell>
        </row>
        <row r="33023">
          <cell r="B33023" t="str">
            <v>82000000005221</v>
          </cell>
          <cell r="C33023" t="str">
            <v>LPC CCTA. INT SUSP EXP POST EMB CESP    7NC</v>
          </cell>
        </row>
        <row r="33024">
          <cell r="B33024" t="str">
            <v>82000000005222</v>
          </cell>
          <cell r="C33024" t="str">
            <v>LPC CCTA. INT SUSP EXP POST EMB CGEM    7NC</v>
          </cell>
        </row>
        <row r="33025">
          <cell r="B33025" t="str">
            <v>82000000005223</v>
          </cell>
          <cell r="C33025" t="str">
            <v>LPC CCTA. INT SUSP EXP POST EMB CMED    7NC</v>
          </cell>
        </row>
        <row r="33026">
          <cell r="B33026" t="str">
            <v>82000000005224</v>
          </cell>
          <cell r="C33026" t="str">
            <v>LPC CCTA. INT SUSP EXP POST EMB CPEM    7NC</v>
          </cell>
        </row>
        <row r="33027">
          <cell r="B33027" t="str">
            <v>82000000005225</v>
          </cell>
          <cell r="C33027" t="str">
            <v>LPC CCTA. INT SUSP IMPORT CCOR          7NC</v>
          </cell>
        </row>
        <row r="33028">
          <cell r="B33028" t="str">
            <v>82000000005226</v>
          </cell>
          <cell r="C33028" t="str">
            <v>LPC CCTA. INT SUSP IMPORT CGEM          7NC</v>
          </cell>
        </row>
        <row r="33029">
          <cell r="B33029" t="str">
            <v>82000000005227</v>
          </cell>
          <cell r="C33029" t="str">
            <v>LPC CCTA. INT SUSP IMPORT CMED          7NC</v>
          </cell>
        </row>
        <row r="33030">
          <cell r="B33030" t="str">
            <v>82000000005228</v>
          </cell>
          <cell r="C33030" t="str">
            <v>LPC CCTA. INT SUSP IMPORT CPEM          7NC</v>
          </cell>
        </row>
        <row r="33031">
          <cell r="B33031" t="str">
            <v>82000000005229</v>
          </cell>
          <cell r="C33031" t="str">
            <v>LPC INT.SUS  WORKING CAP.EX PRE EMBAR CC7NC</v>
          </cell>
        </row>
        <row r="33032">
          <cell r="B33032" t="str">
            <v>82000000005230</v>
          </cell>
          <cell r="C33032" t="str">
            <v>LPC INT.SUS  WORKING CAP.EX PRE EMBAR CE7NC</v>
          </cell>
        </row>
        <row r="33033">
          <cell r="B33033" t="str">
            <v>82000000005231</v>
          </cell>
          <cell r="C33033" t="str">
            <v>LPC INT.SUS  WORKING CAP.EX PRE EMBAR CG7NC</v>
          </cell>
        </row>
        <row r="33034">
          <cell r="B33034" t="str">
            <v>82000000005232</v>
          </cell>
          <cell r="C33034" t="str">
            <v>LPC INT.SUS  WORKING CAP.EX PRE EMBAR CM7NC</v>
          </cell>
        </row>
        <row r="33035">
          <cell r="B33035" t="str">
            <v>82000000005233</v>
          </cell>
          <cell r="C33035" t="str">
            <v>LPC INT.SUS  WORKING CAP.EX PRE EMBAR CP7NC</v>
          </cell>
        </row>
        <row r="33036">
          <cell r="B33036" t="str">
            <v>82000000005234</v>
          </cell>
          <cell r="C33036" t="str">
            <v>LPC CTRA CTA INT FINAN PRE EMBARQUE-SEPY7NC</v>
          </cell>
        </row>
        <row r="33037">
          <cell r="B33037" t="str">
            <v>82000000005235</v>
          </cell>
          <cell r="C33037" t="str">
            <v>LPC CTRA CTA INT FINAN PRE EMBARQUE-SEPY7NC</v>
          </cell>
        </row>
        <row r="33038">
          <cell r="B33038" t="str">
            <v>82000000005236</v>
          </cell>
          <cell r="C33038" t="str">
            <v>LPC CTRA CTA INT FINAN PRE EMBARQUE-SEPY7NC</v>
          </cell>
        </row>
        <row r="33039">
          <cell r="B33039" t="str">
            <v>82000000005237</v>
          </cell>
          <cell r="C33039" t="str">
            <v>LPC CTRA CTA INT FINAN PRE EMBARQUE-SEPY7NC</v>
          </cell>
        </row>
        <row r="33040">
          <cell r="B33040" t="str">
            <v>82000000005238</v>
          </cell>
          <cell r="C33040" t="str">
            <v>LPC CTRA CTA INT FINAN PRE EMBARQUE-SEPY7NC</v>
          </cell>
        </row>
        <row r="33041">
          <cell r="B33041" t="str">
            <v>82000000005239</v>
          </cell>
          <cell r="C33041" t="str">
            <v>LPC CTRA CTA INT FINAN PRE EMBARQUE-SEPY7NC</v>
          </cell>
        </row>
        <row r="33042">
          <cell r="B33042" t="str">
            <v>82000000005240</v>
          </cell>
          <cell r="C33042" t="str">
            <v>LPC CTRA CTA INT FINAN PRE EMBARQUE D/P-7NC</v>
          </cell>
        </row>
        <row r="33043">
          <cell r="B33043" t="str">
            <v>82000000005241</v>
          </cell>
          <cell r="C33043" t="str">
            <v>LPC CTRA CTA INT FINAN PRE EMBARQUE D/P-7NC</v>
          </cell>
        </row>
        <row r="33044">
          <cell r="B33044" t="str">
            <v>82000000005242</v>
          </cell>
          <cell r="C33044" t="str">
            <v>LPC CTRA CTA INT FINAN PRE EMBARQUE D/P-7NC</v>
          </cell>
        </row>
        <row r="33045">
          <cell r="B33045" t="str">
            <v>82000000005243</v>
          </cell>
          <cell r="C33045" t="str">
            <v>LPC CTRA CTA INT FINAN PRE EMBARQUE D/P-7NC</v>
          </cell>
        </row>
        <row r="33046">
          <cell r="B33046" t="str">
            <v>82000000005244</v>
          </cell>
          <cell r="C33046" t="str">
            <v>LPC CTRA CTA INT FINAN PRE EMBARQUE D/P-7NC</v>
          </cell>
        </row>
        <row r="33047">
          <cell r="B33047" t="str">
            <v>82000000005245</v>
          </cell>
          <cell r="C33047" t="str">
            <v>LPC CTRA CTA INT FINAN PRE EMBARQUE D/P-7NC</v>
          </cell>
        </row>
        <row r="33048">
          <cell r="B33048" t="str">
            <v>82000000005246</v>
          </cell>
          <cell r="C33048" t="str">
            <v>LPC C.CTA LS LA FIDUCIARIA COFIDE VENC I7NC</v>
          </cell>
        </row>
        <row r="33049">
          <cell r="B33049" t="str">
            <v>82000000005247</v>
          </cell>
          <cell r="C33049" t="str">
            <v>LPC C.CTA LS LA FIDUC VENC SEG INT DIF I7NC</v>
          </cell>
        </row>
        <row r="33050">
          <cell r="B33050" t="str">
            <v>82000000005248</v>
          </cell>
          <cell r="C33050" t="str">
            <v>LPC C.CTA DIF.LS LA FIDUCIARIA VIG.D/P I7NC</v>
          </cell>
        </row>
        <row r="33051">
          <cell r="B33051" t="str">
            <v>82000000005249</v>
          </cell>
          <cell r="C33051" t="str">
            <v>LPC C.CTA I.VEN LS LA FIDUC D/P IDL CESF7NC</v>
          </cell>
        </row>
        <row r="33052">
          <cell r="B33052" t="str">
            <v>82000000005250</v>
          </cell>
          <cell r="C33052" t="str">
            <v>LPC C.CTA DIF LS LA FIDUC SEG VIG D/P ID7NC</v>
          </cell>
        </row>
        <row r="33053">
          <cell r="B33053" t="str">
            <v>82000000005251</v>
          </cell>
          <cell r="C33053" t="str">
            <v>LPC C.CTA I.VEN LS LA FIDUC SEG D/P IDS 7NC</v>
          </cell>
        </row>
        <row r="33054">
          <cell r="B33054" t="str">
            <v>82000000005252</v>
          </cell>
          <cell r="C33054" t="str">
            <v>LPC C.CTA COB JUDICIAL LS LA FIDUCIARIA 7NC</v>
          </cell>
        </row>
        <row r="33055">
          <cell r="B33055" t="str">
            <v>82000000005301</v>
          </cell>
          <cell r="C33055" t="str">
            <v>LPC C.CTA INT SUSP PAG TV REF CCOR      7NC</v>
          </cell>
        </row>
        <row r="33056">
          <cell r="B33056" t="str">
            <v>82000000005302</v>
          </cell>
          <cell r="C33056" t="str">
            <v>LPC C.CTA INT SUSP PAG TV REF CESP      7NC</v>
          </cell>
        </row>
        <row r="33057">
          <cell r="B33057" t="str">
            <v>82000000005303</v>
          </cell>
          <cell r="C33057" t="str">
            <v>LPC CTRA CTA INT SUSP  PAG TV  COFIDE CB7NC</v>
          </cell>
        </row>
        <row r="33058">
          <cell r="B33058" t="str">
            <v>82000000005304</v>
          </cell>
          <cell r="C33058" t="str">
            <v>LPC C.CTA INT SUSP PAG TV REF CGEM      7NC</v>
          </cell>
        </row>
        <row r="33059">
          <cell r="B33059" t="str">
            <v>82000000005305</v>
          </cell>
          <cell r="C33059" t="str">
            <v>LPC C.CTA INT SUSP PAG TV REF CMED      7NC</v>
          </cell>
        </row>
        <row r="33060">
          <cell r="B33060" t="str">
            <v>82000000005306</v>
          </cell>
          <cell r="C33060" t="str">
            <v>LPC C.CTA INT SUSP PAG TV REF CPEM      7NC</v>
          </cell>
        </row>
        <row r="33061">
          <cell r="B33061" t="str">
            <v>82000000005307</v>
          </cell>
          <cell r="C33061" t="str">
            <v>LPC CTRA CTA INT SUSP  PAG TV  COFIDE CC7NC</v>
          </cell>
        </row>
        <row r="33062">
          <cell r="B33062" t="str">
            <v>82000000005308</v>
          </cell>
          <cell r="C33062" t="str">
            <v>LPC CTRA CTA INT SUSP  PAG TV  COFIDE CE7NC</v>
          </cell>
        </row>
        <row r="33063">
          <cell r="B33063" t="str">
            <v>82000000005309</v>
          </cell>
          <cell r="C33063" t="str">
            <v>LPC CTRA CTA INT SUSP PAG TV  COFIDE CGE7NC</v>
          </cell>
        </row>
        <row r="33064">
          <cell r="B33064" t="str">
            <v>82000000005310</v>
          </cell>
          <cell r="C33064" t="str">
            <v>LPC CTRA CTA INT SUSP  PAG TV  COFIDE CI7NC</v>
          </cell>
        </row>
        <row r="33065">
          <cell r="B33065" t="str">
            <v>82000000005311</v>
          </cell>
          <cell r="C33065" t="str">
            <v>LPC CTRA CTA INT SUSP  PAG TV COFIDE CME7NC</v>
          </cell>
        </row>
        <row r="33066">
          <cell r="B33066" t="str">
            <v>82000000005312</v>
          </cell>
          <cell r="C33066" t="str">
            <v>LPC CTRA CTA INT SUSP  PAG TV COFIDE CPE7NC</v>
          </cell>
        </row>
        <row r="33067">
          <cell r="B33067" t="str">
            <v>82000000005313</v>
          </cell>
          <cell r="C33067" t="str">
            <v>LPC CTRA CTA INT SUSP  PAG TV  COFIDE CS7NC</v>
          </cell>
        </row>
        <row r="33068">
          <cell r="B33068" t="str">
            <v>82000000005314</v>
          </cell>
          <cell r="C33068" t="str">
            <v>LPC CTRA CTA INT SUSP PTV COFIDE D/P CBM7NC</v>
          </cell>
        </row>
        <row r="33069">
          <cell r="B33069" t="str">
            <v>82000000005315</v>
          </cell>
          <cell r="C33069" t="str">
            <v>LPC CTRA CTA INT SUSP PTV COFIDE D/P CCO7NC</v>
          </cell>
        </row>
        <row r="33070">
          <cell r="B33070" t="str">
            <v>82000000005316</v>
          </cell>
          <cell r="C33070" t="str">
            <v>LPC CTRA CTA INT SUSP PTV COFIDE D/P CES7NC</v>
          </cell>
        </row>
        <row r="33071">
          <cell r="B33071" t="str">
            <v>82000000005317</v>
          </cell>
          <cell r="C33071" t="str">
            <v>LPC CTRA CTA INT SUSP PTV COFIDE -D/P   7NC</v>
          </cell>
        </row>
        <row r="33072">
          <cell r="B33072" t="str">
            <v>82000000005318</v>
          </cell>
          <cell r="C33072" t="str">
            <v>LPC CTRA CTA INT SUSP PTV COFIDE D/P CIV7NC</v>
          </cell>
        </row>
        <row r="33073">
          <cell r="B33073" t="str">
            <v>82000000005319</v>
          </cell>
          <cell r="C33073" t="str">
            <v>LPC CTRA CTA INT SUSP PTV COFIDE -D/P   7NC</v>
          </cell>
        </row>
        <row r="33074">
          <cell r="B33074" t="str">
            <v>82000000005320</v>
          </cell>
          <cell r="C33074" t="str">
            <v>LPC CTRA CTA INT SUSP PTV COFIDE -D/P   7NC</v>
          </cell>
        </row>
        <row r="33075">
          <cell r="B33075" t="str">
            <v>82000000005321</v>
          </cell>
          <cell r="C33075" t="str">
            <v>LPC CTRA CTA INT SUSP PTV COFIDE D/P CSO7NC</v>
          </cell>
        </row>
        <row r="33076">
          <cell r="B33076" t="str">
            <v>82000000005322</v>
          </cell>
          <cell r="C33076" t="str">
            <v>LPC CTRCTA LEASING MYP CMED             7NC</v>
          </cell>
        </row>
        <row r="33077">
          <cell r="B33077" t="str">
            <v>82000000005323</v>
          </cell>
          <cell r="C33077" t="str">
            <v>LPC CTRCTA LEASING MYP CMED             7NC</v>
          </cell>
        </row>
        <row r="33078">
          <cell r="B33078" t="str">
            <v>82000000005324</v>
          </cell>
          <cell r="C33078" t="str">
            <v>LPC CTRCTA LEASING MYP CPEM             7NC</v>
          </cell>
        </row>
        <row r="33079">
          <cell r="B33079" t="str">
            <v>82000000005325</v>
          </cell>
          <cell r="C33079" t="str">
            <v>LPC CTRCTA LEASING MYP CPEM             7NC</v>
          </cell>
        </row>
        <row r="33080">
          <cell r="B33080" t="str">
            <v>82000000005326</v>
          </cell>
          <cell r="C33080" t="str">
            <v>LPC CTRA CTA INT PAG MED PLZ            7NC</v>
          </cell>
        </row>
        <row r="33081">
          <cell r="B33081" t="str">
            <v>82000000005327</v>
          </cell>
          <cell r="C33081" t="str">
            <v>LPC CTRA CTA INT PAG MED PLZ            7NC</v>
          </cell>
        </row>
        <row r="33082">
          <cell r="B33082" t="str">
            <v>82000000005328</v>
          </cell>
          <cell r="C33082" t="str">
            <v>LPC CTRA CTA INT PAG MED PLZ            7NC</v>
          </cell>
        </row>
        <row r="33083">
          <cell r="B33083" t="str">
            <v>82000000005329</v>
          </cell>
          <cell r="C33083" t="str">
            <v>LPC CTRA CTA INT PAG MED PLZ            7NC</v>
          </cell>
        </row>
        <row r="33084">
          <cell r="B33084" t="str">
            <v>82000000005330</v>
          </cell>
          <cell r="C33084" t="str">
            <v>LPC CTRA CTA INT PAG MED PLZ            7NC</v>
          </cell>
        </row>
        <row r="33085">
          <cell r="B33085" t="str">
            <v>82000000005331</v>
          </cell>
          <cell r="C33085" t="str">
            <v>LPC CTRA CTA INT PAG MED PLZ            7NC</v>
          </cell>
        </row>
        <row r="33086">
          <cell r="B33086" t="str">
            <v>82000000005332</v>
          </cell>
          <cell r="C33086" t="str">
            <v>LPC CTRA CTA INT PAG MED PLZ            7NC</v>
          </cell>
        </row>
        <row r="33087">
          <cell r="B33087" t="str">
            <v>82000000005333</v>
          </cell>
          <cell r="C33087" t="str">
            <v>LPC CTRA CTA INT PAG MED PLZ            7NC</v>
          </cell>
        </row>
        <row r="33088">
          <cell r="B33088" t="str">
            <v>82000000005334</v>
          </cell>
          <cell r="C33088" t="str">
            <v>LPC CTRA CTA INT PAG MED PLZ D/P        7NC</v>
          </cell>
        </row>
        <row r="33089">
          <cell r="B33089" t="str">
            <v>82000000005335</v>
          </cell>
          <cell r="C33089" t="str">
            <v>LPC CTRA CTA INT PAG MED PLZ D/P        7NC</v>
          </cell>
        </row>
        <row r="33090">
          <cell r="B33090" t="str">
            <v>82000000005336</v>
          </cell>
          <cell r="C33090" t="str">
            <v>LPC CTRA CTA INT PAG MED PLZ D/P        7NC</v>
          </cell>
        </row>
        <row r="33091">
          <cell r="B33091" t="str">
            <v>82000000005337</v>
          </cell>
          <cell r="C33091" t="str">
            <v>LPC CTRA CTA INT PAG MED PLZ D/P        7NC</v>
          </cell>
        </row>
        <row r="33092">
          <cell r="B33092" t="str">
            <v>82000000005338</v>
          </cell>
          <cell r="C33092" t="str">
            <v>LPC CTRA CTA INT PAG MED PLZ D/P        7NC</v>
          </cell>
        </row>
        <row r="33093">
          <cell r="B33093" t="str">
            <v>82000000005339</v>
          </cell>
          <cell r="C33093" t="str">
            <v>LPC CTRA CTA INT PAG MED PLZ D/P        7NC</v>
          </cell>
        </row>
        <row r="33094">
          <cell r="B33094" t="str">
            <v>82000000005340</v>
          </cell>
          <cell r="C33094" t="str">
            <v>LPC CTRA CTA INT PAG MED PLZ D/P        7NC</v>
          </cell>
        </row>
        <row r="33095">
          <cell r="B33095" t="str">
            <v>82000000005341</v>
          </cell>
          <cell r="C33095" t="str">
            <v>LPC CTRA CTA INT PAG MED PLZ D/P        7NC</v>
          </cell>
        </row>
        <row r="33096">
          <cell r="B33096" t="str">
            <v>82000000005342</v>
          </cell>
          <cell r="C33096" t="str">
            <v>LPC CTRA CTA INT PAG TV INMOBILIARIO    7NC</v>
          </cell>
        </row>
        <row r="33097">
          <cell r="B33097" t="str">
            <v>82000000005343</v>
          </cell>
          <cell r="C33097" t="str">
            <v>LPC CTRA CTA INT PAG TV INMOBILIARIO    7NC</v>
          </cell>
        </row>
        <row r="33098">
          <cell r="B33098" t="str">
            <v>82000000005344</v>
          </cell>
          <cell r="C33098" t="str">
            <v>LPC CTRA CTA INT PAG TV INMOBILIARIO    7NC</v>
          </cell>
        </row>
        <row r="33099">
          <cell r="B33099" t="str">
            <v>82000000005345</v>
          </cell>
          <cell r="C33099" t="str">
            <v>LPC CTRA CTA INT PAG TV INMOBILIARIO    7NC</v>
          </cell>
        </row>
        <row r="33100">
          <cell r="B33100" t="str">
            <v>82000000005346</v>
          </cell>
          <cell r="C33100" t="str">
            <v>LPC CTRA CTA INT PAG TV INMOBILIARIO    7NC</v>
          </cell>
        </row>
        <row r="33101">
          <cell r="B33101" t="str">
            <v>82000000005347</v>
          </cell>
          <cell r="C33101" t="str">
            <v>LPC CTRA CTA INT PAG TV INMOBILIARIO    7NC</v>
          </cell>
        </row>
        <row r="33102">
          <cell r="B33102" t="str">
            <v>82000000005348</v>
          </cell>
          <cell r="C33102" t="str">
            <v>LPC CTRA CTA INT PAG TV INMOBILIARIO    7NC</v>
          </cell>
        </row>
        <row r="33103">
          <cell r="B33103" t="str">
            <v>82000000005349</v>
          </cell>
          <cell r="C33103" t="str">
            <v>LPC CTRA CTA INT PAG TV INMOBILIARIO    7NC</v>
          </cell>
        </row>
        <row r="33104">
          <cell r="B33104" t="str">
            <v>82000000005350</v>
          </cell>
          <cell r="C33104" t="str">
            <v>LPC CTRA CTA INT PAG TV INMOBILIARIO D/P7NC</v>
          </cell>
        </row>
        <row r="33105">
          <cell r="B33105" t="str">
            <v>82000000005351</v>
          </cell>
          <cell r="C33105" t="str">
            <v>LPC CTRA CTA INT PAG TV INMOBILIARIO D/P7NC</v>
          </cell>
        </row>
        <row r="33106">
          <cell r="B33106" t="str">
            <v>82000000005352</v>
          </cell>
          <cell r="C33106" t="str">
            <v>LPC CTRA CTA INT PAG TV INMOBILIARIO D/P7NC</v>
          </cell>
        </row>
        <row r="33107">
          <cell r="B33107" t="str">
            <v>82000000005353</v>
          </cell>
          <cell r="C33107" t="str">
            <v>LPC CTRA CTA INT PAG TV INMOBILIARIO D/P7NC</v>
          </cell>
        </row>
        <row r="33108">
          <cell r="B33108" t="str">
            <v>82000000005354</v>
          </cell>
          <cell r="C33108" t="str">
            <v>LPC CTRA CTA INT PAG TV INMOBILIARIO D/P7NC</v>
          </cell>
        </row>
        <row r="33109">
          <cell r="B33109" t="str">
            <v>82000000005355</v>
          </cell>
          <cell r="C33109" t="str">
            <v>LPC CTRA CTA INT PAG TV INMOBILIARIO D/P7NC</v>
          </cell>
        </row>
        <row r="33110">
          <cell r="B33110" t="str">
            <v>82000000005356</v>
          </cell>
          <cell r="C33110" t="str">
            <v>LPC CTRA CTA INT PAG TV INMOBILIARIO D/P7NC</v>
          </cell>
        </row>
        <row r="33111">
          <cell r="B33111" t="str">
            <v>82000000005357</v>
          </cell>
          <cell r="C33111" t="str">
            <v>LPC CTRA CTA INT PAG TV INMOBILIARIO D/P7NC</v>
          </cell>
        </row>
        <row r="33112">
          <cell r="B33112" t="str">
            <v>82000000005358</v>
          </cell>
          <cell r="C33112" t="str">
            <v>LPC CTRA CTA INT FINAN PRE EMBARQUE     7NC</v>
          </cell>
        </row>
        <row r="33113">
          <cell r="B33113" t="str">
            <v>82000000005359</v>
          </cell>
          <cell r="C33113" t="str">
            <v>LPC CTRA CTA INT FINAN PRE EMBARQUE     7NC</v>
          </cell>
        </row>
        <row r="33114">
          <cell r="B33114" t="str">
            <v>82000000005360</v>
          </cell>
          <cell r="C33114" t="str">
            <v>LPC CTRA CTA INT FINAN PRE EMBARQUE     7NC</v>
          </cell>
        </row>
        <row r="33115">
          <cell r="B33115" t="str">
            <v>82000000005361</v>
          </cell>
          <cell r="C33115" t="str">
            <v>LPC CTRA CTA INT FINAN PRE EMBARQUE     7NC</v>
          </cell>
        </row>
        <row r="33116">
          <cell r="B33116" t="str">
            <v>82000000005362</v>
          </cell>
          <cell r="C33116" t="str">
            <v>LPC CTRA CTA INT FINAN PRE EMBARQUE     7NC</v>
          </cell>
        </row>
        <row r="33117">
          <cell r="B33117" t="str">
            <v>82000000005363</v>
          </cell>
          <cell r="C33117" t="str">
            <v>LPC CTRA CTA INT FINAN PRE EMBARQUE D/P 7NC</v>
          </cell>
        </row>
        <row r="33118">
          <cell r="B33118" t="str">
            <v>82000000005364</v>
          </cell>
          <cell r="C33118" t="str">
            <v>LPC CTRA CTA INT FINAN PRE EMBARQUE D/P 7NC</v>
          </cell>
        </row>
        <row r="33119">
          <cell r="B33119" t="str">
            <v>82000000005365</v>
          </cell>
          <cell r="C33119" t="str">
            <v>LPC CTRA CTA INT FINAN PRE EMBARQUE D/P 7NC</v>
          </cell>
        </row>
        <row r="33120">
          <cell r="B33120" t="str">
            <v>82000000005366</v>
          </cell>
          <cell r="C33120" t="str">
            <v>LPC CTRA CTA INT FINAN PRE EMBARQUE D/P 7NC</v>
          </cell>
        </row>
        <row r="33121">
          <cell r="B33121" t="str">
            <v>82000000005367</v>
          </cell>
          <cell r="C33121" t="str">
            <v>LPC CTRA CTA INT FINAN PRE EMBARQUE D/P 7NC</v>
          </cell>
        </row>
        <row r="33122">
          <cell r="B33122" t="str">
            <v>82000000005368</v>
          </cell>
          <cell r="C33122" t="str">
            <v>LPC CTRA CTA INT PAG TV EUROS           7NC</v>
          </cell>
        </row>
        <row r="33123">
          <cell r="B33123" t="str">
            <v>82000000005369</v>
          </cell>
          <cell r="C33123" t="str">
            <v>LPC CTRA CTA INT PAG TV EUROS           7NC</v>
          </cell>
        </row>
        <row r="33124">
          <cell r="B33124" t="str">
            <v>82000000005370</v>
          </cell>
          <cell r="C33124" t="str">
            <v>LPC CTRA CTA INT PAG TV EUROS           7NC</v>
          </cell>
        </row>
        <row r="33125">
          <cell r="B33125" t="str">
            <v>82000000005371</v>
          </cell>
          <cell r="C33125" t="str">
            <v>LPC CTRA CTA INT PAG TV EUROS           7NC</v>
          </cell>
        </row>
        <row r="33126">
          <cell r="B33126" t="str">
            <v>82000000005372</v>
          </cell>
          <cell r="C33126" t="str">
            <v>LPC CTRA CTA INT PAG TV EUROS           7NC</v>
          </cell>
        </row>
        <row r="33127">
          <cell r="B33127" t="str">
            <v>82000000005373</v>
          </cell>
          <cell r="C33127" t="str">
            <v>LPC CTRA CTA INT PAG TV EUROS           7NC</v>
          </cell>
        </row>
        <row r="33128">
          <cell r="B33128" t="str">
            <v>82000000005374</v>
          </cell>
          <cell r="C33128" t="str">
            <v>LPC CTRA CTA INT PAG TV EUROS           7NC</v>
          </cell>
        </row>
        <row r="33129">
          <cell r="B33129" t="str">
            <v>82000000005375</v>
          </cell>
          <cell r="C33129" t="str">
            <v>LPC CTRA CTA INT PAG TV EUROS           7NC</v>
          </cell>
        </row>
        <row r="33130">
          <cell r="B33130" t="str">
            <v>82000000005376</v>
          </cell>
          <cell r="C33130" t="str">
            <v>LPC CTRA CTA INT PAG TV EUROS D/P       7NC</v>
          </cell>
        </row>
        <row r="33131">
          <cell r="B33131" t="str">
            <v>82000000005377</v>
          </cell>
          <cell r="C33131" t="str">
            <v>LPC CTRA CTA INT PAG TV EUROS           7NC</v>
          </cell>
        </row>
        <row r="33132">
          <cell r="B33132" t="str">
            <v>82000000005378</v>
          </cell>
          <cell r="C33132" t="str">
            <v>LPC CTRA CTA INT PAG TV EUROS           7NC</v>
          </cell>
        </row>
        <row r="33133">
          <cell r="B33133" t="str">
            <v>82000000005379</v>
          </cell>
          <cell r="C33133" t="str">
            <v>LPC CTRA CTA INT PAG TV EUROS           7NC</v>
          </cell>
        </row>
        <row r="33134">
          <cell r="B33134" t="str">
            <v>82000000005380</v>
          </cell>
          <cell r="C33134" t="str">
            <v>LPC CTRA CTA INT PAG TV EUROS           7NC</v>
          </cell>
        </row>
        <row r="33135">
          <cell r="B33135" t="str">
            <v>82000000005381</v>
          </cell>
          <cell r="C33135" t="str">
            <v>LPC CTRA CTA INT PAG TV EUROS           7NC</v>
          </cell>
        </row>
        <row r="33136">
          <cell r="B33136" t="str">
            <v>82000000005382</v>
          </cell>
          <cell r="C33136" t="str">
            <v>LPC CTRA CTA INT PAG TV EUROS           7NC</v>
          </cell>
        </row>
        <row r="33137">
          <cell r="B33137" t="str">
            <v>82000000005383</v>
          </cell>
          <cell r="C33137" t="str">
            <v>LPC CTRA CTA INT PAG TV EUROS           7NC</v>
          </cell>
        </row>
        <row r="33138">
          <cell r="B33138" t="str">
            <v>82000000005384</v>
          </cell>
          <cell r="C33138" t="str">
            <v>LPC C.CTA. INTXCOBÂ PAG DERIV D/P VIG CP7NC</v>
          </cell>
        </row>
        <row r="33139">
          <cell r="B33139" t="str">
            <v>82000000005385</v>
          </cell>
          <cell r="C33139" t="str">
            <v>LPC C.CTA. INTXCOBÂ PAG DERIV D/P VENC C7NC</v>
          </cell>
        </row>
        <row r="33140">
          <cell r="B33140" t="str">
            <v>82000000005386</v>
          </cell>
          <cell r="C33140" t="str">
            <v>LPC C.CTA. INTXCOBÂ PAG DERIV NORM VENC 7NC</v>
          </cell>
        </row>
        <row r="33141">
          <cell r="B33141" t="str">
            <v>82000000005387</v>
          </cell>
          <cell r="C33141" t="str">
            <v>LPC C.CTA. INTXCOBÂ PAG DERIV N/REVOL D/7NC</v>
          </cell>
        </row>
        <row r="33142">
          <cell r="B33142" t="str">
            <v>82000000005388</v>
          </cell>
          <cell r="C33142" t="str">
            <v>LPC C.CTA. INTXCOBÂ PAG DERIV NORM VENC 7NC</v>
          </cell>
        </row>
        <row r="33143">
          <cell r="B33143" t="str">
            <v>82000000005389</v>
          </cell>
          <cell r="C33143" t="str">
            <v>LPC C.CTA. INTXCOBÂ PAG DERIV D/P VENC C7NC</v>
          </cell>
        </row>
        <row r="33144">
          <cell r="B33144" t="str">
            <v>82000000005401</v>
          </cell>
          <cell r="C33144" t="str">
            <v>FCD INTXCOB  LETRAS DSCTO  CCOR CTRA CTA7NC</v>
          </cell>
        </row>
        <row r="33145">
          <cell r="B33145" t="str">
            <v>82000000005402</v>
          </cell>
          <cell r="C33145" t="str">
            <v>FCD  INTXCOB  LETRAS DSCTO  CGEM CTRA CT7NC</v>
          </cell>
        </row>
        <row r="33146">
          <cell r="B33146" t="str">
            <v>82000000005403</v>
          </cell>
          <cell r="C33146" t="str">
            <v>PR INT  LETRAS   DSCTO  CESP            7NC</v>
          </cell>
        </row>
        <row r="33147">
          <cell r="B33147" t="str">
            <v>82000000005404</v>
          </cell>
          <cell r="C33147" t="str">
            <v>FCD  INTXCOB  LETRAS DSCTO  CMED CTRA CT7NC</v>
          </cell>
        </row>
        <row r="33148">
          <cell r="B33148" t="str">
            <v>82000000005405</v>
          </cell>
          <cell r="C33148" t="str">
            <v>PR INT  LETRAS   DSCTO  CPEM            7NC</v>
          </cell>
        </row>
        <row r="33149">
          <cell r="B33149" t="str">
            <v>82000000005406</v>
          </cell>
          <cell r="C33149" t="str">
            <v>PR DSCTO ELECTR SM PERU I.COMP CCOR     7NC</v>
          </cell>
        </row>
        <row r="33150">
          <cell r="B33150" t="str">
            <v>82000000005407</v>
          </cell>
          <cell r="C33150" t="str">
            <v>PR DSCTO ELECTR SM PERU I.COMP CCOR     7NC</v>
          </cell>
        </row>
        <row r="33151">
          <cell r="B33151" t="str">
            <v>82000000005408</v>
          </cell>
          <cell r="C33151" t="str">
            <v>PR DSCTO ELECTR SM PERU I.COMP CGEM     7NC</v>
          </cell>
        </row>
        <row r="33152">
          <cell r="B33152" t="str">
            <v>82000000005409</v>
          </cell>
          <cell r="C33152" t="str">
            <v>PR DSCTO ELECTR SM PERU I.COMP CMED     7NC</v>
          </cell>
        </row>
        <row r="33153">
          <cell r="B33153" t="str">
            <v>82000000005410</v>
          </cell>
          <cell r="C33153" t="str">
            <v>PR DSCTO ELECTR SM PERU I.COMP CMED     7NC</v>
          </cell>
        </row>
        <row r="33154">
          <cell r="B33154" t="str">
            <v>82000000005411</v>
          </cell>
          <cell r="C33154" t="str">
            <v>PR INT  FACTORING LETRAS DIFERIDO CCOR  7NC</v>
          </cell>
        </row>
        <row r="33155">
          <cell r="B33155" t="str">
            <v>82000000005412</v>
          </cell>
          <cell r="C33155" t="str">
            <v>PR INT.EN .LETRAS FACTORING -CL CCOR    7NC</v>
          </cell>
        </row>
        <row r="33156">
          <cell r="B33156" t="str">
            <v>82000000005413</v>
          </cell>
          <cell r="C33156" t="str">
            <v>PR INT  FACTORING LETRAS DIFERIDO CESP  7NC</v>
          </cell>
        </row>
        <row r="33157">
          <cell r="B33157" t="str">
            <v>82000000005414</v>
          </cell>
          <cell r="C33157" t="str">
            <v>PR INT.EN .LETRAS FACTORING -CL CESP    7NC</v>
          </cell>
        </row>
        <row r="33158">
          <cell r="B33158" t="str">
            <v>82000000005415</v>
          </cell>
          <cell r="C33158" t="str">
            <v>PR INT  FACTORING LETRAS DIFERIDO CGEM  7NC</v>
          </cell>
        </row>
        <row r="33159">
          <cell r="B33159" t="str">
            <v>82000000005416</v>
          </cell>
          <cell r="C33159" t="str">
            <v>PR INT.EN .LETRAS FACTORING -CL CGEM    7NC</v>
          </cell>
        </row>
        <row r="33160">
          <cell r="B33160" t="str">
            <v>82000000005417</v>
          </cell>
          <cell r="C33160" t="str">
            <v>PR INT  FACTORING LETRAS DIFERIDO CMED  7NC</v>
          </cell>
        </row>
        <row r="33161">
          <cell r="B33161" t="str">
            <v>82000000005418</v>
          </cell>
          <cell r="C33161" t="str">
            <v>PR INT.EN .LETRAS FACTORING -CL CMED    7NC</v>
          </cell>
        </row>
        <row r="33162">
          <cell r="B33162" t="str">
            <v>82000000005419</v>
          </cell>
          <cell r="C33162" t="str">
            <v>PR INT  FACTORING LETRAS DIFERIDO CPEM  7NC</v>
          </cell>
        </row>
        <row r="33163">
          <cell r="B33163" t="str">
            <v>82000000005420</v>
          </cell>
          <cell r="C33163" t="str">
            <v>PR INT.EN .LETRAS FACTORING -CL CPEM    7NC</v>
          </cell>
        </row>
        <row r="33164">
          <cell r="B33164" t="str">
            <v>82000000005421</v>
          </cell>
          <cell r="C33164" t="str">
            <v>PR INT  FACTORING FACT DIF CCOR         7NC</v>
          </cell>
        </row>
        <row r="33165">
          <cell r="B33165" t="str">
            <v>82000000005422</v>
          </cell>
          <cell r="C33165" t="str">
            <v>PR INT.EN .FACTS.FACTORING -CL CCOR     7NC</v>
          </cell>
        </row>
        <row r="33166">
          <cell r="B33166" t="str">
            <v>82000000005423</v>
          </cell>
          <cell r="C33166" t="str">
            <v>PR INT  FACTORING FACT DIF CESP         7NC</v>
          </cell>
        </row>
        <row r="33167">
          <cell r="B33167" t="str">
            <v>82000000005424</v>
          </cell>
          <cell r="C33167" t="str">
            <v>PR INT.EN .FACTS.FACTORING -CL CESP     7NC</v>
          </cell>
        </row>
        <row r="33168">
          <cell r="B33168" t="str">
            <v>82000000005425</v>
          </cell>
          <cell r="C33168" t="str">
            <v>PR INT  FACTORING FACT DIF CGEM         7NC</v>
          </cell>
        </row>
        <row r="33169">
          <cell r="B33169" t="str">
            <v>82000000005426</v>
          </cell>
          <cell r="C33169" t="str">
            <v>PR INT.EN .FACTS.FACTORING -CL CGEM     7NC</v>
          </cell>
        </row>
        <row r="33170">
          <cell r="B33170" t="str">
            <v>82000000005427</v>
          </cell>
          <cell r="C33170" t="str">
            <v>PR INT  FACTORING FACT DIF CMED         7NC</v>
          </cell>
        </row>
        <row r="33171">
          <cell r="B33171" t="str">
            <v>82000000005428</v>
          </cell>
          <cell r="C33171" t="str">
            <v>PR INT.EN .FACTS.FACTORING -CL CMED     7NC</v>
          </cell>
        </row>
        <row r="33172">
          <cell r="B33172" t="str">
            <v>82000000005429</v>
          </cell>
          <cell r="C33172" t="str">
            <v>PR INT  FACTORING FACT DIF CPEM         7NC</v>
          </cell>
        </row>
        <row r="33173">
          <cell r="B33173" t="str">
            <v>82000000005430</v>
          </cell>
          <cell r="C33173" t="str">
            <v>PR INT.EN .FACTS.FACTORING -CL CPEM     7NC</v>
          </cell>
        </row>
        <row r="33174">
          <cell r="B33174" t="str">
            <v>82000000005431</v>
          </cell>
          <cell r="C33174" t="str">
            <v>PR FACT ELECTR LET/FACT I.COMPENS CCOR  7NC</v>
          </cell>
        </row>
        <row r="33175">
          <cell r="B33175" t="str">
            <v>82000000005432</v>
          </cell>
          <cell r="C33175" t="str">
            <v>PR FACT ELECTR LET/FACT I.DIF CCOR      7NC</v>
          </cell>
        </row>
        <row r="33176">
          <cell r="B33176" t="str">
            <v>82000000005433</v>
          </cell>
          <cell r="C33176" t="str">
            <v>PR FACT ELECTR LET/FACT I.COMPENS CESP  7NC</v>
          </cell>
        </row>
        <row r="33177">
          <cell r="B33177" t="str">
            <v>82000000005434</v>
          </cell>
          <cell r="C33177" t="str">
            <v>PR FACT ELECTR LET/FACT I.DIF CESP      7NC</v>
          </cell>
        </row>
        <row r="33178">
          <cell r="B33178" t="str">
            <v>82000000005435</v>
          </cell>
          <cell r="C33178" t="str">
            <v>PR FACT ELECTR LET/FACT I.COMPENS CGEM  7NC</v>
          </cell>
        </row>
        <row r="33179">
          <cell r="B33179" t="str">
            <v>82000000005436</v>
          </cell>
          <cell r="C33179" t="str">
            <v>PR FACT ELECTR LET/FACT I.DIF CGEM      7NC</v>
          </cell>
        </row>
        <row r="33180">
          <cell r="B33180" t="str">
            <v>82000000005437</v>
          </cell>
          <cell r="C33180" t="str">
            <v>PR FACT ELECTR LET/FACT I.COMPENS CMED  7NC</v>
          </cell>
        </row>
        <row r="33181">
          <cell r="B33181" t="str">
            <v>82000000005438</v>
          </cell>
          <cell r="C33181" t="str">
            <v>PR FACT ELECTR LET/FACT I.DIF CMED      7NC</v>
          </cell>
        </row>
        <row r="33182">
          <cell r="B33182" t="str">
            <v>82000000005439</v>
          </cell>
          <cell r="C33182" t="str">
            <v>PR FACT ELECTR LET/FACT I.COMPENS CPEM  7NC</v>
          </cell>
        </row>
        <row r="33183">
          <cell r="B33183" t="str">
            <v>82000000005440</v>
          </cell>
          <cell r="C33183" t="str">
            <v>PR FACT ELECTR LET/FACT I.DIF CPEM      7NC</v>
          </cell>
        </row>
        <row r="33184">
          <cell r="B33184" t="str">
            <v>82000000005441</v>
          </cell>
          <cell r="C33184" t="str">
            <v>PR PERU FACTORING INT.COMPENS CCOR      7NC</v>
          </cell>
        </row>
        <row r="33185">
          <cell r="B33185" t="str">
            <v>82000000005442</v>
          </cell>
          <cell r="C33185" t="str">
            <v>PR PERU FACTORING INT.DIF CCOR          7NC</v>
          </cell>
        </row>
        <row r="33186">
          <cell r="B33186" t="str">
            <v>82000000005443</v>
          </cell>
          <cell r="C33186" t="str">
            <v>PR PERU FACTORING INT.COMPENS CESP      7NC</v>
          </cell>
        </row>
        <row r="33187">
          <cell r="B33187" t="str">
            <v>82000000005444</v>
          </cell>
          <cell r="C33187" t="str">
            <v>PR PERU FACTORING INT.DIF CESP          7NC</v>
          </cell>
        </row>
        <row r="33188">
          <cell r="B33188" t="str">
            <v>82000000005445</v>
          </cell>
          <cell r="C33188" t="str">
            <v>PR PERU FACTORING INT.COMPENS CGEM      7NC</v>
          </cell>
        </row>
        <row r="33189">
          <cell r="B33189" t="str">
            <v>82000000005446</v>
          </cell>
          <cell r="C33189" t="str">
            <v>PR PERU FACTORING INT.DIF CGEM          7NC</v>
          </cell>
        </row>
        <row r="33190">
          <cell r="B33190" t="str">
            <v>82000000005447</v>
          </cell>
          <cell r="C33190" t="str">
            <v>PR PERU FACTORING INT.COMPENS CMED      7NC</v>
          </cell>
        </row>
        <row r="33191">
          <cell r="B33191" t="str">
            <v>82000000005448</v>
          </cell>
          <cell r="C33191" t="str">
            <v>PR PERU FACTORING INT.DIF CMED          7NC</v>
          </cell>
        </row>
        <row r="33192">
          <cell r="B33192" t="str">
            <v>82000000005449</v>
          </cell>
          <cell r="C33192" t="str">
            <v>PR PERU FACTORING INT.COMPENS CPEM      7NC</v>
          </cell>
        </row>
        <row r="33193">
          <cell r="B33193" t="str">
            <v>82000000005450</v>
          </cell>
          <cell r="C33193" t="str">
            <v>PR PERU FACTORING INT.DIF CPEM          7NC</v>
          </cell>
        </row>
        <row r="33194">
          <cell r="B33194" t="str">
            <v>82000000005451</v>
          </cell>
          <cell r="C33194" t="str">
            <v>PR PERU FACTORING INT.COMPENS MES       7NC</v>
          </cell>
        </row>
        <row r="33195">
          <cell r="B33195" t="str">
            <v>82000000005452</v>
          </cell>
          <cell r="C33195" t="str">
            <v>PR PERU FACTORING INT.DIF MES           7NC</v>
          </cell>
        </row>
        <row r="33196">
          <cell r="B33196" t="str">
            <v>82000000005453</v>
          </cell>
          <cell r="C33196" t="str">
            <v>PR FORF CTR CTA INTXC S CCOR            7NC</v>
          </cell>
        </row>
        <row r="33197">
          <cell r="B33197" t="str">
            <v>82000000005454</v>
          </cell>
          <cell r="C33197" t="str">
            <v>PR Forfaiting ExportaciÃ³n Ccta.Int.Susp7NC</v>
          </cell>
        </row>
        <row r="33198">
          <cell r="B33198" t="str">
            <v>82000000005455</v>
          </cell>
          <cell r="C33198" t="str">
            <v>PR FACTORING CTRA CTA INTER INT EN SUSP 7NC</v>
          </cell>
        </row>
        <row r="33199">
          <cell r="B33199" t="str">
            <v>82000000005456</v>
          </cell>
          <cell r="C33199" t="str">
            <v>FCD DESC. LET. CTRA. CTA I. COMP.VIG. CC7NC</v>
          </cell>
        </row>
        <row r="33200">
          <cell r="B33200" t="str">
            <v>82000000005457</v>
          </cell>
          <cell r="C33200" t="str">
            <v>FCD DESC. LET. CTRA. CTA I. COMP.VENC. C7NC</v>
          </cell>
        </row>
        <row r="33201">
          <cell r="B33201" t="str">
            <v>82000000005458</v>
          </cell>
          <cell r="C33201" t="str">
            <v>FCD DESC. LET. CTRA. CTA I. COMP.VIG. CE7NC</v>
          </cell>
        </row>
        <row r="33202">
          <cell r="B33202" t="str">
            <v>82000000005459</v>
          </cell>
          <cell r="C33202" t="str">
            <v>FCD DESC. LET. CTRA. CTA I. COMP.VENC. C7NC</v>
          </cell>
        </row>
        <row r="33203">
          <cell r="B33203" t="str">
            <v>82000000005460</v>
          </cell>
          <cell r="C33203" t="str">
            <v>FCD DESC. LET. CTRA. CTA I. COMP.VIG. CG7NC</v>
          </cell>
        </row>
        <row r="33204">
          <cell r="B33204" t="str">
            <v>82000000005461</v>
          </cell>
          <cell r="C33204" t="str">
            <v>FCD DESC. LET. CTRA. CTA I. COMP.VENC. C7NC</v>
          </cell>
        </row>
        <row r="33205">
          <cell r="B33205" t="str">
            <v>82000000005462</v>
          </cell>
          <cell r="C33205" t="str">
            <v>FCD DESC. LET. CTRA. CTA I. COMP.VIG. CM7NC</v>
          </cell>
        </row>
        <row r="33206">
          <cell r="B33206" t="str">
            <v>82000000005463</v>
          </cell>
          <cell r="C33206" t="str">
            <v>FCD DESC. LET. CTRA. CTA I. COMP.VENC. C7NC</v>
          </cell>
        </row>
        <row r="33207">
          <cell r="B33207" t="str">
            <v>82000000005464</v>
          </cell>
          <cell r="C33207" t="str">
            <v>FCD DESC. LET. CTRA. CTA I. COMP.VIG. CM7NC</v>
          </cell>
        </row>
        <row r="33208">
          <cell r="B33208" t="str">
            <v>82000000005465</v>
          </cell>
          <cell r="C33208" t="str">
            <v>FCD DESC. LET. CTRA. CTA I. COMP.VENC. C7NC</v>
          </cell>
        </row>
        <row r="33209">
          <cell r="B33209" t="str">
            <v>82000000005466</v>
          </cell>
          <cell r="C33209" t="str">
            <v>FCD DESC. LET. CTRA. CTA I. COMP.VIG. CP7NC</v>
          </cell>
        </row>
        <row r="33210">
          <cell r="B33210" t="str">
            <v>82000000005467</v>
          </cell>
          <cell r="C33210" t="str">
            <v>FCD DESC. LET. CTRA. CTA I. COMP.VENC. C7NC</v>
          </cell>
        </row>
        <row r="33211">
          <cell r="B33211" t="str">
            <v>82000000005468</v>
          </cell>
          <cell r="C33211" t="str">
            <v>FCD DESC. FACT. CTRA. CTA I. COMP.VIG. C7NC</v>
          </cell>
        </row>
        <row r="33212">
          <cell r="B33212" t="str">
            <v>82000000005469</v>
          </cell>
          <cell r="C33212" t="str">
            <v>FCD DESC. FACT. CTRA. CTA I. COMP.VENC. 7NC</v>
          </cell>
        </row>
        <row r="33213">
          <cell r="B33213" t="str">
            <v>82000000005470</v>
          </cell>
          <cell r="C33213" t="str">
            <v>FCD DESC. FACT. CTRA. CTA I. COMP.VIG. C7NC</v>
          </cell>
        </row>
        <row r="33214">
          <cell r="B33214" t="str">
            <v>82000000005471</v>
          </cell>
          <cell r="C33214" t="str">
            <v>FCD DESC. FACT. CTRA. CTA I. COMP.VENC. 7NC</v>
          </cell>
        </row>
        <row r="33215">
          <cell r="B33215" t="str">
            <v>82000000005472</v>
          </cell>
          <cell r="C33215" t="str">
            <v>FCD DESC. FACT. CTRA. CTA I. COMP.VIG. C7NC</v>
          </cell>
        </row>
        <row r="33216">
          <cell r="B33216" t="str">
            <v>82000000005473</v>
          </cell>
          <cell r="C33216" t="str">
            <v>FCD DESC. FACT. CTRA. CTA I. COMP.VENC. 7NC</v>
          </cell>
        </row>
        <row r="33217">
          <cell r="B33217" t="str">
            <v>82000000005474</v>
          </cell>
          <cell r="C33217" t="str">
            <v>FCD DESC. FACT. CTRA. CTA I. COMP.VIG. C7NC</v>
          </cell>
        </row>
        <row r="33218">
          <cell r="B33218" t="str">
            <v>82000000005475</v>
          </cell>
          <cell r="C33218" t="str">
            <v>FCD DESC. FACT. CTRA. CTA I. COMP.VENC. 7NC</v>
          </cell>
        </row>
        <row r="33219">
          <cell r="B33219" t="str">
            <v>82000000005476</v>
          </cell>
          <cell r="C33219" t="str">
            <v>FCD DESC. FACT. CTRA. CTA I. COMP.VIG. C7NC</v>
          </cell>
        </row>
        <row r="33220">
          <cell r="B33220" t="str">
            <v>82000000005477</v>
          </cell>
          <cell r="C33220" t="str">
            <v>FCD DESC. FACT. CTRA. CTA I. COMP.VENC. 7NC</v>
          </cell>
        </row>
        <row r="33221">
          <cell r="B33221" t="str">
            <v>82000000005478</v>
          </cell>
          <cell r="C33221" t="str">
            <v>FCD DESC. FACT. CTRA. CTA I. COMP.VIG. C7NC</v>
          </cell>
        </row>
        <row r="33222">
          <cell r="B33222" t="str">
            <v>82000000005479</v>
          </cell>
          <cell r="C33222" t="str">
            <v>FCD DESC. FACT. CTRA. CTA I. COMP.VENC. 7NC</v>
          </cell>
        </row>
        <row r="33223">
          <cell r="B33223" t="str">
            <v>82000000005480</v>
          </cell>
          <cell r="C33223" t="str">
            <v>FCD DESC. VIRTUAL CTRA. CTA I. COMP.VIG.7NC</v>
          </cell>
        </row>
        <row r="33224">
          <cell r="B33224" t="str">
            <v>82000000005481</v>
          </cell>
          <cell r="C33224" t="str">
            <v>FCD DESC. VIRTUAL CTRA. CTA I. COMP.VENC7NC</v>
          </cell>
        </row>
        <row r="33225">
          <cell r="B33225" t="str">
            <v>82000000005482</v>
          </cell>
          <cell r="C33225" t="str">
            <v>FCD DESC. VIRTUAL CTRA. CTA I. COMP.VIG.7NC</v>
          </cell>
        </row>
        <row r="33226">
          <cell r="B33226" t="str">
            <v>82000000005483</v>
          </cell>
          <cell r="C33226" t="str">
            <v>FCD DESC. VIRTUAL CTRA. CTA I. COMP.VENC7NC</v>
          </cell>
        </row>
        <row r="33227">
          <cell r="B33227" t="str">
            <v>82000000005484</v>
          </cell>
          <cell r="C33227" t="str">
            <v>FCD DESC. VIRTUAL CTRA. CTA I. COMP.VIG.7NC</v>
          </cell>
        </row>
        <row r="33228">
          <cell r="B33228" t="str">
            <v>82000000005485</v>
          </cell>
          <cell r="C33228" t="str">
            <v>FCD DESC. VIRTUAL CTRA. CTA I. COMP.VENC7NC</v>
          </cell>
        </row>
        <row r="33229">
          <cell r="B33229" t="str">
            <v>82000000005486</v>
          </cell>
          <cell r="C33229" t="str">
            <v>FCD DESC. VIRTUAL CTRA. CTA I. COMP.VIG.7NC</v>
          </cell>
        </row>
        <row r="33230">
          <cell r="B33230" t="str">
            <v>82000000005487</v>
          </cell>
          <cell r="C33230" t="str">
            <v>FCD DESC. VIRTUAL CTRA. CTA I. COMP.VENC7NC</v>
          </cell>
        </row>
        <row r="33231">
          <cell r="B33231" t="str">
            <v>82000000005488</v>
          </cell>
          <cell r="C33231" t="str">
            <v>FCD DESC. VIRTUAL CTRA. CTA I. COMP.VIG.7NC</v>
          </cell>
        </row>
        <row r="33232">
          <cell r="B33232" t="str">
            <v>82000000005489</v>
          </cell>
          <cell r="C33232" t="str">
            <v>FCD DESC. VIRTUAL CTRA. CTA I. COMP.VENC7NC</v>
          </cell>
        </row>
        <row r="33233">
          <cell r="B33233" t="str">
            <v>82000000005490</v>
          </cell>
          <cell r="C33233" t="str">
            <v>FCD DESC. VIRTUAL CTRA. CTA I. COMP.VIG.7NC</v>
          </cell>
        </row>
        <row r="33234">
          <cell r="B33234" t="str">
            <v>82000000005491</v>
          </cell>
          <cell r="C33234" t="str">
            <v>FCD DESC. VIRTUAL CTRA. CTA I. COMP.VENC7NC</v>
          </cell>
        </row>
        <row r="33235">
          <cell r="B33235" t="str">
            <v>82000000005492</v>
          </cell>
          <cell r="C33235" t="str">
            <v>FCD DESC. FACT. NEG. CTRA. CTA I. COMP.V7NC</v>
          </cell>
        </row>
        <row r="33236">
          <cell r="B33236" t="str">
            <v>82000000005493</v>
          </cell>
          <cell r="C33236" t="str">
            <v>FCD DESC. FACT. NEG. CTRA. CTA I. COMP.V7NC</v>
          </cell>
        </row>
        <row r="33237">
          <cell r="B33237" t="str">
            <v>82000000005494</v>
          </cell>
          <cell r="C33237" t="str">
            <v>FCD DESC. FACT. NEG. CTRA. CTA I. COMP.V7NC</v>
          </cell>
        </row>
        <row r="33238">
          <cell r="B33238" t="str">
            <v>82000000005495</v>
          </cell>
          <cell r="C33238" t="str">
            <v>FCD DESC. FACT. NEG. CTRA. CTA I. COMP.V7NC</v>
          </cell>
        </row>
        <row r="33239">
          <cell r="B33239" t="str">
            <v>82000000005496</v>
          </cell>
          <cell r="C33239" t="str">
            <v>FCD DESC. FACT. NEG. CTRA. CTA I. COMP.V7NC</v>
          </cell>
        </row>
        <row r="33240">
          <cell r="B33240" t="str">
            <v>82000000005497</v>
          </cell>
          <cell r="C33240" t="str">
            <v>FCD DESC. FACT. NEG. CTRA. CTA I. COMP.V7NC</v>
          </cell>
        </row>
        <row r="33241">
          <cell r="B33241" t="str">
            <v>82000000005498</v>
          </cell>
          <cell r="C33241" t="str">
            <v>FCD DESC. FACT. NEG. CTRA. CTA I. COMP.V7NC</v>
          </cell>
        </row>
        <row r="33242">
          <cell r="B33242" t="str">
            <v>82000000005499</v>
          </cell>
          <cell r="C33242" t="str">
            <v>FCD DESC. FACT. NEG. CTRA. CTA I. COMP.V7NC</v>
          </cell>
        </row>
        <row r="33243">
          <cell r="B33243" t="str">
            <v>82000000005501</v>
          </cell>
          <cell r="C33243" t="str">
            <v>LPC CCTA VEN LSG BIEN ADJ. RP CCOR      7NC</v>
          </cell>
        </row>
        <row r="33244">
          <cell r="B33244" t="str">
            <v>82000000005502</v>
          </cell>
          <cell r="C33244" t="str">
            <v>LPC CCTA LSG INT VEN.SEG.ADJ.RP CCOR    7NC</v>
          </cell>
        </row>
        <row r="33245">
          <cell r="B33245" t="str">
            <v>82000000005503</v>
          </cell>
          <cell r="C33245" t="str">
            <v>LPC CCTA VEN LSG BIEN ADJ. RP CGEM      7NC</v>
          </cell>
        </row>
        <row r="33246">
          <cell r="B33246" t="str">
            <v>82000000005504</v>
          </cell>
          <cell r="C33246" t="str">
            <v>LPC CCTA LSG INT VEN.SEG.ADJ.RP CGEM    7NC</v>
          </cell>
        </row>
        <row r="33247">
          <cell r="B33247" t="str">
            <v>82000000005505</v>
          </cell>
          <cell r="C33247" t="str">
            <v>LPC CCTA LSG INT VEN.SEG.ADJ.RP CMED    7NC</v>
          </cell>
        </row>
        <row r="33248">
          <cell r="B33248" t="str">
            <v>82000000005506</v>
          </cell>
          <cell r="C33248" t="str">
            <v>LPC CCTA VEN LSG BIEN ADJ. RP CPEM      7NC</v>
          </cell>
        </row>
        <row r="33249">
          <cell r="B33249" t="str">
            <v>82000000005507</v>
          </cell>
          <cell r="C33249" t="str">
            <v>LPC CCTA LSG INT VEN.SEG.ADJ.RP CPEM    7NC</v>
          </cell>
        </row>
        <row r="33250">
          <cell r="B33250" t="str">
            <v>82000000005508</v>
          </cell>
          <cell r="C33250" t="str">
            <v>LPC CCTA VEN LSG BIEN ADJ. D/P CCOR     7NC</v>
          </cell>
        </row>
        <row r="33251">
          <cell r="B33251" t="str">
            <v>82000000005509</v>
          </cell>
          <cell r="C33251" t="str">
            <v>LPC CCTR LSG SEG VEN ADJ. CCOR V-S      7NC</v>
          </cell>
        </row>
        <row r="33252">
          <cell r="B33252" t="str">
            <v>82000000005510</v>
          </cell>
          <cell r="C33252" t="str">
            <v>LPC CCTA VEN LSG BIEN ADJ. D/P CGEM     7NC</v>
          </cell>
        </row>
        <row r="33253">
          <cell r="B33253" t="str">
            <v>82000000005511</v>
          </cell>
          <cell r="C33253" t="str">
            <v>LPC CCTR LSG SEG VEN ADJ. CGEM V-S      7NC</v>
          </cell>
        </row>
        <row r="33254">
          <cell r="B33254" t="str">
            <v>82000000005512</v>
          </cell>
          <cell r="C33254" t="str">
            <v>LPC CCTA VEN LSG BIEN ADJ. D/P CMED     7NC</v>
          </cell>
        </row>
        <row r="33255">
          <cell r="B33255" t="str">
            <v>82000000005513</v>
          </cell>
          <cell r="C33255" t="str">
            <v>LPC CCTR LSG SEG VEN ADJ. CMED V-S      7NC</v>
          </cell>
        </row>
        <row r="33256">
          <cell r="B33256" t="str">
            <v>82000000005514</v>
          </cell>
          <cell r="C33256" t="str">
            <v>LPC CCTA VEN LSG BIEN ADJ. D/P CPEM     7NC</v>
          </cell>
        </row>
        <row r="33257">
          <cell r="B33257" t="str">
            <v>82000000005515</v>
          </cell>
          <cell r="C33257" t="str">
            <v>LPC CCTR LSG SEG VEN ADJ. CPEM V-S      7NC</v>
          </cell>
        </row>
        <row r="33258">
          <cell r="B33258" t="str">
            <v>82000000005516</v>
          </cell>
          <cell r="C33258" t="str">
            <v>LPC CCTA I.VEN LS BIEN OTROS SUSP RP CCO7NC</v>
          </cell>
        </row>
        <row r="33259">
          <cell r="B33259" t="str">
            <v>82000000005517</v>
          </cell>
          <cell r="C33259" t="str">
            <v>LPC CCTA I.VEN LS SEG OTROS SUSP RP CCOR7NC</v>
          </cell>
        </row>
        <row r="33260">
          <cell r="B33260" t="str">
            <v>82000000005518</v>
          </cell>
          <cell r="C33260" t="str">
            <v>LPC CCTA I.VEN LS BIEN OTROS SUSP RP CGE7NC</v>
          </cell>
        </row>
        <row r="33261">
          <cell r="B33261" t="str">
            <v>82000000005519</v>
          </cell>
          <cell r="C33261" t="str">
            <v>LPC CCTA I.VEN LS SEG OTROS SUSP RP CGEM7NC</v>
          </cell>
        </row>
        <row r="33262">
          <cell r="B33262" t="str">
            <v>82000000005520</v>
          </cell>
          <cell r="C33262" t="str">
            <v>LPC CCTA I.VEN LS BIEN OTROS SUSP RP CME7NC</v>
          </cell>
        </row>
        <row r="33263">
          <cell r="B33263" t="str">
            <v>82000000005521</v>
          </cell>
          <cell r="C33263" t="str">
            <v>LPC CCTA I.VEN LS SEG OTROS SUSP RP CMED7NC</v>
          </cell>
        </row>
        <row r="33264">
          <cell r="B33264" t="str">
            <v>82000000005522</v>
          </cell>
          <cell r="C33264" t="str">
            <v>LPC CCTA I.VEN LS BIEN OTROS SUSP RP CPE7NC</v>
          </cell>
        </row>
        <row r="33265">
          <cell r="B33265" t="str">
            <v>82000000005523</v>
          </cell>
          <cell r="C33265" t="str">
            <v>LPC CCTA I.VEN LS SEG OTROS SUSP RP CPEM7NC</v>
          </cell>
        </row>
        <row r="33266">
          <cell r="B33266" t="str">
            <v>82000000005524</v>
          </cell>
          <cell r="C33266" t="str">
            <v>FCD FAC. FIS. fAC.. CTRA. CTA I. COMP.VE7NC</v>
          </cell>
        </row>
        <row r="33267">
          <cell r="B33267" t="str">
            <v>82000000005525</v>
          </cell>
          <cell r="C33267" t="str">
            <v>FCD FAC. FIS. fAC.. CTRA. CTA I. COMP.VI7NC</v>
          </cell>
        </row>
        <row r="33268">
          <cell r="B33268" t="str">
            <v>82000000005526</v>
          </cell>
          <cell r="C33268" t="str">
            <v>FCD FAC. FIS. fAC.. CTRA. CTA I. COMP.VE7NC</v>
          </cell>
        </row>
        <row r="33269">
          <cell r="B33269" t="str">
            <v>82000000005527</v>
          </cell>
          <cell r="C33269" t="str">
            <v>FCD FAC. FIS. fAC.. CTRA. CTA I. COMP.VI7NC</v>
          </cell>
        </row>
        <row r="33270">
          <cell r="B33270" t="str">
            <v>82000000005528</v>
          </cell>
          <cell r="C33270" t="str">
            <v>FCD FAC. FIS. fAC.. CTRA. CTA I. COMP.VE7NC</v>
          </cell>
        </row>
        <row r="33271">
          <cell r="B33271" t="str">
            <v>82000000005529</v>
          </cell>
          <cell r="C33271" t="str">
            <v>FCD DESC. VIRTUAL CTRA. CTA I. COMP.VENC7NC</v>
          </cell>
        </row>
        <row r="33272">
          <cell r="B33272" t="str">
            <v>82000000005530</v>
          </cell>
          <cell r="C33272" t="str">
            <v>FCD DESC. VIRTUAL CTRA. CTA I. COMP.VENC7NC</v>
          </cell>
        </row>
        <row r="33273">
          <cell r="B33273" t="str">
            <v>82000000005531</v>
          </cell>
          <cell r="C33273" t="str">
            <v>FCD DESC. VIRTUAL CTRA. CTA I. COMP.VENC7NC</v>
          </cell>
        </row>
        <row r="33274">
          <cell r="B33274" t="str">
            <v>82000000005532</v>
          </cell>
          <cell r="C33274" t="str">
            <v>FCD DESC. VIRTUAL CTRA. CTA I. COMP.VENC7NC</v>
          </cell>
        </row>
        <row r="33275">
          <cell r="B33275" t="str">
            <v>82000000005533</v>
          </cell>
          <cell r="C33275" t="str">
            <v>FCD DESC. VIRTUAL CTRA. CTA I. COMP.VENC7NC</v>
          </cell>
        </row>
        <row r="33276">
          <cell r="B33276" t="str">
            <v>82000000005534</v>
          </cell>
          <cell r="C33276" t="str">
            <v>FCD DESC. VIRTUAL CTRA. CTA I. COMP.VENC7NC</v>
          </cell>
        </row>
        <row r="33277">
          <cell r="B33277" t="str">
            <v>82000000005601</v>
          </cell>
          <cell r="C33277" t="str">
            <v>CL EX FORFAITING CCTA.INT.SUSP.VEN CCOR 7NC</v>
          </cell>
        </row>
        <row r="33278">
          <cell r="B33278" t="str">
            <v>82000000005602</v>
          </cell>
          <cell r="C33278" t="str">
            <v>CL EX FORFAITING CCTA.INT.SUSP.VEN CESP 7NC</v>
          </cell>
        </row>
        <row r="33279">
          <cell r="B33279" t="str">
            <v>82000000005603</v>
          </cell>
          <cell r="C33279" t="str">
            <v>CL EX FORFAITING CCTA.INT.SUSP.VEN CGEM 7NC</v>
          </cell>
        </row>
        <row r="33280">
          <cell r="B33280" t="str">
            <v>82000000005604</v>
          </cell>
          <cell r="C33280" t="str">
            <v>CL EX FORFAITING CCTA.INT.SUSP.VEN CMED 7NC</v>
          </cell>
        </row>
        <row r="33281">
          <cell r="B33281" t="str">
            <v>82000000005605</v>
          </cell>
          <cell r="C33281" t="str">
            <v>CL EX FORFAITING CCTA.INT.SUSP.VEN CPEM 7NC</v>
          </cell>
        </row>
        <row r="33282">
          <cell r="B33282" t="str">
            <v>82000000005606</v>
          </cell>
          <cell r="C33282" t="str">
            <v>CL EX FACTORING FORFAITING CTR.CTA.INT.S7NC</v>
          </cell>
        </row>
        <row r="33283">
          <cell r="B33283" t="str">
            <v>82000000005607</v>
          </cell>
          <cell r="C33283" t="str">
            <v>CL EX FACTORING FORFAITING CTR.CTA.INT.S7NC</v>
          </cell>
        </row>
        <row r="33284">
          <cell r="B33284" t="str">
            <v>82000000005608</v>
          </cell>
          <cell r="C33284" t="str">
            <v>CL EX FACTORING FORFAITING CTR.CTA.INT.S7NC</v>
          </cell>
        </row>
        <row r="33285">
          <cell r="B33285" t="str">
            <v>82000000005609</v>
          </cell>
          <cell r="C33285" t="str">
            <v>CL EX FACTORING FORFAITING CTR.CTA.INT.S7NC</v>
          </cell>
        </row>
        <row r="33286">
          <cell r="B33286" t="str">
            <v>82000000005610</v>
          </cell>
          <cell r="C33286" t="str">
            <v>CL EX FACTORING FORFAITING CTR.CTA.INT.S7NC</v>
          </cell>
        </row>
        <row r="33287">
          <cell r="B33287" t="str">
            <v>82000000005611</v>
          </cell>
          <cell r="C33287" t="str">
            <v>CL  CONFIRMING INTER CCTA.INT.SUSP.VEN C7NC</v>
          </cell>
        </row>
        <row r="33288">
          <cell r="B33288" t="str">
            <v>82000000005612</v>
          </cell>
          <cell r="C33288" t="str">
            <v>CL  CONFIRMING INTER CCTA.INT.SUSP.VEN C7NC</v>
          </cell>
        </row>
        <row r="33289">
          <cell r="B33289" t="str">
            <v>82000000005613</v>
          </cell>
          <cell r="C33289" t="str">
            <v>CL  CONFIRMING INTER CCTA.INT.SUSP.VEN C7NC</v>
          </cell>
        </row>
        <row r="33290">
          <cell r="B33290" t="str">
            <v>82000000005614</v>
          </cell>
          <cell r="C33290" t="str">
            <v>CL  CONFIRMING INTER CCTA.INT.SUSP.VEN C7NC</v>
          </cell>
        </row>
        <row r="33291">
          <cell r="B33291" t="str">
            <v>82000000005615</v>
          </cell>
          <cell r="C33291" t="str">
            <v>CL  CONFIRMING INTER CCTA.INT.SUSP.VEN C7NC</v>
          </cell>
        </row>
        <row r="33292">
          <cell r="B33292" t="str">
            <v>82000000005616</v>
          </cell>
          <cell r="C33292" t="str">
            <v>CL EX FORF CTR CTA INTxC S CESF         7NC</v>
          </cell>
        </row>
        <row r="33293">
          <cell r="B33293" t="str">
            <v>82000000005617</v>
          </cell>
          <cell r="C33293" t="str">
            <v>CL CTRA CTA PRE JUD TECHO PROPIO        7NC</v>
          </cell>
        </row>
        <row r="33294">
          <cell r="B33294" t="str">
            <v>82000000005618</v>
          </cell>
          <cell r="C33294" t="str">
            <v>CL CTRA CTA JUD TECHO PROPIO            7NC</v>
          </cell>
        </row>
        <row r="33295">
          <cell r="B33295" t="str">
            <v>82000000005619</v>
          </cell>
          <cell r="C33295" t="str">
            <v>CL CTRA CTA INT. EN SUSP.PRE.JUD.C.HIP.I7NC</v>
          </cell>
        </row>
        <row r="33296">
          <cell r="B33296" t="str">
            <v>82000000005701</v>
          </cell>
          <cell r="C33296" t="str">
            <v>CONTRA CUENTA IMPORTACION IB PANAMA     7NC</v>
          </cell>
        </row>
        <row r="33297">
          <cell r="B33297" t="str">
            <v>82000000005702</v>
          </cell>
          <cell r="C33297" t="str">
            <v>CONTRA CUENTA ADEUDADOS IB PANAMA       7NC</v>
          </cell>
        </row>
        <row r="33298">
          <cell r="B33298" t="str">
            <v>82000000005703</v>
          </cell>
          <cell r="C33298" t="str">
            <v>CC INTERESES FIN IB PANAMA              7NC</v>
          </cell>
        </row>
        <row r="33299">
          <cell r="B33299" t="str">
            <v>82000000005704</v>
          </cell>
          <cell r="C33299" t="str">
            <v>CL CAPITAL FIN IMP IB PANAMA            7NC</v>
          </cell>
        </row>
        <row r="33300">
          <cell r="B33300" t="str">
            <v>82000000005706</v>
          </cell>
          <cell r="C33300" t="str">
            <v>PROVISION GENERICA - PANAMA FIN         7NC</v>
          </cell>
        </row>
        <row r="33301">
          <cell r="B33301" t="str">
            <v>82000000005707</v>
          </cell>
          <cell r="C33301" t="str">
            <v>PROVISION ESPECIFICA - PANAMA           7NC</v>
          </cell>
        </row>
        <row r="33302">
          <cell r="B33302" t="str">
            <v>82000000005708</v>
          </cell>
          <cell r="C33302" t="str">
            <v>CL CTRA CTA ADEU IB PANAMA INT.         7NC</v>
          </cell>
        </row>
        <row r="33303">
          <cell r="B33303" t="str">
            <v>82000000005709</v>
          </cell>
          <cell r="C33303" t="str">
            <v>CL CTRA CTA ADEU IB PANAMA INT.  DEVENGO7NC</v>
          </cell>
        </row>
        <row r="33304">
          <cell r="B33304" t="str">
            <v>82000000005710</v>
          </cell>
          <cell r="C33304" t="str">
            <v>CC INTERESES FIN IB PANAMA  - DEVENGO AÃ7NC</v>
          </cell>
        </row>
        <row r="33305">
          <cell r="B33305" t="str">
            <v>82000000005711</v>
          </cell>
          <cell r="C33305" t="str">
            <v>IM CTRA CTA PANAMA DEPOSITOS            7NC</v>
          </cell>
        </row>
        <row r="33306">
          <cell r="B33306" t="str">
            <v>82000000005712</v>
          </cell>
          <cell r="C33306" t="str">
            <v>BKT PANAMA CARTA CREDITO IMPO CRTA CTA  7NC</v>
          </cell>
        </row>
        <row r="33307">
          <cell r="B33307" t="str">
            <v>82000000005713</v>
          </cell>
          <cell r="C33307" t="str">
            <v>BKT PANAMA COMIS C/C IMPO CRTA CTA      7NC</v>
          </cell>
        </row>
        <row r="33308">
          <cell r="B33308" t="str">
            <v>82000000005714</v>
          </cell>
          <cell r="C33308" t="str">
            <v>GAC CTRA CTA STAND BY PANAMA            7NC</v>
          </cell>
        </row>
        <row r="33309">
          <cell r="B33309" t="str">
            <v>82000000005715</v>
          </cell>
          <cell r="C33309" t="str">
            <v>TC CONTRA CUENTA COMISION VENCIDO MC    7NC</v>
          </cell>
        </row>
        <row r="33310">
          <cell r="B33310" t="str">
            <v>82000000005716</v>
          </cell>
          <cell r="C33310" t="str">
            <v>TC CONTRA CUENTA COMISION VENCIDO AMEX  7NC</v>
          </cell>
        </row>
        <row r="33311">
          <cell r="B33311" t="str">
            <v>82000000005801</v>
          </cell>
          <cell r="C33311" t="str">
            <v>INVERSIONES CASTIGADAS                  7NC</v>
          </cell>
        </row>
        <row r="33312">
          <cell r="B33312" t="str">
            <v>82000000005802</v>
          </cell>
          <cell r="C33312" t="str">
            <v>CTRA.CTE. INTERESES EN SUSP. FSJT       7NC</v>
          </cell>
        </row>
        <row r="33313">
          <cell r="B33313" t="str">
            <v>82000000005901</v>
          </cell>
          <cell r="C33313" t="str">
            <v>TC CONTRA CTA INT/COM REPROGRAMACION    7NC</v>
          </cell>
        </row>
        <row r="33314">
          <cell r="B33314" t="str">
            <v>82000000005902</v>
          </cell>
          <cell r="C33314" t="str">
            <v>TC CONTRA CTA REPROGRAMACION VENCIDO    7NC</v>
          </cell>
        </row>
        <row r="33315">
          <cell r="B33315" t="str">
            <v>82000000005903</v>
          </cell>
          <cell r="C33315" t="str">
            <v>TC CONTRA CTA REPROGRAMACION VIGENTE    7NC</v>
          </cell>
        </row>
        <row r="33316">
          <cell r="B33316" t="str">
            <v>82000000006001</v>
          </cell>
          <cell r="C33316" t="str">
            <v>LPC C.CTA LEASING COFIDE VENC INT DIF ID7NC</v>
          </cell>
        </row>
        <row r="33317">
          <cell r="B33317" t="str">
            <v>82000000006002</v>
          </cell>
          <cell r="C33317" t="str">
            <v>LPC C.CTA LS COFIDE VENC SEG INT DIF IDS7NC</v>
          </cell>
        </row>
        <row r="33318">
          <cell r="B33318" t="str">
            <v>82000000006003</v>
          </cell>
          <cell r="C33318" t="str">
            <v>LS CRTA CTA LEASING COFIDE PRI CMED     7NC</v>
          </cell>
        </row>
        <row r="33319">
          <cell r="B33319" t="str">
            <v>82000000006004</v>
          </cell>
          <cell r="C33319" t="str">
            <v>LPC C.CTA DIF.LS COFIDE VIG.D/P IDL CMED7NC</v>
          </cell>
        </row>
        <row r="33320">
          <cell r="B33320" t="str">
            <v>82000000006005</v>
          </cell>
          <cell r="C33320" t="str">
            <v>LPC C.CTA I.VEN LS COFIDE D/P IDL CMED  7NC</v>
          </cell>
        </row>
        <row r="33321">
          <cell r="B33321" t="str">
            <v>82000000006006</v>
          </cell>
          <cell r="C33321" t="str">
            <v>LPC C.CTA DIF LS COFIDE SEG VIG D/P IDS 7NC</v>
          </cell>
        </row>
        <row r="33322">
          <cell r="B33322" t="str">
            <v>82000000006007</v>
          </cell>
          <cell r="C33322" t="str">
            <v>LPC C.CTA I.VEN LS COFIDE SEG D/P IDS CM7NC</v>
          </cell>
        </row>
        <row r="33323">
          <cell r="B33323" t="str">
            <v>82000000006008</v>
          </cell>
          <cell r="C33323" t="str">
            <v>LPC C.CTA COB JUDICIAL LEASING COFIDE CM7NC</v>
          </cell>
        </row>
        <row r="33324">
          <cell r="B33324" t="str">
            <v>82000000006009</v>
          </cell>
          <cell r="C33324" t="str">
            <v>LPC C.CTA LEASING COFIDE VENC INT DIF ID7NC</v>
          </cell>
        </row>
        <row r="33325">
          <cell r="B33325" t="str">
            <v>82000000006010</v>
          </cell>
          <cell r="C33325" t="str">
            <v>LPC C.CTA LS COFIDE VENC SEG INT DIF IDS7NC</v>
          </cell>
        </row>
        <row r="33326">
          <cell r="B33326" t="str">
            <v>82000000006012</v>
          </cell>
          <cell r="C33326" t="str">
            <v>LPC C.CTA DIF.LS COFIDE VIG.D/P IDL CGEM7NC</v>
          </cell>
        </row>
        <row r="33327">
          <cell r="B33327" t="str">
            <v>82000000006013</v>
          </cell>
          <cell r="C33327" t="str">
            <v>LPC C.CTA I.VEN LS COFIDE D/P IDL CGEM  7NC</v>
          </cell>
        </row>
        <row r="33328">
          <cell r="B33328" t="str">
            <v>82000000006014</v>
          </cell>
          <cell r="C33328" t="str">
            <v>LPC C.CTA DIF LS COFIDE SEG VIG D/P IDS 7NC</v>
          </cell>
        </row>
        <row r="33329">
          <cell r="B33329" t="str">
            <v>82000000006015</v>
          </cell>
          <cell r="C33329" t="str">
            <v>LPC C.CTA I.VEN LS COFIDE SEG D/P IDS CG7NC</v>
          </cell>
        </row>
        <row r="33330">
          <cell r="B33330" t="str">
            <v>82000000006016</v>
          </cell>
          <cell r="C33330" t="str">
            <v>LPC C.CTA LEASING COFIDE VENC INT DIF ID7NC</v>
          </cell>
        </row>
        <row r="33331">
          <cell r="B33331" t="str">
            <v>82000000006017</v>
          </cell>
          <cell r="C33331" t="str">
            <v>LPC C.CTA LS COFIDE VENC SEG INT DIF IDS7NC</v>
          </cell>
        </row>
        <row r="33332">
          <cell r="B33332" t="str">
            <v>82000000006018</v>
          </cell>
          <cell r="C33332" t="str">
            <v>LPC C.CTA DIF.LS COFIDE VIG.D/P IDL CCOR7NC</v>
          </cell>
        </row>
        <row r="33333">
          <cell r="B33333" t="str">
            <v>82000000006020</v>
          </cell>
          <cell r="C33333" t="str">
            <v>LPC C.CTA I.VEN LS COFIDE D/P IDL CCOR  7NC</v>
          </cell>
        </row>
        <row r="33334">
          <cell r="B33334" t="str">
            <v>82000000006021</v>
          </cell>
          <cell r="C33334" t="str">
            <v>LPC C.CTA DIF LS COFIDE SEG VIG D/P IDS 7NC</v>
          </cell>
        </row>
        <row r="33335">
          <cell r="B33335" t="str">
            <v>82000000006022</v>
          </cell>
          <cell r="C33335" t="str">
            <v>LPC C.CTA I.VEN LS COFIDE SEG D/P IDS CC7NC</v>
          </cell>
        </row>
        <row r="33336">
          <cell r="B33336" t="str">
            <v>82000000006023</v>
          </cell>
          <cell r="C33336" t="str">
            <v>LPC C.CTA LEASING COFIDE VENC INT DIF ID7NC</v>
          </cell>
        </row>
        <row r="33337">
          <cell r="B33337" t="str">
            <v>82000000006024</v>
          </cell>
          <cell r="C33337" t="str">
            <v>LPC C.CTA LS COFIDE VENC SEG INT DIF IDS7NC</v>
          </cell>
        </row>
        <row r="33338">
          <cell r="B33338" t="str">
            <v>82000000006026</v>
          </cell>
          <cell r="C33338" t="str">
            <v>LPC C.CTA DIF.LS COFIDE VIG.D/P IDL CESP7NC</v>
          </cell>
        </row>
        <row r="33339">
          <cell r="B33339" t="str">
            <v>82000000006027</v>
          </cell>
          <cell r="C33339" t="str">
            <v>LPC C.CTA I.VEN LS COFIDE D/P IDL CESP  7NC</v>
          </cell>
        </row>
        <row r="33340">
          <cell r="B33340" t="str">
            <v>82000000006028</v>
          </cell>
          <cell r="C33340" t="str">
            <v>LPC C.CTA DIF LS COFIDE SEG VIG D/P IDS 7NC</v>
          </cell>
        </row>
        <row r="33341">
          <cell r="B33341" t="str">
            <v>82000000006029</v>
          </cell>
          <cell r="C33341" t="str">
            <v>LPC C.CTA I.VEN LS COFIDE SEG D/P IDS CE7NC</v>
          </cell>
        </row>
        <row r="33342">
          <cell r="B33342" t="str">
            <v>82000000006030</v>
          </cell>
          <cell r="C33342" t="str">
            <v>LPC C.CTA LEASING COFIDE VENC INT DIF ID7NC</v>
          </cell>
        </row>
        <row r="33343">
          <cell r="B33343" t="str">
            <v>82000000006031</v>
          </cell>
          <cell r="C33343" t="str">
            <v>LPC C.CTA LS COFIDE VENC SEG INT DIF IDS7NC</v>
          </cell>
        </row>
        <row r="33344">
          <cell r="B33344" t="str">
            <v>82000000006033</v>
          </cell>
          <cell r="C33344" t="str">
            <v>LPC C.CTA DIF.LS COFIDE VIG.D/P IDL CIVA7NC</v>
          </cell>
        </row>
        <row r="33345">
          <cell r="B33345" t="str">
            <v>82000000006034</v>
          </cell>
          <cell r="C33345" t="str">
            <v>LPC C.CTA I.VEN LS COFIDE D/P IDL CIVA  7NC</v>
          </cell>
        </row>
        <row r="33346">
          <cell r="B33346" t="str">
            <v>82000000006035</v>
          </cell>
          <cell r="C33346" t="str">
            <v>LPC C.CTA DIF LS COFIDE SEG VIG D/P IDS 7NC</v>
          </cell>
        </row>
        <row r="33347">
          <cell r="B33347" t="str">
            <v>82000000006036</v>
          </cell>
          <cell r="C33347" t="str">
            <v>LPC C.CTA I.VEN LS COFIDE SEG D/P IDS CI7NC</v>
          </cell>
        </row>
        <row r="33348">
          <cell r="B33348" t="str">
            <v>82000000006037</v>
          </cell>
          <cell r="C33348" t="str">
            <v>LPC C.CTA LEASING COFIDE VENC INT DIF ID7NC</v>
          </cell>
        </row>
        <row r="33349">
          <cell r="B33349" t="str">
            <v>82000000006038</v>
          </cell>
          <cell r="C33349" t="str">
            <v>LPC C.CTA LS COFIDE VENC SEG INT DIF IDS7NC</v>
          </cell>
        </row>
        <row r="33350">
          <cell r="B33350" t="str">
            <v>82000000006040</v>
          </cell>
          <cell r="C33350" t="str">
            <v>LPC C.CTA DIF.LS COFIDE VIG.D/P IDL CMIE7NC</v>
          </cell>
        </row>
        <row r="33351">
          <cell r="B33351" t="str">
            <v>82000000006041</v>
          </cell>
          <cell r="C33351" t="str">
            <v>LPC C.CTA I.VEN LS COFIDE D/P IDL CMIE  7NC</v>
          </cell>
        </row>
        <row r="33352">
          <cell r="B33352" t="str">
            <v>82000000006042</v>
          </cell>
          <cell r="C33352" t="str">
            <v>LPC C.CTA DIF LS COFIDE SEG VIG D/P IDS 7NC</v>
          </cell>
        </row>
        <row r="33353">
          <cell r="B33353" t="str">
            <v>82000000006043</v>
          </cell>
          <cell r="C33353" t="str">
            <v>LPC C.CTA I.VEN LS COFIDE SEG D/P IDS CM7NC</v>
          </cell>
        </row>
        <row r="33354">
          <cell r="B33354" t="str">
            <v>82000000006044</v>
          </cell>
          <cell r="C33354" t="str">
            <v>LPC C.CTA LEASING COFIDE VENC INT DIF ID7NC</v>
          </cell>
        </row>
        <row r="33355">
          <cell r="B33355" t="str">
            <v>82000000006045</v>
          </cell>
          <cell r="C33355" t="str">
            <v>LPC C.CTA LS COFIDE VENC SEG INT DIF IDS7NC</v>
          </cell>
        </row>
        <row r="33356">
          <cell r="B33356" t="str">
            <v>82000000006047</v>
          </cell>
          <cell r="C33356" t="str">
            <v>LPC C.CTA DIF.LS COFIDE VIG.D/P IDL CPEM7NC</v>
          </cell>
        </row>
        <row r="33357">
          <cell r="B33357" t="str">
            <v>82000000006048</v>
          </cell>
          <cell r="C33357" t="str">
            <v>LPC C.CTA I.VEN LS COFIDE D/P IDL CPEM  7NC</v>
          </cell>
        </row>
        <row r="33358">
          <cell r="B33358" t="str">
            <v>82000000006049</v>
          </cell>
          <cell r="C33358" t="str">
            <v>LPC C.CTA DIF LS COFIDE SEG VIG D/P IDS 7NC</v>
          </cell>
        </row>
        <row r="33359">
          <cell r="B33359" t="str">
            <v>82000000006050</v>
          </cell>
          <cell r="C33359" t="str">
            <v>LPC C.CTA I.VEN LS COFIDE SEG D/P IDS CP7NC</v>
          </cell>
        </row>
        <row r="33360">
          <cell r="B33360" t="str">
            <v>82000000006820</v>
          </cell>
          <cell r="C33360" t="str">
            <v>GASTOS DE SOFTWARE                      7NC</v>
          </cell>
        </row>
        <row r="33361">
          <cell r="B33361" t="str">
            <v>82000000006821</v>
          </cell>
          <cell r="C33361" t="str">
            <v>PROYECTO NUEVOS CAJEROS                 7NC</v>
          </cell>
        </row>
        <row r="33362">
          <cell r="B33362" t="str">
            <v>82000000006822</v>
          </cell>
          <cell r="C33362" t="str">
            <v>SOFTWARE TARJETA DE CREDITO             7NC</v>
          </cell>
        </row>
        <row r="33363">
          <cell r="B33363" t="str">
            <v>82000000006823</v>
          </cell>
          <cell r="C33363" t="str">
            <v>PROYECTO AÃ‘O 2000                      7NC</v>
          </cell>
        </row>
        <row r="33364">
          <cell r="B33364" t="str">
            <v>82000000006824</v>
          </cell>
          <cell r="C33364" t="str">
            <v>SOFTWARE INTEGRAL                       7NC</v>
          </cell>
        </row>
        <row r="33365">
          <cell r="B33365" t="str">
            <v>82000000006825</v>
          </cell>
          <cell r="C33365" t="str">
            <v>GOODWILL                                7NC</v>
          </cell>
        </row>
        <row r="33366">
          <cell r="B33366" t="str">
            <v>82000000006826</v>
          </cell>
          <cell r="C33366" t="str">
            <v>GOODWILL AVALCARD                       7NC</v>
          </cell>
        </row>
        <row r="33367">
          <cell r="B33367" t="str">
            <v>82000000006827</v>
          </cell>
          <cell r="C33367" t="str">
            <v>FRANQ AMERICAN EXPRESS                  7NC</v>
          </cell>
        </row>
        <row r="33368">
          <cell r="B33368" t="str">
            <v>82000000006828</v>
          </cell>
          <cell r="C33368" t="str">
            <v>BL INTANGIBLES                          7NC</v>
          </cell>
        </row>
        <row r="33369">
          <cell r="B33369" t="str">
            <v>82000000006829</v>
          </cell>
          <cell r="C33369" t="str">
            <v>BASE DE DATOS                           7NC</v>
          </cell>
        </row>
        <row r="33370">
          <cell r="B33370" t="str">
            <v>82000000007102</v>
          </cell>
          <cell r="C33370" t="str">
            <v>PR INTXCOB CONT LETRAS T.DSCTO CCOR     7NC</v>
          </cell>
        </row>
        <row r="33371">
          <cell r="B33371" t="str">
            <v>82000000007107</v>
          </cell>
          <cell r="C33371" t="str">
            <v>PR INTXCOB CONT LETRAS T.DSCTO CESP     7NC</v>
          </cell>
        </row>
        <row r="33372">
          <cell r="B33372" t="str">
            <v>82000000007110</v>
          </cell>
          <cell r="C33372" t="str">
            <v>PR INTXCOB CONT LETRAS T.DSCTO CGEM     7NC</v>
          </cell>
        </row>
        <row r="33373">
          <cell r="B33373" t="str">
            <v>82000000007111</v>
          </cell>
          <cell r="C33373" t="str">
            <v>PR INTXCOB CONT LETRAS T.DSCTO CMED     7NC</v>
          </cell>
        </row>
        <row r="33374">
          <cell r="B33374" t="str">
            <v>82000000007112</v>
          </cell>
          <cell r="C33374" t="str">
            <v>PR INTXCOB CONT LETRAS T.DSCTO CMIE     7NC</v>
          </cell>
        </row>
        <row r="33375">
          <cell r="B33375" t="str">
            <v>82000000007113</v>
          </cell>
          <cell r="C33375" t="str">
            <v>PR INTXCOB CONT LETRAS T.DSCTO CPEM     7NC</v>
          </cell>
        </row>
        <row r="33376">
          <cell r="B33376" t="str">
            <v>82000000008101</v>
          </cell>
          <cell r="C33376" t="str">
            <v>LPC C.CTA INTXCOB   PAG FINAN PROY  D/P 7NC</v>
          </cell>
        </row>
        <row r="33377">
          <cell r="B33377" t="str">
            <v>82000000008102</v>
          </cell>
          <cell r="C33377" t="str">
            <v>LPCÂ  CCTA. INTXCOB  PAG FINAN PROY D/P 7NC</v>
          </cell>
        </row>
        <row r="33378">
          <cell r="B33378" t="str">
            <v>82000000008103</v>
          </cell>
          <cell r="C33378" t="str">
            <v>LPCÂ  CCTA. INTxcob  PAG FINAN PROY D/P 7NC</v>
          </cell>
        </row>
        <row r="33379">
          <cell r="B33379" t="str">
            <v>82000000008104</v>
          </cell>
          <cell r="C33379" t="str">
            <v>LPC C.CTA INTXCOB PAG FINAN PROY D/P VEN7NC</v>
          </cell>
        </row>
        <row r="33380">
          <cell r="B33380" t="str">
            <v>82000000008105</v>
          </cell>
          <cell r="C33380" t="str">
            <v>LPC C.CTA INTXCOB PAG FINAN PROY D/P VEN7NC</v>
          </cell>
        </row>
        <row r="33381">
          <cell r="B33381" t="str">
            <v>82000000008106</v>
          </cell>
          <cell r="C33381" t="str">
            <v>LPC C.CTA INTXCOB PAG FINAN PROY D/P VEN7NC</v>
          </cell>
        </row>
        <row r="33382">
          <cell r="B33382" t="str">
            <v>82000000008107</v>
          </cell>
          <cell r="C33382" t="str">
            <v>LPC C.CTA PAG FINAN PROY INT SUSP CCOR  7NC</v>
          </cell>
        </row>
        <row r="33383">
          <cell r="B33383" t="str">
            <v>82000000008108</v>
          </cell>
          <cell r="C33383" t="str">
            <v>LPC C.CTA PAG FINAN PROY INT SUSP CGEM  7NC</v>
          </cell>
        </row>
        <row r="33384">
          <cell r="B33384" t="str">
            <v>82000000008109</v>
          </cell>
          <cell r="C33384" t="str">
            <v>LPC C.CTA PAG FINAN PROY INT SUSP CMED  7NC</v>
          </cell>
        </row>
        <row r="33385">
          <cell r="B33385" t="str">
            <v>82000000008110</v>
          </cell>
          <cell r="C33385" t="str">
            <v>LPC CTRA PAG. FINANC PROY COFIDE        7NC</v>
          </cell>
        </row>
        <row r="33386">
          <cell r="B33386" t="str">
            <v>82000000008111</v>
          </cell>
          <cell r="C33386" t="str">
            <v>LPC CTRA CTA INT SUSP  PAG TV  COFIDE CC7NC</v>
          </cell>
        </row>
        <row r="33387">
          <cell r="B33387" t="str">
            <v>82000000008112</v>
          </cell>
          <cell r="C33387" t="str">
            <v>LPC CTRA CTA INT SUSP  PAG. FINANC PROY 7NC</v>
          </cell>
        </row>
        <row r="33388">
          <cell r="B33388" t="str">
            <v>82000000008113</v>
          </cell>
          <cell r="C33388" t="str">
            <v>LPC CTRA CTA  PAG. FINANC PROY COFIDE   7NC</v>
          </cell>
        </row>
        <row r="33389">
          <cell r="B33389" t="str">
            <v>82000000008114</v>
          </cell>
          <cell r="C33389" t="str">
            <v>LPC CTRA CTA INT SUSP PAGARE FORFAITING 7NC</v>
          </cell>
        </row>
        <row r="33390">
          <cell r="B33390" t="str">
            <v>82000000008115</v>
          </cell>
          <cell r="C33390" t="str">
            <v>LPC CTRA CTA INT SUSP PAGARE FORFAITING 7NC</v>
          </cell>
        </row>
        <row r="33391">
          <cell r="B33391" t="str">
            <v>82000000008116</v>
          </cell>
          <cell r="C33391" t="str">
            <v>LPC CTRA CTA INT SUSP PAGARE FORFAITING 7NC</v>
          </cell>
        </row>
        <row r="33392">
          <cell r="B33392" t="str">
            <v>82000000008117</v>
          </cell>
          <cell r="C33392" t="str">
            <v>LPC CTRA CTA INT SUSP PAGARE FORFAITING 7NC</v>
          </cell>
        </row>
        <row r="33393">
          <cell r="B33393" t="str">
            <v>82000000008118</v>
          </cell>
          <cell r="C33393" t="str">
            <v>LPC CTRA CTA INT SUSP PAGARE FORFAITING 7NC</v>
          </cell>
        </row>
        <row r="33394">
          <cell r="B33394" t="str">
            <v>82000000008119</v>
          </cell>
          <cell r="C33394" t="str">
            <v>LPC CTRA CTA INT SUSP PAGARE FORFAITING 7NC</v>
          </cell>
        </row>
        <row r="33395">
          <cell r="B33395" t="str">
            <v>82000000008120</v>
          </cell>
          <cell r="C33395" t="str">
            <v>LPC CTRA CTA INT SUSP PAGARE FORFAITING 7NC</v>
          </cell>
        </row>
        <row r="33396">
          <cell r="B33396" t="str">
            <v>82000000008121</v>
          </cell>
          <cell r="C33396" t="str">
            <v>LPC CTRA CTA INT SUSP PAGARE FORFAITING 7NC</v>
          </cell>
        </row>
        <row r="33397">
          <cell r="B33397" t="str">
            <v>82000000008122</v>
          </cell>
          <cell r="C33397" t="str">
            <v>LPC CTRA CTA INT SUSP PAGARE FORFAITING 7NC</v>
          </cell>
        </row>
        <row r="33398">
          <cell r="B33398" t="str">
            <v>82000000008123</v>
          </cell>
          <cell r="C33398" t="str">
            <v>LPC CTRA CTA INT SUSP PAGARE FORFAITING 7NC</v>
          </cell>
        </row>
        <row r="33399">
          <cell r="B33399" t="str">
            <v>82000000008150</v>
          </cell>
          <cell r="C33399" t="str">
            <v>LPC C.CTA DIF LEASING DERIVADO SEG VIG D7NC</v>
          </cell>
        </row>
        <row r="33400">
          <cell r="B33400" t="str">
            <v>82000000008151</v>
          </cell>
          <cell r="C33400" t="str">
            <v>LPC C.CTA DIF LEASING DERIVADO SEG VIG D7NC</v>
          </cell>
        </row>
        <row r="33401">
          <cell r="B33401" t="str">
            <v>82000000008152</v>
          </cell>
          <cell r="C33401" t="str">
            <v>LPC C.CTA DIF LEASING DERIVADO SEG VIG D7NC</v>
          </cell>
        </row>
        <row r="33402">
          <cell r="B33402" t="str">
            <v>82000000008153</v>
          </cell>
          <cell r="C33402" t="str">
            <v>LPC C.CTA DIF.LEASING DERIVADO BIEN VIG.7NC</v>
          </cell>
        </row>
        <row r="33403">
          <cell r="B33403" t="str">
            <v>82000000008154</v>
          </cell>
          <cell r="C33403" t="str">
            <v>LPC C.CTA DIF.LEASING DERIVADO BIEN VIG.7NC</v>
          </cell>
        </row>
        <row r="33404">
          <cell r="B33404" t="str">
            <v>82000000008155</v>
          </cell>
          <cell r="C33404" t="str">
            <v>LPC C.CTA DIF.LEASING DERIVADO BIEN VIG.7NC</v>
          </cell>
        </row>
        <row r="33405">
          <cell r="B33405" t="str">
            <v>82000000008156</v>
          </cell>
          <cell r="C33405" t="str">
            <v>LPC C.CTA I.VEN LEASING DERIVADO DEL BIE7NC</v>
          </cell>
        </row>
        <row r="33406">
          <cell r="B33406" t="str">
            <v>82000000008157</v>
          </cell>
          <cell r="C33406" t="str">
            <v>LPC C.CTA I.VEN LEASING DERIVADO DEL BIE7NC</v>
          </cell>
        </row>
        <row r="33407">
          <cell r="B33407" t="str">
            <v>82000000008158</v>
          </cell>
          <cell r="C33407" t="str">
            <v>LPC C.CTA I.VEN LEASING DERIVADO DEL BIE7NC</v>
          </cell>
        </row>
        <row r="33408">
          <cell r="B33408" t="str">
            <v>82000000008159</v>
          </cell>
          <cell r="C33408" t="str">
            <v>LPC C.CTA I.VEN LEASING DERIVADO SEG D/P7NC</v>
          </cell>
        </row>
        <row r="33409">
          <cell r="B33409" t="str">
            <v>82000000008160</v>
          </cell>
          <cell r="C33409" t="str">
            <v>LPC C.CTA I.VEN LEASING DERIVADO SEG D/P7NC</v>
          </cell>
        </row>
        <row r="33410">
          <cell r="B33410" t="str">
            <v>82000000008161</v>
          </cell>
          <cell r="C33410" t="str">
            <v>LPC C.CTA I.VEN LEASING DERIVADO SEG D/P7NC</v>
          </cell>
        </row>
        <row r="33411">
          <cell r="B33411" t="str">
            <v>82000000008162</v>
          </cell>
          <cell r="C33411" t="str">
            <v>LPC C.CTA LEASING DERIVADO VENC BIEN INT7NC</v>
          </cell>
        </row>
        <row r="33412">
          <cell r="B33412" t="str">
            <v>82000000008163</v>
          </cell>
          <cell r="C33412" t="str">
            <v>LPC C.CTA LEASING DERIVADO VENC BIEN INT7NC</v>
          </cell>
        </row>
        <row r="33413">
          <cell r="B33413" t="str">
            <v>82000000008164</v>
          </cell>
          <cell r="C33413" t="str">
            <v>LPC C.CTA LEASING DERIVADO VENC BIEN INT7NC</v>
          </cell>
        </row>
        <row r="33414">
          <cell r="B33414" t="str">
            <v>82000000008165</v>
          </cell>
          <cell r="C33414" t="str">
            <v>LPC C.CTA LEASING DERIVADO VENC SEG INT 7NC</v>
          </cell>
        </row>
        <row r="33415">
          <cell r="B33415" t="str">
            <v>82000000008166</v>
          </cell>
          <cell r="C33415" t="str">
            <v>LPC C.CTA LEASING DERIVADO VENC SEG INT 7NC</v>
          </cell>
        </row>
        <row r="33416">
          <cell r="B33416" t="str">
            <v>82000000008167</v>
          </cell>
          <cell r="C33416" t="str">
            <v>LPC C.CTA LEASING DERIVADO VENC SEG INT 7NC</v>
          </cell>
        </row>
        <row r="33417">
          <cell r="B33417" t="str">
            <v>82000000008201</v>
          </cell>
          <cell r="C33417" t="str">
            <v>LPC C.CTA PAG DERIVADOS INT SUSP CCOR   7NC</v>
          </cell>
        </row>
        <row r="33418">
          <cell r="B33418" t="str">
            <v>82000000008202</v>
          </cell>
          <cell r="C33418" t="str">
            <v>LPC C.CTA PAG DERIVADOS INT SUSP CGEM   7NC</v>
          </cell>
        </row>
        <row r="33419">
          <cell r="B33419" t="str">
            <v>82000000008203</v>
          </cell>
          <cell r="C33419" t="str">
            <v>LPC C.CTA PAG DERIVADOS INT SUSP CMED   7NC</v>
          </cell>
        </row>
        <row r="33420">
          <cell r="B33420" t="str">
            <v>82000000008204</v>
          </cell>
          <cell r="C33420" t="str">
            <v>LPC C.CTA INTXCOB  PAG DERIVADOS D/P VIG7NC</v>
          </cell>
        </row>
        <row r="33421">
          <cell r="B33421" t="str">
            <v>82000000008205</v>
          </cell>
          <cell r="C33421" t="str">
            <v>LPC C.CTA INTXCOB PAG DERIVADOS D/P VENC7NC</v>
          </cell>
        </row>
        <row r="33422">
          <cell r="B33422" t="str">
            <v>82000000008206</v>
          </cell>
          <cell r="C33422" t="str">
            <v>LPCÂ  CCTA. INT PAG DERIVADOS D/P CGEM  7NC</v>
          </cell>
        </row>
        <row r="33423">
          <cell r="B33423" t="str">
            <v>82000000008207</v>
          </cell>
          <cell r="C33423" t="str">
            <v>LPC C.CTA INTXCOB PAG DERIVADOS D/P VENC7NC</v>
          </cell>
        </row>
        <row r="33424">
          <cell r="B33424" t="str">
            <v>82000000008208</v>
          </cell>
          <cell r="C33424" t="str">
            <v>LPC C.CTA INT PAG DERIVADOS D/P  CGEM   7NC</v>
          </cell>
        </row>
        <row r="33425">
          <cell r="B33425" t="str">
            <v>82000000008209</v>
          </cell>
          <cell r="C33425" t="str">
            <v>LPC C.CTA INTXCOB PAG DERIVADOS D/P VENC7NC</v>
          </cell>
        </row>
        <row r="33426">
          <cell r="B33426" t="str">
            <v>82000000008210</v>
          </cell>
          <cell r="C33426" t="str">
            <v>LPC C.CTA PAG DERIVADOS INT SUSP CPEM   7NC</v>
          </cell>
        </row>
        <row r="33427">
          <cell r="B33427" t="str">
            <v>82000000050102</v>
          </cell>
          <cell r="C33427" t="str">
            <v>BL CTRA CTA SOB VENC.SUS - PN           7NC</v>
          </cell>
        </row>
        <row r="33428">
          <cell r="B33428" t="str">
            <v>82040202190101</v>
          </cell>
          <cell r="C33428" t="str">
            <v>LPC CTRA FINANCIER CREDINKA INT EN SUSPE7NC</v>
          </cell>
        </row>
        <row r="33429">
          <cell r="B33429" t="str">
            <v>82040900004307</v>
          </cell>
          <cell r="C33429" t="str">
            <v>LPC C.CTA DIF.LEASING DERIVADO BIEN VIG.7NC</v>
          </cell>
        </row>
        <row r="33430">
          <cell r="B33430" t="str">
            <v>82040900004308</v>
          </cell>
          <cell r="C33430" t="str">
            <v>LPC C.CTA DIF LEASING DERIVADO SEG VIG D7NC</v>
          </cell>
        </row>
        <row r="33431">
          <cell r="B33431" t="str">
            <v>82040900004309</v>
          </cell>
          <cell r="C33431" t="str">
            <v>LPC C.CTA LEASING DERIVADO VENC BIEN INT7NC</v>
          </cell>
        </row>
        <row r="33432">
          <cell r="B33432" t="str">
            <v>82040900004310</v>
          </cell>
          <cell r="C33432" t="str">
            <v>LPC C.CTA I.VEN LEASING DERIVADO DEL BIE7NC</v>
          </cell>
        </row>
        <row r="33433">
          <cell r="B33433" t="str">
            <v>82040900004311</v>
          </cell>
          <cell r="C33433" t="str">
            <v>LPC C.CTA LEASING DERIVADO VENC SEG INT 7NC</v>
          </cell>
        </row>
        <row r="33434">
          <cell r="B33434" t="str">
            <v>82040900004312</v>
          </cell>
          <cell r="C33434" t="str">
            <v>LPC C.CTA I.VEN LEASING DERIVADO SEG D/P7NC</v>
          </cell>
        </row>
        <row r="33435">
          <cell r="B33435" t="str">
            <v>82093600000101</v>
          </cell>
          <cell r="C33435" t="str">
            <v>SAT CCTA REPROG E 2017                  7NC</v>
          </cell>
        </row>
        <row r="33436">
          <cell r="B33436" t="str">
            <v>82093600000102</v>
          </cell>
          <cell r="C33436" t="str">
            <v>CDO CCTA REPROG E 2017                  7NC</v>
          </cell>
        </row>
        <row r="33437">
          <cell r="B33437" t="str">
            <v>82093600000103</v>
          </cell>
          <cell r="C33437" t="str">
            <v>HPC CCTA REPROG E 2017                  7NC</v>
          </cell>
        </row>
        <row r="33438">
          <cell r="B33438" t="str">
            <v>82093600000104</v>
          </cell>
          <cell r="C33438" t="str">
            <v>LIC  CCTA REPROG E 2017                 7NC</v>
          </cell>
        </row>
        <row r="33439">
          <cell r="B33439" t="str">
            <v>82093600000105</v>
          </cell>
          <cell r="C33439" t="str">
            <v>MYP CCTA REPROG E 2017                  7NC</v>
          </cell>
        </row>
        <row r="33440">
          <cell r="B33440" t="str">
            <v>82093600000106</v>
          </cell>
          <cell r="C33440" t="str">
            <v>CDO CTRA CTA REPROGRAMACION DE DEUDA TC 7NC</v>
          </cell>
        </row>
        <row r="33441">
          <cell r="B33441" t="str">
            <v>82093600000107</v>
          </cell>
          <cell r="C33441" t="str">
            <v>LPC C.CTA. PAG.INMOB. SUSPENSO VIG DUPE 7NC</v>
          </cell>
        </row>
        <row r="33442">
          <cell r="B33442" t="str">
            <v>82093600000108</v>
          </cell>
          <cell r="C33442" t="str">
            <v>C.CTA. MYP D/P SEG.BIEN.VIG FINANC      7NC</v>
          </cell>
        </row>
        <row r="33443">
          <cell r="B33443" t="str">
            <v>82093600000109</v>
          </cell>
          <cell r="C33443" t="str">
            <v>C.CTA. MYP D/P SEG.BIEN.VENC. FINANC    7NC</v>
          </cell>
        </row>
        <row r="33444">
          <cell r="B33444" t="str">
            <v>82093600000110</v>
          </cell>
          <cell r="C33444" t="str">
            <v>C.CTA. MYP D/P LINEA REVOL PROV REF VIG 7NC</v>
          </cell>
        </row>
        <row r="33445">
          <cell r="B33445" t="str">
            <v>82093600000111</v>
          </cell>
          <cell r="C33445" t="str">
            <v>C.CTA. MYP D/P LINEA REVOL PROV REF VIG 7NC</v>
          </cell>
        </row>
        <row r="33446">
          <cell r="B33446" t="str">
            <v>82093600000112</v>
          </cell>
          <cell r="C33446" t="str">
            <v>LIC REPROGRAMACION EM 2020              7NC</v>
          </cell>
        </row>
        <row r="33447">
          <cell r="B33447" t="str">
            <v>82093600000113</v>
          </cell>
          <cell r="C33447" t="str">
            <v>MYP REPROGRAMACION EM 2020              7NC</v>
          </cell>
        </row>
        <row r="33448">
          <cell r="B33448" t="str">
            <v>82093600000114</v>
          </cell>
          <cell r="C33448" t="str">
            <v>CDO REPROGRAMACION EM 2020              7NC</v>
          </cell>
        </row>
        <row r="33449">
          <cell r="B33449" t="str">
            <v>82093600000115</v>
          </cell>
          <cell r="C33449" t="str">
            <v>LPC REPROGRAMACION EM 2020              7NC</v>
          </cell>
        </row>
        <row r="33450">
          <cell r="B33450" t="str">
            <v>82093600000116</v>
          </cell>
          <cell r="C33450" t="str">
            <v>HPC REPROGRAMACION EM HC 2020           7NC</v>
          </cell>
        </row>
        <row r="33451">
          <cell r="B33451" t="str">
            <v>82093600000117</v>
          </cell>
          <cell r="C33451" t="str">
            <v>HPC REPROGRAMACION EM CR 2020           7NC</v>
          </cell>
        </row>
        <row r="33452">
          <cell r="B33452" t="str">
            <v>82093600000118</v>
          </cell>
          <cell r="C33452" t="str">
            <v>MYP CODIFE FONDO CRECER                 7NC</v>
          </cell>
        </row>
        <row r="33453">
          <cell r="B33453" t="str">
            <v>82093600000119</v>
          </cell>
          <cell r="C33453" t="str">
            <v>MYP CODIFE REACTIVA PERU                7NC</v>
          </cell>
        </row>
        <row r="33454">
          <cell r="B33454" t="str">
            <v>82093600000124</v>
          </cell>
          <cell r="C33454" t="str">
            <v>LPC REACTIVA PERU VEN                   7NC</v>
          </cell>
        </row>
        <row r="33455">
          <cell r="B33455" t="str">
            <v>82093600000125</v>
          </cell>
          <cell r="C33455" t="str">
            <v>LPC COFIDE FONDOS PERU VEN              7NC</v>
          </cell>
        </row>
        <row r="33456">
          <cell r="B33456" t="str">
            <v>82093600000126</v>
          </cell>
          <cell r="C33456" t="str">
            <v>LPC CTRA CTA COFIDE FONDO CRECER        7NC</v>
          </cell>
        </row>
        <row r="33457">
          <cell r="B33457" t="str">
            <v>82093600000127</v>
          </cell>
          <cell r="C33457" t="str">
            <v>LPC CTRA CTA REACTIVA PERU              7NC</v>
          </cell>
        </row>
        <row r="33458">
          <cell r="B33458" t="str">
            <v>82093600000128</v>
          </cell>
          <cell r="C33458" t="str">
            <v>LPC COFIDE FONDOS CRECER                7NC</v>
          </cell>
        </row>
        <row r="33459">
          <cell r="B33459" t="str">
            <v>82093600000129</v>
          </cell>
          <cell r="C33459" t="str">
            <v>LPC COFIDE FONDOS CRECER                7NC</v>
          </cell>
        </row>
        <row r="33460">
          <cell r="B33460" t="str">
            <v>82093600000130</v>
          </cell>
          <cell r="C33460" t="str">
            <v>LPC REPROG EM COVID-19 PRE-EMBARQUE     7NC</v>
          </cell>
        </row>
        <row r="33461">
          <cell r="B33461" t="str">
            <v>82093600000131</v>
          </cell>
          <cell r="C33461" t="str">
            <v>LPC REPROG EM COVID-19 POST-EMBARQUE    7NC</v>
          </cell>
        </row>
        <row r="33462">
          <cell r="B33462" t="str">
            <v>82093600000132</v>
          </cell>
          <cell r="C33462" t="str">
            <v>LPC REPROG EM COVID-19 FINAN.COMEX      7NC</v>
          </cell>
        </row>
        <row r="33463">
          <cell r="B33463" t="str">
            <v>82093600000133</v>
          </cell>
          <cell r="C33463" t="str">
            <v>LPC CCTA INT SUSP PAG REF COVID_19 CCOR 7NC</v>
          </cell>
        </row>
        <row r="33464">
          <cell r="B33464" t="str">
            <v>82093600000134</v>
          </cell>
          <cell r="C33464" t="str">
            <v>LPC CCTA INT SUSP PAG REF COVID_19 CGEM 7NC</v>
          </cell>
        </row>
        <row r="33465">
          <cell r="B33465" t="str">
            <v>82093600000135</v>
          </cell>
          <cell r="C33465" t="str">
            <v>LPC CCTA INT SUSP PAG REF COVID_19 CMED 7NC</v>
          </cell>
        </row>
        <row r="33466">
          <cell r="B33466" t="str">
            <v>82093600000136</v>
          </cell>
          <cell r="C33466" t="str">
            <v>MYP REFINANC. COVID-19 CTRA CTA         7NC</v>
          </cell>
        </row>
        <row r="33467">
          <cell r="B33467" t="str">
            <v>82093600000137</v>
          </cell>
          <cell r="C33467" t="str">
            <v>BTC CTR CUENTA INT/COM VENCIDO          7NC</v>
          </cell>
        </row>
        <row r="33468">
          <cell r="B33468" t="str">
            <v>82093600000138</v>
          </cell>
          <cell r="C33468" t="str">
            <v>BTC CTR CUENTA LINEAS DE CREDITO AUTORIZ7NC</v>
          </cell>
        </row>
        <row r="33469">
          <cell r="B33469" t="str">
            <v>82093600000139</v>
          </cell>
          <cell r="C33469" t="str">
            <v>BTC CTR CTA LINEAS CRED BTC NO UTILIZAD.7NC</v>
          </cell>
        </row>
        <row r="33470">
          <cell r="B33470" t="str">
            <v>82093600000140</v>
          </cell>
          <cell r="C33470" t="str">
            <v>LPC REF_FINAN_ESPECIALES_INT CCOR COVID-7NC</v>
          </cell>
        </row>
        <row r="33471">
          <cell r="B33471" t="str">
            <v>82093600000141</v>
          </cell>
          <cell r="C33471" t="str">
            <v>LPC REF_FINAN_ESPECIALES_INT CGEM COVID-7NC</v>
          </cell>
        </row>
        <row r="33472">
          <cell r="B33472" t="str">
            <v>82093600000142</v>
          </cell>
          <cell r="C33472" t="str">
            <v>LPC REF_FINAN_ESPECIALES_INT CMED COVID-7NC</v>
          </cell>
        </row>
        <row r="33473">
          <cell r="B33473" t="str">
            <v>82093600000143</v>
          </cell>
          <cell r="C33473" t="str">
            <v>LPC REF_FINAN_ESPECIALES_INT CCOR COVID-7NC</v>
          </cell>
        </row>
        <row r="33474">
          <cell r="B33474" t="str">
            <v>82093600000144</v>
          </cell>
          <cell r="C33474" t="str">
            <v>LPC REF_FINAN_ESPECIALES_INT CGEM COVID-7NC</v>
          </cell>
        </row>
        <row r="33475">
          <cell r="B33475" t="str">
            <v>82093600000145</v>
          </cell>
          <cell r="C33475" t="str">
            <v>LPC REF_FINAN_ESPECIALES_INT CMED COVID-7NC</v>
          </cell>
        </row>
        <row r="33476">
          <cell r="B33476" t="str">
            <v>82093600000146</v>
          </cell>
          <cell r="C33476" t="str">
            <v>GAC FIDEICOMISO EN GARANTIA - ACTIVO    7NC</v>
          </cell>
        </row>
        <row r="33477">
          <cell r="B33477" t="str">
            <v>82093600000147</v>
          </cell>
          <cell r="C33477" t="str">
            <v>GAC FIDEICOMISO EN GARANTIA - FLUJO     7NC</v>
          </cell>
        </row>
        <row r="33478">
          <cell r="B33478" t="str">
            <v>82093600000148</v>
          </cell>
          <cell r="C33478" t="str">
            <v>GAC FIDEICOMISO EN GARANTIA - HIPOTECARI7NC</v>
          </cell>
        </row>
        <row r="33479">
          <cell r="B33479" t="str">
            <v>82093600000149</v>
          </cell>
          <cell r="C33479" t="str">
            <v>GAC FIDEICOMISO EN GARANTIA - MIXTO     7NC</v>
          </cell>
        </row>
        <row r="33480">
          <cell r="B33480" t="str">
            <v>82093600000150</v>
          </cell>
          <cell r="C33480" t="str">
            <v>GAC FIDEICOMISO EN GARANTIA - HIPOTECARI7NC</v>
          </cell>
        </row>
        <row r="33481">
          <cell r="B33481" t="str">
            <v>82093600000151</v>
          </cell>
          <cell r="C33481" t="str">
            <v>JCC CASTIGO INTERES P.CAP.TRAB          7NC</v>
          </cell>
        </row>
        <row r="33482">
          <cell r="B33482" t="str">
            <v>82093600000152</v>
          </cell>
          <cell r="C33482" t="str">
            <v>JCC .CONDONADO INTERES BCA COMERCIAL    7NC</v>
          </cell>
        </row>
        <row r="33483">
          <cell r="B33483" t="str">
            <v>82093600000153</v>
          </cell>
          <cell r="C33483" t="str">
            <v>JCC COB.JUD INT.SUSP REACTIVA PERU      7NC</v>
          </cell>
        </row>
        <row r="33484">
          <cell r="B33484" t="str">
            <v>82093600000154</v>
          </cell>
          <cell r="C33484" t="str">
            <v>JCC PRE JUD REACTIVA PERU NO REVOLV     7NC</v>
          </cell>
        </row>
        <row r="33485">
          <cell r="B33485" t="str">
            <v>82093600000155</v>
          </cell>
          <cell r="C33485" t="str">
            <v>JCC PRE JUD INTERES REACTIVA PERU NO REV7NC</v>
          </cell>
        </row>
        <row r="33486">
          <cell r="B33486" t="str">
            <v>82093600000156</v>
          </cell>
          <cell r="C33486" t="str">
            <v>JCC PRE.JUD. INT SUSP REACTIVA PERU     7NC</v>
          </cell>
        </row>
        <row r="33487">
          <cell r="B33487" t="str">
            <v>82093600000157</v>
          </cell>
          <cell r="C33487" t="str">
            <v>JCC CASTIGO INTERES P.CAP.TRAB          7 C</v>
          </cell>
        </row>
        <row r="33488">
          <cell r="B33488" t="str">
            <v>82093600000158</v>
          </cell>
          <cell r="C33488" t="str">
            <v>JCC .CONDONADO INTERES BCA COMERCIAL    7 C</v>
          </cell>
        </row>
        <row r="33489">
          <cell r="B33489" t="str">
            <v>82093600000159</v>
          </cell>
          <cell r="C33489" t="str">
            <v>JCC COB.JUD INT.SUSP REACTIVA PERU      7 C</v>
          </cell>
        </row>
        <row r="33490">
          <cell r="B33490" t="str">
            <v>82093600000160</v>
          </cell>
          <cell r="C33490" t="str">
            <v>JCC PRE JUD REACTIVA PERU NO REVOLV     7 C</v>
          </cell>
        </row>
        <row r="33491">
          <cell r="B33491" t="str">
            <v>82093600000161</v>
          </cell>
          <cell r="C33491" t="str">
            <v>JCC PRE JUD INTERES REACTIVA PERU NO REV7 C</v>
          </cell>
        </row>
        <row r="33492">
          <cell r="B33492" t="str">
            <v>82093600000162</v>
          </cell>
          <cell r="C33492" t="str">
            <v>JCC PRE.JUD. INT SUSP REACTIVA PERU     7 C</v>
          </cell>
        </row>
        <row r="33493">
          <cell r="B33493" t="str">
            <v>82093600000163</v>
          </cell>
          <cell r="C33493" t="str">
            <v>JCC BTC CTRA CTA RAPPIBANK              7 C</v>
          </cell>
        </row>
        <row r="33494">
          <cell r="B33494" t="str">
            <v>82093600000164</v>
          </cell>
          <cell r="C33494" t="str">
            <v>JCC CASTIGO FONDO CRECER                7 C</v>
          </cell>
        </row>
        <row r="33495">
          <cell r="B33495" t="str">
            <v>82093600000165</v>
          </cell>
          <cell r="C33495" t="str">
            <v>JCC .CONDONADO FONDO CRECER MP          7 C</v>
          </cell>
        </row>
        <row r="33496">
          <cell r="B33496" t="str">
            <v>82093600000166</v>
          </cell>
          <cell r="C33496" t="str">
            <v>JCC COB.JUD INT.SUSP FONDO CRECER       7 C</v>
          </cell>
        </row>
        <row r="33497">
          <cell r="B33497" t="str">
            <v>82093600000167</v>
          </cell>
          <cell r="C33497" t="str">
            <v>JCC PRE.JUD. INT SUSP FONDO CRECER      7 C</v>
          </cell>
        </row>
        <row r="33498">
          <cell r="B33498" t="str">
            <v>82093600000168</v>
          </cell>
          <cell r="C33498" t="str">
            <v>JCC MP FONDO CRECER COFIDE MP           7 C</v>
          </cell>
        </row>
        <row r="33499">
          <cell r="B33499" t="str">
            <v>82093600000169</v>
          </cell>
          <cell r="C33499" t="str">
            <v>JCC CASTIGO FONDO CRECER                7 C</v>
          </cell>
        </row>
        <row r="33500">
          <cell r="B33500" t="str">
            <v>82093600000170</v>
          </cell>
          <cell r="C33500" t="str">
            <v>JCC .CONDONADO FONDO CRECER BC          7 C</v>
          </cell>
        </row>
        <row r="33501">
          <cell r="B33501" t="str">
            <v>82093600000171</v>
          </cell>
          <cell r="C33501" t="str">
            <v>JCC COB.JUD INT.SUSP FONDO CRECER       7 C</v>
          </cell>
        </row>
        <row r="33502">
          <cell r="B33502" t="str">
            <v>82093600000172</v>
          </cell>
          <cell r="C33502" t="str">
            <v>JCC PRE.JUD. INT SUSP FONDO CRECER      7 C</v>
          </cell>
        </row>
        <row r="33503">
          <cell r="B33503" t="str">
            <v>82093600000173</v>
          </cell>
          <cell r="C33503" t="str">
            <v>JCC BC FONDO CRECER COFIDE BC           7 C</v>
          </cell>
        </row>
        <row r="33504">
          <cell r="B33504" t="str">
            <v>82093600000174</v>
          </cell>
          <cell r="C33504" t="str">
            <v>JCC CASTIGO REACTIVA PRE-HONRAMIENTO    7 C</v>
          </cell>
        </row>
        <row r="33505">
          <cell r="B33505" t="str">
            <v>82093600000175</v>
          </cell>
          <cell r="C33505" t="str">
            <v>JCC PRE.JUD. INT SUSP REACTIVA PRE-HONRA7 C</v>
          </cell>
        </row>
        <row r="33506">
          <cell r="B33506" t="str">
            <v>82093600000176</v>
          </cell>
          <cell r="C33506" t="str">
            <v>JCC COB.JUD INT.SUSP REACTIVA PRE-HONRAM7 C</v>
          </cell>
        </row>
        <row r="33507">
          <cell r="B33507" t="str">
            <v>82093600000177</v>
          </cell>
          <cell r="C33507" t="str">
            <v>JCC .CONDONADO REACTIVA PRE-HONRAMIENTO 7 C</v>
          </cell>
        </row>
        <row r="33508">
          <cell r="B33508" t="str">
            <v>82093600000178</v>
          </cell>
          <cell r="C33508" t="str">
            <v>JCC CASTIGO REACTIVA PRE-HONRAMIENTO    7 C</v>
          </cell>
        </row>
        <row r="33509">
          <cell r="B33509" t="str">
            <v>82093600000179</v>
          </cell>
          <cell r="C33509" t="str">
            <v>JCC .CONDONADO REACTIVA PRE-HONRAMIENTO 7 C</v>
          </cell>
        </row>
        <row r="33510">
          <cell r="B33510" t="str">
            <v>82093600000180</v>
          </cell>
          <cell r="C33510" t="str">
            <v>JCC COB.JUD INT.SUSP REACTIVA PRE-HONRAM7 C</v>
          </cell>
        </row>
        <row r="33511">
          <cell r="B33511" t="str">
            <v>82093600000181</v>
          </cell>
          <cell r="C33511" t="str">
            <v>JCC PRE.JUD. INT SUSP REACTIVA PRE-HONRA7 C</v>
          </cell>
        </row>
        <row r="33512">
          <cell r="B33512" t="str">
            <v>82093600000182</v>
          </cell>
          <cell r="C33512" t="str">
            <v>CTRA CTA MYP REACTIVA PERU              7 C</v>
          </cell>
        </row>
        <row r="33513">
          <cell r="B33513" t="str">
            <v>82093600000183</v>
          </cell>
          <cell r="C33513" t="str">
            <v>CTRA CTA LPC REACTIVA PERU              7 C</v>
          </cell>
        </row>
        <row r="33514">
          <cell r="B33514" t="str">
            <v>82093600000184</v>
          </cell>
          <cell r="C33514" t="str">
            <v>JCC CONDONADO RAPPIBANK                 7 C</v>
          </cell>
        </row>
        <row r="33515">
          <cell r="B33515" t="str">
            <v>82093600000185</v>
          </cell>
          <cell r="C33515" t="str">
            <v>JCC CASTIGO RAPPIBANK                   7 C</v>
          </cell>
        </row>
        <row r="33516">
          <cell r="B33516" t="str">
            <v>82093600000186</v>
          </cell>
          <cell r="C33516" t="str">
            <v>LPC REFINANCIADO REACTIVA INTERESES     7 C</v>
          </cell>
        </row>
        <row r="33517">
          <cell r="B33517" t="str">
            <v>82093600000187</v>
          </cell>
          <cell r="C33517" t="str">
            <v>LPC REFINANCIADO REACTIVA               7 C</v>
          </cell>
        </row>
        <row r="33518">
          <cell r="B33518" t="str">
            <v>82093600000188</v>
          </cell>
          <cell r="C33518" t="str">
            <v>LPC CTRA CTA REACTIVA COFIDE INTERESES  7 C</v>
          </cell>
        </row>
        <row r="33519">
          <cell r="B33519" t="str">
            <v>82093600000189</v>
          </cell>
          <cell r="C33519" t="str">
            <v>LPC REPROG REACTIVA DIFE                7 C</v>
          </cell>
        </row>
        <row r="33520">
          <cell r="B33520" t="str">
            <v>82093600000190</v>
          </cell>
          <cell r="C33520" t="str">
            <v>LPC REPROG REACTIVA DIFE INTERESES      7 C</v>
          </cell>
        </row>
        <row r="33521">
          <cell r="B33521" t="str">
            <v>82093600000191</v>
          </cell>
          <cell r="C33521" t="str">
            <v>LPC REPROG REACTIVA COFIDE INT          7NC</v>
          </cell>
        </row>
        <row r="33522">
          <cell r="B33522" t="str">
            <v>82093600000192</v>
          </cell>
          <cell r="C33522" t="str">
            <v>LPC REPROG REACTIVA DS.011-2022         7 C</v>
          </cell>
        </row>
        <row r="33523">
          <cell r="B33523" t="str">
            <v>82093600000193</v>
          </cell>
          <cell r="C33523" t="str">
            <v>MYP REPROG REACTIVA DS.011-2022         7 C</v>
          </cell>
        </row>
        <row r="33524">
          <cell r="B33524" t="str">
            <v>82093600000194</v>
          </cell>
          <cell r="C33524" t="str">
            <v>HPC CCTA CONV PRIVADO                   7NC</v>
          </cell>
        </row>
        <row r="33525">
          <cell r="B33525" t="str">
            <v>82093600000207</v>
          </cell>
          <cell r="C33525" t="str">
            <v>MYP CAP_TRAB_CIMA CTRA.CTA              7 C</v>
          </cell>
        </row>
        <row r="33526">
          <cell r="B33526" t="str">
            <v>82093600000208</v>
          </cell>
          <cell r="C33526" t="str">
            <v>MYP REFINANCIADO CIMA CTRA CTA          7 C</v>
          </cell>
        </row>
        <row r="33527">
          <cell r="B33527" t="str">
            <v>82093600000209</v>
          </cell>
          <cell r="C33527" t="str">
            <v>MYP REPROGRAMADO CIMA CTRA CTA          7 C</v>
          </cell>
        </row>
        <row r="33528">
          <cell r="B33528" t="str">
            <v>82093600000210</v>
          </cell>
          <cell r="C33528" t="str">
            <v>LPC CTRA CTA RP MED PZ PREST VERDE-SOCIA7NC</v>
          </cell>
        </row>
        <row r="33529">
          <cell r="B33529" t="str">
            <v>82093600000211</v>
          </cell>
          <cell r="C33529" t="str">
            <v>LPC CTRA CTA RP MED PZ PREST SOSTENIBLE 7 C</v>
          </cell>
        </row>
        <row r="33530">
          <cell r="B33530" t="str">
            <v>82093600000212</v>
          </cell>
          <cell r="C33530" t="str">
            <v>HPC CTRA CTA MICROPRESTAMOS             7 C</v>
          </cell>
        </row>
        <row r="33531">
          <cell r="B33531" t="str">
            <v>82093600000213</v>
          </cell>
          <cell r="C33531" t="str">
            <v>LPC PAG FINAN PROY VERDE-SOCIAL         7 C</v>
          </cell>
        </row>
        <row r="33532">
          <cell r="B33532" t="str">
            <v>82093600000214</v>
          </cell>
          <cell r="C33532" t="str">
            <v>LPC PAG FINAN PROY VINC-SOSTENIB        7 C</v>
          </cell>
        </row>
        <row r="33533">
          <cell r="B33533" t="str">
            <v>82093600000215</v>
          </cell>
          <cell r="C33533" t="str">
            <v>LPC PAG BIENES INMB RENTA VERDE-SOCIAL  7 C</v>
          </cell>
        </row>
        <row r="33534">
          <cell r="B33534" t="str">
            <v>82093600000216</v>
          </cell>
          <cell r="C33534" t="str">
            <v>LPC PAG BIENES INMB RENTA VINC-SOSTENIB 7 C</v>
          </cell>
        </row>
        <row r="33535">
          <cell r="B33535" t="str">
            <v>82093600000217</v>
          </cell>
          <cell r="C33535" t="str">
            <v>MYP REPROG REACTIVA 2023                7 C</v>
          </cell>
        </row>
        <row r="33536">
          <cell r="B33536" t="str">
            <v>82093600000218</v>
          </cell>
          <cell r="C33536" t="str">
            <v>LPC REPROG REACTIVA 2023 VEN            7 C</v>
          </cell>
        </row>
        <row r="33537">
          <cell r="B33537" t="str">
            <v>82093600000219</v>
          </cell>
          <cell r="C33537" t="str">
            <v>MYP CAP. TRAB - PAGARE DIGITAL_CTRA CTA 7 C</v>
          </cell>
        </row>
        <row r="33538">
          <cell r="B33538" t="str">
            <v>82093600000220</v>
          </cell>
          <cell r="C33538" t="str">
            <v>JCC COB JU REACTIVA PRE-HONRAMIENTO REPR7 C</v>
          </cell>
        </row>
        <row r="33539">
          <cell r="B33539" t="str">
            <v>82093600000221</v>
          </cell>
          <cell r="C33539" t="str">
            <v>JCC PRE JU REACTIVA PRE-HONRAMIENTO REPR7 C</v>
          </cell>
        </row>
        <row r="33540">
          <cell r="B33540" t="str">
            <v>82093600000222</v>
          </cell>
          <cell r="C33540" t="str">
            <v>JCC COB JU REACTIVA PRE-HONRAMIENTO REPR7 C</v>
          </cell>
        </row>
        <row r="33541">
          <cell r="B33541" t="str">
            <v>82093600000223</v>
          </cell>
          <cell r="C33541" t="str">
            <v>JCC PRE.JUD INTERES REACT PRE-HONRAM REP7 C</v>
          </cell>
        </row>
        <row r="33542">
          <cell r="B33542" t="str">
            <v>82093600000224</v>
          </cell>
          <cell r="C33542" t="str">
            <v>JCC PRE JU REACTIVA PRE-HONRAMIENTO REPR7 C</v>
          </cell>
        </row>
        <row r="33543">
          <cell r="B33543" t="str">
            <v>82093600000225</v>
          </cell>
          <cell r="C33543" t="str">
            <v>JCC COB JU REACTIVA PRE-HONRAMIENTO REPR7 C</v>
          </cell>
        </row>
        <row r="33544">
          <cell r="B33544" t="str">
            <v>82093600000226</v>
          </cell>
          <cell r="C33544" t="str">
            <v>JCC PRE JU INT REACTIVA PRE-HONRAMIENTO 7 C</v>
          </cell>
        </row>
        <row r="33545">
          <cell r="B33545" t="str">
            <v>82093600000227</v>
          </cell>
          <cell r="C33545" t="str">
            <v>JCC COB JU INT REACTIVA PRE-HONRAMIENTO 7 C</v>
          </cell>
        </row>
        <row r="33546">
          <cell r="B33546" t="str">
            <v>82093600000228</v>
          </cell>
          <cell r="C33546" t="str">
            <v>JCC PRE JU REACTIVA PRE-HONRAMIENTO REPR7 C</v>
          </cell>
        </row>
        <row r="33547">
          <cell r="B33547" t="str">
            <v>82093600000229</v>
          </cell>
          <cell r="C33547" t="str">
            <v>JCC COB JU REACTIVA PRE-HONRAMIENTO REPR7 C</v>
          </cell>
        </row>
        <row r="33548">
          <cell r="B33548" t="str">
            <v>82093600000230</v>
          </cell>
          <cell r="C33548" t="str">
            <v>JCC PRE JU INT REACT PRE-HONRAM REPR20237 C</v>
          </cell>
        </row>
        <row r="33549">
          <cell r="B33549" t="str">
            <v>82093600000231</v>
          </cell>
          <cell r="C33549" t="str">
            <v>JCC COB JU INT REACTIVA PRE-HONRAMIENT R7 C</v>
          </cell>
        </row>
        <row r="33550">
          <cell r="B33550" t="str">
            <v>82093600000232</v>
          </cell>
          <cell r="C33550" t="str">
            <v>JCC PRE JUD CRECER PRE-HONRAMIENTO      7 C</v>
          </cell>
        </row>
        <row r="33551">
          <cell r="B33551" t="str">
            <v>82093600000233</v>
          </cell>
          <cell r="C33551" t="str">
            <v>JCC COB JUD CRECER PRE-HONRAMIENTO      7 C</v>
          </cell>
        </row>
        <row r="33552">
          <cell r="B33552" t="str">
            <v>82093600000234</v>
          </cell>
          <cell r="C33552" t="str">
            <v>JCC PRE JU INTERES CRECER PRE-HONRAMIENT7 C</v>
          </cell>
        </row>
        <row r="33553">
          <cell r="B33553" t="str">
            <v>82093600000235</v>
          </cell>
          <cell r="C33553" t="str">
            <v>JCC COB JU INTERES CRECER PRE-HONRAMIENT7 C</v>
          </cell>
        </row>
        <row r="33554">
          <cell r="B33554" t="str">
            <v>82093600000236</v>
          </cell>
          <cell r="C33554" t="str">
            <v>JCC COB JU REACTIVA PRE-HONRAMIENTO REPR7 C</v>
          </cell>
        </row>
        <row r="33555">
          <cell r="B33555" t="str">
            <v>82093600000237</v>
          </cell>
          <cell r="C33555" t="str">
            <v>JCC PRE JU REACTIVA PRE-HONRAMIENTO REPR7 C</v>
          </cell>
        </row>
        <row r="33556">
          <cell r="B33556" t="str">
            <v>82093600000238</v>
          </cell>
          <cell r="C33556" t="str">
            <v>JCC COB JU REACTIVA PRE-HONRAMIENTO REPR7 C</v>
          </cell>
        </row>
        <row r="33557">
          <cell r="B33557" t="str">
            <v>82093600000239</v>
          </cell>
          <cell r="C33557" t="str">
            <v>JCC PRE.JUD INTERES REACT PRE-HONRAM REP7 C</v>
          </cell>
        </row>
        <row r="33558">
          <cell r="B33558" t="str">
            <v>82093600000240</v>
          </cell>
          <cell r="C33558" t="str">
            <v>JCC PRE JU REACTIVA PRE-HONRAMIENTO REPR7 C</v>
          </cell>
        </row>
        <row r="33559">
          <cell r="B33559" t="str">
            <v>82093600000241</v>
          </cell>
          <cell r="C33559" t="str">
            <v>JCC COB JU REACTIVA PRE-HONRAMIENTO REPR7 C</v>
          </cell>
        </row>
        <row r="33560">
          <cell r="B33560" t="str">
            <v>82093600000242</v>
          </cell>
          <cell r="C33560" t="str">
            <v>JCC PRE JU INT REACTIVA PRE-HONRAMIENTO 7 C</v>
          </cell>
        </row>
        <row r="33561">
          <cell r="B33561" t="str">
            <v>82093600000243</v>
          </cell>
          <cell r="C33561" t="str">
            <v>JCC COB JU INT REACTIVA PRE-HONRAMIENTO 7 C</v>
          </cell>
        </row>
        <row r="33562">
          <cell r="B33562" t="str">
            <v>82093600000244</v>
          </cell>
          <cell r="C33562" t="str">
            <v>JCC PRE JU REACTIVA PRE-HONRAMIENTO REPR7 C</v>
          </cell>
        </row>
        <row r="33563">
          <cell r="B33563" t="str">
            <v>82093600000245</v>
          </cell>
          <cell r="C33563" t="str">
            <v>JCC COB JU REACTIVA PRE-HONRAMIENTO REPR7 C</v>
          </cell>
        </row>
        <row r="33564">
          <cell r="B33564" t="str">
            <v>82093600000246</v>
          </cell>
          <cell r="C33564" t="str">
            <v>JCC PRE JU INT REACT PRE-HONRAM REPR20237 C</v>
          </cell>
        </row>
        <row r="33565">
          <cell r="B33565" t="str">
            <v>82093600000247</v>
          </cell>
          <cell r="C33565" t="str">
            <v>JCC COB JU INT REACTIVA PRE-HONRAMIENT R7 C</v>
          </cell>
        </row>
        <row r="33566">
          <cell r="B33566" t="str">
            <v>82093600000248</v>
          </cell>
          <cell r="C33566" t="str">
            <v>JCC PRE JUD CRECER PRE-HONRAMIENTO      7 C</v>
          </cell>
        </row>
        <row r="33567">
          <cell r="B33567" t="str">
            <v>82093600000249</v>
          </cell>
          <cell r="C33567" t="str">
            <v>JCC COB JUD CRECER PRE-HONRAMIENTO      7 C</v>
          </cell>
        </row>
        <row r="33568">
          <cell r="B33568" t="str">
            <v>82093600000250</v>
          </cell>
          <cell r="C33568" t="str">
            <v>JCC PRE JU INTERES CRECER PRE-HONRAMIENT7 C</v>
          </cell>
        </row>
        <row r="33569">
          <cell r="B33569" t="str">
            <v>82093600000251</v>
          </cell>
          <cell r="C33569" t="str">
            <v>JCC COB JU INTERES CRECER PRE-HONRAMIENT7 C</v>
          </cell>
        </row>
        <row r="33570">
          <cell r="B33570" t="str">
            <v>82093600000252</v>
          </cell>
          <cell r="C33570" t="str">
            <v>MYP CTRA CUENTA IMPULSO MYPERU          7 C</v>
          </cell>
        </row>
        <row r="33571">
          <cell r="B33571" t="str">
            <v>82093600000253</v>
          </cell>
          <cell r="C33571" t="str">
            <v>MYP CTRA CUENTA IMPULSO MYPERU INT      7 C</v>
          </cell>
        </row>
        <row r="33572">
          <cell r="B33572" t="str">
            <v>82093600000254</v>
          </cell>
          <cell r="C33572" t="str">
            <v>LPC REFINANCIADO CRECER IBK POST HONR   7 C</v>
          </cell>
        </row>
        <row r="33573">
          <cell r="B33573" t="str">
            <v>82093600000255</v>
          </cell>
          <cell r="C33573" t="str">
            <v>LPC CTRA CTA REFINANCIADO INT COFIDE POS7 C</v>
          </cell>
        </row>
        <row r="33574">
          <cell r="B33574" t="str">
            <v>82093600000256</v>
          </cell>
          <cell r="C33574" t="str">
            <v>LPC CTRA.CTA IMPULSO MYPERU CORTO PLAZO 7 C</v>
          </cell>
        </row>
        <row r="33575">
          <cell r="B33575" t="str">
            <v>82093600000257</v>
          </cell>
          <cell r="C33575" t="str">
            <v>LPC CTRA.CTA INT SUSP IMPULSO MYPERU COR7 C</v>
          </cell>
        </row>
        <row r="33576">
          <cell r="B33576" t="str">
            <v>82093600000258</v>
          </cell>
          <cell r="C33576" t="str">
            <v>LPC CTRA.CTA IMPULSO MYPERU MEDIANO PLAZ7 C</v>
          </cell>
        </row>
        <row r="33577">
          <cell r="B33577" t="str">
            <v>82093600000259</v>
          </cell>
          <cell r="C33577" t="str">
            <v>LPC CTRA.CTA INT SUSP IMPULSO MYPERU MED7 C</v>
          </cell>
        </row>
        <row r="33578">
          <cell r="B33578" t="str">
            <v>82093600000260</v>
          </cell>
          <cell r="C33578" t="str">
            <v>HPC CCTA CONV PRIVADO VIG GRUPO IBK     7 C</v>
          </cell>
        </row>
        <row r="33579">
          <cell r="B33579" t="str">
            <v>82093600000261</v>
          </cell>
          <cell r="C33579" t="str">
            <v>HPC CCTA CONV PRIVADO VEN GRUPO IBK     7 C</v>
          </cell>
        </row>
        <row r="33580">
          <cell r="B33580" t="str">
            <v>82093600000262</v>
          </cell>
          <cell r="C33580" t="str">
            <v>JCC CASTIGO CAPITAL CTRA CTA.BCA COMERCI7 C</v>
          </cell>
        </row>
        <row r="33581">
          <cell r="B33581" t="str">
            <v>82093600000263</v>
          </cell>
          <cell r="C33581" t="str">
            <v>LPC CTRA.CTA SURGIR SANTANDER FINANCIAMI7 C</v>
          </cell>
        </row>
        <row r="33582">
          <cell r="B33582" t="str">
            <v>82093600000264</v>
          </cell>
          <cell r="C33582" t="str">
            <v>EQUIPO PARA EL RECONOCIMIENTO Y CONTEO D7 C</v>
          </cell>
        </row>
        <row r="33583">
          <cell r="B33583" t="str">
            <v>82093600000265</v>
          </cell>
          <cell r="C33583" t="str">
            <v>MYP CAPITAL DE TRAB CIMA REUT DIF CONTRA7 C</v>
          </cell>
        </row>
        <row r="33584">
          <cell r="B33584" t="str">
            <v>82093600000266</v>
          </cell>
          <cell r="C33584" t="str">
            <v>MYP CAPITAL DE TRAB CIMA REUT DIF CONTRA7 C</v>
          </cell>
        </row>
        <row r="33585">
          <cell r="B33585" t="str">
            <v>82093600000267</v>
          </cell>
          <cell r="C33585" t="str">
            <v>MYP CAPITAL DE TRAB CIMA REUT DIF CONTRA7 C</v>
          </cell>
        </row>
        <row r="33586">
          <cell r="B33586" t="str">
            <v>82093600000268</v>
          </cell>
          <cell r="C33586" t="str">
            <v>MYP LINEA REVOLV CIMA CCTA INT VIG NORM 7 C</v>
          </cell>
        </row>
        <row r="33587">
          <cell r="B33587" t="str">
            <v>82093600000269</v>
          </cell>
          <cell r="C33587" t="str">
            <v>MYP LINEA REVOLV CIMA CCTA INT VEN NORM 7 C</v>
          </cell>
        </row>
        <row r="33588">
          <cell r="B33588" t="str">
            <v>82093600000270</v>
          </cell>
          <cell r="C33588" t="str">
            <v>JCC MP CTRA CTA CASTIGO IMPULSO MYPERU I7 C</v>
          </cell>
        </row>
        <row r="33589">
          <cell r="B33589" t="str">
            <v>82093600000271</v>
          </cell>
          <cell r="C33589" t="str">
            <v>JCC MP CTRA CTA INT.SUSP IMPULSO MYPERU 7 C</v>
          </cell>
        </row>
        <row r="33590">
          <cell r="B33590" t="str">
            <v>82093600000272</v>
          </cell>
          <cell r="C33590" t="str">
            <v>JCC MP CTRA CTA INT IMPULSO MYPERU COFID7 C</v>
          </cell>
        </row>
        <row r="33591">
          <cell r="B33591" t="str">
            <v>82093600000273</v>
          </cell>
          <cell r="C33591" t="str">
            <v>JCC BC CASTIGO IMPULSO MYPERU PRE-HONRA 7 C</v>
          </cell>
        </row>
        <row r="33592">
          <cell r="B33592" t="str">
            <v>82093600000274</v>
          </cell>
          <cell r="C33592" t="str">
            <v>JCC BC INT.SUSP IMPULSO MYPERU PRE-HONRA7 C</v>
          </cell>
        </row>
        <row r="33593">
          <cell r="B33593" t="str">
            <v>82093600000275</v>
          </cell>
          <cell r="C33593" t="str">
            <v>JCC CTRA CTA LPC IMPULSO MYPERU PRE-HONR7 C</v>
          </cell>
        </row>
        <row r="33594">
          <cell r="B33594" t="str">
            <v>82093600000276</v>
          </cell>
          <cell r="C33594" t="str">
            <v>JCC CART.508 CTRA CTA IMPULSO MYPERU COF7 C</v>
          </cell>
        </row>
        <row r="33595">
          <cell r="B33595" t="str">
            <v>82093600000277</v>
          </cell>
          <cell r="C33595" t="str">
            <v>JCC MP CTRA CTA IMPULSO MYPERU IBK      7 C</v>
          </cell>
        </row>
        <row r="33596">
          <cell r="B33596" t="str">
            <v>82093600000278</v>
          </cell>
          <cell r="C33596" t="str">
            <v>MYP CAP TRAB IMPULSO IBK SG CTRA CTA VIG7 C</v>
          </cell>
        </row>
        <row r="33597">
          <cell r="B33597" t="str">
            <v>82093600000279</v>
          </cell>
          <cell r="C33597" t="str">
            <v>MYP CAP TRAB PER GRACIA PARCIAL SUSP VIG7 C</v>
          </cell>
        </row>
        <row r="33598">
          <cell r="B33598" t="str">
            <v>82093600000280</v>
          </cell>
          <cell r="C33598" t="str">
            <v>MYP REPROG PERIODO GRACIA PARCIAL INT SU7 C</v>
          </cell>
        </row>
        <row r="33599">
          <cell r="B33599" t="str">
            <v>82093600000281</v>
          </cell>
          <cell r="C33599" t="str">
            <v>MYP REPROG PERIODO GRACIA PARCIAL       7 C</v>
          </cell>
        </row>
        <row r="33600">
          <cell r="B33600" t="str">
            <v>82093600000282</v>
          </cell>
          <cell r="C33600" t="str">
            <v>JCC MP CTRA CTA CASTIGO IMPULSO MYPERU H7 C</v>
          </cell>
        </row>
        <row r="33601">
          <cell r="B33601" t="str">
            <v>82093600000283</v>
          </cell>
          <cell r="C33601" t="str">
            <v>JCC MP CTRA CTA INT IMPULSO MYPERU HONRA7 C</v>
          </cell>
        </row>
        <row r="33602">
          <cell r="B33602" t="str">
            <v>82093600000284</v>
          </cell>
          <cell r="C33602" t="str">
            <v>JCC MP CTRA CTA IMPULSO MYPERU IBK      7 C</v>
          </cell>
        </row>
        <row r="33603">
          <cell r="B33603" t="str">
            <v>82093600000285</v>
          </cell>
          <cell r="C33603" t="str">
            <v>JCC MP INT SUSP CTRA CTA IMPULSO MYPERU 7 C</v>
          </cell>
        </row>
        <row r="33604">
          <cell r="B33604" t="str">
            <v>82093600000286</v>
          </cell>
          <cell r="C33604" t="str">
            <v>MYP D/P CCTA INT.X COB.CAP.TRAB CESP    7 C</v>
          </cell>
        </row>
        <row r="33605">
          <cell r="B33605" t="str">
            <v>82093600000287</v>
          </cell>
          <cell r="C33605" t="str">
            <v>MYP CCTA INT.VENC C.TRAB.CESP           7 C</v>
          </cell>
        </row>
        <row r="33606">
          <cell r="B33606" t="str">
            <v>82093600000288</v>
          </cell>
          <cell r="C33606" t="str">
            <v>MYP D/P CCTA INTXCOB CAP.TRAB CESP      7 C</v>
          </cell>
        </row>
        <row r="33607">
          <cell r="B33607" t="str">
            <v>82093600000289</v>
          </cell>
          <cell r="C33607" t="str">
            <v>MYP CTRA CTA  PAG.TV REFIN. C/FIJ       7 C</v>
          </cell>
        </row>
        <row r="33608">
          <cell r="B33608" t="str">
            <v>82093600000290</v>
          </cell>
          <cell r="C33608" t="str">
            <v>MYP CTRA CTA  PAG.TV REFIN.C/FIJA       7 C</v>
          </cell>
        </row>
        <row r="33609">
          <cell r="B33609" t="str">
            <v>82093600000291</v>
          </cell>
          <cell r="C33609" t="str">
            <v>MYP CTRA CTA  LINEA REVOL REUT.VE DUPE  7 C</v>
          </cell>
        </row>
        <row r="33610">
          <cell r="B33610" t="str">
            <v>82093600000292</v>
          </cell>
          <cell r="C33610" t="str">
            <v>MYP CTRA CTA  LINEA REVOL REUT.VE NORM  7 C</v>
          </cell>
        </row>
        <row r="33611">
          <cell r="B33611" t="str">
            <v>82093600000293</v>
          </cell>
          <cell r="C33611" t="str">
            <v>MYP CTRA CTA  LINEA REVOL REUT.VE DUPE  7 C</v>
          </cell>
        </row>
        <row r="33612">
          <cell r="B33612" t="str">
            <v>82093600000294</v>
          </cell>
          <cell r="C33612" t="str">
            <v>MYP CTRA CTA  LINEA REVOL REUT.VE NORM  7 C</v>
          </cell>
        </row>
        <row r="33613">
          <cell r="B33613" t="str">
            <v>82093600000295</v>
          </cell>
          <cell r="C33613" t="str">
            <v>MYP CTRA CTA  DUPE CAP.TRAB.REUT. DUPE  7 C</v>
          </cell>
        </row>
        <row r="33614">
          <cell r="B33614" t="str">
            <v>82093600000296</v>
          </cell>
          <cell r="C33614" t="str">
            <v>MYP CTRA CTA  CAP.TRAB.REUT.VEN C NORM  7 C</v>
          </cell>
        </row>
        <row r="33615">
          <cell r="B33615" t="str">
            <v>82093600000297</v>
          </cell>
          <cell r="C33615" t="str">
            <v>MYP CTRA CTA  DUPE CAP.TRAB.REUT. DUPE  7 C</v>
          </cell>
        </row>
        <row r="33616">
          <cell r="B33616" t="str">
            <v>82093600000298</v>
          </cell>
          <cell r="C33616" t="str">
            <v>MYP CTRA CTA  DUPE CAP.TRAB.REUT. DUPE  7 C</v>
          </cell>
        </row>
        <row r="33617">
          <cell r="B33617" t="str">
            <v>82093600000299</v>
          </cell>
          <cell r="C33617" t="str">
            <v>MYP CTRA CTA  CAP.TRAB.REUT.VEN C NORM  7 C</v>
          </cell>
        </row>
        <row r="33618">
          <cell r="B33618" t="str">
            <v>82093600000300</v>
          </cell>
          <cell r="C33618" t="str">
            <v>MYP CTRA CTA  CODIFE FONDO CRECER DUPE  7 C</v>
          </cell>
        </row>
        <row r="33619">
          <cell r="B33619" t="str">
            <v>82093600000301</v>
          </cell>
          <cell r="C33619" t="str">
            <v>MYP CTRA CTA  CODIFE FONDO CRECER NORM  7 C</v>
          </cell>
        </row>
        <row r="33620">
          <cell r="B33620" t="str">
            <v>82093600000302</v>
          </cell>
          <cell r="C33620" t="str">
            <v>MYP CTRA CTA  CODIFE FONDO CRECER DUPE  7 C</v>
          </cell>
        </row>
        <row r="33621">
          <cell r="B33621" t="str">
            <v>82093600000303</v>
          </cell>
          <cell r="C33621" t="str">
            <v>MYP CTRA CTA  CODIFE FONDO CRECER DUPE  7 C</v>
          </cell>
        </row>
        <row r="33622">
          <cell r="B33622" t="str">
            <v>82093600000304</v>
          </cell>
          <cell r="C33622" t="str">
            <v>MYP CTRA CTA  CODIFE FONDO CRECER NORM  7 C</v>
          </cell>
        </row>
        <row r="33623">
          <cell r="B33623" t="str">
            <v>82093600000305</v>
          </cell>
          <cell r="C33623" t="str">
            <v>MYP CTRA CTA  COFIDE REACTIVA PER DUPE  7 C</v>
          </cell>
        </row>
        <row r="33624">
          <cell r="B33624" t="str">
            <v>82093600000306</v>
          </cell>
          <cell r="C33624" t="str">
            <v>MYP CTRA CTA  COFIDE REACTIVA PER NORM  7 C</v>
          </cell>
        </row>
        <row r="33625">
          <cell r="B33625" t="str">
            <v>82093600000307</v>
          </cell>
          <cell r="C33625" t="str">
            <v>MYP CTRA CTA  COFIDE REACTIVA PER DUPE  7 C</v>
          </cell>
        </row>
        <row r="33626">
          <cell r="B33626" t="str">
            <v>82093600000308</v>
          </cell>
          <cell r="C33626" t="str">
            <v>MYP CTRA CTA  COFIDE REACTIVA PER NORM  7 C</v>
          </cell>
        </row>
        <row r="33627">
          <cell r="B33627" t="str">
            <v>82093600000309</v>
          </cell>
          <cell r="C33627" t="str">
            <v>MYP CTRA CTA  REACTIVA REPRO PERU DUPE  7 C</v>
          </cell>
        </row>
        <row r="33628">
          <cell r="B33628" t="str">
            <v>82093600000310</v>
          </cell>
          <cell r="C33628" t="str">
            <v>MYP CTRA CTA  REACTIVA REPRO PERU NORM  7 C</v>
          </cell>
        </row>
        <row r="33629">
          <cell r="B33629" t="str">
            <v>82093600000311</v>
          </cell>
          <cell r="C33629" t="str">
            <v>MYP CTRA CTA  30K REACTIVA PERU R DUPE  7 C</v>
          </cell>
        </row>
        <row r="33630">
          <cell r="B33630" t="str">
            <v>82093600000312</v>
          </cell>
          <cell r="C33630" t="str">
            <v>MYP CTRA CTA  30K REACTIVA PERU R NORM  7 C</v>
          </cell>
        </row>
        <row r="33631">
          <cell r="B33631" t="str">
            <v>82093600000313</v>
          </cell>
          <cell r="C33631" t="str">
            <v>MYP CTRA CTA  30K REACTIVA PERU R DUPE  7 C</v>
          </cell>
        </row>
        <row r="33632">
          <cell r="B33632" t="str">
            <v>82093600000314</v>
          </cell>
          <cell r="C33632" t="str">
            <v>MYP CTRA CTA  30K REACTIVA PERU R DUPE  7 C</v>
          </cell>
        </row>
        <row r="33633">
          <cell r="B33633" t="str">
            <v>82093600000315</v>
          </cell>
          <cell r="C33633" t="str">
            <v>MYP CTRA CTA  30K REACTIVA PERU R NORM  7 C</v>
          </cell>
        </row>
        <row r="33634">
          <cell r="B33634" t="str">
            <v>82093600000316</v>
          </cell>
          <cell r="C33634" t="str">
            <v>MYP CTRA CTA  30K REACTIVA PERU R DUPE  7 C</v>
          </cell>
        </row>
        <row r="33635">
          <cell r="B33635" t="str">
            <v>82093600000317</v>
          </cell>
          <cell r="C33635" t="str">
            <v>MYP CTRA CTA  CAPITAL DE TRABAJO  DUPE  7 C</v>
          </cell>
        </row>
        <row r="33636">
          <cell r="B33636" t="str">
            <v>82093600000318</v>
          </cell>
          <cell r="C33636" t="str">
            <v>MYP CTRA CTA  CAPITAL DE TRABAJO  NORM  7 C</v>
          </cell>
        </row>
        <row r="33637">
          <cell r="B33637" t="str">
            <v>82093600000319</v>
          </cell>
          <cell r="C33637" t="str">
            <v>MYP CTRA CTA  CAPITAL DE TRABAJO  DUPE  7 C</v>
          </cell>
        </row>
        <row r="33638">
          <cell r="B33638" t="str">
            <v>82093600000320</v>
          </cell>
          <cell r="C33638" t="str">
            <v>MYP CTRA CTA  CAPITAL DE TRABAJO  NORM  7 C</v>
          </cell>
        </row>
        <row r="33639">
          <cell r="B33639" t="str">
            <v>82093600000321</v>
          </cell>
          <cell r="C33639" t="str">
            <v>MYP CTRA CTA  D/P CAP VENC CAP.TR DUPE  7 C</v>
          </cell>
        </row>
        <row r="33640">
          <cell r="B33640" t="str">
            <v>82093600000322</v>
          </cell>
          <cell r="C33640" t="str">
            <v>MYP CTRA CTA  CAP.VENC CAP.TRAB.N NORM  7 C</v>
          </cell>
        </row>
        <row r="33641">
          <cell r="B33641" t="str">
            <v>82093600000323</v>
          </cell>
          <cell r="C33641" t="str">
            <v>GAC HIP HIPOTECAS INTERSEGURO - PREFERID7 C</v>
          </cell>
        </row>
        <row r="33642">
          <cell r="B33642" t="str">
            <v>82093600000324</v>
          </cell>
          <cell r="C33642" t="str">
            <v>GAC HIP HIPOTECAS INTERSEGURO - NO PREFE7 C</v>
          </cell>
        </row>
        <row r="33643">
          <cell r="B33643" t="str">
            <v>82093600000325</v>
          </cell>
          <cell r="C33643" t="str">
            <v>LPC PAG PAPERLESS DERIVADOS NO REVOL    7NC</v>
          </cell>
        </row>
        <row r="33644">
          <cell r="B33644" t="str">
            <v>82093600000326</v>
          </cell>
          <cell r="C33644" t="str">
            <v>CCD-BPE CAPITAL DE TRABAJO_CTRA CTA     7 C</v>
          </cell>
        </row>
        <row r="33645">
          <cell r="B33645" t="str">
            <v>82093600000327</v>
          </cell>
          <cell r="C33645" t="str">
            <v>CCD-BPE LINEA REVOLVENTE_CTRA CTA       7 C</v>
          </cell>
        </row>
        <row r="33646">
          <cell r="B33646" t="str">
            <v>82093600000328</v>
          </cell>
          <cell r="C33646" t="str">
            <v>CCD-BPE REFINANCIADO_CTRA CTA           7 C</v>
          </cell>
        </row>
        <row r="33647">
          <cell r="B33647" t="str">
            <v>82093600000329</v>
          </cell>
          <cell r="C33647" t="str">
            <v>JCC CCD CTRA CTA CASTIGO CAPITAL DE TRAB7 C</v>
          </cell>
        </row>
        <row r="33648">
          <cell r="B33648" t="str">
            <v>82093600000330</v>
          </cell>
          <cell r="C33648" t="str">
            <v>JCC CCD CTRA CTA INT PJ/JU CAPITAL DE TR7 C</v>
          </cell>
        </row>
        <row r="33649">
          <cell r="B33649" t="str">
            <v>82093600000331</v>
          </cell>
          <cell r="C33649" t="str">
            <v>CCD-BPE CAP DE TRAB REPROG_REPROG_CTRA C7 C</v>
          </cell>
        </row>
        <row r="33650">
          <cell r="B33650" t="str">
            <v>82093600000332</v>
          </cell>
          <cell r="C33650" t="str">
            <v>GAC OCF-OTRAS CARTAS FIANZA NO PREF-CTRA7 C</v>
          </cell>
        </row>
        <row r="33651">
          <cell r="B33651" t="str">
            <v>82093600000333</v>
          </cell>
          <cell r="C33651" t="str">
            <v>GAC RF-FONDOS RETENIDOS NO PREF-CTRA CTA7 C</v>
          </cell>
        </row>
        <row r="33652">
          <cell r="B33652" t="str">
            <v>83000000000101</v>
          </cell>
          <cell r="C33652" t="str">
            <v>CTRA CTA DE ORDEN ACREEDORAS DE VALORES 7ND</v>
          </cell>
        </row>
        <row r="33653">
          <cell r="B33653" t="str">
            <v>83000000000102</v>
          </cell>
          <cell r="C33653" t="str">
            <v>BL CTRA CTA ORD ACREED BL VAL Y BNES REC7ND</v>
          </cell>
        </row>
        <row r="33654">
          <cell r="B33654" t="str">
            <v>83000000000103</v>
          </cell>
          <cell r="C33654" t="str">
            <v>VALORES Y BIENES EN CUSTODIA DE INTER   7ND</v>
          </cell>
        </row>
        <row r="33655">
          <cell r="B33655" t="str">
            <v>83000000000104</v>
          </cell>
          <cell r="C33655" t="str">
            <v>VAL Y BIENES EN CUSTODIA COMPASS        7ND</v>
          </cell>
        </row>
        <row r="33656">
          <cell r="B33656" t="str">
            <v>83000000000105</v>
          </cell>
          <cell r="C33656" t="str">
            <v>VAL. BIENES EN CUSTODIA EXTERIOR INTE   7ND</v>
          </cell>
        </row>
        <row r="33657">
          <cell r="B33657" t="str">
            <v>83000000000106</v>
          </cell>
          <cell r="C33657" t="str">
            <v>VAL. Y TITULOS CUST PAT FID 036 2000    7ND</v>
          </cell>
        </row>
        <row r="33658">
          <cell r="B33658" t="str">
            <v>83000000000107</v>
          </cell>
          <cell r="C33658" t="str">
            <v>VAL. Y TITULOS CUST FID THUNDERBIRD     7ND</v>
          </cell>
        </row>
        <row r="33659">
          <cell r="B33659" t="str">
            <v>83000000000108</v>
          </cell>
          <cell r="C33659" t="str">
            <v>VAL. Y TITULOS CUST IFS                 7ND</v>
          </cell>
        </row>
        <row r="33660">
          <cell r="B33660" t="str">
            <v>83000000000109</v>
          </cell>
          <cell r="C33660" t="str">
            <v>CONTRACUENTA VALORES Y TITULOS EN CUS   7ND</v>
          </cell>
        </row>
        <row r="33661">
          <cell r="B33661" t="str">
            <v>83000000000115</v>
          </cell>
          <cell r="C33661" t="str">
            <v>VAL.CUST OTROS CLIENTES                 7ND</v>
          </cell>
        </row>
        <row r="33662">
          <cell r="B33662" t="str">
            <v>83000000000116</v>
          </cell>
          <cell r="C33662" t="str">
            <v>VAL.CUST FID YANACOCHA LOCAL            7ND</v>
          </cell>
        </row>
        <row r="33663">
          <cell r="B33663" t="str">
            <v>83000000000117</v>
          </cell>
          <cell r="C33663" t="str">
            <v>VALORES Y TITULOS CUSTODIA INTERCORP PER7ND</v>
          </cell>
        </row>
        <row r="33664">
          <cell r="B33664" t="str">
            <v>83000000000118</v>
          </cell>
          <cell r="C33664" t="str">
            <v>VALORES Y TITULOS CUSTODIA FIDEICOMISO L7ND</v>
          </cell>
        </row>
        <row r="33665">
          <cell r="B33665" t="str">
            <v>83000000000201</v>
          </cell>
          <cell r="C33665" t="str">
            <v>FCD COBRANZA LIBRE FACTURAS CTRA CTA    7ND</v>
          </cell>
        </row>
        <row r="33666">
          <cell r="B33666" t="str">
            <v>83000000000202</v>
          </cell>
          <cell r="C33666" t="str">
            <v>PR COBRANZA LIBRE LETRAS BL             7ND</v>
          </cell>
        </row>
        <row r="33667">
          <cell r="B33667" t="str">
            <v>83000000000203</v>
          </cell>
          <cell r="C33667" t="str">
            <v>CTRA CTA VALORES RECIB IMPORTACION      7ND</v>
          </cell>
        </row>
        <row r="33668">
          <cell r="B33668" t="str">
            <v>83000000000204</v>
          </cell>
          <cell r="C33668" t="str">
            <v>PR Ctra cta FACT NEGOCIABLES  COBRANZA L7ND</v>
          </cell>
        </row>
        <row r="33669">
          <cell r="B33669" t="str">
            <v>83000000000205</v>
          </cell>
          <cell r="C33669" t="str">
            <v>COBRANZA DE FACTURS NEGOCIABLE          7ND</v>
          </cell>
        </row>
        <row r="33670">
          <cell r="B33670" t="str">
            <v>83000000000301</v>
          </cell>
          <cell r="C33670" t="str">
            <v>CTRA CTA DE VALORES RECIB EN COB EXT-   7ND</v>
          </cell>
        </row>
        <row r="33671">
          <cell r="B33671" t="str">
            <v>83000000000302</v>
          </cell>
          <cell r="C33671" t="str">
            <v>CTRA CTA VALORES RECIB EXPORTACION      7ND</v>
          </cell>
        </row>
        <row r="33672">
          <cell r="B33672" t="str">
            <v>83000000000303</v>
          </cell>
          <cell r="C33672" t="str">
            <v>CONTRACTA VAL FACTORING INT             7ND</v>
          </cell>
        </row>
        <row r="33673">
          <cell r="B33673" t="str">
            <v>83000000000304</v>
          </cell>
          <cell r="C33673" t="str">
            <v>CONTRACTA VAL COB IM FACTORING INT      7ND</v>
          </cell>
        </row>
        <row r="33674">
          <cell r="B33674" t="str">
            <v>83000000000305</v>
          </cell>
          <cell r="C33674" t="str">
            <v>MDC  Contra cta Valores de Repo Interban7ND</v>
          </cell>
        </row>
        <row r="33675">
          <cell r="B33675" t="str">
            <v>83000000000401</v>
          </cell>
          <cell r="C33675" t="str">
            <v>CTRA CTA GARANTIAS RECIBIDAS POR OPERACI7ND</v>
          </cell>
        </row>
        <row r="33676">
          <cell r="B33676" t="str">
            <v>83000000000402</v>
          </cell>
          <cell r="C33676" t="str">
            <v>BL CTRA CTA BL GTIAS REC OP DE CREDITO  7ND</v>
          </cell>
        </row>
        <row r="33677">
          <cell r="B33677" t="str">
            <v>83000000000403</v>
          </cell>
          <cell r="C33677" t="str">
            <v>BL ACREED POR CONTRA GTIAS RECIBIDAS PR 7ND</v>
          </cell>
        </row>
        <row r="33678">
          <cell r="B33678" t="str">
            <v>83000000000405</v>
          </cell>
          <cell r="C33678" t="str">
            <v>BL CGTRA CTA GARANTIAS -CST             7ND</v>
          </cell>
        </row>
        <row r="33679">
          <cell r="B33679" t="str">
            <v>83000000000409</v>
          </cell>
          <cell r="C33679" t="str">
            <v>CTRACTA CB ME GTIA CUSTODIA             7ND</v>
          </cell>
        </row>
        <row r="33680">
          <cell r="B33680" t="str">
            <v>83000000000410</v>
          </cell>
          <cell r="C33680" t="str">
            <v>CTRA CTA GARANTIAS MEF 114              7ND</v>
          </cell>
        </row>
        <row r="33681">
          <cell r="B33681" t="str">
            <v>83000000000411</v>
          </cell>
          <cell r="C33681" t="str">
            <v>CTRA CTA HIPOTECAS MI VIVIENDA          7ND</v>
          </cell>
        </row>
        <row r="33682">
          <cell r="B33682" t="str">
            <v>83000000000412</v>
          </cell>
          <cell r="C33682" t="str">
            <v>CTRA.CTA. VALORES IB100000000412        7ND</v>
          </cell>
        </row>
        <row r="33683">
          <cell r="B33683" t="str">
            <v>83000000000413</v>
          </cell>
          <cell r="C33683" t="str">
            <v>CTRA.CTA. GARANTIAS BANCARIAS IB        7ND</v>
          </cell>
        </row>
        <row r="33684">
          <cell r="B33684" t="str">
            <v>83000000000414</v>
          </cell>
          <cell r="C33684" t="str">
            <v>CTRA.CTA. WARRANTS IB00000000414        7ND</v>
          </cell>
        </row>
        <row r="33685">
          <cell r="B33685" t="str">
            <v>83000000000415</v>
          </cell>
          <cell r="C33685" t="str">
            <v>CTRA.CTA.VALORES BL3100000000415        7ND</v>
          </cell>
        </row>
        <row r="33686">
          <cell r="B33686" t="str">
            <v>83000000000416</v>
          </cell>
          <cell r="C33686" t="str">
            <v>CTRA.CTA. GARANTIAS BANCARIAS BL        7ND</v>
          </cell>
        </row>
        <row r="33687">
          <cell r="B33687" t="str">
            <v>83000000000417</v>
          </cell>
          <cell r="C33687" t="str">
            <v>CTRA.CTA. WARRANTS BL00000000417        7ND</v>
          </cell>
        </row>
        <row r="33688">
          <cell r="B33688" t="str">
            <v>83000000000418</v>
          </cell>
          <cell r="C33688" t="str">
            <v>CTRA.CTA. WARRANTS MEF0000000418        7ND</v>
          </cell>
        </row>
        <row r="33689">
          <cell r="B33689" t="str">
            <v>83000000000419</v>
          </cell>
          <cell r="C33689" t="str">
            <v>CONTRA CUENTA PRENDAS IB00000419        7ND</v>
          </cell>
        </row>
        <row r="33690">
          <cell r="B33690" t="str">
            <v>83000000000420</v>
          </cell>
          <cell r="C33690" t="str">
            <v>CONTRA CUENTA CREDITO VEHICULAR         7ND</v>
          </cell>
        </row>
        <row r="33691">
          <cell r="B33691" t="str">
            <v>83000000000421</v>
          </cell>
          <cell r="C33691" t="str">
            <v>CONTRA CUENTA CPM IB200000000421        7ND</v>
          </cell>
        </row>
        <row r="33692">
          <cell r="B33692" t="str">
            <v>83000000000422</v>
          </cell>
          <cell r="C33692" t="str">
            <v>CONTRA CUENTA FONDOS MUTUOS IB22        7ND</v>
          </cell>
        </row>
        <row r="33693">
          <cell r="B33693" t="str">
            <v>83000000000423</v>
          </cell>
          <cell r="C33693" t="str">
            <v>CONTRA CUENTA PRENDAS BL00000423        7ND</v>
          </cell>
        </row>
        <row r="33694">
          <cell r="B33694" t="str">
            <v>83000000000424</v>
          </cell>
          <cell r="C33694" t="str">
            <v>CONTRA CUENTA CREDITO VEHICULAR BL      7ND</v>
          </cell>
        </row>
        <row r="33695">
          <cell r="B33695" t="str">
            <v>83000000000425</v>
          </cell>
          <cell r="C33695" t="str">
            <v>CONTRA CUENTA CPM BL                    7ND</v>
          </cell>
        </row>
        <row r="33696">
          <cell r="B33696" t="str">
            <v>83000000000426</v>
          </cell>
          <cell r="C33696" t="str">
            <v>contra cuenta prendas MEF 114           7ND</v>
          </cell>
        </row>
        <row r="33697">
          <cell r="B33697" t="str">
            <v>83000000000427</v>
          </cell>
          <cell r="C33697" t="str">
            <v>contra cuenta CPMÂ Â Â  MEF 114         7ND</v>
          </cell>
        </row>
        <row r="33698">
          <cell r="B33698" t="str">
            <v>83000000000428</v>
          </cell>
          <cell r="C33698" t="str">
            <v>CONTRA CUENTA PRENDAS SERCA             7ND</v>
          </cell>
        </row>
        <row r="33699">
          <cell r="B33699" t="str">
            <v>83000000000429</v>
          </cell>
          <cell r="C33699" t="str">
            <v>contra cuenta credito vehicular SERCA   7ND</v>
          </cell>
        </row>
        <row r="33700">
          <cell r="B33700" t="str">
            <v>83000000000430</v>
          </cell>
          <cell r="C33700" t="str">
            <v>contra cuenta CPM    SERCA              7ND</v>
          </cell>
        </row>
        <row r="33701">
          <cell r="B33701" t="str">
            <v>83000000000431</v>
          </cell>
          <cell r="C33701" t="str">
            <v>contra cuenta credito vehicular INV.TEMP7ND</v>
          </cell>
        </row>
        <row r="33702">
          <cell r="B33702" t="str">
            <v>83000000000436</v>
          </cell>
          <cell r="C33702" t="str">
            <v>CTRA.CTA.HIPOTECAS IB                   7ND</v>
          </cell>
        </row>
        <row r="33703">
          <cell r="B33703" t="str">
            <v>83000000000437</v>
          </cell>
          <cell r="C33703" t="str">
            <v>CTRA.CTA.HIPOTECAS BL                   7ND</v>
          </cell>
        </row>
        <row r="33704">
          <cell r="B33704" t="str">
            <v>83000000000438</v>
          </cell>
          <cell r="C33704" t="str">
            <v>CTRA.CTA.HIPOTECAS MEF                  7ND</v>
          </cell>
        </row>
        <row r="33705">
          <cell r="B33705" t="str">
            <v>83000000000439</v>
          </cell>
          <cell r="C33705" t="str">
            <v>CTRA.CTA.HIPOTECAS SERCA                7ND</v>
          </cell>
        </row>
        <row r="33706">
          <cell r="B33706" t="str">
            <v>83000000000445</v>
          </cell>
          <cell r="C33706" t="str">
            <v>CTRACTA CTAS CTES EN GTIA               7ND</v>
          </cell>
        </row>
        <row r="33707">
          <cell r="B33707" t="str">
            <v>83000000000446</v>
          </cell>
          <cell r="C33707" t="str">
            <v>CTRA CTA CTA CTE GTIA INMOB-PJ S/F LU   7ND</v>
          </cell>
        </row>
        <row r="33708">
          <cell r="B33708" t="str">
            <v>83000000000447</v>
          </cell>
          <cell r="C33708" t="str">
            <v>CTRA CTA CTA CTE GTIA INMOB-OTR7        7ND</v>
          </cell>
        </row>
        <row r="33709">
          <cell r="B33709" t="str">
            <v>83000000000448</v>
          </cell>
          <cell r="C33709" t="str">
            <v>CTRA CTA CTAS CTES GTIA PJ SF LUCRO     7ND</v>
          </cell>
        </row>
        <row r="33710">
          <cell r="B33710" t="str">
            <v>83000000000449</v>
          </cell>
          <cell r="C33710" t="str">
            <v>CTRA CTA GARANT CRED HIP BONOS HIP      7ND</v>
          </cell>
        </row>
        <row r="33711">
          <cell r="B33711" t="str">
            <v>83000000000450</v>
          </cell>
          <cell r="C33711" t="str">
            <v>CTRACTA GTIA CRED HIPOT TECHO P         7ND</v>
          </cell>
        </row>
        <row r="33712">
          <cell r="B33712" t="str">
            <v>83000000000452</v>
          </cell>
          <cell r="C33712" t="str">
            <v>CTRA CTA GTIA PREFER UNIDAD DE P        7ND</v>
          </cell>
        </row>
        <row r="33713">
          <cell r="B33713" t="str">
            <v>83000000000453</v>
          </cell>
          <cell r="C33713" t="str">
            <v>CTRA CTA GTIA NO PREF UNIDAD DE PROD    7ND</v>
          </cell>
        </row>
        <row r="33714">
          <cell r="B33714" t="str">
            <v>83000000000454</v>
          </cell>
          <cell r="C33714" t="str">
            <v>CST CTRACTA GAR.NO PREF.AVAL/FIA        7ND</v>
          </cell>
        </row>
        <row r="33715">
          <cell r="B33715" t="str">
            <v>83000000000455</v>
          </cell>
          <cell r="C33715" t="str">
            <v>CST CDN GARANTIA PN/PJ                  7ND</v>
          </cell>
        </row>
        <row r="33716">
          <cell r="B33716" t="str">
            <v>83000000000456</v>
          </cell>
          <cell r="C33716" t="str">
            <v>CST BT GTIA PREF HIP MIVIV COF          7ND</v>
          </cell>
        </row>
        <row r="33717">
          <cell r="B33717" t="str">
            <v>83000000000457</v>
          </cell>
          <cell r="C33717" t="str">
            <v>CST BT CRTA CTA GTIA CAR.FIANZA         7ND</v>
          </cell>
        </row>
        <row r="33718">
          <cell r="B33718" t="str">
            <v>83000000000458</v>
          </cell>
          <cell r="C33718" t="str">
            <v>CST BT GTIA.NO PREF.AVALES/FIANZ        7ND</v>
          </cell>
        </row>
        <row r="33719">
          <cell r="B33719" t="str">
            <v>83000000000459</v>
          </cell>
          <cell r="C33719" t="str">
            <v>CST GTIA.HIPOTEC.MI HOGAR PREF          7ND</v>
          </cell>
        </row>
        <row r="33720">
          <cell r="B33720" t="str">
            <v>83000000000460</v>
          </cell>
          <cell r="C33720" t="str">
            <v>FCD COB.LBR.F.BL CTRA CTA               7ND</v>
          </cell>
        </row>
        <row r="33721">
          <cell r="B33721" t="str">
            <v>83000000000461</v>
          </cell>
          <cell r="C33721" t="str">
            <v>CST GTIA HIP MYP NO PREFERIDA           7ND</v>
          </cell>
        </row>
        <row r="33722">
          <cell r="B33722" t="str">
            <v>83000000000462</v>
          </cell>
          <cell r="C33722" t="str">
            <v>CST GTIA HIP MYP PREFERIDA              7ND</v>
          </cell>
        </row>
        <row r="33723">
          <cell r="B33723" t="str">
            <v>83000000000463</v>
          </cell>
          <cell r="C33723" t="str">
            <v>CST CART FIANZA MI VIVIENDA C.CTA       7ND</v>
          </cell>
        </row>
        <row r="33724">
          <cell r="B33724" t="str">
            <v>83000000000464</v>
          </cell>
          <cell r="C33724" t="str">
            <v>CST C.CTA MIVIVIENDA HIPOTECA PREFERIDA 7ND</v>
          </cell>
        </row>
        <row r="33725">
          <cell r="B33725" t="str">
            <v>83000000000465</v>
          </cell>
          <cell r="C33725" t="str">
            <v>CST C.CTA MIVIVIENDA HIPOTECA NO PREFERI7ND</v>
          </cell>
        </row>
        <row r="33726">
          <cell r="B33726" t="str">
            <v>83000000000466</v>
          </cell>
          <cell r="C33726" t="str">
            <v>CST C.CTA HBP HIPOTECA PREFERIDA 1ER RAN7ND</v>
          </cell>
        </row>
        <row r="33727">
          <cell r="B33727" t="str">
            <v>83000000000467</v>
          </cell>
          <cell r="C33727" t="str">
            <v>CST C.CTA.HBP HIPOTECA NO PREFERIDA 2DO 7ND</v>
          </cell>
        </row>
        <row r="33728">
          <cell r="B33728" t="str">
            <v>83000000000468</v>
          </cell>
          <cell r="C33728" t="str">
            <v>JCC CTRA CTA CAP VTA. CARTERA  HIPOTECAR7ND</v>
          </cell>
        </row>
        <row r="33729">
          <cell r="B33729" t="str">
            <v>83000000000501</v>
          </cell>
          <cell r="C33729" t="str">
            <v>LPC GTIA.LEASING BNE.INMUEBLE           7ND</v>
          </cell>
        </row>
        <row r="33730">
          <cell r="B33730" t="str">
            <v>83000000000502</v>
          </cell>
          <cell r="C33730" t="str">
            <v>LPC GTIA LEASING B.MUEBLE               7ND</v>
          </cell>
        </row>
        <row r="33731">
          <cell r="B33731" t="str">
            <v>83000000000503</v>
          </cell>
          <cell r="C33731" t="str">
            <v>CTRA.CTA. GTIA LEASEBACK B.INMUEBLES    7ND</v>
          </cell>
        </row>
        <row r="33732">
          <cell r="B33732" t="str">
            <v>83000000000504</v>
          </cell>
          <cell r="C33732" t="str">
            <v>CTRA.CTA. GTIA LEASEBACK B.MUEBLES      7ND</v>
          </cell>
        </row>
        <row r="33733">
          <cell r="B33733" t="str">
            <v>83000000000601</v>
          </cell>
          <cell r="C33733" t="str">
            <v>CTRA CTA DE VALORES Y BIENES RECIB POR O7ND</v>
          </cell>
        </row>
        <row r="33734">
          <cell r="B33734" t="str">
            <v>83000000000602</v>
          </cell>
          <cell r="C33734" t="str">
            <v>BL CTRA CTA VTA DE CARTERA DS 114-98-EF 7ND</v>
          </cell>
        </row>
        <row r="33735">
          <cell r="B33735" t="str">
            <v>83000000000606</v>
          </cell>
          <cell r="C33735" t="str">
            <v>CL CARTERA TRANSFERIDA FOPE .           7ND</v>
          </cell>
        </row>
        <row r="33736">
          <cell r="B33736" t="str">
            <v>83000000000608</v>
          </cell>
          <cell r="C33736" t="str">
            <v>CL CARTERA TRANSFERIDA RFA              7ND</v>
          </cell>
        </row>
        <row r="33737">
          <cell r="B33737" t="str">
            <v>83000000000610</v>
          </cell>
          <cell r="C33737" t="str">
            <v>CL CAPITAL CART.TRANSF.FOPE             7ND</v>
          </cell>
        </row>
        <row r="33738">
          <cell r="B33738" t="str">
            <v>83000000000801</v>
          </cell>
          <cell r="C33738" t="str">
            <v>CARTAS DE CREDITO AVISADAS              7ND</v>
          </cell>
        </row>
        <row r="33739">
          <cell r="B33739" t="str">
            <v>83000000000903</v>
          </cell>
          <cell r="C33739" t="str">
            <v>SWAP DPRs                               7ND</v>
          </cell>
        </row>
        <row r="33740">
          <cell r="B33740" t="str">
            <v>83000000000905</v>
          </cell>
          <cell r="C33740" t="str">
            <v>CTRA CTA- VN SWAPS TASA INT COBERT      7ND</v>
          </cell>
        </row>
        <row r="33741">
          <cell r="B33741" t="str">
            <v>83000000000907</v>
          </cell>
          <cell r="C33741" t="str">
            <v>CL CAPITAL VTA. CARTERA A 3EROS         7ND</v>
          </cell>
        </row>
        <row r="33742">
          <cell r="B33742" t="str">
            <v>83000000000908</v>
          </cell>
          <cell r="C33742" t="str">
            <v>CTRA CTA SWAPS TASAS INT NEGOCIACION    7ND</v>
          </cell>
        </row>
        <row r="33743">
          <cell r="B33743" t="str">
            <v>83000000000910</v>
          </cell>
          <cell r="C33743" t="str">
            <v>CTRL LETRAS BIENES ADJ PR               7ND</v>
          </cell>
        </row>
        <row r="33744">
          <cell r="B33744" t="str">
            <v>83000000000911</v>
          </cell>
          <cell r="C33744" t="str">
            <v>CTRA.CTA. TRAVEL CHECKS                 7ND</v>
          </cell>
        </row>
        <row r="33745">
          <cell r="B33745" t="str">
            <v>83000000000912</v>
          </cell>
          <cell r="C33745" t="str">
            <v>CL VENTA CARTERA A 3EROS II             7ND</v>
          </cell>
        </row>
        <row r="33746">
          <cell r="B33746" t="str">
            <v>83000000000913</v>
          </cell>
          <cell r="C33746" t="str">
            <v>CTRA CTA CHQ Y VALORES REC EXP          7ND</v>
          </cell>
        </row>
        <row r="33747">
          <cell r="B33747" t="str">
            <v>83000000000914</v>
          </cell>
          <cell r="C33747" t="str">
            <v>CL VTA.CART.TER.III AGRO GUAYA.         7ND</v>
          </cell>
        </row>
        <row r="33748">
          <cell r="B33748" t="str">
            <v>83000000000919</v>
          </cell>
          <cell r="C33748" t="str">
            <v>CTRA CTA OTROS                          7ND</v>
          </cell>
        </row>
        <row r="33749">
          <cell r="B33749" t="str">
            <v>83000000000920</v>
          </cell>
          <cell r="C33749" t="str">
            <v>CL VENTA CARTERA SERCA BL               7ND</v>
          </cell>
        </row>
        <row r="33750">
          <cell r="B33750" t="str">
            <v>83000000000923</v>
          </cell>
          <cell r="C33750" t="str">
            <v>CL VTA.CARTERA INV.TEMPERA BL           7ND</v>
          </cell>
        </row>
        <row r="33751">
          <cell r="B33751" t="str">
            <v>83000000000926</v>
          </cell>
          <cell r="C33751" t="str">
            <v>CL CAPITAL ENCARGO COB.CONTACTO .       7ND</v>
          </cell>
        </row>
        <row r="33752">
          <cell r="B33752" t="str">
            <v>83000000000927</v>
          </cell>
          <cell r="C33752" t="str">
            <v>CL CAPITAL CART.TRANSF. RFA             7ND</v>
          </cell>
        </row>
        <row r="33753">
          <cell r="B33753" t="str">
            <v>83000000000929</v>
          </cell>
          <cell r="C33753" t="str">
            <v>CTRA CTA ORDEN NO ASENTADOS             7ND</v>
          </cell>
        </row>
        <row r="33754">
          <cell r="B33754" t="str">
            <v>83000000000930</v>
          </cell>
          <cell r="C33754" t="str">
            <v>CTRA CTA REMESAS EXT UNO MONEY T        7ND</v>
          </cell>
        </row>
        <row r="33755">
          <cell r="B33755" t="str">
            <v>83000000000931</v>
          </cell>
          <cell r="C33755" t="str">
            <v>CTRACTA REMESAS EXTERIOR COSTA M        7ND</v>
          </cell>
        </row>
        <row r="33756">
          <cell r="B33756" t="str">
            <v>83000000000932</v>
          </cell>
          <cell r="C33756" t="str">
            <v>CTRACTA REMESAS EXTERIOR AFEX           7ND</v>
          </cell>
        </row>
        <row r="33757">
          <cell r="B33757" t="str">
            <v>83000000000933</v>
          </cell>
          <cell r="C33757" t="str">
            <v>CTRACTA REMESAS EXT BANCOMERCIO         7ND</v>
          </cell>
        </row>
        <row r="33758">
          <cell r="B33758" t="str">
            <v>83000000000934</v>
          </cell>
          <cell r="C33758" t="str">
            <v>CTRACTA REMESAS EXT DOLEX               7ND</v>
          </cell>
        </row>
        <row r="33759">
          <cell r="B33759" t="str">
            <v>83000000000935</v>
          </cell>
          <cell r="C33759" t="str">
            <v>CTRACTA REMESAS EXTERIOR BTS            7ND</v>
          </cell>
        </row>
        <row r="33760">
          <cell r="B33760" t="str">
            <v>83000000000936</v>
          </cell>
          <cell r="C33760" t="str">
            <v>UNITELLER                               7ND</v>
          </cell>
        </row>
        <row r="33761">
          <cell r="B33761" t="str">
            <v>83000000000937</v>
          </cell>
          <cell r="C33761" t="str">
            <v>TRAVELEX                                7ND</v>
          </cell>
        </row>
        <row r="33762">
          <cell r="B33762" t="str">
            <v>83000000000938</v>
          </cell>
          <cell r="C33762" t="str">
            <v>CTRACTA REMESAS EXT UNITED EXPER        7ND</v>
          </cell>
        </row>
        <row r="33763">
          <cell r="B33763" t="str">
            <v>83000000000939</v>
          </cell>
          <cell r="C33763" t="str">
            <v>CTRACTA REMESAS EXT GARMEY              7ND</v>
          </cell>
        </row>
        <row r="33764">
          <cell r="B33764" t="str">
            <v>83000000000940</v>
          </cell>
          <cell r="C33764" t="str">
            <v>CTRACTA REMESAS EXT GLOBAL ACCES        7ND</v>
          </cell>
        </row>
        <row r="33765">
          <cell r="B33765" t="str">
            <v>83000000000952</v>
          </cell>
          <cell r="C33765" t="str">
            <v>830000000009520000                      7ND</v>
          </cell>
        </row>
        <row r="33766">
          <cell r="B33766" t="str">
            <v>83000000000953</v>
          </cell>
          <cell r="C33766" t="str">
            <v>CTRCTA REMESAS EXTERIOR JOSILVA         7ND</v>
          </cell>
        </row>
        <row r="33767">
          <cell r="B33767" t="str">
            <v>83000000000954</v>
          </cell>
          <cell r="C33767" t="str">
            <v>830000000009540000                      7ND</v>
          </cell>
        </row>
        <row r="33768">
          <cell r="B33768" t="str">
            <v>83000000000958</v>
          </cell>
          <cell r="C33768" t="str">
            <v>CTRCTA COM REMESAS B.H.D                7ND</v>
          </cell>
        </row>
        <row r="33769">
          <cell r="B33769" t="str">
            <v>83000000000959</v>
          </cell>
          <cell r="C33769" t="str">
            <v>CTRCTA COM REMESAS SIGUE                7ND</v>
          </cell>
        </row>
        <row r="33770">
          <cell r="B33770" t="str">
            <v>83000000000960</v>
          </cell>
          <cell r="C33770" t="str">
            <v>CTRCTA COM REMESAS VIAMERICAS           7ND</v>
          </cell>
        </row>
        <row r="33771">
          <cell r="B33771" t="str">
            <v>83000000000961</v>
          </cell>
          <cell r="C33771" t="str">
            <v>CTRCTA COM REMESAS RIAENVIA             7ND</v>
          </cell>
        </row>
        <row r="33772">
          <cell r="B33772" t="str">
            <v>83000000000962</v>
          </cell>
          <cell r="C33772" t="str">
            <v>CTRCTA COM REMESAS VIGO                 7ND</v>
          </cell>
        </row>
        <row r="33773">
          <cell r="B33773" t="str">
            <v>83000000000963</v>
          </cell>
          <cell r="C33773" t="str">
            <v>CTRCTA COM REMESAS QUISQUEYANA          7ND</v>
          </cell>
        </row>
        <row r="33774">
          <cell r="B33774" t="str">
            <v>83000000000964</v>
          </cell>
          <cell r="C33774" t="str">
            <v>CTRCTA COM REMESAS INTERAMERICANAS      7ND</v>
          </cell>
        </row>
        <row r="33775">
          <cell r="B33775" t="str">
            <v>83000000000974</v>
          </cell>
          <cell r="C33775" t="str">
            <v>CTRCTA INVERSIONES CONTACTO             7ND</v>
          </cell>
        </row>
        <row r="33776">
          <cell r="B33776" t="str">
            <v>83000000000975</v>
          </cell>
          <cell r="C33776" t="str">
            <v>CTRCTA REMESAS XOOM                     7ND</v>
          </cell>
        </row>
        <row r="33777">
          <cell r="B33777" t="str">
            <v>83000000000976</v>
          </cell>
          <cell r="C33777" t="str">
            <v>CTRCTA REMESAS FALEN                    7ND</v>
          </cell>
        </row>
        <row r="33778">
          <cell r="B33778" t="str">
            <v>83000000000977</v>
          </cell>
          <cell r="C33778" t="str">
            <v>CTRCTA COM. REMESAS XOOM                7ND</v>
          </cell>
        </row>
        <row r="33779">
          <cell r="B33779" t="str">
            <v>83000000000979</v>
          </cell>
          <cell r="C33779" t="str">
            <v>CTRCTA REMESAS TRANFAST                 7ND</v>
          </cell>
        </row>
        <row r="33780">
          <cell r="B33780" t="str">
            <v>83000000000980</v>
          </cell>
          <cell r="C33780" t="str">
            <v>CTRCTA REMESAS MEXICO EXPRESS           7ND</v>
          </cell>
        </row>
        <row r="33781">
          <cell r="B33781" t="str">
            <v>83000000000983</v>
          </cell>
          <cell r="C33781" t="str">
            <v>CTRA CTA REMESAS EXT AFEX USA           7ND</v>
          </cell>
        </row>
        <row r="33782">
          <cell r="B33782" t="str">
            <v>83000000000984</v>
          </cell>
          <cell r="C33782" t="str">
            <v>CTRA CTA REMESAS EXT GIROSOL            7ND</v>
          </cell>
        </row>
        <row r="33783">
          <cell r="B33783" t="str">
            <v>83000000000985</v>
          </cell>
          <cell r="C33783" t="str">
            <v>CTRA CTA REMESAS EXT B.O.B TRAVEL       7ND</v>
          </cell>
        </row>
        <row r="33784">
          <cell r="B33784" t="str">
            <v>83000000000989</v>
          </cell>
          <cell r="C33784" t="str">
            <v>CTRA CTA REMESAS EXT R Y T              7ND</v>
          </cell>
        </row>
        <row r="33785">
          <cell r="B33785" t="str">
            <v>83000000000992</v>
          </cell>
          <cell r="C33785" t="str">
            <v>CTRA CTA TRAVELERS CHECKS               7ND</v>
          </cell>
        </row>
        <row r="33786">
          <cell r="B33786" t="str">
            <v>83000000000995</v>
          </cell>
          <cell r="C33786" t="str">
            <v>CTRACTA REMESAS EXT INTERSERVICE        7ND</v>
          </cell>
        </row>
        <row r="33787">
          <cell r="B33787" t="str">
            <v>83000000000998</v>
          </cell>
          <cell r="C33787" t="str">
            <v>CTRACTA REMESAS EXT MFI-CORP            7ND</v>
          </cell>
        </row>
        <row r="33788">
          <cell r="B33788" t="str">
            <v>83000000001000</v>
          </cell>
          <cell r="C33788" t="str">
            <v>CTRACTA REMESAS EXT OMNEX GROUP         7ND</v>
          </cell>
        </row>
        <row r="33789">
          <cell r="B33789" t="str">
            <v>83000000001001</v>
          </cell>
          <cell r="C33789" t="str">
            <v>CTRA CTA FIDEIC GARANT-HIPOTEC I        7ND</v>
          </cell>
        </row>
        <row r="33790">
          <cell r="B33790" t="str">
            <v>83000000001007</v>
          </cell>
          <cell r="C33790" t="str">
            <v>CTRACTA REMESAS EXT OMNEX GROUP         7ND</v>
          </cell>
        </row>
        <row r="33791">
          <cell r="B33791" t="str">
            <v>83000000001008</v>
          </cell>
          <cell r="C33791" t="str">
            <v>CTRACTA REMESAS MONEYGRAM               7ND</v>
          </cell>
        </row>
        <row r="33792">
          <cell r="B33792" t="str">
            <v>83000000001009</v>
          </cell>
          <cell r="C33792" t="str">
            <v>CTRACTA REMESAS RIAENVIA                7ND</v>
          </cell>
        </row>
        <row r="33793">
          <cell r="B33793" t="str">
            <v>83000000001010</v>
          </cell>
          <cell r="C33793" t="str">
            <v>CTRACTA CONTINENTAL EXPRESS             7ND</v>
          </cell>
        </row>
        <row r="33794">
          <cell r="B33794" t="str">
            <v>83000000001011</v>
          </cell>
          <cell r="C33794" t="str">
            <v>MAGUITURS                               7ND</v>
          </cell>
        </row>
        <row r="33795">
          <cell r="B33795" t="str">
            <v>83000000001012</v>
          </cell>
          <cell r="C33795" t="str">
            <v>CTRACTA REMESAS RIAENVIA                7ND</v>
          </cell>
        </row>
        <row r="33796">
          <cell r="B33796" t="str">
            <v>83000000001013</v>
          </cell>
          <cell r="C33796" t="str">
            <v>CTRACTA REMESAS MONEYGRAM               7ND</v>
          </cell>
        </row>
        <row r="33797">
          <cell r="B33797" t="str">
            <v>83000000001014</v>
          </cell>
          <cell r="C33797" t="str">
            <v>CONT OVERNIGHT INTEREST SWAP            7ND</v>
          </cell>
        </row>
        <row r="33798">
          <cell r="B33798" t="str">
            <v>83000000001015</v>
          </cell>
          <cell r="C33798" t="str">
            <v>CTRACTA REMESAS EXT IDT                 7ND</v>
          </cell>
        </row>
        <row r="33799">
          <cell r="B33799" t="str">
            <v>83000000001016</v>
          </cell>
          <cell r="C33799" t="str">
            <v>CTRACTA REMESAS EXT JET ARGENTINA       7ND</v>
          </cell>
        </row>
        <row r="33800">
          <cell r="B33800" t="str">
            <v>83000000001017</v>
          </cell>
          <cell r="C33800" t="str">
            <v>CTRACTA REMESAS EXT SIGUE GLOBAL        7ND</v>
          </cell>
        </row>
        <row r="33801">
          <cell r="B33801" t="str">
            <v>83000000001018</v>
          </cell>
          <cell r="C33801" t="str">
            <v>CTRACTA REMESAS EXT SIGUE GLOBAL SERVICE7ND</v>
          </cell>
        </row>
        <row r="33802">
          <cell r="B33802" t="str">
            <v>83000000001019</v>
          </cell>
          <cell r="C33802" t="str">
            <v>CTRACTA REMESAS EXT USA UNITELLER       7ND</v>
          </cell>
        </row>
        <row r="33803">
          <cell r="B33803" t="str">
            <v>83000000001020</v>
          </cell>
          <cell r="C33803" t="str">
            <v>CTRACTA REMESAS EXT Transnetwork Corpora7ND</v>
          </cell>
        </row>
        <row r="33804">
          <cell r="B33804" t="str">
            <v>83000000001021</v>
          </cell>
          <cell r="C33804" t="str">
            <v>CTRACTA REMESAS EXT Connect Argentina   7ND</v>
          </cell>
        </row>
        <row r="33805">
          <cell r="B33805" t="str">
            <v>83000000001023</v>
          </cell>
          <cell r="C33805" t="str">
            <v>CTRACTA REMESAS EXT TITAN               7ND</v>
          </cell>
        </row>
        <row r="33806">
          <cell r="B33806" t="str">
            <v>83000000001024</v>
          </cell>
          <cell r="C33806" t="str">
            <v>CTRACTA REMESAS EXTDel Bank             7ND</v>
          </cell>
        </row>
        <row r="33807">
          <cell r="B33807" t="str">
            <v>83000000001025</v>
          </cell>
          <cell r="C33807" t="str">
            <v>CTRACTA REMESAS EXT Global EnvÃ­os      7ND</v>
          </cell>
        </row>
        <row r="33808">
          <cell r="B33808" t="str">
            <v>83000000001026</v>
          </cell>
          <cell r="C33808" t="str">
            <v>CTRA CTA COBERTURA FONDO MI VIVIENDA    7ND</v>
          </cell>
        </row>
        <row r="33809">
          <cell r="B33809" t="str">
            <v>83000000001027</v>
          </cell>
          <cell r="C33809" t="str">
            <v>CTRACTA REMESAS EXT.BANCSERVICES INTERNA7ND</v>
          </cell>
        </row>
        <row r="33810">
          <cell r="B33810" t="str">
            <v>83000000001028</v>
          </cell>
          <cell r="C33810" t="str">
            <v>CTRACTA REMESAS EXT.Argenper Chile      7ND</v>
          </cell>
        </row>
        <row r="33811">
          <cell r="B33811" t="str">
            <v>83000000001029</v>
          </cell>
          <cell r="C33811" t="str">
            <v>CTRACTA REMESAS EXT.TRANSNETWORK CORPORA7ND</v>
          </cell>
        </row>
        <row r="33812">
          <cell r="B33812" t="str">
            <v>83000000001030</v>
          </cell>
          <cell r="C33812" t="str">
            <v>CTRACTA REMESAS EXT.MONTY GLOBAL PAYMENT7ND</v>
          </cell>
        </row>
        <row r="33813">
          <cell r="B33813" t="str">
            <v>83000000001031</v>
          </cell>
          <cell r="C33813" t="str">
            <v>CTRACTA REMESAS REMITEE                 7ND</v>
          </cell>
        </row>
        <row r="33814">
          <cell r="B33814" t="str">
            <v>83000000001032</v>
          </cell>
          <cell r="C33814" t="str">
            <v>CTRACTA REMESAS EXT ARGENPER ARGENTINA  7ND</v>
          </cell>
        </row>
        <row r="33815">
          <cell r="B33815" t="str">
            <v>83000000001101</v>
          </cell>
          <cell r="C33815" t="str">
            <v>CTRA CTA VALORES TITULOS CUSTODIA ESS   7ND</v>
          </cell>
        </row>
        <row r="33816">
          <cell r="B33816" t="str">
            <v>83000000001201</v>
          </cell>
          <cell r="C33816" t="str">
            <v>CTRA CTA VALORES TIT CUSTODIA AS0 DI    7ND</v>
          </cell>
        </row>
        <row r="33817">
          <cell r="B33817" t="str">
            <v>83000000001301</v>
          </cell>
          <cell r="C33817" t="str">
            <v>GAC CTRA CTA ALMACENERA ALMAFIN         7ND</v>
          </cell>
        </row>
        <row r="33818">
          <cell r="B33818" t="str">
            <v>83000000001302</v>
          </cell>
          <cell r="C33818" t="str">
            <v>GAC CRTA CTA LET GARANTIA               7ND</v>
          </cell>
        </row>
        <row r="33819">
          <cell r="B33819" t="str">
            <v>83000000001303</v>
          </cell>
          <cell r="C33819" t="str">
            <v>GAC CRTA CTA DEP PLZ GARANTIA           7ND</v>
          </cell>
        </row>
        <row r="33820">
          <cell r="B33820" t="str">
            <v>83000000001304</v>
          </cell>
          <cell r="C33820" t="str">
            <v>GAC CRTA CTA DEP PLZ GARANTIA           7ND</v>
          </cell>
        </row>
        <row r="33821">
          <cell r="B33821" t="str">
            <v>83000000001305</v>
          </cell>
          <cell r="C33821" t="str">
            <v>GAC CRTA CTA CBM GTIA NO INSCRITA       7ND</v>
          </cell>
        </row>
        <row r="33822">
          <cell r="B33822" t="str">
            <v>83000000001306</v>
          </cell>
          <cell r="C33822" t="str">
            <v>GAC CRTA CTA CDN GTIA NO INSCRITA       7ND</v>
          </cell>
        </row>
        <row r="33823">
          <cell r="B33823" t="str">
            <v>83000000001307</v>
          </cell>
          <cell r="C33823" t="str">
            <v>GAC C.CTA. PRENDA BPE GARANTIA MAQUINARI7ND</v>
          </cell>
        </row>
        <row r="33824">
          <cell r="B33824" t="str">
            <v>83000000001401</v>
          </cell>
          <cell r="C33824" t="str">
            <v>CTRA.CTA. GTIA LEASEBACK B.INMUEBLES    7ND</v>
          </cell>
        </row>
        <row r="33825">
          <cell r="B33825" t="str">
            <v>83000000001402</v>
          </cell>
          <cell r="C33825" t="str">
            <v>CTRA.CTA. GTIA LEASEBACK B.MUEBLES      7ND</v>
          </cell>
        </row>
        <row r="33826">
          <cell r="B33826" t="str">
            <v>83000000001403</v>
          </cell>
          <cell r="C33826" t="str">
            <v>CTRA.CTA. GARANT LEASING B.INMUEBLES    7ND</v>
          </cell>
        </row>
        <row r="33827">
          <cell r="B33827" t="str">
            <v>83000000001404</v>
          </cell>
          <cell r="C33827" t="str">
            <v>CTRA.CTA. GARANTIA LEASING B.MUEBLES    7ND</v>
          </cell>
        </row>
        <row r="33828">
          <cell r="B33828" t="str">
            <v>83000000001501</v>
          </cell>
          <cell r="C33828" t="str">
            <v>CTRA.CTA. FORWARD RATE AGREEMENTS (FRAs)7ND</v>
          </cell>
        </row>
        <row r="33829">
          <cell r="B33829" t="str">
            <v>83000000001502</v>
          </cell>
          <cell r="C33829" t="str">
            <v>FRAA FWD PAGO TASA  FIJO CRTA CTA       7ND</v>
          </cell>
        </row>
        <row r="33830">
          <cell r="B33830" t="str">
            <v>83000000001503</v>
          </cell>
          <cell r="C33830" t="str">
            <v>FRAA FWD PAGO TASA  FLOTANTE CRTA CTA   7ND</v>
          </cell>
        </row>
        <row r="33831">
          <cell r="B33831" t="str">
            <v>83000000001601</v>
          </cell>
          <cell r="C33831" t="str">
            <v>FIDEICOMISO LA GRANJA                   7ND</v>
          </cell>
        </row>
        <row r="33832">
          <cell r="B33832" t="str">
            <v>83000000001901</v>
          </cell>
          <cell r="C33832" t="str">
            <v>CTRA CTA CONFORT LETTER                 7ND</v>
          </cell>
        </row>
        <row r="33833">
          <cell r="B33833" t="str">
            <v>83000000001902</v>
          </cell>
          <cell r="C33833" t="str">
            <v>830000000019020000                      7ND</v>
          </cell>
        </row>
        <row r="33834">
          <cell r="B33834" t="str">
            <v>83000000001903</v>
          </cell>
          <cell r="C33834" t="str">
            <v>CTRACTA REMESAS EXT MONEY KING          7ND</v>
          </cell>
        </row>
        <row r="33835">
          <cell r="B33835" t="str">
            <v>83000000001904</v>
          </cell>
          <cell r="C33835" t="str">
            <v>CTRACTA REMESAS BANCO DEL AUSTRO        7ND</v>
          </cell>
        </row>
        <row r="33836">
          <cell r="B33836" t="str">
            <v>83000000001905</v>
          </cell>
          <cell r="C33836" t="str">
            <v>CTRACTA REMESAS INTERTRANSFERS          7ND</v>
          </cell>
        </row>
        <row r="33837">
          <cell r="B33837" t="str">
            <v>83000000001906</v>
          </cell>
          <cell r="C33837" t="str">
            <v>CTRACTA REMESAS MATEO EXPRESS           7ND</v>
          </cell>
        </row>
        <row r="33838">
          <cell r="B33838" t="str">
            <v>83000000001907</v>
          </cell>
          <cell r="C33838" t="str">
            <v>CTRACTA REMESAS ORLANDI VALUTA          7ND</v>
          </cell>
        </row>
        <row r="33839">
          <cell r="B33839" t="str">
            <v>83000000001908</v>
          </cell>
          <cell r="C33839" t="str">
            <v>CTRACTA REMESAS GUIÃ‘AZU                7ND</v>
          </cell>
        </row>
        <row r="33840">
          <cell r="B33840" t="str">
            <v>83000000001909</v>
          </cell>
          <cell r="C33840" t="str">
            <v>CTRACTA REMESAS MAGUI EXPRESS           7ND</v>
          </cell>
        </row>
        <row r="33841">
          <cell r="B33841" t="str">
            <v>83000000001911</v>
          </cell>
          <cell r="C33841" t="str">
            <v>CONTRA PARTIDA OPER EN TRÂ NSITO BANQU  7ND</v>
          </cell>
        </row>
        <row r="33842">
          <cell r="B33842" t="str">
            <v>83000000001912</v>
          </cell>
          <cell r="C33842" t="str">
            <v>CTRACTA REMESAS EMP AMERICANA SERVI     7ND</v>
          </cell>
        </row>
        <row r="33843">
          <cell r="B33843" t="str">
            <v>83000000001913</v>
          </cell>
          <cell r="C33843" t="str">
            <v>CTRACTA REMESAS CONSULT INTERNACIONAL   7ND</v>
          </cell>
        </row>
        <row r="33844">
          <cell r="B33844" t="str">
            <v>83000000001914</v>
          </cell>
          <cell r="C33844" t="str">
            <v>CTRACTA REMESAS UNIGIROS EXPRESS        7ND</v>
          </cell>
        </row>
        <row r="33845">
          <cell r="B33845" t="str">
            <v>83000000001915</v>
          </cell>
          <cell r="C33845" t="str">
            <v>CTRACTA REMESAS PLACID EXPRESS          7ND</v>
          </cell>
        </row>
        <row r="33846">
          <cell r="B33846" t="str">
            <v>83000000001918</v>
          </cell>
          <cell r="C33846" t="str">
            <v>CTRACTA REMESAS INTERMEX                7ND</v>
          </cell>
        </row>
        <row r="33847">
          <cell r="B33847" t="str">
            <v>83000000001919</v>
          </cell>
          <cell r="C33847" t="str">
            <v>REMESAS EXTERIOR MERCHANT BANK          7ND</v>
          </cell>
        </row>
        <row r="33848">
          <cell r="B33848" t="str">
            <v>83000000001920</v>
          </cell>
          <cell r="C33848" t="str">
            <v>CTRACTA REMESAS MORE MONEY              7ND</v>
          </cell>
        </row>
        <row r="33849">
          <cell r="B33849" t="str">
            <v>83000000001921</v>
          </cell>
          <cell r="C33849" t="str">
            <v>CTRACTA REMESAS LATIN EXPRESS           7ND</v>
          </cell>
        </row>
        <row r="33850">
          <cell r="B33850" t="str">
            <v>83000000001922</v>
          </cell>
          <cell r="C33850" t="str">
            <v>CTRACTA REMESAS DELGADO TRAVEL          7ND</v>
          </cell>
        </row>
        <row r="33851">
          <cell r="B33851" t="str">
            <v>83000000001923</v>
          </cell>
          <cell r="C33851" t="str">
            <v>CTRACTA REMESAS TRANS-FAST SA EUROPA    7ND</v>
          </cell>
        </row>
        <row r="33852">
          <cell r="B33852" t="str">
            <v>83000000001924</v>
          </cell>
          <cell r="C33852" t="str">
            <v>CTRACTA REMESAS MONEY &amp; COM             7ND</v>
          </cell>
        </row>
        <row r="33853">
          <cell r="B33853" t="str">
            <v>83000000001925</v>
          </cell>
          <cell r="C33853" t="str">
            <v>CTRACTA REMESAS ITAU JAPON              7ND</v>
          </cell>
        </row>
        <row r="33854">
          <cell r="B33854" t="str">
            <v>83000000001926</v>
          </cell>
          <cell r="C33854" t="str">
            <v>830000000019260000                      7ND</v>
          </cell>
        </row>
        <row r="33855">
          <cell r="B33855" t="str">
            <v>83000000001927</v>
          </cell>
          <cell r="C33855" t="str">
            <v>830000000019270000                      7ND</v>
          </cell>
        </row>
        <row r="33856">
          <cell r="B33856" t="str">
            <v>83000000001929</v>
          </cell>
          <cell r="C33856" t="str">
            <v>CTRACTA REMESAS LA CAIXA                7ND</v>
          </cell>
        </row>
        <row r="33857">
          <cell r="B33857" t="str">
            <v>83000000001930</v>
          </cell>
          <cell r="C33857" t="str">
            <v>830000000019300000                      7ND</v>
          </cell>
        </row>
        <row r="33858">
          <cell r="B33858" t="str">
            <v>83000000001931</v>
          </cell>
          <cell r="C33858" t="str">
            <v>CTRACTA REMESAS EXT TRANFAST ITALY      7ND</v>
          </cell>
        </row>
        <row r="33859">
          <cell r="B33859" t="str">
            <v>83000000001932</v>
          </cell>
          <cell r="C33859" t="str">
            <v>CTRACTA REMESAS EXT TRANS- FAST ESPAÃ‘  7ND</v>
          </cell>
        </row>
        <row r="33860">
          <cell r="B33860" t="str">
            <v>83000000001933</v>
          </cell>
          <cell r="C33860" t="str">
            <v>830000000019330000                      7ND</v>
          </cell>
        </row>
        <row r="33861">
          <cell r="B33861" t="str">
            <v>83000000001934</v>
          </cell>
          <cell r="C33861" t="str">
            <v>CTRACTA REMESAS EXT SWISS TRANSFERS G   7ND</v>
          </cell>
        </row>
        <row r="33862">
          <cell r="B33862" t="str">
            <v>83000000001935</v>
          </cell>
          <cell r="C33862" t="str">
            <v>830000000019350000                      7ND</v>
          </cell>
        </row>
        <row r="33863">
          <cell r="B33863" t="str">
            <v>83000000001937</v>
          </cell>
          <cell r="C33863" t="str">
            <v>CTRACTA REM EXPIRADAS                   7ND</v>
          </cell>
        </row>
        <row r="33864">
          <cell r="B33864" t="str">
            <v>83000000001938</v>
          </cell>
          <cell r="C33864" t="str">
            <v>CTRACTA MONDIAL BONY                    7ND</v>
          </cell>
        </row>
        <row r="33865">
          <cell r="B33865" t="str">
            <v>83000000001939</v>
          </cell>
          <cell r="C33865" t="str">
            <v>CTRACTA REAL DE ENVIOS                  7ND</v>
          </cell>
        </row>
        <row r="33866">
          <cell r="B33866" t="str">
            <v>83000000001940</v>
          </cell>
          <cell r="C33866" t="str">
            <v>CTRACTA ITAU BRASIL                     7ND</v>
          </cell>
        </row>
        <row r="33867">
          <cell r="B33867" t="str">
            <v>83000000001941</v>
          </cell>
          <cell r="C33867" t="str">
            <v>CTRA CTA MUNDIAL ENVIOS                 7ND</v>
          </cell>
        </row>
        <row r="33868">
          <cell r="B33868" t="str">
            <v>83000000001942</v>
          </cell>
          <cell r="C33868" t="str">
            <v>830000000019420000                      7ND</v>
          </cell>
        </row>
        <row r="33869">
          <cell r="B33869" t="str">
            <v>83000000001943</v>
          </cell>
          <cell r="C33869" t="str">
            <v>CASA DE CAMBIO MAGUITUR                 7ND</v>
          </cell>
        </row>
        <row r="33870">
          <cell r="B33870" t="str">
            <v>83000000001944</v>
          </cell>
          <cell r="C33870" t="str">
            <v>9068 ( MUNDIAL ENVIOS)                  7ND</v>
          </cell>
        </row>
        <row r="33871">
          <cell r="B33871" t="str">
            <v>83000000001945</v>
          </cell>
          <cell r="C33871" t="str">
            <v>LATIN TRAVEL                            7ND</v>
          </cell>
        </row>
        <row r="33872">
          <cell r="B33872" t="str">
            <v>83000000001946</v>
          </cell>
          <cell r="C33872" t="str">
            <v>L.MAZAL                                 7ND</v>
          </cell>
        </row>
        <row r="33873">
          <cell r="B33873" t="str">
            <v>83000000001947</v>
          </cell>
          <cell r="C33873" t="str">
            <v>AUSTRO GIROS                            7ND</v>
          </cell>
        </row>
        <row r="33874">
          <cell r="B33874" t="str">
            <v>83000000001948</v>
          </cell>
          <cell r="C33874" t="str">
            <v>BANCO SANTANDER                         7ND</v>
          </cell>
        </row>
        <row r="33875">
          <cell r="B33875" t="str">
            <v>83000000001949</v>
          </cell>
          <cell r="C33875" t="str">
            <v>MONEY TRANS                             7ND</v>
          </cell>
        </row>
        <row r="33876">
          <cell r="B33876" t="str">
            <v>83000000001950</v>
          </cell>
          <cell r="C33876" t="str">
            <v>BANCO PROVIDENCIAL                      7ND</v>
          </cell>
        </row>
        <row r="33877">
          <cell r="B33877" t="str">
            <v>83000000001951</v>
          </cell>
          <cell r="C33877" t="str">
            <v>830000000019510000                      7ND</v>
          </cell>
        </row>
        <row r="33878">
          <cell r="B33878" t="str">
            <v>83000000001952</v>
          </cell>
          <cell r="C33878" t="str">
            <v>GFP CHILE                               7ND</v>
          </cell>
        </row>
        <row r="33879">
          <cell r="B33879" t="str">
            <v>83000000001953</v>
          </cell>
          <cell r="C33879" t="str">
            <v>CNTR REMESAS ISEND PAG SERVICIO         7ND</v>
          </cell>
        </row>
        <row r="33880">
          <cell r="B33880" t="str">
            <v>83000000001956</v>
          </cell>
          <cell r="C33880" t="str">
            <v>REMESAS EXT DOLEX EUR CRTA CTA          7ND</v>
          </cell>
        </row>
        <row r="33881">
          <cell r="B33881" t="str">
            <v>83000000001957</v>
          </cell>
          <cell r="C33881" t="str">
            <v>REMESAS EXT MONEY GRAM CRTA CTA         7ND</v>
          </cell>
        </row>
        <row r="33882">
          <cell r="B33882" t="str">
            <v>83000000001958</v>
          </cell>
          <cell r="C33882" t="str">
            <v>REMESAS EXT CLICK TRANSFER CRTA CTA     7ND</v>
          </cell>
        </row>
        <row r="33883">
          <cell r="B33883" t="str">
            <v>83000000001959</v>
          </cell>
          <cell r="C33883" t="str">
            <v>REMESAS EXT SIT TRANSFER CRTA CTA       7ND</v>
          </cell>
        </row>
        <row r="33884">
          <cell r="B33884" t="str">
            <v>83000000001960</v>
          </cell>
          <cell r="C33884" t="str">
            <v>CTRACTA REMESAS SOL-DOL BCO PROVIDENCIAL7ND</v>
          </cell>
        </row>
        <row r="33885">
          <cell r="B33885" t="str">
            <v>83000000001961</v>
          </cell>
          <cell r="C33885" t="str">
            <v>CTRCTA REMESAS MONDIAL ESPAÃ‘A          7ND</v>
          </cell>
        </row>
        <row r="33886">
          <cell r="B33886" t="str">
            <v>83000000001962</v>
          </cell>
          <cell r="C33886" t="str">
            <v>CTRA CTA GTIA PREFER CONCESION ELECTRICA7ND</v>
          </cell>
        </row>
        <row r="33887">
          <cell r="B33887" t="str">
            <v>83000000001963</v>
          </cell>
          <cell r="C33887" t="str">
            <v>CTRACTA REMESAS  CIBAO MONEY TRANSMITTIN7ND</v>
          </cell>
        </row>
        <row r="33888">
          <cell r="B33888" t="str">
            <v>83000000001964</v>
          </cell>
          <cell r="C33888" t="str">
            <v>CTRACTA REMESAS  EUROEXPRESS            7ND</v>
          </cell>
        </row>
        <row r="33889">
          <cell r="B33889" t="str">
            <v>83000000001965</v>
          </cell>
          <cell r="C33889" t="str">
            <v>CTRACTA REMESAS  Dolex Dollar Express IN7ND</v>
          </cell>
        </row>
        <row r="33890">
          <cell r="B33890" t="str">
            <v>83000000001966</v>
          </cell>
          <cell r="C33890" t="str">
            <v>CTRACTA REMESAS BCO DO BRASIL           7ND</v>
          </cell>
        </row>
        <row r="33891">
          <cell r="B33891" t="str">
            <v>83000000002101</v>
          </cell>
          <cell r="C33891" t="str">
            <v>JCC CAPITAL VTA. CARTERA A 3EROS        7ND</v>
          </cell>
        </row>
        <row r="33892">
          <cell r="B33892" t="str">
            <v>83000000002102</v>
          </cell>
          <cell r="C33892" t="str">
            <v>JCC CTRA CTA DE VALORES Y BIENES RECIB P7ND</v>
          </cell>
        </row>
        <row r="33893">
          <cell r="B33893" t="str">
            <v>83000000002103</v>
          </cell>
          <cell r="C33893" t="str">
            <v>JCC CAPITAL CART.TRANSF. RFA            7ND</v>
          </cell>
        </row>
        <row r="33894">
          <cell r="B33894" t="str">
            <v>83000000002104</v>
          </cell>
          <cell r="C33894" t="str">
            <v>JCC VENTA CARTERA A 3EROS II            7ND</v>
          </cell>
        </row>
        <row r="33895">
          <cell r="B33895" t="str">
            <v>83000000002105</v>
          </cell>
          <cell r="C33895" t="str">
            <v>JCC CAPITAL VTA. CARTERA A 3EROS        7ND</v>
          </cell>
        </row>
        <row r="33896">
          <cell r="B33896" t="str">
            <v>83000000002108</v>
          </cell>
          <cell r="C33896" t="str">
            <v>JCC CAPITAL ENCARGO COB.CONTACTO .      7ND</v>
          </cell>
        </row>
        <row r="33897">
          <cell r="B33897" t="str">
            <v>83000000002109</v>
          </cell>
          <cell r="C33897" t="str">
            <v>JCC CTRA CTA DE VALORES Y BIENES RECIB P7ND</v>
          </cell>
        </row>
        <row r="33898">
          <cell r="B33898" t="str">
            <v>83000000002110</v>
          </cell>
          <cell r="C33898" t="str">
            <v>JCC VENTA CARTERA SERCA BL              7ND</v>
          </cell>
        </row>
        <row r="33899">
          <cell r="B33899" t="str">
            <v>83000000002111</v>
          </cell>
          <cell r="C33899" t="str">
            <v>JCC CONTRA  CUENTA INTERESES CARTERA VEN7ND</v>
          </cell>
        </row>
        <row r="33900">
          <cell r="B33900" t="str">
            <v>83000000002112</v>
          </cell>
          <cell r="C33900" t="str">
            <v>JCC CONTRA  CUENTA INTERESES CARTERA VEN7ND</v>
          </cell>
        </row>
        <row r="33901">
          <cell r="B33901" t="str">
            <v>83000000002113</v>
          </cell>
          <cell r="C33901" t="str">
            <v>JCC  CONTRA CTA VTA.CART.OTR. COMERC    7ND</v>
          </cell>
        </row>
        <row r="33902">
          <cell r="B33902" t="str">
            <v>83000000002114</v>
          </cell>
          <cell r="C33902" t="str">
            <v>IF LIBRE DISPONIBILIDAD FMIV            7ND</v>
          </cell>
        </row>
        <row r="33903">
          <cell r="B33903" t="str">
            <v>83000000002115</v>
          </cell>
          <cell r="C33903" t="str">
            <v>JCC CTRA CTA COBERT FONDO MIVIVIENDA    7ND</v>
          </cell>
        </row>
        <row r="33904">
          <cell r="B33904" t="str">
            <v>83000000002116</v>
          </cell>
          <cell r="C33904" t="str">
            <v>CTRACTA REMESAS INTERMEX                7ND</v>
          </cell>
        </row>
        <row r="33905">
          <cell r="B33905" t="str">
            <v>83000000002117</v>
          </cell>
          <cell r="C33905" t="str">
            <v>EDP CTRACTA REMESAS KYODAI              7ND</v>
          </cell>
        </row>
        <row r="33906">
          <cell r="B33906" t="str">
            <v>83000000002118</v>
          </cell>
          <cell r="C33906" t="str">
            <v>EDP CTRACTA REMESAS BANCO ESTADO        7ND</v>
          </cell>
        </row>
        <row r="33907">
          <cell r="B33907" t="str">
            <v>83000000002119</v>
          </cell>
          <cell r="C33907" t="str">
            <v>EDP CTRACTA REMESAS CURRENCY BIRD       7ND</v>
          </cell>
        </row>
        <row r="33908">
          <cell r="B33908" t="str">
            <v>83000000002120</v>
          </cell>
          <cell r="C33908" t="str">
            <v>CTRACTA REMESAS Latin Travel Money Trans7ND</v>
          </cell>
        </row>
        <row r="33909">
          <cell r="B33909" t="str">
            <v>83000000002121</v>
          </cell>
          <cell r="C33909" t="str">
            <v>EDP CTRACTA REMESAS  GIRO SPA           7ND</v>
          </cell>
        </row>
        <row r="33910">
          <cell r="B33910" t="str">
            <v>83000000002122</v>
          </cell>
          <cell r="C33910" t="str">
            <v>CTRACTA REMESAS RELATE VENTURES INC     7ND</v>
          </cell>
        </row>
        <row r="33911">
          <cell r="B33911" t="str">
            <v>83000000002123</v>
          </cell>
          <cell r="C33911" t="str">
            <v>GAC CTRA REACTIVA PERU                  7ND</v>
          </cell>
        </row>
        <row r="33912">
          <cell r="B33912" t="str">
            <v>83000000002124</v>
          </cell>
          <cell r="C33912" t="str">
            <v>GAC FIDEICOMISO EN GARANTIA - ACTIVO    7ND</v>
          </cell>
        </row>
        <row r="33913">
          <cell r="B33913" t="str">
            <v>83000000002125</v>
          </cell>
          <cell r="C33913" t="str">
            <v>GAC FIDEICOMISO EN GARANTIA - FLUJO     7ND</v>
          </cell>
        </row>
        <row r="33914">
          <cell r="B33914" t="str">
            <v>83000000002126</v>
          </cell>
          <cell r="C33914" t="str">
            <v>GAC FIDEICOMISO EN GARANTIA - HIPOTECARI7ND</v>
          </cell>
        </row>
        <row r="33915">
          <cell r="B33915" t="str">
            <v>83000000002127</v>
          </cell>
          <cell r="C33915" t="str">
            <v>GAC FIDEICOMISO EN GARANTIA - MIXTO     7ND</v>
          </cell>
        </row>
        <row r="33916">
          <cell r="B33916" t="str">
            <v>83000000002128</v>
          </cell>
          <cell r="C33916" t="str">
            <v>GAC FIDEICOMISO EN GARANTIA - HIPOTECARI7ND</v>
          </cell>
        </row>
        <row r="33917">
          <cell r="B33917" t="str">
            <v>83000000002129</v>
          </cell>
          <cell r="C33917" t="str">
            <v>JCC REACTIVA/CRECER COFIDE MYP          7 D</v>
          </cell>
        </row>
        <row r="33918">
          <cell r="B33918" t="str">
            <v>83000000002130</v>
          </cell>
          <cell r="C33918" t="str">
            <v>JCC REACTIVA/CRECER COFIDE LPC          7 D</v>
          </cell>
        </row>
        <row r="33919">
          <cell r="B33919" t="str">
            <v>83000000002131</v>
          </cell>
          <cell r="C33919" t="str">
            <v>LPC CTRA CTA REACTIVA COFIDE CAPITAL    7 D</v>
          </cell>
        </row>
        <row r="33920">
          <cell r="B33920" t="str">
            <v>83000000002132</v>
          </cell>
          <cell r="C33920" t="str">
            <v>GAC PRENDA PECUARIA                     7ND</v>
          </cell>
        </row>
        <row r="33921">
          <cell r="B33921" t="str">
            <v>83000000002133</v>
          </cell>
          <cell r="C33921" t="str">
            <v>GAC STAND BY HIBRIDO                    7ND</v>
          </cell>
        </row>
        <row r="33922">
          <cell r="B33922" t="str">
            <v>83000000002134</v>
          </cell>
          <cell r="C33922" t="str">
            <v>LPC REPROG REACTIVA COFIDE              7ND</v>
          </cell>
        </row>
        <row r="33923">
          <cell r="B33923" t="str">
            <v>83000000002135</v>
          </cell>
          <cell r="C33923" t="str">
            <v>GAC CTRA CTA HBN HIPOTEC - BONOS 1- EMIS7ND</v>
          </cell>
        </row>
        <row r="33924">
          <cell r="B33924" t="str">
            <v>83000000002136</v>
          </cell>
          <cell r="C33924" t="str">
            <v>GAC CTRA CTA HBT HIPOTECA BANCO DEL TRAB7ND</v>
          </cell>
        </row>
        <row r="33925">
          <cell r="B33925" t="str">
            <v>83000000002137</v>
          </cell>
          <cell r="C33925" t="str">
            <v>GAC CTRA CTA NMH NUEVO HIPOTECARIOS MI H7ND</v>
          </cell>
        </row>
        <row r="33926">
          <cell r="B33926" t="str">
            <v>83000000002138</v>
          </cell>
          <cell r="C33926" t="str">
            <v>GAC CTRA CTA NTP NUEVO HIPOTECAS TECHO P7ND</v>
          </cell>
        </row>
        <row r="33927">
          <cell r="B33927" t="str">
            <v>83000000002139</v>
          </cell>
          <cell r="C33927" t="str">
            <v>GAC CTRA CTA NMV NUEVO HIPOTECARIO MI VI7ND</v>
          </cell>
        </row>
        <row r="33928">
          <cell r="B33928" t="str">
            <v>83000000002140</v>
          </cell>
          <cell r="C33928" t="str">
            <v>GAC REPROG REACTIVA DS.011-2022         7 D</v>
          </cell>
        </row>
        <row r="33929">
          <cell r="B33929" t="str">
            <v>83000000002142</v>
          </cell>
          <cell r="C33929" t="str">
            <v>GAC CTRA CTA HIPOTECARIO MI VIVIENDA COF7ND</v>
          </cell>
        </row>
        <row r="33930">
          <cell r="B33930" t="str">
            <v>83000000002144</v>
          </cell>
          <cell r="C33930" t="str">
            <v>BKT CONTRA CUENTA DE ORDEN              7ND</v>
          </cell>
        </row>
        <row r="33931">
          <cell r="B33931" t="str">
            <v>83000000002145</v>
          </cell>
          <cell r="C33931" t="str">
            <v>GAC CTRA CTA HMH HIPOTECARIO MI HOGAR   7ND</v>
          </cell>
        </row>
        <row r="33932">
          <cell r="B33932" t="str">
            <v>83000000002146</v>
          </cell>
          <cell r="C33932" t="str">
            <v>GAC CTRA CTA HMV HIPOTECARIO MI VIVIENDA7ND</v>
          </cell>
        </row>
        <row r="33933">
          <cell r="B33933" t="str">
            <v>83000000002147</v>
          </cell>
          <cell r="C33933" t="str">
            <v>GAC CTRA CTA HTP HIPOTECARIO TECHO PROPI7ND</v>
          </cell>
        </row>
        <row r="33934">
          <cell r="B33934" t="str">
            <v>83000000002148</v>
          </cell>
          <cell r="C33934" t="str">
            <v>LPC CTRA CTA REFINANCIADO COFIDE POST HO7 D</v>
          </cell>
        </row>
        <row r="33935">
          <cell r="B33935" t="str">
            <v>83000000002149</v>
          </cell>
          <cell r="C33935" t="str">
            <v>GAC CTRA CTA PROGRAMA IMPULSO MYPERU    7ND</v>
          </cell>
        </row>
        <row r="33936">
          <cell r="B33936" t="str">
            <v>83000000002150</v>
          </cell>
          <cell r="C33936" t="str">
            <v>JCC. CONTRA CTA ARRENDAMIENTO FINANACIER7ND</v>
          </cell>
        </row>
        <row r="33937">
          <cell r="B33937" t="str">
            <v>83000000002151</v>
          </cell>
          <cell r="C33937" t="str">
            <v>JCC MP CTRA CTA CAP IMPULSO MYPERU COFID7 D</v>
          </cell>
        </row>
        <row r="33938">
          <cell r="B33938" t="str">
            <v>83000000002152</v>
          </cell>
          <cell r="C33938" t="str">
            <v>JCC MP CTRA CTA IMPULSO MYPERU COFIDE   7 D</v>
          </cell>
        </row>
        <row r="33939">
          <cell r="B33939" t="str">
            <v>83000000002153</v>
          </cell>
          <cell r="C33939" t="str">
            <v>CTRCTA COM REMESAS WESTERN              7 D</v>
          </cell>
        </row>
        <row r="33940">
          <cell r="B33940" t="str">
            <v>83000000008001</v>
          </cell>
          <cell r="C33940" t="str">
            <v>PAN GARANTIAS PRENDARIAS                7ND</v>
          </cell>
        </row>
        <row r="33941">
          <cell r="B33941" t="str">
            <v>83000000008002</v>
          </cell>
          <cell r="C33941" t="str">
            <v>PAN GRTIAS HIPOTECARIAS INMOBILIARIAS   7ND</v>
          </cell>
        </row>
        <row r="33942">
          <cell r="B33942" t="str">
            <v>83000000008003</v>
          </cell>
          <cell r="C33942" t="str">
            <v>PAN OTRAS GARANTIAS                     7ND</v>
          </cell>
        </row>
        <row r="33943">
          <cell r="B33943" t="str">
            <v>83000000008004</v>
          </cell>
          <cell r="C33943" t="str">
            <v>PAN CARTAS DE CREDITO STAND BY          7ND</v>
          </cell>
        </row>
        <row r="33944">
          <cell r="B33944" t="str">
            <v>83000000008005</v>
          </cell>
          <cell r="C33944" t="str">
            <v>PAN CTRA CTA GARANTIA                   7ND</v>
          </cell>
        </row>
        <row r="33945">
          <cell r="B33945" t="str">
            <v>84010100000101</v>
          </cell>
          <cell r="C33945" t="str">
            <v>ACCIONES                                7NC</v>
          </cell>
        </row>
        <row r="33946">
          <cell r="B33946" t="str">
            <v>84010100000102</v>
          </cell>
          <cell r="C33946" t="str">
            <v>BONOS                                   7NC</v>
          </cell>
        </row>
        <row r="33947">
          <cell r="B33947" t="str">
            <v>84010100000103</v>
          </cell>
          <cell r="C33947" t="str">
            <v>CUSTODIA VALORES CBME GARANTIA          7NC</v>
          </cell>
        </row>
        <row r="33948">
          <cell r="B33948" t="str">
            <v>84010100000104</v>
          </cell>
          <cell r="C33948" t="str">
            <v>CARTA FIANZA                            7NC</v>
          </cell>
        </row>
        <row r="33949">
          <cell r="B33949" t="str">
            <v>84010100000105</v>
          </cell>
          <cell r="C33949" t="str">
            <v>BL CB BL CUSTODIA                       7NC</v>
          </cell>
        </row>
        <row r="33950">
          <cell r="B33950" t="str">
            <v>84010100000109</v>
          </cell>
          <cell r="C33950" t="str">
            <v>OTROS                                   7NC</v>
          </cell>
        </row>
        <row r="33951">
          <cell r="B33951" t="str">
            <v>84010100000110</v>
          </cell>
          <cell r="C33951" t="str">
            <v>VALORES Y TITULOS EN CUSTODIA - ACE S   7NC</v>
          </cell>
        </row>
        <row r="33952">
          <cell r="B33952" t="str">
            <v>84010100000113</v>
          </cell>
          <cell r="C33952" t="str">
            <v>FIDEICOMISO LA GRANJA                   7NC</v>
          </cell>
        </row>
        <row r="33953">
          <cell r="B33953" t="str">
            <v>84010100000201</v>
          </cell>
          <cell r="C33953" t="str">
            <v>CAJA IF RF                              7NC</v>
          </cell>
        </row>
        <row r="33954">
          <cell r="B33954" t="str">
            <v>84010100000202</v>
          </cell>
          <cell r="C33954" t="str">
            <v>INVERSIONES IF DEUDA FMIV               7NC</v>
          </cell>
        </row>
        <row r="33955">
          <cell r="B33955" t="str">
            <v>84010100000203</v>
          </cell>
          <cell r="C33955" t="str">
            <v>CAJA IF RF CLASICO SOLES                7NC</v>
          </cell>
        </row>
        <row r="33956">
          <cell r="B33956" t="str">
            <v>84010100000204</v>
          </cell>
          <cell r="C33956" t="str">
            <v>INVERSIONES IF DEUDA SOLES FMIV         7NC</v>
          </cell>
        </row>
        <row r="33957">
          <cell r="B33957" t="str">
            <v>84010100000205</v>
          </cell>
          <cell r="C33957" t="str">
            <v>CAJA IF MIXTO PREMIUN BALANCEADO        7NC</v>
          </cell>
        </row>
        <row r="33958">
          <cell r="B33958" t="str">
            <v>84010100000206</v>
          </cell>
          <cell r="C33958" t="str">
            <v>INVERSIONES IF MIXTO BALANCEADO FMIV    7NC</v>
          </cell>
        </row>
        <row r="33959">
          <cell r="B33959" t="str">
            <v>84010100000207</v>
          </cell>
          <cell r="C33959" t="str">
            <v>CAJA IF CASH                            7NC</v>
          </cell>
        </row>
        <row r="33960">
          <cell r="B33960" t="str">
            <v>84010100000208</v>
          </cell>
          <cell r="C33960" t="str">
            <v>INVERSIONES IF CASH FMIV                7NC</v>
          </cell>
        </row>
        <row r="33961">
          <cell r="B33961" t="str">
            <v>84010100000209</v>
          </cell>
          <cell r="C33961" t="str">
            <v>CAJA IF PLUS                            7NC</v>
          </cell>
        </row>
        <row r="33962">
          <cell r="B33962" t="str">
            <v>84010100000210</v>
          </cell>
          <cell r="C33962" t="str">
            <v>INVERSIONES IF PLUS FMIV                7NC</v>
          </cell>
        </row>
        <row r="33963">
          <cell r="B33963" t="str">
            <v>84010100000211</v>
          </cell>
          <cell r="C33963" t="str">
            <v>CAJA IF GLOBAL                          7NC</v>
          </cell>
        </row>
        <row r="33964">
          <cell r="B33964" t="str">
            <v>84010100000212</v>
          </cell>
          <cell r="C33964" t="str">
            <v>INVERSIONES IF INTERNACIONAL FMIV       7NC</v>
          </cell>
        </row>
        <row r="33965">
          <cell r="B33965" t="str">
            <v>84010100000213</v>
          </cell>
          <cell r="C33965" t="str">
            <v>CAJA INTERFONDO MIXTO SOLES             7NC</v>
          </cell>
        </row>
        <row r="33966">
          <cell r="B33966" t="str">
            <v>84010100000214</v>
          </cell>
          <cell r="C33966" t="str">
            <v>INVERSIONES INTERFONDO GLOBAL EXTERIO   7NC</v>
          </cell>
        </row>
        <row r="33967">
          <cell r="B33967" t="str">
            <v>84010100000215</v>
          </cell>
          <cell r="C33967" t="str">
            <v>CAJA IF RM AGRESIVA                     7NC</v>
          </cell>
        </row>
        <row r="33968">
          <cell r="B33968" t="str">
            <v>84010100000216</v>
          </cell>
          <cell r="C33968" t="str">
            <v>INVERSIONES IF ACCIONES SOLES FMIV      7NC</v>
          </cell>
        </row>
        <row r="33969">
          <cell r="B33969" t="str">
            <v>84010100000217</v>
          </cell>
          <cell r="C33969" t="str">
            <v>CAJA IF SAF                             7NC</v>
          </cell>
        </row>
        <row r="33970">
          <cell r="B33970" t="str">
            <v>84010100000218</v>
          </cell>
          <cell r="C33970" t="str">
            <v>INVERSIONES INTERFONDOS SAF FMIV        7NC</v>
          </cell>
        </row>
        <row r="33971">
          <cell r="B33971" t="str">
            <v>84010100000219</v>
          </cell>
          <cell r="C33971" t="str">
            <v>CAJA IF RM BALANCEADA                   7NC</v>
          </cell>
        </row>
        <row r="33972">
          <cell r="B33972" t="str">
            <v>84010100000220</v>
          </cell>
          <cell r="C33972" t="str">
            <v>INVERSIONES IF MIXTO BALANCEADO SOLES FM7NC</v>
          </cell>
        </row>
        <row r="33973">
          <cell r="B33973" t="str">
            <v>84010100000221</v>
          </cell>
          <cell r="C33973" t="str">
            <v>CAJA IF RM MODERADA                     7NC</v>
          </cell>
        </row>
        <row r="33974">
          <cell r="B33974" t="str">
            <v>84010100000222</v>
          </cell>
          <cell r="C33974" t="str">
            <v>INVERSIONES IF MIXTO MODERADO SOLES FMIV7NC</v>
          </cell>
        </row>
        <row r="33975">
          <cell r="B33975" t="str">
            <v>84010100000223</v>
          </cell>
          <cell r="C33975" t="str">
            <v>INVERSIONES IF CASH SOLES FMIV          7NC</v>
          </cell>
        </row>
        <row r="33976">
          <cell r="B33976" t="str">
            <v>84010100000224</v>
          </cell>
          <cell r="C33976" t="str">
            <v>CAJA IF CASH SOLES                      7NC</v>
          </cell>
        </row>
        <row r="33977">
          <cell r="B33977" t="str">
            <v>84010100000225</v>
          </cell>
          <cell r="C33977" t="str">
            <v>CAJA IF EXTRA CONSERVADOR SOLES         7NC</v>
          </cell>
        </row>
        <row r="33978">
          <cell r="B33978" t="str">
            <v>84010100000226</v>
          </cell>
          <cell r="C33978" t="str">
            <v>CAJA IF EXTRA CONSERVADOR DOLARES       7NC</v>
          </cell>
        </row>
        <row r="33979">
          <cell r="B33979" t="str">
            <v>84010100000227</v>
          </cell>
          <cell r="C33979" t="str">
            <v>INVERSIONES IF EXTRA CONSERVADOR SOLES F7NC</v>
          </cell>
        </row>
        <row r="33980">
          <cell r="B33980" t="str">
            <v>84010100000228</v>
          </cell>
          <cell r="C33980" t="str">
            <v>INVERSIONES IF EXTRA CONSERVADOR FMIV   7NC</v>
          </cell>
        </row>
        <row r="33981">
          <cell r="B33981" t="str">
            <v>84010100000229</v>
          </cell>
          <cell r="C33981" t="str">
            <v>CAJA IF OPORTUNIDAD SOLES FMIV          7NC</v>
          </cell>
        </row>
        <row r="33982">
          <cell r="B33982" t="str">
            <v>84010100000231</v>
          </cell>
          <cell r="C33982" t="str">
            <v>INVERSIONES IF OPORTUNIDAD SOLES FMIV   7NC</v>
          </cell>
        </row>
        <row r="33983">
          <cell r="B33983" t="str">
            <v>84010100000233</v>
          </cell>
          <cell r="C33983" t="str">
            <v>IF OPORTUNIDAD FMIV                     7NC</v>
          </cell>
        </row>
        <row r="33984">
          <cell r="B33984" t="str">
            <v>84010100000234</v>
          </cell>
          <cell r="C33984" t="str">
            <v>IF LIBRE DISPONBILIDAD SOLES FMIV       7NC</v>
          </cell>
        </row>
        <row r="33985">
          <cell r="B33985" t="str">
            <v>84010100000235</v>
          </cell>
          <cell r="C33985" t="str">
            <v>IF LIBRE DISPONIBILIDAD FMIV            7NC</v>
          </cell>
        </row>
        <row r="33986">
          <cell r="B33986" t="str">
            <v>84010100000236</v>
          </cell>
          <cell r="C33986" t="str">
            <v>IF INVERSION GLOBAL FMIV                7NC</v>
          </cell>
        </row>
        <row r="33987">
          <cell r="B33987" t="str">
            <v>84010100000237</v>
          </cell>
          <cell r="C33987" t="str">
            <v>IF II CAPITAL 180 FMIV                  7NC</v>
          </cell>
        </row>
        <row r="33988">
          <cell r="B33988" t="str">
            <v>84010100000238</v>
          </cell>
          <cell r="C33988" t="str">
            <v>IF I CAPITAL 180 FMIV                   7NC</v>
          </cell>
        </row>
        <row r="33989">
          <cell r="B33989" t="str">
            <v>84010100000239</v>
          </cell>
          <cell r="C33989" t="str">
            <v>IF I CAPITAL 1.5 FMIV                   7NC</v>
          </cell>
        </row>
        <row r="33990">
          <cell r="B33990" t="str">
            <v>84010100000240</v>
          </cell>
          <cell r="C33990" t="str">
            <v>IF OPORTUNIDAD FMIV Tesoreria           7NC</v>
          </cell>
        </row>
        <row r="33991">
          <cell r="B33991" t="str">
            <v>84010100000241</v>
          </cell>
          <cell r="C33991" t="str">
            <v>IF LIBRE DISP SOLES FMIV Tesoreria      7NC</v>
          </cell>
        </row>
        <row r="33992">
          <cell r="B33992" t="str">
            <v>84010100000242</v>
          </cell>
          <cell r="C33992" t="str">
            <v>IF LIBRE DISP FMIV Tesoreria            7NC</v>
          </cell>
        </row>
        <row r="33993">
          <cell r="B33993" t="str">
            <v>84010100000243</v>
          </cell>
          <cell r="C33993" t="str">
            <v>IF INVERSION GLOBAL FMIV Tesoreria      7NC</v>
          </cell>
        </row>
        <row r="33994">
          <cell r="B33994" t="str">
            <v>84010100000244</v>
          </cell>
          <cell r="C33994" t="str">
            <v>IF II CAPITAL 180 FMIV Tesoreria        7NC</v>
          </cell>
        </row>
        <row r="33995">
          <cell r="B33995" t="str">
            <v>84010100000245</v>
          </cell>
          <cell r="C33995" t="str">
            <v>IF I CAPITAL 180 FMIV Tesoreria         7NC</v>
          </cell>
        </row>
        <row r="33996">
          <cell r="B33996" t="str">
            <v>84010100000246</v>
          </cell>
          <cell r="C33996" t="str">
            <v>IF I CAPITAL 1.5 FMIV Tesoreria         7NC</v>
          </cell>
        </row>
        <row r="33997">
          <cell r="B33997" t="str">
            <v>84010100000301</v>
          </cell>
          <cell r="C33997" t="str">
            <v>CAJA COMPASS                            7NC</v>
          </cell>
        </row>
        <row r="33998">
          <cell r="B33998" t="str">
            <v>84010100000302</v>
          </cell>
          <cell r="C33998" t="str">
            <v>INVERSIONES COMPASS                     7NC</v>
          </cell>
        </row>
        <row r="33999">
          <cell r="B33999" t="str">
            <v>84010100000401</v>
          </cell>
          <cell r="C33999" t="str">
            <v>VALORES Y TITULOS EN CUSTODIA - ESSAL   7NC</v>
          </cell>
        </row>
        <row r="34000">
          <cell r="B34000" t="str">
            <v>84010100000501</v>
          </cell>
          <cell r="C34000" t="str">
            <v>VALORES Y TITULOS CUSTODIA ASOC FUNCI   7NC</v>
          </cell>
        </row>
        <row r="34001">
          <cell r="B34001" t="str">
            <v>84010100000601</v>
          </cell>
          <cell r="C34001" t="str">
            <v>VAL. Y TITULOS CUST PAT FID 036 2000    7NC</v>
          </cell>
        </row>
        <row r="34002">
          <cell r="B34002" t="str">
            <v>84010100000701</v>
          </cell>
          <cell r="C34002" t="str">
            <v>VAL. Y TITULOS CUST FID THUNDERBIRD     7NC</v>
          </cell>
        </row>
        <row r="34003">
          <cell r="B34003" t="str">
            <v>84010100000801</v>
          </cell>
          <cell r="C34003" t="str">
            <v>VAL. Y TITULOS CUST IFS                 7NC</v>
          </cell>
        </row>
        <row r="34004">
          <cell r="B34004" t="str">
            <v>84010100000802</v>
          </cell>
          <cell r="C34004" t="str">
            <v>VAL.CUST OTROS CLIENTES                 7NC</v>
          </cell>
        </row>
        <row r="34005">
          <cell r="B34005" t="str">
            <v>84010100000803</v>
          </cell>
          <cell r="C34005" t="str">
            <v>VAL.CUST FID YANACOCHA LOCAL            7NC</v>
          </cell>
        </row>
        <row r="34006">
          <cell r="B34006" t="str">
            <v>84010100000804</v>
          </cell>
          <cell r="C34006" t="str">
            <v>VALORES Y TITULOS CUSTODIA INTERCORP PER7NC</v>
          </cell>
        </row>
        <row r="34007">
          <cell r="B34007" t="str">
            <v>84010100000805</v>
          </cell>
          <cell r="C34007" t="str">
            <v>VALORES Y TITULOS CUSTODIA FIDEICOMISO L7NC</v>
          </cell>
        </row>
        <row r="34008">
          <cell r="B34008" t="str">
            <v>84010201000101</v>
          </cell>
          <cell r="C34008" t="str">
            <v>VALORES Y BIENES DE INST FINANC-CAJA BCR7NC</v>
          </cell>
        </row>
        <row r="34009">
          <cell r="B34009" t="str">
            <v>84020100000101</v>
          </cell>
          <cell r="C34009" t="str">
            <v>FCD  COBRANZA LIBRE FACTURAS            7NC</v>
          </cell>
        </row>
        <row r="34010">
          <cell r="B34010" t="str">
            <v>84020100000102</v>
          </cell>
          <cell r="C34010" t="str">
            <v>PR COBRANZA LIBRE FACTURAS              7NC</v>
          </cell>
        </row>
        <row r="34011">
          <cell r="B34011" t="str">
            <v>84020100000103</v>
          </cell>
          <cell r="C34011" t="str">
            <v>PR COBRANZA LIBRE LETRAS BL             7NC</v>
          </cell>
        </row>
        <row r="34012">
          <cell r="B34012" t="str">
            <v>84020100000104</v>
          </cell>
          <cell r="C34012" t="str">
            <v>$PR COB.LBR.F.BL                        7NC</v>
          </cell>
        </row>
        <row r="34013">
          <cell r="B34013" t="str">
            <v>84020100000105</v>
          </cell>
          <cell r="C34013" t="str">
            <v>FCD  COB.LBR.F.BL                       7NC</v>
          </cell>
        </row>
        <row r="34014">
          <cell r="B34014" t="str">
            <v>84020100000106</v>
          </cell>
          <cell r="C34014" t="str">
            <v>PR FACTURAS NEGOCIABLES  COBRANZA LIBRE 7NC</v>
          </cell>
        </row>
        <row r="34015">
          <cell r="B34015" t="str">
            <v>84020100000107</v>
          </cell>
          <cell r="C34015" t="str">
            <v>COBRANZA DE FACTURS NEGOCIABLE          7NC</v>
          </cell>
        </row>
        <row r="34016">
          <cell r="B34016" t="str">
            <v>84020100000201</v>
          </cell>
          <cell r="C34016" t="str">
            <v>VAL.REC.EN COBR.POR ACEPTAR             7NC</v>
          </cell>
        </row>
        <row r="34017">
          <cell r="B34017" t="str">
            <v>84020100000202</v>
          </cell>
          <cell r="C34017" t="str">
            <v>VAL.RECIB.EN COB.DOC.VISTA              7NC</v>
          </cell>
        </row>
        <row r="34018">
          <cell r="B34018" t="str">
            <v>84020100000203</v>
          </cell>
          <cell r="C34018" t="str">
            <v>VAL REC EN COB ACEPTADA                 7NC</v>
          </cell>
        </row>
        <row r="34019">
          <cell r="B34019" t="str">
            <v>84020100000204</v>
          </cell>
          <cell r="C34019" t="str">
            <v>CHQS REC POR IMPORTACIONES              7NC</v>
          </cell>
        </row>
        <row r="34020">
          <cell r="B34020" t="str">
            <v>84020100000205</v>
          </cell>
          <cell r="C34020" t="str">
            <v>JCC REACTIVA PERU COFIDE MYP            7 C</v>
          </cell>
        </row>
        <row r="34021">
          <cell r="B34021" t="str">
            <v>84020100000206</v>
          </cell>
          <cell r="C34021" t="str">
            <v>JCC FONDO CRECER COFIDE MYP             7 C</v>
          </cell>
        </row>
        <row r="34022">
          <cell r="B34022" t="str">
            <v>84020100000207</v>
          </cell>
          <cell r="C34022" t="str">
            <v>JCC REACTIVA PERU COFIDE LPC            7 C</v>
          </cell>
        </row>
        <row r="34023">
          <cell r="B34023" t="str">
            <v>84020100000208</v>
          </cell>
          <cell r="C34023" t="str">
            <v>JCC FONDO CRECER COFIDE LPC             7 C</v>
          </cell>
        </row>
        <row r="34024">
          <cell r="B34024" t="str">
            <v>84020100000209</v>
          </cell>
          <cell r="C34024" t="str">
            <v>LPC REFINANCIADO REACTIVA COFIDE CGEM   7 C</v>
          </cell>
        </row>
        <row r="34025">
          <cell r="B34025" t="str">
            <v>84020100000210</v>
          </cell>
          <cell r="C34025" t="str">
            <v>LPC REFINANCIADO REACTIVA COFIDE CMED   7 C</v>
          </cell>
        </row>
        <row r="34026">
          <cell r="B34026" t="str">
            <v>84020100000211</v>
          </cell>
          <cell r="C34026" t="str">
            <v>LPC REFINANCIADO REACTIVA COFIDE CCOR   7 C</v>
          </cell>
        </row>
        <row r="34027">
          <cell r="B34027" t="str">
            <v>84020100000212</v>
          </cell>
          <cell r="C34027" t="str">
            <v>LPC REFINANCIADO REACTIVA COFIDE CMIE   7 C</v>
          </cell>
        </row>
        <row r="34028">
          <cell r="B34028" t="str">
            <v>84020100000213</v>
          </cell>
          <cell r="C34028" t="str">
            <v>LPC REFINANCIADO REACTIVA COFIDE CPEM   7 C</v>
          </cell>
        </row>
        <row r="34029">
          <cell r="B34029" t="str">
            <v>84020100000214</v>
          </cell>
          <cell r="C34029" t="str">
            <v>LPC REPROG REACTIVA COFIDE CCOR         7NC</v>
          </cell>
        </row>
        <row r="34030">
          <cell r="B34030" t="str">
            <v>84020100000215</v>
          </cell>
          <cell r="C34030" t="str">
            <v>LPC REPROG REACTIVA COFIDE CMED         7NC</v>
          </cell>
        </row>
        <row r="34031">
          <cell r="B34031" t="str">
            <v>84020100000216</v>
          </cell>
          <cell r="C34031" t="str">
            <v>LPC REPROG REACTIVA COFIDE CPEM         7NC</v>
          </cell>
        </row>
        <row r="34032">
          <cell r="B34032" t="str">
            <v>84020100000217</v>
          </cell>
          <cell r="C34032" t="str">
            <v>LPC REPROG REACTIVA COFIDE CGEM         7NC</v>
          </cell>
        </row>
        <row r="34033">
          <cell r="B34033" t="str">
            <v>84020100000218</v>
          </cell>
          <cell r="C34033" t="str">
            <v>LPC REPROG REACTIVA COFIDE CMIE         7NC</v>
          </cell>
        </row>
        <row r="34034">
          <cell r="B34034" t="str">
            <v>84020100000219</v>
          </cell>
          <cell r="C34034" t="str">
            <v>LPC REFINANCIADO COFIDE POST HONR CGEM  7NC</v>
          </cell>
        </row>
        <row r="34035">
          <cell r="B34035" t="str">
            <v>84020100000220</v>
          </cell>
          <cell r="C34035" t="str">
            <v>LPC REFINANCIADO COFIDE POST HONR CMIE  7 C</v>
          </cell>
        </row>
        <row r="34036">
          <cell r="B34036" t="str">
            <v>84020100000221</v>
          </cell>
          <cell r="C34036" t="str">
            <v>LPC REFINANCIADO COFIDE POST HONR CCOR  7 C</v>
          </cell>
        </row>
        <row r="34037">
          <cell r="B34037" t="str">
            <v>84020100000222</v>
          </cell>
          <cell r="C34037" t="str">
            <v>LPC REFINANCIADO COFIDE POST HONR CMED  7 C</v>
          </cell>
        </row>
        <row r="34038">
          <cell r="B34038" t="str">
            <v>84020100000223</v>
          </cell>
          <cell r="C34038" t="str">
            <v>LPC REFINANCIADO COFIDE POST HONR CPEM  7 C</v>
          </cell>
        </row>
        <row r="34039">
          <cell r="B34039" t="str">
            <v>84020100000224</v>
          </cell>
          <cell r="C34039" t="str">
            <v>JCC MP CTRA CTA CAP IMPULSO MYPERU COFID7 C</v>
          </cell>
        </row>
        <row r="34040">
          <cell r="B34040" t="str">
            <v>84020100000225</v>
          </cell>
          <cell r="C34040" t="str">
            <v>JCC MP PRE JUD IMPLUSO MYPERU HONRADO CO7 C</v>
          </cell>
        </row>
        <row r="34041">
          <cell r="B34041" t="str">
            <v>84020100000226</v>
          </cell>
          <cell r="C34041" t="str">
            <v>JCC BC INT  IMPULSO MYPERU PERU COFIDE  7 C</v>
          </cell>
        </row>
        <row r="34042">
          <cell r="B34042" t="str">
            <v>84020100000227</v>
          </cell>
          <cell r="C34042" t="str">
            <v>JCC MP INT IMPULSO MYPERU PERU COFIDE   7 C</v>
          </cell>
        </row>
        <row r="34043">
          <cell r="B34043" t="str">
            <v>84030100000105</v>
          </cell>
          <cell r="C34043" t="str">
            <v>VALORES FACTORING INT                   7NC</v>
          </cell>
        </row>
        <row r="34044">
          <cell r="B34044" t="str">
            <v>84030100000106</v>
          </cell>
          <cell r="C34044" t="str">
            <v>VALORES COB IMP FACTORING INT           7NC</v>
          </cell>
        </row>
        <row r="34045">
          <cell r="B34045" t="str">
            <v>84030100000201</v>
          </cell>
          <cell r="C34045" t="str">
            <v>CHEQUES POR EXPORTACIONES               7NC</v>
          </cell>
        </row>
        <row r="34046">
          <cell r="B34046" t="str">
            <v>84030100000202</v>
          </cell>
          <cell r="C34046" t="str">
            <v>VALORES REC COB EXPORTACION             7NC</v>
          </cell>
        </row>
        <row r="34047">
          <cell r="B34047" t="str">
            <v>84040101000104</v>
          </cell>
          <cell r="C34047" t="str">
            <v>CERTIFICADO BANCARIO GARANTIA           7NC</v>
          </cell>
        </row>
        <row r="34048">
          <cell r="B34048" t="str">
            <v>84040101000105</v>
          </cell>
          <cell r="C34048" t="str">
            <v>BL CERTIFICADO BANCARIO BL GARANTIA     7NC</v>
          </cell>
        </row>
        <row r="34049">
          <cell r="B34049" t="str">
            <v>84040101000106</v>
          </cell>
          <cell r="C34049" t="str">
            <v>BL CTA PLAZO BL GARANTIA                7NC</v>
          </cell>
        </row>
        <row r="34050">
          <cell r="B34050" t="str">
            <v>84040101000107</v>
          </cell>
          <cell r="C34050" t="str">
            <v>BL AHORROS BL GARANTIA                  7NC</v>
          </cell>
        </row>
        <row r="34051">
          <cell r="B34051" t="str">
            <v>84040104000101</v>
          </cell>
          <cell r="C34051" t="str">
            <v>1ERA PRENDA S/INSTRUM REPRES CAPITAL    7NC</v>
          </cell>
        </row>
        <row r="34052">
          <cell r="B34052" t="str">
            <v>84040104000102</v>
          </cell>
          <cell r="C34052" t="str">
            <v>GAC CAVALI 1ERA PR S/INSTR REPRE        7NC</v>
          </cell>
        </row>
        <row r="34053">
          <cell r="B34053" t="str">
            <v>84040104000103</v>
          </cell>
          <cell r="C34053" t="str">
            <v>BL 1ERA PRENDA REP CAPITAL-PAIS         7NC</v>
          </cell>
        </row>
        <row r="34054">
          <cell r="B34054" t="str">
            <v>84040104000104</v>
          </cell>
          <cell r="C34054" t="str">
            <v>GAC CAVALI PRENDAS REP CAPITAL PAIS     7NC</v>
          </cell>
        </row>
        <row r="34055">
          <cell r="B34055" t="str">
            <v>84040104000801</v>
          </cell>
          <cell r="C34055" t="str">
            <v>PAN CONTRACUENTA DE ORDEN               7NC</v>
          </cell>
        </row>
        <row r="34056">
          <cell r="B34056" t="str">
            <v>84040105000101</v>
          </cell>
          <cell r="C34056" t="str">
            <v>ALMA PERU                               7NC</v>
          </cell>
        </row>
        <row r="34057">
          <cell r="B34057" t="str">
            <v>84040105000102</v>
          </cell>
          <cell r="C34057" t="str">
            <v>DEPOSITOS SA                            7NC</v>
          </cell>
        </row>
        <row r="34058">
          <cell r="B34058" t="str">
            <v>84040105000103</v>
          </cell>
          <cell r="C34058" t="str">
            <v>CIA.ALMACENERA S.A.- CASA               7NC</v>
          </cell>
        </row>
        <row r="34059">
          <cell r="B34059" t="str">
            <v>84040105000107</v>
          </cell>
          <cell r="C34059" t="str">
            <v>GAC WARR. DEPOS. DE LIMA                7NC</v>
          </cell>
        </row>
        <row r="34060">
          <cell r="B34060" t="str">
            <v>84040105000109</v>
          </cell>
          <cell r="C34060" t="str">
            <v>GAC WARR. ALM. CONTIN.                  7NC</v>
          </cell>
        </row>
        <row r="34061">
          <cell r="B34061" t="str">
            <v>84040105000110</v>
          </cell>
          <cell r="C34061" t="str">
            <v>ALMACENERA PERUANA DE COMERCIO- ALPECO  7NC</v>
          </cell>
        </row>
        <row r="34062">
          <cell r="B34062" t="str">
            <v>84040105000111</v>
          </cell>
          <cell r="C34062" t="str">
            <v>BLALMA PERU                             7NC</v>
          </cell>
        </row>
        <row r="34063">
          <cell r="B34063" t="str">
            <v>84040105000112</v>
          </cell>
          <cell r="C34063" t="str">
            <v>BLDEPOSITOS SA                          7NC</v>
          </cell>
        </row>
        <row r="34064">
          <cell r="B34064" t="str">
            <v>84040105000113</v>
          </cell>
          <cell r="C34064" t="str">
            <v>BLCIA.ALMACENERA S.A.- CASA             7NC</v>
          </cell>
        </row>
        <row r="34065">
          <cell r="B34065" t="str">
            <v>84040105000117</v>
          </cell>
          <cell r="C34065" t="str">
            <v>BL-LIMA-DEPOSITOS DE LIMA-DELISAÂ Â Â Â 7NC</v>
          </cell>
        </row>
        <row r="34066">
          <cell r="B34066" t="str">
            <v>84040105000119</v>
          </cell>
          <cell r="C34066" t="str">
            <v>BL-ALMACONTIÂ Â Â Â Â Â Â Â Â Â Â Â Â Â 7NC</v>
          </cell>
        </row>
        <row r="34067">
          <cell r="B34067" t="str">
            <v>84040105000120</v>
          </cell>
          <cell r="C34067" t="str">
            <v>BL - ALPECOÂ Â Â Â Â Â Â Â Â Â Â Â Â Â Â7NC</v>
          </cell>
        </row>
        <row r="34068">
          <cell r="B34068" t="str">
            <v>84040105000121</v>
          </cell>
          <cell r="C34068" t="str">
            <v>ALMA PERU MEF 114                       7NC</v>
          </cell>
        </row>
        <row r="34069">
          <cell r="B34069" t="str">
            <v>84040105000122</v>
          </cell>
          <cell r="C34069" t="str">
            <v>DEPOSITOS SAÂ  MEF 114Â Â Â Â Â Â Â Â Â 7NC</v>
          </cell>
        </row>
        <row r="34070">
          <cell r="B34070" t="str">
            <v>84040105000123</v>
          </cell>
          <cell r="C34070" t="str">
            <v>CIA.ALMACENERA S.A.- CASA MEF 114       7NC</v>
          </cell>
        </row>
        <row r="34071">
          <cell r="B34071" t="str">
            <v>84040105000124</v>
          </cell>
          <cell r="C34071" t="str">
            <v>ALMACENERA -DELISA MEF 114Â Â Â Â Â Â Â 7NC</v>
          </cell>
        </row>
        <row r="34072">
          <cell r="B34072" t="str">
            <v>84040105000125</v>
          </cell>
          <cell r="C34072" t="str">
            <v>ALPECOÂ  MEF 114Â Â Â Â Â Â Â Â Â Â Â Â 7NC</v>
          </cell>
        </row>
        <row r="34073">
          <cell r="B34073" t="str">
            <v>84040105000126</v>
          </cell>
          <cell r="C34073" t="str">
            <v>ALMACENERA CONTINENTAL S.A. MEF114Â Â Â 7NC</v>
          </cell>
        </row>
        <row r="34074">
          <cell r="B34074" t="str">
            <v>84040105000198</v>
          </cell>
          <cell r="C34074" t="str">
            <v>BL ALMACENES EN LIQUIDACIONÂ Â Â Â Â Â Â7NC</v>
          </cell>
        </row>
        <row r="34075">
          <cell r="B34075" t="str">
            <v>84040105000201</v>
          </cell>
          <cell r="C34075" t="str">
            <v>GAC ALMACENERA ALMAFIN                  7NC</v>
          </cell>
        </row>
        <row r="34076">
          <cell r="B34076" t="str">
            <v>84040107000101</v>
          </cell>
          <cell r="C34076" t="str">
            <v>FIDECOM EN GARANTIA - INMUEB            7NC</v>
          </cell>
        </row>
        <row r="34077">
          <cell r="B34077" t="str">
            <v>84040201000101</v>
          </cell>
          <cell r="C34077" t="str">
            <v>HIPOTECAS 1 ER RANGO                    7NC</v>
          </cell>
        </row>
        <row r="34078">
          <cell r="B34078" t="str">
            <v>84040201000102</v>
          </cell>
          <cell r="C34078" t="str">
            <v>HIPOTECA NAVAL 1ER RANGO                7NC</v>
          </cell>
        </row>
        <row r="34079">
          <cell r="B34079" t="str">
            <v>84040201000103</v>
          </cell>
          <cell r="C34079" t="str">
            <v>BLHIPOTECAS 1 ER RANGO                  7NC</v>
          </cell>
        </row>
        <row r="34080">
          <cell r="B34080" t="str">
            <v>84040201000104</v>
          </cell>
          <cell r="C34080" t="str">
            <v>BLHIPOTECA NAVAL 1ER RANGO              7NC</v>
          </cell>
        </row>
        <row r="34081">
          <cell r="B34081" t="str">
            <v>84040201000105</v>
          </cell>
          <cell r="C34081" t="str">
            <v>BL HIPOTECA 1ER RANGO-MEF 114-98        7NC</v>
          </cell>
        </row>
        <row r="34082">
          <cell r="B34082" t="str">
            <v>84040201000107</v>
          </cell>
          <cell r="C34082" t="str">
            <v>BL HIPOTEC NAVAL 1ER RANGO MEF 114-98   7NC</v>
          </cell>
        </row>
        <row r="34083">
          <cell r="B34083" t="str">
            <v>84040201000108</v>
          </cell>
          <cell r="C34083" t="str">
            <v>PRESTAMO HIPOTECARIO 1ER. RANGO         7NC</v>
          </cell>
        </row>
        <row r="34084">
          <cell r="B34084" t="str">
            <v>84040201000109</v>
          </cell>
          <cell r="C34084" t="str">
            <v>BL PRESTAMO HIPOTECARIO 1ER. RANGO      7NC</v>
          </cell>
        </row>
        <row r="34085">
          <cell r="B34085" t="str">
            <v>84040201000111</v>
          </cell>
          <cell r="C34085" t="str">
            <v>HIPOTECAS MI VIVIENDA                   7NC</v>
          </cell>
        </row>
        <row r="34086">
          <cell r="B34086" t="str">
            <v>84040201000112</v>
          </cell>
          <cell r="C34086" t="str">
            <v>GARANTIA CRED HIP BONOS HIPOTECARIOS    7NC</v>
          </cell>
        </row>
        <row r="34087">
          <cell r="B34087" t="str">
            <v>84040201000113</v>
          </cell>
          <cell r="C34087" t="str">
            <v>GTIA CRED HIPOTECARIO TECHO PROP        7NC</v>
          </cell>
        </row>
        <row r="34088">
          <cell r="B34088" t="str">
            <v>84040201000115</v>
          </cell>
          <cell r="C34088" t="str">
            <v>GARANTIAS PREFER UNIDAD DE PRODU        7NC</v>
          </cell>
        </row>
        <row r="34089">
          <cell r="B34089" t="str">
            <v>84040201000116</v>
          </cell>
          <cell r="C34089" t="str">
            <v>CST BT GTIA PREF HIP MIVIV COF          7NC</v>
          </cell>
        </row>
        <row r="34090">
          <cell r="B34090" t="str">
            <v>84040201000117</v>
          </cell>
          <cell r="C34090" t="str">
            <v>CST GTIA.HIPOTEC.MI HOGAR PREF.         7NC</v>
          </cell>
        </row>
        <row r="34091">
          <cell r="B34091" t="str">
            <v>84040201000118</v>
          </cell>
          <cell r="C34091" t="str">
            <v>CST GTIA HIP MYP PREFERIDA              7NC</v>
          </cell>
        </row>
        <row r="34092">
          <cell r="B34092" t="str">
            <v>84040201000119</v>
          </cell>
          <cell r="C34092" t="str">
            <v>CST MIVIVIENDA HIPOTECA PREFERIDA 1ER RA7NC</v>
          </cell>
        </row>
        <row r="34093">
          <cell r="B34093" t="str">
            <v>84040201000120</v>
          </cell>
          <cell r="C34093" t="str">
            <v>CST HBP HIPOTECA PREFERIDA 1ER RANGO    7NC</v>
          </cell>
        </row>
        <row r="34094">
          <cell r="B34094" t="str">
            <v>84040201020101</v>
          </cell>
          <cell r="C34094" t="str">
            <v>GAC HIPOTECA NAVAL 1ER RANGO            7NC</v>
          </cell>
        </row>
        <row r="34095">
          <cell r="B34095" t="str">
            <v>84040201020102</v>
          </cell>
          <cell r="C34095" t="str">
            <v>GAC BLHIPOTECAS 1 ER RANGO              7NC</v>
          </cell>
        </row>
        <row r="34096">
          <cell r="B34096" t="str">
            <v>84040201020103</v>
          </cell>
          <cell r="C34096" t="str">
            <v>GAC BLHIPOTECA NAVAL 1ER RANGO          7NC</v>
          </cell>
        </row>
        <row r="34097">
          <cell r="B34097" t="str">
            <v>84040201020104</v>
          </cell>
          <cell r="C34097" t="str">
            <v>GAC PRESTAMO HIPOTECARIO 1ER. RANGO     7NC</v>
          </cell>
        </row>
        <row r="34098">
          <cell r="B34098" t="str">
            <v>84040201020105</v>
          </cell>
          <cell r="C34098" t="str">
            <v>GAC BL PRESTAMO HIPOTECARIO 1ER. RANGO  7NC</v>
          </cell>
        </row>
        <row r="34099">
          <cell r="B34099" t="str">
            <v>84040201020106</v>
          </cell>
          <cell r="C34099" t="str">
            <v>GAC HIPOTECAS MI VIVIENDA               7NC</v>
          </cell>
        </row>
        <row r="34100">
          <cell r="B34100" t="str">
            <v>84040201020107</v>
          </cell>
          <cell r="C34100" t="str">
            <v>GAC GARANTIA CRED HIP BONOS HIPOTECARIOS7NC</v>
          </cell>
        </row>
        <row r="34101">
          <cell r="B34101" t="str">
            <v>84040201020108</v>
          </cell>
          <cell r="C34101" t="str">
            <v>GAC GTIA CRED HIPOTECARIO TECHO PROP    7NC</v>
          </cell>
        </row>
        <row r="34102">
          <cell r="B34102" t="str">
            <v>84040201020109</v>
          </cell>
          <cell r="C34102" t="str">
            <v>GAC GARANTIAS PREFER UNIDAD DE PRODU    7NC</v>
          </cell>
        </row>
        <row r="34103">
          <cell r="B34103" t="str">
            <v>84040201020110</v>
          </cell>
          <cell r="C34103" t="str">
            <v>GAC BT GTIA PREF HIP MIVIV COF          7NC</v>
          </cell>
        </row>
        <row r="34104">
          <cell r="B34104" t="str">
            <v>84040201020111</v>
          </cell>
          <cell r="C34104" t="str">
            <v>GAC GTIA.HIPOTEC.MI HOGAR PREF.         7NC</v>
          </cell>
        </row>
        <row r="34105">
          <cell r="B34105" t="str">
            <v>84040201020112</v>
          </cell>
          <cell r="C34105" t="str">
            <v>GAC GTIA HIP MYP PREFERIDA              7NC</v>
          </cell>
        </row>
        <row r="34106">
          <cell r="B34106" t="str">
            <v>84040201020113</v>
          </cell>
          <cell r="C34106" t="str">
            <v>GAC HIPOTECAS 1 ER RANGO                7NC</v>
          </cell>
        </row>
        <row r="34107">
          <cell r="B34107" t="str">
            <v>84040201020114</v>
          </cell>
          <cell r="C34107" t="str">
            <v>GAC HIP HIPOTECAS INTERSEGURO - PREFERID7NC</v>
          </cell>
        </row>
        <row r="34108">
          <cell r="B34108" t="str">
            <v>84040202010101</v>
          </cell>
          <cell r="C34108" t="str">
            <v>BONOS EN PRENDA                         7NC</v>
          </cell>
        </row>
        <row r="34109">
          <cell r="B34109" t="str">
            <v>84040202010102</v>
          </cell>
          <cell r="C34109" t="str">
            <v>BLBONOS EN PRENDA                       7NC</v>
          </cell>
        </row>
        <row r="34110">
          <cell r="B34110" t="str">
            <v>84040204010101</v>
          </cell>
          <cell r="C34110" t="str">
            <v>NEGOCIADOS EN MECANISMOS CENTRALIZADOS D7NC</v>
          </cell>
        </row>
        <row r="34111">
          <cell r="B34111" t="str">
            <v>84040204010102</v>
          </cell>
          <cell r="C34111" t="str">
            <v>GAC CAVALINEG EN MEC CENTR              7NC</v>
          </cell>
        </row>
        <row r="34112">
          <cell r="B34112" t="str">
            <v>84040204010103</v>
          </cell>
          <cell r="C34112" t="str">
            <v>BLNEGOC EN MEC CENTRAL NEG DEL PAIS     7NC</v>
          </cell>
        </row>
        <row r="34113">
          <cell r="B34113" t="str">
            <v>84040204010104</v>
          </cell>
          <cell r="C34113" t="str">
            <v>GAC CAVALI NEG MEC CENTR PAIS           7NC</v>
          </cell>
        </row>
        <row r="34114">
          <cell r="B34114" t="str">
            <v>84040204020101</v>
          </cell>
          <cell r="C34114" t="str">
            <v>GAC ACCIONES (CENTR EN INDI.MEC.)       7NC</v>
          </cell>
        </row>
        <row r="34115">
          <cell r="B34115" t="str">
            <v>84040204020102</v>
          </cell>
          <cell r="C34115" t="str">
            <v>GAC CAVALI (NEG MECANISM.CENTRALES)     7NC</v>
          </cell>
        </row>
        <row r="34116">
          <cell r="B34116" t="str">
            <v>84040204020103</v>
          </cell>
          <cell r="C34116" t="str">
            <v>GAC INDICES MECANUISMOS CEN NEG EXT     7NC</v>
          </cell>
        </row>
        <row r="34117">
          <cell r="B34117" t="str">
            <v>84040204020104</v>
          </cell>
          <cell r="C34117" t="str">
            <v>GAC CAVALI INDICE MECANIS CENTRAL NEG EX7NC</v>
          </cell>
        </row>
        <row r="34118">
          <cell r="B34118" t="str">
            <v>84040205010101</v>
          </cell>
          <cell r="C34118" t="str">
            <v>FONDOS MUTUOS                           7NC</v>
          </cell>
        </row>
        <row r="34119">
          <cell r="B34119" t="str">
            <v>84040205010102</v>
          </cell>
          <cell r="C34119" t="str">
            <v>BL FONDOS MUTUOSÂ Â Â Â Â Â Â Â Â Â Â Â 7NC</v>
          </cell>
        </row>
        <row r="34120">
          <cell r="B34120" t="str">
            <v>84040205020101</v>
          </cell>
          <cell r="C34120" t="str">
            <v>GTIA PREF MOBILIARIA FONDOS INVERSION   7NC</v>
          </cell>
        </row>
        <row r="34121">
          <cell r="B34121" t="str">
            <v>84040208000101</v>
          </cell>
          <cell r="C34121" t="str">
            <v>PRIMERA PRENDA DE MAQUINARIA Y EQUIPOS  7NC</v>
          </cell>
        </row>
        <row r="34122">
          <cell r="B34122" t="str">
            <v>84040208000102</v>
          </cell>
          <cell r="C34122" t="str">
            <v>PRENDA INDUSTRIAL                       7NC</v>
          </cell>
        </row>
        <row r="34123">
          <cell r="B34123" t="str">
            <v>84040208000103</v>
          </cell>
          <cell r="C34123" t="str">
            <v>BLPRIMERA PRENDA DE MAQ Y EQUIPOSÂ Â Â Â7NC</v>
          </cell>
        </row>
        <row r="34124">
          <cell r="B34124" t="str">
            <v>84040208000104</v>
          </cell>
          <cell r="C34124" t="str">
            <v>BLPRENDA INDUSTRIAL                     7NC</v>
          </cell>
        </row>
        <row r="34125">
          <cell r="B34125" t="str">
            <v>84040208000105</v>
          </cell>
          <cell r="C34125" t="str">
            <v>BL PRENDA MAQ Y EQ 1ER R-MEF 114-98     7NC</v>
          </cell>
        </row>
        <row r="34126">
          <cell r="B34126" t="str">
            <v>84040208000106</v>
          </cell>
          <cell r="C34126" t="str">
            <v>BL PRENDA INDUSTRIAL 1ER R MEF 114-98   7NC</v>
          </cell>
        </row>
        <row r="34127">
          <cell r="B34127" t="str">
            <v>84040208000107</v>
          </cell>
          <cell r="C34127" t="str">
            <v>GAC PRIMERA PRENDA AGRICOLA             7NC</v>
          </cell>
        </row>
        <row r="34128">
          <cell r="B34128" t="str">
            <v>84040208000108</v>
          </cell>
          <cell r="C34128" t="str">
            <v>GAC BL PRIMERA PRENDA AGRICOLA          7NC</v>
          </cell>
        </row>
        <row r="34129">
          <cell r="B34129" t="str">
            <v>84040208000109</v>
          </cell>
          <cell r="C34129" t="str">
            <v>GAC PRIMERA PRENDA MINERA               7NC</v>
          </cell>
        </row>
        <row r="34130">
          <cell r="B34130" t="str">
            <v>84040208000110</v>
          </cell>
          <cell r="C34130" t="str">
            <v>GARANTIAS PREFER CONCESION ELECTRICA    7NC</v>
          </cell>
        </row>
        <row r="34131">
          <cell r="B34131" t="str">
            <v>84040208000111</v>
          </cell>
          <cell r="C34131" t="str">
            <v>GAC BPE GARANTIA MAQUINARIA             7NC</v>
          </cell>
        </row>
        <row r="34132">
          <cell r="B34132" t="str">
            <v>84040208000112</v>
          </cell>
          <cell r="C34132" t="str">
            <v>GAC PRIMERA PRENDA PECUARIA             7NC</v>
          </cell>
        </row>
        <row r="34133">
          <cell r="B34133" t="str">
            <v>84040209000101</v>
          </cell>
          <cell r="C34133" t="str">
            <v>PRENDA VEHICULAR                        7NC</v>
          </cell>
        </row>
        <row r="34134">
          <cell r="B34134" t="str">
            <v>84040209000102</v>
          </cell>
          <cell r="C34134" t="str">
            <v>BL PRENDA VEHICULAR                     7NC</v>
          </cell>
        </row>
        <row r="34135">
          <cell r="B34135" t="str">
            <v>84040209000103</v>
          </cell>
          <cell r="C34135" t="str">
            <v>BL PRENDA VEHICULAR MEF 114-98-EF       7NC</v>
          </cell>
        </row>
        <row r="34136">
          <cell r="B34136" t="str">
            <v>84040209000105</v>
          </cell>
          <cell r="C34136" t="str">
            <v>CREDITO VEHICULAR 1ER..RANGO            7NC</v>
          </cell>
        </row>
        <row r="34137">
          <cell r="B34137" t="str">
            <v>84040209000106</v>
          </cell>
          <cell r="C34137" t="str">
            <v>BL CREDITO VEHICULAR 1ER..RANGO         7NC</v>
          </cell>
        </row>
        <row r="34138">
          <cell r="B34138" t="str">
            <v>84040209000107</v>
          </cell>
          <cell r="C34138" t="str">
            <v>PRENDA MARÂ¡TIMA                        7NC</v>
          </cell>
        </row>
        <row r="34139">
          <cell r="B34139" t="str">
            <v>84040210000101</v>
          </cell>
          <cell r="C34139" t="str">
            <v>ALMA PERU                               7NC</v>
          </cell>
        </row>
        <row r="34140">
          <cell r="B34140" t="str">
            <v>84040210000102</v>
          </cell>
          <cell r="C34140" t="str">
            <v>DEPOSITOS SA                            7NC</v>
          </cell>
        </row>
        <row r="34141">
          <cell r="B34141" t="str">
            <v>84040210000103</v>
          </cell>
          <cell r="C34141" t="str">
            <v>CIA.ALMACENERA S.A. CASA                7NC</v>
          </cell>
        </row>
        <row r="34142">
          <cell r="B34142" t="str">
            <v>84040210000107</v>
          </cell>
          <cell r="C34142" t="str">
            <v>GAC WARR. DEPOS. DE LIMA                7NC</v>
          </cell>
        </row>
        <row r="34143">
          <cell r="B34143" t="str">
            <v>84040210000109</v>
          </cell>
          <cell r="C34143" t="str">
            <v>GAC WARR. ALM. CONTIN.                  7NC</v>
          </cell>
        </row>
        <row r="34144">
          <cell r="B34144" t="str">
            <v>84040210000110</v>
          </cell>
          <cell r="C34144" t="str">
            <v>ALMACENERA PERUANA DE COMERCIO- ALPECO  7NC</v>
          </cell>
        </row>
        <row r="34145">
          <cell r="B34145" t="str">
            <v>84040210000111</v>
          </cell>
          <cell r="C34145" t="str">
            <v>BL ALMA PERU                            7NC</v>
          </cell>
        </row>
        <row r="34146">
          <cell r="B34146" t="str">
            <v>84040210000112</v>
          </cell>
          <cell r="C34146" t="str">
            <v>BLDEPOSITOS SA                          7NC</v>
          </cell>
        </row>
        <row r="34147">
          <cell r="B34147" t="str">
            <v>84040210000113</v>
          </cell>
          <cell r="C34147" t="str">
            <v>BLCIA.ALMACENERA S.A.- CASA             7NC</v>
          </cell>
        </row>
        <row r="34148">
          <cell r="B34148" t="str">
            <v>84040210000117</v>
          </cell>
          <cell r="C34148" t="str">
            <v>BL-DEPOSITOS DE LIMA-DELISAÂ Â Â Â Â Â Â7NC</v>
          </cell>
        </row>
        <row r="34149">
          <cell r="B34149" t="str">
            <v>84040210000119</v>
          </cell>
          <cell r="C34149" t="str">
            <v>BL.-ALMACONTI                           7NC</v>
          </cell>
        </row>
        <row r="34150">
          <cell r="B34150" t="str">
            <v>84040210000120</v>
          </cell>
          <cell r="C34150" t="str">
            <v>BL- ALPECOÂ Â Â Â Â Â Â Â Â Â Â Â Â Â Â 7NC</v>
          </cell>
        </row>
        <row r="34151">
          <cell r="B34151" t="str">
            <v>84040210000122</v>
          </cell>
          <cell r="C34151" t="str">
            <v>ALMA PERU MEF 114Â Â Â Â Â Â Â Â Â Â Â Â7NC</v>
          </cell>
        </row>
        <row r="34152">
          <cell r="B34152" t="str">
            <v>84040210000123</v>
          </cell>
          <cell r="C34152" t="str">
            <v>DEPOSITOS SA  MEF 114                   7NC</v>
          </cell>
        </row>
        <row r="34153">
          <cell r="B34153" t="str">
            <v>84040210000124</v>
          </cell>
          <cell r="C34153" t="str">
            <v>CIA.ALMACENERA S.A.- CASA MEF 114       7NC</v>
          </cell>
        </row>
        <row r="34154">
          <cell r="B34154" t="str">
            <v>84040210000125</v>
          </cell>
          <cell r="C34154" t="str">
            <v>ALMACENERA -DELISA MEF 114Â Â Â Â Â Â Â 7NC</v>
          </cell>
        </row>
        <row r="34155">
          <cell r="B34155" t="str">
            <v>84040210000126</v>
          </cell>
          <cell r="C34155" t="str">
            <v>Â ALPECOÂ  MEF 114Â Â Â Â Â Â Â Â Â Â Â 7NC</v>
          </cell>
        </row>
        <row r="34156">
          <cell r="B34156" t="str">
            <v>84040210000127</v>
          </cell>
          <cell r="C34156" t="str">
            <v>ALMACENERA CONTINENTAL S.A. MEF114Â Â Â 7NC</v>
          </cell>
        </row>
        <row r="34157">
          <cell r="B34157" t="str">
            <v>84040210000198</v>
          </cell>
          <cell r="C34157" t="str">
            <v>ALMACENES EN LIQUIDACION                7NC</v>
          </cell>
        </row>
        <row r="34158">
          <cell r="B34158" t="str">
            <v>84040210000201</v>
          </cell>
          <cell r="C34158" t="str">
            <v>GAC ALMACENERA ALMAFIN                  7NC</v>
          </cell>
        </row>
        <row r="34159">
          <cell r="B34159" t="str">
            <v>84040211000101</v>
          </cell>
          <cell r="C34159" t="str">
            <v>PRIMERA PRENDA AGRICOLA                 7NC</v>
          </cell>
        </row>
        <row r="34160">
          <cell r="B34160" t="str">
            <v>84040211000102</v>
          </cell>
          <cell r="C34160" t="str">
            <v>BL PRIMERA PRENDA AGRICOLA              7NC</v>
          </cell>
        </row>
        <row r="34161">
          <cell r="B34161" t="str">
            <v>84040211000103</v>
          </cell>
          <cell r="C34161" t="str">
            <v>BL PRENDA AGRICOLA MEF 114-98           7NC</v>
          </cell>
        </row>
        <row r="34162">
          <cell r="B34162" t="str">
            <v>84040212000101</v>
          </cell>
          <cell r="C34162" t="str">
            <v>PRENDAS MINERAS                         7NC</v>
          </cell>
        </row>
        <row r="34163">
          <cell r="B34163" t="str">
            <v>84040212000103</v>
          </cell>
          <cell r="C34163" t="str">
            <v>PRENDA MINERA MEF 114                   7NC</v>
          </cell>
        </row>
        <row r="34164">
          <cell r="B34164" t="str">
            <v>84040213000101</v>
          </cell>
          <cell r="C34164" t="str">
            <v>PRENDA DE MERCADERIA                    7NC</v>
          </cell>
        </row>
        <row r="34165">
          <cell r="B34165" t="str">
            <v>84040213000102</v>
          </cell>
          <cell r="C34165" t="str">
            <v>BL PRENDA SOBRE MERCADERIAS             7NC</v>
          </cell>
        </row>
        <row r="34166">
          <cell r="B34166" t="str">
            <v>84040213000103</v>
          </cell>
          <cell r="C34166" t="str">
            <v>PRENDA SOBRE MERCADERIAS MEF            7NC</v>
          </cell>
        </row>
        <row r="34167">
          <cell r="B34167" t="str">
            <v>84040214000101</v>
          </cell>
          <cell r="C34167" t="str">
            <v>FIDEICOM EN GARANTIA -  INMUEB          7NC</v>
          </cell>
        </row>
        <row r="34168">
          <cell r="B34168" t="str">
            <v>84040214000102</v>
          </cell>
          <cell r="C34168" t="str">
            <v>GAC FIDEICOMISO EN GARANTIA - HIPOTECARI7NC</v>
          </cell>
        </row>
        <row r="34169">
          <cell r="B34169" t="str">
            <v>84040215000101</v>
          </cell>
          <cell r="C34169" t="str">
            <v>CST GTIA.PREFERIDA SEPYMEX              7NC</v>
          </cell>
        </row>
        <row r="34170">
          <cell r="B34170" t="str">
            <v>84040217010101</v>
          </cell>
          <cell r="C34170" t="str">
            <v>EMP SIST FINANC PAIS-CARTA FIANZA       7NC</v>
          </cell>
        </row>
        <row r="34171">
          <cell r="B34171" t="str">
            <v>84040217010102</v>
          </cell>
          <cell r="C34171" t="str">
            <v>GAC EMPRESAS DEL SIS FINANC Y SEGUROS PA7NC</v>
          </cell>
        </row>
        <row r="34172">
          <cell r="B34172" t="str">
            <v>84040219010101</v>
          </cell>
          <cell r="C34172" t="str">
            <v>LPC GTIA.LEASING BNE.INMUEBLE           7NC</v>
          </cell>
        </row>
        <row r="34173">
          <cell r="B34173" t="str">
            <v>84040219010201</v>
          </cell>
          <cell r="C34173" t="str">
            <v>GARANTIA LEASEBACK BIENES INMUEBLES     7NC</v>
          </cell>
        </row>
        <row r="34174">
          <cell r="B34174" t="str">
            <v>84040219020101</v>
          </cell>
          <cell r="C34174" t="str">
            <v>LPC GTIA LEASING B.MUEBLE               7NC</v>
          </cell>
        </row>
        <row r="34175">
          <cell r="B34175" t="str">
            <v>84040219020201</v>
          </cell>
          <cell r="C34175" t="str">
            <v>GARANTIA LEASE BACK BIENES MUEBLES      7NC</v>
          </cell>
        </row>
        <row r="34176">
          <cell r="B34176" t="str">
            <v>84040222000101</v>
          </cell>
          <cell r="C34176" t="str">
            <v>CARTA FIANZA IB EMP SISTFIN             7NC</v>
          </cell>
        </row>
        <row r="34177">
          <cell r="B34177" t="str">
            <v>84040222000102</v>
          </cell>
          <cell r="C34177" t="str">
            <v>CST CART FIANZA MI VIVIENDA             7NC</v>
          </cell>
        </row>
        <row r="34178">
          <cell r="B34178" t="str">
            <v>84040222000701</v>
          </cell>
          <cell r="C34178" t="str">
            <v>RCC  CARTAS FIANZA QUE RESPALDAN FUTURA 7NC</v>
          </cell>
        </row>
        <row r="34179">
          <cell r="B34179" t="str">
            <v>84040229000101</v>
          </cell>
          <cell r="C34179" t="str">
            <v>GAC PRIMERA PRENDA AGRICOLA             7NC</v>
          </cell>
        </row>
        <row r="34180">
          <cell r="B34180" t="str">
            <v>84040229000102</v>
          </cell>
          <cell r="C34180" t="str">
            <v>GAC BL PRIMERA PRENDA AGRICOLA          7NC</v>
          </cell>
        </row>
        <row r="34181">
          <cell r="B34181" t="str">
            <v>84040229000103</v>
          </cell>
          <cell r="C34181" t="str">
            <v>GAC PRENDAS MINERAS                     7NC</v>
          </cell>
        </row>
        <row r="34182">
          <cell r="B34182" t="str">
            <v>84040229000104</v>
          </cell>
          <cell r="C34182" t="str">
            <v>GAC PRENDA DE MERCADERIAS               7NC</v>
          </cell>
        </row>
        <row r="34183">
          <cell r="B34183" t="str">
            <v>84040229000105</v>
          </cell>
          <cell r="C34183" t="str">
            <v>GAC BL PRENDA SOBRE MERCADERIAS         7NC</v>
          </cell>
        </row>
        <row r="34184">
          <cell r="B34184" t="str">
            <v>84040229000106</v>
          </cell>
          <cell r="C34184" t="str">
            <v>GAC BL PRENDA AGRICOLA MEF 114-98       7NC</v>
          </cell>
        </row>
        <row r="34185">
          <cell r="B34185" t="str">
            <v>84040229000107</v>
          </cell>
          <cell r="C34185" t="str">
            <v>GAC PRENDA MINERA MEF 114               7NC</v>
          </cell>
        </row>
        <row r="34186">
          <cell r="B34186" t="str">
            <v>84040229000108</v>
          </cell>
          <cell r="C34186" t="str">
            <v>GAC PRENDA SOBRE MERCADERIAS MEF        7NC</v>
          </cell>
        </row>
        <row r="34187">
          <cell r="B34187" t="str">
            <v>84040229000109</v>
          </cell>
          <cell r="C34187" t="str">
            <v>CST GTIA.PREFERIDA SEPYMEX              7NC</v>
          </cell>
        </row>
        <row r="34188">
          <cell r="B34188" t="str">
            <v>84040229000201</v>
          </cell>
          <cell r="C34188" t="str">
            <v>GARANTIA LEASEBACK BIENES INMUEBLES     7NC</v>
          </cell>
        </row>
        <row r="34189">
          <cell r="B34189" t="str">
            <v>84040229000202</v>
          </cell>
          <cell r="C34189" t="str">
            <v>GARANTIA LEASEBACK  BIENES  MUEBLES     7NC</v>
          </cell>
        </row>
        <row r="34190">
          <cell r="B34190" t="str">
            <v>84040229000203</v>
          </cell>
          <cell r="C34190" t="str">
            <v>GARANTIA LEASING BIENES INMUEBLES       7NC</v>
          </cell>
        </row>
        <row r="34191">
          <cell r="B34191" t="str">
            <v>84040229000204</v>
          </cell>
          <cell r="C34191" t="str">
            <v>GARANTIA LEASING BIENES  MUEBLES        7NC</v>
          </cell>
        </row>
        <row r="34192">
          <cell r="B34192" t="str">
            <v>84040229000205</v>
          </cell>
          <cell r="C34192" t="str">
            <v>GAC CERTIFICADO BANCARIO - HIPOTECARIO  7NC</v>
          </cell>
        </row>
        <row r="34193">
          <cell r="B34193" t="str">
            <v>84040229000206</v>
          </cell>
          <cell r="C34193" t="str">
            <v>LPC GARANTIA LEASING FINANCIACION PROYEC7 C</v>
          </cell>
        </row>
        <row r="34194">
          <cell r="B34194" t="str">
            <v>84040229000207</v>
          </cell>
          <cell r="C34194" t="str">
            <v>LPC GARANTIA LEASING FINANCIACION PROYEC7 C</v>
          </cell>
        </row>
        <row r="34195">
          <cell r="B34195" t="str">
            <v>84040229000208</v>
          </cell>
          <cell r="C34195" t="str">
            <v>JCC.ARRENDAMIENTO FINANACIERO           7NC</v>
          </cell>
        </row>
        <row r="34196">
          <cell r="B34196" t="str">
            <v>84040229000209</v>
          </cell>
          <cell r="C34196" t="str">
            <v>JCC PJ. ARRENDAMIENTO FINANACIERO       7NC</v>
          </cell>
        </row>
        <row r="34197">
          <cell r="B34197" t="str">
            <v>84040229000210</v>
          </cell>
          <cell r="C34197" t="str">
            <v>JCC CA. ARRENDAMIENTO FINANACIERO       7NC</v>
          </cell>
        </row>
        <row r="34198">
          <cell r="B34198" t="str">
            <v>84040229000211</v>
          </cell>
          <cell r="C34198" t="str">
            <v>JCC CS. ARRENDAMIENTO FINANACIERO       7NC</v>
          </cell>
        </row>
        <row r="34199">
          <cell r="B34199" t="str">
            <v>84040229000212</v>
          </cell>
          <cell r="C34199" t="str">
            <v>CIVIL SOBRE MARCAS IB PREFERIDA         7 C</v>
          </cell>
        </row>
        <row r="34200">
          <cell r="B34200" t="str">
            <v>84040300000101</v>
          </cell>
          <cell r="C34200" t="str">
            <v>GAC HIPOTECAS MI VIVIENDAÂ Â Â Â Â Â Â Â7NC</v>
          </cell>
        </row>
        <row r="34201">
          <cell r="B34201" t="str">
            <v>84040300000102</v>
          </cell>
          <cell r="C34201" t="str">
            <v>GAC GTIA CRED HIPOT.TECHO PROPIOÂ Â Â Â 7NC</v>
          </cell>
        </row>
        <row r="34202">
          <cell r="B34202" t="str">
            <v>84040300000103</v>
          </cell>
          <cell r="C34202" t="str">
            <v>GAC BT GTIA PREF HIP MIVIV COFÂ Â Â  Â Â7NC</v>
          </cell>
        </row>
        <row r="34203">
          <cell r="B34203" t="str">
            <v>84040300000104</v>
          </cell>
          <cell r="C34203" t="str">
            <v>GAC GTIA.HIPOTEC.MI HOGAR PREF          7NC</v>
          </cell>
        </row>
        <row r="34204">
          <cell r="B34204" t="str">
            <v>84040300000201</v>
          </cell>
          <cell r="C34204" t="str">
            <v>JCC COBERTURA HIPOTECARIOS MI HOGAR 06.17NC</v>
          </cell>
        </row>
        <row r="34205">
          <cell r="B34205" t="str">
            <v>84040300000202</v>
          </cell>
          <cell r="C34205" t="str">
            <v>JCC COBERTURA HIPOTECARIOS MI VIVIENDA 07NC</v>
          </cell>
        </row>
        <row r="34206">
          <cell r="B34206" t="str">
            <v>84040300000203</v>
          </cell>
          <cell r="C34206" t="str">
            <v>JCC COBERTURA HIPOTECAS TECHO PROPIO 06.7NC</v>
          </cell>
        </row>
        <row r="34207">
          <cell r="B34207" t="str">
            <v>84040401000101</v>
          </cell>
          <cell r="C34207" t="str">
            <v>CTA CTE EN GARANTIA                     7NC</v>
          </cell>
        </row>
        <row r="34208">
          <cell r="B34208" t="str">
            <v>84040401000102</v>
          </cell>
          <cell r="C34208" t="str">
            <v>DEP CTA CTE GTIA INMOB-PJ S/F LUCRO     7NC</v>
          </cell>
        </row>
        <row r="34209">
          <cell r="B34209" t="str">
            <v>84040401000103</v>
          </cell>
          <cell r="C34209" t="str">
            <v>CTA CTE GARANTIA INMOBILIARIA P3        7NC</v>
          </cell>
        </row>
        <row r="34210">
          <cell r="B34210" t="str">
            <v>84040401000104</v>
          </cell>
          <cell r="C34210" t="str">
            <v>CTA CTE EN GTIA PJ SF LUCRO             7NC</v>
          </cell>
        </row>
        <row r="34211">
          <cell r="B34211" t="str">
            <v>84040401000105</v>
          </cell>
          <cell r="C34211" t="str">
            <v>CTA AHORROS GARANTIA                    7NC</v>
          </cell>
        </row>
        <row r="34212">
          <cell r="B34212" t="str">
            <v>84040401000106</v>
          </cell>
          <cell r="C34212" t="str">
            <v>CTA PLAZO GARANTIA                      7NC</v>
          </cell>
        </row>
        <row r="34213">
          <cell r="B34213" t="str">
            <v>84040401000111</v>
          </cell>
          <cell r="C34213" t="str">
            <v>ST CBME MN GTIA CUSTODIA                7NC</v>
          </cell>
        </row>
        <row r="34214">
          <cell r="B34214" t="str">
            <v>84040401000112</v>
          </cell>
          <cell r="C34214" t="str">
            <v>CST CDN GARANTIA PN/PJ                  7NC</v>
          </cell>
        </row>
        <row r="34215">
          <cell r="B34215" t="str">
            <v>84040401010101</v>
          </cell>
          <cell r="C34215" t="str">
            <v>GAC AHORRO GARANTIA INSCRITA            7NC</v>
          </cell>
        </row>
        <row r="34216">
          <cell r="B34216" t="str">
            <v>84040401010102</v>
          </cell>
          <cell r="C34216" t="str">
            <v>GAC CTA CTE LETRAS GTIA INSCRITA        7NC</v>
          </cell>
        </row>
        <row r="34217">
          <cell r="B34217" t="str">
            <v>84040401010103</v>
          </cell>
          <cell r="C34217" t="str">
            <v>GAC DEPOSITO PLAZO GTIA INSCRITA        7NC</v>
          </cell>
        </row>
        <row r="34218">
          <cell r="B34218" t="str">
            <v>84040401010104</v>
          </cell>
          <cell r="C34218" t="str">
            <v>GAC CBM CERT BANCA GARANTIA INSCRITA    7NC</v>
          </cell>
        </row>
        <row r="34219">
          <cell r="B34219" t="str">
            <v>84040401010105</v>
          </cell>
          <cell r="C34219" t="str">
            <v>GAC CDN CERT DEPOSITO NEGOC GARANTIA INS7NC</v>
          </cell>
        </row>
        <row r="34220">
          <cell r="B34220" t="str">
            <v>84040401010106</v>
          </cell>
          <cell r="C34220" t="str">
            <v>GAC CTA.CTE. GARANTIA INSCRITA          7NC</v>
          </cell>
        </row>
        <row r="34221">
          <cell r="B34221" t="str">
            <v>84040401020101</v>
          </cell>
          <cell r="C34221" t="str">
            <v>GAC AHORRO GARANTIA NO INSCRITA         7NC</v>
          </cell>
        </row>
        <row r="34222">
          <cell r="B34222" t="str">
            <v>84040401020102</v>
          </cell>
          <cell r="C34222" t="str">
            <v>GAC CTA CTE LETRAS GTIA NO INSCRITA     7NC</v>
          </cell>
        </row>
        <row r="34223">
          <cell r="B34223" t="str">
            <v>84040401020103</v>
          </cell>
          <cell r="C34223" t="str">
            <v>GAC DEPOSITO PLAZO GTIA NO INSCRITA     7NC</v>
          </cell>
        </row>
        <row r="34224">
          <cell r="B34224" t="str">
            <v>84040401020104</v>
          </cell>
          <cell r="C34224" t="str">
            <v>GAC CBM CERT BAN GTIA NO INSCRITA       7NC</v>
          </cell>
        </row>
        <row r="34225">
          <cell r="B34225" t="str">
            <v>84040401020105</v>
          </cell>
          <cell r="C34225" t="str">
            <v>GAC CDN CERT DEPO NEGOC GTIA NO INSCRITA7NC</v>
          </cell>
        </row>
        <row r="34226">
          <cell r="B34226" t="str">
            <v>84040401020106</v>
          </cell>
          <cell r="C34226" t="str">
            <v>GAC CTA.CTE. GARANTIA NO INSCRITA       7NC</v>
          </cell>
        </row>
        <row r="34227">
          <cell r="B34227" t="str">
            <v>84040402000701</v>
          </cell>
          <cell r="C34227" t="str">
            <v>RCC  DERECHOS DE CARTA DE CRÃ‰DITO  CART7NC</v>
          </cell>
        </row>
        <row r="34228">
          <cell r="B34228" t="str">
            <v>84040404000701</v>
          </cell>
          <cell r="C34228" t="str">
            <v>RCC  COBERTURA DE RIESGO PROVISTA POR EL7NC</v>
          </cell>
        </row>
        <row r="34229">
          <cell r="B34229" t="str">
            <v>84040501000101</v>
          </cell>
          <cell r="C34229" t="str">
            <v>CARTA FIANZA IB EMP SISTFIN SEG         7NC</v>
          </cell>
        </row>
        <row r="34230">
          <cell r="B34230" t="str">
            <v>84040501000102</v>
          </cell>
          <cell r="C34230" t="str">
            <v>CARTA FIANZA BL EMP SIST FIN SEG PAIS   7NC</v>
          </cell>
        </row>
        <row r="34231">
          <cell r="B34231" t="str">
            <v>84040501000103</v>
          </cell>
          <cell r="C34231" t="str">
            <v>STAND BY IB EMP SIST SEG EXT 1ER        7NC</v>
          </cell>
        </row>
        <row r="34232">
          <cell r="B34232" t="str">
            <v>84040501000104</v>
          </cell>
          <cell r="C34232" t="str">
            <v>STAND BY BL EMP SIST SEG EXT 1ER        7NC</v>
          </cell>
        </row>
        <row r="34233">
          <cell r="B34233" t="str">
            <v>84040501000105</v>
          </cell>
          <cell r="C34233" t="str">
            <v>CST BT GTIA CAR.FIANZA RIES.CONT        7NC</v>
          </cell>
        </row>
        <row r="34234">
          <cell r="B34234" t="str">
            <v>84040501000106</v>
          </cell>
          <cell r="C34234" t="str">
            <v>CST CART FIANZA MI VIVIENDA             7NC</v>
          </cell>
        </row>
        <row r="34235">
          <cell r="B34235" t="str">
            <v>84040504000101</v>
          </cell>
          <cell r="C34235" t="str">
            <v>GTIA RECIB XCOBERT FONDO GTIA CONSTITUID7NC</v>
          </cell>
        </row>
        <row r="34236">
          <cell r="B34236" t="str">
            <v>84040504000102</v>
          </cell>
          <cell r="C34236" t="str">
            <v>GAC FONDO CRECER - GTIA CONTRAPARTEÂ    7NC</v>
          </cell>
        </row>
        <row r="34237">
          <cell r="B34237" t="str">
            <v>84040505000101</v>
          </cell>
          <cell r="C34237" t="str">
            <v>GTIA RECIB X POLIZA DE CAUCION          7NC</v>
          </cell>
        </row>
        <row r="34238">
          <cell r="B34238" t="str">
            <v>84040506000101</v>
          </cell>
          <cell r="C34238" t="str">
            <v>GAC GTIA.PREFERIDA SEPYMEX              7NC</v>
          </cell>
        </row>
        <row r="34239">
          <cell r="B34239" t="str">
            <v>84040507000101</v>
          </cell>
          <cell r="C34239" t="str">
            <v>GAC STAND BY IB EMP SIST SEG EXT 1ER    7NC</v>
          </cell>
        </row>
        <row r="34240">
          <cell r="B34240" t="str">
            <v>84040507000102</v>
          </cell>
          <cell r="C34240" t="str">
            <v>GAC STAND BY PECUARIA HYBRIDO           7NC</v>
          </cell>
        </row>
        <row r="34241">
          <cell r="B34241" t="str">
            <v>84040507000801</v>
          </cell>
          <cell r="C34241" t="str">
            <v>PANAM GAC SBY                           7NC</v>
          </cell>
        </row>
        <row r="34242">
          <cell r="B34242" t="str">
            <v>84040510000101</v>
          </cell>
          <cell r="C34242" t="str">
            <v>GTIA RECIB X RIESGO FONDO MIVIVIENDA    7NC</v>
          </cell>
        </row>
        <row r="34243">
          <cell r="B34243" t="str">
            <v>84040510000102</v>
          </cell>
          <cell r="C34243" t="str">
            <v>GAC COBERT. RIEGO HIPOTECAS MI VIVIENDAÂ7NC</v>
          </cell>
        </row>
        <row r="34244">
          <cell r="B34244" t="str">
            <v>84040510000103</v>
          </cell>
          <cell r="C34244" t="str">
            <v>GAC COBERT.RIESGO GTIA CRED HIPOT.TECHO 7NC</v>
          </cell>
        </row>
        <row r="34245">
          <cell r="B34245" t="str">
            <v>84040510000104</v>
          </cell>
          <cell r="C34245" t="str">
            <v>GAC COBERT.RIESGO BT GTIA PREF HIP MIVIV7NC</v>
          </cell>
        </row>
        <row r="34246">
          <cell r="B34246" t="str">
            <v>84040510000105</v>
          </cell>
          <cell r="C34246" t="str">
            <v>GAC COBERT.RIESGO GTIA.HIPOTEC.MI HOGAR 7NC</v>
          </cell>
        </row>
        <row r="34247">
          <cell r="B34247" t="str">
            <v>84040510000201</v>
          </cell>
          <cell r="C34247" t="str">
            <v>JCC COBERTURA HIPOTECARIOS MI HOGAR 07.17NC</v>
          </cell>
        </row>
        <row r="34248">
          <cell r="B34248" t="str">
            <v>84040510000202</v>
          </cell>
          <cell r="C34248" t="str">
            <v>JCC COBERTURA HIPOTECARIOS MI VIVIENDA 07NC</v>
          </cell>
        </row>
        <row r="34249">
          <cell r="B34249" t="str">
            <v>84040510000203</v>
          </cell>
          <cell r="C34249" t="str">
            <v>JCC COBERTURA HIPOTECAS TECHO PROPIO 07.7NC</v>
          </cell>
        </row>
        <row r="34250">
          <cell r="B34250" t="str">
            <v>84040511000100</v>
          </cell>
          <cell r="C34250" t="str">
            <v>GAC REACTIVA PERU  GTIA CONTRAPARTE     7NC</v>
          </cell>
        </row>
        <row r="34251">
          <cell r="B34251" t="str">
            <v>84040511000101</v>
          </cell>
          <cell r="C34251" t="str">
            <v>GAC REACTIVA PERU  GTIA NO PREFERIDA    7NC</v>
          </cell>
        </row>
        <row r="34252">
          <cell r="B34252" t="str">
            <v>84040511000102</v>
          </cell>
          <cell r="C34252" t="str">
            <v>GAC FONDO CRECER - GTIA CONTRAPARTE     7 C</v>
          </cell>
        </row>
        <row r="34253">
          <cell r="B34253" t="str">
            <v>84040518000100</v>
          </cell>
          <cell r="C34253" t="str">
            <v>GAC REACTIVA PERU REPROG - GTIA CONTRAPA7 C</v>
          </cell>
        </row>
        <row r="34254">
          <cell r="B34254" t="str">
            <v>84040521000100</v>
          </cell>
          <cell r="C34254" t="str">
            <v>GAC REPROG REACTIVA DS.011-2022         7NC</v>
          </cell>
        </row>
        <row r="34255">
          <cell r="B34255" t="str">
            <v>84040521000101</v>
          </cell>
          <cell r="C34255" t="str">
            <v>GAC REPROG REACTIVA 2023_DS.011-2022    7NC</v>
          </cell>
        </row>
        <row r="34256">
          <cell r="B34256" t="str">
            <v>84040523000001</v>
          </cell>
          <cell r="C34256" t="str">
            <v>GAC PROGRAMA IMPULSO MYPERU             7NC</v>
          </cell>
        </row>
        <row r="34257">
          <cell r="B34257" t="str">
            <v>84040900000102</v>
          </cell>
          <cell r="C34257" t="str">
            <v>CARTAS COMPROMISO OTROS BANCOS          7NC</v>
          </cell>
        </row>
        <row r="34258">
          <cell r="B34258" t="str">
            <v>84040900000103</v>
          </cell>
          <cell r="C34258" t="str">
            <v>AVALES Y CARTAS FIANZA                  7NC</v>
          </cell>
        </row>
        <row r="34259">
          <cell r="B34259" t="str">
            <v>84040900000105</v>
          </cell>
          <cell r="C34259" t="str">
            <v>STAND BY - OTROS BCOS EXTERIOR          7NC</v>
          </cell>
        </row>
        <row r="34260">
          <cell r="B34260" t="str">
            <v>84040900000107</v>
          </cell>
          <cell r="C34260" t="str">
            <v>PRENDA INDUSTRIAL DE 2DO. RANGO         7NC</v>
          </cell>
        </row>
        <row r="34261">
          <cell r="B34261" t="str">
            <v>84040900000108</v>
          </cell>
          <cell r="C34261" t="str">
            <v>MAQ Y EQUIPO DE 2 DO. RANGO             7NC</v>
          </cell>
        </row>
        <row r="34262">
          <cell r="B34262" t="str">
            <v>84040900000109</v>
          </cell>
          <cell r="C34262" t="str">
            <v>PRENDA SOBRE MARCA                      7NC</v>
          </cell>
        </row>
        <row r="34263">
          <cell r="B34263" t="str">
            <v>84040900000110</v>
          </cell>
          <cell r="C34263" t="str">
            <v>PRENDA MERCANTIL                        7NC</v>
          </cell>
        </row>
        <row r="34264">
          <cell r="B34264" t="str">
            <v>84040900000111</v>
          </cell>
          <cell r="C34264" t="str">
            <v>PRENDA AGRICOLA 2DO RANGO               7NC</v>
          </cell>
        </row>
        <row r="34265">
          <cell r="B34265" t="str">
            <v>84040900000112</v>
          </cell>
          <cell r="C34265" t="str">
            <v>PRENDA VEHICULAR 2DO RANGO              7NC</v>
          </cell>
        </row>
        <row r="34266">
          <cell r="B34266" t="str">
            <v>84040900000113</v>
          </cell>
          <cell r="C34266" t="str">
            <v>HIPOTECAS DE 2DO. RANGO                 7NC</v>
          </cell>
        </row>
        <row r="34267">
          <cell r="B34267" t="str">
            <v>84040900000114</v>
          </cell>
          <cell r="C34267" t="str">
            <v>ACCIONES                                7NC</v>
          </cell>
        </row>
        <row r="34268">
          <cell r="B34268" t="str">
            <v>84040900000115</v>
          </cell>
          <cell r="C34268" t="str">
            <v>GAC ACCIONES CAVAL                      7NC</v>
          </cell>
        </row>
        <row r="34269">
          <cell r="B34269" t="str">
            <v>84040900000118</v>
          </cell>
          <cell r="C34269" t="str">
            <v>BONOS EN PRENDA                         7NC</v>
          </cell>
        </row>
        <row r="34270">
          <cell r="B34270" t="str">
            <v>84040900000120</v>
          </cell>
          <cell r="C34270" t="str">
            <v>LETRAS COB. GARANTIA CL                 7NC</v>
          </cell>
        </row>
        <row r="34271">
          <cell r="B34271" t="str">
            <v>84040900000121</v>
          </cell>
          <cell r="C34271" t="str">
            <v>LETRAS COB. GARANTIA VENCIDA CL         7NC</v>
          </cell>
        </row>
        <row r="34272">
          <cell r="B34272" t="str">
            <v>84040900000123</v>
          </cell>
          <cell r="C34272" t="str">
            <v>LETRAS REFINAN INDECOPI VENCIDAS        7NC</v>
          </cell>
        </row>
        <row r="34273">
          <cell r="B34273" t="str">
            <v>84040900000126</v>
          </cell>
          <cell r="C34273" t="str">
            <v>BL LETRAS COB. GARANTIA VIGENTE PR      7NC</v>
          </cell>
        </row>
        <row r="34274">
          <cell r="B34274" t="str">
            <v>84040900000127</v>
          </cell>
          <cell r="C34274" t="str">
            <v>BL LETRAS COB. GARANTIA VENCIDA PR      7NC</v>
          </cell>
        </row>
        <row r="34275">
          <cell r="B34275" t="str">
            <v>84040900000129</v>
          </cell>
          <cell r="C34275" t="str">
            <v>BL LETRAS REFINAN INDECOPI VENCIDAS     7NC</v>
          </cell>
        </row>
        <row r="34276">
          <cell r="B34276" t="str">
            <v>84040900000131</v>
          </cell>
          <cell r="C34276" t="str">
            <v>BLCARTAS COMPROMISO INST NO FINANCÂ Â Â 7NC</v>
          </cell>
        </row>
        <row r="34277">
          <cell r="B34277" t="str">
            <v>84040900000133</v>
          </cell>
          <cell r="C34277" t="str">
            <v>BLAVALES Y CARTAS FIANZAS               7NC</v>
          </cell>
        </row>
        <row r="34278">
          <cell r="B34278" t="str">
            <v>84040900000137</v>
          </cell>
          <cell r="C34278" t="str">
            <v>BLPRENDA INDUSTRIAL DE 2DO. RANGO       7NC</v>
          </cell>
        </row>
        <row r="34279">
          <cell r="B34279" t="str">
            <v>84040900000138</v>
          </cell>
          <cell r="C34279" t="str">
            <v>BLMAQ Y EQUIPO DE 2 DO. RANGOÂ Â Â Â Â Â7NC</v>
          </cell>
        </row>
        <row r="34280">
          <cell r="B34280" t="str">
            <v>84040900000139</v>
          </cell>
          <cell r="C34280" t="str">
            <v>PRENDA CIVIL SOBRE MARCA BL             7NC</v>
          </cell>
        </row>
        <row r="34281">
          <cell r="B34281" t="str">
            <v>84040900000140</v>
          </cell>
          <cell r="C34281" t="str">
            <v>BLPRENDA MERCANTIL                      7NC</v>
          </cell>
        </row>
        <row r="34282">
          <cell r="B34282" t="str">
            <v>84040900000141</v>
          </cell>
          <cell r="C34282" t="str">
            <v>GAC PRENDA AGRICOLA                     7NC</v>
          </cell>
        </row>
        <row r="34283">
          <cell r="B34283" t="str">
            <v>84040900000142</v>
          </cell>
          <cell r="C34283" t="str">
            <v>GAC PRENDA VEHICULAR                    7NC</v>
          </cell>
        </row>
        <row r="34284">
          <cell r="B34284" t="str">
            <v>84040900000143</v>
          </cell>
          <cell r="C34284" t="str">
            <v>BLHIPOTECAS DE 2DO. RANGO               7NC</v>
          </cell>
        </row>
        <row r="34285">
          <cell r="B34285" t="str">
            <v>84040900000144</v>
          </cell>
          <cell r="C34285" t="str">
            <v>BLACCIONES                              7NC</v>
          </cell>
        </row>
        <row r="34286">
          <cell r="B34286" t="str">
            <v>84040900000145</v>
          </cell>
          <cell r="C34286" t="str">
            <v>BLACCIONES-CAVAL                        7NC</v>
          </cell>
        </row>
        <row r="34287">
          <cell r="B34287" t="str">
            <v>84040900000148</v>
          </cell>
          <cell r="C34287" t="str">
            <v>BL BONOS EN PRENDA                      7NC</v>
          </cell>
        </row>
        <row r="34288">
          <cell r="B34288" t="str">
            <v>84040900000149</v>
          </cell>
          <cell r="C34288" t="str">
            <v>BLHIPOTECAS DE 2DO. RANGO-MEF 114-98    7NC</v>
          </cell>
        </row>
        <row r="34289">
          <cell r="B34289" t="str">
            <v>84040900000151</v>
          </cell>
          <cell r="C34289" t="str">
            <v>BL HIPOTEC NAVAL 2DO RANGO-MEF 114-98   7NC</v>
          </cell>
        </row>
        <row r="34290">
          <cell r="B34290" t="str">
            <v>84040900000153</v>
          </cell>
          <cell r="C34290" t="str">
            <v>BL PRENDA INDUSTRIAL 2DO R MEF 114-98   7NC</v>
          </cell>
        </row>
        <row r="34291">
          <cell r="B34291" t="str">
            <v>84040900000154</v>
          </cell>
          <cell r="C34291" t="str">
            <v>BL PRENDA AGRICOLA  2DO RMEF 114-98     7NC</v>
          </cell>
        </row>
        <row r="34292">
          <cell r="B34292" t="str">
            <v>84040900000155</v>
          </cell>
          <cell r="C34292" t="str">
            <v>BL PRENDA MERCANTIL 2DO R MEF 114-98    7NC</v>
          </cell>
        </row>
        <row r="34293">
          <cell r="B34293" t="str">
            <v>84040900000156</v>
          </cell>
          <cell r="C34293" t="str">
            <v>GAC HIPOTECA NAVAL (TIPO 2)             7NC</v>
          </cell>
        </row>
        <row r="34294">
          <cell r="B34294" t="str">
            <v>84040900000157</v>
          </cell>
          <cell r="C34294" t="str">
            <v>CST CRED. HIPT NO PREFERIDA             7NC</v>
          </cell>
        </row>
        <row r="34295">
          <cell r="B34295" t="str">
            <v>84040900000158</v>
          </cell>
          <cell r="C34295" t="str">
            <v>Credito Vehicular 2do.rangoÂ Â Â Â Â Â Â7NC</v>
          </cell>
        </row>
        <row r="34296">
          <cell r="B34296" t="str">
            <v>84040900000159</v>
          </cell>
          <cell r="C34296" t="str">
            <v>BL PRESTAMO HIPOTECARIO 2DO RANGO       7NC</v>
          </cell>
        </row>
        <row r="34297">
          <cell r="B34297" t="str">
            <v>84040900000160</v>
          </cell>
          <cell r="C34297" t="str">
            <v>BL CREDITO VEHICULAR 2DO.RANGO          7NC</v>
          </cell>
        </row>
        <row r="34298">
          <cell r="B34298" t="str">
            <v>84040900000162</v>
          </cell>
          <cell r="C34298" t="str">
            <v>BL PRENDA MAQ Y EQUIPO 2DO RANGO MEF    7NC</v>
          </cell>
        </row>
        <row r="34299">
          <cell r="B34299" t="str">
            <v>84040900000163</v>
          </cell>
          <cell r="C34299" t="str">
            <v>GARANT NO PREF UNIDAD DE PRODUCCION     7NC</v>
          </cell>
        </row>
        <row r="34300">
          <cell r="B34300" t="str">
            <v>84040900000164</v>
          </cell>
          <cell r="C34300" t="str">
            <v>GACÂ  BT GTIA CAR FIANZA NO PREFERIDA   7NC</v>
          </cell>
        </row>
        <row r="34301">
          <cell r="B34301" t="str">
            <v>84040900000165</v>
          </cell>
          <cell r="C34301" t="str">
            <v>CST GTIA HIP MYP NO PREFERIDA           7NC</v>
          </cell>
        </row>
        <row r="34302">
          <cell r="B34302" t="str">
            <v>84040900000166</v>
          </cell>
          <cell r="C34302" t="str">
            <v>CST CART FIANZA MI VIVIENDA             7NC</v>
          </cell>
        </row>
        <row r="34303">
          <cell r="B34303" t="str">
            <v>84040900000167</v>
          </cell>
          <cell r="C34303" t="str">
            <v>CST MIVIVIENDA HIPOTECA NO PREFERIDA 2DO7NC</v>
          </cell>
        </row>
        <row r="34304">
          <cell r="B34304" t="str">
            <v>84040900000168</v>
          </cell>
          <cell r="C34304" t="str">
            <v>CST HBP HIPOTECA NO PREFERIDA 2DO RANGO 7NC</v>
          </cell>
        </row>
        <row r="34305">
          <cell r="B34305" t="str">
            <v>84040900000169</v>
          </cell>
          <cell r="C34305" t="str">
            <v>BL CREDITO VEHICULAR 2DO.RANGO          7NC</v>
          </cell>
        </row>
        <row r="34306">
          <cell r="B34306" t="str">
            <v>84040900000301</v>
          </cell>
          <cell r="C34306" t="str">
            <v>GAC AHO GTIA NO PREFE DSCTO 0.5%        7NC</v>
          </cell>
        </row>
        <row r="34307">
          <cell r="B34307" t="str">
            <v>84040900000302</v>
          </cell>
          <cell r="C34307" t="str">
            <v>GAC CTA CTE LET GTIA NO PREF DS 0.5%    7NC</v>
          </cell>
        </row>
        <row r="34308">
          <cell r="B34308" t="str">
            <v>84040900000303</v>
          </cell>
          <cell r="C34308" t="str">
            <v>GAC DEPO PLZ GTIA NO PREF DSCTO 0.5%    7NC</v>
          </cell>
        </row>
        <row r="34309">
          <cell r="B34309" t="str">
            <v>84040900000304</v>
          </cell>
          <cell r="C34309" t="str">
            <v>GAC CBM CERT BANCA GARANTIA NO PREFERIDA7NC</v>
          </cell>
        </row>
        <row r="34310">
          <cell r="B34310" t="str">
            <v>84040900000305</v>
          </cell>
          <cell r="C34310" t="str">
            <v>GAC CDN CERT DEPO NEGOC GTIA NO PREFERID7NC</v>
          </cell>
        </row>
        <row r="34311">
          <cell r="B34311" t="str">
            <v>84040900000306</v>
          </cell>
          <cell r="C34311" t="str">
            <v>GAC PRENDA BPE GARANTIA MAQUINARIA      7NC</v>
          </cell>
        </row>
        <row r="34312">
          <cell r="B34312" t="str">
            <v>84040900000307</v>
          </cell>
          <cell r="C34312" t="str">
            <v>GAC CTA.CTE. GTIA NO PREFE DSCTO 0.5%   7NC</v>
          </cell>
        </row>
        <row r="34313">
          <cell r="B34313" t="str">
            <v>84040900000902</v>
          </cell>
          <cell r="C34313" t="str">
            <v>CST PRENDA GLOBAL Y FLOT.NO PREF        7NC</v>
          </cell>
        </row>
        <row r="34314">
          <cell r="B34314" t="str">
            <v>84040900000903</v>
          </cell>
          <cell r="C34314" t="str">
            <v>GAC REACTIVA PERU  GTIA NO PREFERIDA    7NC</v>
          </cell>
        </row>
        <row r="34315">
          <cell r="B34315" t="str">
            <v>84040900000904</v>
          </cell>
          <cell r="C34315" t="str">
            <v>GAC FIDEICOMISO EN GARANTIA - ACTIVO    7NC</v>
          </cell>
        </row>
        <row r="34316">
          <cell r="B34316" t="str">
            <v>84040900000905</v>
          </cell>
          <cell r="C34316" t="str">
            <v>GAC FIDEICOMISO EN GARANTIA - FLUJO     7NC</v>
          </cell>
        </row>
        <row r="34317">
          <cell r="B34317" t="str">
            <v>84040900000906</v>
          </cell>
          <cell r="C34317" t="str">
            <v>GAC FIDEICOMISO EN GARANTIA - HIPOTECARI7NC</v>
          </cell>
        </row>
        <row r="34318">
          <cell r="B34318" t="str">
            <v>84040900000907</v>
          </cell>
          <cell r="C34318" t="str">
            <v>GAC FIDEICOMISO EN GARANTIA - MIXTO     7NC</v>
          </cell>
        </row>
        <row r="34319">
          <cell r="B34319" t="str">
            <v>84040900000908</v>
          </cell>
          <cell r="C34319" t="str">
            <v>GAC PRENDA PECUARIA NO PREFERIDA        7NC</v>
          </cell>
        </row>
        <row r="34320">
          <cell r="B34320" t="str">
            <v>84040900000909</v>
          </cell>
          <cell r="C34320" t="str">
            <v>GAC STAND BY PECUARIA NO PREFERIDA RG2  7NC</v>
          </cell>
        </row>
        <row r="34321">
          <cell r="B34321" t="str">
            <v>84040900000910</v>
          </cell>
          <cell r="C34321" t="str">
            <v>GAC STAND BY HIBRIDO NO PREFERIDA RG1   7NC</v>
          </cell>
        </row>
        <row r="34322">
          <cell r="B34322" t="str">
            <v>84040900000911</v>
          </cell>
          <cell r="C34322" t="str">
            <v>GAC HBN HIPOTEC - BONOS 1- EMISION      7NC</v>
          </cell>
        </row>
        <row r="34323">
          <cell r="B34323" t="str">
            <v>84040900000912</v>
          </cell>
          <cell r="C34323" t="str">
            <v>GAC HBT HIPOTECA BANCO DEL TRABAJO      7NC</v>
          </cell>
        </row>
        <row r="34324">
          <cell r="B34324" t="str">
            <v>84040900000913</v>
          </cell>
          <cell r="C34324" t="str">
            <v>GAC NMH NUEVO HIPOTECARIOS MI HOGAR     7NC</v>
          </cell>
        </row>
        <row r="34325">
          <cell r="B34325" t="str">
            <v>84040900000914</v>
          </cell>
          <cell r="C34325" t="str">
            <v>GAC NTP NUEVO HIPOTECAS TECHO PROPIO    7NC</v>
          </cell>
        </row>
        <row r="34326">
          <cell r="B34326" t="str">
            <v>84040900000915</v>
          </cell>
          <cell r="C34326" t="str">
            <v>GAC NMV NUEVO HIPOTECARIO MI VIVIENDA   7NC</v>
          </cell>
        </row>
        <row r="34327">
          <cell r="B34327" t="str">
            <v>84040900000917</v>
          </cell>
          <cell r="C34327" t="str">
            <v>GAC NUEVO HIPOTECARIO MI VIVIENDA       7NC</v>
          </cell>
        </row>
        <row r="34328">
          <cell r="B34328" t="str">
            <v>84040900000918</v>
          </cell>
          <cell r="C34328" t="str">
            <v>GAC HMH HIPOTECARIO MI HOGAR            7NC</v>
          </cell>
        </row>
        <row r="34329">
          <cell r="B34329" t="str">
            <v>84040900000919</v>
          </cell>
          <cell r="C34329" t="str">
            <v>GAC HMV HIPOTECARIO MI VIVIENDA         7NC</v>
          </cell>
        </row>
        <row r="34330">
          <cell r="B34330" t="str">
            <v>84040900000920</v>
          </cell>
          <cell r="C34330" t="str">
            <v>GAC HTP HIPOTECARIO TECHO PROPIO        7NC</v>
          </cell>
        </row>
        <row r="34331">
          <cell r="B34331" t="str">
            <v>84040900000921</v>
          </cell>
          <cell r="C34331" t="str">
            <v>GAC HIP HIPOTECAS INTERSEGURO - NO PREFE7NC</v>
          </cell>
        </row>
        <row r="34332">
          <cell r="B34332" t="str">
            <v>84040900000922</v>
          </cell>
          <cell r="C34332" t="str">
            <v>MINERA NO PREFERIDA                     7 C</v>
          </cell>
        </row>
        <row r="34333">
          <cell r="B34333" t="str">
            <v>84040900000923</v>
          </cell>
          <cell r="C34333" t="str">
            <v>CTA PLAZO GARANTIA NO PREFERIDA         7NC</v>
          </cell>
        </row>
        <row r="34334">
          <cell r="B34334" t="str">
            <v>84040900000924</v>
          </cell>
          <cell r="C34334" t="str">
            <v>GAC OCF-OTRAS CARTAS FIANZA NO PREF     7 C</v>
          </cell>
        </row>
        <row r="34335">
          <cell r="B34335" t="str">
            <v>84040900000925</v>
          </cell>
          <cell r="C34335" t="str">
            <v>GAC RF-FONDOS RETENIDOS NO PREF         7 C</v>
          </cell>
        </row>
        <row r="34336">
          <cell r="B34336" t="str">
            <v>84041000000101</v>
          </cell>
          <cell r="C34336" t="str">
            <v>CST GARAN.NO PREFER.AVALES/FIANZ        7NC</v>
          </cell>
        </row>
        <row r="34337">
          <cell r="B34337" t="str">
            <v>84041000000103</v>
          </cell>
          <cell r="C34337" t="str">
            <v>CST BT GTIA.NO PREF.AVALES/FIANZ        7NC</v>
          </cell>
        </row>
        <row r="34338">
          <cell r="B34338" t="str">
            <v>84050100000101</v>
          </cell>
          <cell r="C34338" t="str">
            <v>BL HIPOTECA  SERCA                      7NC</v>
          </cell>
        </row>
        <row r="34339">
          <cell r="B34339" t="str">
            <v>84050100000102</v>
          </cell>
          <cell r="C34339" t="str">
            <v>BL HIPOTECA NAVAL SERCA                 7NC</v>
          </cell>
        </row>
        <row r="34340">
          <cell r="B34340" t="str">
            <v>84050900000101</v>
          </cell>
          <cell r="C34340" t="str">
            <v>BL PRENDA INDUSTRIAL SERCA              7NC</v>
          </cell>
        </row>
        <row r="34341">
          <cell r="B34341" t="str">
            <v>84050900000102</v>
          </cell>
          <cell r="C34341" t="str">
            <v>BL PRENDA VEHICULAR SERCA               7NC</v>
          </cell>
        </row>
        <row r="34342">
          <cell r="B34342" t="str">
            <v>84050900000103</v>
          </cell>
          <cell r="C34342" t="str">
            <v>BL PRENDA MERCANTIL SERCA               7NC</v>
          </cell>
        </row>
        <row r="34343">
          <cell r="B34343" t="str">
            <v>84050900000104</v>
          </cell>
          <cell r="C34343" t="str">
            <v>CRED VEHICULAR 1ER RANGO-INV TEMP       7NC</v>
          </cell>
        </row>
        <row r="34344">
          <cell r="B34344" t="str">
            <v>84050900000105</v>
          </cell>
          <cell r="C34344" t="str">
            <v>PRESTAMO VEHICULAR SERCA                7NC</v>
          </cell>
        </row>
        <row r="34345">
          <cell r="B34345" t="str">
            <v>84050900000201</v>
          </cell>
          <cell r="C34345" t="str">
            <v>BL HIPOTECA  SERCA NP                   7NC</v>
          </cell>
        </row>
        <row r="34346">
          <cell r="B34346" t="str">
            <v>84050900000202</v>
          </cell>
          <cell r="C34346" t="str">
            <v>BL HIPOTECA NAVAL SERCA NPÂ Â Â Â Â Â Â 7NC</v>
          </cell>
        </row>
        <row r="34347">
          <cell r="B34347" t="str">
            <v>84050900000203</v>
          </cell>
          <cell r="C34347" t="str">
            <v>BL PRENDA INDUSTRIAL SERCA NPÂ Â Â Â Â Â7NC</v>
          </cell>
        </row>
        <row r="34348">
          <cell r="B34348" t="str">
            <v>84050900000204</v>
          </cell>
          <cell r="C34348" t="str">
            <v>BL PRENDA VEHICULAR SERCA NPÂ Â Â Â Â Â 7NC</v>
          </cell>
        </row>
        <row r="34349">
          <cell r="B34349" t="str">
            <v>84060201000101</v>
          </cell>
          <cell r="C34349" t="str">
            <v>BL CARTERA TRANSF-VP-D.S.114            7NC</v>
          </cell>
        </row>
        <row r="34350">
          <cell r="B34350" t="str">
            <v>84060204000101</v>
          </cell>
          <cell r="C34350" t="str">
            <v>CARTERA TRANSFERIDA - VALOR PRINCIPAL- D7NC</v>
          </cell>
        </row>
        <row r="34351">
          <cell r="B34351" t="str">
            <v>84060204000201</v>
          </cell>
          <cell r="C34351" t="str">
            <v>JCC CARTERA TRANSFERIDA - VALOR PRINCIPA7NC</v>
          </cell>
        </row>
        <row r="34352">
          <cell r="B34352" t="str">
            <v>84060204000202</v>
          </cell>
          <cell r="C34352" t="str">
            <v>JCC CARTERA TRANSFERIDA - VALOR PRINCIPA7NC</v>
          </cell>
        </row>
        <row r="34353">
          <cell r="B34353" t="str">
            <v>84060209000101</v>
          </cell>
          <cell r="C34353" t="str">
            <v>CL CARTERA TRANSFERIDA FOPE .           7NC</v>
          </cell>
        </row>
        <row r="34354">
          <cell r="B34354" t="str">
            <v>84060209000102</v>
          </cell>
          <cell r="C34354" t="str">
            <v>CL CARTERA TRANSFERIDA RFA              7NC</v>
          </cell>
        </row>
        <row r="34355">
          <cell r="B34355" t="str">
            <v>84060209000105</v>
          </cell>
          <cell r="C34355" t="str">
            <v>CL CAPITAL CART.TRANSF. RFA             7NC</v>
          </cell>
        </row>
        <row r="34356">
          <cell r="B34356" t="str">
            <v>84060209000107</v>
          </cell>
          <cell r="C34356" t="str">
            <v>CL CJ CTA CAP.CART TRANSF FOPE          7NC</v>
          </cell>
        </row>
        <row r="34357">
          <cell r="B34357" t="str">
            <v>84060209000201</v>
          </cell>
          <cell r="C34357" t="str">
            <v>JCC CAPITAL CART.TRANSF. RFA            7NC</v>
          </cell>
        </row>
        <row r="34358">
          <cell r="B34358" t="str">
            <v>84070100000101</v>
          </cell>
          <cell r="C34358" t="str">
            <v>CHEQUES DE VIAJERO                      7NC</v>
          </cell>
        </row>
        <row r="34359">
          <cell r="B34359" t="str">
            <v>84070100000102</v>
          </cell>
          <cell r="C34359" t="str">
            <v>TRAVELERS CHECKS                        7NC</v>
          </cell>
        </row>
        <row r="34360">
          <cell r="B34360" t="str">
            <v>84080000000101</v>
          </cell>
          <cell r="C34360" t="str">
            <v>CARTAS DE CREDITO AVISADAS              7NC</v>
          </cell>
        </row>
        <row r="34361">
          <cell r="B34361" t="str">
            <v>84080000000102</v>
          </cell>
          <cell r="C34361" t="str">
            <v>STAND BY RECIBIDAS C/C AVISADAS         7NC</v>
          </cell>
        </row>
        <row r="34362">
          <cell r="B34362" t="str">
            <v>84090401000101</v>
          </cell>
          <cell r="C34362" t="str">
            <v>VN SUJETO A SWAPS TASAS INT COBERT - CAP7NC</v>
          </cell>
        </row>
        <row r="34363">
          <cell r="B34363" t="str">
            <v>84090401000102</v>
          </cell>
          <cell r="C34363" t="str">
            <v>SWAPS TASAS INT NEGOCIACION - CAPITAL   7NC</v>
          </cell>
        </row>
        <row r="34364">
          <cell r="B34364" t="str">
            <v>84090401000103</v>
          </cell>
          <cell r="C34364" t="str">
            <v>SWAP DPRs                               7NC</v>
          </cell>
        </row>
        <row r="34365">
          <cell r="B34365" t="str">
            <v>84090401000104</v>
          </cell>
          <cell r="C34365" t="str">
            <v>CCNT OVERNIGHT INTEREST SWAP            7NC</v>
          </cell>
        </row>
        <row r="34366">
          <cell r="B34366" t="str">
            <v>84090403000101</v>
          </cell>
          <cell r="C34366" t="str">
            <v>FORWARD RATE AGREEMENTS (FRAs)          7NC</v>
          </cell>
        </row>
        <row r="34367">
          <cell r="B34367" t="str">
            <v>84090403000102</v>
          </cell>
          <cell r="C34367" t="str">
            <v>FRAA FWD PAGO TASA  FIJO                7NC</v>
          </cell>
        </row>
        <row r="34368">
          <cell r="B34368" t="str">
            <v>84090403000103</v>
          </cell>
          <cell r="C34368" t="str">
            <v>FRAA FWD PAGO TASA  FLOTANTE            7NC</v>
          </cell>
        </row>
        <row r="34369">
          <cell r="B34369" t="str">
            <v>84090602000101</v>
          </cell>
          <cell r="C34369" t="str">
            <v>BONOS DE ARREND FINANC 1ERA EMISION     7NC</v>
          </cell>
        </row>
        <row r="34370">
          <cell r="B34370" t="str">
            <v>84090602000102</v>
          </cell>
          <cell r="C34370" t="str">
            <v>BONOS DE ARREND FINANC 2DA EMISION      7NC</v>
          </cell>
        </row>
        <row r="34371">
          <cell r="B34371" t="str">
            <v>84090701000101</v>
          </cell>
          <cell r="C34371" t="str">
            <v>MDC  Valores de Repo Interbancarios     7NC</v>
          </cell>
        </row>
        <row r="34372">
          <cell r="B34372" t="str">
            <v>84091900000107</v>
          </cell>
          <cell r="C34372" t="str">
            <v>CL CAPITAL VTA. CARTERA A 3EROS         7NC</v>
          </cell>
        </row>
        <row r="34373">
          <cell r="B34373" t="str">
            <v>84091900000112</v>
          </cell>
          <cell r="C34373" t="str">
            <v>CL VENTA CARTERA A 3EROS II             7NC</v>
          </cell>
        </row>
        <row r="34374">
          <cell r="B34374" t="str">
            <v>84091900000114</v>
          </cell>
          <cell r="C34374" t="str">
            <v>CL VTA.CART.TER.III AGRO GUAYA.         7NC</v>
          </cell>
        </row>
        <row r="34375">
          <cell r="B34375" t="str">
            <v>84091900000119</v>
          </cell>
          <cell r="C34375" t="str">
            <v>CTA DE ORDEN NO ASENTADOS               7NC</v>
          </cell>
        </row>
        <row r="34376">
          <cell r="B34376" t="str">
            <v>84091900000120</v>
          </cell>
          <cell r="C34376" t="str">
            <v>CL VENTA CARTERA SERCA BL               7NC</v>
          </cell>
        </row>
        <row r="34377">
          <cell r="B34377" t="str">
            <v>84091900000123</v>
          </cell>
          <cell r="C34377" t="str">
            <v>CL VTA.CARTERA INV.TEMPERA BL           7NC</v>
          </cell>
        </row>
        <row r="34378">
          <cell r="B34378" t="str">
            <v>84091900000124</v>
          </cell>
          <cell r="C34378" t="str">
            <v>MAQUINARIA Y EQUIPO LEASING             7NC</v>
          </cell>
        </row>
        <row r="34379">
          <cell r="B34379" t="str">
            <v>84091900000125</v>
          </cell>
          <cell r="C34379" t="str">
            <v>CL CAPITAL ENCARGO COB.CONTACTO .       7NC</v>
          </cell>
        </row>
        <row r="34380">
          <cell r="B34380" t="str">
            <v>84091900000126</v>
          </cell>
          <cell r="C34380" t="str">
            <v>REMESAS EXT UNO MONEY TRANSFER          7NC</v>
          </cell>
        </row>
        <row r="34381">
          <cell r="B34381" t="str">
            <v>84091900000127</v>
          </cell>
          <cell r="C34381" t="str">
            <v>REMESAS EXTERIOR COSTA MAR              7NC</v>
          </cell>
        </row>
        <row r="34382">
          <cell r="B34382" t="str">
            <v>84091900000128</v>
          </cell>
          <cell r="C34382" t="str">
            <v>REMESAS EXTERIOR AFEX                   7NC</v>
          </cell>
        </row>
        <row r="34383">
          <cell r="B34383" t="str">
            <v>84091900000129</v>
          </cell>
          <cell r="C34383" t="str">
            <v>REMESAS EXTERIOR BANCOMERCIO            7NC</v>
          </cell>
        </row>
        <row r="34384">
          <cell r="B34384" t="str">
            <v>84091900000130</v>
          </cell>
          <cell r="C34384" t="str">
            <v>REMESAS EXTERIOR DOLEX                  7NC</v>
          </cell>
        </row>
        <row r="34385">
          <cell r="B34385" t="str">
            <v>84091900000131</v>
          </cell>
          <cell r="C34385" t="str">
            <v>REMESAS EXTERIOR BTS                    7NC</v>
          </cell>
        </row>
        <row r="34386">
          <cell r="B34386" t="str">
            <v>84091900000132</v>
          </cell>
          <cell r="C34386" t="str">
            <v>UNITELLER                               7NC</v>
          </cell>
        </row>
        <row r="34387">
          <cell r="B34387" t="str">
            <v>84091900000133</v>
          </cell>
          <cell r="C34387" t="str">
            <v>TRAVELEX                                7NC</v>
          </cell>
        </row>
        <row r="34388">
          <cell r="B34388" t="str">
            <v>84091900000134</v>
          </cell>
          <cell r="C34388" t="str">
            <v>REMESAS EXTERIOR UNITED EXPERT          7NC</v>
          </cell>
        </row>
        <row r="34389">
          <cell r="B34389" t="str">
            <v>84091900000135</v>
          </cell>
          <cell r="C34389" t="str">
            <v>REMESAS EXTERIOR GARMEY                 7NC</v>
          </cell>
        </row>
        <row r="34390">
          <cell r="B34390" t="str">
            <v>84091900000136</v>
          </cell>
          <cell r="C34390" t="str">
            <v>REMESAS EXTERIOR GLOBAL ACCESS          7NC</v>
          </cell>
        </row>
        <row r="34391">
          <cell r="B34391" t="str">
            <v>84091900000148</v>
          </cell>
          <cell r="C34391" t="str">
            <v>840919000001480000                      7NC</v>
          </cell>
        </row>
        <row r="34392">
          <cell r="B34392" t="str">
            <v>84091900000149</v>
          </cell>
          <cell r="C34392" t="str">
            <v>REMESAS EXTERIOR JOSILVA                7NC</v>
          </cell>
        </row>
        <row r="34393">
          <cell r="B34393" t="str">
            <v>84091900000150</v>
          </cell>
          <cell r="C34393" t="str">
            <v>840919000001500000                      7NC</v>
          </cell>
        </row>
        <row r="34394">
          <cell r="B34394" t="str">
            <v>84091900000154</v>
          </cell>
          <cell r="C34394" t="str">
            <v>COM REMESAS B.H.D                       7NC</v>
          </cell>
        </row>
        <row r="34395">
          <cell r="B34395" t="str">
            <v>84091900000155</v>
          </cell>
          <cell r="C34395" t="str">
            <v>COM REMESAS                             7NC</v>
          </cell>
        </row>
        <row r="34396">
          <cell r="B34396" t="str">
            <v>84091900000156</v>
          </cell>
          <cell r="C34396" t="str">
            <v>COM REMESAS VIAMERICAS                  7NC</v>
          </cell>
        </row>
        <row r="34397">
          <cell r="B34397" t="str">
            <v>84091900000157</v>
          </cell>
          <cell r="C34397" t="str">
            <v>COM REMESAS RIAENVIA                    7NC</v>
          </cell>
        </row>
        <row r="34398">
          <cell r="B34398" t="str">
            <v>84091900000158</v>
          </cell>
          <cell r="C34398" t="str">
            <v>COM REMESAS VIGO                        7NC</v>
          </cell>
        </row>
        <row r="34399">
          <cell r="B34399" t="str">
            <v>84091900000159</v>
          </cell>
          <cell r="C34399" t="str">
            <v>COM REMESAS QUISQUEYANA                 7NC</v>
          </cell>
        </row>
        <row r="34400">
          <cell r="B34400" t="str">
            <v>84091900000160</v>
          </cell>
          <cell r="C34400" t="str">
            <v>COM REMESAS INTERAMERICANAS             7NC</v>
          </cell>
        </row>
        <row r="34401">
          <cell r="B34401" t="str">
            <v>84091900000170</v>
          </cell>
          <cell r="C34401" t="str">
            <v>INVERSIONES CONTACTO                    7NC</v>
          </cell>
        </row>
        <row r="34402">
          <cell r="B34402" t="str">
            <v>84091900000171</v>
          </cell>
          <cell r="C34402" t="str">
            <v>REMESAS EXTERIOR XOOM                   7NC</v>
          </cell>
        </row>
        <row r="34403">
          <cell r="B34403" t="str">
            <v>84091900000172</v>
          </cell>
          <cell r="C34403" t="str">
            <v>REMESAS EXTERIOR FALEN                  7NC</v>
          </cell>
        </row>
        <row r="34404">
          <cell r="B34404" t="str">
            <v>84091900000173</v>
          </cell>
          <cell r="C34404" t="str">
            <v>COM REMESAS EXTERIOR XOOM               7NC</v>
          </cell>
        </row>
        <row r="34405">
          <cell r="B34405" t="str">
            <v>84091900000175</v>
          </cell>
          <cell r="C34405" t="str">
            <v>REMESAS EXTERIOR TRANFAST               7NC</v>
          </cell>
        </row>
        <row r="34406">
          <cell r="B34406" t="str">
            <v>84091900000176</v>
          </cell>
          <cell r="C34406" t="str">
            <v>REMESAS EXTERIOR MEXICO EXPRESS         7NC</v>
          </cell>
        </row>
        <row r="34407">
          <cell r="B34407" t="str">
            <v>84091900000179</v>
          </cell>
          <cell r="C34407" t="str">
            <v>REMESAS EXTERIOR AFEX USA               7NC</v>
          </cell>
        </row>
        <row r="34408">
          <cell r="B34408" t="str">
            <v>84091900000180</v>
          </cell>
          <cell r="C34408" t="str">
            <v>REMESAS EXTERIOR GIROSOL                7NC</v>
          </cell>
        </row>
        <row r="34409">
          <cell r="B34409" t="str">
            <v>84091900000181</v>
          </cell>
          <cell r="C34409" t="str">
            <v>REMESAS EXTERIOR B.O.B TRAVEL           7NC</v>
          </cell>
        </row>
        <row r="34410">
          <cell r="B34410" t="str">
            <v>84091900000185</v>
          </cell>
          <cell r="C34410" t="str">
            <v>REMESAS EXTERIOR R Y T                  7NC</v>
          </cell>
        </row>
        <row r="34411">
          <cell r="B34411" t="str">
            <v>84091900000190</v>
          </cell>
          <cell r="C34411" t="str">
            <v>REMESAS EXTERIOR INTERSERVICE           7NC</v>
          </cell>
        </row>
        <row r="34412">
          <cell r="B34412" t="str">
            <v>84091900000194</v>
          </cell>
          <cell r="C34412" t="str">
            <v>REMESAS EXTERIOR MFI-CORP               7NC</v>
          </cell>
        </row>
        <row r="34413">
          <cell r="B34413" t="str">
            <v>84091900000195</v>
          </cell>
          <cell r="C34413" t="str">
            <v>CONFORT LETTER                          7NC</v>
          </cell>
        </row>
        <row r="34414">
          <cell r="B34414" t="str">
            <v>84091900000196</v>
          </cell>
          <cell r="C34414" t="str">
            <v>840919000001960000                      7NC</v>
          </cell>
        </row>
        <row r="34415">
          <cell r="B34415" t="str">
            <v>84091900000197</v>
          </cell>
          <cell r="C34415" t="str">
            <v>REMESAS EXTERIOR MONEY KING             7NC</v>
          </cell>
        </row>
        <row r="34416">
          <cell r="B34416" t="str">
            <v>84091900000198</v>
          </cell>
          <cell r="C34416" t="str">
            <v>REMESAS EXTERIOR BANCO DEL AUSTRO       7NC</v>
          </cell>
        </row>
        <row r="34417">
          <cell r="B34417" t="str">
            <v>84091900000200</v>
          </cell>
          <cell r="C34417" t="str">
            <v>REMESAS EXTERIOR OMNEX GROUP            7NC</v>
          </cell>
        </row>
        <row r="34418">
          <cell r="B34418" t="str">
            <v>84091900000201</v>
          </cell>
          <cell r="C34418" t="str">
            <v>REMESAS EXTERIOR INTERTRANSFERS         7NC</v>
          </cell>
        </row>
        <row r="34419">
          <cell r="B34419" t="str">
            <v>84091900000202</v>
          </cell>
          <cell r="C34419" t="str">
            <v>REMESAS EXTERIOR MATEO EXPRESS          7NC</v>
          </cell>
        </row>
        <row r="34420">
          <cell r="B34420" t="str">
            <v>84091900000203</v>
          </cell>
          <cell r="C34420" t="str">
            <v>REMESAS EXTERIOR ORLANDI VALUTA         7NC</v>
          </cell>
        </row>
        <row r="34421">
          <cell r="B34421" t="str">
            <v>84091900000204</v>
          </cell>
          <cell r="C34421" t="str">
            <v>REMESAS EXTERIOR GUIÃ‘AZU               7NC</v>
          </cell>
        </row>
        <row r="34422">
          <cell r="B34422" t="str">
            <v>84091900000205</v>
          </cell>
          <cell r="C34422" t="str">
            <v>REMESAS EXTERIOR MAGUI EXPRESS          7NC</v>
          </cell>
        </row>
        <row r="34423">
          <cell r="B34423" t="str">
            <v>84091900000206</v>
          </cell>
          <cell r="C34423" t="str">
            <v>OPERACIONES EN TRÂ NSITO BANQUEROS      7NC</v>
          </cell>
        </row>
        <row r="34424">
          <cell r="B34424" t="str">
            <v>84091900000207</v>
          </cell>
          <cell r="C34424" t="str">
            <v>REMESAS EXTERIOR EMP AMERICANA SERVI    7NC</v>
          </cell>
        </row>
        <row r="34425">
          <cell r="B34425" t="str">
            <v>84091900000208</v>
          </cell>
          <cell r="C34425" t="str">
            <v>REMESAS EXTERIOR CONSULT INTERNACIONA   7NC</v>
          </cell>
        </row>
        <row r="34426">
          <cell r="B34426" t="str">
            <v>84091900000209</v>
          </cell>
          <cell r="C34426" t="str">
            <v>REMESAS EXTERIOR UNIGIROS EXPRESS       7NC</v>
          </cell>
        </row>
        <row r="34427">
          <cell r="B34427" t="str">
            <v>84091900000210</v>
          </cell>
          <cell r="C34427" t="str">
            <v>REMESAS EXTERIOR PLACID EXPRESS         7NC</v>
          </cell>
        </row>
        <row r="34428">
          <cell r="B34428" t="str">
            <v>84091900000213</v>
          </cell>
          <cell r="C34428" t="str">
            <v>REMESAS EXTERIOR INTERMEX               7NC</v>
          </cell>
        </row>
        <row r="34429">
          <cell r="B34429" t="str">
            <v>84091900000214</v>
          </cell>
          <cell r="C34429" t="str">
            <v>REMESAS EXTERIOR MERCHANT BANK          7NC</v>
          </cell>
        </row>
        <row r="34430">
          <cell r="B34430" t="str">
            <v>84091900000215</v>
          </cell>
          <cell r="C34430" t="str">
            <v>REMESAS EXTERIOR MORE MONEY             7NC</v>
          </cell>
        </row>
        <row r="34431">
          <cell r="B34431" t="str">
            <v>84091900000216</v>
          </cell>
          <cell r="C34431" t="str">
            <v>REMESAS EXTERIOR LATIN EXPRESS          7NC</v>
          </cell>
        </row>
        <row r="34432">
          <cell r="B34432" t="str">
            <v>84091900000217</v>
          </cell>
          <cell r="C34432" t="str">
            <v>REMESAS EXTERIOR DELGADO TRAVEL         7NC</v>
          </cell>
        </row>
        <row r="34433">
          <cell r="B34433" t="str">
            <v>84091900000218</v>
          </cell>
          <cell r="C34433" t="str">
            <v>REMESAS EXTERIOR TRANS-FAST SA EUROPA   7NC</v>
          </cell>
        </row>
        <row r="34434">
          <cell r="B34434" t="str">
            <v>84091900000219</v>
          </cell>
          <cell r="C34434" t="str">
            <v>REMESAS EXTERIOR MONEY &amp; COM            7NC</v>
          </cell>
        </row>
        <row r="34435">
          <cell r="B34435" t="str">
            <v>84091900000220</v>
          </cell>
          <cell r="C34435" t="str">
            <v>REMESAS EXTERIOR ITAU JAPON             7NC</v>
          </cell>
        </row>
        <row r="34436">
          <cell r="B34436" t="str">
            <v>84091900000221</v>
          </cell>
          <cell r="C34436" t="str">
            <v>840919000002210000                      7NC</v>
          </cell>
        </row>
        <row r="34437">
          <cell r="B34437" t="str">
            <v>84091900000222</v>
          </cell>
          <cell r="C34437" t="str">
            <v>840919000002220000                      7NC</v>
          </cell>
        </row>
        <row r="34438">
          <cell r="B34438" t="str">
            <v>84091900000224</v>
          </cell>
          <cell r="C34438" t="str">
            <v>REMESAS EXTERIOR LA CAIXA               7NC</v>
          </cell>
        </row>
        <row r="34439">
          <cell r="B34439" t="str">
            <v>84091900000225</v>
          </cell>
          <cell r="C34439" t="str">
            <v>840919000002250000                      7NC</v>
          </cell>
        </row>
        <row r="34440">
          <cell r="B34440" t="str">
            <v>84091900000226</v>
          </cell>
          <cell r="C34440" t="str">
            <v>REMESAS EXTERIOR TRANFAST ITALY         7NC</v>
          </cell>
        </row>
        <row r="34441">
          <cell r="B34441" t="str">
            <v>84091900000227</v>
          </cell>
          <cell r="C34441" t="str">
            <v>REMESAS EXTERIOR TRANS- FAST ESPAÃ‘A    7NC</v>
          </cell>
        </row>
        <row r="34442">
          <cell r="B34442" t="str">
            <v>84091900000228</v>
          </cell>
          <cell r="C34442" t="str">
            <v>840919000002280000                      7NC</v>
          </cell>
        </row>
        <row r="34443">
          <cell r="B34443" t="str">
            <v>84091900000229</v>
          </cell>
          <cell r="C34443" t="str">
            <v>REMESAS EXTERIOR SWISS TRANSFERS GMBH   7NC</v>
          </cell>
        </row>
        <row r="34444">
          <cell r="B34444" t="str">
            <v>84091900000230</v>
          </cell>
          <cell r="C34444" t="str">
            <v>840919000002300000                      7NC</v>
          </cell>
        </row>
        <row r="34445">
          <cell r="B34445" t="str">
            <v>84091900000231</v>
          </cell>
          <cell r="C34445" t="str">
            <v>REMESAS EXTERIOR OMNEX GROUP            7NC</v>
          </cell>
        </row>
        <row r="34446">
          <cell r="B34446" t="str">
            <v>84091900000232</v>
          </cell>
          <cell r="C34446" t="str">
            <v>REMESAS INTERCREDIT                     7NC</v>
          </cell>
        </row>
        <row r="34447">
          <cell r="B34447" t="str">
            <v>84091900000233</v>
          </cell>
          <cell r="C34447" t="str">
            <v>FLASH MONEY                             7NC</v>
          </cell>
        </row>
        <row r="34448">
          <cell r="B34448" t="str">
            <v>84091900000235</v>
          </cell>
          <cell r="C34448" t="str">
            <v>REMESAS EXPIRADAS                       7NC</v>
          </cell>
        </row>
        <row r="34449">
          <cell r="B34449" t="str">
            <v>84091900000236</v>
          </cell>
          <cell r="C34449" t="str">
            <v>REMESAS CONTINENTAL EXPRESS             7NC</v>
          </cell>
        </row>
        <row r="34450">
          <cell r="B34450" t="str">
            <v>84091900000237</v>
          </cell>
          <cell r="C34450" t="str">
            <v>REMESAS MONDIAL BONY                    7NC</v>
          </cell>
        </row>
        <row r="34451">
          <cell r="B34451" t="str">
            <v>84091900000238</v>
          </cell>
          <cell r="C34451" t="str">
            <v>REMESAS REAL DE ENVIOS                  7NC</v>
          </cell>
        </row>
        <row r="34452">
          <cell r="B34452" t="str">
            <v>84091900000239</v>
          </cell>
          <cell r="C34452" t="str">
            <v> REMESAS ITAU BRASIL                    7NC</v>
          </cell>
        </row>
        <row r="34453">
          <cell r="B34453" t="str">
            <v>84091900000240</v>
          </cell>
          <cell r="C34453" t="str">
            <v>REMESAS MUNDIAL ENVIOS                  7NC</v>
          </cell>
        </row>
        <row r="34454">
          <cell r="B34454" t="str">
            <v>84091900000241</v>
          </cell>
          <cell r="C34454" t="str">
            <v>840919000002410000                      7NC</v>
          </cell>
        </row>
        <row r="34455">
          <cell r="B34455" t="str">
            <v>84091900000242</v>
          </cell>
          <cell r="C34455" t="str">
            <v>CASA DE CAMBIO MAGUITUR                 7NC</v>
          </cell>
        </row>
        <row r="34456">
          <cell r="B34456" t="str">
            <v>84091900000243</v>
          </cell>
          <cell r="C34456" t="str">
            <v>9068 ( MUNDIAL ENVIOS)                  7NC</v>
          </cell>
        </row>
        <row r="34457">
          <cell r="B34457" t="str">
            <v>84091900000244</v>
          </cell>
          <cell r="C34457" t="str">
            <v>LATIN TRAVEL                            7NC</v>
          </cell>
        </row>
        <row r="34458">
          <cell r="B34458" t="str">
            <v>84091900000245</v>
          </cell>
          <cell r="C34458" t="str">
            <v>L.MAZAL                                 7NC</v>
          </cell>
        </row>
        <row r="34459">
          <cell r="B34459" t="str">
            <v>84091900000246</v>
          </cell>
          <cell r="C34459" t="str">
            <v>AUSTRO GIROS                            7NC</v>
          </cell>
        </row>
        <row r="34460">
          <cell r="B34460" t="str">
            <v>84091900000247</v>
          </cell>
          <cell r="C34460" t="str">
            <v>BANCO SANTANDER                         7NC</v>
          </cell>
        </row>
        <row r="34461">
          <cell r="B34461" t="str">
            <v>84091900000248</v>
          </cell>
          <cell r="C34461" t="str">
            <v>MONEY TRANS                             7NC</v>
          </cell>
        </row>
        <row r="34462">
          <cell r="B34462" t="str">
            <v>84091900000249</v>
          </cell>
          <cell r="C34462" t="str">
            <v>BANCO PROVIDENCIAL                      7NC</v>
          </cell>
        </row>
        <row r="34463">
          <cell r="B34463" t="str">
            <v>84091900000250</v>
          </cell>
          <cell r="C34463" t="str">
            <v>840919000002500000                      7NC</v>
          </cell>
        </row>
        <row r="34464">
          <cell r="B34464" t="str">
            <v>84091900000251</v>
          </cell>
          <cell r="C34464" t="str">
            <v>GFP CHILE                               7NC</v>
          </cell>
        </row>
        <row r="34465">
          <cell r="B34465" t="str">
            <v>84091900000252</v>
          </cell>
          <cell r="C34465" t="str">
            <v>REMESAS ISEND PAG SERVICIO              7NC</v>
          </cell>
        </row>
        <row r="34466">
          <cell r="B34466" t="str">
            <v>84091900000255</v>
          </cell>
          <cell r="C34466" t="str">
            <v>REMESAS EXT DOLEX EUR                   7NC</v>
          </cell>
        </row>
        <row r="34467">
          <cell r="B34467" t="str">
            <v>84091900000256</v>
          </cell>
          <cell r="C34467" t="str">
            <v>REMESAS EXT MONEY GRAM                  7NC</v>
          </cell>
        </row>
        <row r="34468">
          <cell r="B34468" t="str">
            <v>84091900000257</v>
          </cell>
          <cell r="C34468" t="str">
            <v>REMESAS EXT CLICK TRANSFER              7NC</v>
          </cell>
        </row>
        <row r="34469">
          <cell r="B34469" t="str">
            <v>84091900000258</v>
          </cell>
          <cell r="C34469" t="str">
            <v>JCC CAPITAL VTA DE CARTERA HIPOTECARIA C7NC</v>
          </cell>
        </row>
        <row r="34470">
          <cell r="B34470" t="str">
            <v>84091900000301</v>
          </cell>
          <cell r="C34470" t="str">
            <v>REGISTRO NO ASENTADOS                   7NC</v>
          </cell>
        </row>
        <row r="34471">
          <cell r="B34471" t="str">
            <v>84091900000302</v>
          </cell>
          <cell r="C34471" t="str">
            <v>REMESAS EXT SIT TRANSFER                7NC</v>
          </cell>
        </row>
        <row r="34472">
          <cell r="B34472" t="str">
            <v>84091900000303</v>
          </cell>
          <cell r="C34472" t="str">
            <v>JCC VTA DE CARTERA TERCEROS             7NC</v>
          </cell>
        </row>
        <row r="34473">
          <cell r="B34473" t="str">
            <v>84091900000304</v>
          </cell>
          <cell r="C34473" t="str">
            <v>JCC VTA DE CARTERA TERCEROS-            7NC</v>
          </cell>
        </row>
        <row r="34474">
          <cell r="B34474" t="str">
            <v>84091900000306</v>
          </cell>
          <cell r="C34474" t="str">
            <v>JCC CAPITAL ENCARGO COB.CONTACTO .      7NC</v>
          </cell>
        </row>
        <row r="34475">
          <cell r="B34475" t="str">
            <v>84091900000307</v>
          </cell>
          <cell r="C34475" t="str">
            <v>JCC VENTA CARTERA SERCA BL              7NC</v>
          </cell>
        </row>
        <row r="34476">
          <cell r="B34476" t="str">
            <v>84091900000308</v>
          </cell>
          <cell r="C34476" t="str">
            <v>JCC VENTA CARTERA A 3EROS II            7NC</v>
          </cell>
        </row>
        <row r="34477">
          <cell r="B34477" t="str">
            <v>84091900000310</v>
          </cell>
          <cell r="C34477" t="str">
            <v>JCC INTERESES CARTERA VENDIDA BCA  PERSO7NC</v>
          </cell>
        </row>
        <row r="34478">
          <cell r="B34478" t="str">
            <v>84091900000311</v>
          </cell>
          <cell r="C34478" t="str">
            <v>JCC INTERESES CARTERA VENDIDA BCA  COMER7NC</v>
          </cell>
        </row>
        <row r="34479">
          <cell r="B34479" t="str">
            <v>84091900000312</v>
          </cell>
          <cell r="C34479" t="str">
            <v>REMESAS EXT SOL-DOL BCO PROVIDENCIAL    7NC</v>
          </cell>
        </row>
        <row r="34480">
          <cell r="B34480" t="str">
            <v>84091900000313</v>
          </cell>
          <cell r="C34480" t="str">
            <v>COM REMESAS MONDIAL ESPAÃ‘A             7NC</v>
          </cell>
        </row>
        <row r="34481">
          <cell r="B34481" t="str">
            <v>84091900000314</v>
          </cell>
          <cell r="C34481" t="str">
            <v>REMESAS EXT CIBAO MONEY TRANSMITTING COR7NC</v>
          </cell>
        </row>
        <row r="34482">
          <cell r="B34482" t="str">
            <v>84091900000315</v>
          </cell>
          <cell r="C34482" t="str">
            <v>REMESAS EXT EUROEXPRESS                 7NC</v>
          </cell>
        </row>
        <row r="34483">
          <cell r="B34483" t="str">
            <v>84091900000316</v>
          </cell>
          <cell r="C34483" t="str">
            <v>REMESAS EXT Dolex Dollar Express INC    7NC</v>
          </cell>
        </row>
        <row r="34484">
          <cell r="B34484" t="str">
            <v>84091900000317</v>
          </cell>
          <cell r="C34484" t="str">
            <v>REMESAS RIAENVIA                        7NC</v>
          </cell>
        </row>
        <row r="34485">
          <cell r="B34485" t="str">
            <v>84091900000318</v>
          </cell>
          <cell r="C34485" t="str">
            <v>JCC VTA.CART.OTR. COMERC                7NC</v>
          </cell>
        </row>
        <row r="34486">
          <cell r="B34486" t="str">
            <v>84091900000319</v>
          </cell>
          <cell r="C34486" t="str">
            <v>REMESAS MONEYGRAM                       7NC</v>
          </cell>
        </row>
        <row r="34487">
          <cell r="B34487" t="str">
            <v>84091900000320</v>
          </cell>
          <cell r="C34487" t="str">
            <v>REMESAS BCO DO BRASIL                   7NC</v>
          </cell>
        </row>
        <row r="34488">
          <cell r="B34488" t="str">
            <v>84091900000321</v>
          </cell>
          <cell r="C34488" t="str">
            <v>REMESAS EXTERIOR IDT                    7NC</v>
          </cell>
        </row>
        <row r="34489">
          <cell r="B34489" t="str">
            <v>84091900000322</v>
          </cell>
          <cell r="C34489" t="str">
            <v>REMESAS EXTERIOR JET ARGENTINA          7NC</v>
          </cell>
        </row>
        <row r="34490">
          <cell r="B34490" t="str">
            <v>84091900000323</v>
          </cell>
          <cell r="C34490" t="str">
            <v>REMESAS EXTERIOR SIGUE GLOBAL           7NC</v>
          </cell>
        </row>
        <row r="34491">
          <cell r="B34491" t="str">
            <v>84091900000324</v>
          </cell>
          <cell r="C34491" t="str">
            <v>REMESAS EXTERIOR SIGUE GLOBAL SERVICES  7NC</v>
          </cell>
        </row>
        <row r="34492">
          <cell r="B34492" t="str">
            <v>84091900000325</v>
          </cell>
          <cell r="C34492" t="str">
            <v>REMESAS EXTERIOR USA UNITELLER          7NC</v>
          </cell>
        </row>
        <row r="34493">
          <cell r="B34493" t="str">
            <v>84091900000326</v>
          </cell>
          <cell r="C34493" t="str">
            <v>REMESAS EXTERIOR Transnetwork Corporatio7NC</v>
          </cell>
        </row>
        <row r="34494">
          <cell r="B34494" t="str">
            <v>84091900000327</v>
          </cell>
          <cell r="C34494" t="str">
            <v>REMESAS EXTERIOR Connect Argentina      7NC</v>
          </cell>
        </row>
        <row r="34495">
          <cell r="B34495" t="str">
            <v>84091900000329</v>
          </cell>
          <cell r="C34495" t="str">
            <v>REMESAS EXTERIOR TITAN                  7NC</v>
          </cell>
        </row>
        <row r="34496">
          <cell r="B34496" t="str">
            <v>84091900000330</v>
          </cell>
          <cell r="C34496" t="str">
            <v>REMESAS EXTERIORDel Bank                7NC</v>
          </cell>
        </row>
        <row r="34497">
          <cell r="B34497" t="str">
            <v>84091900000331</v>
          </cell>
          <cell r="C34497" t="str">
            <v>REMESAS EXTERIOR Global EnvÃ­os         7NC</v>
          </cell>
        </row>
        <row r="34498">
          <cell r="B34498" t="str">
            <v>84091900000332</v>
          </cell>
          <cell r="C34498" t="str">
            <v>REMESAS EXTERIOR.BANCSERVICES INTERNATIO7NC</v>
          </cell>
        </row>
        <row r="34499">
          <cell r="B34499" t="str">
            <v>84091900000333</v>
          </cell>
          <cell r="C34499" t="str">
            <v>REMESAS EXTERIOR.Argenper Chile         7NC</v>
          </cell>
        </row>
        <row r="34500">
          <cell r="B34500" t="str">
            <v>84091900000334</v>
          </cell>
          <cell r="C34500" t="str">
            <v>REMESAS EXTERIOR.TRANSNETWORK CORPORATIO7NC</v>
          </cell>
        </row>
        <row r="34501">
          <cell r="B34501" t="str">
            <v>84091900000335</v>
          </cell>
          <cell r="C34501" t="str">
            <v>REMESAS EXTERIOR.MONTY GLOBAL PAYMENTS  7NC</v>
          </cell>
        </row>
        <row r="34502">
          <cell r="B34502" t="str">
            <v>84091900000336</v>
          </cell>
          <cell r="C34502" t="str">
            <v>REMESAS EXTERIOR.REMITEE                7NC</v>
          </cell>
        </row>
        <row r="34503">
          <cell r="B34503" t="str">
            <v>84091900000337</v>
          </cell>
          <cell r="C34503" t="str">
            <v>REMESAS EXTERIOR ARGENPER ARGENTINA     7NC</v>
          </cell>
        </row>
        <row r="34504">
          <cell r="B34504" t="str">
            <v>84091900000338</v>
          </cell>
          <cell r="C34504" t="str">
            <v>REMESAS EXTERIOR.INTERMEX               7NC</v>
          </cell>
        </row>
        <row r="34505">
          <cell r="B34505" t="str">
            <v>84091900000339</v>
          </cell>
          <cell r="C34505" t="str">
            <v>EDP REMESAS EXTERIOR.KYODAI             7NC</v>
          </cell>
        </row>
        <row r="34506">
          <cell r="B34506" t="str">
            <v>84091900000340</v>
          </cell>
          <cell r="C34506" t="str">
            <v>EDP REMESAS EXTERIOR.BANCO ESTADO       7NC</v>
          </cell>
        </row>
        <row r="34507">
          <cell r="B34507" t="str">
            <v>84091900000341</v>
          </cell>
          <cell r="C34507" t="str">
            <v>EDP REMESAS EXTERIOR.CURRENCY BIRD      7NC</v>
          </cell>
        </row>
        <row r="34508">
          <cell r="B34508" t="str">
            <v>84091900000342</v>
          </cell>
          <cell r="C34508" t="str">
            <v>GAC CESION DE POSESION CONTRACTUAL      7NC</v>
          </cell>
        </row>
        <row r="34509">
          <cell r="B34509" t="str">
            <v>84091900000343</v>
          </cell>
          <cell r="C34509" t="str">
            <v>REMESAS EXTERIOR.Latin Travel Money Tran7NC</v>
          </cell>
        </row>
        <row r="34510">
          <cell r="B34510" t="str">
            <v>84091900000344</v>
          </cell>
          <cell r="C34510" t="str">
            <v>EDP REMESAS EXTERIOR GIRO SPA           7NC</v>
          </cell>
        </row>
        <row r="34511">
          <cell r="B34511" t="str">
            <v>84091900000345</v>
          </cell>
          <cell r="C34511" t="str">
            <v>REMESAS EXTERIOR.RELATE VENTURES INC    7NC</v>
          </cell>
        </row>
        <row r="34512">
          <cell r="B34512" t="str">
            <v>84091900000346</v>
          </cell>
          <cell r="C34512" t="str">
            <v>COM REMESAS WESTERN                     7 C</v>
          </cell>
        </row>
        <row r="34513">
          <cell r="B34513" t="str">
            <v>84091900000801</v>
          </cell>
          <cell r="C34513" t="str">
            <v>PANAMA - DEPOSITO PIGNORADO             7NC</v>
          </cell>
        </row>
        <row r="34514">
          <cell r="B34514" t="str">
            <v>85010000000101</v>
          </cell>
          <cell r="C34514" t="str">
            <v>CAJA Y BANCOS -FIDEICOMISO SAN MATEO    7ND</v>
          </cell>
        </row>
        <row r="34515">
          <cell r="B34515" t="str">
            <v>85010000000102</v>
          </cell>
          <cell r="C34515" t="str">
            <v>CAJA Y BANCOS -FIDEICOMISO SERMOPLAST   7ND</v>
          </cell>
        </row>
        <row r="34516">
          <cell r="B34516" t="str">
            <v>85010000000103</v>
          </cell>
          <cell r="C34516" t="str">
            <v>CAJA Y BANCOS -FIDEICOMISO MUNI.PROV.ARE7ND</v>
          </cell>
        </row>
        <row r="34517">
          <cell r="B34517" t="str">
            <v>85010000000104</v>
          </cell>
          <cell r="C34517" t="str">
            <v>CAJA Y BANCOS -FIDEICOMISO ARAMSA       7ND</v>
          </cell>
        </row>
        <row r="34518">
          <cell r="B34518" t="str">
            <v>85010000000105</v>
          </cell>
          <cell r="C34518" t="str">
            <v>CAJA Y BANCOS -FIDEICOMISO D'VIVIENDA   7ND</v>
          </cell>
        </row>
        <row r="34519">
          <cell r="B34519" t="str">
            <v>85010000000106</v>
          </cell>
          <cell r="C34519" t="str">
            <v>CAJA Y BANCOS -FIDEICOMISO GARANTIA DH  7ND</v>
          </cell>
        </row>
        <row r="34520">
          <cell r="B34520" t="str">
            <v>85010000000108</v>
          </cell>
          <cell r="C34520" t="str">
            <v>CAJA Y BANCOS -FIDEICOMISO SAN J. BAUSTI7ND</v>
          </cell>
        </row>
        <row r="34521">
          <cell r="B34521" t="str">
            <v>85010000000109</v>
          </cell>
          <cell r="C34521" t="str">
            <v>CAJA Y BANCOS -FIDEICOMISO DEVIVIENDA   7ND</v>
          </cell>
        </row>
        <row r="34522">
          <cell r="B34522" t="str">
            <v>85010000000111</v>
          </cell>
          <cell r="C34522" t="str">
            <v>CAJA Y BANCOS -FIDEICOMISO RAFAEL CORTES7ND</v>
          </cell>
        </row>
        <row r="34523">
          <cell r="B34523" t="str">
            <v>85010000000112</v>
          </cell>
          <cell r="C34523" t="str">
            <v>CAJA Y BANCOS -FIDEICOMISO PHOENIX      7ND</v>
          </cell>
        </row>
        <row r="34524">
          <cell r="B34524" t="str">
            <v>85010000000113</v>
          </cell>
          <cell r="C34524" t="str">
            <v>CAJA Y BANCOS -FIDEICOMISO PHOENIX FOODS7ND</v>
          </cell>
        </row>
        <row r="34525">
          <cell r="B34525" t="str">
            <v>85010000000116</v>
          </cell>
          <cell r="C34525" t="str">
            <v>CAJA Y BANCOS -FIDEICOMISO ZAMBRANO     7ND</v>
          </cell>
        </row>
        <row r="34526">
          <cell r="B34526" t="str">
            <v>85010000000117</v>
          </cell>
          <cell r="C34526" t="str">
            <v>OTRAS CARGAS DIF -FIDEICOMISO ZAMBRANO  7ND</v>
          </cell>
        </row>
        <row r="34527">
          <cell r="B34527" t="str">
            <v>85010000000118</v>
          </cell>
          <cell r="C34527" t="str">
            <v>CAJA Y BANCOS -FIDEICOMISO LA MERCED    7ND</v>
          </cell>
        </row>
        <row r="34528">
          <cell r="B34528" t="str">
            <v>85010000000119</v>
          </cell>
          <cell r="C34528" t="str">
            <v>CAJA Y BANCOS -FIDEICOMISO BRYSON HILLS 7ND</v>
          </cell>
        </row>
        <row r="34529">
          <cell r="B34529" t="str">
            <v>85010000000120</v>
          </cell>
          <cell r="C34529" t="str">
            <v>CAJA Y BANCOS -FIDEICOMISO ILG LA GALLER7ND</v>
          </cell>
        </row>
        <row r="34530">
          <cell r="B34530" t="str">
            <v>85010000000122</v>
          </cell>
          <cell r="C34530" t="str">
            <v>CAJA Y BANCOS -FIDEICOMISO DPI FOVIMAR  7ND</v>
          </cell>
        </row>
        <row r="34531">
          <cell r="B34531" t="str">
            <v>85010000000123</v>
          </cell>
          <cell r="C34531" t="str">
            <v>CAJA Y BANCOS -FIDEICOMISO OLAS         7ND</v>
          </cell>
        </row>
        <row r="34532">
          <cell r="B34532" t="str">
            <v>85010000000124</v>
          </cell>
          <cell r="C34532" t="str">
            <v>CAJA Y BANCOS FIDEICOMISO PRODESA FLUJOS7ND</v>
          </cell>
        </row>
        <row r="34533">
          <cell r="B34533" t="str">
            <v>85010000000125</v>
          </cell>
          <cell r="C34533" t="str">
            <v>CAJA FIDEICOMISO VOLCAN                 7ND</v>
          </cell>
        </row>
        <row r="34534">
          <cell r="B34534" t="str">
            <v>85010000000126</v>
          </cell>
          <cell r="C34534" t="str">
            <v>CAJA FIDEICOMISO CERRO                  7ND</v>
          </cell>
        </row>
        <row r="34535">
          <cell r="B34535" t="str">
            <v>85010000000127</v>
          </cell>
          <cell r="C34535" t="str">
            <v>CAJA FIDEICOMISO CHUNGAR                7ND</v>
          </cell>
        </row>
        <row r="34536">
          <cell r="B34536" t="str">
            <v>85010000000128</v>
          </cell>
          <cell r="C34536" t="str">
            <v>CAJA FIDEICOMISO ICH                    7ND</v>
          </cell>
        </row>
        <row r="34537">
          <cell r="B34537" t="str">
            <v>85010000000129</v>
          </cell>
          <cell r="C34537" t="str">
            <v>CAJA FIDEICOMISO ALEGRA MARBELLA        7ND</v>
          </cell>
        </row>
        <row r="34538">
          <cell r="B34538" t="str">
            <v>85010000000130</v>
          </cell>
          <cell r="C34538" t="str">
            <v>CAJA FIDEICOMISO LUCIONI - FLUJOS       7ND</v>
          </cell>
        </row>
        <row r="34539">
          <cell r="B34539" t="str">
            <v>85010000000132</v>
          </cell>
          <cell r="C34539" t="str">
            <v>CAJA FIDEICOMISO JUPITER TECHNOLOGY PERU7ND</v>
          </cell>
        </row>
        <row r="34540">
          <cell r="B34540" t="str">
            <v>85010000000133</v>
          </cell>
          <cell r="C34540" t="str">
            <v>CAJA IDEICOMISO MUNICIPALIDAD DE ASCOPE 7ND</v>
          </cell>
        </row>
        <row r="34541">
          <cell r="B34541" t="str">
            <v>85010000000134</v>
          </cell>
          <cell r="C34541" t="str">
            <v>CAJA FIDEICOMISOÂ  Z&amp;Z FOVIMAR - FLUJOS 7ND</v>
          </cell>
        </row>
        <row r="34542">
          <cell r="B34542" t="str">
            <v>85010000000135</v>
          </cell>
          <cell r="C34542" t="str">
            <v>CAJA FIDEICOMISO CONSORCIO TUMI LA POSIT7ND</v>
          </cell>
        </row>
        <row r="34543">
          <cell r="B34543" t="str">
            <v>85010000000136</v>
          </cell>
          <cell r="C34543" t="str">
            <v>CAJA FIDEICOMISO GOBIERNO REGIONAL DE AR7ND</v>
          </cell>
        </row>
        <row r="34544">
          <cell r="B34544" t="str">
            <v>85010000000137</v>
          </cell>
          <cell r="C34544" t="str">
            <v>CAJA FIDEICOMISO EN GARANTIA CMSL PEM AT7ND</v>
          </cell>
        </row>
        <row r="34545">
          <cell r="B34545" t="str">
            <v>85010000000138</v>
          </cell>
          <cell r="C34545" t="str">
            <v>CAJA FIDEICOMISO ARTE EXPRESS &amp; EGS     7ND</v>
          </cell>
        </row>
        <row r="34546">
          <cell r="B34546" t="str">
            <v>85010000000139</v>
          </cell>
          <cell r="C34546" t="str">
            <v>CAJA Y BANCOS FIDEICOMISO SERVITEBCA FLU7ND</v>
          </cell>
        </row>
        <row r="34547">
          <cell r="B34547" t="str">
            <v>85010000000140</v>
          </cell>
          <cell r="C34547" t="str">
            <v>CAJA FIDEICOMISO GEOHIDRAULICA FLUJOS   7ND</v>
          </cell>
        </row>
        <row r="34548">
          <cell r="B34548" t="str">
            <v>85010000000141</v>
          </cell>
          <cell r="C34548" t="str">
            <v>CAJA FIDEICOMISO FINANCIERA UNO FLUJOS  7ND</v>
          </cell>
        </row>
        <row r="34549">
          <cell r="B34549" t="str">
            <v>85010000000142</v>
          </cell>
          <cell r="C34549" t="str">
            <v>CAJA FIDEICOMISO WASI FLUJOS            7ND</v>
          </cell>
        </row>
        <row r="34550">
          <cell r="B34550" t="str">
            <v>85010000000143</v>
          </cell>
          <cell r="C34550" t="str">
            <v>CAJA FIDEICOMISO WASI GTIA              7ND</v>
          </cell>
        </row>
        <row r="34551">
          <cell r="B34551" t="str">
            <v>85010000000144</v>
          </cell>
          <cell r="C34551" t="str">
            <v>CAJA FIDEICOMISO RODRIGUEZ M. GTIA      7ND</v>
          </cell>
        </row>
        <row r="34552">
          <cell r="B34552" t="str">
            <v>85010000000145</v>
          </cell>
          <cell r="C34552" t="str">
            <v>CAJA FIDEICOMISO PANCHA PLAYA - FLUJOS  7ND</v>
          </cell>
        </row>
        <row r="34553">
          <cell r="B34553" t="str">
            <v>85010000000146</v>
          </cell>
          <cell r="C34553" t="str">
            <v>CAJA FIDEICOMISO PANCHA PLAYA - GTIA    7ND</v>
          </cell>
        </row>
        <row r="34554">
          <cell r="B34554" t="str">
            <v>85010000000147</v>
          </cell>
          <cell r="C34554" t="str">
            <v>CAJA FIDEICOMISO ORES FOVIME FLUJOS     7ND</v>
          </cell>
        </row>
        <row r="34555">
          <cell r="B34555" t="str">
            <v>85010000000148</v>
          </cell>
          <cell r="C34555" t="str">
            <v>CAJA IDEICOMISO TRAFIGURA FLUJOS        7ND</v>
          </cell>
        </row>
        <row r="34556">
          <cell r="B34556" t="str">
            <v>85010000000149</v>
          </cell>
          <cell r="C34556" t="str">
            <v>CAJA FIDEICOMISO CECOM OLGUIN - FLUJOS  7ND</v>
          </cell>
        </row>
        <row r="34557">
          <cell r="B34557" t="str">
            <v>85010000000150</v>
          </cell>
          <cell r="C34557" t="str">
            <v>CAJA FIDEICOMISO RIO AUSTRAL - FLUJOS   7ND</v>
          </cell>
        </row>
        <row r="34558">
          <cell r="B34558" t="str">
            <v>85010000000151</v>
          </cell>
          <cell r="C34558" t="str">
            <v>CAJA FIDEICOMISO RIO MANTO - FLUJOS     7ND</v>
          </cell>
        </row>
        <row r="34559">
          <cell r="B34559" t="str">
            <v>85010000000152</v>
          </cell>
          <cell r="C34559" t="str">
            <v>CAJA FIDEICOMISO ROLANDON CESPEDES - FLU7ND</v>
          </cell>
        </row>
        <row r="34560">
          <cell r="B34560" t="str">
            <v>85010000000153</v>
          </cell>
          <cell r="C34560" t="str">
            <v>CAJA FIDEICOMISO QUIMERA- FLUJOS        7ND</v>
          </cell>
        </row>
        <row r="34561">
          <cell r="B34561" t="str">
            <v>85010000000155</v>
          </cell>
          <cell r="C34561" t="str">
            <v>CAJA FIDEICOMISO FIDEICOMISO ARTE EXPRES7ND</v>
          </cell>
        </row>
        <row r="34562">
          <cell r="B34562" t="str">
            <v>85010000000156</v>
          </cell>
          <cell r="C34562" t="str">
            <v>CAJA BRYSON HILLS SEGUNDA ETAPA FLUJOS  7ND</v>
          </cell>
        </row>
        <row r="34563">
          <cell r="B34563" t="str">
            <v>85010000000157</v>
          </cell>
          <cell r="C34563" t="str">
            <v>CAJA CASITA DEL COLCA FLUJOS            7ND</v>
          </cell>
        </row>
        <row r="34564">
          <cell r="B34564" t="str">
            <v>85010000000158</v>
          </cell>
          <cell r="C34564" t="str">
            <v>CAJA CTG CAPITAL FLUJOS                 7ND</v>
          </cell>
        </row>
        <row r="34565">
          <cell r="B34565" t="str">
            <v>85010000000159</v>
          </cell>
          <cell r="C34565" t="str">
            <v>CAJA FIDEICOMISO ALPAMARCA FLUJOS       7ND</v>
          </cell>
        </row>
        <row r="34566">
          <cell r="B34566" t="str">
            <v>85010000000160</v>
          </cell>
          <cell r="C34566" t="str">
            <v>CAJA JARDINES DE LA LUZ FLUJOS          7ND</v>
          </cell>
        </row>
        <row r="34567">
          <cell r="B34567" t="str">
            <v>85010000000161</v>
          </cell>
          <cell r="C34567" t="str">
            <v>CAJA VIETTEL PERU FLUJOS                7ND</v>
          </cell>
        </row>
        <row r="34568">
          <cell r="B34568" t="str">
            <v>85010000000162</v>
          </cell>
          <cell r="C34568" t="str">
            <v>CAJA Y BCO. ARTE EXPRESS ENCARNACION    7ND</v>
          </cell>
        </row>
        <row r="34569">
          <cell r="B34569" t="str">
            <v>85010000000163</v>
          </cell>
          <cell r="C34569" t="str">
            <v>CAJA SHAMROCK FLUJOS                    7ND</v>
          </cell>
        </row>
        <row r="34570">
          <cell r="B34570" t="str">
            <v>85010000000164</v>
          </cell>
          <cell r="C34570" t="str">
            <v>CAJA DESIGNERS FLUJOS                   7ND</v>
          </cell>
        </row>
        <row r="34571">
          <cell r="B34571" t="str">
            <v>85010000000165</v>
          </cell>
          <cell r="C34571" t="str">
            <v>CAJA IERSA FLUJOS                       7ND</v>
          </cell>
        </row>
        <row r="34572">
          <cell r="B34572" t="str">
            <v>85010000000166</v>
          </cell>
          <cell r="C34572" t="str">
            <v>CAJA SUMA FINANCIAMIENTO PRIVADO        7ND</v>
          </cell>
        </row>
        <row r="34573">
          <cell r="B34573" t="str">
            <v>85010000000167</v>
          </cell>
          <cell r="C34573" t="str">
            <v>CAJA FITEL                              7ND</v>
          </cell>
        </row>
        <row r="34574">
          <cell r="B34574" t="str">
            <v>85010000000168</v>
          </cell>
          <cell r="C34574" t="str">
            <v>CAJA BRYSON HILLS TERCERA ETAPA         7ND</v>
          </cell>
        </row>
        <row r="34575">
          <cell r="B34575" t="str">
            <v>85010000000169</v>
          </cell>
          <cell r="C34575" t="str">
            <v>CAJA QUIMERA II                         7ND</v>
          </cell>
        </row>
        <row r="34576">
          <cell r="B34576" t="str">
            <v>85010000000170</v>
          </cell>
          <cell r="C34576" t="str">
            <v>CAJA BANCO CENCOSUD                     7ND</v>
          </cell>
        </row>
        <row r="34577">
          <cell r="B34577" t="str">
            <v>85010000000171</v>
          </cell>
          <cell r="C34577" t="str">
            <v>CAJA EDIFICA                            7ND</v>
          </cell>
        </row>
        <row r="34578">
          <cell r="B34578" t="str">
            <v>85010000000172</v>
          </cell>
          <cell r="C34578" t="str">
            <v>CAJA PRISONTEC                          7ND</v>
          </cell>
        </row>
        <row r="34579">
          <cell r="B34579" t="str">
            <v>85010000000173</v>
          </cell>
          <cell r="C34579" t="str">
            <v>CAJA FOVIME - MURILLO                   7ND</v>
          </cell>
        </row>
        <row r="34580">
          <cell r="B34580" t="str">
            <v>85010000000174</v>
          </cell>
          <cell r="C34580" t="str">
            <v>CAJA ARTECO                             7ND</v>
          </cell>
        </row>
        <row r="34581">
          <cell r="B34581" t="str">
            <v>85010000000175</v>
          </cell>
          <cell r="C34581" t="str">
            <v>CAJA FOVIME - TISA                      7ND</v>
          </cell>
        </row>
        <row r="34582">
          <cell r="B34582" t="str">
            <v>85010000000176</v>
          </cell>
          <cell r="C34582" t="str">
            <v>CAJA FOVIME - MATELLINI                 7ND</v>
          </cell>
        </row>
        <row r="34583">
          <cell r="B34583" t="str">
            <v>85010000000177</v>
          </cell>
          <cell r="C34583" t="str">
            <v>CAJA COPAM                              7ND</v>
          </cell>
        </row>
        <row r="34584">
          <cell r="B34584" t="str">
            <v>85010000000178</v>
          </cell>
          <cell r="C34584" t="str">
            <v>CAJA JOYERIA ALDO FLUJOS                7ND</v>
          </cell>
        </row>
        <row r="34585">
          <cell r="B34585" t="str">
            <v>85010000000179</v>
          </cell>
          <cell r="C34585" t="str">
            <v>CAJA ARTE EXPRESS PYP                   7ND</v>
          </cell>
        </row>
        <row r="34586">
          <cell r="B34586" t="str">
            <v>85010000000180</v>
          </cell>
          <cell r="C34586" t="str">
            <v>CAJA PENNANO                            7ND</v>
          </cell>
        </row>
        <row r="34587">
          <cell r="B34587" t="str">
            <v>85010000000181</v>
          </cell>
          <cell r="C34587" t="str">
            <v>CAJA FIDEICOMISO - HUARIPAMPA           7ND</v>
          </cell>
        </row>
        <row r="34588">
          <cell r="B34588" t="str">
            <v>85010000000182</v>
          </cell>
          <cell r="C34588" t="str">
            <v>CAJA FIDEICOMISO - MUNICIPALIDAD ASCOPE 7ND</v>
          </cell>
        </row>
        <row r="34589">
          <cell r="B34589" t="str">
            <v>85010000000183</v>
          </cell>
          <cell r="C34589" t="str">
            <v>CAJA FIDEICOMISO - CAMPANARIO           7ND</v>
          </cell>
        </row>
        <row r="34590">
          <cell r="B34590" t="str">
            <v>85010000000184</v>
          </cell>
          <cell r="C34590" t="str">
            <v>CAJA FIDEICOMISO - ASTILLEROS           7ND</v>
          </cell>
        </row>
        <row r="34591">
          <cell r="B34591" t="str">
            <v>85010000000185</v>
          </cell>
          <cell r="C34591" t="str">
            <v>CAJA FIDEICOMISO - FONDO SOCIAL LOTE 1927ND</v>
          </cell>
        </row>
        <row r="34592">
          <cell r="B34592" t="str">
            <v>85010000000186</v>
          </cell>
          <cell r="C34592" t="str">
            <v>CAJA FIDEICOMISO - ABUDAYEH             7ND</v>
          </cell>
        </row>
        <row r="34593">
          <cell r="B34593" t="str">
            <v>85010000000187</v>
          </cell>
          <cell r="C34593" t="str">
            <v>CAJA FIDEICOMISO - JJC CREDICORP II     7ND</v>
          </cell>
        </row>
        <row r="34594">
          <cell r="B34594" t="str">
            <v>85010000000188</v>
          </cell>
          <cell r="C34594" t="str">
            <v>CAJA FIDEICOMISO - GRUPO ENTRETENEDORES 7ND</v>
          </cell>
        </row>
        <row r="34595">
          <cell r="B34595" t="str">
            <v>85010000000189</v>
          </cell>
          <cell r="C34595" t="str">
            <v>CAJA FIDEICOMISO - MOLENERA LOS ANGELES 7ND</v>
          </cell>
        </row>
        <row r="34596">
          <cell r="B34596" t="str">
            <v>85010000000190</v>
          </cell>
          <cell r="C34596" t="str">
            <v>CAJA FITEL II                           7ND</v>
          </cell>
        </row>
        <row r="34597">
          <cell r="B34597" t="str">
            <v>85010000000191</v>
          </cell>
          <cell r="C34597" t="str">
            <v>CAJA FIDEICOMISO DIXBANEÂ  INTELIGO     7ND</v>
          </cell>
        </row>
        <row r="34598">
          <cell r="B34598" t="str">
            <v>85010100003303</v>
          </cell>
          <cell r="C34598" t="str">
            <v>MOB.Y EQUIPO-FIDEICOMISO QUIMPAC        7ND</v>
          </cell>
        </row>
        <row r="34599">
          <cell r="B34599" t="str">
            <v>85010300000101</v>
          </cell>
          <cell r="C34599" t="str">
            <v>CTRA CTA GTIAS HIPOTEC-SERBANCO         7ND</v>
          </cell>
        </row>
        <row r="34600">
          <cell r="B34600" t="str">
            <v>85010500000101</v>
          </cell>
          <cell r="C34600" t="str">
            <v>BL CGTRA CTA GARANTIAS -CST-10          7ND</v>
          </cell>
        </row>
        <row r="34601">
          <cell r="B34601" t="str">
            <v>85010500000102</v>
          </cell>
          <cell r="C34601" t="str">
            <v>CTRA CTA PRENDA AGRICOLA -100% PROV     7ND</v>
          </cell>
        </row>
        <row r="34602">
          <cell r="B34602" t="str">
            <v>85010500000103</v>
          </cell>
          <cell r="C34602" t="str">
            <v>CTRA CTA WARRANT -100% PROV             7ND</v>
          </cell>
        </row>
        <row r="34603">
          <cell r="B34603" t="str">
            <v>85010500000104</v>
          </cell>
          <cell r="C34603" t="str">
            <v>CTRA CTA PRENDA VEHICULAR -100% PROV    7ND</v>
          </cell>
        </row>
        <row r="34604">
          <cell r="B34604" t="str">
            <v>85010500000105</v>
          </cell>
          <cell r="C34604" t="str">
            <v>CTRA CTA HIPOTEC BCA PERS -100          7ND</v>
          </cell>
        </row>
        <row r="34605">
          <cell r="B34605" t="str">
            <v>85010500001602</v>
          </cell>
          <cell r="C34605" t="str">
            <v>PENDIENTE COMPRA VENTA ME - F1          7ND</v>
          </cell>
        </row>
        <row r="34606">
          <cell r="B34606" t="str">
            <v>85010500001608</v>
          </cell>
          <cell r="C34606" t="str">
            <v>OTRAS CUENTAS POR COBRAR                7ND</v>
          </cell>
        </row>
        <row r="34607">
          <cell r="B34607" t="str">
            <v>85010500001609</v>
          </cell>
          <cell r="C34607" t="str">
            <v>COBRANZA DUDOSA                         7ND</v>
          </cell>
        </row>
        <row r="34608">
          <cell r="B34608" t="str">
            <v>85010500003306</v>
          </cell>
          <cell r="C34608" t="str">
            <v>EQUIPOS DIVERSOS                        7ND</v>
          </cell>
        </row>
        <row r="34609">
          <cell r="B34609" t="str">
            <v>85010600000101</v>
          </cell>
          <cell r="C34609" t="str">
            <v>CTRA CTA GTIAS PF2                      7ND</v>
          </cell>
        </row>
        <row r="34610">
          <cell r="B34610" t="str">
            <v>85010601003303</v>
          </cell>
          <cell r="C34610" t="str">
            <v>INMUEBLE MAQ Y EQUIPO -FIDEICOMISO SERMO7ND</v>
          </cell>
        </row>
        <row r="34611">
          <cell r="B34611" t="str">
            <v>85010602003303</v>
          </cell>
          <cell r="C34611" t="str">
            <v>INMUEBLE MAQ Y EQUIPO -FIDEICOMISO ARAMS7ND</v>
          </cell>
        </row>
        <row r="34612">
          <cell r="B34612" t="str">
            <v>85010604003303</v>
          </cell>
          <cell r="C34612" t="str">
            <v>INMUEBLE MAQ Y EQUIPO -FIDEICOMISO GARAN7ND</v>
          </cell>
        </row>
        <row r="34613">
          <cell r="B34613" t="str">
            <v>85010605003303</v>
          </cell>
          <cell r="C34613" t="str">
            <v>INMUEBLE MAQ Y EQUIPO -FIDEICOMISO RAFAE7ND</v>
          </cell>
        </row>
        <row r="34614">
          <cell r="B34614" t="str">
            <v>85010606003303</v>
          </cell>
          <cell r="C34614" t="str">
            <v>INMUEBLE MAQ Y EQUIPO -FIDEICOMISO PHOEN7ND</v>
          </cell>
        </row>
        <row r="34615">
          <cell r="B34615" t="str">
            <v>85010607003303</v>
          </cell>
          <cell r="C34615" t="str">
            <v>INMUEBLE MAQ Y EQUIPO -FIDEICOMISO PHOEN7ND</v>
          </cell>
        </row>
        <row r="34616">
          <cell r="B34616" t="str">
            <v>85010608003303</v>
          </cell>
          <cell r="C34616" t="str">
            <v>INMUEBLE MAQ Y EQUIPO -FIDEICOMISO LURIN7ND</v>
          </cell>
        </row>
        <row r="34617">
          <cell r="B34617" t="str">
            <v>85010609003303</v>
          </cell>
          <cell r="C34617" t="str">
            <v>INMUEBLE MAQ Y EQUIPO -FIDEICOMISO MARIA7ND</v>
          </cell>
        </row>
        <row r="34618">
          <cell r="B34618" t="str">
            <v>85010610003303</v>
          </cell>
          <cell r="C34618" t="str">
            <v>INMUEBLE MAQ Y EQUIPO -CASTROVIRREINA   7ND</v>
          </cell>
        </row>
        <row r="34619">
          <cell r="B34619" t="str">
            <v>85010611003303</v>
          </cell>
          <cell r="C34619" t="str">
            <v>INMUEBLE MAQ Y EQUIPO -GARANTIA DPI     7ND</v>
          </cell>
        </row>
        <row r="34620">
          <cell r="B34620" t="str">
            <v>85010612003303</v>
          </cell>
          <cell r="C34620" t="str">
            <v>INMUEBLE MAQ Y EQUIPO FIDEICOMETIDO INSU7ND</v>
          </cell>
        </row>
        <row r="34621">
          <cell r="B34621" t="str">
            <v>85010613003303</v>
          </cell>
          <cell r="C34621" t="str">
            <v>INMUEBLE MAQ Y EQUIPO FID. PRODESA GARAN7ND</v>
          </cell>
        </row>
        <row r="34622">
          <cell r="B34622" t="str">
            <v>85010615003303</v>
          </cell>
          <cell r="C34622" t="str">
            <v>INMUEBLE MAQ Y EQUIPOÂ  FID. URB LA RIBE7ND</v>
          </cell>
        </row>
        <row r="34623">
          <cell r="B34623" t="str">
            <v>85010616003303</v>
          </cell>
          <cell r="C34623" t="str">
            <v>INMUEBLE MAQ Y EQUIPO FIDECOMISO COOL IM7ND</v>
          </cell>
        </row>
        <row r="34624">
          <cell r="B34624" t="str">
            <v>85010617003303</v>
          </cell>
          <cell r="C34624" t="str">
            <v>INMUEBLE MAQ Y EQUIPO FIDEICOMISO Z&amp;Z FO7ND</v>
          </cell>
        </row>
        <row r="34625">
          <cell r="B34625" t="str">
            <v>85010618003303</v>
          </cell>
          <cell r="C34625" t="str">
            <v>INMUEBLE MAQ Y EQUIPO FIDEICOMISO ICH   7ND</v>
          </cell>
        </row>
        <row r="34626">
          <cell r="B34626" t="str">
            <v>85010619003303</v>
          </cell>
          <cell r="C34626" t="str">
            <v>INMUEBLE MAQ Y EQUIPO FIDEICOMISO ALEGRA7ND</v>
          </cell>
        </row>
        <row r="34627">
          <cell r="B34627" t="str">
            <v>85010620003303</v>
          </cell>
          <cell r="C34627" t="str">
            <v>IMY E Y BANCOS FIDEICOMISO SERVITEBCA FL7ND</v>
          </cell>
        </row>
        <row r="34628">
          <cell r="B34628" t="str">
            <v>85010621003303</v>
          </cell>
          <cell r="C34628" t="str">
            <v>IMY E FIDEICOMISO GEOHIDRAULICA FLUJOS  7ND</v>
          </cell>
        </row>
        <row r="34629">
          <cell r="B34629" t="str">
            <v>85010622003303</v>
          </cell>
          <cell r="C34629" t="str">
            <v>IMY E FIDEICOMISO FINANCIERA UNO FLUJOS 7ND</v>
          </cell>
        </row>
        <row r="34630">
          <cell r="B34630" t="str">
            <v>85010623003303</v>
          </cell>
          <cell r="C34630" t="str">
            <v>IMY E FIDEICOMISO WASI FLUJOS           7ND</v>
          </cell>
        </row>
        <row r="34631">
          <cell r="B34631" t="str">
            <v>85010624003303</v>
          </cell>
          <cell r="C34631" t="str">
            <v>IMY E FIDEICOMISO WASI GTIA             7ND</v>
          </cell>
        </row>
        <row r="34632">
          <cell r="B34632" t="str">
            <v>85010625003303</v>
          </cell>
          <cell r="C34632" t="str">
            <v>IMY E FIDEICOMISO RODRIGUEZ M. GTIA     7ND</v>
          </cell>
        </row>
        <row r="34633">
          <cell r="B34633" t="str">
            <v>85010626003303</v>
          </cell>
          <cell r="C34633" t="str">
            <v>IMY E FIDEICOMISO PANCHA PLAYA - FLUJOS 7ND</v>
          </cell>
        </row>
        <row r="34634">
          <cell r="B34634" t="str">
            <v>85010627003303</v>
          </cell>
          <cell r="C34634" t="str">
            <v>IMY E FIDEICOMISO PANCHA PLAYA - GTIA   7ND</v>
          </cell>
        </row>
        <row r="34635">
          <cell r="B34635" t="str">
            <v>85010628003303</v>
          </cell>
          <cell r="C34635" t="str">
            <v>IMY E FIDEICOMISO ORES FOVIME FLUJOS    7ND</v>
          </cell>
        </row>
        <row r="34636">
          <cell r="B34636" t="str">
            <v>85010629003303</v>
          </cell>
          <cell r="C34636" t="str">
            <v>IMY E IDEICOMISO TRAFIGURA FLUJOS       7ND</v>
          </cell>
        </row>
        <row r="34637">
          <cell r="B34637" t="str">
            <v>85010630003303</v>
          </cell>
          <cell r="C34637" t="str">
            <v>IMY E FIDEICOMISO CECOM OLGUIN - FLUJOS 7ND</v>
          </cell>
        </row>
        <row r="34638">
          <cell r="B34638" t="str">
            <v>85010631003303</v>
          </cell>
          <cell r="C34638" t="str">
            <v>IMY E FIDEICOMISO RIO AUSTRAL - FLUJOS  7ND</v>
          </cell>
        </row>
        <row r="34639">
          <cell r="B34639" t="str">
            <v>85010632003303</v>
          </cell>
          <cell r="C34639" t="str">
            <v>IMY E FIDEICOMISO RIO MANTO - FLUJOS    7ND</v>
          </cell>
        </row>
        <row r="34640">
          <cell r="B34640" t="str">
            <v>85010633003303</v>
          </cell>
          <cell r="C34640" t="str">
            <v>IMY E FIDEICOMISO ROLANDON CESPEDES - FL7ND</v>
          </cell>
        </row>
        <row r="34641">
          <cell r="B34641" t="str">
            <v>85010634003303</v>
          </cell>
          <cell r="C34641" t="str">
            <v>IMY E FIDEICOMISO QUIMERA- FLUJOS       7ND</v>
          </cell>
        </row>
        <row r="34642">
          <cell r="B34642" t="str">
            <v>85010636003303</v>
          </cell>
          <cell r="C34642" t="str">
            <v>IMY E FIDEICOMISOÂ  TEKTON              7ND</v>
          </cell>
        </row>
        <row r="34643">
          <cell r="B34643" t="str">
            <v>85010637003303</v>
          </cell>
          <cell r="C34643" t="str">
            <v>IME ADP GARANTÃA                       7ND</v>
          </cell>
        </row>
        <row r="34644">
          <cell r="B34644" t="str">
            <v>85010638003303</v>
          </cell>
          <cell r="C34644" t="str">
            <v>IME BETANIA GARANTÃA                   7ND</v>
          </cell>
        </row>
        <row r="34645">
          <cell r="B34645" t="str">
            <v>85010639003303</v>
          </cell>
          <cell r="C34645" t="str">
            <v>IME BRYSON HILLS SEGUNDA ETAPA GARANTIA 7ND</v>
          </cell>
        </row>
        <row r="34646">
          <cell r="B34646" t="str">
            <v>85010640003303</v>
          </cell>
          <cell r="C34646" t="str">
            <v>IME CECOM OLGUIN GARANTIA               7ND</v>
          </cell>
        </row>
        <row r="34647">
          <cell r="B34647" t="str">
            <v>85010641003303</v>
          </cell>
          <cell r="C34647" t="str">
            <v>IME DEMEGA GARANTÃA                    7ND</v>
          </cell>
        </row>
        <row r="34648">
          <cell r="B34648" t="str">
            <v>85010642003303</v>
          </cell>
          <cell r="C34648" t="str">
            <v>IME FIDEICOMISO ALPAMARCA GARANTIA      7ND</v>
          </cell>
        </row>
        <row r="34649">
          <cell r="B34649" t="str">
            <v>85010643003303</v>
          </cell>
          <cell r="C34649" t="str">
            <v>IME FIDEICOMISO EFESO GARANTÃA         7ND</v>
          </cell>
        </row>
        <row r="34650">
          <cell r="B34650" t="str">
            <v>85010644003303</v>
          </cell>
          <cell r="C34650" t="str">
            <v>IME INMUEBLES COMERCIALES DEL PERU GARAN7ND</v>
          </cell>
        </row>
        <row r="34651">
          <cell r="B34651" t="str">
            <v>85010645003303</v>
          </cell>
          <cell r="C34651" t="str">
            <v>IME INNOVA SCHOOLS II GARANTÃA         7ND</v>
          </cell>
        </row>
        <row r="34652">
          <cell r="B34652" t="str">
            <v>85010646003303</v>
          </cell>
          <cell r="C34652" t="str">
            <v>IME JARDINES DE LA LUZ GARANTIA         7ND</v>
          </cell>
        </row>
        <row r="34653">
          <cell r="B34653" t="str">
            <v>85010647003303</v>
          </cell>
          <cell r="C34653" t="str">
            <v>IME JOYERÃA ALDO GARANTÃA             7ND</v>
          </cell>
        </row>
        <row r="34654">
          <cell r="B34654" t="str">
            <v>85010648003303</v>
          </cell>
          <cell r="C34654" t="str">
            <v>IME PORTALIA GARANTÃA                  7ND</v>
          </cell>
        </row>
        <row r="34655">
          <cell r="B34655" t="str">
            <v>85010649003303</v>
          </cell>
          <cell r="C34655" t="str">
            <v>IME INNOVA SCHOOLSÂ  GARANTÃA          7ND</v>
          </cell>
        </row>
        <row r="34656">
          <cell r="B34656" t="str">
            <v>85010650003303</v>
          </cell>
          <cell r="C34656" t="str">
            <v>IME SHAMROCKÂ  GARANTÃA                7ND</v>
          </cell>
        </row>
        <row r="34657">
          <cell r="B34657" t="str">
            <v>85010651003303</v>
          </cell>
          <cell r="C34657" t="str">
            <v>IME DESIGNERSÂ  GARANTÃA               7ND</v>
          </cell>
        </row>
        <row r="34658">
          <cell r="B34658" t="str">
            <v>85010652003303</v>
          </cell>
          <cell r="C34658" t="str">
            <v>IME IERSA GARANTIA                      7ND</v>
          </cell>
        </row>
        <row r="34659">
          <cell r="B34659" t="str">
            <v>85010653003303</v>
          </cell>
          <cell r="C34659" t="str">
            <v>IME CONSORCIO FRAP                      7ND</v>
          </cell>
        </row>
        <row r="34660">
          <cell r="B34660" t="str">
            <v>85010654003303</v>
          </cell>
          <cell r="C34660" t="str">
            <v>IME ALBAMAR                             7ND</v>
          </cell>
        </row>
        <row r="34661">
          <cell r="B34661" t="str">
            <v>85010654003304</v>
          </cell>
          <cell r="C34661" t="str">
            <v>IME JJC EDIFICACION                     7ND</v>
          </cell>
        </row>
        <row r="34662">
          <cell r="B34662" t="str">
            <v>85010654003305</v>
          </cell>
          <cell r="C34662" t="str">
            <v>IME ALTA VIDDA                          7ND</v>
          </cell>
        </row>
        <row r="34663">
          <cell r="B34663" t="str">
            <v>85010655003303</v>
          </cell>
          <cell r="C34663" t="str">
            <v>IME 911 IT GROUP                        7ND</v>
          </cell>
        </row>
        <row r="34664">
          <cell r="B34664" t="str">
            <v>85010656003303</v>
          </cell>
          <cell r="C34664" t="str">
            <v>IME INTERMODAL                          7ND</v>
          </cell>
        </row>
        <row r="34665">
          <cell r="B34665" t="str">
            <v>85010657003303</v>
          </cell>
          <cell r="C34665" t="str">
            <v>IME NURIA NVG                           7ND</v>
          </cell>
        </row>
        <row r="34666">
          <cell r="B34666" t="str">
            <v>85010658003303</v>
          </cell>
          <cell r="C34666" t="str">
            <v>IME COMPAÃ‘ÃA INMOBILIARIA PARACAS     7ND</v>
          </cell>
        </row>
        <row r="34667">
          <cell r="B34667" t="str">
            <v>85010659003303</v>
          </cell>
          <cell r="C34667" t="str">
            <v>IME JJCE CREDICORP ACTIVOS              7ND</v>
          </cell>
        </row>
        <row r="34668">
          <cell r="B34668" t="str">
            <v>85010660003303</v>
          </cell>
          <cell r="C34668" t="str">
            <v>IME SAVAR AGENTES DE ADUANA             7ND</v>
          </cell>
        </row>
        <row r="34669">
          <cell r="B34669" t="str">
            <v>85010661003303</v>
          </cell>
          <cell r="C34669" t="str">
            <v>IME INMOBILIARIA GALVANI                7ND</v>
          </cell>
        </row>
        <row r="34670">
          <cell r="B34670" t="str">
            <v>85010662003303</v>
          </cell>
          <cell r="C34670" t="str">
            <v>IME JACOBO BLUFSTEIN                    7ND</v>
          </cell>
        </row>
        <row r="34671">
          <cell r="B34671" t="str">
            <v>85010663003303</v>
          </cell>
          <cell r="C34671" t="str">
            <v>IME NATHAN BLUFSTEIN                    7ND</v>
          </cell>
        </row>
        <row r="34672">
          <cell r="B34672" t="str">
            <v>85010664003303</v>
          </cell>
          <cell r="C34672" t="str">
            <v>IME ALBAURBE- BOLIVAR                   7ND</v>
          </cell>
        </row>
        <row r="34673">
          <cell r="B34673" t="str">
            <v>85010665003303</v>
          </cell>
          <cell r="C34673" t="str">
            <v>IME SAVAR AGENTES DE ADUANA II          7ND</v>
          </cell>
        </row>
        <row r="34674">
          <cell r="B34674" t="str">
            <v>85010666003303</v>
          </cell>
          <cell r="C34674" t="str">
            <v>IME INNOVA SCHOOLS III GARANTÃA        7ND</v>
          </cell>
        </row>
        <row r="34675">
          <cell r="B34675" t="str">
            <v>85010667003303</v>
          </cell>
          <cell r="C34675" t="str">
            <v>IME SAN JUAN BAUTISTAÂ  GARANTIA        7ND</v>
          </cell>
        </row>
        <row r="34676">
          <cell r="B34676" t="str">
            <v>85010668003303</v>
          </cell>
          <cell r="C34676" t="str">
            <v>IME GRAMBSÂ                             7ND</v>
          </cell>
        </row>
        <row r="34677">
          <cell r="B34677" t="str">
            <v>85010669003303</v>
          </cell>
          <cell r="C34677" t="str">
            <v>IME ABUDAYEH ACTIVOSÂ                   7ND</v>
          </cell>
        </row>
        <row r="34678">
          <cell r="B34678" t="str">
            <v>85010800000101</v>
          </cell>
          <cell r="C34678" t="str">
            <v>Prenda civil sobre marca Rango 1        7ND</v>
          </cell>
        </row>
        <row r="34679">
          <cell r="B34679" t="str">
            <v>85010800000102</v>
          </cell>
          <cell r="C34679" t="str">
            <v>Prenda Industrial Rango 1               7ND</v>
          </cell>
        </row>
        <row r="34680">
          <cell r="B34680" t="str">
            <v>85010800000103</v>
          </cell>
          <cell r="C34680" t="str">
            <v>Prenda vehicular Rango 1                7ND</v>
          </cell>
        </row>
        <row r="34681">
          <cell r="B34681" t="str">
            <v>85010800000104</v>
          </cell>
          <cell r="C34681" t="str">
            <v>Hipoteca Inmueble Rango 1               7ND</v>
          </cell>
        </row>
        <row r="34682">
          <cell r="B34682" t="str">
            <v>85010800000105</v>
          </cell>
          <cell r="C34682" t="str">
            <v>Hipoteca Inmueble Rango 2               7ND</v>
          </cell>
        </row>
        <row r="34683">
          <cell r="B34683" t="str">
            <v>85010800000106</v>
          </cell>
          <cell r="C34683" t="str">
            <v>CTRACTA ACC GARANTIA NO PREFERIDA       7ND</v>
          </cell>
        </row>
        <row r="34684">
          <cell r="B34684" t="str">
            <v>85010900003301</v>
          </cell>
          <cell r="C34684" t="str">
            <v>INMUEBLE MAQ Y EQUIPO-FIDEIC.PESQ.EXT   7ND</v>
          </cell>
        </row>
        <row r="34685">
          <cell r="B34685" t="str">
            <v>85010900003303</v>
          </cell>
          <cell r="C34685" t="str">
            <v>MOB.Y EQUIPO-FIDEICOMISO EXTRACTIVA     7ND</v>
          </cell>
        </row>
        <row r="34686">
          <cell r="B34686" t="str">
            <v>85011000001004</v>
          </cell>
          <cell r="C34686" t="str">
            <v>CAJA - FIDEICOMISO TARGA                7ND</v>
          </cell>
        </row>
        <row r="34687">
          <cell r="B34687" t="str">
            <v>85011000003303</v>
          </cell>
          <cell r="C34687" t="str">
            <v>MOB.Y EQUIPO-FIDEICOMISO TARGA          7ND</v>
          </cell>
        </row>
        <row r="34688">
          <cell r="B34688" t="str">
            <v>85011300003303</v>
          </cell>
          <cell r="C34688" t="str">
            <v>MOB.Y EQUIPO-FIDEICOMISO USIL           7ND</v>
          </cell>
        </row>
        <row r="34689">
          <cell r="B34689" t="str">
            <v>85011500001004</v>
          </cell>
          <cell r="C34689" t="str">
            <v>CAJA - FIDEICOMISO SOCIAL BAYOVAR       7ND</v>
          </cell>
        </row>
        <row r="34690">
          <cell r="B34690" t="str">
            <v>85011600003303</v>
          </cell>
          <cell r="C34690" t="str">
            <v>MOB.Y EQUIPO-FIDEICOMISO PUNTA TUR I    7ND</v>
          </cell>
        </row>
        <row r="34691">
          <cell r="B34691" t="str">
            <v>85011700003303</v>
          </cell>
          <cell r="C34691" t="str">
            <v>MOB.Y EQUIPO-FIDEICOMISO PIANGESA       7ND</v>
          </cell>
        </row>
        <row r="34692">
          <cell r="B34692" t="str">
            <v>85011800001004</v>
          </cell>
          <cell r="C34692" t="str">
            <v>CAJA - FIDEICOMISO AMBIENTAL            7ND</v>
          </cell>
        </row>
        <row r="34693">
          <cell r="B34693" t="str">
            <v>85011900001004</v>
          </cell>
          <cell r="C34693" t="str">
            <v>CAJA - FIDEICOMISO LA GRANJA            7ND</v>
          </cell>
        </row>
        <row r="34694">
          <cell r="B34694" t="str">
            <v>85011900003301</v>
          </cell>
          <cell r="C34694" t="str">
            <v>INVERSIONES - FIDEICOMISO LA GRANJA     7ND</v>
          </cell>
        </row>
        <row r="34695">
          <cell r="B34695" t="str">
            <v>85012000001004</v>
          </cell>
          <cell r="C34695" t="str">
            <v>CAJA - FIDEICOMISO ALTO CHICAMA         7ND</v>
          </cell>
        </row>
        <row r="34696">
          <cell r="B34696" t="str">
            <v>85012100001004</v>
          </cell>
          <cell r="C34696" t="str">
            <v>CAJA - FIDEICOMISO CORMIN               7ND</v>
          </cell>
        </row>
        <row r="34697">
          <cell r="B34697" t="str">
            <v>85012100001608</v>
          </cell>
          <cell r="C34697" t="str">
            <v>CUENTAS POR COBRAR-FIDEICOMISO CORMIN   7ND</v>
          </cell>
        </row>
        <row r="34698">
          <cell r="B34698" t="str">
            <v>85012300003301</v>
          </cell>
          <cell r="C34698" t="str">
            <v>MOB.Y EQUIPO-FIDEICOMISO NUMERA         7ND</v>
          </cell>
        </row>
        <row r="34699">
          <cell r="B34699" t="str">
            <v>85012400003301</v>
          </cell>
          <cell r="C34699" t="str">
            <v>MOB.Y EQUIPO-FIDEICOMISO PUNTA TUR 2    7ND</v>
          </cell>
        </row>
        <row r="34700">
          <cell r="B34700" t="str">
            <v>85012600003301</v>
          </cell>
          <cell r="C34700" t="str">
            <v>MOB.Y EQUIPO-FIDEICOMISO SIPESA II      7ND</v>
          </cell>
        </row>
        <row r="34701">
          <cell r="B34701" t="str">
            <v>85012700001004</v>
          </cell>
          <cell r="C34701" t="str">
            <v>CAJA-FIDEICOMISO BCI                    7ND</v>
          </cell>
        </row>
        <row r="34702">
          <cell r="B34702" t="str">
            <v>85012700001608</v>
          </cell>
          <cell r="C34702" t="str">
            <v>CUENTAS POR COBRAR-FIDEICOMISO BCI -    7ND</v>
          </cell>
        </row>
        <row r="34703">
          <cell r="B34703" t="str">
            <v>85012800001004</v>
          </cell>
          <cell r="C34703" t="str">
            <v>CAJA-FIDEICOMISO REP                    7ND</v>
          </cell>
        </row>
        <row r="34704">
          <cell r="B34704" t="str">
            <v>85012800001608</v>
          </cell>
          <cell r="C34704" t="str">
            <v>CTAS POR COBRAR FIDEICOMISO REP         7ND</v>
          </cell>
        </row>
        <row r="34705">
          <cell r="B34705" t="str">
            <v>85013100001004</v>
          </cell>
          <cell r="C34705" t="str">
            <v>CAJA - FIDEICOMISO - MLM                7ND</v>
          </cell>
        </row>
        <row r="34706">
          <cell r="B34706" t="str">
            <v>85013100003301</v>
          </cell>
          <cell r="C34706" t="str">
            <v>INVERSIONES - FIDEICOMISO - MLM         7ND</v>
          </cell>
        </row>
        <row r="34707">
          <cell r="B34707" t="str">
            <v>85013400001004</v>
          </cell>
          <cell r="C34707" t="str">
            <v>CAJA-FIDEICOMISO THUNDERBIRD            7ND</v>
          </cell>
        </row>
        <row r="34708">
          <cell r="B34708" t="str">
            <v>85013400003301</v>
          </cell>
          <cell r="C34708" t="str">
            <v>INVERSIONES - FIDEICOMISO - THUNDERB    7ND</v>
          </cell>
        </row>
        <row r="34709">
          <cell r="B34709" t="str">
            <v>85013500001004</v>
          </cell>
          <cell r="C34709" t="str">
            <v>CAJA FIIDEICOMISO - AEROPUERTOS         7ND</v>
          </cell>
        </row>
        <row r="34710">
          <cell r="B34710" t="str">
            <v>85013500001608</v>
          </cell>
          <cell r="C34710" t="str">
            <v>CTA POR COBRAR - FIDEICOMISO AEROPUE    7ND</v>
          </cell>
        </row>
        <row r="34711">
          <cell r="B34711" t="str">
            <v>85013600001004</v>
          </cell>
          <cell r="C34711" t="str">
            <v>CAJA-FIDEICOMISO APORTE MINERO YANAC    7ND</v>
          </cell>
        </row>
        <row r="34712">
          <cell r="B34712" t="str">
            <v>85013600001608</v>
          </cell>
          <cell r="C34712" t="str">
            <v>CUENTAS POR COBRAR-FIDEICOMISO -YANA    7ND</v>
          </cell>
        </row>
        <row r="34713">
          <cell r="B34713" t="str">
            <v>85013600003301</v>
          </cell>
          <cell r="C34713" t="str">
            <v>INVERSIONES FIDEICOMISO APORTE MINE Y   7ND</v>
          </cell>
        </row>
        <row r="34714">
          <cell r="B34714" t="str">
            <v>85013700001004</v>
          </cell>
          <cell r="C34714" t="str">
            <v>CAJA FIIDEICOMISO - ANGELES SAAVEDRA    7ND</v>
          </cell>
        </row>
        <row r="34715">
          <cell r="B34715" t="str">
            <v>85013700001608</v>
          </cell>
          <cell r="C34715" t="str">
            <v>CXC - FIDEICOMISO  - ANGELES SAAVEDRA   7ND</v>
          </cell>
        </row>
        <row r="34716">
          <cell r="B34716" t="str">
            <v>85013700003301</v>
          </cell>
          <cell r="C34716" t="str">
            <v>INVERSIONES FIIDEICOMISO - ANGELES S    7ND</v>
          </cell>
        </row>
        <row r="34717">
          <cell r="B34717" t="str">
            <v>85013800003301</v>
          </cell>
          <cell r="C34717" t="str">
            <v>INVERSIONES - FIDEC.SUPERFISH GTIA      7ND</v>
          </cell>
        </row>
        <row r="34718">
          <cell r="B34718" t="str">
            <v>85013800003303</v>
          </cell>
          <cell r="C34718" t="str">
            <v>INM Y MOB - FIDEIC.SUPERFISH GTIA       7ND</v>
          </cell>
        </row>
        <row r="34719">
          <cell r="B34719" t="str">
            <v>85013900001004</v>
          </cell>
          <cell r="C34719" t="str">
            <v>CAJA- FIDEIC. SUPERFISH FLUJOS          7ND</v>
          </cell>
        </row>
        <row r="34720">
          <cell r="B34720" t="str">
            <v>85014000001004</v>
          </cell>
          <cell r="C34720" t="str">
            <v>CAJA- FIDEIC. ARZOBISPADO DEL CUSCO     7ND</v>
          </cell>
        </row>
        <row r="34721">
          <cell r="B34721" t="str">
            <v>85014100001004</v>
          </cell>
          <cell r="C34721" t="str">
            <v>CAJA-FIDEICOMISO LOS VIÃ‘EDOS           7ND</v>
          </cell>
        </row>
        <row r="34722">
          <cell r="B34722" t="str">
            <v>85014200001004</v>
          </cell>
          <cell r="C34722" t="str">
            <v>CAJA- RIO CHILLON                       7ND</v>
          </cell>
        </row>
        <row r="34723">
          <cell r="B34723" t="str">
            <v>85014200003303</v>
          </cell>
          <cell r="C34723" t="str">
            <v>ACTIVOS FIJOS- RIO CHILLON              7ND</v>
          </cell>
        </row>
        <row r="34724">
          <cell r="B34724" t="str">
            <v>85014300001004</v>
          </cell>
          <cell r="C34724" t="str">
            <v>CAJA - FIDEICOMISO APC                  7ND</v>
          </cell>
        </row>
        <row r="34725">
          <cell r="B34725" t="str">
            <v>85014400001004</v>
          </cell>
          <cell r="C34725" t="str">
            <v>CAJA - FIDEICOMISO SEDACA               7ND</v>
          </cell>
        </row>
        <row r="34726">
          <cell r="B34726" t="str">
            <v>85014400001608</v>
          </cell>
          <cell r="C34726" t="str">
            <v>CUENTAS POR COBRAR-FIDEICOMISO SEDACA   7ND</v>
          </cell>
        </row>
        <row r="34727">
          <cell r="B34727" t="str">
            <v>85014400003301</v>
          </cell>
          <cell r="C34727" t="str">
            <v>INVERSIONES - FIDEICOMISO  - SEDACAJ    7ND</v>
          </cell>
        </row>
        <row r="34728">
          <cell r="B34728" t="str">
            <v>85014600001004</v>
          </cell>
          <cell r="C34728" t="str">
            <v>CAJA - FIDEICOMISO LAS BAMBAS           7ND</v>
          </cell>
        </row>
        <row r="34729">
          <cell r="B34729" t="str">
            <v>85014600001608</v>
          </cell>
          <cell r="C34729" t="str">
            <v>CUENTAS POR COBRAR - FIDEICOMISO LAS BAM7ND</v>
          </cell>
        </row>
        <row r="34730">
          <cell r="B34730" t="str">
            <v>85014600003301</v>
          </cell>
          <cell r="C34730" t="str">
            <v>INVERSIONES - FIDEICOMISO LAS BAMBAS    7ND</v>
          </cell>
        </row>
        <row r="34731">
          <cell r="B34731" t="str">
            <v>85014700003303</v>
          </cell>
          <cell r="C34731" t="str">
            <v>MOB. Y EQUIPO - FIDEICOMISO BIG GREEN   7ND</v>
          </cell>
        </row>
        <row r="34732">
          <cell r="B34732" t="str">
            <v>85014800001004</v>
          </cell>
          <cell r="C34732" t="str">
            <v>CAJA - FIDEICOMISO COOPAC               7ND</v>
          </cell>
        </row>
        <row r="34733">
          <cell r="B34733" t="str">
            <v>85014800001608</v>
          </cell>
          <cell r="C34733" t="str">
            <v>CUENTAS POR COBRAR - FIDEICOMISO COOP   7ND</v>
          </cell>
        </row>
        <row r="34734">
          <cell r="B34734" t="str">
            <v>85014900001004</v>
          </cell>
          <cell r="C34734" t="str">
            <v>CAJA - FIDEICOMISO RIO TINTO LA GRANJA  7ND</v>
          </cell>
        </row>
        <row r="34735">
          <cell r="B34735" t="str">
            <v>85014900001608</v>
          </cell>
          <cell r="C34735" t="str">
            <v>CUENTAS POR COBRAR - FIDEICOMISO RIO TIN7ND</v>
          </cell>
        </row>
        <row r="34736">
          <cell r="B34736" t="str">
            <v>85014900003301</v>
          </cell>
          <cell r="C34736" t="str">
            <v>INVERSIONES - FIDEICOMISO RIO TINTO LA G7ND</v>
          </cell>
        </row>
        <row r="34737">
          <cell r="B34737" t="str">
            <v>85015000001004</v>
          </cell>
          <cell r="C34737" t="str">
            <v>CAJA - FIDEICOMISO PERUBAR              7ND</v>
          </cell>
        </row>
        <row r="34738">
          <cell r="B34738" t="str">
            <v>85015000001608</v>
          </cell>
          <cell r="C34738" t="str">
            <v>CUENTAS POR COBRAR - PERUBAR            7ND</v>
          </cell>
        </row>
        <row r="34739">
          <cell r="B34739" t="str">
            <v>85015000003301</v>
          </cell>
          <cell r="C34739" t="str">
            <v>INVERSIONES - FIDEICOMISO PERUBAR       7ND</v>
          </cell>
        </row>
        <row r="34740">
          <cell r="B34740" t="str">
            <v>85015000003303</v>
          </cell>
          <cell r="C34740" t="str">
            <v>MOB. Y EQUIPO - FIDEICOMISO PERUBAR     7ND</v>
          </cell>
        </row>
        <row r="34741">
          <cell r="B34741" t="str">
            <v>85015100001004</v>
          </cell>
          <cell r="C34741" t="str">
            <v>CAJA - FIDEICOMISO JOCKEY PLAZA SHOPPING7ND</v>
          </cell>
        </row>
        <row r="34742">
          <cell r="B34742" t="str">
            <v>85016100001004</v>
          </cell>
          <cell r="C34742" t="str">
            <v>CAJA Y BANCOS -FIDEICOMISO CLUSTER MINER7ND</v>
          </cell>
        </row>
        <row r="34743">
          <cell r="B34743" t="str">
            <v>85016200001004</v>
          </cell>
          <cell r="C34743" t="str">
            <v>CAJA Y BANCOS -FIDEICOMISO NEOANDINA    7ND</v>
          </cell>
        </row>
        <row r="34744">
          <cell r="B34744" t="str">
            <v>85016300001004</v>
          </cell>
          <cell r="C34744" t="str">
            <v>FIDEICOMISO Danper GNB                  7ND</v>
          </cell>
        </row>
        <row r="34745">
          <cell r="B34745" t="str">
            <v>85016300001005</v>
          </cell>
          <cell r="C34745" t="str">
            <v>IMY E FIDEICOMISO MOLINERA- FLUJOS      7ND</v>
          </cell>
        </row>
        <row r="34746">
          <cell r="B34746" t="str">
            <v>85016300001009</v>
          </cell>
          <cell r="C34746" t="str">
            <v>IME SUMA                                7ND</v>
          </cell>
        </row>
        <row r="34747">
          <cell r="B34747" t="str">
            <v>85016300001010</v>
          </cell>
          <cell r="C34747" t="str">
            <v>CAJA CIUDARIS FLUJOS                    7ND</v>
          </cell>
        </row>
        <row r="34748">
          <cell r="B34748" t="str">
            <v>85016300001011</v>
          </cell>
          <cell r="C34748" t="str">
            <v>IME ESTUDIO DHC                         7ND</v>
          </cell>
        </row>
        <row r="34749">
          <cell r="B34749" t="str">
            <v>85016300001012</v>
          </cell>
          <cell r="C34749" t="str">
            <v>IMY E FIDEICOMISO BRYSON TERCERA        7ND</v>
          </cell>
        </row>
        <row r="34750">
          <cell r="B34750" t="str">
            <v>85016300001013</v>
          </cell>
          <cell r="C34750" t="str">
            <v>CAJA PATRIMONIO FIDEICOMETIDO GEOHIDRAUL7ND</v>
          </cell>
        </row>
        <row r="34751">
          <cell r="B34751" t="str">
            <v>85016300001016</v>
          </cell>
          <cell r="C34751" t="str">
            <v>CXC - FIDEICOMISO  - CASITA DE COLCA FLU7 D</v>
          </cell>
        </row>
        <row r="34752">
          <cell r="B34752" t="str">
            <v>85016300001017</v>
          </cell>
          <cell r="C34752" t="str">
            <v>IMY E CASITA DE COLCA FLUJOS            7 D</v>
          </cell>
        </row>
        <row r="34753">
          <cell r="B34753" t="str">
            <v>85016300001018</v>
          </cell>
          <cell r="C34753" t="str">
            <v>CXC - FIDEICOMISO MUNI.PROV.AREQUIPA    7 D</v>
          </cell>
        </row>
        <row r="34754">
          <cell r="B34754" t="str">
            <v>85016300001019</v>
          </cell>
          <cell r="C34754" t="str">
            <v>INVERSIONES - FIDEICOMISO MUNI.PROV.AREQ7 D</v>
          </cell>
        </row>
        <row r="34755">
          <cell r="B34755" t="str">
            <v>85030000000301</v>
          </cell>
          <cell r="C34755" t="str">
            <v>REGISTRO NO ASENTADOS                   7ND</v>
          </cell>
        </row>
        <row r="34756">
          <cell r="B34756" t="str">
            <v>85030000006706</v>
          </cell>
          <cell r="C34756" t="str">
            <v>PERDIDA POR DIFERENCIA DE CAMBIO        7ND</v>
          </cell>
        </row>
        <row r="34757">
          <cell r="B34757" t="str">
            <v>85080000000110</v>
          </cell>
          <cell r="C34757" t="str">
            <v>GEF - CAJA                              7ND</v>
          </cell>
        </row>
        <row r="34758">
          <cell r="B34758" t="str">
            <v>85080000000112</v>
          </cell>
          <cell r="C34758" t="str">
            <v>GEF - CTAS POR COBRAR                   7ND</v>
          </cell>
        </row>
        <row r="34759">
          <cell r="B34759" t="str">
            <v>85080000000131</v>
          </cell>
          <cell r="C34759" t="str">
            <v>GEF - VALORES RTA.FIJA                  7ND</v>
          </cell>
        </row>
        <row r="34760">
          <cell r="B34760" t="str">
            <v>85080000000132</v>
          </cell>
          <cell r="C34760" t="str">
            <v>GEF - VALORES RTA.VAR                   7ND</v>
          </cell>
        </row>
        <row r="34761">
          <cell r="B34761" t="str">
            <v>85080000000133</v>
          </cell>
          <cell r="C34761" t="str">
            <v>GR TARUCA                               7ND</v>
          </cell>
        </row>
        <row r="34762">
          <cell r="B34762" t="str">
            <v>85080000000134</v>
          </cell>
          <cell r="C34762" t="str">
            <v>GR PAINOÂ                               7ND</v>
          </cell>
        </row>
        <row r="34763">
          <cell r="B34763" t="str">
            <v>85080000000210</v>
          </cell>
          <cell r="C34763" t="str">
            <v>GPAN - CAJA                             7ND</v>
          </cell>
        </row>
        <row r="34764">
          <cell r="B34764" t="str">
            <v>85080000000212</v>
          </cell>
          <cell r="C34764" t="str">
            <v>GPAN - CTAS POR COBRAR                  7ND</v>
          </cell>
        </row>
        <row r="34765">
          <cell r="B34765" t="str">
            <v>85080000000231</v>
          </cell>
          <cell r="C34765" t="str">
            <v>GPAN - VALORES RTA.FIJA                 7ND</v>
          </cell>
        </row>
        <row r="34766">
          <cell r="B34766" t="str">
            <v>85080000000232</v>
          </cell>
          <cell r="C34766" t="str">
            <v>GPAN - VALORES RTA.VAR                  7ND</v>
          </cell>
        </row>
        <row r="34767">
          <cell r="B34767" t="str">
            <v>85080000000310</v>
          </cell>
          <cell r="C34767" t="str">
            <v>FOSERSOE1 - CAJA                        7ND</v>
          </cell>
        </row>
        <row r="34768">
          <cell r="B34768" t="str">
            <v>85080000000312</v>
          </cell>
          <cell r="C34768" t="str">
            <v>FOSERSOE1 - CTAS X COBRAR               7ND</v>
          </cell>
        </row>
        <row r="34769">
          <cell r="B34769" t="str">
            <v>85080000000331</v>
          </cell>
          <cell r="C34769" t="str">
            <v>FOSERSOE1 - VAL RTA.FIJA                7ND</v>
          </cell>
        </row>
        <row r="34770">
          <cell r="B34770" t="str">
            <v>85080000000332</v>
          </cell>
          <cell r="C34770" t="str">
            <v>FOSERSOE1 - VAL RTA.VAR                 7ND</v>
          </cell>
        </row>
        <row r="34771">
          <cell r="B34771" t="str">
            <v>85080000000410</v>
          </cell>
          <cell r="C34771" t="str">
            <v>FOSERSOE2 - CAJA                        7ND</v>
          </cell>
        </row>
        <row r="34772">
          <cell r="B34772" t="str">
            <v>85080000000412</v>
          </cell>
          <cell r="C34772" t="str">
            <v>FOSERSOE2 - CTAS X COBRAR               7ND</v>
          </cell>
        </row>
        <row r="34773">
          <cell r="B34773" t="str">
            <v>85080000000431</v>
          </cell>
          <cell r="C34773" t="str">
            <v>FOSERSOE2 - VAL RTA.FIJA                7ND</v>
          </cell>
        </row>
        <row r="34774">
          <cell r="B34774" t="str">
            <v>85080000000432</v>
          </cell>
          <cell r="C34774" t="str">
            <v>FOSERSOE2 - VAL RTA.VAR                 7ND</v>
          </cell>
        </row>
        <row r="34775">
          <cell r="B34775" t="str">
            <v>85080000000510</v>
          </cell>
          <cell r="C34775" t="str">
            <v>HELVIA BARREDA - CAJA                   7ND</v>
          </cell>
        </row>
        <row r="34776">
          <cell r="B34776" t="str">
            <v>85080000000512</v>
          </cell>
          <cell r="C34776" t="str">
            <v>HELVIA BARREDA - CTAS X COBRAR          7ND</v>
          </cell>
        </row>
        <row r="34777">
          <cell r="B34777" t="str">
            <v>85080000000531</v>
          </cell>
          <cell r="C34777" t="str">
            <v>HELVIA BARREDA - VAL RTA.FIJA           7ND</v>
          </cell>
        </row>
        <row r="34778">
          <cell r="B34778" t="str">
            <v>85080000000610</v>
          </cell>
          <cell r="C34778" t="str">
            <v>FOSERSOE3 - CAJA                        7ND</v>
          </cell>
        </row>
        <row r="34779">
          <cell r="B34779" t="str">
            <v>85080000000612</v>
          </cell>
          <cell r="C34779" t="str">
            <v>FOSERSOE3 - CTAS X COBRAR               7ND</v>
          </cell>
        </row>
        <row r="34780">
          <cell r="B34780" t="str">
            <v>85080000000631</v>
          </cell>
          <cell r="C34780" t="str">
            <v>FOSERSOE3 - VAL RTA.FIJA                7ND</v>
          </cell>
        </row>
        <row r="34781">
          <cell r="B34781" t="str">
            <v>85080000000632</v>
          </cell>
          <cell r="C34781" t="str">
            <v>FOSERSOE3 - VAL RTA. VAR                7ND</v>
          </cell>
        </row>
        <row r="34782">
          <cell r="B34782" t="str">
            <v>85080000000710</v>
          </cell>
          <cell r="C34782" t="str">
            <v>BANMAT - CAJA                           7ND</v>
          </cell>
        </row>
        <row r="34783">
          <cell r="B34783" t="str">
            <v>85080000000712</v>
          </cell>
          <cell r="C34783" t="str">
            <v>BANMAT - CTAS X COBRAR                  7ND</v>
          </cell>
        </row>
        <row r="34784">
          <cell r="B34784" t="str">
            <v>85080000000731</v>
          </cell>
          <cell r="C34784" t="str">
            <v>BANMAT - VAL RTA.FIJA                   7ND</v>
          </cell>
        </row>
        <row r="34785">
          <cell r="B34785" t="str">
            <v>85080000000810</v>
          </cell>
          <cell r="C34785" t="str">
            <v>FOSERSOE 4 - CAJA                       7ND</v>
          </cell>
        </row>
        <row r="34786">
          <cell r="B34786" t="str">
            <v>85080000000812</v>
          </cell>
          <cell r="C34786" t="str">
            <v>FOSERSOE 4 - CTAS X COBRAR              7ND</v>
          </cell>
        </row>
        <row r="34787">
          <cell r="B34787" t="str">
            <v>85080000000831</v>
          </cell>
          <cell r="C34787" t="str">
            <v>FOSERSOE 4 - VAL RTA.FIJA               7ND</v>
          </cell>
        </row>
        <row r="34788">
          <cell r="B34788" t="str">
            <v>85080000000832</v>
          </cell>
          <cell r="C34788" t="str">
            <v>FOSERSOE 4 - VAL RTA.VAR                7ND</v>
          </cell>
        </row>
        <row r="34789">
          <cell r="B34789" t="str">
            <v>85080000000910</v>
          </cell>
          <cell r="C34789" t="str">
            <v>FAE 1 - CAJA                            7ND</v>
          </cell>
        </row>
        <row r="34790">
          <cell r="B34790" t="str">
            <v>85080000000912</v>
          </cell>
          <cell r="C34790" t="str">
            <v>FAE 1 - CTAS X COBRAR                   7ND</v>
          </cell>
        </row>
        <row r="34791">
          <cell r="B34791" t="str">
            <v>85080000000931</v>
          </cell>
          <cell r="C34791" t="str">
            <v>FAE 1 - VAL RTA.FIJA                    7ND</v>
          </cell>
        </row>
        <row r="34792">
          <cell r="B34792" t="str">
            <v>85080000001110</v>
          </cell>
          <cell r="C34792" t="str">
            <v>FAE 2 - CAJA                            7ND</v>
          </cell>
        </row>
        <row r="34793">
          <cell r="B34793" t="str">
            <v>85080000001112</v>
          </cell>
          <cell r="C34793" t="str">
            <v>FAE 2 - CTA POR COBRAR                  7ND</v>
          </cell>
        </row>
        <row r="34794">
          <cell r="B34794" t="str">
            <v>85080000001131</v>
          </cell>
          <cell r="C34794" t="str">
            <v>FAE 2 - INV. RTA FIJA                   7ND</v>
          </cell>
        </row>
        <row r="34795">
          <cell r="B34795" t="str">
            <v>85080000001132</v>
          </cell>
          <cell r="C34795" t="str">
            <v>FAE 2 - INV. RTA VAR                    7ND</v>
          </cell>
        </row>
        <row r="34796">
          <cell r="B34796" t="str">
            <v>85080000001210</v>
          </cell>
          <cell r="C34796" t="str">
            <v>FSRO - CAJA                             7ND</v>
          </cell>
        </row>
        <row r="34797">
          <cell r="B34797" t="str">
            <v>85080000001212</v>
          </cell>
          <cell r="C34797" t="str">
            <v>FSRO - CTAS X COBRAR                    7ND</v>
          </cell>
        </row>
        <row r="34798">
          <cell r="B34798" t="str">
            <v>85080000001310</v>
          </cell>
          <cell r="C34798" t="str">
            <v>INTERTITULOS - CAJA                     7ND</v>
          </cell>
        </row>
        <row r="34799">
          <cell r="B34799" t="str">
            <v>85080000001312</v>
          </cell>
          <cell r="C34799" t="str">
            <v>INTERTITULOS - CTAS X COBRAR            7ND</v>
          </cell>
        </row>
        <row r="34800">
          <cell r="B34800" t="str">
            <v>85080000001331</v>
          </cell>
          <cell r="C34800" t="str">
            <v>INTERTITULOS - VAL RTA.FIJA             7ND</v>
          </cell>
        </row>
        <row r="34801">
          <cell r="B34801" t="str">
            <v>85080000001410</v>
          </cell>
          <cell r="C34801" t="str">
            <v>FERREYROS CAJA                          7ND</v>
          </cell>
        </row>
        <row r="34802">
          <cell r="B34802" t="str">
            <v>85080000001510</v>
          </cell>
          <cell r="C34802" t="str">
            <v>CFG INVESTMENT - CAJA                   7ND</v>
          </cell>
        </row>
        <row r="34803">
          <cell r="B34803" t="str">
            <v>85080000001610</v>
          </cell>
          <cell r="C34803" t="str">
            <v>PESQUERA EXALMAR - CAJA                 7ND</v>
          </cell>
        </row>
        <row r="34804">
          <cell r="B34804" t="str">
            <v>85080000001710</v>
          </cell>
          <cell r="C34804" t="str">
            <v>MINERA CASAMINAS - CAJA                 7ND</v>
          </cell>
        </row>
        <row r="34805">
          <cell r="B34805" t="str">
            <v>85080000001810</v>
          </cell>
          <cell r="C34805" t="str">
            <v>MINERA SINAYCOCHA - CAJA                7ND</v>
          </cell>
        </row>
        <row r="34806">
          <cell r="B34806" t="str">
            <v>85080000001910</v>
          </cell>
          <cell r="C34806" t="str">
            <v>PESQ. ISLA BLANCA - PATRIMONIO          7ND</v>
          </cell>
        </row>
        <row r="34807">
          <cell r="B34807" t="str">
            <v>85080000002010</v>
          </cell>
          <cell r="C34807" t="str">
            <v>FOSERECE - CAJA                         7ND</v>
          </cell>
        </row>
        <row r="34808">
          <cell r="B34808" t="str">
            <v>85080000002012</v>
          </cell>
          <cell r="C34808" t="str">
            <v>FOSERECE - CTAS X COBRAR                7ND</v>
          </cell>
        </row>
        <row r="34809">
          <cell r="B34809" t="str">
            <v>85080000002031</v>
          </cell>
          <cell r="C34809" t="str">
            <v>FOSERECE - VAL RTA.FIJA                 7ND</v>
          </cell>
        </row>
        <row r="34810">
          <cell r="B34810" t="str">
            <v>85080000002110</v>
          </cell>
          <cell r="C34810" t="str">
            <v>INTERCORP PERU LTD - CAJA               7ND</v>
          </cell>
        </row>
        <row r="34811">
          <cell r="B34811" t="str">
            <v>85080000002210</v>
          </cell>
          <cell r="C34811" t="str">
            <v>IFS-CAJA                                7ND</v>
          </cell>
        </row>
        <row r="34812">
          <cell r="B34812" t="str">
            <v>85080000002212</v>
          </cell>
          <cell r="C34812" t="str">
            <v>IFS - CTAS POR COBRAR                   7ND</v>
          </cell>
        </row>
        <row r="34813">
          <cell r="B34813" t="str">
            <v>85080000002231</v>
          </cell>
          <cell r="C34813" t="str">
            <v>IFS - VAL RTA.FIJA                      7ND</v>
          </cell>
        </row>
        <row r="34814">
          <cell r="B34814" t="str">
            <v>85080000002310</v>
          </cell>
          <cell r="C34814" t="str">
            <v>INMOBILIARIA RISCAL - CAJA              7ND</v>
          </cell>
        </row>
        <row r="34815">
          <cell r="B34815" t="str">
            <v>85080000002410</v>
          </cell>
          <cell r="C34815" t="str">
            <v>FASHION CENTER - CAJA                   7ND</v>
          </cell>
        </row>
        <row r="34816">
          <cell r="B34816" t="str">
            <v>85080000002510</v>
          </cell>
          <cell r="C34816" t="str">
            <v>FASHION CENTER - CAJA                   7ND</v>
          </cell>
        </row>
        <row r="34817">
          <cell r="B34817" t="str">
            <v>85080000002610</v>
          </cell>
          <cell r="C34817" t="str">
            <v>P.E.E.A. DOS HERMANOS - CAJA            7ND</v>
          </cell>
        </row>
        <row r="34818">
          <cell r="B34818" t="str">
            <v>85080000002710</v>
          </cell>
          <cell r="C34818" t="str">
            <v>PRODUCTOS MARINOS PACÂ¡FICO SUR - CAJ   7ND</v>
          </cell>
        </row>
        <row r="34819">
          <cell r="B34819" t="str">
            <v>85080000002810</v>
          </cell>
          <cell r="C34819" t="str">
            <v>ACE SEGUROS S.A. - CAJA                 7ND</v>
          </cell>
        </row>
        <row r="34820">
          <cell r="B34820" t="str">
            <v>85080000002812</v>
          </cell>
          <cell r="C34820" t="str">
            <v>ACE SEGUROS S.A. - CTAS X COBRAR        7ND</v>
          </cell>
        </row>
        <row r="34821">
          <cell r="B34821" t="str">
            <v>85080000002831</v>
          </cell>
          <cell r="C34821" t="str">
            <v>ACE SEGUROS S.A. - VAL RTA.FIJA         7ND</v>
          </cell>
        </row>
        <row r="34822">
          <cell r="B34822" t="str">
            <v>85080000002832</v>
          </cell>
          <cell r="C34822" t="str">
            <v>ACE SEGUROS - VAL RTA.VAR               7ND</v>
          </cell>
        </row>
        <row r="34823">
          <cell r="B34823" t="str">
            <v>85080000002910</v>
          </cell>
          <cell r="C34823" t="str">
            <v>CFG TIRADO                              7ND</v>
          </cell>
        </row>
        <row r="34824">
          <cell r="B34824" t="str">
            <v>85080000003010</v>
          </cell>
          <cell r="C34824" t="str">
            <v>CORPORACION UNO                         7ND</v>
          </cell>
        </row>
        <row r="34825">
          <cell r="B34825" t="str">
            <v>85080000003110</v>
          </cell>
          <cell r="C34825" t="str">
            <v>CMG- CAJA                               7ND</v>
          </cell>
        </row>
        <row r="34826">
          <cell r="B34826" t="str">
            <v>85080000003112</v>
          </cell>
          <cell r="C34826" t="str">
            <v>CMG - CTAS X COBRAR                     7ND</v>
          </cell>
        </row>
        <row r="34827">
          <cell r="B34827" t="str">
            <v>85080000003131</v>
          </cell>
          <cell r="C34827" t="str">
            <v>CMG - VAL RTA.FIJA                      7ND</v>
          </cell>
        </row>
        <row r="34828">
          <cell r="B34828" t="str">
            <v>85080000003132</v>
          </cell>
          <cell r="C34828" t="str">
            <v>CMG - VAL RTA.VAR                       7ND</v>
          </cell>
        </row>
        <row r="34829">
          <cell r="B34829" t="str">
            <v>85080000003210</v>
          </cell>
          <cell r="C34829" t="str">
            <v>FISSAL - CAJA                           7ND</v>
          </cell>
        </row>
        <row r="34830">
          <cell r="B34830" t="str">
            <v>85080000003212</v>
          </cell>
          <cell r="C34830" t="str">
            <v>FISSAL - CTAS X COBRAR                  7ND</v>
          </cell>
        </row>
        <row r="34831">
          <cell r="B34831" t="str">
            <v>85080000003231</v>
          </cell>
          <cell r="C34831" t="str">
            <v>FISSAL - VAL RTA.FIJA                   7ND</v>
          </cell>
        </row>
        <row r="34832">
          <cell r="B34832" t="str">
            <v>85080000003310</v>
          </cell>
          <cell r="C34832" t="str">
            <v>EPESCA PISCO                            7ND</v>
          </cell>
        </row>
        <row r="34833">
          <cell r="B34833" t="str">
            <v>85080000003410</v>
          </cell>
          <cell r="C34833" t="str">
            <v>GMP - BNP                               7ND</v>
          </cell>
        </row>
        <row r="34834">
          <cell r="B34834" t="str">
            <v>85080000003510</v>
          </cell>
          <cell r="C34834" t="str">
            <v>UNIV LIMA - CAJA                        7ND</v>
          </cell>
        </row>
        <row r="34835">
          <cell r="B34835" t="str">
            <v>85080000003512</v>
          </cell>
          <cell r="C34835" t="str">
            <v>UNIV LIMA - CTAS X COBRAR               7ND</v>
          </cell>
        </row>
        <row r="34836">
          <cell r="B34836" t="str">
            <v>85080000003531</v>
          </cell>
          <cell r="C34836" t="str">
            <v>UNIV LIMA - VAL RTA.FIJA                7ND</v>
          </cell>
        </row>
        <row r="34837">
          <cell r="B34837" t="str">
            <v>85080000003532</v>
          </cell>
          <cell r="C34837" t="str">
            <v>UNIV LIMA - VAL RTA.VAR                 7ND</v>
          </cell>
        </row>
        <row r="34838">
          <cell r="B34838" t="str">
            <v>85080000003533</v>
          </cell>
          <cell r="C34838" t="str">
            <v>CERRO PRIETO                            7ND</v>
          </cell>
        </row>
        <row r="34839">
          <cell r="B34839" t="str">
            <v>85080000003710</v>
          </cell>
          <cell r="C34839" t="str">
            <v>SCROW MAXIMO MANUEL ANGELES             7ND</v>
          </cell>
        </row>
        <row r="34840">
          <cell r="B34840" t="str">
            <v>85080000003715</v>
          </cell>
          <cell r="C34840" t="str">
            <v>MANTTO CYPCO                            7ND</v>
          </cell>
        </row>
        <row r="34841">
          <cell r="B34841" t="str">
            <v>85080000003716</v>
          </cell>
          <cell r="C34841" t="str">
            <v>IDEAS TEXTILES                          7ND</v>
          </cell>
        </row>
        <row r="34842">
          <cell r="B34842" t="str">
            <v>85080000003717</v>
          </cell>
          <cell r="C34842" t="str">
            <v>LINCUNA                                 7ND</v>
          </cell>
        </row>
        <row r="34843">
          <cell r="B34843" t="str">
            <v>85080000003718</v>
          </cell>
          <cell r="C34843" t="str">
            <v>LIMABANDA                               7ND</v>
          </cell>
        </row>
        <row r="34844">
          <cell r="B34844" t="str">
            <v>85080000003719</v>
          </cell>
          <cell r="C34844" t="str">
            <v>INTERPROPERTIES                         7ND</v>
          </cell>
        </row>
        <row r="34845">
          <cell r="B34845" t="str">
            <v>85080000003720</v>
          </cell>
          <cell r="C34845" t="str">
            <v>HSBC                                    7ND</v>
          </cell>
        </row>
        <row r="34846">
          <cell r="B34846" t="str">
            <v>85080000003721</v>
          </cell>
          <cell r="C34846" t="str">
            <v>UTP                                     7ND</v>
          </cell>
        </row>
        <row r="34847">
          <cell r="B34847" t="str">
            <v>85080000003722</v>
          </cell>
          <cell r="C34847" t="str">
            <v>COLECCIÃ“N LATINA                       7ND</v>
          </cell>
        </row>
        <row r="34848">
          <cell r="B34848" t="str">
            <v>85080000003810</v>
          </cell>
          <cell r="C34848" t="str">
            <v>AGROINDUSTRIAL BETA                     7ND</v>
          </cell>
        </row>
        <row r="34849">
          <cell r="B34849" t="str">
            <v>85080000003910</v>
          </cell>
          <cell r="C34849" t="str">
            <v>BELLAVISTA GLOBAL                       7ND</v>
          </cell>
        </row>
        <row r="34850">
          <cell r="B34850" t="str">
            <v>85080000004010</v>
          </cell>
          <cell r="C34850" t="str">
            <v>ESCROW OPERADORA CLUB DESOCIOS SAC      7ND</v>
          </cell>
        </row>
        <row r="34851">
          <cell r="B34851" t="str">
            <v>85080000004110</v>
          </cell>
          <cell r="C34851" t="str">
            <v>HARLESTONE TECHNOLOGIES CORP            7ND</v>
          </cell>
        </row>
        <row r="34852">
          <cell r="B34852" t="str">
            <v>85080000004120</v>
          </cell>
          <cell r="C34852" t="str">
            <v>TOTAL ARTEFACTOS                        7ND</v>
          </cell>
        </row>
        <row r="34853">
          <cell r="B34853" t="str">
            <v>85080000004130</v>
          </cell>
          <cell r="C34853" t="str">
            <v>CACRE                                   7ND</v>
          </cell>
        </row>
        <row r="34854">
          <cell r="B34854" t="str">
            <v>85080000004140</v>
          </cell>
          <cell r="C34854" t="str">
            <v>HAUG                                    7ND</v>
          </cell>
        </row>
        <row r="34855">
          <cell r="B34855" t="str">
            <v>85080000004150</v>
          </cell>
          <cell r="C34855" t="str">
            <v>INMOBILIARIA MALBE SA                   7ND</v>
          </cell>
        </row>
        <row r="34856">
          <cell r="B34856" t="str">
            <v>85080000004160</v>
          </cell>
          <cell r="C34856" t="str">
            <v>IBER RENT                               7ND</v>
          </cell>
        </row>
        <row r="34857">
          <cell r="B34857" t="str">
            <v>85080000004210</v>
          </cell>
          <cell r="C34857" t="str">
            <v>FSRO - CAJA                             7ND</v>
          </cell>
        </row>
        <row r="34858">
          <cell r="B34858" t="str">
            <v>85080000004212</v>
          </cell>
          <cell r="C34858" t="str">
            <v>FSRO - CTAS POR COBRAR                  7ND</v>
          </cell>
        </row>
        <row r="34859">
          <cell r="B34859" t="str">
            <v>85080000004231</v>
          </cell>
          <cell r="C34859" t="str">
            <v>FSRO - VAL RTA FIJA                     7ND</v>
          </cell>
        </row>
        <row r="34860">
          <cell r="B34860" t="str">
            <v>85080000004232</v>
          </cell>
          <cell r="C34860" t="str">
            <v>FSRO - VAL RTA VAR                      7ND</v>
          </cell>
        </row>
        <row r="34861">
          <cell r="B34861" t="str">
            <v>85080000004260</v>
          </cell>
          <cell r="C34861" t="str">
            <v>ASOCIACION CIVIL NEOANDINA              7ND</v>
          </cell>
        </row>
        <row r="34862">
          <cell r="B34862" t="str">
            <v>85080000004310</v>
          </cell>
          <cell r="C34862" t="str">
            <v>FOSERSOE 5 - CAJA                       7ND</v>
          </cell>
        </row>
        <row r="34863">
          <cell r="B34863" t="str">
            <v>85080000004312</v>
          </cell>
          <cell r="C34863" t="str">
            <v>FOSERSOE 5 - CTAS X COBRAR              7ND</v>
          </cell>
        </row>
        <row r="34864">
          <cell r="B34864" t="str">
            <v>85080000004331</v>
          </cell>
          <cell r="C34864" t="str">
            <v>FOSERSOE 5 - VAL RTA.FIJA               7ND</v>
          </cell>
        </row>
        <row r="34865">
          <cell r="B34865" t="str">
            <v>85080000004332</v>
          </cell>
          <cell r="C34865" t="str">
            <v>FOSERSOE 5 - VAL RTA.VAR                7ND</v>
          </cell>
        </row>
        <row r="34866">
          <cell r="B34866" t="str">
            <v>85080000004333</v>
          </cell>
          <cell r="C34866" t="str">
            <v>EL DORAL SCROW                          7ND</v>
          </cell>
        </row>
        <row r="34867">
          <cell r="B34867" t="str">
            <v>85080000004433</v>
          </cell>
          <cell r="C34867" t="str">
            <v>NG RESTAURANTSÂ SCROW                   7ND</v>
          </cell>
        </row>
        <row r="34868">
          <cell r="B34868" t="str">
            <v>85080000004533</v>
          </cell>
          <cell r="C34868" t="str">
            <v>MINERA TITAN DEL PERU SCROW             7ND</v>
          </cell>
        </row>
        <row r="34869">
          <cell r="B34869" t="str">
            <v>85080000004633</v>
          </cell>
          <cell r="C34869" t="str">
            <v>NESSUS HOTELES PERU SCROW               7ND</v>
          </cell>
        </row>
        <row r="34870">
          <cell r="B34870" t="str">
            <v>85080000004733</v>
          </cell>
          <cell r="C34870" t="str">
            <v>COSMOS AGENCIA MARÃTIMA SCROW          7ND</v>
          </cell>
        </row>
        <row r="34871">
          <cell r="B34871" t="str">
            <v>85080000004833</v>
          </cell>
          <cell r="C34871" t="str">
            <v>EDIFICA CORP SCROW                      7ND</v>
          </cell>
        </row>
        <row r="34872">
          <cell r="B34872" t="str">
            <v>85080000004933</v>
          </cell>
          <cell r="C34872" t="str">
            <v>INVERSIONES INMOBILIARIAS MAR SCROW     7ND</v>
          </cell>
        </row>
        <row r="34873">
          <cell r="B34873" t="str">
            <v>85080000005033</v>
          </cell>
          <cell r="C34873" t="str">
            <v>QUEST &amp; SOLUTIONS SCROW                 7ND</v>
          </cell>
        </row>
        <row r="34874">
          <cell r="B34874" t="str">
            <v>85080000005133</v>
          </cell>
          <cell r="C34874" t="str">
            <v>PRIDE CORPORATION SCROW                 7ND</v>
          </cell>
        </row>
        <row r="34875">
          <cell r="B34875" t="str">
            <v>85080000005233</v>
          </cell>
          <cell r="C34875" t="str">
            <v>HOMECENTERS PERUANOS SCROW              7ND</v>
          </cell>
        </row>
        <row r="34876">
          <cell r="B34876" t="str">
            <v>85080000005333</v>
          </cell>
          <cell r="C34876" t="str">
            <v>RIO BRAVO SCROW                         7ND</v>
          </cell>
        </row>
        <row r="34877">
          <cell r="B34877" t="str">
            <v>85080000005433</v>
          </cell>
          <cell r="C34877" t="str">
            <v>CONDUCTORES Y CABLES DEL PERUÂ SCROW    7ND</v>
          </cell>
        </row>
        <row r="34878">
          <cell r="B34878" t="str">
            <v>85080000005533</v>
          </cell>
          <cell r="C34878" t="str">
            <v>GCZ INGENIEROS SCROW                    7ND</v>
          </cell>
        </row>
        <row r="34879">
          <cell r="B34879" t="str">
            <v>85080000005633</v>
          </cell>
          <cell r="C34879" t="str">
            <v>ENERGY SERVICES DEL PERU SCROW          7ND</v>
          </cell>
        </row>
        <row r="34880">
          <cell r="B34880" t="str">
            <v>85080000005733</v>
          </cell>
          <cell r="C34880" t="str">
            <v>MC INMOBILIARIA SCROW                   7ND</v>
          </cell>
        </row>
        <row r="34881">
          <cell r="B34881" t="str">
            <v>85080000005833</v>
          </cell>
          <cell r="C34881" t="str">
            <v>A.R. INMOB. CONTRATISTAS SCROW          7ND</v>
          </cell>
        </row>
        <row r="34882">
          <cell r="B34882" t="str">
            <v>85080000005933</v>
          </cell>
          <cell r="C34882" t="str">
            <v>ESTUDIO CASTRO &amp; BRAVO SCROW            7ND</v>
          </cell>
        </row>
        <row r="34883">
          <cell r="B34883" t="str">
            <v>85080000006033</v>
          </cell>
          <cell r="C34883" t="str">
            <v>ENTRETENIMIENTOS MASARIS SCROW          7ND</v>
          </cell>
        </row>
        <row r="34884">
          <cell r="B34884" t="str">
            <v>85080000006133</v>
          </cell>
          <cell r="C34884" t="str">
            <v>CORPORACION SANTA MARIA SCROW           7ND</v>
          </cell>
        </row>
        <row r="34885">
          <cell r="B34885" t="str">
            <v>85080000006233</v>
          </cell>
          <cell r="C34885" t="str">
            <v>DEUTSCHE BANK AG NEW YORK SCROW         7ND</v>
          </cell>
        </row>
        <row r="34886">
          <cell r="B34886" t="str">
            <v>85080000006333</v>
          </cell>
          <cell r="C34886" t="str">
            <v>FEIGER CHAMPIN HENRY SCROW              7ND</v>
          </cell>
        </row>
        <row r="34887">
          <cell r="B34887" t="str">
            <v>85080000006433</v>
          </cell>
          <cell r="C34887" t="str">
            <v>MADERERA LAS GARZAS SCROW               7ND</v>
          </cell>
        </row>
        <row r="34888">
          <cell r="B34888" t="str">
            <v>85080000006533</v>
          </cell>
          <cell r="C34888" t="str">
            <v>SCHWARTZMANN DE FERRARI SCROW           7ND</v>
          </cell>
        </row>
        <row r="34889">
          <cell r="B34889" t="str">
            <v>85080000006633</v>
          </cell>
          <cell r="C34889" t="str">
            <v>FIBRAS MARINAS SCROW                    7ND</v>
          </cell>
        </row>
        <row r="34890">
          <cell r="B34890" t="str">
            <v>85080000006733</v>
          </cell>
          <cell r="C34890" t="str">
            <v>INVERSIONES TRAVIATA                    7ND</v>
          </cell>
        </row>
        <row r="34891">
          <cell r="B34891" t="str">
            <v>85080000006833</v>
          </cell>
          <cell r="C34891" t="str">
            <v>DEN BOR LIANG PAUL                      7ND</v>
          </cell>
        </row>
        <row r="34892">
          <cell r="B34892" t="str">
            <v>85080000006933</v>
          </cell>
          <cell r="C34892" t="str">
            <v>CONSTRUCTORA LOS VASCOS                 7ND</v>
          </cell>
        </row>
        <row r="34893">
          <cell r="B34893" t="str">
            <v>85080000007033</v>
          </cell>
          <cell r="C34893" t="str">
            <v>PACIFICO AZUL                           7ND</v>
          </cell>
        </row>
        <row r="34894">
          <cell r="B34894" t="str">
            <v>85080000007133</v>
          </cell>
          <cell r="C34894" t="str">
            <v>HERSIL                                  7ND</v>
          </cell>
        </row>
        <row r="34895">
          <cell r="B34895" t="str">
            <v>85080000007233</v>
          </cell>
          <cell r="C34895" t="str">
            <v>EDUARDO CACERES                         7ND</v>
          </cell>
        </row>
        <row r="34896">
          <cell r="B34896" t="str">
            <v>85080000007333</v>
          </cell>
          <cell r="C34896" t="str">
            <v>RUBI GAMING                             7ND</v>
          </cell>
        </row>
        <row r="34897">
          <cell r="B34897" t="str">
            <v>85080000007433</v>
          </cell>
          <cell r="C34897" t="str">
            <v>ZAFIRO SAC                              7ND</v>
          </cell>
        </row>
        <row r="34898">
          <cell r="B34898" t="str">
            <v>85080000007533</v>
          </cell>
          <cell r="C34898" t="str">
            <v>LAS BAMBAS MINIG COMPANY                7ND</v>
          </cell>
        </row>
        <row r="34899">
          <cell r="B34899" t="str">
            <v>85080000007633</v>
          </cell>
          <cell r="C34899" t="str">
            <v>HOMECENTERS PERUANOS ORIENTEÂ  SCROW    7ND</v>
          </cell>
        </row>
        <row r="34900">
          <cell r="B34900" t="str">
            <v>85080000007733</v>
          </cell>
          <cell r="C34900" t="str">
            <v>MANTENIMIENTO Y CONSTRUCCIONES PARIÃ‘AS 7ND</v>
          </cell>
        </row>
        <row r="34901">
          <cell r="B34901" t="str">
            <v>85080000007833</v>
          </cell>
          <cell r="C34901" t="str">
            <v>CONSTRUCTORA MEDITERRANEO SCROW         7ND</v>
          </cell>
        </row>
        <row r="34902">
          <cell r="B34902" t="str">
            <v>85080000007933</v>
          </cell>
          <cell r="C34902" t="str">
            <v>FITESA PERU SCROW                       7ND</v>
          </cell>
        </row>
        <row r="34903">
          <cell r="B34903" t="str">
            <v>85080000008033</v>
          </cell>
          <cell r="C34903" t="str">
            <v>SIGMA EQUIPMENT DEL PERU SCROW          7ND</v>
          </cell>
        </row>
        <row r="34904">
          <cell r="B34904" t="str">
            <v>85080000008133</v>
          </cell>
          <cell r="C34904" t="str">
            <v>TRANSALTISA SCROW                       7ND</v>
          </cell>
        </row>
        <row r="34905">
          <cell r="B34905" t="str">
            <v>85080000008233</v>
          </cell>
          <cell r="C34905" t="str">
            <v>TECNOLOGIA INDUSTRIAL Y NACIONAL SCROW  7ND</v>
          </cell>
        </row>
        <row r="34906">
          <cell r="B34906" t="str">
            <v>85080000008333</v>
          </cell>
          <cell r="C34906" t="str">
            <v>RIVA SOCIEDAD ANONIMA INMOBILIARIA SCROW7ND</v>
          </cell>
        </row>
        <row r="34907">
          <cell r="B34907" t="str">
            <v>85080000008433</v>
          </cell>
          <cell r="C34907" t="str">
            <v>MAREAUTO SCROW                          7ND</v>
          </cell>
        </row>
        <row r="34908">
          <cell r="B34908" t="str">
            <v>85080000008533</v>
          </cell>
          <cell r="C34908" t="str">
            <v>SANTA FE SCROW                          7ND</v>
          </cell>
        </row>
        <row r="34909">
          <cell r="B34909" t="str">
            <v>85080000008633</v>
          </cell>
          <cell r="C34909" t="str">
            <v>RIO AUSTRAL                             7ND</v>
          </cell>
        </row>
        <row r="34910">
          <cell r="B34910" t="str">
            <v>85080000008733</v>
          </cell>
          <cell r="C34910" t="str">
            <v>GOLD HORIZONS                           7ND</v>
          </cell>
        </row>
        <row r="34911">
          <cell r="B34911" t="str">
            <v>85080000008833</v>
          </cell>
          <cell r="C34911" t="str">
            <v>TELECOMUNICACIONES Y POTENCIA           7ND</v>
          </cell>
        </row>
        <row r="34912">
          <cell r="B34912" t="str">
            <v>85080000008834</v>
          </cell>
          <cell r="C34912" t="str">
            <v>MUNICIPALIDAD DISTRITAL DE ILABAYA      7ND</v>
          </cell>
        </row>
        <row r="34913">
          <cell r="B34913" t="str">
            <v>85080000008835</v>
          </cell>
          <cell r="C34913" t="str">
            <v>INVERSIONES LANCASTER                   7ND</v>
          </cell>
        </row>
        <row r="34914">
          <cell r="B34914" t="str">
            <v>85080000008836</v>
          </cell>
          <cell r="C34914" t="str">
            <v>RIPLEY                                  7ND</v>
          </cell>
        </row>
        <row r="34915">
          <cell r="B34915" t="str">
            <v>85080000008837</v>
          </cell>
          <cell r="C34915" t="str">
            <v>EL PUEBLO                               7ND</v>
          </cell>
        </row>
        <row r="34916">
          <cell r="B34916" t="str">
            <v>85080000008838</v>
          </cell>
          <cell r="C34916" t="str">
            <v>HERMES -ILLES DELFINO FRANCISCO         7ND</v>
          </cell>
        </row>
        <row r="34917">
          <cell r="B34917" t="str">
            <v>85080000008839</v>
          </cell>
          <cell r="C34917" t="str">
            <v>MAQUINARIAS                             7ND</v>
          </cell>
        </row>
        <row r="34918">
          <cell r="B34918" t="str">
            <v>85080000008840</v>
          </cell>
          <cell r="C34918" t="str">
            <v>CAPITAL FOODS                           7ND</v>
          </cell>
        </row>
        <row r="34919">
          <cell r="B34919" t="str">
            <v>85080000008841</v>
          </cell>
          <cell r="C34919" t="str">
            <v>TRADING FASHION LINE                    7ND</v>
          </cell>
        </row>
        <row r="34920">
          <cell r="B34920" t="str">
            <v>85080000008842</v>
          </cell>
          <cell r="C34920" t="str">
            <v>ALTHELIA CLIMATE FUND SIF               7ND</v>
          </cell>
        </row>
        <row r="34921">
          <cell r="B34921" t="str">
            <v>85080000008843</v>
          </cell>
          <cell r="C34921" t="str">
            <v>CUPONIUM                                7ND</v>
          </cell>
        </row>
        <row r="34922">
          <cell r="B34922" t="str">
            <v>85080000008844</v>
          </cell>
          <cell r="C34922" t="str">
            <v>GMC CONSTRUCCIONES Y PROYECTOS INMOBILIA7ND</v>
          </cell>
        </row>
        <row r="34923">
          <cell r="B34923" t="str">
            <v>85080000008845</v>
          </cell>
          <cell r="C34923" t="str">
            <v>CERRO PRIETO                            7ND</v>
          </cell>
        </row>
        <row r="34924">
          <cell r="B34924" t="str">
            <v>85080000008846</v>
          </cell>
          <cell r="C34924" t="str">
            <v>PALMA VALDERRAMA HUMBERTO JOSE          7ND</v>
          </cell>
        </row>
        <row r="34925">
          <cell r="B34925" t="str">
            <v>85080000008847</v>
          </cell>
          <cell r="C34925" t="str">
            <v>CONSTRUCTORA LOS VASCOS                 7ND</v>
          </cell>
        </row>
        <row r="34926">
          <cell r="B34926" t="str">
            <v>85080000008848</v>
          </cell>
          <cell r="C34926" t="str">
            <v>COTONGA PERU                            7ND</v>
          </cell>
        </row>
        <row r="34927">
          <cell r="B34927" t="str">
            <v>85080000008849</v>
          </cell>
          <cell r="C34927" t="str">
            <v>SHOPPING CENTER                         7ND</v>
          </cell>
        </row>
        <row r="34928">
          <cell r="B34928" t="str">
            <v>85080000008850</v>
          </cell>
          <cell r="C34928" t="str">
            <v>Caja Fideicomiso - Municipalidad Ascope 7ND</v>
          </cell>
        </row>
        <row r="34929">
          <cell r="B34929" t="str">
            <v>85080000008851</v>
          </cell>
          <cell r="C34929" t="str">
            <v>Caja Fideicomiso - Campanario           7ND</v>
          </cell>
        </row>
        <row r="34930">
          <cell r="B34930" t="str">
            <v>85080000008852</v>
          </cell>
          <cell r="C34930" t="str">
            <v>Caja Fideicomiso - Astilleros           7ND</v>
          </cell>
        </row>
        <row r="34931">
          <cell r="B34931" t="str">
            <v>85080000008853</v>
          </cell>
          <cell r="C34931" t="str">
            <v>TIENDAS PERUANAS                        7ND</v>
          </cell>
        </row>
        <row r="34932">
          <cell r="B34932" t="str">
            <v>85080000008854</v>
          </cell>
          <cell r="C34932" t="str">
            <v>OLAM AGRO PERU                          7ND</v>
          </cell>
        </row>
        <row r="34933">
          <cell r="B34933" t="str">
            <v>85080000008934</v>
          </cell>
          <cell r="C34933" t="str">
            <v>ASJ / RABOBANK                          7ND</v>
          </cell>
        </row>
        <row r="34934">
          <cell r="B34934" t="str">
            <v>85080000008936</v>
          </cell>
          <cell r="C34934" t="str">
            <v>M&amp;V REPRESENTACIONES                    7ND</v>
          </cell>
        </row>
        <row r="34935">
          <cell r="B34935" t="str">
            <v>85080000008937</v>
          </cell>
          <cell r="C34935" t="str">
            <v>CONSTRUCTORA MEDITERRANEO (CMO GROUP)   7ND</v>
          </cell>
        </row>
        <row r="34936">
          <cell r="B34936" t="str">
            <v>85080000008938</v>
          </cell>
          <cell r="C34936" t="str">
            <v>CE ENSENADA                             7ND</v>
          </cell>
        </row>
        <row r="34937">
          <cell r="B34937" t="str">
            <v>85080000008939</v>
          </cell>
          <cell r="C34937" t="str">
            <v>AGRICOLA EL NOPAL                       7ND</v>
          </cell>
        </row>
        <row r="34938">
          <cell r="B34938" t="str">
            <v>85080000008940</v>
          </cell>
          <cell r="C34938" t="str">
            <v>TIENDAS TAMBO                           7ND</v>
          </cell>
        </row>
        <row r="34939">
          <cell r="B34939" t="str">
            <v>85080000008941</v>
          </cell>
          <cell r="C34939" t="str">
            <v>FITFLOW - GRUPO NAKASHIMA S.A.C         7ND</v>
          </cell>
        </row>
        <row r="34940">
          <cell r="B34940" t="str">
            <v>85080000008942</v>
          </cell>
          <cell r="C34940" t="str">
            <v>REDONDOS                                7ND</v>
          </cell>
        </row>
        <row r="34941">
          <cell r="B34941" t="str">
            <v>85080000008943</v>
          </cell>
          <cell r="C34941" t="str">
            <v>PROYECTO GUARO                          7ND</v>
          </cell>
        </row>
        <row r="34942">
          <cell r="B34942" t="str">
            <v>85080000008948</v>
          </cell>
          <cell r="C34942" t="str">
            <v>FLESAN ENERGÃA                         7ND</v>
          </cell>
        </row>
        <row r="34943">
          <cell r="B34943" t="str">
            <v>85080000008952</v>
          </cell>
          <cell r="C34943" t="str">
            <v>AGRÃCOLA CHAPI                         7ND</v>
          </cell>
        </row>
        <row r="34944">
          <cell r="B34944" t="str">
            <v>85080000008954</v>
          </cell>
          <cell r="C34944" t="str">
            <v>FLESAN ENERGÃA                         7ND</v>
          </cell>
        </row>
        <row r="34945">
          <cell r="B34945" t="str">
            <v>85090100000101</v>
          </cell>
          <cell r="C34945" t="str">
            <v>FIDEICOMISOS - ACREEDORES POR CONTRA    7ND</v>
          </cell>
        </row>
        <row r="34946">
          <cell r="B34946" t="str">
            <v>85090200000101</v>
          </cell>
          <cell r="C34946" t="str">
            <v>FIDEICOMISOS - ACREEDORES POR CONTRA    7ND</v>
          </cell>
        </row>
        <row r="34947">
          <cell r="B34947" t="str">
            <v>86010300000201</v>
          </cell>
          <cell r="C34947" t="str">
            <v>GARANTIAS HIPOTECARIAS-SERBANCo         7NC</v>
          </cell>
        </row>
        <row r="34948">
          <cell r="B34948" t="str">
            <v>86010500000201</v>
          </cell>
          <cell r="C34948" t="str">
            <v>BL PRENDA INDUSTRIAL 100% PROV          7NC</v>
          </cell>
        </row>
        <row r="34949">
          <cell r="B34949" t="str">
            <v>86010500000202</v>
          </cell>
          <cell r="C34949" t="str">
            <v>BL PRENDA IND 2 RGO 100% PROVÂ Â Â Â Â Â7NC</v>
          </cell>
        </row>
        <row r="34950">
          <cell r="B34950" t="str">
            <v>86010500000203</v>
          </cell>
          <cell r="C34950" t="str">
            <v>BL PRENDA MERCANTIL 2RGO PROV           7NC</v>
          </cell>
        </row>
        <row r="34951">
          <cell r="B34951" t="str">
            <v>86010500000204</v>
          </cell>
          <cell r="C34951" t="str">
            <v>BL HIPOTECA 100% PROV                   7NC</v>
          </cell>
        </row>
        <row r="34952">
          <cell r="B34952" t="str">
            <v>86010500000205</v>
          </cell>
          <cell r="C34952" t="str">
            <v>BL HIPOTECA  2DO RANGO100% PRO          7NC</v>
          </cell>
        </row>
        <row r="34953">
          <cell r="B34953" t="str">
            <v>86010500000206</v>
          </cell>
          <cell r="C34953" t="str">
            <v>PRENDA AGRICOLA 100% PROVISIONADA       7NC</v>
          </cell>
        </row>
        <row r="34954">
          <cell r="B34954" t="str">
            <v>86010500000207</v>
          </cell>
          <cell r="C34954" t="str">
            <v>WARRANT 100% PROVISIONADA               7NC</v>
          </cell>
        </row>
        <row r="34955">
          <cell r="B34955" t="str">
            <v>86010500000208</v>
          </cell>
          <cell r="C34955" t="str">
            <v>PRENDA VEHICULAR 100% PROVISIONADA      7NC</v>
          </cell>
        </row>
        <row r="34956">
          <cell r="B34956" t="str">
            <v>86010500000209</v>
          </cell>
          <cell r="C34956" t="str">
            <v>HIPOTECA BCA PERSONA 100% PROV          7NC</v>
          </cell>
        </row>
        <row r="34957">
          <cell r="B34957" t="str">
            <v>86010500004201</v>
          </cell>
          <cell r="C34957" t="str">
            <v>FACTURAS POR PAGAR PF1                  7NC</v>
          </cell>
        </row>
        <row r="34958">
          <cell r="B34958" t="str">
            <v>86010500004601</v>
          </cell>
          <cell r="C34958" t="str">
            <v>CUENTAS POR PAGAR DIVERSAS PF1          7NC</v>
          </cell>
        </row>
        <row r="34959">
          <cell r="B34959" t="str">
            <v>86010600000201</v>
          </cell>
          <cell r="C34959" t="str">
            <v>ACCIONES DS 099-PF2Â Â Â Â Â Â Â Â Â Â Â7NC</v>
          </cell>
        </row>
        <row r="34960">
          <cell r="B34960" t="str">
            <v>86010600000202</v>
          </cell>
          <cell r="C34960" t="str">
            <v>PRENDA MERCANTIL DS 099 PF2Â Â Â Â Â Â Â7NC</v>
          </cell>
        </row>
        <row r="34961">
          <cell r="B34961" t="str">
            <v>86010600000203</v>
          </cell>
          <cell r="C34961" t="str">
            <v>CRED VEHICULAR DS 099 PF2Â Â Â Â Â Â Â Â7NC</v>
          </cell>
        </row>
        <row r="34962">
          <cell r="B34962" t="str">
            <v>86010600000204</v>
          </cell>
          <cell r="C34962" t="str">
            <v>HIPOTECA 1ER RANGO DS 099 PF2           7NC</v>
          </cell>
        </row>
        <row r="34963">
          <cell r="B34963" t="str">
            <v>86010600000205</v>
          </cell>
          <cell r="C34963" t="str">
            <v>HIPOTECA 2DO RANGO DS 099 PF2           7NC</v>
          </cell>
        </row>
        <row r="34964">
          <cell r="B34964" t="str">
            <v>86010600000206</v>
          </cell>
          <cell r="C34964" t="str">
            <v>PRENDA INDUSTRIAL 1ER RGO DS 099 PF2    7NC</v>
          </cell>
        </row>
        <row r="34965">
          <cell r="B34965" t="str">
            <v>86010600000207</v>
          </cell>
          <cell r="C34965" t="str">
            <v>PRENDA AGRICOLA 1ER RGO DS 099 PF2      7NC</v>
          </cell>
        </row>
        <row r="34966">
          <cell r="B34966" t="str">
            <v>86010600000208</v>
          </cell>
          <cell r="C34966" t="str">
            <v>PRENDA VEHICULAR DS 099 PF2             7NC</v>
          </cell>
        </row>
        <row r="34967">
          <cell r="B34967" t="str">
            <v>86010600000209</v>
          </cell>
          <cell r="C34967" t="str">
            <v>PRESTAMO HIPOTEC 1ER RGO PF2            7NC</v>
          </cell>
        </row>
        <row r="34968">
          <cell r="B34968" t="str">
            <v>86010800000201</v>
          </cell>
          <cell r="C34968" t="str">
            <v>Ctracta Prenda civil sobre marca Rango 17NC</v>
          </cell>
        </row>
        <row r="34969">
          <cell r="B34969" t="str">
            <v>86010800000202</v>
          </cell>
          <cell r="C34969" t="str">
            <v>Ctracta Prenda Industrial Rango 1       7NC</v>
          </cell>
        </row>
        <row r="34970">
          <cell r="B34970" t="str">
            <v>86010800000203</v>
          </cell>
          <cell r="C34970" t="str">
            <v>CtractaPrenda vehicular Rango 1         7NC</v>
          </cell>
        </row>
        <row r="34971">
          <cell r="B34971" t="str">
            <v>86010800000204</v>
          </cell>
          <cell r="C34971" t="str">
            <v>Ctracta Hipoteca Inmueble Rango 1       7NC</v>
          </cell>
        </row>
        <row r="34972">
          <cell r="B34972" t="str">
            <v>86010800000205</v>
          </cell>
          <cell r="C34972" t="str">
            <v>Ctracta Hipoteca Inmueble Rango 2       7NC</v>
          </cell>
        </row>
        <row r="34973">
          <cell r="B34973" t="str">
            <v>86010800000206</v>
          </cell>
          <cell r="C34973" t="str">
            <v>ACCIONES EN GARANTIA NO PREFERID        7NC</v>
          </cell>
        </row>
        <row r="34974">
          <cell r="B34974" t="str">
            <v>86011202004201</v>
          </cell>
          <cell r="C34974" t="str">
            <v>FACTURAS X PAGAR-FIDEC.NUEVO MUNDO LE   7NC</v>
          </cell>
        </row>
        <row r="34975">
          <cell r="B34975" t="str">
            <v>86011202004609</v>
          </cell>
          <cell r="C34975" t="str">
            <v>OTROS GASTOS- COFIDE                    7NC</v>
          </cell>
        </row>
        <row r="34976">
          <cell r="B34976" t="str">
            <v>86013500004201</v>
          </cell>
          <cell r="C34976" t="str">
            <v>CTA POR PAGAR - FIDEICOMISO AEROPUER    7NC</v>
          </cell>
        </row>
        <row r="34977">
          <cell r="B34977" t="str">
            <v>86013600004201</v>
          </cell>
          <cell r="C34977" t="str">
            <v>CUENTAS POR PAGAR FIDEICOMISO -YANAC    7NC</v>
          </cell>
        </row>
        <row r="34978">
          <cell r="B34978" t="str">
            <v>86013700004201</v>
          </cell>
          <cell r="C34978" t="str">
            <v>CUENTAS POR PAGAR FIDEICOMISO  -ANGELES 7NC</v>
          </cell>
        </row>
        <row r="34979">
          <cell r="B34979" t="str">
            <v>86014300004201</v>
          </cell>
          <cell r="C34979" t="str">
            <v>CTAS POR PAGAR - FIDEICOMISO APC        7NC</v>
          </cell>
        </row>
        <row r="34980">
          <cell r="B34980" t="str">
            <v>86014400004201</v>
          </cell>
          <cell r="C34980" t="str">
            <v>CTAS POR PAGAR - FIDEICOMISO SEDACAJ    7NC</v>
          </cell>
        </row>
        <row r="34981">
          <cell r="B34981" t="str">
            <v>86014600004201</v>
          </cell>
          <cell r="C34981" t="str">
            <v>CUENTAS POR PAGAR - FIDEICOMISO LAS BAMB7NC</v>
          </cell>
        </row>
        <row r="34982">
          <cell r="B34982" t="str">
            <v>86014900004201</v>
          </cell>
          <cell r="C34982" t="str">
            <v>CxP - FIDEICOMISO RIO TINTO LA GRANJA   7NC</v>
          </cell>
        </row>
        <row r="34983">
          <cell r="B34983" t="str">
            <v>86015000004201</v>
          </cell>
          <cell r="C34983" t="str">
            <v>CUENTAS POR PAGAR - FIDEICOMISO PERUBAR 7NC</v>
          </cell>
        </row>
        <row r="34984">
          <cell r="B34984" t="str">
            <v>86015000004202</v>
          </cell>
          <cell r="C34984" t="str">
            <v>PATRIMONIO DE FIDEICOMISOS - CIUDARIS FL7NC</v>
          </cell>
        </row>
        <row r="34985">
          <cell r="B34985" t="str">
            <v>86015000004203</v>
          </cell>
          <cell r="C34985" t="str">
            <v>IME ESTUDIO DHC                         7NC</v>
          </cell>
        </row>
        <row r="34986">
          <cell r="B34986" t="str">
            <v>86015000004205</v>
          </cell>
          <cell r="C34986" t="str">
            <v>CXP - FIDEICOMISO CERRO                 7NC</v>
          </cell>
        </row>
        <row r="34987">
          <cell r="B34987" t="str">
            <v>86015000004206</v>
          </cell>
          <cell r="C34987" t="str">
            <v>CTAS X PAG. FIDEICOMISO - CASITA DE COLC7 C</v>
          </cell>
        </row>
        <row r="34988">
          <cell r="B34988" t="str">
            <v>86020100005001</v>
          </cell>
          <cell r="C34988" t="str">
            <v>FONDO FIDEICOMETIDO QUIMPAC             7NC</v>
          </cell>
        </row>
        <row r="34989">
          <cell r="B34989" t="str">
            <v>86020600004609</v>
          </cell>
          <cell r="C34989" t="str">
            <v>CTAS POR PAGAR DS 099-99EF PF2          7NC</v>
          </cell>
        </row>
        <row r="34990">
          <cell r="B34990" t="str">
            <v>86020601005001</v>
          </cell>
          <cell r="C34990" t="str">
            <v>PATRIMONIO -FIDEICOMISO SAN MATEO       7NC</v>
          </cell>
        </row>
        <row r="34991">
          <cell r="B34991" t="str">
            <v>86020602005001</v>
          </cell>
          <cell r="C34991" t="str">
            <v>PATRIMONIO -FIDEICOMISO SERMOPLAST      7NC</v>
          </cell>
        </row>
        <row r="34992">
          <cell r="B34992" t="str">
            <v>86020603005001</v>
          </cell>
          <cell r="C34992" t="str">
            <v>PATRIMONIO -FIDEICOMISO MUNI.PROV.AREQUI7NC</v>
          </cell>
        </row>
        <row r="34993">
          <cell r="B34993" t="str">
            <v>86020604005001</v>
          </cell>
          <cell r="C34993" t="str">
            <v>PATRIMONIO -FIDEICOMISO ARAMSA          7NC</v>
          </cell>
        </row>
        <row r="34994">
          <cell r="B34994" t="str">
            <v>86020605005001</v>
          </cell>
          <cell r="C34994" t="str">
            <v>PATRIMONIO -FIDEICOMISO D'VIVIENDA      7NC</v>
          </cell>
        </row>
        <row r="34995">
          <cell r="B34995" t="str">
            <v>86020606005001</v>
          </cell>
          <cell r="C34995" t="str">
            <v>PATRIMONIO -FIDEICOMISO GARANTIA DH     7NC</v>
          </cell>
        </row>
        <row r="34996">
          <cell r="B34996" t="str">
            <v>86020608005001</v>
          </cell>
          <cell r="C34996" t="str">
            <v>PATRIMONIO -FIDEICOMISO SAN J. BAUSTISTS7NC</v>
          </cell>
        </row>
        <row r="34997">
          <cell r="B34997" t="str">
            <v>86020609005001</v>
          </cell>
          <cell r="C34997" t="str">
            <v>PATRIMONIO -FIDEICOMISO DEVIVIENDA      7NC</v>
          </cell>
        </row>
        <row r="34998">
          <cell r="B34998" t="str">
            <v>86020610005001</v>
          </cell>
          <cell r="C34998" t="str">
            <v>PATRIMONIO -FIDEICOMISO GARANTIA ANAWIN 7NC</v>
          </cell>
        </row>
        <row r="34999">
          <cell r="B34999" t="str">
            <v>86020611005001</v>
          </cell>
          <cell r="C34999" t="str">
            <v>PATRIMONIO -FIDEICOMISO PHOENIX FOODS   7NC</v>
          </cell>
        </row>
        <row r="35000">
          <cell r="B35000" t="str">
            <v>86020612005001</v>
          </cell>
          <cell r="C35000" t="str">
            <v>PATRIMONIOÂ  FIDEICOMETIDO INSUR        7NC</v>
          </cell>
        </row>
        <row r="35001">
          <cell r="B35001" t="str">
            <v>86020613005001</v>
          </cell>
          <cell r="C35001" t="str">
            <v>PATRIMONIO FIDEICOMISO PRODESA FLUJOS   7NC</v>
          </cell>
        </row>
        <row r="35002">
          <cell r="B35002" t="str">
            <v>86020614005001</v>
          </cell>
          <cell r="C35002" t="str">
            <v>PATRIMONIO FID. PRODESA GARANTÃA       7NC</v>
          </cell>
        </row>
        <row r="35003">
          <cell r="B35003" t="str">
            <v>86020615005001</v>
          </cell>
          <cell r="C35003" t="str">
            <v>PATRIMONIO FIDEICOMISO VOLCAN           7NC</v>
          </cell>
        </row>
        <row r="35004">
          <cell r="B35004" t="str">
            <v>86020616005001</v>
          </cell>
          <cell r="C35004" t="str">
            <v>PATROMONIOÂ  FIDEICOMISO CERRO          7NC</v>
          </cell>
        </row>
        <row r="35005">
          <cell r="B35005" t="str">
            <v>86020617005001</v>
          </cell>
          <cell r="C35005" t="str">
            <v>PATROMONIO FIDEICOMISO CHUNGAR          7NC</v>
          </cell>
        </row>
        <row r="35006">
          <cell r="B35006" t="str">
            <v>86020618005001</v>
          </cell>
          <cell r="C35006" t="str">
            <v>PATROMONIO FIDEICOMISO ICH              7NC</v>
          </cell>
        </row>
        <row r="35007">
          <cell r="B35007" t="str">
            <v>86020619005001</v>
          </cell>
          <cell r="C35007" t="str">
            <v>PATRIMONIO FIDEICOMISO ALEGRA MARBELLA  7NC</v>
          </cell>
        </row>
        <row r="35008">
          <cell r="B35008" t="str">
            <v>86020620005001</v>
          </cell>
          <cell r="C35008" t="str">
            <v>PATRIMONIO FIDEICOMISO LUCIONI - FLUJOS 7NC</v>
          </cell>
        </row>
        <row r="35009">
          <cell r="B35009" t="str">
            <v>86020623005001</v>
          </cell>
          <cell r="C35009" t="str">
            <v>PATRIMONIOÂ  FID. URB LA RIBERA DEL RIO 7NC</v>
          </cell>
        </row>
        <row r="35010">
          <cell r="B35010" t="str">
            <v>86020624005001</v>
          </cell>
          <cell r="C35010" t="str">
            <v>PATRIMONIO FIDEICOMISO JUPITER TECHNOLOG7NC</v>
          </cell>
        </row>
        <row r="35011">
          <cell r="B35011" t="str">
            <v>86020625005001</v>
          </cell>
          <cell r="C35011" t="str">
            <v>PATRIMONIO INMUEBLE MAQ Y EQUIPO FIDECOM7NC</v>
          </cell>
        </row>
        <row r="35012">
          <cell r="B35012" t="str">
            <v>86020626005001</v>
          </cell>
          <cell r="C35012" t="str">
            <v>PATRIMONIOÂ  FIDEICOMISO MUNICIPALIDAD D7NC</v>
          </cell>
        </row>
        <row r="35013">
          <cell r="B35013" t="str">
            <v>86020627005001</v>
          </cell>
          <cell r="C35013" t="str">
            <v>PATRIMONIO FIDEICOMISOÂ  Z&amp;Z FOVIMAR - F7NC</v>
          </cell>
        </row>
        <row r="35014">
          <cell r="B35014" t="str">
            <v>86020628005001</v>
          </cell>
          <cell r="C35014" t="str">
            <v>PATRIMONIO FIDEICOMISO Z&amp;Z FOVIMAR GARAN7NC</v>
          </cell>
        </row>
        <row r="35015">
          <cell r="B35015" t="str">
            <v>86020629005001</v>
          </cell>
          <cell r="C35015" t="str">
            <v>PATRIMONIO FIDEICOMISO CONSORCIO TUMI LA7NC</v>
          </cell>
        </row>
        <row r="35016">
          <cell r="B35016" t="str">
            <v>86020630005001</v>
          </cell>
          <cell r="C35016" t="str">
            <v>PATRIMONIO FID.GOBIERNO REGIONAL DE AREQ7NC</v>
          </cell>
        </row>
        <row r="35017">
          <cell r="B35017" t="str">
            <v>86020631005001</v>
          </cell>
          <cell r="C35017" t="str">
            <v>PATRIMONIO FIDEICOMISO EN GARANTIA CMSL 7NC</v>
          </cell>
        </row>
        <row r="35018">
          <cell r="B35018" t="str">
            <v>86020632005001</v>
          </cell>
          <cell r="C35018" t="str">
            <v>PATRIMONIO FIDEICOMISO ICH              7NC</v>
          </cell>
        </row>
        <row r="35019">
          <cell r="B35019" t="str">
            <v>86020633005001</v>
          </cell>
          <cell r="C35019" t="str">
            <v>PATRIMONIO FIDEICOMISO ALEGRA MARBELLA -7NC</v>
          </cell>
        </row>
        <row r="35020">
          <cell r="B35020" t="str">
            <v>86020634005001</v>
          </cell>
          <cell r="C35020" t="str">
            <v>PATRIMONIO FIDEICOMISO ARTE EXPRESS &amp; EG7NC</v>
          </cell>
        </row>
        <row r="35021">
          <cell r="B35021" t="str">
            <v>86020635005001</v>
          </cell>
          <cell r="C35021" t="str">
            <v>PATRIMONIO Y BANCOS FIDEICOMISO SERVITEB7NC</v>
          </cell>
        </row>
        <row r="35022">
          <cell r="B35022" t="str">
            <v>86020636005001</v>
          </cell>
          <cell r="C35022" t="str">
            <v>PATRIMONIO FIDEICOMISO GEOHIDRAULICA FLU7NC</v>
          </cell>
        </row>
        <row r="35023">
          <cell r="B35023" t="str">
            <v>86020637005001</v>
          </cell>
          <cell r="C35023" t="str">
            <v>PATRIMONIO FIDEICOMISO FINANCIERA UNO FL7NC</v>
          </cell>
        </row>
        <row r="35024">
          <cell r="B35024" t="str">
            <v>86020638005001</v>
          </cell>
          <cell r="C35024" t="str">
            <v>PATRIMONIO FIDEICOMISO WASI FLUJOS      7NC</v>
          </cell>
        </row>
        <row r="35025">
          <cell r="B35025" t="str">
            <v>86020639005001</v>
          </cell>
          <cell r="C35025" t="str">
            <v>PATRIMONIO FIDEICOMISO WASI GTIA        7NC</v>
          </cell>
        </row>
        <row r="35026">
          <cell r="B35026" t="str">
            <v>86020640005001</v>
          </cell>
          <cell r="C35026" t="str">
            <v>PATRIMONIO FIDEICOMISO RODRIGUEZ M. GTIA7NC</v>
          </cell>
        </row>
        <row r="35027">
          <cell r="B35027" t="str">
            <v>86020641005001</v>
          </cell>
          <cell r="C35027" t="str">
            <v>PATRIMONIO FIDEICOMISO PANCHA PLAYA - FL7NC</v>
          </cell>
        </row>
        <row r="35028">
          <cell r="B35028" t="str">
            <v>86020642005001</v>
          </cell>
          <cell r="C35028" t="str">
            <v>PATRIMONIO FIDEICOMISO PANCHA PLAYA - GT7NC</v>
          </cell>
        </row>
        <row r="35029">
          <cell r="B35029" t="str">
            <v>86020643005001</v>
          </cell>
          <cell r="C35029" t="str">
            <v>PATRIMONIO FIDEICOMISO ORES FOVIME FLUJO7NC</v>
          </cell>
        </row>
        <row r="35030">
          <cell r="B35030" t="str">
            <v>86020644005001</v>
          </cell>
          <cell r="C35030" t="str">
            <v>PATRIMONIO IDEICOMISO TRAFIGURA FLUJOS  7NC</v>
          </cell>
        </row>
        <row r="35031">
          <cell r="B35031" t="str">
            <v>86020645005001</v>
          </cell>
          <cell r="C35031" t="str">
            <v>PATRIMONIO FIDEICOMISO CECOM OLGUIN - FL7NC</v>
          </cell>
        </row>
        <row r="35032">
          <cell r="B35032" t="str">
            <v>86020646005001</v>
          </cell>
          <cell r="C35032" t="str">
            <v>PATRIMONIO FIDEICOMISO RIO AUSTRAL - FLU7NC</v>
          </cell>
        </row>
        <row r="35033">
          <cell r="B35033" t="str">
            <v>86020647005001</v>
          </cell>
          <cell r="C35033" t="str">
            <v>PATRIMONIO FIDEICOMISO RIO MANTO - FLUJO7NC</v>
          </cell>
        </row>
        <row r="35034">
          <cell r="B35034" t="str">
            <v>86020648005001</v>
          </cell>
          <cell r="C35034" t="str">
            <v>PATRIMONIO FIDEICOMISO ROLANDON CESPEDES7NC</v>
          </cell>
        </row>
        <row r="35035">
          <cell r="B35035" t="str">
            <v>86020649005001</v>
          </cell>
          <cell r="C35035" t="str">
            <v>PATRIMONIO FIDEICOMISO QUIMERA- FLUJOS  7NC</v>
          </cell>
        </row>
        <row r="35036">
          <cell r="B35036" t="str">
            <v>86020900005001</v>
          </cell>
          <cell r="C35036" t="str">
            <v>FONDO FIDEICOMETIDO PESQUERA EXTRACTI   7NC</v>
          </cell>
        </row>
        <row r="35037">
          <cell r="B35037" t="str">
            <v>86021000005001</v>
          </cell>
          <cell r="C35037" t="str">
            <v>FONDO FIDEICOMETIDO INMOBILIARIA TARG   7NC</v>
          </cell>
        </row>
        <row r="35038">
          <cell r="B35038" t="str">
            <v>86021300005001</v>
          </cell>
          <cell r="C35038" t="str">
            <v>FONDO FIDEICOMETIDO USIL                7NC</v>
          </cell>
        </row>
        <row r="35039">
          <cell r="B35039" t="str">
            <v>86021400005001</v>
          </cell>
          <cell r="C35039" t="str">
            <v>FONDO FIDEICOMETIDO BAYOVAR             7NC</v>
          </cell>
        </row>
        <row r="35040">
          <cell r="B35040" t="str">
            <v>86021600005001</v>
          </cell>
          <cell r="C35040" t="str">
            <v>FONDO FIDEICOMETIDO PUNTA TUR I         7NC</v>
          </cell>
        </row>
        <row r="35041">
          <cell r="B35041" t="str">
            <v>86021700005001</v>
          </cell>
          <cell r="C35041" t="str">
            <v>FONDO FIDEICOMETIDO PIANGESA            7NC</v>
          </cell>
        </row>
        <row r="35042">
          <cell r="B35042" t="str">
            <v>86021800005001</v>
          </cell>
          <cell r="C35042" t="str">
            <v>FONDO FIDEICOMETIDO AMBIENTAL           7NC</v>
          </cell>
        </row>
        <row r="35043">
          <cell r="B35043" t="str">
            <v>86021900005001</v>
          </cell>
          <cell r="C35043" t="str">
            <v>FONDO FIDEICOMETIDO LA GRANJA           7NC</v>
          </cell>
        </row>
        <row r="35044">
          <cell r="B35044" t="str">
            <v>86022000005001</v>
          </cell>
          <cell r="C35044" t="str">
            <v>FONDO FIDEICOMETIDO ALTO CHICAMA        7NC</v>
          </cell>
        </row>
        <row r="35045">
          <cell r="B35045" t="str">
            <v>86022100005001</v>
          </cell>
          <cell r="C35045" t="str">
            <v>FONDO FIDEICOMETIDO CORMIN              7NC</v>
          </cell>
        </row>
        <row r="35046">
          <cell r="B35046" t="str">
            <v>86022300005001</v>
          </cell>
          <cell r="C35046" t="str">
            <v>FONDO FIDEICOMETIDO NUMERA              7NC</v>
          </cell>
        </row>
        <row r="35047">
          <cell r="B35047" t="str">
            <v>86022400005001</v>
          </cell>
          <cell r="C35047" t="str">
            <v>FONDO FIDEICOMETIDO PUNTA TUR 2         7NC</v>
          </cell>
        </row>
        <row r="35048">
          <cell r="B35048" t="str">
            <v>86022600005001</v>
          </cell>
          <cell r="C35048" t="str">
            <v>FONDO FIDEICOMETIDO SIPESA II           7NC</v>
          </cell>
        </row>
        <row r="35049">
          <cell r="B35049" t="str">
            <v>86022700005001</v>
          </cell>
          <cell r="C35049" t="str">
            <v>FONDO FIDEICOMETIDO BCI - CURACAO       7NC</v>
          </cell>
        </row>
        <row r="35050">
          <cell r="B35050" t="str">
            <v>86022800005001</v>
          </cell>
          <cell r="C35050" t="str">
            <v>FONDO FIDEICOMETIDO REP                 7NC</v>
          </cell>
        </row>
        <row r="35051">
          <cell r="B35051" t="str">
            <v>86023100005001</v>
          </cell>
          <cell r="C35051" t="str">
            <v>FONDO FIDEICOMTIDO - M L M              7NC</v>
          </cell>
        </row>
        <row r="35052">
          <cell r="B35052" t="str">
            <v>86023400005001</v>
          </cell>
          <cell r="C35052" t="str">
            <v>FONDO FIDEICOMETIDO THUNDERIRD          7NC</v>
          </cell>
        </row>
        <row r="35053">
          <cell r="B35053" t="str">
            <v>86023500005001</v>
          </cell>
          <cell r="C35053" t="str">
            <v>PATRIMONIO - FIDEICOMISO AEROPUERTOS    7NC</v>
          </cell>
        </row>
        <row r="35054">
          <cell r="B35054" t="str">
            <v>86023600005001</v>
          </cell>
          <cell r="C35054" t="str">
            <v>FONDO FIDEICOMETIDO - APORTE MINERO Y   7NC</v>
          </cell>
        </row>
        <row r="35055">
          <cell r="B35055" t="str">
            <v>86023700005001</v>
          </cell>
          <cell r="C35055" t="str">
            <v>PATRIMONIO FIDEICOMISO - ANGELES SAA    7NC</v>
          </cell>
        </row>
        <row r="35056">
          <cell r="B35056" t="str">
            <v>86023800005001</v>
          </cell>
          <cell r="C35056" t="str">
            <v>FONDO FIDEICOMETIDO - SUPERFISH GTIA    7NC</v>
          </cell>
        </row>
        <row r="35057">
          <cell r="B35057" t="str">
            <v>86023900005001</v>
          </cell>
          <cell r="C35057" t="str">
            <v>FONDO FIDEICOMTIDO - SUPERFISH FLUJOS   7NC</v>
          </cell>
        </row>
        <row r="35058">
          <cell r="B35058" t="str">
            <v>86024000005001</v>
          </cell>
          <cell r="C35058" t="str">
            <v>FONDO FIDEICOMTIDO - ARZOBISPADO DEL    7NC</v>
          </cell>
        </row>
        <row r="35059">
          <cell r="B35059" t="str">
            <v>86024100005001</v>
          </cell>
          <cell r="C35059" t="str">
            <v>FONDO FIDEICOMETIDO - LOS VIÃ‘EDOS      7NC</v>
          </cell>
        </row>
        <row r="35060">
          <cell r="B35060" t="str">
            <v>86024200005001</v>
          </cell>
          <cell r="C35060" t="str">
            <v>FONDO FIDEICOMTIDO - RIO CHILLON        7NC</v>
          </cell>
        </row>
        <row r="35061">
          <cell r="B35061" t="str">
            <v>86024300005001</v>
          </cell>
          <cell r="C35061" t="str">
            <v>PATRIMONIO - FIDEICOMISO APC            7NC</v>
          </cell>
        </row>
        <row r="35062">
          <cell r="B35062" t="str">
            <v>86024400005001</v>
          </cell>
          <cell r="C35062" t="str">
            <v>PATRIMONIO - FIDEICOMISO SEDACAJ        7NC</v>
          </cell>
        </row>
        <row r="35063">
          <cell r="B35063" t="str">
            <v>86024600005001</v>
          </cell>
          <cell r="C35063" t="str">
            <v>PATRIMONIO - FIDEICOMISO LAS BAMBAS     7NC</v>
          </cell>
        </row>
        <row r="35064">
          <cell r="B35064" t="str">
            <v>86024700005001</v>
          </cell>
          <cell r="C35064" t="str">
            <v>PATRIMONIO - FIDEICOMISO BIG GREEN      7NC</v>
          </cell>
        </row>
        <row r="35065">
          <cell r="B35065" t="str">
            <v>86024800005001</v>
          </cell>
          <cell r="C35065" t="str">
            <v>PATRIMONIO - FIDEICOMISO COOPAC         7NC</v>
          </cell>
        </row>
        <row r="35066">
          <cell r="B35066" t="str">
            <v>86024900005001</v>
          </cell>
          <cell r="C35066" t="str">
            <v>PATRIMONIO - FIDEICOMISO RIO TINTO LA GR7NC</v>
          </cell>
        </row>
        <row r="35067">
          <cell r="B35067" t="str">
            <v>86025000005001</v>
          </cell>
          <cell r="C35067" t="str">
            <v>PATRIMONIO - FIDEICOMISO PERUBAR        7NC</v>
          </cell>
        </row>
        <row r="35068">
          <cell r="B35068" t="str">
            <v>86025100005001</v>
          </cell>
          <cell r="C35068" t="str">
            <v>PATRIMONIO - FIDEICOMISO JOCKEY PLAZA SH7NC</v>
          </cell>
        </row>
        <row r="35069">
          <cell r="B35069" t="str">
            <v>86025200005001</v>
          </cell>
          <cell r="C35069" t="str">
            <v>PATRIMONIO -FIDEICOMISO RAFAEL CORTES   7NC</v>
          </cell>
        </row>
        <row r="35070">
          <cell r="B35070" t="str">
            <v>86025300005001</v>
          </cell>
          <cell r="C35070" t="str">
            <v>PATRIMONIO FIDEICOMISO PHOENIX          7NC</v>
          </cell>
        </row>
        <row r="35071">
          <cell r="B35071" t="str">
            <v>86025600005001</v>
          </cell>
          <cell r="C35071" t="str">
            <v>PATRIMONIO -FIDEICOMISO ZAMBRANO        7NC</v>
          </cell>
        </row>
        <row r="35072">
          <cell r="B35072" t="str">
            <v>86025700005001</v>
          </cell>
          <cell r="C35072" t="str">
            <v>PATRIMONIO -FIDEICOMISO LURIN           7NC</v>
          </cell>
        </row>
        <row r="35073">
          <cell r="B35073" t="str">
            <v>86025800005001</v>
          </cell>
          <cell r="C35073" t="str">
            <v>PATRIMONIO -FIDEICOMISO LA MERCED       7NC</v>
          </cell>
        </row>
        <row r="35074">
          <cell r="B35074" t="str">
            <v>86025900005001</v>
          </cell>
          <cell r="C35074" t="str">
            <v>PATRIMONIO -FIDEICOMISO BRYSON HILLS    7NC</v>
          </cell>
        </row>
        <row r="35075">
          <cell r="B35075" t="str">
            <v>86026000005001</v>
          </cell>
          <cell r="C35075" t="str">
            <v>PATRIMONIO -FIDEICOMISO MARIATEGUI      7NC</v>
          </cell>
        </row>
        <row r="35076">
          <cell r="B35076" t="str">
            <v>86026100005001</v>
          </cell>
          <cell r="C35076" t="str">
            <v>PATRIMONIO -FIDEICOMISO CLUSTER MINERO  7NC</v>
          </cell>
        </row>
        <row r="35077">
          <cell r="B35077" t="str">
            <v>86026300005001</v>
          </cell>
          <cell r="C35077" t="str">
            <v>FONDO FIDEICOMTIDO  NEOANDINA           7NC</v>
          </cell>
        </row>
        <row r="35078">
          <cell r="B35078" t="str">
            <v>86026400005001</v>
          </cell>
          <cell r="C35078" t="str">
            <v>PATRIMONIO -FIDEICOMISO DPI FOVIMAR     7NC</v>
          </cell>
        </row>
        <row r="35079">
          <cell r="B35079" t="str">
            <v>86026500005001</v>
          </cell>
          <cell r="C35079" t="str">
            <v>PATRIMONIO -FIDEICOMISO GARANTIA DPI    7NC</v>
          </cell>
        </row>
        <row r="35080">
          <cell r="B35080" t="str">
            <v>86026600005001</v>
          </cell>
          <cell r="C35080" t="str">
            <v>PATRIMONIO -FIDEICOMISO  OLAS           7NC</v>
          </cell>
        </row>
        <row r="35081">
          <cell r="B35081" t="str">
            <v>86026700005001</v>
          </cell>
          <cell r="C35081" t="str">
            <v>PATRIMONIO -FIDEICOMISO  ILG LA GALLERA 7NC</v>
          </cell>
        </row>
        <row r="35082">
          <cell r="B35082" t="str">
            <v>86026800005001</v>
          </cell>
          <cell r="C35082" t="str">
            <v>PATRIMONIO -FIDEICOMISO CASTROVIRREINA  7NC</v>
          </cell>
        </row>
        <row r="35083">
          <cell r="B35083" t="str">
            <v>86027000005001</v>
          </cell>
          <cell r="C35083" t="str">
            <v>PATRIMONIO FIDEICOMISO ARTE EXPRESS Y CO7NC</v>
          </cell>
        </row>
        <row r="35084">
          <cell r="B35084" t="str">
            <v>86027100005001</v>
          </cell>
          <cell r="C35084" t="str">
            <v>PATRIMONIO FIDEICOMISO TEKTON           7NC</v>
          </cell>
        </row>
        <row r="35085">
          <cell r="B35085" t="str">
            <v>86027200005001</v>
          </cell>
          <cell r="C35085" t="str">
            <v>CONTRAPARTE DE PATRIMONIO DE FIDEICOMISO7NC</v>
          </cell>
        </row>
        <row r="35086">
          <cell r="B35086" t="str">
            <v>86027300005001</v>
          </cell>
          <cell r="C35086" t="str">
            <v>CONTRAPARTE DE PATRIMONIO DE FIDEICOMISO7NC</v>
          </cell>
        </row>
        <row r="35087">
          <cell r="B35087" t="str">
            <v>86027300005002</v>
          </cell>
          <cell r="C35087" t="str">
            <v>PATRIMONIO  SHAMROCK FLUJOS             7NC</v>
          </cell>
        </row>
        <row r="35088">
          <cell r="B35088" t="str">
            <v>86027300005003</v>
          </cell>
          <cell r="C35088" t="str">
            <v>PATRIMONIO  DESIGNERS FLUJOS            7NC</v>
          </cell>
        </row>
        <row r="35089">
          <cell r="B35089" t="str">
            <v>86027300005004</v>
          </cell>
          <cell r="C35089" t="str">
            <v>PATRIMONIO  IERSA FLUJOS                7NC</v>
          </cell>
        </row>
        <row r="35090">
          <cell r="B35090" t="str">
            <v>86027300005005</v>
          </cell>
          <cell r="C35090" t="str">
            <v>PATRIMONIO SUMA FINANCIAMIENTO PRIVADO  7NC</v>
          </cell>
        </row>
        <row r="35091">
          <cell r="B35091" t="str">
            <v>86027300005006</v>
          </cell>
          <cell r="C35091" t="str">
            <v>PATRIMONIO  FITEL                       7NC</v>
          </cell>
        </row>
        <row r="35092">
          <cell r="B35092" t="str">
            <v>86027300005007</v>
          </cell>
          <cell r="C35092" t="str">
            <v>PATRIMONIO BRYSON HILLS TERCERA ETAPA   7NC</v>
          </cell>
        </row>
        <row r="35093">
          <cell r="B35093" t="str">
            <v>86027300005008</v>
          </cell>
          <cell r="C35093" t="str">
            <v>CXP PATRIMONIO ARTE EXPRESS ENC.        7NC</v>
          </cell>
        </row>
        <row r="35094">
          <cell r="B35094" t="str">
            <v>86027300005009</v>
          </cell>
          <cell r="C35094" t="str">
            <v>PATRIMONIO FIDEICOMISOS INNOVA          7NC</v>
          </cell>
        </row>
        <row r="35095">
          <cell r="B35095" t="str">
            <v>86027300005010</v>
          </cell>
          <cell r="C35095" t="str">
            <v>PATRIMONIO FIDEICOMISOS SHAMROCK        7NC</v>
          </cell>
        </row>
        <row r="35096">
          <cell r="B35096" t="str">
            <v>86027300005011</v>
          </cell>
          <cell r="C35096" t="str">
            <v>PATRIMONIO FIDEICOMISOS DESIGNERS       7NC</v>
          </cell>
        </row>
        <row r="35097">
          <cell r="B35097" t="str">
            <v>86027300005012</v>
          </cell>
          <cell r="C35097" t="str">
            <v>PATRIMONIO FIDEICOMISOS IERSA           7NC</v>
          </cell>
        </row>
        <row r="35098">
          <cell r="B35098" t="str">
            <v>86027300005013</v>
          </cell>
          <cell r="C35098" t="str">
            <v>PATRIMONIO FIDEICOMISOS FRAP            7NC</v>
          </cell>
        </row>
        <row r="35099">
          <cell r="B35099" t="str">
            <v>86027300005014</v>
          </cell>
          <cell r="C35099" t="str">
            <v>PATRIMONIO FIDEICOMISOS ALBAMAR         7NC</v>
          </cell>
        </row>
        <row r="35100">
          <cell r="B35100" t="str">
            <v>86027300005015</v>
          </cell>
          <cell r="C35100" t="str">
            <v>PATRIMONIO FIDEICOMISOS QUIMERA         7NC</v>
          </cell>
        </row>
        <row r="35101">
          <cell r="B35101" t="str">
            <v>86027300005016</v>
          </cell>
          <cell r="C35101" t="str">
            <v>PATRIMONIO DE FIDEICOMISOS-CENCOSUD     7NC</v>
          </cell>
        </row>
        <row r="35102">
          <cell r="B35102" t="str">
            <v>86027300005017</v>
          </cell>
          <cell r="C35102" t="str">
            <v>PATRIMONIO DE FIDEICOMISOS-EDIFICA      7NC</v>
          </cell>
        </row>
        <row r="35103">
          <cell r="B35103" t="str">
            <v>86027300005018</v>
          </cell>
          <cell r="C35103" t="str">
            <v>PATRIMONIO DE FIDEICOMISOS-PRISONTEC    7NC</v>
          </cell>
        </row>
        <row r="35104">
          <cell r="B35104" t="str">
            <v>86027300005019</v>
          </cell>
          <cell r="C35104" t="str">
            <v>PATRIMONIO DE FIDEIC. MURILLO           7NC</v>
          </cell>
        </row>
        <row r="35105">
          <cell r="B35105" t="str">
            <v>86027300005020</v>
          </cell>
          <cell r="C35105" t="str">
            <v>PATRIMONIO DE FIDEIC. ARTECO            7NC</v>
          </cell>
        </row>
        <row r="35106">
          <cell r="B35106" t="str">
            <v>86027300005021</v>
          </cell>
          <cell r="C35106" t="str">
            <v>PATRIMONIO DE FIDEIC. JJC               7NC</v>
          </cell>
        </row>
        <row r="35107">
          <cell r="B35107" t="str">
            <v>86027300005022</v>
          </cell>
          <cell r="C35107" t="str">
            <v>PATRIMONIO DE FIDEIC.ALTA VIDDA         7NC</v>
          </cell>
        </row>
        <row r="35108">
          <cell r="B35108" t="str">
            <v>86027300005023</v>
          </cell>
          <cell r="C35108" t="str">
            <v>PATRIMONIO DE FIDEIC. TISA              7NC</v>
          </cell>
        </row>
        <row r="35109">
          <cell r="B35109" t="str">
            <v>86027300005024</v>
          </cell>
          <cell r="C35109" t="str">
            <v>PATRIMONIO DE FIDEIC. MATELLINI         7NC</v>
          </cell>
        </row>
        <row r="35110">
          <cell r="B35110" t="str">
            <v>86027300005025</v>
          </cell>
          <cell r="C35110" t="str">
            <v>PATRIMONIO DE FIDEIC. COPAM             7NC</v>
          </cell>
        </row>
        <row r="35111">
          <cell r="B35111" t="str">
            <v>86027300005026</v>
          </cell>
          <cell r="C35111" t="str">
            <v>Caja PENNANO                            7NC</v>
          </cell>
        </row>
        <row r="35112">
          <cell r="B35112" t="str">
            <v>86027300005027</v>
          </cell>
          <cell r="C35112" t="str">
            <v>IME 911 IT GROUP                        7NC</v>
          </cell>
        </row>
        <row r="35113">
          <cell r="B35113" t="str">
            <v>86027300005028</v>
          </cell>
          <cell r="C35113" t="str">
            <v>IME INTERMODAL                          7NC</v>
          </cell>
        </row>
        <row r="35114">
          <cell r="B35114" t="str">
            <v>86027300005029</v>
          </cell>
          <cell r="C35114" t="str">
            <v>IME NURIA NVG                           7NC</v>
          </cell>
        </row>
        <row r="35115">
          <cell r="B35115" t="str">
            <v>86027300005030</v>
          </cell>
          <cell r="C35115" t="str">
            <v>IME COMPAÃ‘ÃA INMOBILIARIA PARACAS     7NC</v>
          </cell>
        </row>
        <row r="35116">
          <cell r="B35116" t="str">
            <v>86027300005031</v>
          </cell>
          <cell r="C35116" t="str">
            <v>IME JJCE CREDICORP ACTIVOS              7NC</v>
          </cell>
        </row>
        <row r="35117">
          <cell r="B35117" t="str">
            <v>86027300005032</v>
          </cell>
          <cell r="C35117" t="str">
            <v>Caja JOYERIA ALDO FLUJOS                7NC</v>
          </cell>
        </row>
        <row r="35118">
          <cell r="B35118" t="str">
            <v>86027300005033</v>
          </cell>
          <cell r="C35118" t="str">
            <v>Caja ARTE EXPRESS PYP                   7NC</v>
          </cell>
        </row>
        <row r="35119">
          <cell r="B35119" t="str">
            <v>86027300005034</v>
          </cell>
          <cell r="C35119" t="str">
            <v>Caja Fideicomiso - Municipalidad Ascope 7NC</v>
          </cell>
        </row>
        <row r="35120">
          <cell r="B35120" t="str">
            <v>86027300005035</v>
          </cell>
          <cell r="C35120" t="str">
            <v>Caja Fideicomiso - Campanario           7NC</v>
          </cell>
        </row>
        <row r="35121">
          <cell r="B35121" t="str">
            <v>86027300005036</v>
          </cell>
          <cell r="C35121" t="str">
            <v>Caja Fideicomiso - Astilleros           7NC</v>
          </cell>
        </row>
        <row r="35122">
          <cell r="B35122" t="str">
            <v>86027300005037</v>
          </cell>
          <cell r="C35122" t="str">
            <v>IME SAVAR AGENTES DE ADUANA             7NC</v>
          </cell>
        </row>
        <row r="35123">
          <cell r="B35123" t="str">
            <v>86027300005038</v>
          </cell>
          <cell r="C35123" t="str">
            <v>IME INMOBILIARIA GALVANI                7NC</v>
          </cell>
        </row>
        <row r="35124">
          <cell r="B35124" t="str">
            <v>86027300005039</v>
          </cell>
          <cell r="C35124" t="str">
            <v>IME JACOBO BLUFSTEIN                    7NC</v>
          </cell>
        </row>
        <row r="35125">
          <cell r="B35125" t="str">
            <v>86027300005040</v>
          </cell>
          <cell r="C35125" t="str">
            <v>IME NATHAN BLUFSTEIN                    7NC</v>
          </cell>
        </row>
        <row r="35126">
          <cell r="B35126" t="str">
            <v>86027300005041</v>
          </cell>
          <cell r="C35126" t="str">
            <v>IME ALBAURBE- BOLIVAR                   7NC</v>
          </cell>
        </row>
        <row r="35127">
          <cell r="B35127" t="str">
            <v>86027300005042</v>
          </cell>
          <cell r="C35127" t="str">
            <v>CAJA FIDEICOMISO - HUARIPAMPA           7NC</v>
          </cell>
        </row>
        <row r="35128">
          <cell r="B35128" t="str">
            <v>86027300005043</v>
          </cell>
          <cell r="C35128" t="str">
            <v>IME SAVAR AGENTES DE ADUANA II          7NC</v>
          </cell>
        </row>
        <row r="35129">
          <cell r="B35129" t="str">
            <v>86027300005044</v>
          </cell>
          <cell r="C35129" t="str">
            <v>FIDEICOMISO Danper GNB                  7NC</v>
          </cell>
        </row>
        <row r="35130">
          <cell r="B35130" t="str">
            <v>86027300005045</v>
          </cell>
          <cell r="C35130" t="str">
            <v>IME INNOVA SCHOOLS III GARANTÃA        7NC</v>
          </cell>
        </row>
        <row r="35131">
          <cell r="B35131" t="str">
            <v>86027300005046</v>
          </cell>
          <cell r="C35131" t="str">
            <v>IME SAN JUAN BAUTISTAÂ  GARANTIA        7NC</v>
          </cell>
        </row>
        <row r="35132">
          <cell r="B35132" t="str">
            <v>86027300005047</v>
          </cell>
          <cell r="C35132" t="str">
            <v>CAJA FIDEICOMISO - FONDO SOCIAL LOTE 1927NC</v>
          </cell>
        </row>
        <row r="35133">
          <cell r="B35133" t="str">
            <v>86027300005048</v>
          </cell>
          <cell r="C35133" t="str">
            <v>CAJA FIDEICOMISO - ABUDAYEH             7NC</v>
          </cell>
        </row>
        <row r="35134">
          <cell r="B35134" t="str">
            <v>86027300005049</v>
          </cell>
          <cell r="C35134" t="str">
            <v>IME GRAMBSÂ                             7NC</v>
          </cell>
        </row>
        <row r="35135">
          <cell r="B35135" t="str">
            <v>86027300005050</v>
          </cell>
          <cell r="C35135" t="str">
            <v>IME ABUDAYEH ACTIVOSÂ                   7NC</v>
          </cell>
        </row>
        <row r="35136">
          <cell r="B35136" t="str">
            <v>86027300005051</v>
          </cell>
          <cell r="C35136" t="str">
            <v>CAJA FIDEICOMISO - JJC CREDICORP II     7NC</v>
          </cell>
        </row>
        <row r="35137">
          <cell r="B35137" t="str">
            <v>86027300005052</v>
          </cell>
          <cell r="C35137" t="str">
            <v>CAJA FIDEICOMISO - GRUPO ENTRETENEDORES 7NC</v>
          </cell>
        </row>
        <row r="35138">
          <cell r="B35138" t="str">
            <v>86027300005053</v>
          </cell>
          <cell r="C35138" t="str">
            <v>PATRIMONIO DE FIDEICOMISOS - CIUDARIS FL7NC</v>
          </cell>
        </row>
        <row r="35139">
          <cell r="B35139" t="str">
            <v>86027300005054</v>
          </cell>
          <cell r="C35139" t="str">
            <v>PATRIMONIO DE FIDEICOMISOS-CAJA FITEL   7NC</v>
          </cell>
        </row>
        <row r="35140">
          <cell r="B35140" t="str">
            <v>86027300005055</v>
          </cell>
          <cell r="C35140" t="str">
            <v>PATRIMONIO DE FIDEICOMISOS-DIXBANE INTEL7NC</v>
          </cell>
        </row>
        <row r="35141">
          <cell r="B35141" t="str">
            <v>86027300005056</v>
          </cell>
          <cell r="C35141" t="str">
            <v>PATRIMONIO DE FIDEICOMISO MOLINERA LOS A7NC</v>
          </cell>
        </row>
        <row r="35142">
          <cell r="B35142" t="str">
            <v>86027300005057</v>
          </cell>
          <cell r="C35142" t="str">
            <v>IME ESTUDIO DHC                         7NC</v>
          </cell>
        </row>
        <row r="35143">
          <cell r="B35143" t="str">
            <v>86027300005058</v>
          </cell>
          <cell r="C35143" t="str">
            <v>PATRIMONIO FIDEICOMETIDO GEOHIDRAULICA  7NC</v>
          </cell>
        </row>
        <row r="35144">
          <cell r="B35144" t="str">
            <v>86030300007705</v>
          </cell>
          <cell r="C35144" t="str">
            <v>CHI INTERESES SOBRE COLOCACIONES        7NC</v>
          </cell>
        </row>
        <row r="35145">
          <cell r="B35145" t="str">
            <v>86030300007706</v>
          </cell>
          <cell r="C35145" t="str">
            <v>CHI COMISIONES SOBRE COLOCACIONES       7NC</v>
          </cell>
        </row>
        <row r="35146">
          <cell r="B35146" t="str">
            <v>86030300007707</v>
          </cell>
          <cell r="C35146" t="str">
            <v>CHI REAJ INDEX INTERESES .1PAG          7NC</v>
          </cell>
        </row>
        <row r="35147">
          <cell r="B35147" t="str">
            <v>86030500007509</v>
          </cell>
          <cell r="C35147" t="str">
            <v>OTROS INGRESOS DIVERSOSPF1              7NC</v>
          </cell>
        </row>
        <row r="35148">
          <cell r="B35148" t="str">
            <v>86080000000133</v>
          </cell>
          <cell r="C35148" t="str">
            <v>GR TARUCA                               7NC</v>
          </cell>
        </row>
        <row r="35149">
          <cell r="B35149" t="str">
            <v>86080000000134</v>
          </cell>
          <cell r="C35149" t="str">
            <v>GR PAINOÂ                               7NC</v>
          </cell>
        </row>
        <row r="35150">
          <cell r="B35150" t="str">
            <v>86080000000146</v>
          </cell>
          <cell r="C35150" t="str">
            <v>GEF - CTAS POR PAGAR                    7NC</v>
          </cell>
        </row>
        <row r="35151">
          <cell r="B35151" t="str">
            <v>86080000000150</v>
          </cell>
          <cell r="C35151" t="str">
            <v>GEF - PATRIMONIO                        7NC</v>
          </cell>
        </row>
        <row r="35152">
          <cell r="B35152" t="str">
            <v>86080000000246</v>
          </cell>
          <cell r="C35152" t="str">
            <v>GPAN - CTAS POR PAGAR                   7NC</v>
          </cell>
        </row>
        <row r="35153">
          <cell r="B35153" t="str">
            <v>86080000000250</v>
          </cell>
          <cell r="C35153" t="str">
            <v>GPAN - PATRIMONIO                       7NC</v>
          </cell>
        </row>
        <row r="35154">
          <cell r="B35154" t="str">
            <v>86080000000346</v>
          </cell>
          <cell r="C35154" t="str">
            <v>FOSERSOE1 - CTAS POR PAGAR              7NC</v>
          </cell>
        </row>
        <row r="35155">
          <cell r="B35155" t="str">
            <v>86080000000350</v>
          </cell>
          <cell r="C35155" t="str">
            <v>FOSERSOE1 - PATRIMONIO                  7NC</v>
          </cell>
        </row>
        <row r="35156">
          <cell r="B35156" t="str">
            <v>86080000000446</v>
          </cell>
          <cell r="C35156" t="str">
            <v>FOSERSOE2 - CTAS POR PAGAR              7NC</v>
          </cell>
        </row>
        <row r="35157">
          <cell r="B35157" t="str">
            <v>86080000000450</v>
          </cell>
          <cell r="C35157" t="str">
            <v>FOSERSOE2 - PATRIMONIO                  7NC</v>
          </cell>
        </row>
        <row r="35158">
          <cell r="B35158" t="str">
            <v>86080000000546</v>
          </cell>
          <cell r="C35158" t="str">
            <v>HELVIA BARREDA - CTAS POR PAGAR         7NC</v>
          </cell>
        </row>
        <row r="35159">
          <cell r="B35159" t="str">
            <v>86080000000550</v>
          </cell>
          <cell r="C35159" t="str">
            <v>HELVIA BARREDA - PATRIMONIO             7NC</v>
          </cell>
        </row>
        <row r="35160">
          <cell r="B35160" t="str">
            <v>86080000000646</v>
          </cell>
          <cell r="C35160" t="str">
            <v>FOSERSOE3 - CTAS POR PAGAR              7NC</v>
          </cell>
        </row>
        <row r="35161">
          <cell r="B35161" t="str">
            <v>86080000000650</v>
          </cell>
          <cell r="C35161" t="str">
            <v>FOSERSOE3 - PATRIMONIO                  7NC</v>
          </cell>
        </row>
        <row r="35162">
          <cell r="B35162" t="str">
            <v>86080000000746</v>
          </cell>
          <cell r="C35162" t="str">
            <v>BANMAT - CTAS POR PAGAR                 7NC</v>
          </cell>
        </row>
        <row r="35163">
          <cell r="B35163" t="str">
            <v>86080000000750</v>
          </cell>
          <cell r="C35163" t="str">
            <v>BANMAT - PATRIMONIO                     7NC</v>
          </cell>
        </row>
        <row r="35164">
          <cell r="B35164" t="str">
            <v>86080000000846</v>
          </cell>
          <cell r="C35164" t="str">
            <v>FOSERSOE 4 - CTAS POR PAGAR             7NC</v>
          </cell>
        </row>
        <row r="35165">
          <cell r="B35165" t="str">
            <v>86080000000850</v>
          </cell>
          <cell r="C35165" t="str">
            <v>FOSERSOE 4 - PATRIMONIO                 7NC</v>
          </cell>
        </row>
        <row r="35166">
          <cell r="B35166" t="str">
            <v>86080000000946</v>
          </cell>
          <cell r="C35166" t="str">
            <v>FAE 1 - CTAS POR PAGAR                  7NC</v>
          </cell>
        </row>
        <row r="35167">
          <cell r="B35167" t="str">
            <v>86080000000950</v>
          </cell>
          <cell r="C35167" t="str">
            <v>FAE 1 - PATRIMONIO                      7NC</v>
          </cell>
        </row>
        <row r="35168">
          <cell r="B35168" t="str">
            <v>86080000001146</v>
          </cell>
          <cell r="C35168" t="str">
            <v>FAE 2 - CTAS POR PAGAR                  7NC</v>
          </cell>
        </row>
        <row r="35169">
          <cell r="B35169" t="str">
            <v>86080000001150</v>
          </cell>
          <cell r="C35169" t="str">
            <v>FAE 2 - PATRIMONIO                      7NC</v>
          </cell>
        </row>
        <row r="35170">
          <cell r="B35170" t="str">
            <v>86080000001246</v>
          </cell>
          <cell r="C35170" t="str">
            <v>FSRO - CTAS POR PAGAR                   7NC</v>
          </cell>
        </row>
        <row r="35171">
          <cell r="B35171" t="str">
            <v>86080000001346</v>
          </cell>
          <cell r="C35171" t="str">
            <v>INTERTITULOS - CTAS POR PAGAR           7NC</v>
          </cell>
        </row>
        <row r="35172">
          <cell r="B35172" t="str">
            <v>86080000001350</v>
          </cell>
          <cell r="C35172" t="str">
            <v>INTERTITULOS - PATRIMONIO               7NC</v>
          </cell>
        </row>
        <row r="35173">
          <cell r="B35173" t="str">
            <v>86080000001450</v>
          </cell>
          <cell r="C35173" t="str">
            <v>FERREYROS - PATRIMONIO                  7NC</v>
          </cell>
        </row>
        <row r="35174">
          <cell r="B35174" t="str">
            <v>86080000001550</v>
          </cell>
          <cell r="C35174" t="str">
            <v>CFG INVESTMENT - PATRIMONIO             7NC</v>
          </cell>
        </row>
        <row r="35175">
          <cell r="B35175" t="str">
            <v>86080000001650</v>
          </cell>
          <cell r="C35175" t="str">
            <v>PESQUERA EXALMAR - PATRIMONIO           7NC</v>
          </cell>
        </row>
        <row r="35176">
          <cell r="B35176" t="str">
            <v>86080000001750</v>
          </cell>
          <cell r="C35176" t="str">
            <v>MINERA CASAMINAS - PATRIMONIO           7NC</v>
          </cell>
        </row>
        <row r="35177">
          <cell r="B35177" t="str">
            <v>86080000001850</v>
          </cell>
          <cell r="C35177" t="str">
            <v>MINERA SINAYCOCHA - PATRIMONIO          7NC</v>
          </cell>
        </row>
        <row r="35178">
          <cell r="B35178" t="str">
            <v>86080000001950</v>
          </cell>
          <cell r="C35178" t="str">
            <v>PESQ. ISLA BLANCA - PATRIMONIO          7NC</v>
          </cell>
        </row>
        <row r="35179">
          <cell r="B35179" t="str">
            <v>86080000002046</v>
          </cell>
          <cell r="C35179" t="str">
            <v>FOSERECE - CTAS POR PAGAR               7NC</v>
          </cell>
        </row>
        <row r="35180">
          <cell r="B35180" t="str">
            <v>86080000002050</v>
          </cell>
          <cell r="C35180" t="str">
            <v>FOSERECE - PATRIMONIO                   7NC</v>
          </cell>
        </row>
        <row r="35181">
          <cell r="B35181" t="str">
            <v>86080000002146</v>
          </cell>
          <cell r="C35181" t="str">
            <v>INTERCORP PERU LTD - CTAS POR PAGAR     7NC</v>
          </cell>
        </row>
        <row r="35182">
          <cell r="B35182" t="str">
            <v>86080000002150</v>
          </cell>
          <cell r="C35182" t="str">
            <v>INTERCORP PERU LTD - PATRIMONIO         7NC</v>
          </cell>
        </row>
        <row r="35183">
          <cell r="B35183" t="str">
            <v>86080000002246</v>
          </cell>
          <cell r="C35183" t="str">
            <v>IFS - CTAS POR PAGAR                    7NC</v>
          </cell>
        </row>
        <row r="35184">
          <cell r="B35184" t="str">
            <v>86080000002250</v>
          </cell>
          <cell r="C35184" t="str">
            <v>IFS - PATRIMONIO                        7NC</v>
          </cell>
        </row>
        <row r="35185">
          <cell r="B35185" t="str">
            <v>86080000002350</v>
          </cell>
          <cell r="C35185" t="str">
            <v>INMOBILIARIA RISCAL - PATRIMONIO        7NC</v>
          </cell>
        </row>
        <row r="35186">
          <cell r="B35186" t="str">
            <v>86080000002450</v>
          </cell>
          <cell r="C35186" t="str">
            <v>FASHION CENTER - PATRIMONIO             7NC</v>
          </cell>
        </row>
        <row r="35187">
          <cell r="B35187" t="str">
            <v>86080000002550</v>
          </cell>
          <cell r="C35187" t="str">
            <v>FASHION CENTER - PATRIMONIO             7NC</v>
          </cell>
        </row>
        <row r="35188">
          <cell r="B35188" t="str">
            <v>86080000002650</v>
          </cell>
          <cell r="C35188" t="str">
            <v>P.E.E.A. DOS HERMANOS - PATRIMONIO      7NC</v>
          </cell>
        </row>
        <row r="35189">
          <cell r="B35189" t="str">
            <v>86080000002750</v>
          </cell>
          <cell r="C35189" t="str">
            <v>PRODUCTOS MARINOS PACÂ¡FICO SUR - PATR  7NC</v>
          </cell>
        </row>
        <row r="35190">
          <cell r="B35190" t="str">
            <v>86080000002846</v>
          </cell>
          <cell r="C35190" t="str">
            <v>ACE SEGURO - CTAS POR PAGAR             7NC</v>
          </cell>
        </row>
        <row r="35191">
          <cell r="B35191" t="str">
            <v>86080000002850</v>
          </cell>
          <cell r="C35191" t="str">
            <v>ACE SEGURO - PATRIMONIO                 7NC</v>
          </cell>
        </row>
        <row r="35192">
          <cell r="B35192" t="str">
            <v>86080000002950</v>
          </cell>
          <cell r="C35192" t="str">
            <v>CFG TIRADO                              7NC</v>
          </cell>
        </row>
        <row r="35193">
          <cell r="B35193" t="str">
            <v>86080000003050</v>
          </cell>
          <cell r="C35193" t="str">
            <v>CORPORACION UNO                         7NC</v>
          </cell>
        </row>
        <row r="35194">
          <cell r="B35194" t="str">
            <v>86080000003146</v>
          </cell>
          <cell r="C35194" t="str">
            <v>CMG - CTAS POR PAGAR                    7NC</v>
          </cell>
        </row>
        <row r="35195">
          <cell r="B35195" t="str">
            <v>86080000003150</v>
          </cell>
          <cell r="C35195" t="str">
            <v>CMG - PATRIMONIO                        7NC</v>
          </cell>
        </row>
        <row r="35196">
          <cell r="B35196" t="str">
            <v>86080000003246</v>
          </cell>
          <cell r="C35196" t="str">
            <v>FISSAL - CTAS POR PAGAR                 7NC</v>
          </cell>
        </row>
        <row r="35197">
          <cell r="B35197" t="str">
            <v>86080000003250</v>
          </cell>
          <cell r="C35197" t="str">
            <v>FISSAL - PATRIMONIO                     7NC</v>
          </cell>
        </row>
        <row r="35198">
          <cell r="B35198" t="str">
            <v>86080000003350</v>
          </cell>
          <cell r="C35198" t="str">
            <v>EPESCA PISCO - POR CONTRA               7NC</v>
          </cell>
        </row>
        <row r="35199">
          <cell r="B35199" t="str">
            <v>86080000003450</v>
          </cell>
          <cell r="C35199" t="str">
            <v>GMP - BNP POR CONTRA                    7NC</v>
          </cell>
        </row>
        <row r="35200">
          <cell r="B35200" t="str">
            <v>86080000003533</v>
          </cell>
          <cell r="C35200" t="str">
            <v>CERRO PRIETO - POR CONTRA               7NC</v>
          </cell>
        </row>
        <row r="35201">
          <cell r="B35201" t="str">
            <v>86080000003546</v>
          </cell>
          <cell r="C35201" t="str">
            <v>UNIV LIMA - CTAS POR PAGAR              7NC</v>
          </cell>
        </row>
        <row r="35202">
          <cell r="B35202" t="str">
            <v>86080000003550</v>
          </cell>
          <cell r="C35202" t="str">
            <v>UNIV LIMA - PATRIMONIO                  7NC</v>
          </cell>
        </row>
        <row r="35203">
          <cell r="B35203" t="str">
            <v>86080000003710</v>
          </cell>
          <cell r="C35203" t="str">
            <v>SCROW MAXIMO MANUEL ANGELES             7NC</v>
          </cell>
        </row>
        <row r="35204">
          <cell r="B35204" t="str">
            <v>86080000003715</v>
          </cell>
          <cell r="C35204" t="str">
            <v>MANTTO CYPCO                            7NC</v>
          </cell>
        </row>
        <row r="35205">
          <cell r="B35205" t="str">
            <v>86080000003716</v>
          </cell>
          <cell r="C35205" t="str">
            <v>IDEAS TEXTILES                          7NC</v>
          </cell>
        </row>
        <row r="35206">
          <cell r="B35206" t="str">
            <v>86080000003717</v>
          </cell>
          <cell r="C35206" t="str">
            <v>LINCUNA                                 7NC</v>
          </cell>
        </row>
        <row r="35207">
          <cell r="B35207" t="str">
            <v>86080000003718</v>
          </cell>
          <cell r="C35207" t="str">
            <v>LIMABANDA                               7NC</v>
          </cell>
        </row>
        <row r="35208">
          <cell r="B35208" t="str">
            <v>86080000003719</v>
          </cell>
          <cell r="C35208" t="str">
            <v>INTERPROPERTIES                         7NC</v>
          </cell>
        </row>
        <row r="35209">
          <cell r="B35209" t="str">
            <v>86080000003720</v>
          </cell>
          <cell r="C35209" t="str">
            <v>HSBC                                    7NC</v>
          </cell>
        </row>
        <row r="35210">
          <cell r="B35210" t="str">
            <v>86080000003721</v>
          </cell>
          <cell r="C35210" t="str">
            <v>UTP                                     7NC</v>
          </cell>
        </row>
        <row r="35211">
          <cell r="B35211" t="str">
            <v>86080000003722</v>
          </cell>
          <cell r="C35211" t="str">
            <v>COLECCIÃ“N LATINA                       7NC</v>
          </cell>
        </row>
        <row r="35212">
          <cell r="B35212" t="str">
            <v>86080000003850</v>
          </cell>
          <cell r="C35212" t="str">
            <v>AGROINDUSTRIAL BETA - POR  CONTRA       7NC</v>
          </cell>
        </row>
        <row r="35213">
          <cell r="B35213" t="str">
            <v>86080000003950</v>
          </cell>
          <cell r="C35213" t="str">
            <v>BELLAVISTA GLOBAL - POR EL CONTRARIO    7NC</v>
          </cell>
        </row>
        <row r="35214">
          <cell r="B35214" t="str">
            <v>86080000004050</v>
          </cell>
          <cell r="C35214" t="str">
            <v>ESCROW OPERADORA CLUB DESOCIOS SAC      7NC</v>
          </cell>
        </row>
        <row r="35215">
          <cell r="B35215" t="str">
            <v>86080000004150</v>
          </cell>
          <cell r="C35215" t="str">
            <v>HARLESTONE TECHNOLOGIES CORP            7NC</v>
          </cell>
        </row>
        <row r="35216">
          <cell r="B35216" t="str">
            <v>86080000004160</v>
          </cell>
          <cell r="C35216" t="str">
            <v>TOTAL ARTEFACTOS                        7NC</v>
          </cell>
        </row>
        <row r="35217">
          <cell r="B35217" t="str">
            <v>86080000004170</v>
          </cell>
          <cell r="C35217" t="str">
            <v>CACRE                                   7NC</v>
          </cell>
        </row>
        <row r="35218">
          <cell r="B35218" t="str">
            <v>86080000004180</v>
          </cell>
          <cell r="C35218" t="str">
            <v>HAUG                                    7NC</v>
          </cell>
        </row>
        <row r="35219">
          <cell r="B35219" t="str">
            <v>86080000004190</v>
          </cell>
          <cell r="C35219" t="str">
            <v>FSRO - CTAS POR PAGAR                   7NC</v>
          </cell>
        </row>
        <row r="35220">
          <cell r="B35220" t="str">
            <v>86080000004201</v>
          </cell>
          <cell r="C35220" t="str">
            <v>FSRO - PATRIMONIO                       7NC</v>
          </cell>
        </row>
        <row r="35221">
          <cell r="B35221" t="str">
            <v>86080000004250</v>
          </cell>
          <cell r="C35221" t="str">
            <v>INMOBILIARIA MALBE SA                   7NC</v>
          </cell>
        </row>
        <row r="35222">
          <cell r="B35222" t="str">
            <v>86080000004260</v>
          </cell>
          <cell r="C35222" t="str">
            <v>IBER RENT                               7NC</v>
          </cell>
        </row>
        <row r="35223">
          <cell r="B35223" t="str">
            <v>86080000004333</v>
          </cell>
          <cell r="C35223" t="str">
            <v>EL DORAL - SCROW                        7NC</v>
          </cell>
        </row>
        <row r="35224">
          <cell r="B35224" t="str">
            <v>86080000004346</v>
          </cell>
          <cell r="C35224" t="str">
            <v>FOSERSOE 5 - CTAS POR PAGAR             7NC</v>
          </cell>
        </row>
        <row r="35225">
          <cell r="B35225" t="str">
            <v>86080000004350</v>
          </cell>
          <cell r="C35225" t="str">
            <v>FOSERSOE 5 - PATRIMONIO                 7NC</v>
          </cell>
        </row>
        <row r="35226">
          <cell r="B35226" t="str">
            <v>86080000004360</v>
          </cell>
          <cell r="C35226" t="str">
            <v>ASOCIACION CIVIL NEOANDINA              7NC</v>
          </cell>
        </row>
        <row r="35227">
          <cell r="B35227" t="str">
            <v>86080000004433</v>
          </cell>
          <cell r="C35227" t="str">
            <v>NG RESTAURANTSÂ SCROW                   7NC</v>
          </cell>
        </row>
        <row r="35228">
          <cell r="B35228" t="str">
            <v>86080000004533</v>
          </cell>
          <cell r="C35228" t="str">
            <v>MINERA TITAN DEL PERU SCROW             7NC</v>
          </cell>
        </row>
        <row r="35229">
          <cell r="B35229" t="str">
            <v>86080000004633</v>
          </cell>
          <cell r="C35229" t="str">
            <v>NESSUS HOTELES PERU SCROW               7NC</v>
          </cell>
        </row>
        <row r="35230">
          <cell r="B35230" t="str">
            <v>86080000004733</v>
          </cell>
          <cell r="C35230" t="str">
            <v>COSMOS AGENCIA MARÃTIMA SCROW          7NC</v>
          </cell>
        </row>
        <row r="35231">
          <cell r="B35231" t="str">
            <v>86080000004833</v>
          </cell>
          <cell r="C35231" t="str">
            <v>EDIFICA CORP SCROW                      7NC</v>
          </cell>
        </row>
        <row r="35232">
          <cell r="B35232" t="str">
            <v>86080000004933</v>
          </cell>
          <cell r="C35232" t="str">
            <v>INVERSIONES INMOBILIARIAS MAR SCROW     7NC</v>
          </cell>
        </row>
        <row r="35233">
          <cell r="B35233" t="str">
            <v>86080000005033</v>
          </cell>
          <cell r="C35233" t="str">
            <v>QUEST &amp; SOLUTIONS SCROW                 7NC</v>
          </cell>
        </row>
        <row r="35234">
          <cell r="B35234" t="str">
            <v>86080000005133</v>
          </cell>
          <cell r="C35234" t="str">
            <v>PRIDE CORPORATION SCROW                 7NC</v>
          </cell>
        </row>
        <row r="35235">
          <cell r="B35235" t="str">
            <v>86080000005233</v>
          </cell>
          <cell r="C35235" t="str">
            <v>HOMECENTERS PERUANOS SCROW              7NC</v>
          </cell>
        </row>
        <row r="35236">
          <cell r="B35236" t="str">
            <v>86080000005333</v>
          </cell>
          <cell r="C35236" t="str">
            <v>RIO BRAVO SCROW                         7NC</v>
          </cell>
        </row>
        <row r="35237">
          <cell r="B35237" t="str">
            <v>86080000005433</v>
          </cell>
          <cell r="C35237" t="str">
            <v>CONDUCTORES Y CABLES DEL PERUÂ SCROW    7NC</v>
          </cell>
        </row>
        <row r="35238">
          <cell r="B35238" t="str">
            <v>86080000005533</v>
          </cell>
          <cell r="C35238" t="str">
            <v>GCZ INGENIEROS SCROW                    7NC</v>
          </cell>
        </row>
        <row r="35239">
          <cell r="B35239" t="str">
            <v>86080000005633</v>
          </cell>
          <cell r="C35239" t="str">
            <v>ENERGY SERVICES DEL PERU SCROW          7NC</v>
          </cell>
        </row>
        <row r="35240">
          <cell r="B35240" t="str">
            <v>86080000005733</v>
          </cell>
          <cell r="C35240" t="str">
            <v>MC INMOBILIARIA SCROW                   7NC</v>
          </cell>
        </row>
        <row r="35241">
          <cell r="B35241" t="str">
            <v>86080000005833</v>
          </cell>
          <cell r="C35241" t="str">
            <v>A.R. INMOB. CONTRATISTAS SCROW          7NC</v>
          </cell>
        </row>
        <row r="35242">
          <cell r="B35242" t="str">
            <v>86080000005933</v>
          </cell>
          <cell r="C35242" t="str">
            <v>ESTUDIO CASTRO &amp; BRAVO SCROW            7NC</v>
          </cell>
        </row>
        <row r="35243">
          <cell r="B35243" t="str">
            <v>86080000006033</v>
          </cell>
          <cell r="C35243" t="str">
            <v>ENTRETENIMIENTOS MASARIS SCROW          7NC</v>
          </cell>
        </row>
        <row r="35244">
          <cell r="B35244" t="str">
            <v>86080000006133</v>
          </cell>
          <cell r="C35244" t="str">
            <v>CORPORACION SANTA MARIA SCROW           7NC</v>
          </cell>
        </row>
        <row r="35245">
          <cell r="B35245" t="str">
            <v>86080000006233</v>
          </cell>
          <cell r="C35245" t="str">
            <v>DEUTSCHE BANK AG NEW YORK SCROW         7NC</v>
          </cell>
        </row>
        <row r="35246">
          <cell r="B35246" t="str">
            <v>86080000006333</v>
          </cell>
          <cell r="C35246" t="str">
            <v>FEIGER CHAMPIN HENRY SCROW              7NC</v>
          </cell>
        </row>
        <row r="35247">
          <cell r="B35247" t="str">
            <v>86080000006433</v>
          </cell>
          <cell r="C35247" t="str">
            <v>MADERERA LAS GARZAS SCROW               7NC</v>
          </cell>
        </row>
        <row r="35248">
          <cell r="B35248" t="str">
            <v>86080000006533</v>
          </cell>
          <cell r="C35248" t="str">
            <v>SCHWARTZMANN DE FERRARI SCROW           7NC</v>
          </cell>
        </row>
        <row r="35249">
          <cell r="B35249" t="str">
            <v>86080000006633</v>
          </cell>
          <cell r="C35249" t="str">
            <v>FIBRAS MARINAS SCROW                    7NC</v>
          </cell>
        </row>
        <row r="35250">
          <cell r="B35250" t="str">
            <v>86080000006733</v>
          </cell>
          <cell r="C35250" t="str">
            <v>INVERSIONES TRAVIATA                    7NC</v>
          </cell>
        </row>
        <row r="35251">
          <cell r="B35251" t="str">
            <v>86080000006833</v>
          </cell>
          <cell r="C35251" t="str">
            <v>DEN BOR LIANG PAUL                      7NC</v>
          </cell>
        </row>
        <row r="35252">
          <cell r="B35252" t="str">
            <v>86080000006933</v>
          </cell>
          <cell r="C35252" t="str">
            <v>CONSTRUCTORA LOS VASCOS                 7NC</v>
          </cell>
        </row>
        <row r="35253">
          <cell r="B35253" t="str">
            <v>86080000007033</v>
          </cell>
          <cell r="C35253" t="str">
            <v>PACIFICO AZUL                           7NC</v>
          </cell>
        </row>
        <row r="35254">
          <cell r="B35254" t="str">
            <v>86080000007133</v>
          </cell>
          <cell r="C35254" t="str">
            <v>HERSIL                                  7NC</v>
          </cell>
        </row>
        <row r="35255">
          <cell r="B35255" t="str">
            <v>86080000007233</v>
          </cell>
          <cell r="C35255" t="str">
            <v>EDUARDO CACERES                         7NC</v>
          </cell>
        </row>
        <row r="35256">
          <cell r="B35256" t="str">
            <v>86080000007333</v>
          </cell>
          <cell r="C35256" t="str">
            <v>RUBI GAMING                             7NC</v>
          </cell>
        </row>
        <row r="35257">
          <cell r="B35257" t="str">
            <v>86080000007433</v>
          </cell>
          <cell r="C35257" t="str">
            <v>ZAFIRO SAC                              7NC</v>
          </cell>
        </row>
        <row r="35258">
          <cell r="B35258" t="str">
            <v>86080000007533</v>
          </cell>
          <cell r="C35258" t="str">
            <v>LAS BAMBAS MINIG COMPANY                7NC</v>
          </cell>
        </row>
        <row r="35259">
          <cell r="B35259" t="str">
            <v>86080000007633</v>
          </cell>
          <cell r="C35259" t="str">
            <v>HOMECENTERS PERUANOS ORIENTEÂ  SCROW    7NC</v>
          </cell>
        </row>
        <row r="35260">
          <cell r="B35260" t="str">
            <v>86080000007733</v>
          </cell>
          <cell r="C35260" t="str">
            <v>MANTENIMIENTO Y CONSTRUCCIONES PARIÃ‘AS 7NC</v>
          </cell>
        </row>
        <row r="35261">
          <cell r="B35261" t="str">
            <v>86080000007833</v>
          </cell>
          <cell r="C35261" t="str">
            <v>CONSTRUCTORA MEDITERRANEO SCROW         7NC</v>
          </cell>
        </row>
        <row r="35262">
          <cell r="B35262" t="str">
            <v>86080000007933</v>
          </cell>
          <cell r="C35262" t="str">
            <v>FITESA PERU SCROW                       7NC</v>
          </cell>
        </row>
        <row r="35263">
          <cell r="B35263" t="str">
            <v>86080000008033</v>
          </cell>
          <cell r="C35263" t="str">
            <v>SIGMA EQUIPMENT DEL PERU SCROW          7NC</v>
          </cell>
        </row>
        <row r="35264">
          <cell r="B35264" t="str">
            <v>86080000008133</v>
          </cell>
          <cell r="C35264" t="str">
            <v>TRANSALTISA SCROW                       7NC</v>
          </cell>
        </row>
        <row r="35265">
          <cell r="B35265" t="str">
            <v>86080000008233</v>
          </cell>
          <cell r="C35265" t="str">
            <v>TECNOLOGIA INDUSTRIAL Y NACIONAL SCROW  7NC</v>
          </cell>
        </row>
        <row r="35266">
          <cell r="B35266" t="str">
            <v>86080000008333</v>
          </cell>
          <cell r="C35266" t="str">
            <v>RIVA SOCIEDAD ANONIMA INMOBILIARIA SCROW7NC</v>
          </cell>
        </row>
        <row r="35267">
          <cell r="B35267" t="str">
            <v>86080000008433</v>
          </cell>
          <cell r="C35267" t="str">
            <v>MAREAUTO SCROW                          7NC</v>
          </cell>
        </row>
        <row r="35268">
          <cell r="B35268" t="str">
            <v>86080000008533</v>
          </cell>
          <cell r="C35268" t="str">
            <v>SANTA FE SCROW                          7NC</v>
          </cell>
        </row>
        <row r="35269">
          <cell r="B35269" t="str">
            <v>86080000008633</v>
          </cell>
          <cell r="C35269" t="str">
            <v>RIO AUSTRAL                             7NC</v>
          </cell>
        </row>
        <row r="35270">
          <cell r="B35270" t="str">
            <v>86080000008733</v>
          </cell>
          <cell r="C35270" t="str">
            <v>GOLD HORIZONS                           7NC</v>
          </cell>
        </row>
        <row r="35271">
          <cell r="B35271" t="str">
            <v>86080000008833</v>
          </cell>
          <cell r="C35271" t="str">
            <v>TELECOMUNICACIONES Y POTENCIA           7NC</v>
          </cell>
        </row>
        <row r="35272">
          <cell r="B35272" t="str">
            <v>86080000008834</v>
          </cell>
          <cell r="C35272" t="str">
            <v>MUNICIPALIDAD DISTRITAL DE ILABAYA      7NC</v>
          </cell>
        </row>
        <row r="35273">
          <cell r="B35273" t="str">
            <v>86080000008835</v>
          </cell>
          <cell r="C35273" t="str">
            <v>INVERSIONES LANCASTER                   7NC</v>
          </cell>
        </row>
        <row r="35274">
          <cell r="B35274" t="str">
            <v>86080000008836</v>
          </cell>
          <cell r="C35274" t="str">
            <v>RIPLEY                                  7NC</v>
          </cell>
        </row>
        <row r="35275">
          <cell r="B35275" t="str">
            <v>86080000008837</v>
          </cell>
          <cell r="C35275" t="str">
            <v>EL PUEBLO                               7NC</v>
          </cell>
        </row>
        <row r="35276">
          <cell r="B35276" t="str">
            <v>86080000008838</v>
          </cell>
          <cell r="C35276" t="str">
            <v>HERMES -ILLES DELFINO FRANCISCO         7NC</v>
          </cell>
        </row>
        <row r="35277">
          <cell r="B35277" t="str">
            <v>86080000008839</v>
          </cell>
          <cell r="C35277" t="str">
            <v>MAQUINARIAS                             7NC</v>
          </cell>
        </row>
        <row r="35278">
          <cell r="B35278" t="str">
            <v>86080000008840</v>
          </cell>
          <cell r="C35278" t="str">
            <v>CAPITAL FOODS                           7NC</v>
          </cell>
        </row>
        <row r="35279">
          <cell r="B35279" t="str">
            <v>86080000008841</v>
          </cell>
          <cell r="C35279" t="str">
            <v>TRADING FASHION LINE                    7NC</v>
          </cell>
        </row>
        <row r="35280">
          <cell r="B35280" t="str">
            <v>86080000008842</v>
          </cell>
          <cell r="C35280" t="str">
            <v>ALTHELIA CLIMATE FUND SIF               7NC</v>
          </cell>
        </row>
        <row r="35281">
          <cell r="B35281" t="str">
            <v>86080000008843</v>
          </cell>
          <cell r="C35281" t="str">
            <v>CUPONIUM                                7NC</v>
          </cell>
        </row>
        <row r="35282">
          <cell r="B35282" t="str">
            <v>86080000008844</v>
          </cell>
          <cell r="C35282" t="str">
            <v>GMC CONSTRUCCIONES Y PROYECTOS INMOBILIA7NC</v>
          </cell>
        </row>
        <row r="35283">
          <cell r="B35283" t="str">
            <v>86080000008845</v>
          </cell>
          <cell r="C35283" t="str">
            <v>CERRO PRIETO                            7NC</v>
          </cell>
        </row>
        <row r="35284">
          <cell r="B35284" t="str">
            <v>86080000008846</v>
          </cell>
          <cell r="C35284" t="str">
            <v>PALMA VALDERRAMA HUMBERTO JOSE          7NC</v>
          </cell>
        </row>
        <row r="35285">
          <cell r="B35285" t="str">
            <v>86080000008847</v>
          </cell>
          <cell r="C35285" t="str">
            <v>CONSTRUCTORA LOS VASCOS                 7NC</v>
          </cell>
        </row>
        <row r="35286">
          <cell r="B35286" t="str">
            <v>86080000008848</v>
          </cell>
          <cell r="C35286" t="str">
            <v>COTONGA PERU                            7NC</v>
          </cell>
        </row>
        <row r="35287">
          <cell r="B35287" t="str">
            <v>86080000008849</v>
          </cell>
          <cell r="C35287" t="str">
            <v>SHOPPING CENTER                         7NC</v>
          </cell>
        </row>
        <row r="35288">
          <cell r="B35288" t="str">
            <v>86080000008853</v>
          </cell>
          <cell r="C35288" t="str">
            <v>TIENDAS PERUANAS                        7NC</v>
          </cell>
        </row>
        <row r="35289">
          <cell r="B35289" t="str">
            <v>86080000008854</v>
          </cell>
          <cell r="C35289" t="str">
            <v>OLAM AGRO PERU                          7NC</v>
          </cell>
        </row>
        <row r="35290">
          <cell r="B35290" t="str">
            <v>86080000008855</v>
          </cell>
          <cell r="C35290" t="str">
            <v>MOLENERA LOS ANGELES OPJ                7NC</v>
          </cell>
        </row>
        <row r="35291">
          <cell r="B35291" t="str">
            <v>86080000008856</v>
          </cell>
          <cell r="C35291" t="str">
            <v>PATRIMONIO DE FIDEICOMISOS-CAJA FITEL   7NC</v>
          </cell>
        </row>
        <row r="35292">
          <cell r="B35292" t="str">
            <v>86080000008857</v>
          </cell>
          <cell r="C35292" t="str">
            <v>PATRIMONIO DE FIDEICOMISOS-DIXBANE INTEL7NC</v>
          </cell>
        </row>
        <row r="35293">
          <cell r="B35293" t="str">
            <v>86080000008858</v>
          </cell>
          <cell r="C35293" t="str">
            <v>ASJ / RABOBANK                          7NC</v>
          </cell>
        </row>
        <row r="35294">
          <cell r="B35294" t="str">
            <v>86080000008860</v>
          </cell>
          <cell r="C35294" t="str">
            <v>M&amp;V REPRESENTACIONES                    7NC</v>
          </cell>
        </row>
        <row r="35295">
          <cell r="B35295" t="str">
            <v>86080000008861</v>
          </cell>
          <cell r="C35295" t="str">
            <v>CONSTRUCTORA MEDITERRANEO (CMO GROUP)   7NC</v>
          </cell>
        </row>
        <row r="35296">
          <cell r="B35296" t="str">
            <v>86080000008862</v>
          </cell>
          <cell r="C35296" t="str">
            <v>CE ENSENADA                             7NC</v>
          </cell>
        </row>
        <row r="35297">
          <cell r="B35297" t="str">
            <v>86080000008863</v>
          </cell>
          <cell r="C35297" t="str">
            <v>AGRICOLA EL NOPAL                       7NC</v>
          </cell>
        </row>
        <row r="35298">
          <cell r="B35298" t="str">
            <v>86080000008864</v>
          </cell>
          <cell r="C35298" t="str">
            <v>TIENDAS TAMBO                           7NC</v>
          </cell>
        </row>
        <row r="35299">
          <cell r="B35299" t="str">
            <v>86080000008865</v>
          </cell>
          <cell r="C35299" t="str">
            <v>FITFLOW - GRUPO NAKASHIMA S.A.C         7NC</v>
          </cell>
        </row>
        <row r="35300">
          <cell r="B35300" t="str">
            <v>86080000008866</v>
          </cell>
          <cell r="C35300" t="str">
            <v>REDONDOS                                7NC</v>
          </cell>
        </row>
        <row r="35301">
          <cell r="B35301" t="str">
            <v>86080000008867</v>
          </cell>
          <cell r="C35301" t="str">
            <v>PROYECTO GUARO                          7NC</v>
          </cell>
        </row>
        <row r="35302">
          <cell r="B35302" t="str">
            <v>86080000008872</v>
          </cell>
          <cell r="C35302" t="str">
            <v>FLESAN ENERGÃA                         7NC</v>
          </cell>
        </row>
        <row r="35303">
          <cell r="B35303" t="str">
            <v>86080000008876</v>
          </cell>
          <cell r="C35303" t="str">
            <v>AGRÃCOLA CHAPI                         7NC</v>
          </cell>
        </row>
        <row r="35304">
          <cell r="B35304" t="str">
            <v>86080000008878</v>
          </cell>
          <cell r="C35304" t="str">
            <v>FLESAN ENERGÃA                         7 D</v>
          </cell>
        </row>
        <row r="35305">
          <cell r="B35305" t="str">
            <v>86090100000101</v>
          </cell>
          <cell r="C35305" t="str">
            <v>FIDEICOMISOS - DEUDORES POR CONTRA      7NC</v>
          </cell>
        </row>
        <row r="35306">
          <cell r="B35306" t="str">
            <v>88888888888888</v>
          </cell>
          <cell r="C35306" t="str">
            <v>SALDOS PROMEDIO ARTIFICIAL              7NC</v>
          </cell>
        </row>
        <row r="35307">
          <cell r="B35307" t="str">
            <v>99999999999999</v>
          </cell>
          <cell r="C35307" t="str">
            <v>BALANCE INTERCOMPAÃ‘ÃA                  ND</v>
          </cell>
        </row>
      </sheetData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C0A0D4C0-A7B9-429B-BB54-0A9DD18D201B}">
    <nsvFilter filterId="{5F6B47A2-F3AD-404B-9C3B-E3B506800318}" ref="A1:J1" tableId="0"/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47A2-F3AD-404B-9C3B-E3B506800318}">
  <dimension ref="A1:J869"/>
  <sheetViews>
    <sheetView zoomScale="70" zoomScaleNormal="70" workbookViewId="0">
      <pane ySplit="1" topLeftCell="A287" activePane="bottomLeft" state="frozen"/>
      <selection pane="bottomLeft" activeCell="J291" sqref="J291"/>
    </sheetView>
  </sheetViews>
  <sheetFormatPr baseColWidth="10" defaultRowHeight="14.5" x14ac:dyDescent="0.35"/>
  <cols>
    <col min="1" max="1" width="10.90625" style="3" bestFit="1" customWidth="1"/>
    <col min="2" max="2" width="34.1796875" style="1" customWidth="1"/>
    <col min="3" max="3" width="15.90625" style="12" customWidth="1"/>
    <col min="4" max="4" width="17.36328125" style="13" bestFit="1" customWidth="1"/>
    <col min="5" max="5" width="26.6328125" style="13" customWidth="1"/>
    <col min="6" max="6" width="17.36328125" style="18" bestFit="1" customWidth="1"/>
    <col min="7" max="7" width="24" style="13" customWidth="1"/>
    <col min="8" max="8" width="24" style="1" customWidth="1"/>
    <col min="9" max="9" width="10.90625" style="13" bestFit="1" customWidth="1"/>
    <col min="10" max="10" width="47.1796875" style="1" bestFit="1" customWidth="1"/>
    <col min="11" max="11" width="10.90625" style="1" bestFit="1"/>
    <col min="12" max="16384" width="10.90625" style="1"/>
  </cols>
  <sheetData>
    <row r="1" spans="1:10" ht="43.5" x14ac:dyDescent="0.35">
      <c r="A1" s="30" t="s">
        <v>0</v>
      </c>
      <c r="B1" s="30" t="s">
        <v>1</v>
      </c>
      <c r="C1" s="31" t="s">
        <v>2</v>
      </c>
      <c r="D1" s="32" t="s">
        <v>816</v>
      </c>
      <c r="E1" s="32" t="s">
        <v>815</v>
      </c>
      <c r="F1" s="32" t="s">
        <v>817</v>
      </c>
      <c r="G1" s="32" t="s">
        <v>889</v>
      </c>
      <c r="H1" s="32" t="s">
        <v>890</v>
      </c>
      <c r="I1" s="30" t="s">
        <v>3</v>
      </c>
      <c r="J1" s="30" t="s">
        <v>195</v>
      </c>
    </row>
    <row r="2" spans="1:10" s="3" customFormat="1" x14ac:dyDescent="0.35">
      <c r="A2" s="47" t="s">
        <v>4</v>
      </c>
      <c r="B2" s="46" t="s">
        <v>23</v>
      </c>
      <c r="C2" s="10" t="s">
        <v>74</v>
      </c>
      <c r="D2" s="8">
        <v>248.15</v>
      </c>
      <c r="E2" s="8">
        <v>248.15</v>
      </c>
      <c r="F2" s="8">
        <v>248.15</v>
      </c>
      <c r="G2" s="8">
        <f>F2-E2</f>
        <v>0</v>
      </c>
      <c r="H2" s="8">
        <f>F2-D2</f>
        <v>0</v>
      </c>
      <c r="I2" s="8"/>
      <c r="J2" s="16" t="str">
        <f>VLOOKUP(C2,'[1]GLOCUENTAS (1)'!$B:$C,2,FALSE)</f>
        <v>SOBREGIRO CTAS CTE S/F PJ MES106        1ND</v>
      </c>
    </row>
    <row r="3" spans="1:10" s="3" customFormat="1" x14ac:dyDescent="0.35">
      <c r="A3" s="47"/>
      <c r="B3" s="46"/>
      <c r="C3" s="10" t="s">
        <v>73</v>
      </c>
      <c r="D3" s="8">
        <v>1.82</v>
      </c>
      <c r="E3" s="8">
        <v>1.82</v>
      </c>
      <c r="F3" s="8">
        <v>1.82</v>
      </c>
      <c r="G3" s="8">
        <f t="shared" ref="G3:G65" si="0">F3-E3</f>
        <v>0</v>
      </c>
      <c r="H3" s="8">
        <f t="shared" ref="H3:H66" si="1">F3-D3</f>
        <v>0</v>
      </c>
      <c r="I3" s="8"/>
      <c r="J3" s="16" t="str">
        <f>VLOOKUP(C3,'[1]GLOCUENTAS (1)'!$B:$C,2,FALSE)</f>
        <v>AVANCES EN CTA CTE CONTRATADOS PN       1ND</v>
      </c>
    </row>
    <row r="4" spans="1:10" x14ac:dyDescent="0.35">
      <c r="A4" s="47"/>
      <c r="B4" s="46"/>
      <c r="C4" s="11" t="s">
        <v>50</v>
      </c>
      <c r="D4" s="9">
        <v>0</v>
      </c>
      <c r="E4" s="9">
        <v>0</v>
      </c>
      <c r="F4" s="16">
        <v>0</v>
      </c>
      <c r="G4" s="8">
        <f t="shared" si="0"/>
        <v>0</v>
      </c>
      <c r="H4" s="8">
        <f t="shared" si="1"/>
        <v>0</v>
      </c>
      <c r="I4" s="9"/>
      <c r="J4" s="16" t="str">
        <f>VLOOKUP(C4,'[1]GLOCUENTAS (1)'!$B:$C,2,FALSE)</f>
        <v>IM AVANCE CTA CTE PJ S/F CIVA           1ND</v>
      </c>
    </row>
    <row r="5" spans="1:10" x14ac:dyDescent="0.35">
      <c r="A5" s="47"/>
      <c r="B5" s="46"/>
      <c r="C5" s="11" t="s">
        <v>58</v>
      </c>
      <c r="D5" s="9">
        <v>0</v>
      </c>
      <c r="E5" s="9">
        <v>0</v>
      </c>
      <c r="F5" s="16">
        <v>0</v>
      </c>
      <c r="G5" s="8">
        <f t="shared" si="0"/>
        <v>0</v>
      </c>
      <c r="H5" s="8">
        <f t="shared" si="1"/>
        <v>0</v>
      </c>
      <c r="I5" s="9"/>
      <c r="J5" s="16" t="str">
        <f>VLOOKUP(C5,'[1]GLOCUENTAS (1)'!$B:$C,2,FALSE)</f>
        <v>IM SOBREGIRO CTA CTE PJ S/F CIVA        1ND</v>
      </c>
    </row>
    <row r="6" spans="1:10" x14ac:dyDescent="0.35">
      <c r="A6" s="47"/>
      <c r="B6" s="46"/>
      <c r="C6" s="11" t="s">
        <v>61</v>
      </c>
      <c r="D6" s="9">
        <v>0</v>
      </c>
      <c r="E6" s="9">
        <v>0</v>
      </c>
      <c r="F6" s="16">
        <v>0</v>
      </c>
      <c r="G6" s="8">
        <f t="shared" si="0"/>
        <v>0</v>
      </c>
      <c r="H6" s="8">
        <f t="shared" si="1"/>
        <v>0</v>
      </c>
      <c r="I6" s="9"/>
      <c r="J6" s="16" t="str">
        <f>VLOOKUP(C6,'[1]GLOCUENTAS (1)'!$B:$C,2,FALSE)</f>
        <v>BANCO FINANCIERO DEL PERU               1ND</v>
      </c>
    </row>
    <row r="7" spans="1:10" x14ac:dyDescent="0.35">
      <c r="A7" s="47"/>
      <c r="B7" s="46"/>
      <c r="C7" s="11" t="s">
        <v>82</v>
      </c>
      <c r="D7" s="9">
        <v>52837787.799999997</v>
      </c>
      <c r="E7" s="9">
        <v>52837787.799999997</v>
      </c>
      <c r="F7" s="16">
        <v>52837787.799999997</v>
      </c>
      <c r="G7" s="8">
        <f t="shared" si="0"/>
        <v>0</v>
      </c>
      <c r="H7" s="8">
        <f t="shared" si="1"/>
        <v>0</v>
      </c>
      <c r="I7" s="9"/>
      <c r="J7" s="16" t="str">
        <f>VLOOKUP(C7,'[1]GLOCUENTAS (1)'!$B:$C,2,FALSE)</f>
        <v>IM AVANCE CTA CTE PJ S/F CCOR           1ND</v>
      </c>
    </row>
    <row r="8" spans="1:10" x14ac:dyDescent="0.35">
      <c r="A8" s="47"/>
      <c r="B8" s="46"/>
      <c r="C8" s="11" t="s">
        <v>43</v>
      </c>
      <c r="D8" s="9">
        <v>1364645.69</v>
      </c>
      <c r="E8" s="9">
        <v>1364645.69</v>
      </c>
      <c r="F8" s="16">
        <v>1364645.69</v>
      </c>
      <c r="G8" s="8">
        <f t="shared" si="0"/>
        <v>0</v>
      </c>
      <c r="H8" s="8">
        <f t="shared" si="1"/>
        <v>0</v>
      </c>
      <c r="I8" s="9"/>
      <c r="J8" s="16" t="str">
        <f>VLOOKUP(C8,'[1]GLOCUENTAS (1)'!$B:$C,2,FALSE)</f>
        <v>IM SOBREGIRO CTA CTE PJ S/F CCOR        1ND</v>
      </c>
    </row>
    <row r="9" spans="1:10" x14ac:dyDescent="0.35">
      <c r="A9" s="47"/>
      <c r="B9" s="46"/>
      <c r="C9" s="11" t="s">
        <v>70</v>
      </c>
      <c r="D9" s="9">
        <v>0</v>
      </c>
      <c r="E9" s="9">
        <v>0</v>
      </c>
      <c r="F9" s="16">
        <v>0</v>
      </c>
      <c r="G9" s="8">
        <f t="shared" si="0"/>
        <v>0</v>
      </c>
      <c r="H9" s="8">
        <f t="shared" si="1"/>
        <v>0</v>
      </c>
      <c r="I9" s="9"/>
      <c r="J9" s="16" t="str">
        <f>VLOOKUP(C9,'[1]GLOCUENTAS (1)'!$B:$C,2,FALSE)</f>
        <v>IM SOBRG CTA CTE S/F PJ CCOR            1ND</v>
      </c>
    </row>
    <row r="10" spans="1:10" x14ac:dyDescent="0.35">
      <c r="A10" s="47"/>
      <c r="B10" s="46"/>
      <c r="C10" s="11" t="s">
        <v>68</v>
      </c>
      <c r="D10" s="9">
        <v>178927.89</v>
      </c>
      <c r="E10" s="9">
        <v>178927.89</v>
      </c>
      <c r="F10" s="16">
        <v>178927.89</v>
      </c>
      <c r="G10" s="8">
        <f t="shared" si="0"/>
        <v>0</v>
      </c>
      <c r="H10" s="8">
        <f t="shared" si="1"/>
        <v>0</v>
      </c>
      <c r="I10" s="9"/>
      <c r="J10" s="16" t="str">
        <f>VLOOKUP(C10,'[1]GLOCUENTAS (1)'!$B:$C,2,FALSE)</f>
        <v>IM AVANCE CTA CTE PJ S/F CGEM           1ND</v>
      </c>
    </row>
    <row r="11" spans="1:10" x14ac:dyDescent="0.35">
      <c r="A11" s="47"/>
      <c r="B11" s="46"/>
      <c r="C11" s="11" t="s">
        <v>55</v>
      </c>
      <c r="D11" s="9">
        <v>46065.87</v>
      </c>
      <c r="E11" s="9">
        <v>46065.87</v>
      </c>
      <c r="F11" s="16">
        <v>46065.87</v>
      </c>
      <c r="G11" s="8">
        <f t="shared" si="0"/>
        <v>0</v>
      </c>
      <c r="H11" s="8">
        <f t="shared" si="1"/>
        <v>0</v>
      </c>
      <c r="I11" s="9"/>
      <c r="J11" s="16" t="str">
        <f>VLOOKUP(C11,'[1]GLOCUENTAS (1)'!$B:$C,2,FALSE)</f>
        <v>IM SOBREGIRO CTA CTE PJ S/F CGEM        1ND</v>
      </c>
    </row>
    <row r="12" spans="1:10" x14ac:dyDescent="0.35">
      <c r="A12" s="47"/>
      <c r="B12" s="46"/>
      <c r="C12" s="11" t="s">
        <v>83</v>
      </c>
      <c r="D12" s="9">
        <v>105.14</v>
      </c>
      <c r="E12" s="9">
        <v>105.14</v>
      </c>
      <c r="F12" s="16">
        <v>105.14</v>
      </c>
      <c r="G12" s="8">
        <f t="shared" si="0"/>
        <v>0</v>
      </c>
      <c r="H12" s="8">
        <f t="shared" si="1"/>
        <v>0</v>
      </c>
      <c r="I12" s="9"/>
      <c r="J12" s="16" t="str">
        <f>VLOOKUP(C12,'[1]GLOCUENTAS (1)'!$B:$C,2,FALSE)</f>
        <v>IM SOBRG CTA CTE S/F PJ CGEM            1ND</v>
      </c>
    </row>
    <row r="13" spans="1:10" x14ac:dyDescent="0.35">
      <c r="A13" s="47"/>
      <c r="B13" s="46"/>
      <c r="C13" s="11" t="s">
        <v>51</v>
      </c>
      <c r="D13" s="9">
        <v>17092.13</v>
      </c>
      <c r="E13" s="9">
        <v>17092.13</v>
      </c>
      <c r="F13" s="16">
        <v>17092.13</v>
      </c>
      <c r="G13" s="8">
        <f t="shared" si="0"/>
        <v>0</v>
      </c>
      <c r="H13" s="8">
        <f t="shared" si="1"/>
        <v>0</v>
      </c>
      <c r="I13" s="9"/>
      <c r="J13" s="16" t="str">
        <f>VLOOKUP(C13,'[1]GLOCUENTAS (1)'!$B:$C,2,FALSE)</f>
        <v>IM SOBREGIRO CTA CTE PJ S/F CMED        1ND</v>
      </c>
    </row>
    <row r="14" spans="1:10" x14ac:dyDescent="0.35">
      <c r="A14" s="47"/>
      <c r="B14" s="46"/>
      <c r="C14" s="11" t="s">
        <v>65</v>
      </c>
      <c r="D14" s="9">
        <v>1130.05</v>
      </c>
      <c r="E14" s="9">
        <v>1130.05</v>
      </c>
      <c r="F14" s="16">
        <v>1130.05</v>
      </c>
      <c r="G14" s="8">
        <f t="shared" si="0"/>
        <v>0</v>
      </c>
      <c r="H14" s="8">
        <f t="shared" si="1"/>
        <v>0</v>
      </c>
      <c r="I14" s="9"/>
      <c r="J14" s="16" t="str">
        <f>VLOOKUP(C14,'[1]GLOCUENTAS (1)'!$B:$C,2,FALSE)</f>
        <v>IM SOBREGIRO CTA CTE PJ S/F CPEM        1ND</v>
      </c>
    </row>
    <row r="15" spans="1:10" x14ac:dyDescent="0.35">
      <c r="A15" s="47"/>
      <c r="B15" s="46"/>
      <c r="C15" s="11" t="s">
        <v>78</v>
      </c>
      <c r="D15" s="9">
        <v>100297.88</v>
      </c>
      <c r="E15" s="9">
        <v>100297.88</v>
      </c>
      <c r="F15" s="16">
        <v>100297.88</v>
      </c>
      <c r="G15" s="8">
        <f t="shared" si="0"/>
        <v>0</v>
      </c>
      <c r="H15" s="8">
        <f t="shared" si="1"/>
        <v>0</v>
      </c>
      <c r="I15" s="9"/>
      <c r="J15" s="16" t="str">
        <f>VLOOKUP(C15,'[1]GLOCUENTAS (1)'!$B:$C,2,FALSE)</f>
        <v>SOBREGIRO VENC MES SIN FINES            1ND</v>
      </c>
    </row>
    <row r="16" spans="1:10" x14ac:dyDescent="0.35">
      <c r="A16" s="47"/>
      <c r="B16" s="46"/>
      <c r="C16" s="11" t="s">
        <v>54</v>
      </c>
      <c r="D16" s="9">
        <v>325136.40000000002</v>
      </c>
      <c r="E16" s="9">
        <v>325136.40000000002</v>
      </c>
      <c r="F16" s="16">
        <v>325136.40000000002</v>
      </c>
      <c r="G16" s="8">
        <f t="shared" si="0"/>
        <v>0</v>
      </c>
      <c r="H16" s="8">
        <f t="shared" si="1"/>
        <v>0</v>
      </c>
      <c r="I16" s="9"/>
      <c r="J16" s="16" t="str">
        <f>VLOOKUP(C16,'[1]GLOCUENTAS (1)'!$B:$C,2,FALSE)</f>
        <v>SOBREGIROS EN CTA CTE PN                1ND</v>
      </c>
    </row>
    <row r="17" spans="1:10" x14ac:dyDescent="0.35">
      <c r="A17" s="47"/>
      <c r="B17" s="46"/>
      <c r="C17" s="11" t="s">
        <v>60</v>
      </c>
      <c r="D17" s="9">
        <v>16914538.649999999</v>
      </c>
      <c r="E17" s="9">
        <v>16914538.649999999</v>
      </c>
      <c r="F17" s="16">
        <v>16914538.649999999</v>
      </c>
      <c r="G17" s="8">
        <f t="shared" si="0"/>
        <v>0</v>
      </c>
      <c r="H17" s="8">
        <f t="shared" si="1"/>
        <v>0</v>
      </c>
      <c r="I17" s="9"/>
      <c r="J17" s="16" t="str">
        <f>VLOOKUP(C17,'[1]GLOCUENTAS (1)'!$B:$C,2,FALSE)</f>
        <v>IM SOBREG VENC CTA CTE PJ S/F CGEM      1ND</v>
      </c>
    </row>
    <row r="18" spans="1:10" x14ac:dyDescent="0.35">
      <c r="A18" s="47"/>
      <c r="B18" s="46"/>
      <c r="C18" s="11" t="s">
        <v>63</v>
      </c>
      <c r="D18" s="9">
        <v>2067144.97</v>
      </c>
      <c r="E18" s="9">
        <v>2067144.97</v>
      </c>
      <c r="F18" s="16">
        <v>2067144.97</v>
      </c>
      <c r="G18" s="8">
        <f t="shared" si="0"/>
        <v>0</v>
      </c>
      <c r="H18" s="8">
        <f t="shared" si="1"/>
        <v>0</v>
      </c>
      <c r="I18" s="9"/>
      <c r="J18" s="16" t="str">
        <f>VLOOKUP(C18,'[1]GLOCUENTAS (1)'!$B:$C,2,FALSE)</f>
        <v>IM SOBREG VENC CTA CTE PJ S/F CMED      1ND</v>
      </c>
    </row>
    <row r="19" spans="1:10" x14ac:dyDescent="0.35">
      <c r="A19" s="47"/>
      <c r="B19" s="46"/>
      <c r="C19" s="11" t="s">
        <v>71</v>
      </c>
      <c r="D19" s="9">
        <v>724017.22</v>
      </c>
      <c r="E19" s="9">
        <v>724017.22</v>
      </c>
      <c r="F19" s="16">
        <v>724017.22</v>
      </c>
      <c r="G19" s="8">
        <f t="shared" si="0"/>
        <v>0</v>
      </c>
      <c r="H19" s="8">
        <f t="shared" si="1"/>
        <v>0</v>
      </c>
      <c r="I19" s="9"/>
      <c r="J19" s="16" t="str">
        <f>VLOOKUP(C19,'[1]GLOCUENTAS (1)'!$B:$C,2,FALSE)</f>
        <v>IM SOBREG VENC CTA CTE PJ S/F CPEM      1ND</v>
      </c>
    </row>
    <row r="20" spans="1:10" x14ac:dyDescent="0.35">
      <c r="A20" s="47"/>
      <c r="B20" s="46"/>
      <c r="C20" s="11" t="s">
        <v>45</v>
      </c>
      <c r="D20" s="9">
        <v>1910011.52</v>
      </c>
      <c r="E20" s="9"/>
      <c r="F20" s="16"/>
      <c r="G20" s="8">
        <f t="shared" si="0"/>
        <v>0</v>
      </c>
      <c r="H20" s="8">
        <f t="shared" si="1"/>
        <v>-1910011.52</v>
      </c>
      <c r="I20" s="9"/>
      <c r="J20" s="16" t="str">
        <f>VLOOKUP(C20,'[1]GLOCUENTAS (1)'!$B:$C,2,FALSE)</f>
        <v>CTA POR COBRAR IB DIRECTO               1ND</v>
      </c>
    </row>
    <row r="21" spans="1:10" x14ac:dyDescent="0.35">
      <c r="A21" s="47"/>
      <c r="B21" s="46"/>
      <c r="C21" s="11" t="s">
        <v>67</v>
      </c>
      <c r="D21" s="9">
        <v>19563006.32</v>
      </c>
      <c r="E21" s="9">
        <v>19563006.32</v>
      </c>
      <c r="F21" s="16">
        <v>19569476.84</v>
      </c>
      <c r="G21" s="8">
        <f t="shared" si="0"/>
        <v>6470.519999999553</v>
      </c>
      <c r="H21" s="8">
        <f t="shared" si="1"/>
        <v>6470.519999999553</v>
      </c>
      <c r="I21" s="4"/>
      <c r="J21" s="16" t="str">
        <f>VLOOKUP(C21,'[1]GLOCUENTAS (1)'!$B:$C,2,FALSE)</f>
        <v>DEPOSITOS CTA CTE PN                    2NC</v>
      </c>
    </row>
    <row r="22" spans="1:10" x14ac:dyDescent="0.35">
      <c r="A22" s="47"/>
      <c r="B22" s="46"/>
      <c r="C22" s="11" t="s">
        <v>77</v>
      </c>
      <c r="D22" s="9">
        <v>1411618713.73</v>
      </c>
      <c r="E22" s="9">
        <v>1411618713.73</v>
      </c>
      <c r="F22" s="16">
        <v>1411618713.73</v>
      </c>
      <c r="G22" s="8">
        <f t="shared" si="0"/>
        <v>0</v>
      </c>
      <c r="H22" s="8">
        <f t="shared" si="1"/>
        <v>0</v>
      </c>
      <c r="I22" s="4"/>
      <c r="J22" s="16" t="str">
        <f>VLOOKUP(C22,'[1]GLOCUENTAS (1)'!$B:$C,2,FALSE)</f>
        <v>DEPOSITOS CTA CTE PJ S/F LUCRO          2NC</v>
      </c>
    </row>
    <row r="23" spans="1:10" x14ac:dyDescent="0.35">
      <c r="A23" s="47"/>
      <c r="B23" s="46"/>
      <c r="C23" s="11" t="s">
        <v>76</v>
      </c>
      <c r="D23" s="9">
        <v>6116.6</v>
      </c>
      <c r="E23" s="9">
        <v>6116.6</v>
      </c>
      <c r="F23" s="16">
        <v>6116.6</v>
      </c>
      <c r="G23" s="8">
        <f t="shared" si="0"/>
        <v>0</v>
      </c>
      <c r="H23" s="8">
        <f t="shared" si="1"/>
        <v>0</v>
      </c>
      <c r="I23" s="4"/>
      <c r="J23" s="16" t="str">
        <f>VLOOKUP(C23,'[1]GLOCUENTAS (1)'!$B:$C,2,FALSE)</f>
        <v>IM C.CTE.AG.DIN.ELEC.PJ C/F             2NC</v>
      </c>
    </row>
    <row r="24" spans="1:10" x14ac:dyDescent="0.35">
      <c r="A24" s="47"/>
      <c r="B24" s="46"/>
      <c r="C24" s="11" t="s">
        <v>53</v>
      </c>
      <c r="D24" s="9">
        <v>51351107.049999997</v>
      </c>
      <c r="E24" s="9">
        <v>51351107.049999997</v>
      </c>
      <c r="F24" s="16">
        <v>51351107.049999997</v>
      </c>
      <c r="G24" s="8">
        <f t="shared" si="0"/>
        <v>0</v>
      </c>
      <c r="H24" s="8">
        <f t="shared" si="1"/>
        <v>0</v>
      </c>
      <c r="I24" s="4"/>
      <c r="J24" s="16" t="str">
        <f>VLOOKUP(C24,'[1]GLOCUENTAS (1)'!$B:$C,2,FALSE)</f>
        <v>CTA CTE BPE PERSONA NATURAL             2NC</v>
      </c>
    </row>
    <row r="25" spans="1:10" x14ac:dyDescent="0.35">
      <c r="A25" s="47"/>
      <c r="B25" s="46"/>
      <c r="C25" s="11" t="s">
        <v>80</v>
      </c>
      <c r="D25" s="9">
        <v>1888410735.72</v>
      </c>
      <c r="E25" s="9">
        <v>1888410735.72</v>
      </c>
      <c r="F25" s="16">
        <v>1888410735.72</v>
      </c>
      <c r="G25" s="8">
        <f t="shared" si="0"/>
        <v>0</v>
      </c>
      <c r="H25" s="8">
        <f t="shared" si="1"/>
        <v>0</v>
      </c>
      <c r="I25" s="4"/>
      <c r="J25" s="16" t="str">
        <f>VLOOKUP(C25,'[1]GLOCUENTAS (1)'!$B:$C,2,FALSE)</f>
        <v>CTA CTE BPE PERSONA JURIDICA            2NC</v>
      </c>
    </row>
    <row r="26" spans="1:10" x14ac:dyDescent="0.35">
      <c r="A26" s="47"/>
      <c r="B26" s="46"/>
      <c r="C26" s="11" t="s">
        <v>72</v>
      </c>
      <c r="D26" s="9">
        <v>5600580812.6199999</v>
      </c>
      <c r="E26" s="9">
        <v>5600580812.6199999</v>
      </c>
      <c r="F26" s="16">
        <v>5591376402.79</v>
      </c>
      <c r="G26" s="8">
        <f t="shared" si="0"/>
        <v>-9204409.8299999237</v>
      </c>
      <c r="H26" s="8">
        <f t="shared" si="1"/>
        <v>-9204409.8299999237</v>
      </c>
      <c r="I26" s="4"/>
      <c r="J26" s="16" t="str">
        <f>VLOOKUP(C26,'[1]GLOCUENTAS (1)'!$B:$C,2,FALSE)</f>
        <v>DEPOSITOS CTA CTE PJ                    2NC</v>
      </c>
    </row>
    <row r="27" spans="1:10" x14ac:dyDescent="0.35">
      <c r="A27" s="47"/>
      <c r="B27" s="46"/>
      <c r="C27" s="11" t="s">
        <v>66</v>
      </c>
      <c r="D27" s="9">
        <v>893461.33</v>
      </c>
      <c r="E27" s="9">
        <v>893461.33</v>
      </c>
      <c r="F27" s="16">
        <v>911246.63</v>
      </c>
      <c r="G27" s="8">
        <f t="shared" si="0"/>
        <v>17785.300000000047</v>
      </c>
      <c r="H27" s="8">
        <f t="shared" si="1"/>
        <v>17785.300000000047</v>
      </c>
      <c r="I27" s="4"/>
      <c r="J27" s="16" t="str">
        <f>VLOOKUP(C27,'[1]GLOCUENTAS (1)'!$B:$C,2,FALSE)</f>
        <v>DEPOSITOS CTA CTE PN                    2NC</v>
      </c>
    </row>
    <row r="28" spans="1:10" x14ac:dyDescent="0.35">
      <c r="A28" s="47"/>
      <c r="B28" s="46"/>
      <c r="C28" s="11" t="s">
        <v>46</v>
      </c>
      <c r="D28" s="9">
        <v>16615045.539999999</v>
      </c>
      <c r="E28" s="9">
        <v>16615045.539999999</v>
      </c>
      <c r="F28" s="16">
        <v>16615445.539999999</v>
      </c>
      <c r="G28" s="8">
        <f t="shared" si="0"/>
        <v>400</v>
      </c>
      <c r="H28" s="8">
        <f t="shared" si="1"/>
        <v>400</v>
      </c>
      <c r="I28" s="4"/>
      <c r="J28" s="16" t="str">
        <f>VLOOKUP(C28,'[1]GLOCUENTAS (1)'!$B:$C,2,FALSE)</f>
        <v>DEPOSITO CTA CTE PJ S/F LUCRO SIN MOV   2NC</v>
      </c>
    </row>
    <row r="29" spans="1:10" x14ac:dyDescent="0.35">
      <c r="A29" s="47"/>
      <c r="B29" s="46"/>
      <c r="C29" s="11" t="s">
        <v>62</v>
      </c>
      <c r="D29" s="9">
        <v>46716534.090000004</v>
      </c>
      <c r="E29" s="9">
        <v>46716534.090000004</v>
      </c>
      <c r="F29" s="16">
        <v>46719053.259999998</v>
      </c>
      <c r="G29" s="8">
        <f t="shared" si="0"/>
        <v>2519.1699999943376</v>
      </c>
      <c r="H29" s="8">
        <f t="shared" si="1"/>
        <v>2519.1699999943376</v>
      </c>
      <c r="I29" s="4"/>
      <c r="J29" s="16" t="str">
        <f>VLOOKUP(C29,'[1]GLOCUENTAS (1)'!$B:$C,2,FALSE)</f>
        <v>DEPOSITOS CTA CTE PJ                    2NC</v>
      </c>
    </row>
    <row r="30" spans="1:10" x14ac:dyDescent="0.35">
      <c r="A30" s="47"/>
      <c r="B30" s="46"/>
      <c r="C30" s="11" t="s">
        <v>69</v>
      </c>
      <c r="D30" s="9">
        <v>48113.71</v>
      </c>
      <c r="E30" s="9">
        <v>48113.71</v>
      </c>
      <c r="F30" s="16">
        <v>23857.89</v>
      </c>
      <c r="G30" s="8">
        <f t="shared" si="0"/>
        <v>-24255.82</v>
      </c>
      <c r="H30" s="8">
        <f t="shared" si="1"/>
        <v>-24255.82</v>
      </c>
      <c r="I30" s="4"/>
      <c r="J30" s="16" t="str">
        <f>VLOOKUP(C30,'[1]GLOCUENTAS (1)'!$B:$C,2,FALSE)</f>
        <v>RET.JUD.CTAS.CTES.- PN Y PJ PRIV.S/F LUC2NC</v>
      </c>
    </row>
    <row r="31" spans="1:10" x14ac:dyDescent="0.35">
      <c r="A31" s="47"/>
      <c r="B31" s="46"/>
      <c r="C31" s="11" t="s">
        <v>81</v>
      </c>
      <c r="D31" s="9">
        <v>1472.58</v>
      </c>
      <c r="E31" s="9">
        <v>1472.58</v>
      </c>
      <c r="F31" s="16">
        <v>1072.58</v>
      </c>
      <c r="G31" s="8">
        <f t="shared" si="0"/>
        <v>-400</v>
      </c>
      <c r="H31" s="8">
        <f t="shared" si="1"/>
        <v>-400</v>
      </c>
      <c r="I31" s="4"/>
      <c r="J31" s="16" t="str">
        <f>VLOOKUP(C31,'[1]GLOCUENTAS (1)'!$B:$C,2,FALSE)</f>
        <v>RET.JUD.CTAS.CTES.- PJ S/F LUCRO        2NC</v>
      </c>
    </row>
    <row r="32" spans="1:10" x14ac:dyDescent="0.35">
      <c r="A32" s="47"/>
      <c r="B32" s="46"/>
      <c r="C32" s="11" t="s">
        <v>49</v>
      </c>
      <c r="D32" s="9">
        <v>21590.92</v>
      </c>
      <c r="E32" s="9">
        <v>21590.92</v>
      </c>
      <c r="F32" s="16">
        <v>9223481.5800000001</v>
      </c>
      <c r="G32" s="8">
        <f t="shared" si="0"/>
        <v>9201890.6600000001</v>
      </c>
      <c r="H32" s="8">
        <f t="shared" si="1"/>
        <v>9201890.6600000001</v>
      </c>
      <c r="I32" s="4"/>
      <c r="J32" s="16" t="str">
        <f>VLOOKUP(C32,'[1]GLOCUENTAS (1)'!$B:$C,2,FALSE)</f>
        <v>RETENC.JUD.CTAS.CTES.- OTRAS PJ         2NC</v>
      </c>
    </row>
    <row r="33" spans="1:10" x14ac:dyDescent="0.35">
      <c r="A33" s="47"/>
      <c r="B33" s="46"/>
      <c r="C33" s="11" t="s">
        <v>42</v>
      </c>
      <c r="D33" s="9">
        <v>5958221.3300000001</v>
      </c>
      <c r="E33" s="9">
        <v>5958221.3300000001</v>
      </c>
      <c r="F33" s="16">
        <v>5958221.3300000001</v>
      </c>
      <c r="G33" s="8">
        <f t="shared" si="0"/>
        <v>0</v>
      </c>
      <c r="H33" s="8">
        <f t="shared" si="1"/>
        <v>0</v>
      </c>
      <c r="I33" s="4"/>
      <c r="J33" s="16" t="str">
        <f>VLOOKUP(C33,'[1]GLOCUENTAS (1)'!$B:$C,2,FALSE)</f>
        <v>DEPOSITO GTIA CTA CTE-PJ S/F LUCRO      2NC</v>
      </c>
    </row>
    <row r="34" spans="1:10" x14ac:dyDescent="0.35">
      <c r="A34" s="47"/>
      <c r="B34" s="46"/>
      <c r="C34" s="11" t="s">
        <v>84</v>
      </c>
      <c r="D34" s="9">
        <v>105213110.16</v>
      </c>
      <c r="E34" s="9">
        <v>105213110.16</v>
      </c>
      <c r="F34" s="16">
        <v>105213110.16</v>
      </c>
      <c r="G34" s="8">
        <f t="shared" si="0"/>
        <v>0</v>
      </c>
      <c r="H34" s="8">
        <f t="shared" si="1"/>
        <v>0</v>
      </c>
      <c r="I34" s="4"/>
      <c r="J34" s="16" t="str">
        <f>VLOOKUP(C34,'[1]GLOCUENTAS (1)'!$B:$C,2,FALSE)</f>
        <v>DEPOSITO GTIA CTA CTE-OTRAS PJ          2NC</v>
      </c>
    </row>
    <row r="35" spans="1:10" x14ac:dyDescent="0.35">
      <c r="A35" s="47"/>
      <c r="B35" s="46"/>
      <c r="C35" s="11" t="s">
        <v>47</v>
      </c>
      <c r="D35" s="9">
        <v>0</v>
      </c>
      <c r="E35" s="9">
        <v>0</v>
      </c>
      <c r="F35" s="16">
        <v>0</v>
      </c>
      <c r="G35" s="8">
        <f t="shared" si="0"/>
        <v>0</v>
      </c>
      <c r="H35" s="8">
        <f t="shared" si="1"/>
        <v>0</v>
      </c>
      <c r="I35" s="4"/>
      <c r="J35" s="16" t="str">
        <f>VLOOKUP(C35,'[1]GLOCUENTAS (1)'!$B:$C,2,FALSE)</f>
        <v>DEPOSITO CTA CTE GARANT INMOBIL PJ S/F  2NC</v>
      </c>
    </row>
    <row r="36" spans="1:10" x14ac:dyDescent="0.35">
      <c r="A36" s="47"/>
      <c r="B36" s="46"/>
      <c r="C36" s="11" t="s">
        <v>75</v>
      </c>
      <c r="D36" s="9">
        <v>166746644.13</v>
      </c>
      <c r="E36" s="9">
        <v>166746644.13</v>
      </c>
      <c r="F36" s="16">
        <v>166746644.13</v>
      </c>
      <c r="G36" s="8">
        <f t="shared" si="0"/>
        <v>0</v>
      </c>
      <c r="H36" s="8">
        <f t="shared" si="1"/>
        <v>0</v>
      </c>
      <c r="I36" s="4"/>
      <c r="J36" s="16" t="str">
        <f>VLOOKUP(C36,'[1]GLOCUENTAS (1)'!$B:$C,2,FALSE)</f>
        <v>DEPOSITO CTA CTE GARANT INMOBIL OTRAS PJ2NC</v>
      </c>
    </row>
    <row r="37" spans="1:10" x14ac:dyDescent="0.35">
      <c r="A37" s="47"/>
      <c r="B37" s="46"/>
      <c r="C37" s="11" t="s">
        <v>57</v>
      </c>
      <c r="D37" s="9">
        <v>6244819.54</v>
      </c>
      <c r="E37" s="9"/>
      <c r="F37" s="16"/>
      <c r="G37" s="8">
        <f t="shared" si="0"/>
        <v>0</v>
      </c>
      <c r="H37" s="8">
        <f t="shared" si="1"/>
        <v>-6244819.54</v>
      </c>
      <c r="I37" s="4"/>
      <c r="J37" s="16" t="str">
        <f>VLOOKUP(C37,'[1]GLOCUENTAS (1)'!$B:$C,2,FALSE)</f>
        <v>CTA POR PAGAR IB DIRECTO                2NC</v>
      </c>
    </row>
    <row r="38" spans="1:10" x14ac:dyDescent="0.35">
      <c r="A38" s="47"/>
      <c r="B38" s="46"/>
      <c r="C38" s="11" t="s">
        <v>52</v>
      </c>
      <c r="D38" s="9">
        <v>17905838.289999999</v>
      </c>
      <c r="E38" s="9">
        <v>17905838.289999999</v>
      </c>
      <c r="F38" s="16">
        <v>17905838.289999999</v>
      </c>
      <c r="G38" s="8">
        <f t="shared" si="0"/>
        <v>0</v>
      </c>
      <c r="H38" s="8">
        <f t="shared" si="1"/>
        <v>0</v>
      </c>
      <c r="I38" s="4"/>
      <c r="J38" s="16" t="str">
        <f>VLOOKUP(C38,'[1]GLOCUENTAS (1)'!$B:$C,2,FALSE)</f>
        <v>OPERACIONES - CONVENIOS                 2NC</v>
      </c>
    </row>
    <row r="39" spans="1:10" x14ac:dyDescent="0.35">
      <c r="A39" s="47"/>
      <c r="B39" s="46"/>
      <c r="C39" s="11" t="s">
        <v>44</v>
      </c>
      <c r="D39" s="9">
        <v>13430</v>
      </c>
      <c r="E39" s="9"/>
      <c r="F39" s="16"/>
      <c r="G39" s="8">
        <f t="shared" si="0"/>
        <v>0</v>
      </c>
      <c r="H39" s="8">
        <f t="shared" si="1"/>
        <v>-13430</v>
      </c>
      <c r="I39" s="4"/>
      <c r="J39" s="16" t="str">
        <f>VLOOKUP(C39,'[1]GLOCUENTAS (1)'!$B:$C,2,FALSE)</f>
        <v>IM LIN.CTA CTE CONSUMO REVOL            7NC</v>
      </c>
    </row>
    <row r="40" spans="1:10" x14ac:dyDescent="0.35">
      <c r="A40" s="47"/>
      <c r="B40" s="46"/>
      <c r="C40" s="11" t="s">
        <v>48</v>
      </c>
      <c r="D40" s="9">
        <v>439022000</v>
      </c>
      <c r="E40" s="9"/>
      <c r="F40" s="16"/>
      <c r="G40" s="8">
        <f t="shared" si="0"/>
        <v>0</v>
      </c>
      <c r="H40" s="8">
        <f t="shared" si="1"/>
        <v>-439022000</v>
      </c>
      <c r="I40" s="4"/>
      <c r="J40" s="16" t="str">
        <f>VLOOKUP(C40,'[1]GLOCUENTAS (1)'!$B:$C,2,FALSE)</f>
        <v>IM LIN NO UTILIZADA CTA CTE REVOL CIVA  7NC</v>
      </c>
    </row>
    <row r="41" spans="1:10" x14ac:dyDescent="0.35">
      <c r="A41" s="47"/>
      <c r="B41" s="46"/>
      <c r="C41" s="11" t="s">
        <v>41</v>
      </c>
      <c r="D41" s="9">
        <v>8968200</v>
      </c>
      <c r="E41" s="9"/>
      <c r="F41" s="16"/>
      <c r="G41" s="8">
        <f t="shared" si="0"/>
        <v>0</v>
      </c>
      <c r="H41" s="8">
        <f t="shared" si="1"/>
        <v>-8968200</v>
      </c>
      <c r="I41" s="4"/>
      <c r="J41" s="16" t="str">
        <f>VLOOKUP(C41,'[1]GLOCUENTAS (1)'!$B:$C,2,FALSE)</f>
        <v>IM LIN NO UTILIZADA CTA CTE REVOL CESF  7NC</v>
      </c>
    </row>
    <row r="42" spans="1:10" x14ac:dyDescent="0.35">
      <c r="A42" s="47"/>
      <c r="B42" s="46"/>
      <c r="C42" s="11" t="s">
        <v>56</v>
      </c>
      <c r="D42" s="9">
        <v>263824212.19999999</v>
      </c>
      <c r="E42" s="9"/>
      <c r="F42" s="16"/>
      <c r="G42" s="8">
        <f t="shared" si="0"/>
        <v>0</v>
      </c>
      <c r="H42" s="8">
        <f t="shared" si="1"/>
        <v>-263824212.19999999</v>
      </c>
      <c r="I42" s="4"/>
      <c r="J42" s="16" t="str">
        <f>VLOOKUP(C42,'[1]GLOCUENTAS (1)'!$B:$C,2,FALSE)</f>
        <v>IM LIN NO UTILIZADA CTA CTE REVOL CCOR  7NC</v>
      </c>
    </row>
    <row r="43" spans="1:10" x14ac:dyDescent="0.35">
      <c r="A43" s="47"/>
      <c r="B43" s="46"/>
      <c r="C43" s="11" t="s">
        <v>64</v>
      </c>
      <c r="D43" s="9">
        <v>861872.11</v>
      </c>
      <c r="E43" s="9"/>
      <c r="F43" s="16"/>
      <c r="G43" s="8">
        <f t="shared" si="0"/>
        <v>0</v>
      </c>
      <c r="H43" s="8">
        <f t="shared" si="1"/>
        <v>-861872.11</v>
      </c>
      <c r="I43" s="4"/>
      <c r="J43" s="16" t="str">
        <f>VLOOKUP(C43,'[1]GLOCUENTAS (1)'!$B:$C,2,FALSE)</f>
        <v>IM LIN NO UTILIZADA CTA CTE REVOL CGEM  7NC</v>
      </c>
    </row>
    <row r="44" spans="1:10" x14ac:dyDescent="0.35">
      <c r="A44" s="47"/>
      <c r="B44" s="46"/>
      <c r="C44" s="11" t="s">
        <v>79</v>
      </c>
      <c r="D44" s="9">
        <v>0</v>
      </c>
      <c r="E44" s="9"/>
      <c r="F44" s="16"/>
      <c r="G44" s="8">
        <f t="shared" si="0"/>
        <v>0</v>
      </c>
      <c r="H44" s="8">
        <f t="shared" si="1"/>
        <v>0</v>
      </c>
      <c r="I44" s="4"/>
      <c r="J44" s="16" t="str">
        <f>VLOOKUP(C44,'[1]GLOCUENTAS (1)'!$B:$C,2,FALSE)</f>
        <v>INT CRED VENC.SUSP-SOBREG PN PJ S/F LUCR7ND</v>
      </c>
    </row>
    <row r="45" spans="1:10" x14ac:dyDescent="0.35">
      <c r="A45" s="47"/>
      <c r="B45" s="46"/>
      <c r="C45" s="11" t="s">
        <v>59</v>
      </c>
      <c r="D45" s="9">
        <v>0</v>
      </c>
      <c r="E45" s="9"/>
      <c r="F45" s="16"/>
      <c r="G45" s="8">
        <f t="shared" si="0"/>
        <v>0</v>
      </c>
      <c r="H45" s="8">
        <f t="shared" si="1"/>
        <v>0</v>
      </c>
      <c r="I45" s="4"/>
      <c r="J45" s="16" t="str">
        <f>VLOOKUP(C45,'[1]GLOCUENTAS (1)'!$B:$C,2,FALSE)</f>
        <v>MANT SUSPENSO PJ SF IB                  7ND</v>
      </c>
    </row>
    <row r="46" spans="1:10" s="25" customFormat="1" x14ac:dyDescent="0.35">
      <c r="A46" s="47"/>
      <c r="B46" s="46"/>
      <c r="C46" s="20" t="s">
        <v>100</v>
      </c>
      <c r="D46" s="21">
        <f>SUM(D2:D45)</f>
        <v>10127072209.150002</v>
      </c>
      <c r="E46" s="21">
        <f>SUM(E2:E45)</f>
        <v>9406227663.7800007</v>
      </c>
      <c r="F46" s="22">
        <f>SUM(F2:F45)</f>
        <v>9406227663.7799988</v>
      </c>
      <c r="G46" s="23">
        <f t="shared" si="0"/>
        <v>0</v>
      </c>
      <c r="H46" s="23">
        <f t="shared" si="1"/>
        <v>-720844545.37000275</v>
      </c>
      <c r="I46" s="24"/>
      <c r="J46" s="16" t="e">
        <f>VLOOKUP(C46,'[1]GLOCUENTAS (1)'!$B:$C,2,FALSE)</f>
        <v>#N/A</v>
      </c>
    </row>
    <row r="47" spans="1:10" x14ac:dyDescent="0.35">
      <c r="A47" s="47" t="s">
        <v>5</v>
      </c>
      <c r="B47" s="46" t="s">
        <v>24</v>
      </c>
      <c r="C47" s="33" t="s">
        <v>818</v>
      </c>
      <c r="D47" s="34"/>
      <c r="E47" s="34"/>
      <c r="F47" s="43">
        <v>18124.48</v>
      </c>
      <c r="G47" s="8">
        <f t="shared" si="0"/>
        <v>18124.48</v>
      </c>
      <c r="H47" s="8">
        <f t="shared" si="1"/>
        <v>18124.48</v>
      </c>
      <c r="I47" s="4"/>
      <c r="J47" s="16" t="str">
        <f>VLOOKUP(C47,'[1]GLOCUENTAS (1)'!$B:$C,2,FALSE)</f>
        <v>CB CAP INT.VCDO PN                      2NC</v>
      </c>
    </row>
    <row r="48" spans="1:10" x14ac:dyDescent="0.35">
      <c r="A48" s="47"/>
      <c r="B48" s="46"/>
      <c r="C48" s="11" t="s">
        <v>85</v>
      </c>
      <c r="D48" s="9">
        <v>0</v>
      </c>
      <c r="E48" s="9">
        <v>0</v>
      </c>
      <c r="F48" s="16">
        <v>0</v>
      </c>
      <c r="G48" s="8">
        <f t="shared" si="0"/>
        <v>0</v>
      </c>
      <c r="H48" s="8">
        <f t="shared" si="1"/>
        <v>0</v>
      </c>
      <c r="I48" s="4"/>
      <c r="J48" s="16" t="str">
        <f>VLOOKUP(C48,'[1]GLOCUENTAS (1)'!$B:$C,2,FALSE)</f>
        <v>ST DINERO ELECTRONICO                   2NC</v>
      </c>
    </row>
    <row r="49" spans="1:10" x14ac:dyDescent="0.35">
      <c r="A49" s="47"/>
      <c r="B49" s="46"/>
      <c r="C49" s="11" t="s">
        <v>86</v>
      </c>
      <c r="D49" s="9">
        <v>3577599918.04</v>
      </c>
      <c r="E49" s="9">
        <v>3222231704.1799998</v>
      </c>
      <c r="F49" s="16">
        <v>5129930052.2399998</v>
      </c>
      <c r="G49" s="8">
        <f t="shared" si="0"/>
        <v>1907698348.0599999</v>
      </c>
      <c r="H49" s="8">
        <f t="shared" si="1"/>
        <v>1552330134.1999998</v>
      </c>
      <c r="I49" s="4"/>
      <c r="J49" s="16" t="str">
        <f>VLOOKUP(C49,'[1]GLOCUENTAS (1)'!$B:$C,2,FALSE)</f>
        <v>AHORROS CTA.MILLONARIA PN               2NC</v>
      </c>
    </row>
    <row r="50" spans="1:10" x14ac:dyDescent="0.35">
      <c r="A50" s="47"/>
      <c r="B50" s="46"/>
      <c r="C50" s="11" t="s">
        <v>87</v>
      </c>
      <c r="D50" s="9">
        <v>5950057623.71</v>
      </c>
      <c r="E50" s="9">
        <v>5846821832.6099997</v>
      </c>
      <c r="F50" s="16">
        <v>5867195736.6000004</v>
      </c>
      <c r="G50" s="8">
        <f t="shared" si="0"/>
        <v>20373903.990000725</v>
      </c>
      <c r="H50" s="8">
        <f t="shared" si="1"/>
        <v>-82861887.109999657</v>
      </c>
      <c r="I50" s="4"/>
      <c r="J50" s="16" t="str">
        <f>VLOOKUP(C50,'[1]GLOCUENTAS (1)'!$B:$C,2,FALSE)</f>
        <v>AHORROS CAPITAL ACTIVO PN               2NC</v>
      </c>
    </row>
    <row r="51" spans="1:10" x14ac:dyDescent="0.35">
      <c r="A51" s="47"/>
      <c r="B51" s="46"/>
      <c r="C51" s="33" t="s">
        <v>819</v>
      </c>
      <c r="D51" s="34"/>
      <c r="E51" s="34"/>
      <c r="F51" s="43">
        <v>223720872.37</v>
      </c>
      <c r="G51" s="8">
        <f t="shared" si="0"/>
        <v>223720872.37</v>
      </c>
      <c r="H51" s="8">
        <f t="shared" si="1"/>
        <v>223720872.37</v>
      </c>
      <c r="I51" s="4"/>
      <c r="J51" s="16" t="str">
        <f>VLOOKUP(C51,'[1]GLOCUENTAS (1)'!$B:$C,2,FALSE)</f>
        <v>AHORROS CAPITAL ACTIVO PJSL             2NC</v>
      </c>
    </row>
    <row r="52" spans="1:10" x14ac:dyDescent="0.35">
      <c r="A52" s="47"/>
      <c r="B52" s="46"/>
      <c r="C52" s="11" t="s">
        <v>88</v>
      </c>
      <c r="D52" s="9">
        <v>1725267574.45</v>
      </c>
      <c r="E52" s="9">
        <v>1725267574.45</v>
      </c>
      <c r="F52" s="16">
        <v>1725270574.45</v>
      </c>
      <c r="G52" s="8">
        <f t="shared" si="0"/>
        <v>3000</v>
      </c>
      <c r="H52" s="8">
        <f t="shared" si="1"/>
        <v>3000</v>
      </c>
      <c r="I52" s="4"/>
      <c r="J52" s="16" t="str">
        <f>VLOOKUP(C52,'[1]GLOCUENTAS (1)'!$B:$C,2,FALSE)</f>
        <v>AHORROS CTA.ALCANCIA VIRTUAL            2NC</v>
      </c>
    </row>
    <row r="53" spans="1:10" x14ac:dyDescent="0.35">
      <c r="A53" s="47"/>
      <c r="B53" s="46"/>
      <c r="C53" s="33" t="s">
        <v>820</v>
      </c>
      <c r="D53" s="34"/>
      <c r="E53" s="34"/>
      <c r="F53" s="43">
        <v>49414.26</v>
      </c>
      <c r="G53" s="8">
        <f t="shared" si="0"/>
        <v>49414.26</v>
      </c>
      <c r="H53" s="8">
        <f t="shared" si="1"/>
        <v>49414.26</v>
      </c>
      <c r="I53" s="4"/>
      <c r="J53" s="16" t="str">
        <f>VLOOKUP(C53,'[1]GLOCUENTAS (1)'!$B:$C,2,FALSE)</f>
        <v>AHORROS ESP - OTRAS PJ                  2NC</v>
      </c>
    </row>
    <row r="54" spans="1:10" x14ac:dyDescent="0.35">
      <c r="A54" s="47"/>
      <c r="B54" s="46"/>
      <c r="C54" s="33" t="s">
        <v>821</v>
      </c>
      <c r="D54" s="34"/>
      <c r="E54" s="34"/>
      <c r="F54" s="43">
        <v>1314654190.05</v>
      </c>
      <c r="G54" s="8">
        <f t="shared" si="0"/>
        <v>1314654190.05</v>
      </c>
      <c r="H54" s="8">
        <f t="shared" si="1"/>
        <v>1314654190.05</v>
      </c>
      <c r="I54" s="4"/>
      <c r="J54" s="16" t="str">
        <f>VLOOKUP(C54,'[1]GLOCUENTAS (1)'!$B:$C,2,FALSE)</f>
        <v>AHORROS CAPITAL ACTIVO PJFL             2NC</v>
      </c>
    </row>
    <row r="55" spans="1:10" x14ac:dyDescent="0.35">
      <c r="A55" s="47"/>
      <c r="B55" s="46"/>
      <c r="C55" s="33" t="s">
        <v>822</v>
      </c>
      <c r="D55" s="34"/>
      <c r="E55" s="34"/>
      <c r="F55" s="43">
        <v>151.82</v>
      </c>
      <c r="G55" s="8">
        <f t="shared" si="0"/>
        <v>151.82</v>
      </c>
      <c r="H55" s="8">
        <f t="shared" si="1"/>
        <v>151.82</v>
      </c>
      <c r="I55" s="4"/>
      <c r="J55" s="16" t="str">
        <f>VLOOKUP(C55,'[1]GLOCUENTAS (1)'!$B:$C,2,FALSE)</f>
        <v>AHORROS MESA CAPITAL PARALIZADO PJSL    2NC</v>
      </c>
    </row>
    <row r="56" spans="1:10" x14ac:dyDescent="0.35">
      <c r="A56" s="47"/>
      <c r="B56" s="46"/>
      <c r="C56" s="11" t="s">
        <v>89</v>
      </c>
      <c r="D56" s="15">
        <v>208974484.27000001</v>
      </c>
      <c r="E56" s="15">
        <v>200510724.28999999</v>
      </c>
      <c r="F56" s="16">
        <v>200981461.65000001</v>
      </c>
      <c r="G56" s="8">
        <f t="shared" si="0"/>
        <v>470737.36000001431</v>
      </c>
      <c r="H56" s="8">
        <f t="shared" si="1"/>
        <v>-7993022.6200000048</v>
      </c>
      <c r="I56" s="4"/>
      <c r="J56" s="16" t="str">
        <f>VLOOKUP(C56,'[1]GLOCUENTAS (1)'!$B:$C,2,FALSE)</f>
        <v>AHORROS CAPITAL PARALIZADO PN           2NC</v>
      </c>
    </row>
    <row r="57" spans="1:10" x14ac:dyDescent="0.35">
      <c r="A57" s="47"/>
      <c r="B57" s="46"/>
      <c r="C57" s="33" t="s">
        <v>823</v>
      </c>
      <c r="D57" s="34"/>
      <c r="E57" s="34"/>
      <c r="F57" s="43">
        <v>2816931.81</v>
      </c>
      <c r="G57" s="8">
        <f t="shared" si="0"/>
        <v>2816931.81</v>
      </c>
      <c r="H57" s="8">
        <f t="shared" si="1"/>
        <v>2816931.81</v>
      </c>
      <c r="I57" s="4"/>
      <c r="J57" s="16" t="str">
        <f>VLOOKUP(C57,'[1]GLOCUENTAS (1)'!$B:$C,2,FALSE)</f>
        <v>AHORROS CAPITAL PARALIZADO PJSL         2NC</v>
      </c>
    </row>
    <row r="58" spans="1:10" x14ac:dyDescent="0.35">
      <c r="A58" s="47"/>
      <c r="B58" s="46"/>
      <c r="C58" s="11" t="s">
        <v>90</v>
      </c>
      <c r="D58" s="15">
        <v>420414910.50999999</v>
      </c>
      <c r="E58" s="15">
        <v>373068603.25</v>
      </c>
      <c r="F58" s="16">
        <v>373163323.83999997</v>
      </c>
      <c r="G58" s="8">
        <f t="shared" si="0"/>
        <v>94720.589999973774</v>
      </c>
      <c r="H58" s="8">
        <f t="shared" si="1"/>
        <v>-47251586.670000017</v>
      </c>
      <c r="I58" s="4"/>
      <c r="J58" s="16" t="str">
        <f>VLOOKUP(C58,'[1]GLOCUENTAS (1)'!$B:$C,2,FALSE)</f>
        <v>AHORROS CTA MILLONARIA PN INACT         2NC</v>
      </c>
    </row>
    <row r="59" spans="1:10" x14ac:dyDescent="0.35">
      <c r="A59" s="47"/>
      <c r="B59" s="46"/>
      <c r="C59" s="11" t="s">
        <v>91</v>
      </c>
      <c r="D59" s="15">
        <v>37726386.700000003</v>
      </c>
      <c r="E59" s="15">
        <v>37726386.700000003</v>
      </c>
      <c r="F59" s="9">
        <v>37726386.700000003</v>
      </c>
      <c r="G59" s="8">
        <f t="shared" si="0"/>
        <v>0</v>
      </c>
      <c r="H59" s="8">
        <f t="shared" si="1"/>
        <v>0</v>
      </c>
      <c r="I59" s="4"/>
      <c r="J59" s="16" t="str">
        <f>VLOOKUP(C59,'[1]GLOCUENTAS (1)'!$B:$C,2,FALSE)</f>
        <v>AHORROS CTA ALCANCIA VIRTUAL INACT      2NC</v>
      </c>
    </row>
    <row r="60" spans="1:10" x14ac:dyDescent="0.35">
      <c r="A60" s="47"/>
      <c r="B60" s="46"/>
      <c r="C60" s="33" t="s">
        <v>824</v>
      </c>
      <c r="D60" s="34"/>
      <c r="E60" s="34"/>
      <c r="F60" s="34">
        <v>7.9</v>
      </c>
      <c r="G60" s="8">
        <f t="shared" si="0"/>
        <v>7.9</v>
      </c>
      <c r="H60" s="8">
        <f t="shared" si="1"/>
        <v>7.9</v>
      </c>
      <c r="I60" s="4"/>
      <c r="J60" s="16" t="str">
        <f>VLOOKUP(C60,'[1]GLOCUENTAS (1)'!$B:$C,2,FALSE)</f>
        <v>AHORROS ESP.OTRAS PJ - INACTIVAS        2NC</v>
      </c>
    </row>
    <row r="61" spans="1:10" x14ac:dyDescent="0.35">
      <c r="A61" s="47"/>
      <c r="B61" s="46"/>
      <c r="C61" s="33" t="s">
        <v>825</v>
      </c>
      <c r="D61" s="34"/>
      <c r="E61" s="34"/>
      <c r="F61" s="34">
        <v>5169094.66</v>
      </c>
      <c r="G61" s="8">
        <f t="shared" si="0"/>
        <v>5169094.66</v>
      </c>
      <c r="H61" s="8">
        <f t="shared" si="1"/>
        <v>5169094.66</v>
      </c>
      <c r="I61" s="4"/>
      <c r="J61" s="16" t="str">
        <f>VLOOKUP(C61,'[1]GLOCUENTAS (1)'!$B:$C,2,FALSE)</f>
        <v>AHORROS CAPITAL PARALIZADO PJFL         2NC</v>
      </c>
    </row>
    <row r="62" spans="1:10" x14ac:dyDescent="0.35">
      <c r="A62" s="47"/>
      <c r="B62" s="46"/>
      <c r="C62" s="33" t="s">
        <v>826</v>
      </c>
      <c r="D62" s="34"/>
      <c r="E62" s="34"/>
      <c r="F62" s="34">
        <v>809945</v>
      </c>
      <c r="G62" s="8">
        <f t="shared" si="0"/>
        <v>809945</v>
      </c>
      <c r="H62" s="8">
        <f t="shared" si="1"/>
        <v>809945</v>
      </c>
      <c r="I62" s="4"/>
      <c r="J62" s="16" t="str">
        <f>VLOOKUP(C62,'[1]GLOCUENTAS (1)'!$B:$C,2,FALSE)</f>
        <v>CBME CAPITAL ACTIVO PN                  2NC</v>
      </c>
    </row>
    <row r="63" spans="1:10" x14ac:dyDescent="0.35">
      <c r="A63" s="47"/>
      <c r="B63" s="46"/>
      <c r="C63" s="11" t="s">
        <v>827</v>
      </c>
      <c r="D63" s="15"/>
      <c r="E63" s="15"/>
      <c r="F63" s="9">
        <v>0</v>
      </c>
      <c r="G63" s="8">
        <f t="shared" si="0"/>
        <v>0</v>
      </c>
      <c r="H63" s="8">
        <f t="shared" si="1"/>
        <v>0</v>
      </c>
      <c r="I63" s="4"/>
      <c r="J63" s="16" t="str">
        <f>VLOOKUP(C63,'[1]GLOCUENTAS (1)'!$B:$C,2,FALSE)</f>
        <v>CBME CAPITAL ACTIVO PJSL                2NC</v>
      </c>
    </row>
    <row r="64" spans="1:10" x14ac:dyDescent="0.35">
      <c r="A64" s="47"/>
      <c r="B64" s="46"/>
      <c r="C64" s="33" t="s">
        <v>828</v>
      </c>
      <c r="D64" s="34"/>
      <c r="E64" s="34"/>
      <c r="F64" s="34">
        <v>5442782960.7299995</v>
      </c>
      <c r="G64" s="8">
        <f t="shared" si="0"/>
        <v>5442782960.7299995</v>
      </c>
      <c r="H64" s="8">
        <f t="shared" si="1"/>
        <v>5442782960.7299995</v>
      </c>
      <c r="I64" s="4"/>
      <c r="J64" s="16" t="str">
        <f>VLOOKUP(C64,'[1]GLOCUENTAS (1)'!$B:$C,2,FALSE)</f>
        <v>DEP PLAZO CAPITAL PN                    2NC</v>
      </c>
    </row>
    <row r="65" spans="1:10" x14ac:dyDescent="0.35">
      <c r="A65" s="47"/>
      <c r="B65" s="46"/>
      <c r="C65" s="33" t="s">
        <v>829</v>
      </c>
      <c r="D65" s="34"/>
      <c r="E65" s="34"/>
      <c r="F65" s="34">
        <v>416780.79</v>
      </c>
      <c r="G65" s="8">
        <f t="shared" si="0"/>
        <v>416780.79</v>
      </c>
      <c r="H65" s="8">
        <f t="shared" si="1"/>
        <v>416780.79</v>
      </c>
      <c r="I65" s="4"/>
      <c r="J65" s="16" t="str">
        <f>VLOOKUP(C65,'[1]GLOCUENTAS (1)'!$B:$C,2,FALSE)</f>
        <v>DEP PLAZO CAPITAL PJSL                  2NC</v>
      </c>
    </row>
    <row r="66" spans="1:10" x14ac:dyDescent="0.35">
      <c r="A66" s="47"/>
      <c r="B66" s="46"/>
      <c r="C66" s="33" t="s">
        <v>830</v>
      </c>
      <c r="D66" s="34"/>
      <c r="E66" s="34"/>
      <c r="F66" s="34">
        <v>749500.8</v>
      </c>
      <c r="G66" s="8">
        <f t="shared" ref="G66:G129" si="2">F66-E66</f>
        <v>749500.8</v>
      </c>
      <c r="H66" s="8">
        <f t="shared" si="1"/>
        <v>749500.8</v>
      </c>
      <c r="I66" s="4"/>
      <c r="J66" s="16" t="str">
        <f>VLOOKUP(C66,'[1]GLOCUENTAS (1)'!$B:$C,2,FALSE)</f>
        <v>DEP PLAZO CAPITAL PJFL                  2NC</v>
      </c>
    </row>
    <row r="67" spans="1:10" x14ac:dyDescent="0.35">
      <c r="A67" s="47"/>
      <c r="B67" s="46"/>
      <c r="C67" s="33" t="s">
        <v>831</v>
      </c>
      <c r="D67" s="34"/>
      <c r="E67" s="34"/>
      <c r="F67" s="34">
        <v>518048888.55000001</v>
      </c>
      <c r="G67" s="8">
        <f t="shared" si="2"/>
        <v>518048888.55000001</v>
      </c>
      <c r="H67" s="8">
        <f t="shared" ref="H67:H130" si="3">F67-D67</f>
        <v>518048888.55000001</v>
      </c>
      <c r="I67" s="4"/>
      <c r="J67" s="16" t="str">
        <f>VLOOKUP(C67,'[1]GLOCUENTAS (1)'!$B:$C,2,FALSE)</f>
        <v>CTS CAPITAL                             2NC</v>
      </c>
    </row>
    <row r="68" spans="1:10" x14ac:dyDescent="0.35">
      <c r="A68" s="47"/>
      <c r="B68" s="46"/>
      <c r="C68" s="33" t="s">
        <v>832</v>
      </c>
      <c r="D68" s="34"/>
      <c r="E68" s="34"/>
      <c r="F68" s="34">
        <v>54692590.759999998</v>
      </c>
      <c r="G68" s="8">
        <f t="shared" si="2"/>
        <v>54692590.759999998</v>
      </c>
      <c r="H68" s="8">
        <f t="shared" si="3"/>
        <v>54692590.759999998</v>
      </c>
      <c r="I68" s="4"/>
      <c r="J68" s="16" t="str">
        <f>VLOOKUP(C68,'[1]GLOCUENTAS (1)'!$B:$C,2,FALSE)</f>
        <v>CTS CONVENIOS - PN Y PJ PRIV.S/F LUCR   2NC</v>
      </c>
    </row>
    <row r="69" spans="1:10" x14ac:dyDescent="0.35">
      <c r="A69" s="47"/>
      <c r="B69" s="46"/>
      <c r="C69" s="33" t="s">
        <v>833</v>
      </c>
      <c r="D69" s="34"/>
      <c r="E69" s="34"/>
      <c r="F69" s="34">
        <v>462375.23</v>
      </c>
      <c r="G69" s="8">
        <f t="shared" si="2"/>
        <v>462375.23</v>
      </c>
      <c r="H69" s="8">
        <f t="shared" si="3"/>
        <v>462375.23</v>
      </c>
      <c r="I69" s="4"/>
      <c r="J69" s="16" t="str">
        <f>VLOOKUP(C69,'[1]GLOCUENTAS (1)'!$B:$C,2,FALSE)</f>
        <v>CTAS A PLAZO FDO GARANTIA - OTRAS PJ    2NC</v>
      </c>
    </row>
    <row r="70" spans="1:10" x14ac:dyDescent="0.35">
      <c r="A70" s="47"/>
      <c r="B70" s="46"/>
      <c r="C70" s="11" t="s">
        <v>92</v>
      </c>
      <c r="D70" s="15">
        <v>13302.11</v>
      </c>
      <c r="E70" s="15">
        <v>10413.11</v>
      </c>
      <c r="F70" s="9">
        <v>537638.53</v>
      </c>
      <c r="G70" s="8">
        <f t="shared" si="2"/>
        <v>527225.42000000004</v>
      </c>
      <c r="H70" s="8">
        <f t="shared" si="3"/>
        <v>524336.42000000004</v>
      </c>
      <c r="I70" s="4"/>
      <c r="J70" s="16" t="str">
        <f>VLOOKUP(C70,'[1]GLOCUENTAS (1)'!$B:$C,2,FALSE)</f>
        <v>BENEFICIOS SOCIALES DE TRABAJADORES     2NC</v>
      </c>
    </row>
    <row r="71" spans="1:10" x14ac:dyDescent="0.35">
      <c r="A71" s="47"/>
      <c r="B71" s="46"/>
      <c r="C71" s="11" t="s">
        <v>93</v>
      </c>
      <c r="D71" s="15">
        <v>1566594.78</v>
      </c>
      <c r="E71" s="15">
        <v>1469826.85</v>
      </c>
      <c r="F71" s="9">
        <v>1652635.39</v>
      </c>
      <c r="G71" s="8">
        <f t="shared" si="2"/>
        <v>182808.5399999998</v>
      </c>
      <c r="H71" s="8">
        <f t="shared" si="3"/>
        <v>86040.60999999987</v>
      </c>
      <c r="I71" s="4"/>
      <c r="J71" s="16" t="str">
        <f>VLOOKUP(C71,'[1]GLOCUENTAS (1)'!$B:$C,2,FALSE)</f>
        <v>AHORROS RETENCION JUD PN                2NC</v>
      </c>
    </row>
    <row r="72" spans="1:10" x14ac:dyDescent="0.35">
      <c r="A72" s="47"/>
      <c r="B72" s="46"/>
      <c r="C72" s="33" t="s">
        <v>834</v>
      </c>
      <c r="D72" s="34"/>
      <c r="E72" s="34"/>
      <c r="F72" s="34">
        <v>13401.57</v>
      </c>
      <c r="G72" s="8">
        <f t="shared" si="2"/>
        <v>13401.57</v>
      </c>
      <c r="H72" s="8">
        <f t="shared" si="3"/>
        <v>13401.57</v>
      </c>
      <c r="I72" s="4"/>
      <c r="J72" s="16" t="str">
        <f>VLOOKUP(C72,'[1]GLOCUENTAS (1)'!$B:$C,2,FALSE)</f>
        <v>AHORROS RETENCION JUD PJSL              2NC</v>
      </c>
    </row>
    <row r="73" spans="1:10" x14ac:dyDescent="0.35">
      <c r="A73" s="47"/>
      <c r="B73" s="46"/>
      <c r="C73" s="33" t="s">
        <v>835</v>
      </c>
      <c r="D73" s="34"/>
      <c r="E73" s="34"/>
      <c r="F73" s="34">
        <v>191339.03</v>
      </c>
      <c r="G73" s="8">
        <f t="shared" si="2"/>
        <v>191339.03</v>
      </c>
      <c r="H73" s="8">
        <f t="shared" si="3"/>
        <v>191339.03</v>
      </c>
      <c r="I73" s="4"/>
      <c r="J73" s="16" t="str">
        <f>VLOOKUP(C73,'[1]GLOCUENTAS (1)'!$B:$C,2,FALSE)</f>
        <v>RET.JUD.- CTAS A PLAZO PN Y PJ PRIV.S   2NC</v>
      </c>
    </row>
    <row r="74" spans="1:10" x14ac:dyDescent="0.35">
      <c r="A74" s="47"/>
      <c r="B74" s="46"/>
      <c r="C74" s="33" t="s">
        <v>836</v>
      </c>
      <c r="D74" s="34"/>
      <c r="E74" s="34"/>
      <c r="F74" s="34">
        <v>53400.28</v>
      </c>
      <c r="G74" s="8">
        <f t="shared" si="2"/>
        <v>53400.28</v>
      </c>
      <c r="H74" s="8">
        <f t="shared" si="3"/>
        <v>53400.28</v>
      </c>
      <c r="I74" s="4"/>
      <c r="J74" s="16" t="str">
        <f>VLOOKUP(C74,'[1]GLOCUENTAS (1)'!$B:$C,2,FALSE)</f>
        <v>RETENCION JUDICIAL CTS                  2NC</v>
      </c>
    </row>
    <row r="75" spans="1:10" x14ac:dyDescent="0.35">
      <c r="A75" s="47"/>
      <c r="B75" s="46"/>
      <c r="C75" s="33" t="s">
        <v>837</v>
      </c>
      <c r="D75" s="34"/>
      <c r="E75" s="34"/>
      <c r="F75" s="34">
        <v>59.01</v>
      </c>
      <c r="G75" s="8">
        <f t="shared" si="2"/>
        <v>59.01</v>
      </c>
      <c r="H75" s="8">
        <f t="shared" si="3"/>
        <v>59.01</v>
      </c>
      <c r="I75" s="4"/>
      <c r="J75" s="16" t="str">
        <f>VLOOKUP(C75,'[1]GLOCUENTAS (1)'!$B:$C,2,FALSE)</f>
        <v>RET JUD AHORROS OTRAS PJ                2NC</v>
      </c>
    </row>
    <row r="76" spans="1:10" x14ac:dyDescent="0.35">
      <c r="A76" s="47"/>
      <c r="B76" s="46"/>
      <c r="C76" s="33" t="s">
        <v>838</v>
      </c>
      <c r="D76" s="34"/>
      <c r="E76" s="34"/>
      <c r="F76" s="34">
        <v>10493.06</v>
      </c>
      <c r="G76" s="8">
        <f t="shared" si="2"/>
        <v>10493.06</v>
      </c>
      <c r="H76" s="8">
        <f t="shared" si="3"/>
        <v>10493.06</v>
      </c>
      <c r="I76" s="4"/>
      <c r="J76" s="16" t="str">
        <f>VLOOKUP(C76,'[1]GLOCUENTAS (1)'!$B:$C,2,FALSE)</f>
        <v>RET.JUD.- CTAS A PLAZO PN Y PJ PRIV.S/F 2NC</v>
      </c>
    </row>
    <row r="77" spans="1:10" x14ac:dyDescent="0.35">
      <c r="A77" s="47"/>
      <c r="B77" s="46"/>
      <c r="C77" s="33" t="s">
        <v>839</v>
      </c>
      <c r="D77" s="34"/>
      <c r="E77" s="34"/>
      <c r="F77" s="34">
        <v>12137.61</v>
      </c>
      <c r="G77" s="8">
        <f t="shared" si="2"/>
        <v>12137.61</v>
      </c>
      <c r="H77" s="8">
        <f t="shared" si="3"/>
        <v>12137.61</v>
      </c>
      <c r="I77" s="4"/>
      <c r="J77" s="16" t="str">
        <f>VLOOKUP(C77,'[1]GLOCUENTAS (1)'!$B:$C,2,FALSE)</f>
        <v>D.GTIA. CRED.-CTAS PLAZO PN PJ PRIV.S/F 2NC</v>
      </c>
    </row>
    <row r="78" spans="1:10" x14ac:dyDescent="0.35">
      <c r="A78" s="47"/>
      <c r="B78" s="46"/>
      <c r="C78" s="11" t="s">
        <v>95</v>
      </c>
      <c r="D78" s="15">
        <v>0.6</v>
      </c>
      <c r="E78" s="15">
        <v>0.6</v>
      </c>
      <c r="F78" s="9">
        <v>0.6</v>
      </c>
      <c r="G78" s="8">
        <f t="shared" si="2"/>
        <v>0</v>
      </c>
      <c r="H78" s="8">
        <f t="shared" si="3"/>
        <v>0</v>
      </c>
      <c r="I78" s="4"/>
      <c r="J78" s="16" t="str">
        <f>VLOOKUP(C78,'[1]GLOCUENTAS (1)'!$B:$C,2,FALSE)</f>
        <v>AHORROS GTIA CAPITAL PN                 2NC</v>
      </c>
    </row>
    <row r="79" spans="1:10" x14ac:dyDescent="0.35">
      <c r="A79" s="47"/>
      <c r="B79" s="46"/>
      <c r="C79" s="33" t="s">
        <v>840</v>
      </c>
      <c r="D79" s="34"/>
      <c r="E79" s="34"/>
      <c r="F79" s="34">
        <v>74017710.319999993</v>
      </c>
      <c r="G79" s="8">
        <f t="shared" si="2"/>
        <v>74017710.319999993</v>
      </c>
      <c r="H79" s="8">
        <f t="shared" si="3"/>
        <v>74017710.319999993</v>
      </c>
      <c r="I79" s="4"/>
      <c r="J79" s="16" t="str">
        <f>VLOOKUP(C79,'[1]GLOCUENTAS (1)'!$B:$C,2,FALSE)</f>
        <v>BL-CB GTIA CONTING PJ S/F LUCRO         2NC</v>
      </c>
    </row>
    <row r="80" spans="1:10" x14ac:dyDescent="0.35">
      <c r="A80" s="47"/>
      <c r="B80" s="46"/>
      <c r="C80" s="33" t="s">
        <v>841</v>
      </c>
      <c r="D80" s="34"/>
      <c r="E80" s="34"/>
      <c r="F80" s="34">
        <v>1975324.9</v>
      </c>
      <c r="G80" s="8">
        <f t="shared" si="2"/>
        <v>1975324.9</v>
      </c>
      <c r="H80" s="8">
        <f t="shared" si="3"/>
        <v>1975324.9</v>
      </c>
      <c r="I80" s="4"/>
      <c r="J80" s="16" t="str">
        <f>VLOOKUP(C80,'[1]GLOCUENTAS (1)'!$B:$C,2,FALSE)</f>
        <v>BL-CB GTIA CONTING PN                   2NC</v>
      </c>
    </row>
    <row r="81" spans="1:10" x14ac:dyDescent="0.35">
      <c r="A81" s="47"/>
      <c r="B81" s="46"/>
      <c r="C81" s="33" t="s">
        <v>842</v>
      </c>
      <c r="D81" s="34"/>
      <c r="E81" s="34"/>
      <c r="F81" s="34">
        <v>4742721.5999999996</v>
      </c>
      <c r="G81" s="8">
        <f t="shared" si="2"/>
        <v>4742721.5999999996</v>
      </c>
      <c r="H81" s="8">
        <f t="shared" si="3"/>
        <v>4742721.5999999996</v>
      </c>
      <c r="I81" s="4"/>
      <c r="J81" s="16" t="str">
        <f>VLOOKUP(C81,'[1]GLOCUENTAS (1)'!$B:$C,2,FALSE)</f>
        <v>AHORROS GTIA.CONTING.- OTRAS PJ         2NC</v>
      </c>
    </row>
    <row r="82" spans="1:10" x14ac:dyDescent="0.35">
      <c r="A82" s="47"/>
      <c r="B82" s="46"/>
      <c r="C82" s="33" t="s">
        <v>843</v>
      </c>
      <c r="D82" s="34"/>
      <c r="E82" s="34"/>
      <c r="F82" s="34">
        <v>201875454.09</v>
      </c>
      <c r="G82" s="8">
        <f t="shared" si="2"/>
        <v>201875454.09</v>
      </c>
      <c r="H82" s="8">
        <f t="shared" si="3"/>
        <v>201875454.09</v>
      </c>
      <c r="I82" s="4"/>
      <c r="J82" s="16" t="str">
        <f>VLOOKUP(C82,'[1]GLOCUENTAS (1)'!$B:$C,2,FALSE)</f>
        <v>CBME GTIA CAPITAL PJFL                  2NC</v>
      </c>
    </row>
    <row r="83" spans="1:10" x14ac:dyDescent="0.35">
      <c r="A83" s="47"/>
      <c r="B83" s="46"/>
      <c r="C83" s="33" t="s">
        <v>844</v>
      </c>
      <c r="D83" s="34"/>
      <c r="E83" s="34"/>
      <c r="F83" s="34">
        <v>62553.91</v>
      </c>
      <c r="G83" s="8">
        <f t="shared" si="2"/>
        <v>62553.91</v>
      </c>
      <c r="H83" s="8">
        <f t="shared" si="3"/>
        <v>62553.91</v>
      </c>
      <c r="I83" s="4"/>
      <c r="J83" s="16" t="str">
        <f>VLOOKUP(C83,'[1]GLOCUENTAS (1)'!$B:$C,2,FALSE)</f>
        <v>DEP PLAZO GTIA CAPITAL PJFL             2NC</v>
      </c>
    </row>
    <row r="84" spans="1:10" x14ac:dyDescent="0.35">
      <c r="A84" s="47"/>
      <c r="B84" s="46"/>
      <c r="C84" s="11" t="s">
        <v>96</v>
      </c>
      <c r="D84" s="15">
        <v>1522.43</v>
      </c>
      <c r="E84" s="15">
        <v>1522.43</v>
      </c>
      <c r="F84" s="9">
        <v>1522.43</v>
      </c>
      <c r="G84" s="8">
        <f t="shared" si="2"/>
        <v>0</v>
      </c>
      <c r="H84" s="8">
        <f t="shared" si="3"/>
        <v>0</v>
      </c>
      <c r="I84" s="4"/>
      <c r="J84" s="16" t="str">
        <f>VLOOKUP(C84,'[1]GLOCUENTAS (1)'!$B:$C,2,FALSE)</f>
        <v>ST DINERO ELECTRONICO INMOVILIZADAS     2NC</v>
      </c>
    </row>
    <row r="85" spans="1:10" x14ac:dyDescent="0.35">
      <c r="A85" s="47"/>
      <c r="B85" s="46"/>
      <c r="C85" s="11" t="s">
        <v>94</v>
      </c>
      <c r="D85" s="15">
        <v>3000</v>
      </c>
      <c r="E85" s="15">
        <v>3000</v>
      </c>
      <c r="F85" s="9"/>
      <c r="G85" s="8">
        <f t="shared" si="2"/>
        <v>-3000</v>
      </c>
      <c r="H85" s="8">
        <f t="shared" si="3"/>
        <v>-3000</v>
      </c>
      <c r="I85" s="4"/>
      <c r="J85" s="16" t="str">
        <f>VLOOKUP(C85,'[1]GLOCUENTAS (1)'!$B:$C,2,FALSE)</f>
        <v>AHORROS CTA.ALCANCIA VIRTUAL            2NC</v>
      </c>
    </row>
    <row r="86" spans="1:10" x14ac:dyDescent="0.35">
      <c r="A86" s="47"/>
      <c r="B86" s="46"/>
      <c r="C86" s="11" t="s">
        <v>97</v>
      </c>
      <c r="D86" s="15">
        <v>10948003432.34</v>
      </c>
      <c r="E86" s="15">
        <v>9776694168.5499992</v>
      </c>
      <c r="F86" s="9"/>
      <c r="G86" s="8">
        <f t="shared" si="2"/>
        <v>-9776694168.5499992</v>
      </c>
      <c r="H86" s="8">
        <f t="shared" si="3"/>
        <v>-10948003432.34</v>
      </c>
      <c r="I86" s="4"/>
      <c r="J86" s="16" t="e">
        <f>VLOOKUP(C86,'[1]GLOCUENTAS (1)'!$B:$C,2,FALSE)</f>
        <v>#N/A</v>
      </c>
    </row>
    <row r="87" spans="1:10" s="25" customFormat="1" x14ac:dyDescent="0.35">
      <c r="A87" s="47"/>
      <c r="B87" s="46"/>
      <c r="C87" s="20" t="s">
        <v>100</v>
      </c>
      <c r="D87" s="21">
        <f>SUM(D47:D86)</f>
        <v>22869628749.940002</v>
      </c>
      <c r="E87" s="21">
        <f>SUM(E47:E86)</f>
        <v>21183805757.020004</v>
      </c>
      <c r="F87" s="21">
        <f>SUM(F47:F86)</f>
        <v>21183805757.019989</v>
      </c>
      <c r="G87" s="23">
        <f t="shared" si="2"/>
        <v>0</v>
      </c>
      <c r="H87" s="23">
        <f t="shared" si="3"/>
        <v>-1685822992.9200134</v>
      </c>
      <c r="I87" s="24"/>
      <c r="J87" s="16" t="e">
        <f>VLOOKUP(C87,'[1]GLOCUENTAS (1)'!$B:$C,2,FALSE)</f>
        <v>#N/A</v>
      </c>
    </row>
    <row r="88" spans="1:10" ht="72.5" customHeight="1" x14ac:dyDescent="0.35">
      <c r="A88" s="47" t="s">
        <v>6</v>
      </c>
      <c r="B88" s="48" t="s">
        <v>25</v>
      </c>
      <c r="C88" s="17" t="s">
        <v>98</v>
      </c>
      <c r="D88" s="16">
        <v>9359451.5800000001</v>
      </c>
      <c r="E88" s="16">
        <v>9359451.5800000001</v>
      </c>
      <c r="F88" s="16">
        <v>9359451.5800000001</v>
      </c>
      <c r="G88" s="8">
        <f t="shared" si="2"/>
        <v>0</v>
      </c>
      <c r="H88" s="8">
        <f t="shared" si="3"/>
        <v>0</v>
      </c>
      <c r="I88" s="2"/>
      <c r="J88" s="16" t="str">
        <f>VLOOKUP(C88,'[1]GLOCUENTAS (1)'!$B:$C,2,FALSE)</f>
        <v>CARTAS DE CREDITO CONTIGENTE SBLC       7ND</v>
      </c>
    </row>
    <row r="89" spans="1:10" s="25" customFormat="1" ht="72.5" customHeight="1" x14ac:dyDescent="0.35">
      <c r="A89" s="47"/>
      <c r="B89" s="48"/>
      <c r="C89" s="20" t="s">
        <v>100</v>
      </c>
      <c r="D89" s="22">
        <f>SUM(D88)</f>
        <v>9359451.5800000001</v>
      </c>
      <c r="E89" s="22">
        <f>SUM(E88)</f>
        <v>9359451.5800000001</v>
      </c>
      <c r="F89" s="22">
        <f>SUM(F88)</f>
        <v>9359451.5800000001</v>
      </c>
      <c r="G89" s="23">
        <f t="shared" si="2"/>
        <v>0</v>
      </c>
      <c r="H89" s="23">
        <f t="shared" si="3"/>
        <v>0</v>
      </c>
      <c r="I89" s="26"/>
      <c r="J89" s="16" t="e">
        <f>VLOOKUP(C89,'[1]GLOCUENTAS (1)'!$B:$C,2,FALSE)</f>
        <v>#N/A</v>
      </c>
    </row>
    <row r="90" spans="1:10" x14ac:dyDescent="0.35">
      <c r="A90" s="47" t="s">
        <v>7</v>
      </c>
      <c r="B90" s="46" t="s">
        <v>26</v>
      </c>
      <c r="C90" s="11" t="s">
        <v>107</v>
      </c>
      <c r="D90" s="9">
        <v>0</v>
      </c>
      <c r="E90" s="9">
        <v>0</v>
      </c>
      <c r="F90" s="16"/>
      <c r="G90" s="8">
        <f t="shared" si="2"/>
        <v>0</v>
      </c>
      <c r="H90" s="8">
        <f t="shared" si="3"/>
        <v>0</v>
      </c>
      <c r="I90" s="4"/>
      <c r="J90" s="16" t="e">
        <f>VLOOKUP(C90,'[1]GLOCUENTAS (1)'!$B:$C,2,FALSE)</f>
        <v>#N/A</v>
      </c>
    </row>
    <row r="91" spans="1:10" x14ac:dyDescent="0.35">
      <c r="A91" s="47"/>
      <c r="B91" s="46"/>
      <c r="C91" s="11" t="s">
        <v>143</v>
      </c>
      <c r="D91" s="9">
        <v>51212.14</v>
      </c>
      <c r="E91" s="9">
        <v>51212.14</v>
      </c>
      <c r="F91" s="16">
        <v>51212.14</v>
      </c>
      <c r="G91" s="8">
        <f t="shared" si="2"/>
        <v>0</v>
      </c>
      <c r="H91" s="8">
        <f t="shared" si="3"/>
        <v>0</v>
      </c>
      <c r="I91" s="4"/>
      <c r="J91" s="16" t="str">
        <f>VLOOKUP(C91,'[1]GLOCUENTAS (1)'!$B:$C,2,FALSE)</f>
        <v>TC VISA COMPRA REV VIG CMIE             1ND</v>
      </c>
    </row>
    <row r="92" spans="1:10" x14ac:dyDescent="0.35">
      <c r="A92" s="47"/>
      <c r="B92" s="46"/>
      <c r="C92" s="11" t="s">
        <v>117</v>
      </c>
      <c r="D92" s="9">
        <v>5905756.5800000001</v>
      </c>
      <c r="E92" s="9">
        <v>5905756.5800000001</v>
      </c>
      <c r="F92" s="16">
        <v>5905756.5800000001</v>
      </c>
      <c r="G92" s="8">
        <f t="shared" si="2"/>
        <v>0</v>
      </c>
      <c r="H92" s="8">
        <f t="shared" si="3"/>
        <v>0</v>
      </c>
      <c r="I92" s="4"/>
      <c r="J92" s="16" t="str">
        <f>VLOOKUP(C92,'[1]GLOCUENTAS (1)'!$B:$C,2,FALSE)</f>
        <v>TC VISA D/E REV VIG CCRV                1ND</v>
      </c>
    </row>
    <row r="93" spans="1:10" x14ac:dyDescent="0.35">
      <c r="A93" s="47"/>
      <c r="B93" s="46"/>
      <c r="C93" s="11" t="s">
        <v>118</v>
      </c>
      <c r="D93" s="9">
        <v>4428388.95</v>
      </c>
      <c r="E93" s="9">
        <v>4428388.95</v>
      </c>
      <c r="F93" s="16">
        <v>4428388.95</v>
      </c>
      <c r="G93" s="8">
        <f t="shared" si="2"/>
        <v>0</v>
      </c>
      <c r="H93" s="8">
        <f t="shared" si="3"/>
        <v>0</v>
      </c>
      <c r="I93" s="4"/>
      <c r="J93" s="16" t="str">
        <f>VLOOKUP(C93,'[1]GLOCUENTAS (1)'!$B:$C,2,FALSE)</f>
        <v>TC VISA D/E CUOTAS VIG CCRV             1ND</v>
      </c>
    </row>
    <row r="94" spans="1:10" x14ac:dyDescent="0.35">
      <c r="A94" s="47"/>
      <c r="B94" s="46"/>
      <c r="C94" s="11" t="s">
        <v>133</v>
      </c>
      <c r="D94" s="9">
        <v>1665747.58</v>
      </c>
      <c r="E94" s="9">
        <v>1665747.58</v>
      </c>
      <c r="F94" s="16">
        <v>1665747.58</v>
      </c>
      <c r="G94" s="8">
        <f t="shared" si="2"/>
        <v>0</v>
      </c>
      <c r="H94" s="8">
        <f t="shared" si="3"/>
        <v>0</v>
      </c>
      <c r="I94" s="4"/>
      <c r="J94" s="16" t="str">
        <f>VLOOKUP(C94,'[1]GLOCUENTAS (1)'!$B:$C,2,FALSE)</f>
        <v>TC AMEX D/E CUOTAS VIG CCRV             1ND</v>
      </c>
    </row>
    <row r="95" spans="1:10" x14ac:dyDescent="0.35">
      <c r="A95" s="47"/>
      <c r="B95" s="46"/>
      <c r="C95" s="11" t="s">
        <v>150</v>
      </c>
      <c r="D95" s="9">
        <v>2230565.7999999998</v>
      </c>
      <c r="E95" s="9">
        <v>2230565.7999999998</v>
      </c>
      <c r="F95" s="16">
        <v>2230565.7999999998</v>
      </c>
      <c r="G95" s="8">
        <f t="shared" si="2"/>
        <v>0</v>
      </c>
      <c r="H95" s="8">
        <f t="shared" si="3"/>
        <v>0</v>
      </c>
      <c r="I95" s="4"/>
      <c r="J95" s="16" t="str">
        <f>VLOOKUP(C95,'[1]GLOCUENTAS (1)'!$B:$C,2,FALSE)</f>
        <v>TC AMEX D/E REV VIG CCRV                1ND</v>
      </c>
    </row>
    <row r="96" spans="1:10" x14ac:dyDescent="0.35">
      <c r="A96" s="47"/>
      <c r="B96" s="46"/>
      <c r="C96" s="11" t="s">
        <v>141</v>
      </c>
      <c r="D96" s="9">
        <v>1195587628.6300001</v>
      </c>
      <c r="E96" s="9">
        <v>1195587628.6300001</v>
      </c>
      <c r="F96" s="16">
        <v>1195587628.6300001</v>
      </c>
      <c r="G96" s="8">
        <f t="shared" si="2"/>
        <v>0</v>
      </c>
      <c r="H96" s="8">
        <f t="shared" si="3"/>
        <v>0</v>
      </c>
      <c r="I96" s="4"/>
      <c r="J96" s="16" t="str">
        <f>VLOOKUP(C96,'[1]GLOCUENTAS (1)'!$B:$C,2,FALSE)</f>
        <v>TC VISA COMPRA REV VIG CCRV             1ND</v>
      </c>
    </row>
    <row r="97" spans="1:10" x14ac:dyDescent="0.35">
      <c r="A97" s="47"/>
      <c r="B97" s="46"/>
      <c r="C97" s="11" t="s">
        <v>142</v>
      </c>
      <c r="D97" s="9">
        <v>440829896.55000001</v>
      </c>
      <c r="E97" s="9">
        <v>440829896.55000001</v>
      </c>
      <c r="F97" s="16">
        <v>440829896.55000001</v>
      </c>
      <c r="G97" s="8">
        <f t="shared" si="2"/>
        <v>0</v>
      </c>
      <c r="H97" s="8">
        <f t="shared" si="3"/>
        <v>0</v>
      </c>
      <c r="I97" s="4"/>
      <c r="J97" s="16" t="str">
        <f>VLOOKUP(C97,'[1]GLOCUENTAS (1)'!$B:$C,2,FALSE)</f>
        <v>TC VISA COMPRA CUOTAS VIG CCRV          1ND</v>
      </c>
    </row>
    <row r="98" spans="1:10" x14ac:dyDescent="0.35">
      <c r="A98" s="47"/>
      <c r="B98" s="46"/>
      <c r="C98" s="11" t="s">
        <v>119</v>
      </c>
      <c r="D98" s="9">
        <v>166350295.16999999</v>
      </c>
      <c r="E98" s="9">
        <v>166350295.16999999</v>
      </c>
      <c r="F98" s="16">
        <v>166350295.16999999</v>
      </c>
      <c r="G98" s="8">
        <f t="shared" si="2"/>
        <v>0</v>
      </c>
      <c r="H98" s="8">
        <f t="shared" si="3"/>
        <v>0</v>
      </c>
      <c r="I98" s="4"/>
      <c r="J98" s="16" t="str">
        <f>VLOOKUP(C98,'[1]GLOCUENTAS (1)'!$B:$C,2,FALSE)</f>
        <v>TC AMEX COMPRA CUOTAS VIG CCRV          1ND</v>
      </c>
    </row>
    <row r="99" spans="1:10" x14ac:dyDescent="0.35">
      <c r="A99" s="47"/>
      <c r="B99" s="46"/>
      <c r="C99" s="11" t="s">
        <v>149</v>
      </c>
      <c r="D99" s="9">
        <v>520134040.89999998</v>
      </c>
      <c r="E99" s="9">
        <v>520134040.89999998</v>
      </c>
      <c r="F99" s="16">
        <v>520134040.89999998</v>
      </c>
      <c r="G99" s="8">
        <f t="shared" si="2"/>
        <v>0</v>
      </c>
      <c r="H99" s="8">
        <f t="shared" si="3"/>
        <v>0</v>
      </c>
      <c r="I99" s="4"/>
      <c r="J99" s="16" t="str">
        <f>VLOOKUP(C99,'[1]GLOCUENTAS (1)'!$B:$C,2,FALSE)</f>
        <v>TC AMEX COMPRA REV VIG CCRV             1ND</v>
      </c>
    </row>
    <row r="100" spans="1:10" x14ac:dyDescent="0.35">
      <c r="A100" s="47"/>
      <c r="B100" s="46"/>
      <c r="C100" s="11" t="s">
        <v>125</v>
      </c>
      <c r="D100" s="9">
        <v>7962.77</v>
      </c>
      <c r="E100" s="9">
        <v>7962.77</v>
      </c>
      <c r="F100" s="16">
        <v>7962.77</v>
      </c>
      <c r="G100" s="8">
        <f t="shared" si="2"/>
        <v>0</v>
      </c>
      <c r="H100" s="8">
        <f t="shared" si="3"/>
        <v>0</v>
      </c>
      <c r="I100" s="4"/>
      <c r="J100" s="16" t="str">
        <f>VLOOKUP(C100,'[1]GLOCUENTAS (1)'!$B:$C,2,FALSE)</f>
        <v>TC MC COMPRA CUOTAS VIG CCRV            1ND</v>
      </c>
    </row>
    <row r="101" spans="1:10" x14ac:dyDescent="0.35">
      <c r="A101" s="47"/>
      <c r="B101" s="46"/>
      <c r="C101" s="11" t="s">
        <v>127</v>
      </c>
      <c r="D101" s="9">
        <v>81999.990000000005</v>
      </c>
      <c r="E101" s="9">
        <v>81999.990000000005</v>
      </c>
      <c r="F101" s="16">
        <v>81999.990000000005</v>
      </c>
      <c r="G101" s="8">
        <f t="shared" si="2"/>
        <v>0</v>
      </c>
      <c r="H101" s="8">
        <f t="shared" si="3"/>
        <v>0</v>
      </c>
      <c r="I101" s="4"/>
      <c r="J101" s="16" t="str">
        <f>VLOOKUP(C101,'[1]GLOCUENTAS (1)'!$B:$C,2,FALSE)</f>
        <v>TC MC COMPRA REV VIG CCRV               1ND</v>
      </c>
    </row>
    <row r="102" spans="1:10" x14ac:dyDescent="0.35">
      <c r="A102" s="47"/>
      <c r="B102" s="46"/>
      <c r="C102" s="11" t="s">
        <v>140</v>
      </c>
      <c r="D102" s="9">
        <v>31620278.059999999</v>
      </c>
      <c r="E102" s="9">
        <v>31620278.059999999</v>
      </c>
      <c r="F102" s="16">
        <v>31620278.059999999</v>
      </c>
      <c r="G102" s="8">
        <f t="shared" si="2"/>
        <v>0</v>
      </c>
      <c r="H102" s="8">
        <f t="shared" si="3"/>
        <v>0</v>
      </c>
      <c r="I102" s="4"/>
      <c r="J102" s="16" t="str">
        <f>VLOOKUP(C102,'[1]GLOCUENTAS (1)'!$B:$C,2,FALSE)</f>
        <v>TC AMEX REPROG REV VIG CCRV             1ND</v>
      </c>
    </row>
    <row r="103" spans="1:10" x14ac:dyDescent="0.35">
      <c r="A103" s="47"/>
      <c r="B103" s="46"/>
      <c r="C103" s="11" t="s">
        <v>416</v>
      </c>
      <c r="D103" s="9">
        <v>1057.52</v>
      </c>
      <c r="E103" s="9">
        <v>1057.52</v>
      </c>
      <c r="F103" s="16">
        <v>1057.52</v>
      </c>
      <c r="G103" s="8">
        <f t="shared" si="2"/>
        <v>0</v>
      </c>
      <c r="H103" s="8">
        <f t="shared" si="3"/>
        <v>0</v>
      </c>
      <c r="I103" s="4"/>
      <c r="J103" s="16" t="str">
        <f>VLOOKUP(C103,'[1]GLOCUENTAS (1)'!$B:$C,2,FALSE)</f>
        <v>TC MC REPROG REV VIG CCRV               1ND</v>
      </c>
    </row>
    <row r="104" spans="1:10" x14ac:dyDescent="0.35">
      <c r="A104" s="47"/>
      <c r="B104" s="46"/>
      <c r="C104" s="11" t="s">
        <v>148</v>
      </c>
      <c r="D104" s="9">
        <v>68161879.409999996</v>
      </c>
      <c r="E104" s="9">
        <v>68161879.409999996</v>
      </c>
      <c r="F104" s="16">
        <v>68161879.409999996</v>
      </c>
      <c r="G104" s="8">
        <f t="shared" si="2"/>
        <v>0</v>
      </c>
      <c r="H104" s="8">
        <f t="shared" si="3"/>
        <v>0</v>
      </c>
      <c r="I104" s="4"/>
      <c r="J104" s="16" t="str">
        <f>VLOOKUP(C104,'[1]GLOCUENTAS (1)'!$B:$C,2,FALSE)</f>
        <v>TC VISA REPROG REV VIG CCRV             1ND</v>
      </c>
    </row>
    <row r="105" spans="1:10" x14ac:dyDescent="0.35">
      <c r="A105" s="47"/>
      <c r="B105" s="46"/>
      <c r="C105" s="11" t="s">
        <v>417</v>
      </c>
      <c r="D105" s="9">
        <v>14503.89</v>
      </c>
      <c r="E105" s="9">
        <v>14503.89</v>
      </c>
      <c r="F105" s="16">
        <v>14503.89</v>
      </c>
      <c r="G105" s="8">
        <f t="shared" si="2"/>
        <v>0</v>
      </c>
      <c r="H105" s="8">
        <f t="shared" si="3"/>
        <v>0</v>
      </c>
      <c r="I105" s="4"/>
      <c r="J105" s="16" t="str">
        <f>VLOOKUP(C105,'[1]GLOCUENTAS (1)'!$B:$C,2,FALSE)</f>
        <v>TC VISA CDEUDA REV VIG CCRV             1ND</v>
      </c>
    </row>
    <row r="106" spans="1:10" x14ac:dyDescent="0.35">
      <c r="A106" s="47"/>
      <c r="B106" s="46"/>
      <c r="C106" s="11" t="s">
        <v>418</v>
      </c>
      <c r="D106" s="9">
        <v>1780958272.0799999</v>
      </c>
      <c r="E106" s="9">
        <v>1780958272.0799999</v>
      </c>
      <c r="F106" s="16">
        <v>1780958272.0799999</v>
      </c>
      <c r="G106" s="8">
        <f t="shared" si="2"/>
        <v>0</v>
      </c>
      <c r="H106" s="8">
        <f t="shared" si="3"/>
        <v>0</v>
      </c>
      <c r="I106" s="4"/>
      <c r="J106" s="16" t="str">
        <f>VLOOKUP(C106,'[1]GLOCUENTAS (1)'!$B:$C,2,FALSE)</f>
        <v>TC VISA EXTRACASH VIG CCNR              1ND</v>
      </c>
    </row>
    <row r="107" spans="1:10" x14ac:dyDescent="0.35">
      <c r="A107" s="47"/>
      <c r="B107" s="46"/>
      <c r="C107" s="11" t="s">
        <v>419</v>
      </c>
      <c r="D107" s="9">
        <v>71974.23</v>
      </c>
      <c r="E107" s="9">
        <v>71974.23</v>
      </c>
      <c r="F107" s="16">
        <v>71974.23</v>
      </c>
      <c r="G107" s="8">
        <f t="shared" si="2"/>
        <v>0</v>
      </c>
      <c r="H107" s="8">
        <f t="shared" si="3"/>
        <v>0</v>
      </c>
      <c r="I107" s="4"/>
      <c r="J107" s="16" t="str">
        <f>VLOOKUP(C107,'[1]GLOCUENTAS (1)'!$B:$C,2,FALSE)</f>
        <v>TC AMEX EXTRACASH VIG CCNR              1ND</v>
      </c>
    </row>
    <row r="108" spans="1:10" x14ac:dyDescent="0.35">
      <c r="A108" s="47"/>
      <c r="B108" s="46"/>
      <c r="C108" s="11" t="s">
        <v>114</v>
      </c>
      <c r="D108" s="9">
        <v>1666917.25</v>
      </c>
      <c r="E108" s="9">
        <v>1666917.25</v>
      </c>
      <c r="F108" s="16">
        <v>1666917.25</v>
      </c>
      <c r="G108" s="8">
        <f t="shared" si="2"/>
        <v>0</v>
      </c>
      <c r="H108" s="8">
        <f t="shared" si="3"/>
        <v>0</v>
      </c>
      <c r="I108" s="4"/>
      <c r="J108" s="16" t="str">
        <f>VLOOKUP(C108,'[1]GLOCUENTAS (1)'!$B:$C,2,FALSE)</f>
        <v>TC AMEX REPROG PAR VIG CCNR             1ND</v>
      </c>
    </row>
    <row r="109" spans="1:10" x14ac:dyDescent="0.35">
      <c r="A109" s="47"/>
      <c r="B109" s="46"/>
      <c r="C109" s="11" t="s">
        <v>120</v>
      </c>
      <c r="D109" s="9">
        <v>47436798.079999998</v>
      </c>
      <c r="E109" s="9">
        <v>47436798.079999998</v>
      </c>
      <c r="F109" s="16">
        <v>47436798.079999998</v>
      </c>
      <c r="G109" s="8">
        <f t="shared" si="2"/>
        <v>0</v>
      </c>
      <c r="H109" s="8">
        <f t="shared" si="3"/>
        <v>0</v>
      </c>
      <c r="I109" s="4"/>
      <c r="J109" s="16" t="str">
        <f>VLOOKUP(C109,'[1]GLOCUENTAS (1)'!$B:$C,2,FALSE)</f>
        <v>TC VISA REPROG PAR VIG CCNR             1ND</v>
      </c>
    </row>
    <row r="110" spans="1:10" x14ac:dyDescent="0.35">
      <c r="A110" s="47"/>
      <c r="B110" s="46"/>
      <c r="C110" s="11" t="s">
        <v>147</v>
      </c>
      <c r="D110" s="9">
        <v>12501534.710000001</v>
      </c>
      <c r="E110" s="9">
        <v>12501534.710000001</v>
      </c>
      <c r="F110" s="16">
        <v>12501534.710000001</v>
      </c>
      <c r="G110" s="8">
        <f t="shared" si="2"/>
        <v>0</v>
      </c>
      <c r="H110" s="8">
        <f t="shared" si="3"/>
        <v>0</v>
      </c>
      <c r="I110" s="4"/>
      <c r="J110" s="16" t="str">
        <f>VLOOKUP(C110,'[1]GLOCUENTAS (1)'!$B:$C,2,FALSE)</f>
        <v>TC AMEX CDEUDA PAR VIG CCNR             1ND</v>
      </c>
    </row>
    <row r="111" spans="1:10" x14ac:dyDescent="0.35">
      <c r="A111" s="47"/>
      <c r="B111" s="46"/>
      <c r="C111" s="11" t="s">
        <v>135</v>
      </c>
      <c r="D111" s="9">
        <v>626104438.90999997</v>
      </c>
      <c r="E111" s="9">
        <v>626104438.90999997</v>
      </c>
      <c r="F111" s="16">
        <v>626104438.90999997</v>
      </c>
      <c r="G111" s="8">
        <f t="shared" si="2"/>
        <v>0</v>
      </c>
      <c r="H111" s="8">
        <f t="shared" si="3"/>
        <v>0</v>
      </c>
      <c r="I111" s="4"/>
      <c r="J111" s="16" t="str">
        <f>VLOOKUP(C111,'[1]GLOCUENTAS (1)'!$B:$C,2,FALSE)</f>
        <v>TC VISA CDEUDA PAR VIG CCNR             1ND</v>
      </c>
    </row>
    <row r="112" spans="1:10" x14ac:dyDescent="0.35">
      <c r="A112" s="47"/>
      <c r="B112" s="46"/>
      <c r="C112" s="11" t="s">
        <v>124</v>
      </c>
      <c r="D112" s="9">
        <v>2286.7399999999998</v>
      </c>
      <c r="E112" s="9">
        <v>2286.7399999999998</v>
      </c>
      <c r="F112" s="16">
        <v>2286.7399999999998</v>
      </c>
      <c r="G112" s="8">
        <f t="shared" si="2"/>
        <v>0</v>
      </c>
      <c r="H112" s="8">
        <f t="shared" si="3"/>
        <v>0</v>
      </c>
      <c r="I112" s="4"/>
      <c r="J112" s="16" t="str">
        <f>VLOOKUP(C112,'[1]GLOCUENTAS (1)'!$B:$C,2,FALSE)</f>
        <v>TC VISA COMPRA REV VIG CIVA             1ND</v>
      </c>
    </row>
    <row r="113" spans="1:10" x14ac:dyDescent="0.35">
      <c r="A113" s="47"/>
      <c r="B113" s="46"/>
      <c r="C113" s="11" t="s">
        <v>113</v>
      </c>
      <c r="D113" s="9">
        <v>446600.93</v>
      </c>
      <c r="E113" s="9">
        <v>446600.93</v>
      </c>
      <c r="F113" s="16">
        <v>446600.93</v>
      </c>
      <c r="G113" s="8">
        <f t="shared" si="2"/>
        <v>0</v>
      </c>
      <c r="H113" s="8">
        <f t="shared" si="3"/>
        <v>0</v>
      </c>
      <c r="I113" s="4"/>
      <c r="J113" s="16" t="str">
        <f>VLOOKUP(C113,'[1]GLOCUENTAS (1)'!$B:$C,2,FALSE)</f>
        <v>TC VISA COMPRA REV IBK VIG CESF         1ND</v>
      </c>
    </row>
    <row r="114" spans="1:10" x14ac:dyDescent="0.35">
      <c r="A114" s="47"/>
      <c r="B114" s="46"/>
      <c r="C114" s="11" t="s">
        <v>139</v>
      </c>
      <c r="D114" s="9">
        <v>453099.2</v>
      </c>
      <c r="E114" s="9">
        <v>453099.2</v>
      </c>
      <c r="F114" s="16">
        <v>453099.2</v>
      </c>
      <c r="G114" s="8">
        <f t="shared" si="2"/>
        <v>0</v>
      </c>
      <c r="H114" s="8">
        <f t="shared" si="3"/>
        <v>0</v>
      </c>
      <c r="I114" s="4"/>
      <c r="J114" s="16" t="str">
        <f>VLOOKUP(C114,'[1]GLOCUENTAS (1)'!$B:$C,2,FALSE)</f>
        <v>TC VISA COMPRA REV VIG CCOR             1ND</v>
      </c>
    </row>
    <row r="115" spans="1:10" x14ac:dyDescent="0.35">
      <c r="A115" s="47"/>
      <c r="B115" s="46"/>
      <c r="C115" s="11" t="s">
        <v>420</v>
      </c>
      <c r="D115" s="9">
        <v>0</v>
      </c>
      <c r="E115" s="9">
        <v>0</v>
      </c>
      <c r="F115" s="16">
        <v>0</v>
      </c>
      <c r="G115" s="8">
        <f t="shared" si="2"/>
        <v>0</v>
      </c>
      <c r="H115" s="8">
        <f t="shared" si="3"/>
        <v>0</v>
      </c>
      <c r="I115" s="4"/>
      <c r="J115" s="16" t="str">
        <f>VLOOKUP(C115,'[1]GLOCUENTAS (1)'!$B:$C,2,FALSE)</f>
        <v>TC MC COMERCIAL. COLOC. COMPRA CGEM     1ND</v>
      </c>
    </row>
    <row r="116" spans="1:10" x14ac:dyDescent="0.35">
      <c r="A116" s="47"/>
      <c r="B116" s="46"/>
      <c r="C116" s="11" t="s">
        <v>123</v>
      </c>
      <c r="D116" s="9">
        <v>192366.68</v>
      </c>
      <c r="E116" s="9">
        <v>192366.68</v>
      </c>
      <c r="F116" s="16">
        <v>192366.68</v>
      </c>
      <c r="G116" s="8">
        <f t="shared" si="2"/>
        <v>0</v>
      </c>
      <c r="H116" s="8">
        <f t="shared" si="3"/>
        <v>0</v>
      </c>
      <c r="I116" s="4"/>
      <c r="J116" s="16" t="str">
        <f>VLOOKUP(C116,'[1]GLOCUENTAS (1)'!$B:$C,2,FALSE)</f>
        <v>TC VISA COMPRA REV VIG CGEM             1ND</v>
      </c>
    </row>
    <row r="117" spans="1:10" x14ac:dyDescent="0.35">
      <c r="A117" s="47"/>
      <c r="B117" s="46"/>
      <c r="C117" s="11" t="s">
        <v>126</v>
      </c>
      <c r="D117" s="9">
        <v>116423.77</v>
      </c>
      <c r="E117" s="9">
        <v>116423.77</v>
      </c>
      <c r="F117" s="16">
        <v>116423.77</v>
      </c>
      <c r="G117" s="8">
        <f t="shared" si="2"/>
        <v>0</v>
      </c>
      <c r="H117" s="8">
        <f t="shared" si="3"/>
        <v>0</v>
      </c>
      <c r="I117" s="4"/>
      <c r="J117" s="16" t="str">
        <f>VLOOKUP(C117,'[1]GLOCUENTAS (1)'!$B:$C,2,FALSE)</f>
        <v>TC VISA COMPRA REV VIG CMED             1ND</v>
      </c>
    </row>
    <row r="118" spans="1:10" x14ac:dyDescent="0.35">
      <c r="A118" s="47"/>
      <c r="B118" s="46"/>
      <c r="C118" s="11" t="s">
        <v>421</v>
      </c>
      <c r="D118" s="9">
        <v>1432</v>
      </c>
      <c r="E118" s="9">
        <v>1432</v>
      </c>
      <c r="F118" s="16">
        <v>1432</v>
      </c>
      <c r="G118" s="8">
        <f t="shared" si="2"/>
        <v>0</v>
      </c>
      <c r="H118" s="8">
        <f t="shared" si="3"/>
        <v>0</v>
      </c>
      <c r="I118" s="4"/>
      <c r="J118" s="16" t="str">
        <f>VLOOKUP(C118,'[1]GLOCUENTAS (1)'!$B:$C,2,FALSE)</f>
        <v>TC VISA COMERC COLOC.DISP.EFECT. CPEM   1ND</v>
      </c>
    </row>
    <row r="119" spans="1:10" x14ac:dyDescent="0.35">
      <c r="A119" s="47"/>
      <c r="B119" s="46"/>
      <c r="C119" s="11" t="s">
        <v>145</v>
      </c>
      <c r="D119" s="9">
        <v>111708.47</v>
      </c>
      <c r="E119" s="9">
        <v>111708.47</v>
      </c>
      <c r="F119" s="16">
        <v>111708.47</v>
      </c>
      <c r="G119" s="8">
        <f t="shared" si="2"/>
        <v>0</v>
      </c>
      <c r="H119" s="8">
        <f t="shared" si="3"/>
        <v>0</v>
      </c>
      <c r="I119" s="4"/>
      <c r="J119" s="16" t="str">
        <f>VLOOKUP(C119,'[1]GLOCUENTAS (1)'!$B:$C,2,FALSE)</f>
        <v>TC VISA COMPRA REV VIG CPEM             1ND</v>
      </c>
    </row>
    <row r="120" spans="1:10" x14ac:dyDescent="0.35">
      <c r="A120" s="47"/>
      <c r="B120" s="46"/>
      <c r="C120" s="11" t="s">
        <v>122</v>
      </c>
      <c r="D120" s="9">
        <v>161759.95000000001</v>
      </c>
      <c r="E120" s="9">
        <v>161759.95000000001</v>
      </c>
      <c r="F120" s="16">
        <v>161759.95000000001</v>
      </c>
      <c r="G120" s="8">
        <f t="shared" si="2"/>
        <v>0</v>
      </c>
      <c r="H120" s="8">
        <f t="shared" si="3"/>
        <v>0</v>
      </c>
      <c r="I120" s="4"/>
      <c r="J120" s="16" t="str">
        <f>VLOOKUP(C120,'[1]GLOCUENTAS (1)'!$B:$C,2,FALSE)</f>
        <v>TC VISA D/E REV VEN CCRV                1ND</v>
      </c>
    </row>
    <row r="121" spans="1:10" x14ac:dyDescent="0.35">
      <c r="A121" s="47"/>
      <c r="B121" s="46"/>
      <c r="C121" s="11" t="s">
        <v>422</v>
      </c>
      <c r="D121" s="9">
        <v>59173.91</v>
      </c>
      <c r="E121" s="9">
        <v>59173.91</v>
      </c>
      <c r="F121" s="16">
        <v>59173.91</v>
      </c>
      <c r="G121" s="8">
        <f t="shared" si="2"/>
        <v>0</v>
      </c>
      <c r="H121" s="8">
        <f t="shared" si="3"/>
        <v>0</v>
      </c>
      <c r="I121" s="4"/>
      <c r="J121" s="16" t="str">
        <f>VLOOKUP(C121,'[1]GLOCUENTAS (1)'!$B:$C,2,FALSE)</f>
        <v>TC VISA D/E CUOTAS VEN CCRV             1ND</v>
      </c>
    </row>
    <row r="122" spans="1:10" x14ac:dyDescent="0.35">
      <c r="A122" s="47"/>
      <c r="B122" s="46"/>
      <c r="C122" s="11" t="s">
        <v>423</v>
      </c>
      <c r="D122" s="9">
        <v>45282.42</v>
      </c>
      <c r="E122" s="9">
        <v>45282.42</v>
      </c>
      <c r="F122" s="16">
        <v>45282.42</v>
      </c>
      <c r="G122" s="8">
        <f t="shared" si="2"/>
        <v>0</v>
      </c>
      <c r="H122" s="8">
        <f t="shared" si="3"/>
        <v>0</v>
      </c>
      <c r="I122" s="4"/>
      <c r="J122" s="16" t="str">
        <f>VLOOKUP(C122,'[1]GLOCUENTAS (1)'!$B:$C,2,FALSE)</f>
        <v>TC AMEX D/E CUOTAS VEN CCRV             1ND</v>
      </c>
    </row>
    <row r="123" spans="1:10" x14ac:dyDescent="0.35">
      <c r="A123" s="47"/>
      <c r="B123" s="46"/>
      <c r="C123" s="11" t="s">
        <v>137</v>
      </c>
      <c r="D123" s="9">
        <v>47660.66</v>
      </c>
      <c r="E123" s="9">
        <v>47660.66</v>
      </c>
      <c r="F123" s="16">
        <v>47660.66</v>
      </c>
      <c r="G123" s="8">
        <f t="shared" si="2"/>
        <v>0</v>
      </c>
      <c r="H123" s="8">
        <f t="shared" si="3"/>
        <v>0</v>
      </c>
      <c r="I123" s="4"/>
      <c r="J123" s="16" t="str">
        <f>VLOOKUP(C123,'[1]GLOCUENTAS (1)'!$B:$C,2,FALSE)</f>
        <v>TC AMEX D/E REV VEN CCRV                1ND</v>
      </c>
    </row>
    <row r="124" spans="1:10" x14ac:dyDescent="0.35">
      <c r="A124" s="47"/>
      <c r="B124" s="46"/>
      <c r="C124" s="11" t="s">
        <v>115</v>
      </c>
      <c r="D124" s="9">
        <v>16638268.699999999</v>
      </c>
      <c r="E124" s="9">
        <v>16638268.699999999</v>
      </c>
      <c r="F124" s="16">
        <v>16638268.699999999</v>
      </c>
      <c r="G124" s="8">
        <f t="shared" si="2"/>
        <v>0</v>
      </c>
      <c r="H124" s="8">
        <f t="shared" si="3"/>
        <v>0</v>
      </c>
      <c r="I124" s="4"/>
      <c r="J124" s="16" t="str">
        <f>VLOOKUP(C124,'[1]GLOCUENTAS (1)'!$B:$C,2,FALSE)</f>
        <v>TC VISA COMPRA REV VEN CCRV             1ND</v>
      </c>
    </row>
    <row r="125" spans="1:10" x14ac:dyDescent="0.35">
      <c r="A125" s="47"/>
      <c r="B125" s="46"/>
      <c r="C125" s="11" t="s">
        <v>130</v>
      </c>
      <c r="D125" s="9">
        <v>6924098.9299999997</v>
      </c>
      <c r="E125" s="9">
        <v>6924098.9299999997</v>
      </c>
      <c r="F125" s="16">
        <v>6924098.9299999997</v>
      </c>
      <c r="G125" s="8">
        <f t="shared" si="2"/>
        <v>0</v>
      </c>
      <c r="H125" s="8">
        <f t="shared" si="3"/>
        <v>0</v>
      </c>
      <c r="I125" s="4"/>
      <c r="J125" s="16" t="str">
        <f>VLOOKUP(C125,'[1]GLOCUENTAS (1)'!$B:$C,2,FALSE)</f>
        <v>TC VISA COMPRA CUOTAS VEN CCRV          1ND</v>
      </c>
    </row>
    <row r="126" spans="1:10" x14ac:dyDescent="0.35">
      <c r="A126" s="47"/>
      <c r="B126" s="46"/>
      <c r="C126" s="11" t="s">
        <v>134</v>
      </c>
      <c r="D126" s="9">
        <v>2302402.27</v>
      </c>
      <c r="E126" s="9">
        <v>2302402.27</v>
      </c>
      <c r="F126" s="16">
        <v>2302402.27</v>
      </c>
      <c r="G126" s="8">
        <f t="shared" si="2"/>
        <v>0</v>
      </c>
      <c r="H126" s="8">
        <f t="shared" si="3"/>
        <v>0</v>
      </c>
      <c r="I126" s="4"/>
      <c r="J126" s="16" t="str">
        <f>VLOOKUP(C126,'[1]GLOCUENTAS (1)'!$B:$C,2,FALSE)</f>
        <v>TC AMEX COMPRA CUOTAS VEN CCRV          1ND</v>
      </c>
    </row>
    <row r="127" spans="1:10" x14ac:dyDescent="0.35">
      <c r="A127" s="47"/>
      <c r="B127" s="46"/>
      <c r="C127" s="11" t="s">
        <v>144</v>
      </c>
      <c r="D127" s="9">
        <v>7426499.75</v>
      </c>
      <c r="E127" s="9">
        <v>7426499.75</v>
      </c>
      <c r="F127" s="16">
        <v>7426499.75</v>
      </c>
      <c r="G127" s="8">
        <f t="shared" si="2"/>
        <v>0</v>
      </c>
      <c r="H127" s="8">
        <f t="shared" si="3"/>
        <v>0</v>
      </c>
      <c r="I127" s="4"/>
      <c r="J127" s="16" t="str">
        <f>VLOOKUP(C127,'[1]GLOCUENTAS (1)'!$B:$C,2,FALSE)</f>
        <v>TC AMEX COMPRA REV VEN CCRV             1ND</v>
      </c>
    </row>
    <row r="128" spans="1:10" x14ac:dyDescent="0.35">
      <c r="A128" s="47"/>
      <c r="B128" s="46"/>
      <c r="C128" s="11" t="s">
        <v>131</v>
      </c>
      <c r="D128" s="9">
        <v>0</v>
      </c>
      <c r="E128" s="9">
        <v>0</v>
      </c>
      <c r="F128" s="16">
        <v>0</v>
      </c>
      <c r="G128" s="8">
        <f t="shared" si="2"/>
        <v>0</v>
      </c>
      <c r="H128" s="8">
        <f t="shared" si="3"/>
        <v>0</v>
      </c>
      <c r="I128" s="4"/>
      <c r="J128" s="16" t="str">
        <f>VLOOKUP(C128,'[1]GLOCUENTAS (1)'!$B:$C,2,FALSE)</f>
        <v>TC MC COMPRA REV VEN CCRV               1ND</v>
      </c>
    </row>
    <row r="129" spans="1:10" x14ac:dyDescent="0.35">
      <c r="A129" s="47"/>
      <c r="B129" s="46"/>
      <c r="C129" s="11" t="s">
        <v>128</v>
      </c>
      <c r="D129" s="9">
        <v>1600305.46</v>
      </c>
      <c r="E129" s="9">
        <v>1600305.46</v>
      </c>
      <c r="F129" s="16">
        <v>1600305.46</v>
      </c>
      <c r="G129" s="8">
        <f t="shared" si="2"/>
        <v>0</v>
      </c>
      <c r="H129" s="8">
        <f t="shared" si="3"/>
        <v>0</v>
      </c>
      <c r="I129" s="4"/>
      <c r="J129" s="16" t="str">
        <f>VLOOKUP(C129,'[1]GLOCUENTAS (1)'!$B:$C,2,FALSE)</f>
        <v>TC AMEX REPROG REV VEN CCRV             1ND</v>
      </c>
    </row>
    <row r="130" spans="1:10" x14ac:dyDescent="0.35">
      <c r="A130" s="47"/>
      <c r="B130" s="46"/>
      <c r="C130" s="11" t="s">
        <v>146</v>
      </c>
      <c r="D130" s="9">
        <v>3713355.78</v>
      </c>
      <c r="E130" s="9">
        <v>3713355.78</v>
      </c>
      <c r="F130" s="16">
        <v>3713355.78</v>
      </c>
      <c r="G130" s="8">
        <f t="shared" ref="G130:G193" si="4">F130-E130</f>
        <v>0</v>
      </c>
      <c r="H130" s="8">
        <f t="shared" si="3"/>
        <v>0</v>
      </c>
      <c r="I130" s="4"/>
      <c r="J130" s="16" t="str">
        <f>VLOOKUP(C130,'[1]GLOCUENTAS (1)'!$B:$C,2,FALSE)</f>
        <v>TC VISA REPROG REV VEN CCRV             1ND</v>
      </c>
    </row>
    <row r="131" spans="1:10" x14ac:dyDescent="0.35">
      <c r="A131" s="47"/>
      <c r="B131" s="46"/>
      <c r="C131" s="11" t="s">
        <v>111</v>
      </c>
      <c r="D131" s="9">
        <v>2432757.42</v>
      </c>
      <c r="E131" s="9">
        <v>2432757.42</v>
      </c>
      <c r="F131" s="16">
        <v>2432757.42</v>
      </c>
      <c r="G131" s="8">
        <f t="shared" si="4"/>
        <v>0</v>
      </c>
      <c r="H131" s="8">
        <f t="shared" ref="H131:H194" si="5">F131-D131</f>
        <v>0</v>
      </c>
      <c r="I131" s="4"/>
      <c r="J131" s="16" t="str">
        <f>VLOOKUP(C131,'[1]GLOCUENTAS (1)'!$B:$C,2,FALSE)</f>
        <v>TC VISA REPROG PAR VEN CCNR             1ND</v>
      </c>
    </row>
    <row r="132" spans="1:10" x14ac:dyDescent="0.35">
      <c r="A132" s="47"/>
      <c r="B132" s="46"/>
      <c r="C132" s="11" t="s">
        <v>424</v>
      </c>
      <c r="D132" s="9">
        <v>16425529.68</v>
      </c>
      <c r="E132" s="9">
        <v>16425529.68</v>
      </c>
      <c r="F132" s="16">
        <v>16425529.68</v>
      </c>
      <c r="G132" s="8">
        <f t="shared" si="4"/>
        <v>0</v>
      </c>
      <c r="H132" s="8">
        <f t="shared" si="5"/>
        <v>0</v>
      </c>
      <c r="I132" s="4"/>
      <c r="J132" s="16" t="str">
        <f>VLOOKUP(C132,'[1]GLOCUENTAS (1)'!$B:$C,2,FALSE)</f>
        <v>TC VISA EXTRACASH VEN CCNR              1ND</v>
      </c>
    </row>
    <row r="133" spans="1:10" x14ac:dyDescent="0.35">
      <c r="A133" s="47"/>
      <c r="B133" s="46"/>
      <c r="C133" s="11" t="s">
        <v>425</v>
      </c>
      <c r="D133" s="9">
        <v>29653.56</v>
      </c>
      <c r="E133" s="9">
        <v>29653.56</v>
      </c>
      <c r="F133" s="16">
        <v>29653.56</v>
      </c>
      <c r="G133" s="8">
        <f t="shared" si="4"/>
        <v>0</v>
      </c>
      <c r="H133" s="8">
        <f t="shared" si="5"/>
        <v>0</v>
      </c>
      <c r="I133" s="4"/>
      <c r="J133" s="16" t="str">
        <f>VLOOKUP(C133,'[1]GLOCUENTAS (1)'!$B:$C,2,FALSE)</f>
        <v>TC AMEX EXTRACASH VEN CCNR              1ND</v>
      </c>
    </row>
    <row r="134" spans="1:10" x14ac:dyDescent="0.35">
      <c r="A134" s="47"/>
      <c r="B134" s="46"/>
      <c r="C134" s="11" t="s">
        <v>132</v>
      </c>
      <c r="D134" s="9">
        <v>63981.85</v>
      </c>
      <c r="E134" s="9">
        <v>63981.85</v>
      </c>
      <c r="F134" s="16">
        <v>63981.85</v>
      </c>
      <c r="G134" s="8">
        <f t="shared" si="4"/>
        <v>0</v>
      </c>
      <c r="H134" s="8">
        <f t="shared" si="5"/>
        <v>0</v>
      </c>
      <c r="I134" s="4"/>
      <c r="J134" s="16" t="str">
        <f>VLOOKUP(C134,'[1]GLOCUENTAS (1)'!$B:$C,2,FALSE)</f>
        <v>TC AMEX REPROG PAR VEN CCNR             1ND</v>
      </c>
    </row>
    <row r="135" spans="1:10" x14ac:dyDescent="0.35">
      <c r="A135" s="47"/>
      <c r="B135" s="46"/>
      <c r="C135" s="11" t="s">
        <v>129</v>
      </c>
      <c r="D135" s="9">
        <v>656421.32999999996</v>
      </c>
      <c r="E135" s="9">
        <v>656421.32999999996</v>
      </c>
      <c r="F135" s="16">
        <v>656421.32999999996</v>
      </c>
      <c r="G135" s="8">
        <f t="shared" si="4"/>
        <v>0</v>
      </c>
      <c r="H135" s="8">
        <f t="shared" si="5"/>
        <v>0</v>
      </c>
      <c r="I135" s="4"/>
      <c r="J135" s="16" t="str">
        <f>VLOOKUP(C135,'[1]GLOCUENTAS (1)'!$B:$C,2,FALSE)</f>
        <v>TC AMEX CDEUDA PAR VEN CCNR             1ND</v>
      </c>
    </row>
    <row r="136" spans="1:10" x14ac:dyDescent="0.35">
      <c r="A136" s="47"/>
      <c r="B136" s="46"/>
      <c r="C136" s="11" t="s">
        <v>136</v>
      </c>
      <c r="D136" s="9">
        <v>7902105.4500000002</v>
      </c>
      <c r="E136" s="9">
        <v>7902105.4500000002</v>
      </c>
      <c r="F136" s="16">
        <v>7902105.4500000002</v>
      </c>
      <c r="G136" s="8">
        <f t="shared" si="4"/>
        <v>0</v>
      </c>
      <c r="H136" s="8">
        <f t="shared" si="5"/>
        <v>0</v>
      </c>
      <c r="I136" s="4"/>
      <c r="J136" s="16" t="str">
        <f>VLOOKUP(C136,'[1]GLOCUENTAS (1)'!$B:$C,2,FALSE)</f>
        <v>TC VISA CDEUDA PAR VEN CCNR             1ND</v>
      </c>
    </row>
    <row r="137" spans="1:10" x14ac:dyDescent="0.35">
      <c r="A137" s="47"/>
      <c r="B137" s="46"/>
      <c r="C137" s="11" t="s">
        <v>121</v>
      </c>
      <c r="D137" s="9">
        <v>880.7</v>
      </c>
      <c r="E137" s="9">
        <v>880.7</v>
      </c>
      <c r="F137" s="16">
        <v>880.7</v>
      </c>
      <c r="G137" s="8">
        <f t="shared" si="4"/>
        <v>0</v>
      </c>
      <c r="H137" s="8">
        <f t="shared" si="5"/>
        <v>0</v>
      </c>
      <c r="I137" s="4"/>
      <c r="J137" s="16" t="str">
        <f>VLOOKUP(C137,'[1]GLOCUENTAS (1)'!$B:$C,2,FALSE)</f>
        <v>TC VISA COMERCIAL COLOC.COMPRAS CGEM    1ND</v>
      </c>
    </row>
    <row r="138" spans="1:10" x14ac:dyDescent="0.35">
      <c r="A138" s="47"/>
      <c r="B138" s="46"/>
      <c r="C138" s="11" t="s">
        <v>116</v>
      </c>
      <c r="D138" s="9">
        <v>2085.48</v>
      </c>
      <c r="E138" s="9">
        <v>2085.48</v>
      </c>
      <c r="F138" s="16">
        <v>2085.48</v>
      </c>
      <c r="G138" s="8">
        <f t="shared" si="4"/>
        <v>0</v>
      </c>
      <c r="H138" s="8">
        <f t="shared" si="5"/>
        <v>0</v>
      </c>
      <c r="I138" s="4"/>
      <c r="J138" s="16" t="str">
        <f>VLOOKUP(C138,'[1]GLOCUENTAS (1)'!$B:$C,2,FALSE)</f>
        <v>TC VISA COMPRA REV VEN CMED             1ND</v>
      </c>
    </row>
    <row r="139" spans="1:10" x14ac:dyDescent="0.35">
      <c r="A139" s="47"/>
      <c r="B139" s="46"/>
      <c r="C139" s="11" t="s">
        <v>426</v>
      </c>
      <c r="D139" s="9">
        <v>13666.24</v>
      </c>
      <c r="E139" s="9">
        <v>13666.24</v>
      </c>
      <c r="F139" s="16">
        <v>13666.24</v>
      </c>
      <c r="G139" s="8">
        <f t="shared" si="4"/>
        <v>0</v>
      </c>
      <c r="H139" s="8">
        <f t="shared" si="5"/>
        <v>0</v>
      </c>
      <c r="I139" s="4"/>
      <c r="J139" s="16" t="str">
        <f>VLOOKUP(C139,'[1]GLOCUENTAS (1)'!$B:$C,2,FALSE)</f>
        <v>TC VISA COMPRA REV VEN CPEM             1ND</v>
      </c>
    </row>
    <row r="140" spans="1:10" x14ac:dyDescent="0.35">
      <c r="A140" s="47"/>
      <c r="B140" s="46"/>
      <c r="C140" s="11" t="s">
        <v>112</v>
      </c>
      <c r="D140" s="9">
        <v>-19036672.66</v>
      </c>
      <c r="E140" s="9">
        <v>-19036672.66</v>
      </c>
      <c r="F140" s="16">
        <v>-20284559.420000002</v>
      </c>
      <c r="G140" s="8">
        <f t="shared" si="4"/>
        <v>-1247886.7600000016</v>
      </c>
      <c r="H140" s="8">
        <f t="shared" si="5"/>
        <v>-1247886.7600000016</v>
      </c>
      <c r="I140" s="4"/>
      <c r="J140" s="16" t="str">
        <f>VLOOKUP(C140,'[1]GLOCUENTAS (1)'!$B:$C,2,FALSE)</f>
        <v>TC SALDOS ACREEDORES                    2NC</v>
      </c>
    </row>
    <row r="141" spans="1:10" x14ac:dyDescent="0.35">
      <c r="A141" s="47"/>
      <c r="B141" s="46"/>
      <c r="C141" s="11" t="s">
        <v>97</v>
      </c>
      <c r="D141" s="9">
        <v>-1247886.76</v>
      </c>
      <c r="E141" s="9">
        <v>-1247886.76</v>
      </c>
      <c r="F141" s="16"/>
      <c r="G141" s="8">
        <f t="shared" si="4"/>
        <v>1247886.76</v>
      </c>
      <c r="H141" s="8">
        <f t="shared" si="5"/>
        <v>1247886.76</v>
      </c>
      <c r="I141" s="4"/>
      <c r="J141" s="16" t="e">
        <f>VLOOKUP(C141,'[1]GLOCUENTAS (1)'!$B:$C,2,FALSE)</f>
        <v>#N/A</v>
      </c>
    </row>
    <row r="142" spans="1:10" s="25" customFormat="1" x14ac:dyDescent="0.35">
      <c r="A142" s="47"/>
      <c r="B142" s="46"/>
      <c r="C142" s="20" t="s">
        <v>100</v>
      </c>
      <c r="D142" s="21">
        <f>SUM(D90:D141)</f>
        <v>4953296397.1100006</v>
      </c>
      <c r="E142" s="21">
        <f>SUM(E90:E141)</f>
        <v>4953296397.1100006</v>
      </c>
      <c r="F142" s="21">
        <f>SUM(F90:F141)</f>
        <v>4953296397.1100006</v>
      </c>
      <c r="G142" s="23">
        <f t="shared" si="4"/>
        <v>0</v>
      </c>
      <c r="H142" s="8">
        <f t="shared" si="5"/>
        <v>0</v>
      </c>
      <c r="I142" s="24"/>
      <c r="J142" s="16" t="e">
        <f>VLOOKUP(C142,'[1]GLOCUENTAS (1)'!$B:$C,2,FALSE)</f>
        <v>#N/A</v>
      </c>
    </row>
    <row r="143" spans="1:10" x14ac:dyDescent="0.35">
      <c r="A143" s="47" t="s">
        <v>8</v>
      </c>
      <c r="B143" s="48" t="s">
        <v>27</v>
      </c>
      <c r="C143" s="33" t="s">
        <v>845</v>
      </c>
      <c r="D143" s="34"/>
      <c r="E143" s="34"/>
      <c r="F143" s="43">
        <v>18024.29</v>
      </c>
      <c r="G143" s="8">
        <f t="shared" si="4"/>
        <v>18024.29</v>
      </c>
      <c r="H143" s="8">
        <f t="shared" si="5"/>
        <v>18024.29</v>
      </c>
      <c r="I143" s="4"/>
      <c r="J143" s="16" t="e">
        <f>VLOOKUP(C143,'[1]GLOCUENTAS (1)'!$B:$C,2,FALSE)</f>
        <v>#N/A</v>
      </c>
    </row>
    <row r="144" spans="1:10" x14ac:dyDescent="0.35">
      <c r="A144" s="47"/>
      <c r="B144" s="48"/>
      <c r="C144" s="11" t="s">
        <v>151</v>
      </c>
      <c r="D144" s="9">
        <v>898943.97</v>
      </c>
      <c r="E144" s="9">
        <v>898943.97</v>
      </c>
      <c r="F144" s="16">
        <v>898943.97</v>
      </c>
      <c r="G144" s="8">
        <f t="shared" si="4"/>
        <v>0</v>
      </c>
      <c r="H144" s="8">
        <f t="shared" si="5"/>
        <v>0</v>
      </c>
      <c r="I144" s="4"/>
      <c r="J144" s="16" t="str">
        <f>VLOOKUP(C144,'[1]GLOCUENTAS (1)'!$B:$C,2,FALSE)</f>
        <v>HPC CRED VEHICULAR NRV VIGE             1ND</v>
      </c>
    </row>
    <row r="145" spans="1:10" x14ac:dyDescent="0.35">
      <c r="A145" s="47"/>
      <c r="B145" s="48"/>
      <c r="C145" s="11" t="s">
        <v>468</v>
      </c>
      <c r="D145" s="9">
        <v>256358.39</v>
      </c>
      <c r="E145" s="9">
        <v>256358.39</v>
      </c>
      <c r="F145" s="16">
        <v>256358.39</v>
      </c>
      <c r="G145" s="8">
        <f t="shared" si="4"/>
        <v>0</v>
      </c>
      <c r="H145" s="8">
        <f t="shared" si="5"/>
        <v>0</v>
      </c>
      <c r="I145" s="4"/>
      <c r="J145" s="16" t="str">
        <f>VLOOKUP(C145,'[1]GLOCUENTAS (1)'!$B:$C,2,FALSE)</f>
        <v>HPC D/P CRED VEHICULAR NRV              1ND</v>
      </c>
    </row>
    <row r="146" spans="1:10" x14ac:dyDescent="0.35">
      <c r="A146" s="47"/>
      <c r="B146" s="48"/>
      <c r="C146" s="11" t="s">
        <v>469</v>
      </c>
      <c r="D146" s="9">
        <v>3722510.48</v>
      </c>
      <c r="E146" s="9">
        <v>3722510.48</v>
      </c>
      <c r="F146" s="16">
        <v>3722510.48</v>
      </c>
      <c r="G146" s="8">
        <f t="shared" si="4"/>
        <v>0</v>
      </c>
      <c r="H146" s="8">
        <f t="shared" si="5"/>
        <v>0</v>
      </c>
      <c r="I146" s="4"/>
      <c r="J146" s="16" t="str">
        <f>VLOOKUP(C146,'[1]GLOCUENTAS (1)'!$B:$C,2,FALSE)</f>
        <v>HPC D/P CAP VIG EFEC C/GARANT. HIP      1ND</v>
      </c>
    </row>
    <row r="147" spans="1:10" x14ac:dyDescent="0.35">
      <c r="A147" s="47"/>
      <c r="B147" s="48"/>
      <c r="C147" s="11" t="s">
        <v>153</v>
      </c>
      <c r="D147" s="9">
        <v>249061218.02000001</v>
      </c>
      <c r="E147" s="9">
        <v>249061218.02000001</v>
      </c>
      <c r="F147" s="16">
        <v>249061218.02000001</v>
      </c>
      <c r="G147" s="8">
        <f t="shared" si="4"/>
        <v>0</v>
      </c>
      <c r="H147" s="8">
        <f t="shared" si="5"/>
        <v>0</v>
      </c>
      <c r="I147" s="4"/>
      <c r="J147" s="16" t="str">
        <f>VLOOKUP(C147,'[1]GLOCUENTAS (1)'!$B:$C,2,FALSE)</f>
        <v>HPC CAP.VIG. EFEC C/GARANT. HIP         1ND</v>
      </c>
    </row>
    <row r="148" spans="1:10" x14ac:dyDescent="0.35">
      <c r="A148" s="47"/>
      <c r="B148" s="48"/>
      <c r="C148" s="11" t="s">
        <v>157</v>
      </c>
      <c r="D148" s="9">
        <v>3125440367.4400001</v>
      </c>
      <c r="E148" s="9">
        <v>3125440367.4400001</v>
      </c>
      <c r="F148" s="16">
        <v>3125440367.4400001</v>
      </c>
      <c r="G148" s="8">
        <f t="shared" si="4"/>
        <v>0</v>
      </c>
      <c r="H148" s="8">
        <f t="shared" si="5"/>
        <v>0</v>
      </c>
      <c r="I148" s="4"/>
      <c r="J148" s="16" t="str">
        <f>VLOOKUP(C148,'[1]GLOCUENTAS (1)'!$B:$C,2,FALSE)</f>
        <v>HPC CRED EFECTIVO NRV VIGEN             1ND</v>
      </c>
    </row>
    <row r="149" spans="1:10" x14ac:dyDescent="0.35">
      <c r="A149" s="47"/>
      <c r="B149" s="48"/>
      <c r="C149" s="11" t="s">
        <v>160</v>
      </c>
      <c r="D149" s="9">
        <v>47071125.450000003</v>
      </c>
      <c r="E149" s="9">
        <v>47071125.450000003</v>
      </c>
      <c r="F149" s="16">
        <v>47071125.450000003</v>
      </c>
      <c r="G149" s="8">
        <f t="shared" si="4"/>
        <v>0</v>
      </c>
      <c r="H149" s="8">
        <f t="shared" si="5"/>
        <v>0</v>
      </c>
      <c r="I149" s="4"/>
      <c r="J149" s="16" t="str">
        <f>VLOOKUP(C149,'[1]GLOCUENTAS (1)'!$B:$C,2,FALSE)</f>
        <v>HPC D/P CRED EFECTIVO NRV V             1ND</v>
      </c>
    </row>
    <row r="150" spans="1:10" x14ac:dyDescent="0.35">
      <c r="A150" s="47"/>
      <c r="B150" s="48"/>
      <c r="C150" s="11" t="s">
        <v>470</v>
      </c>
      <c r="D150" s="9">
        <v>2108090.89</v>
      </c>
      <c r="E150" s="9">
        <v>2108090.89</v>
      </c>
      <c r="F150" s="16">
        <v>2108090.89</v>
      </c>
      <c r="G150" s="8">
        <f t="shared" si="4"/>
        <v>0</v>
      </c>
      <c r="H150" s="8">
        <f t="shared" si="5"/>
        <v>0</v>
      </c>
      <c r="I150" s="4"/>
      <c r="J150" s="16" t="str">
        <f>VLOOKUP(C150,'[1]GLOCUENTAS (1)'!$B:$C,2,FALSE)</f>
        <v>HPC CAP.VIG. CRED EFECT FINAN .PROV.REFI1ND</v>
      </c>
    </row>
    <row r="151" spans="1:10" x14ac:dyDescent="0.35">
      <c r="A151" s="47"/>
      <c r="B151" s="48"/>
      <c r="C151" s="11" t="s">
        <v>471</v>
      </c>
      <c r="D151" s="9">
        <v>75517.42</v>
      </c>
      <c r="E151" s="9">
        <v>75517.42</v>
      </c>
      <c r="F151" s="16">
        <v>75517.42</v>
      </c>
      <c r="G151" s="8">
        <f t="shared" si="4"/>
        <v>0</v>
      </c>
      <c r="H151" s="8">
        <f t="shared" si="5"/>
        <v>0</v>
      </c>
      <c r="I151" s="4"/>
      <c r="J151" s="16" t="str">
        <f>VLOOKUP(C151,'[1]GLOCUENTAS (1)'!$B:$C,2,FALSE)</f>
        <v>HPC DP CAP.VIG. CRED EFECT FINAN .PROV.R1ND</v>
      </c>
    </row>
    <row r="152" spans="1:10" x14ac:dyDescent="0.35">
      <c r="A152" s="47"/>
      <c r="B152" s="48"/>
      <c r="C152" s="11" t="s">
        <v>159</v>
      </c>
      <c r="D152" s="9">
        <v>111392.8</v>
      </c>
      <c r="E152" s="9">
        <v>111392.8</v>
      </c>
      <c r="F152" s="16">
        <v>111392.8</v>
      </c>
      <c r="G152" s="8">
        <f t="shared" si="4"/>
        <v>0</v>
      </c>
      <c r="H152" s="8">
        <f t="shared" si="5"/>
        <v>0</v>
      </c>
      <c r="I152" s="4"/>
      <c r="J152" s="16" t="str">
        <f>VLOOKUP(C152,'[1]GLOCUENTAS (1)'!$B:$C,2,FALSE)</f>
        <v>HPC CAPVIGEFEC C/GARANTHIPFIN           1ND</v>
      </c>
    </row>
    <row r="153" spans="1:10" x14ac:dyDescent="0.35">
      <c r="A153" s="47"/>
      <c r="B153" s="48"/>
      <c r="C153" s="11" t="s">
        <v>152</v>
      </c>
      <c r="D153" s="9">
        <v>3094667.46</v>
      </c>
      <c r="E153" s="9">
        <v>3094667.46</v>
      </c>
      <c r="F153" s="16">
        <v>3094667.46</v>
      </c>
      <c r="G153" s="8">
        <f t="shared" si="4"/>
        <v>0</v>
      </c>
      <c r="H153" s="8">
        <f t="shared" si="5"/>
        <v>0</v>
      </c>
      <c r="I153" s="4"/>
      <c r="J153" s="16" t="str">
        <f>VLOOKUP(C153,'[1]GLOCUENTAS (1)'!$B:$C,2,FALSE)</f>
        <v>HPC CONV PRIVADO NRV VIG NORM GRUPO IBK 1 D</v>
      </c>
    </row>
    <row r="154" spans="1:10" x14ac:dyDescent="0.35">
      <c r="A154" s="47"/>
      <c r="B154" s="48"/>
      <c r="C154" s="11" t="s">
        <v>472</v>
      </c>
      <c r="D154" s="9">
        <v>4095213.64</v>
      </c>
      <c r="E154" s="9">
        <v>4095213.64</v>
      </c>
      <c r="F154" s="16">
        <v>4095213.64</v>
      </c>
      <c r="G154" s="8">
        <f t="shared" si="4"/>
        <v>0</v>
      </c>
      <c r="H154" s="8">
        <f t="shared" si="5"/>
        <v>0</v>
      </c>
      <c r="I154" s="4"/>
      <c r="J154" s="16" t="str">
        <f>VLOOKUP(C154,'[1]GLOCUENTAS (1)'!$B:$C,2,FALSE)</f>
        <v>HPC CAP.VIG.LIC CONVENIO PROV.REFIN     1ND</v>
      </c>
    </row>
    <row r="155" spans="1:10" x14ac:dyDescent="0.35">
      <c r="A155" s="47"/>
      <c r="B155" s="48"/>
      <c r="C155" s="11" t="s">
        <v>473</v>
      </c>
      <c r="D155" s="9">
        <v>55382.52</v>
      </c>
      <c r="E155" s="9">
        <v>55382.52</v>
      </c>
      <c r="F155" s="16">
        <v>55382.52</v>
      </c>
      <c r="G155" s="8">
        <f t="shared" si="4"/>
        <v>0</v>
      </c>
      <c r="H155" s="8">
        <f t="shared" si="5"/>
        <v>0</v>
      </c>
      <c r="I155" s="4"/>
      <c r="J155" s="16" t="str">
        <f>VLOOKUP(C155,'[1]GLOCUENTAS (1)'!$B:$C,2,FALSE)</f>
        <v>HPC DP CAP.VIG.LIC CONVENIO PROV.REFIN  1ND</v>
      </c>
    </row>
    <row r="156" spans="1:10" x14ac:dyDescent="0.35">
      <c r="A156" s="47"/>
      <c r="B156" s="48"/>
      <c r="C156" s="11" t="s">
        <v>154</v>
      </c>
      <c r="D156" s="9">
        <v>64653478.060000002</v>
      </c>
      <c r="E156" s="9">
        <v>64653478.060000002</v>
      </c>
      <c r="F156" s="16">
        <v>64653478.060000002</v>
      </c>
      <c r="G156" s="8">
        <f t="shared" si="4"/>
        <v>0</v>
      </c>
      <c r="H156" s="8">
        <f t="shared" si="5"/>
        <v>0</v>
      </c>
      <c r="I156" s="4"/>
      <c r="J156" s="16" t="str">
        <f>VLOOKUP(C156,'[1]GLOCUENTAS (1)'!$B:$C,2,FALSE)</f>
        <v>HPC CONV PRIVADO NRV VIG NORM           1ND</v>
      </c>
    </row>
    <row r="157" spans="1:10" x14ac:dyDescent="0.35">
      <c r="A157" s="47"/>
      <c r="B157" s="48"/>
      <c r="C157" s="11" t="s">
        <v>474</v>
      </c>
      <c r="D157" s="9">
        <v>691074.22</v>
      </c>
      <c r="E157" s="9">
        <v>691074.22</v>
      </c>
      <c r="F157" s="16">
        <v>691074.22</v>
      </c>
      <c r="G157" s="8">
        <f t="shared" si="4"/>
        <v>0</v>
      </c>
      <c r="H157" s="8">
        <f t="shared" si="5"/>
        <v>0</v>
      </c>
      <c r="I157" s="4"/>
      <c r="J157" s="16" t="str">
        <f>VLOOKUP(C157,'[1]GLOCUENTAS (1)'!$B:$C,2,FALSE)</f>
        <v>HPC CONV PRIVADO NRV VIG DP             1ND</v>
      </c>
    </row>
    <row r="158" spans="1:10" x14ac:dyDescent="0.35">
      <c r="A158" s="47"/>
      <c r="B158" s="48"/>
      <c r="C158" s="11" t="s">
        <v>475</v>
      </c>
      <c r="D158" s="9">
        <v>18261819.07</v>
      </c>
      <c r="E158" s="9">
        <v>18261819.07</v>
      </c>
      <c r="F158" s="16">
        <v>18261819.07</v>
      </c>
      <c r="G158" s="8">
        <f t="shared" si="4"/>
        <v>0</v>
      </c>
      <c r="H158" s="8">
        <f t="shared" si="5"/>
        <v>0</v>
      </c>
      <c r="I158" s="4"/>
      <c r="J158" s="16" t="str">
        <f>VLOOKUP(C158,'[1]GLOCUENTAS (1)'!$B:$C,2,FALSE)</f>
        <v>HPC CAPVIGTC FINAN PROVREFIN            1ND</v>
      </c>
    </row>
    <row r="159" spans="1:10" x14ac:dyDescent="0.35">
      <c r="A159" s="47"/>
      <c r="B159" s="48"/>
      <c r="C159" s="33" t="s">
        <v>189</v>
      </c>
      <c r="D159" s="34"/>
      <c r="E159" s="34"/>
      <c r="F159" s="43">
        <v>5208637267.1899996</v>
      </c>
      <c r="G159" s="8">
        <f t="shared" si="4"/>
        <v>5208637267.1899996</v>
      </c>
      <c r="H159" s="8">
        <f t="shared" si="5"/>
        <v>5208637267.1899996</v>
      </c>
      <c r="I159" s="4"/>
      <c r="J159" s="16" t="str">
        <f>VLOOKUP(C159,'[1]GLOCUENTAS (1)'!$B:$C,2,FALSE)</f>
        <v>HPC CAP.VIG.HIPOT.REC PROP              1ND</v>
      </c>
    </row>
    <row r="160" spans="1:10" x14ac:dyDescent="0.35">
      <c r="A160" s="47"/>
      <c r="B160" s="48"/>
      <c r="C160" s="33" t="s">
        <v>167</v>
      </c>
      <c r="D160" s="34"/>
      <c r="E160" s="34"/>
      <c r="F160" s="43">
        <v>96328322.680000007</v>
      </c>
      <c r="G160" s="8">
        <f t="shared" si="4"/>
        <v>96328322.680000007</v>
      </c>
      <c r="H160" s="8">
        <f t="shared" si="5"/>
        <v>96328322.680000007</v>
      </c>
      <c r="I160" s="4"/>
      <c r="J160" s="16" t="str">
        <f>VLOOKUP(C160,'[1]GLOCUENTAS (1)'!$B:$C,2,FALSE)</f>
        <v>HPC D/P CAP VIG HIPOT.REC PROP          1ND</v>
      </c>
    </row>
    <row r="161" spans="1:10" x14ac:dyDescent="0.35">
      <c r="A161" s="47"/>
      <c r="B161" s="48"/>
      <c r="C161" s="33" t="s">
        <v>191</v>
      </c>
      <c r="D161" s="34"/>
      <c r="E161" s="34"/>
      <c r="F161" s="43">
        <v>270345.44</v>
      </c>
      <c r="G161" s="8">
        <f t="shared" si="4"/>
        <v>270345.44</v>
      </c>
      <c r="H161" s="8">
        <f t="shared" si="5"/>
        <v>270345.44</v>
      </c>
      <c r="I161" s="4"/>
      <c r="J161" s="16" t="str">
        <f>VLOOKUP(C161,'[1]GLOCUENTAS (1)'!$B:$C,2,FALSE)</f>
        <v>HPC CAP.VIG. HIP. RP. BONOS             1ND</v>
      </c>
    </row>
    <row r="162" spans="1:10" x14ac:dyDescent="0.35">
      <c r="A162" s="47"/>
      <c r="B162" s="48"/>
      <c r="C162" s="33" t="s">
        <v>170</v>
      </c>
      <c r="D162" s="34"/>
      <c r="E162" s="34"/>
      <c r="F162" s="43">
        <v>1238702.71</v>
      </c>
      <c r="G162" s="8">
        <f t="shared" si="4"/>
        <v>1238702.71</v>
      </c>
      <c r="H162" s="8">
        <f t="shared" si="5"/>
        <v>1238702.71</v>
      </c>
      <c r="I162" s="4"/>
      <c r="J162" s="16" t="str">
        <f>VLOOKUP(C162,'[1]GLOCUENTAS (1)'!$B:$C,2,FALSE)</f>
        <v>HPC CAP.VIG.HIPOT.TRAD.FINAN .PROV.RE   1ND</v>
      </c>
    </row>
    <row r="163" spans="1:10" x14ac:dyDescent="0.35">
      <c r="A163" s="47"/>
      <c r="B163" s="48"/>
      <c r="C163" s="33" t="s">
        <v>500</v>
      </c>
      <c r="D163" s="34"/>
      <c r="E163" s="34"/>
      <c r="F163" s="43">
        <v>42455.4</v>
      </c>
      <c r="G163" s="8">
        <f t="shared" si="4"/>
        <v>42455.4</v>
      </c>
      <c r="H163" s="8">
        <f t="shared" si="5"/>
        <v>42455.4</v>
      </c>
      <c r="I163" s="4"/>
      <c r="J163" s="16" t="str">
        <f>VLOOKUP(C163,'[1]GLOCUENTAS (1)'!$B:$C,2,FALSE)</f>
        <v>HPC D/P CAP.VIG.HIPOT.TRAD.FINAN.PROV   1ND</v>
      </c>
    </row>
    <row r="164" spans="1:10" x14ac:dyDescent="0.35">
      <c r="A164" s="47"/>
      <c r="B164" s="48"/>
      <c r="C164" s="33" t="s">
        <v>172</v>
      </c>
      <c r="D164" s="34"/>
      <c r="E164" s="34"/>
      <c r="F164" s="43">
        <v>148846.72</v>
      </c>
      <c r="G164" s="8">
        <f t="shared" si="4"/>
        <v>148846.72</v>
      </c>
      <c r="H164" s="8">
        <f t="shared" si="5"/>
        <v>148846.72</v>
      </c>
      <c r="I164" s="4"/>
      <c r="J164" s="16" t="str">
        <f>VLOOKUP(C164,'[1]GLOCUENTAS (1)'!$B:$C,2,FALSE)</f>
        <v>HPC D/P CAP VIG HIPOT.TASA MIXTO REC PRO1ND</v>
      </c>
    </row>
    <row r="165" spans="1:10" x14ac:dyDescent="0.35">
      <c r="A165" s="47"/>
      <c r="B165" s="48"/>
      <c r="C165" s="33" t="s">
        <v>194</v>
      </c>
      <c r="D165" s="34"/>
      <c r="E165" s="34"/>
      <c r="F165" s="43">
        <v>5425907.8399999999</v>
      </c>
      <c r="G165" s="8">
        <f t="shared" si="4"/>
        <v>5425907.8399999999</v>
      </c>
      <c r="H165" s="8">
        <f t="shared" si="5"/>
        <v>5425907.8399999999</v>
      </c>
      <c r="I165" s="4"/>
      <c r="J165" s="16" t="str">
        <f>VLOOKUP(C165,'[1]GLOCUENTAS (1)'!$B:$C,2,FALSE)</f>
        <v>HPC CAP.VIG.HIPOT. TASA MIXTA REC PRO   1ND</v>
      </c>
    </row>
    <row r="166" spans="1:10" x14ac:dyDescent="0.35">
      <c r="A166" s="47"/>
      <c r="B166" s="48"/>
      <c r="C166" s="33" t="s">
        <v>173</v>
      </c>
      <c r="D166" s="34"/>
      <c r="E166" s="34"/>
      <c r="F166" s="43">
        <v>1761198921.74</v>
      </c>
      <c r="G166" s="8">
        <f t="shared" si="4"/>
        <v>1761198921.74</v>
      </c>
      <c r="H166" s="8">
        <f t="shared" si="5"/>
        <v>1761198921.74</v>
      </c>
      <c r="I166" s="4"/>
      <c r="J166" s="16" t="str">
        <f>VLOOKUP(C166,'[1]GLOCUENTAS (1)'!$B:$C,2,FALSE)</f>
        <v>HPC CAP.VIG.2DA HIPOT.REC PROP (C/HIP. I1ND</v>
      </c>
    </row>
    <row r="167" spans="1:10" x14ac:dyDescent="0.35">
      <c r="A167" s="47"/>
      <c r="B167" s="48"/>
      <c r="C167" s="33" t="s">
        <v>171</v>
      </c>
      <c r="D167" s="34"/>
      <c r="E167" s="34"/>
      <c r="F167" s="43">
        <v>11045589.289999999</v>
      </c>
      <c r="G167" s="8">
        <f t="shared" si="4"/>
        <v>11045589.289999999</v>
      </c>
      <c r="H167" s="8">
        <f t="shared" si="5"/>
        <v>11045589.289999999</v>
      </c>
      <c r="I167" s="4"/>
      <c r="J167" s="16" t="str">
        <f>VLOOKUP(C167,'[1]GLOCUENTAS (1)'!$B:$C,2,FALSE)</f>
        <v>HPC D/P CAP VIG 2DA HIPOT.REC PROP C/HIP1ND</v>
      </c>
    </row>
    <row r="168" spans="1:10" x14ac:dyDescent="0.35">
      <c r="A168" s="47"/>
      <c r="B168" s="48"/>
      <c r="C168" s="33" t="s">
        <v>183</v>
      </c>
      <c r="D168" s="34"/>
      <c r="E168" s="34"/>
      <c r="F168" s="43">
        <v>1072181852.25</v>
      </c>
      <c r="G168" s="8">
        <f t="shared" si="4"/>
        <v>1072181852.25</v>
      </c>
      <c r="H168" s="8">
        <f t="shared" si="5"/>
        <v>1072181852.25</v>
      </c>
      <c r="I168" s="4"/>
      <c r="J168" s="16" t="str">
        <f>VLOOKUP(C168,'[1]GLOCUENTAS (1)'!$B:$C,2,FALSE)</f>
        <v>HPC CAP.VIG.HIPOT.REC PROP              1ND</v>
      </c>
    </row>
    <row r="169" spans="1:10" x14ac:dyDescent="0.35">
      <c r="A169" s="47"/>
      <c r="B169" s="48"/>
      <c r="C169" s="33" t="s">
        <v>161</v>
      </c>
      <c r="D169" s="34"/>
      <c r="E169" s="34"/>
      <c r="F169" s="43">
        <v>1363792.15</v>
      </c>
      <c r="G169" s="8">
        <f t="shared" si="4"/>
        <v>1363792.15</v>
      </c>
      <c r="H169" s="8">
        <f t="shared" si="5"/>
        <v>1363792.15</v>
      </c>
      <c r="I169" s="4"/>
      <c r="J169" s="16" t="str">
        <f>VLOOKUP(C169,'[1]GLOCUENTAS (1)'!$B:$C,2,FALSE)</f>
        <v>HPC D/P CAP VIG HIPOT.REC PROP          1ND</v>
      </c>
    </row>
    <row r="170" spans="1:10" x14ac:dyDescent="0.35">
      <c r="A170" s="47"/>
      <c r="B170" s="48"/>
      <c r="C170" s="33" t="s">
        <v>501</v>
      </c>
      <c r="D170" s="34"/>
      <c r="E170" s="34"/>
      <c r="F170" s="43">
        <v>142263.66</v>
      </c>
      <c r="G170" s="8">
        <f t="shared" si="4"/>
        <v>142263.66</v>
      </c>
      <c r="H170" s="8">
        <f t="shared" si="5"/>
        <v>142263.66</v>
      </c>
      <c r="I170" s="4"/>
      <c r="J170" s="16" t="str">
        <f>VLOOKUP(C170,'[1]GLOCUENTAS (1)'!$B:$C,2,FALSE)</f>
        <v>HPC CAP.VIG. HIP. RP. BONOS             1ND</v>
      </c>
    </row>
    <row r="171" spans="1:10" x14ac:dyDescent="0.35">
      <c r="A171" s="47"/>
      <c r="B171" s="48"/>
      <c r="C171" s="33" t="s">
        <v>168</v>
      </c>
      <c r="D171" s="34"/>
      <c r="E171" s="34"/>
      <c r="F171" s="43">
        <v>466748012.60000002</v>
      </c>
      <c r="G171" s="8">
        <f t="shared" si="4"/>
        <v>466748012.60000002</v>
      </c>
      <c r="H171" s="8">
        <f t="shared" si="5"/>
        <v>466748012.60000002</v>
      </c>
      <c r="I171" s="4"/>
      <c r="J171" s="16" t="str">
        <f>VLOOKUP(C171,'[1]GLOCUENTAS (1)'!$B:$C,2,FALSE)</f>
        <v>HPC CAP.VIG. 2DA HIPOT.REC PROP (S/HIP. 1ND</v>
      </c>
    </row>
    <row r="172" spans="1:10" x14ac:dyDescent="0.35">
      <c r="A172" s="47"/>
      <c r="B172" s="48"/>
      <c r="C172" s="33" t="s">
        <v>174</v>
      </c>
      <c r="D172" s="34"/>
      <c r="E172" s="34"/>
      <c r="F172" s="43">
        <v>8722500.7100000009</v>
      </c>
      <c r="G172" s="8">
        <f t="shared" si="4"/>
        <v>8722500.7100000009</v>
      </c>
      <c r="H172" s="8">
        <f t="shared" si="5"/>
        <v>8722500.7100000009</v>
      </c>
      <c r="I172" s="4"/>
      <c r="J172" s="16" t="str">
        <f>VLOOKUP(C172,'[1]GLOCUENTAS (1)'!$B:$C,2,FALSE)</f>
        <v>HPC CAP.VIG.TEC PROPIO COF              1ND</v>
      </c>
    </row>
    <row r="173" spans="1:10" x14ac:dyDescent="0.35">
      <c r="A173" s="47"/>
      <c r="B173" s="48"/>
      <c r="C173" s="33" t="s">
        <v>502</v>
      </c>
      <c r="D173" s="34"/>
      <c r="E173" s="34"/>
      <c r="F173" s="43">
        <v>826195.11</v>
      </c>
      <c r="G173" s="8">
        <f t="shared" si="4"/>
        <v>826195.11</v>
      </c>
      <c r="H173" s="8">
        <f t="shared" si="5"/>
        <v>826195.11</v>
      </c>
      <c r="I173" s="4"/>
      <c r="J173" s="16" t="str">
        <f>VLOOKUP(C173,'[1]GLOCUENTAS (1)'!$B:$C,2,FALSE)</f>
        <v>HPC D/P CAP VIG TEC PROP COF            1ND</v>
      </c>
    </row>
    <row r="174" spans="1:10" x14ac:dyDescent="0.35">
      <c r="A174" s="47"/>
      <c r="B174" s="48"/>
      <c r="C174" s="33" t="s">
        <v>503</v>
      </c>
      <c r="D174" s="34"/>
      <c r="E174" s="34"/>
      <c r="F174" s="43">
        <v>1555775.15</v>
      </c>
      <c r="G174" s="8">
        <f t="shared" si="4"/>
        <v>1555775.15</v>
      </c>
      <c r="H174" s="8">
        <f t="shared" si="5"/>
        <v>1555775.15</v>
      </c>
      <c r="I174" s="4"/>
      <c r="J174" s="16" t="str">
        <f>VLOOKUP(C174,'[1]GLOCUENTAS (1)'!$B:$C,2,FALSE)</f>
        <v>HPC CAP.VIG.MI HOGAR                    1ND</v>
      </c>
    </row>
    <row r="175" spans="1:10" x14ac:dyDescent="0.35">
      <c r="A175" s="47"/>
      <c r="B175" s="48"/>
      <c r="C175" s="33" t="s">
        <v>504</v>
      </c>
      <c r="D175" s="34"/>
      <c r="E175" s="34"/>
      <c r="F175" s="43">
        <v>197425.55</v>
      </c>
      <c r="G175" s="8">
        <f t="shared" si="4"/>
        <v>197425.55</v>
      </c>
      <c r="H175" s="8">
        <f t="shared" si="5"/>
        <v>197425.55</v>
      </c>
      <c r="I175" s="4"/>
      <c r="J175" s="16" t="str">
        <f>VLOOKUP(C175,'[1]GLOCUENTAS (1)'!$B:$C,2,FALSE)</f>
        <v>HPC D/P CAP VIG MI HOGAR                1ND</v>
      </c>
    </row>
    <row r="176" spans="1:10" x14ac:dyDescent="0.35">
      <c r="A176" s="47"/>
      <c r="B176" s="48"/>
      <c r="C176" s="33" t="s">
        <v>505</v>
      </c>
      <c r="D176" s="34"/>
      <c r="E176" s="34"/>
      <c r="F176" s="43">
        <v>2060703163.3699999</v>
      </c>
      <c r="G176" s="8">
        <f t="shared" si="4"/>
        <v>2060703163.3699999</v>
      </c>
      <c r="H176" s="8">
        <f t="shared" si="5"/>
        <v>2060703163.3699999</v>
      </c>
      <c r="I176" s="4"/>
      <c r="J176" s="16" t="str">
        <f>VLOOKUP(C176,'[1]GLOCUENTAS (1)'!$B:$C,2,FALSE)</f>
        <v>HPC CAP.VIG.NUEVO MVV COFIDE            1ND</v>
      </c>
    </row>
    <row r="177" spans="1:10" x14ac:dyDescent="0.35">
      <c r="A177" s="47"/>
      <c r="B177" s="48"/>
      <c r="C177" s="33" t="s">
        <v>506</v>
      </c>
      <c r="D177" s="34"/>
      <c r="E177" s="34"/>
      <c r="F177" s="43">
        <v>41650602.030000001</v>
      </c>
      <c r="G177" s="8">
        <f t="shared" si="4"/>
        <v>41650602.030000001</v>
      </c>
      <c r="H177" s="8">
        <f t="shared" si="5"/>
        <v>41650602.030000001</v>
      </c>
      <c r="I177" s="4"/>
      <c r="J177" s="16" t="str">
        <f>VLOOKUP(C177,'[1]GLOCUENTAS (1)'!$B:$C,2,FALSE)</f>
        <v>HPC D/P CAP VIG NUEVO MVV COFIDE        1ND</v>
      </c>
    </row>
    <row r="178" spans="1:10" x14ac:dyDescent="0.35">
      <c r="A178" s="47"/>
      <c r="B178" s="48"/>
      <c r="C178" s="33" t="s">
        <v>165</v>
      </c>
      <c r="D178" s="34"/>
      <c r="E178" s="34"/>
      <c r="F178" s="43">
        <v>3450993.44</v>
      </c>
      <c r="G178" s="8">
        <f t="shared" si="4"/>
        <v>3450993.44</v>
      </c>
      <c r="H178" s="8">
        <f t="shared" si="5"/>
        <v>3450993.44</v>
      </c>
      <c r="I178" s="4"/>
      <c r="J178" s="16" t="str">
        <f>VLOOKUP(C178,'[1]GLOCUENTAS (1)'!$B:$C,2,FALSE)</f>
        <v>HPC CAP.VIG.MI VIV REC PROP.            1ND</v>
      </c>
    </row>
    <row r="179" spans="1:10" x14ac:dyDescent="0.35">
      <c r="A179" s="47"/>
      <c r="B179" s="48"/>
      <c r="C179" s="33" t="s">
        <v>192</v>
      </c>
      <c r="D179" s="34"/>
      <c r="E179" s="34"/>
      <c r="F179" s="43">
        <v>239378.68</v>
      </c>
      <c r="G179" s="8">
        <f t="shared" si="4"/>
        <v>239378.68</v>
      </c>
      <c r="H179" s="8">
        <f t="shared" si="5"/>
        <v>239378.68</v>
      </c>
      <c r="I179" s="4"/>
      <c r="J179" s="16" t="str">
        <f>VLOOKUP(C179,'[1]GLOCUENTAS (1)'!$B:$C,2,FALSE)</f>
        <v>HPC D/P CAP VIG MI VIV REC PROP         1ND</v>
      </c>
    </row>
    <row r="180" spans="1:10" x14ac:dyDescent="0.35">
      <c r="A180" s="47"/>
      <c r="B180" s="48"/>
      <c r="C180" s="11" t="s">
        <v>476</v>
      </c>
      <c r="D180" s="9">
        <v>3088.17</v>
      </c>
      <c r="E180" s="9">
        <v>3088.17</v>
      </c>
      <c r="F180" s="16">
        <v>3088.17</v>
      </c>
      <c r="G180" s="8">
        <f t="shared" si="4"/>
        <v>0</v>
      </c>
      <c r="H180" s="8">
        <f t="shared" si="5"/>
        <v>0</v>
      </c>
      <c r="I180" s="4"/>
      <c r="J180" s="16" t="str">
        <f>VLOOKUP(C180,'[1]GLOCUENTAS (1)'!$B:$C,2,FALSE)</f>
        <v>HPC CRED REFIN NRV AUTOMOVILES VIGENTE  1ND</v>
      </c>
    </row>
    <row r="181" spans="1:10" x14ac:dyDescent="0.35">
      <c r="A181" s="47"/>
      <c r="B181" s="48"/>
      <c r="C181" s="11" t="s">
        <v>477</v>
      </c>
      <c r="D181" s="9">
        <v>35156775.109999999</v>
      </c>
      <c r="E181" s="9">
        <v>35156775.109999999</v>
      </c>
      <c r="F181" s="16">
        <v>35156775.109999999</v>
      </c>
      <c r="G181" s="8">
        <f t="shared" si="4"/>
        <v>0</v>
      </c>
      <c r="H181" s="8">
        <f t="shared" si="5"/>
        <v>0</v>
      </c>
      <c r="I181" s="4"/>
      <c r="J181" s="16" t="str">
        <f>VLOOKUP(C181,'[1]GLOCUENTAS (1)'!$B:$C,2,FALSE)</f>
        <v>HPC CCNR REFIN COLOCAC. VIGENTE         1ND</v>
      </c>
    </row>
    <row r="182" spans="1:10" x14ac:dyDescent="0.35">
      <c r="A182" s="47"/>
      <c r="B182" s="48"/>
      <c r="C182" s="11" t="s">
        <v>478</v>
      </c>
      <c r="D182" s="9">
        <v>2083252.23</v>
      </c>
      <c r="E182" s="9">
        <v>2083252.23</v>
      </c>
      <c r="F182" s="16">
        <v>2083252.23</v>
      </c>
      <c r="G182" s="8">
        <f t="shared" si="4"/>
        <v>0</v>
      </c>
      <c r="H182" s="8">
        <f t="shared" si="5"/>
        <v>0</v>
      </c>
      <c r="I182" s="4"/>
      <c r="J182" s="16" t="str">
        <f>VLOOKUP(C182,'[1]GLOCUENTAS (1)'!$B:$C,2,FALSE)</f>
        <v>HPC REF CAP VIG EFEC C/GARANT HIPOTECARI1ND</v>
      </c>
    </row>
    <row r="183" spans="1:10" x14ac:dyDescent="0.35">
      <c r="A183" s="47"/>
      <c r="B183" s="48"/>
      <c r="C183" s="11" t="s">
        <v>479</v>
      </c>
      <c r="D183" s="9">
        <v>29255831.23</v>
      </c>
      <c r="E183" s="9">
        <v>29255831.23</v>
      </c>
      <c r="F183" s="16">
        <v>29255831.23</v>
      </c>
      <c r="G183" s="8">
        <f t="shared" si="4"/>
        <v>0</v>
      </c>
      <c r="H183" s="8">
        <f t="shared" si="5"/>
        <v>0</v>
      </c>
      <c r="I183" s="4"/>
      <c r="J183" s="16" t="str">
        <f>VLOOKUP(C183,'[1]GLOCUENTAS (1)'!$B:$C,2,FALSE)</f>
        <v>HPC REF NRV OT B/CONV NO ELEG VIG       1ND</v>
      </c>
    </row>
    <row r="184" spans="1:10" x14ac:dyDescent="0.35">
      <c r="A184" s="47"/>
      <c r="B184" s="48"/>
      <c r="C184" s="11" t="s">
        <v>480</v>
      </c>
      <c r="D184" s="9">
        <v>180519812.16</v>
      </c>
      <c r="E184" s="9">
        <v>180519812.16</v>
      </c>
      <c r="F184" s="16">
        <v>180519812.16</v>
      </c>
      <c r="G184" s="8">
        <f t="shared" si="4"/>
        <v>0</v>
      </c>
      <c r="H184" s="8">
        <f t="shared" si="5"/>
        <v>0</v>
      </c>
      <c r="I184" s="4"/>
      <c r="J184" s="16" t="str">
        <f>VLOOKUP(C184,'[1]GLOCUENTAS (1)'!$B:$C,2,FALSE)</f>
        <v>HPC REFIN TC IB PN COLOCAC. VIGENTE     1ND</v>
      </c>
    </row>
    <row r="185" spans="1:10" x14ac:dyDescent="0.35">
      <c r="A185" s="47"/>
      <c r="B185" s="48"/>
      <c r="C185" s="33" t="s">
        <v>175</v>
      </c>
      <c r="D185" s="34"/>
      <c r="E185" s="34"/>
      <c r="F185" s="43">
        <v>24940964.98</v>
      </c>
      <c r="G185" s="8">
        <f t="shared" si="4"/>
        <v>24940964.98</v>
      </c>
      <c r="H185" s="8">
        <f t="shared" si="5"/>
        <v>24940964.98</v>
      </c>
      <c r="I185" s="4"/>
      <c r="J185" s="16" t="str">
        <f>VLOOKUP(C185,'[1]GLOCUENTAS (1)'!$B:$C,2,FALSE)</f>
        <v>HPC REF CAP.VIG.HIPOT.TRAD. C/HIP. INSCR1ND</v>
      </c>
    </row>
    <row r="186" spans="1:10" x14ac:dyDescent="0.35">
      <c r="A186" s="47"/>
      <c r="B186" s="48"/>
      <c r="C186" s="11" t="s">
        <v>156</v>
      </c>
      <c r="D186" s="9">
        <v>5970.92</v>
      </c>
      <c r="E186" s="9">
        <v>5970.92</v>
      </c>
      <c r="F186" s="16">
        <v>5970.92</v>
      </c>
      <c r="G186" s="8">
        <f t="shared" si="4"/>
        <v>0</v>
      </c>
      <c r="H186" s="8">
        <f t="shared" si="5"/>
        <v>0</v>
      </c>
      <c r="I186" s="4"/>
      <c r="J186" s="16" t="str">
        <f>VLOOKUP(C186,'[1]GLOCUENTAS (1)'!$B:$C,2,FALSE)</f>
        <v>HPC CRED VEHICULAR NRV VENC             1ND</v>
      </c>
    </row>
    <row r="187" spans="1:10" x14ac:dyDescent="0.35">
      <c r="A187" s="47"/>
      <c r="B187" s="48"/>
      <c r="C187" s="11" t="s">
        <v>481</v>
      </c>
      <c r="D187" s="9">
        <v>56551.85</v>
      </c>
      <c r="E187" s="9">
        <v>56551.85</v>
      </c>
      <c r="F187" s="16">
        <v>56551.85</v>
      </c>
      <c r="G187" s="8">
        <f t="shared" si="4"/>
        <v>0</v>
      </c>
      <c r="H187" s="8">
        <f t="shared" si="5"/>
        <v>0</v>
      </c>
      <c r="I187" s="4"/>
      <c r="J187" s="16" t="str">
        <f>VLOOKUP(C187,'[1]GLOCUENTAS (1)'!$B:$C,2,FALSE)</f>
        <v>HPC D/P CRED VEHICULAR NRV              1ND</v>
      </c>
    </row>
    <row r="188" spans="1:10" x14ac:dyDescent="0.35">
      <c r="A188" s="47"/>
      <c r="B188" s="48"/>
      <c r="C188" s="11" t="s">
        <v>482</v>
      </c>
      <c r="D188" s="9">
        <v>2107259.88</v>
      </c>
      <c r="E188" s="9">
        <v>2107259.88</v>
      </c>
      <c r="F188" s="16">
        <v>2107259.88</v>
      </c>
      <c r="G188" s="8">
        <f t="shared" si="4"/>
        <v>0</v>
      </c>
      <c r="H188" s="8">
        <f t="shared" si="5"/>
        <v>0</v>
      </c>
      <c r="I188" s="4"/>
      <c r="J188" s="16" t="str">
        <f>VLOOKUP(C188,'[1]GLOCUENTAS (1)'!$B:$C,2,FALSE)</f>
        <v>HPC D/P CAP VENC-90 EFEC C/GARANT. HI   1ND</v>
      </c>
    </row>
    <row r="189" spans="1:10" x14ac:dyDescent="0.35">
      <c r="A189" s="47"/>
      <c r="B189" s="48"/>
      <c r="C189" s="11" t="s">
        <v>483</v>
      </c>
      <c r="D189" s="9">
        <v>31637.439999999999</v>
      </c>
      <c r="E189" s="9">
        <v>31637.439999999999</v>
      </c>
      <c r="F189" s="16">
        <v>31637.439999999999</v>
      </c>
      <c r="G189" s="8">
        <f t="shared" si="4"/>
        <v>0</v>
      </c>
      <c r="H189" s="8">
        <f t="shared" si="5"/>
        <v>0</v>
      </c>
      <c r="I189" s="4"/>
      <c r="J189" s="16" t="str">
        <f>VLOOKUP(C189,'[1]GLOCUENTAS (1)'!$B:$C,2,FALSE)</f>
        <v>HPC CAP.VENC-90 EFEC C/GARANT. HIP      1ND</v>
      </c>
    </row>
    <row r="190" spans="1:10" x14ac:dyDescent="0.35">
      <c r="A190" s="47"/>
      <c r="B190" s="48"/>
      <c r="C190" s="11" t="s">
        <v>484</v>
      </c>
      <c r="D190" s="9">
        <v>1233195.9099999999</v>
      </c>
      <c r="E190" s="9">
        <v>1233195.9099999999</v>
      </c>
      <c r="F190" s="16">
        <v>1233195.9099999999</v>
      </c>
      <c r="G190" s="8">
        <f t="shared" si="4"/>
        <v>0</v>
      </c>
      <c r="H190" s="8">
        <f t="shared" si="5"/>
        <v>0</v>
      </c>
      <c r="I190" s="4"/>
      <c r="J190" s="16" t="str">
        <f>VLOOKUP(C190,'[1]GLOCUENTAS (1)'!$B:$C,2,FALSE)</f>
        <v>HPC CRED EFECTIVO NRV VENC-             1ND</v>
      </c>
    </row>
    <row r="191" spans="1:10" x14ac:dyDescent="0.35">
      <c r="A191" s="47"/>
      <c r="B191" s="48"/>
      <c r="C191" s="11" t="s">
        <v>155</v>
      </c>
      <c r="D191" s="9">
        <v>25819953.18</v>
      </c>
      <c r="E191" s="9">
        <v>25819953.18</v>
      </c>
      <c r="F191" s="16">
        <v>25819953.18</v>
      </c>
      <c r="G191" s="8">
        <f t="shared" si="4"/>
        <v>0</v>
      </c>
      <c r="H191" s="8">
        <f t="shared" si="5"/>
        <v>0</v>
      </c>
      <c r="I191" s="4"/>
      <c r="J191" s="16" t="str">
        <f>VLOOKUP(C191,'[1]GLOCUENTAS (1)'!$B:$C,2,FALSE)</f>
        <v>HPC D/P CRED EFECTIVO NRV V             1ND</v>
      </c>
    </row>
    <row r="192" spans="1:10" x14ac:dyDescent="0.35">
      <c r="A192" s="47"/>
      <c r="B192" s="48"/>
      <c r="C192" s="11" t="s">
        <v>485</v>
      </c>
      <c r="D192" s="9">
        <v>1455.96</v>
      </c>
      <c r="E192" s="9">
        <v>1455.96</v>
      </c>
      <c r="F192" s="16">
        <v>1455.96</v>
      </c>
      <c r="G192" s="8">
        <f t="shared" si="4"/>
        <v>0</v>
      </c>
      <c r="H192" s="8">
        <f t="shared" si="5"/>
        <v>0</v>
      </c>
      <c r="I192" s="4"/>
      <c r="J192" s="16" t="str">
        <f>VLOOKUP(C192,'[1]GLOCUENTAS (1)'!$B:$C,2,FALSE)</f>
        <v>HPC CAP.VENC CRED EFECT FINAN.PROV.REFIN1ND</v>
      </c>
    </row>
    <row r="193" spans="1:10" x14ac:dyDescent="0.35">
      <c r="A193" s="47"/>
      <c r="B193" s="48"/>
      <c r="C193" s="11" t="s">
        <v>486</v>
      </c>
      <c r="D193" s="9">
        <v>1318.1</v>
      </c>
      <c r="E193" s="9">
        <v>1318.1</v>
      </c>
      <c r="F193" s="16">
        <v>1318.1</v>
      </c>
      <c r="G193" s="8">
        <f t="shared" si="4"/>
        <v>0</v>
      </c>
      <c r="H193" s="8">
        <f t="shared" si="5"/>
        <v>0</v>
      </c>
      <c r="I193" s="4"/>
      <c r="J193" s="16" t="str">
        <f>VLOOKUP(C193,'[1]GLOCUENTAS (1)'!$B:$C,2,FALSE)</f>
        <v>HPC DP CAP.VENC CRED EFECT FINAN.PROV.RE1ND</v>
      </c>
    </row>
    <row r="194" spans="1:10" x14ac:dyDescent="0.35">
      <c r="A194" s="47"/>
      <c r="B194" s="48"/>
      <c r="C194" s="11" t="s">
        <v>487</v>
      </c>
      <c r="D194" s="9">
        <v>449.29</v>
      </c>
      <c r="E194" s="9">
        <v>449.29</v>
      </c>
      <c r="F194" s="16">
        <v>449.29</v>
      </c>
      <c r="G194" s="8">
        <f t="shared" ref="G194:G257" si="6">F194-E194</f>
        <v>0</v>
      </c>
      <c r="H194" s="8">
        <f t="shared" si="5"/>
        <v>0</v>
      </c>
      <c r="I194" s="4"/>
      <c r="J194" s="16" t="str">
        <f>VLOOKUP(C194,'[1]GLOCUENTAS (1)'!$B:$C,2,FALSE)</f>
        <v>HPC CAP.VEN. PARALELO HIP. REGULAR      1ND</v>
      </c>
    </row>
    <row r="195" spans="1:10" x14ac:dyDescent="0.35">
      <c r="A195" s="47"/>
      <c r="B195" s="48"/>
      <c r="C195" s="11" t="s">
        <v>488</v>
      </c>
      <c r="D195" s="9">
        <v>2298.7399999999998</v>
      </c>
      <c r="E195" s="9">
        <v>2298.7399999999998</v>
      </c>
      <c r="F195" s="16">
        <v>2298.7399999999998</v>
      </c>
      <c r="G195" s="8">
        <f t="shared" si="6"/>
        <v>0</v>
      </c>
      <c r="H195" s="8">
        <f t="shared" ref="H195:H258" si="7">F195-D195</f>
        <v>0</v>
      </c>
      <c r="I195" s="4"/>
      <c r="J195" s="16" t="str">
        <f>VLOOKUP(C195,'[1]GLOCUENTAS (1)'!$B:$C,2,FALSE)</f>
        <v>HPC CAP.VEN. PARALELO PREST. VEHICULAR  1ND</v>
      </c>
    </row>
    <row r="196" spans="1:10" x14ac:dyDescent="0.35">
      <c r="A196" s="47"/>
      <c r="B196" s="48"/>
      <c r="C196" s="11" t="s">
        <v>489</v>
      </c>
      <c r="D196" s="9">
        <v>178068.84</v>
      </c>
      <c r="E196" s="9">
        <v>178068.84</v>
      </c>
      <c r="F196" s="16">
        <v>178068.84</v>
      </c>
      <c r="G196" s="8">
        <f t="shared" si="6"/>
        <v>0</v>
      </c>
      <c r="H196" s="8">
        <f t="shared" si="7"/>
        <v>0</v>
      </c>
      <c r="I196" s="4"/>
      <c r="J196" s="16" t="str">
        <f>VLOOKUP(C196,'[1]GLOCUENTAS (1)'!$B:$C,2,FALSE)</f>
        <v>HPC CAPVENC TC FINANPROVREFIN           1ND</v>
      </c>
    </row>
    <row r="197" spans="1:10" x14ac:dyDescent="0.35">
      <c r="A197" s="47"/>
      <c r="B197" s="48"/>
      <c r="C197" s="11" t="s">
        <v>490</v>
      </c>
      <c r="D197" s="9">
        <v>2841.6</v>
      </c>
      <c r="E197" s="9">
        <v>2841.6</v>
      </c>
      <c r="F197" s="16">
        <v>2841.6</v>
      </c>
      <c r="G197" s="8">
        <f t="shared" si="6"/>
        <v>0</v>
      </c>
      <c r="H197" s="8">
        <f t="shared" si="7"/>
        <v>0</v>
      </c>
      <c r="I197" s="4"/>
      <c r="J197" s="16" t="str">
        <f>VLOOKUP(C197,'[1]GLOCUENTAS (1)'!$B:$C,2,FALSE)</f>
        <v>HPC CAP.VENC LIC CONVENIO PROV.REFIN    1ND</v>
      </c>
    </row>
    <row r="198" spans="1:10" x14ac:dyDescent="0.35">
      <c r="A198" s="47"/>
      <c r="B198" s="48"/>
      <c r="C198" s="11" t="s">
        <v>491</v>
      </c>
      <c r="D198" s="9">
        <v>24946.58</v>
      </c>
      <c r="E198" s="9">
        <v>24946.58</v>
      </c>
      <c r="F198" s="16">
        <v>24946.58</v>
      </c>
      <c r="G198" s="8">
        <f t="shared" si="6"/>
        <v>0</v>
      </c>
      <c r="H198" s="8">
        <f t="shared" si="7"/>
        <v>0</v>
      </c>
      <c r="I198" s="4"/>
      <c r="J198" s="16" t="str">
        <f>VLOOKUP(C198,'[1]GLOCUENTAS (1)'!$B:$C,2,FALSE)</f>
        <v>HPC DP CAP.VENC LIC CONVENIO PROV.REFIN 1ND</v>
      </c>
    </row>
    <row r="199" spans="1:10" x14ac:dyDescent="0.35">
      <c r="A199" s="47"/>
      <c r="B199" s="48"/>
      <c r="C199" s="11" t="s">
        <v>492</v>
      </c>
      <c r="D199" s="9">
        <v>433.91</v>
      </c>
      <c r="E199" s="9">
        <v>433.91</v>
      </c>
      <c r="F199" s="16">
        <v>433.91</v>
      </c>
      <c r="G199" s="8">
        <f t="shared" si="6"/>
        <v>0</v>
      </c>
      <c r="H199" s="8">
        <f t="shared" si="7"/>
        <v>0</v>
      </c>
      <c r="I199" s="4"/>
      <c r="J199" s="16" t="str">
        <f>VLOOKUP(C199,'[1]GLOCUENTAS (1)'!$B:$C,2,FALSE)</f>
        <v>HPC CONV PRIVADO NRV VEN NORM           1ND</v>
      </c>
    </row>
    <row r="200" spans="1:10" x14ac:dyDescent="0.35">
      <c r="A200" s="47"/>
      <c r="B200" s="48"/>
      <c r="C200" s="11" t="s">
        <v>493</v>
      </c>
      <c r="D200" s="9">
        <v>36924.9</v>
      </c>
      <c r="E200" s="9">
        <v>36924.9</v>
      </c>
      <c r="F200" s="16">
        <v>36924.9</v>
      </c>
      <c r="G200" s="8">
        <f t="shared" si="6"/>
        <v>0</v>
      </c>
      <c r="H200" s="8">
        <f t="shared" si="7"/>
        <v>0</v>
      </c>
      <c r="I200" s="4"/>
      <c r="J200" s="16" t="str">
        <f>VLOOKUP(C200,'[1]GLOCUENTAS (1)'!$B:$C,2,FALSE)</f>
        <v>HPC CONV PRIVADO NRV VEN DP             1ND</v>
      </c>
    </row>
    <row r="201" spans="1:10" x14ac:dyDescent="0.35">
      <c r="A201" s="47"/>
      <c r="B201" s="48"/>
      <c r="C201" s="11" t="s">
        <v>494</v>
      </c>
      <c r="D201" s="9">
        <v>1146306.78</v>
      </c>
      <c r="E201" s="9">
        <v>1146306.78</v>
      </c>
      <c r="F201" s="16">
        <v>1146306.78</v>
      </c>
      <c r="G201" s="8">
        <f t="shared" si="6"/>
        <v>0</v>
      </c>
      <c r="H201" s="8">
        <f t="shared" si="7"/>
        <v>0</v>
      </c>
      <c r="I201" s="4"/>
      <c r="J201" s="16" t="str">
        <f>VLOOKUP(C201,'[1]GLOCUENTAS (1)'!$B:$C,2,FALSE)</f>
        <v>HPC REF NRV OT B/CONV NO ELEG VENC      1ND</v>
      </c>
    </row>
    <row r="202" spans="1:10" x14ac:dyDescent="0.35">
      <c r="A202" s="47"/>
      <c r="B202" s="48"/>
      <c r="C202" s="11" t="s">
        <v>495</v>
      </c>
      <c r="D202" s="9">
        <v>5198.34</v>
      </c>
      <c r="E202" s="9">
        <v>5198.34</v>
      </c>
      <c r="F202" s="16">
        <v>5198.34</v>
      </c>
      <c r="G202" s="8">
        <f t="shared" si="6"/>
        <v>0</v>
      </c>
      <c r="H202" s="8">
        <f t="shared" si="7"/>
        <v>0</v>
      </c>
      <c r="I202" s="4"/>
      <c r="J202" s="16" t="str">
        <f>VLOOKUP(C202,'[1]GLOCUENTAS (1)'!$B:$C,2,FALSE)</f>
        <v>HPC  REF CAP VENC-90 EFEC C/GARA        1ND</v>
      </c>
    </row>
    <row r="203" spans="1:10" x14ac:dyDescent="0.35">
      <c r="A203" s="47"/>
      <c r="B203" s="48"/>
      <c r="C203" s="11" t="s">
        <v>496</v>
      </c>
      <c r="D203" s="9">
        <v>11027.63</v>
      </c>
      <c r="E203" s="9">
        <v>11027.63</v>
      </c>
      <c r="F203" s="16">
        <v>11027.63</v>
      </c>
      <c r="G203" s="8">
        <f t="shared" si="6"/>
        <v>0</v>
      </c>
      <c r="H203" s="8">
        <f t="shared" si="7"/>
        <v>0</v>
      </c>
      <c r="I203" s="4"/>
      <c r="J203" s="16" t="str">
        <f>VLOOKUP(C203,'[1]GLOCUENTAS (1)'!$B:$C,2,FALSE)</f>
        <v>HPC CRED REFIN NRV AUTOMOVILES VENCIDO  1ND</v>
      </c>
    </row>
    <row r="204" spans="1:10" x14ac:dyDescent="0.35">
      <c r="A204" s="47"/>
      <c r="B204" s="48"/>
      <c r="C204" s="11" t="s">
        <v>497</v>
      </c>
      <c r="D204" s="9">
        <v>4597692.78</v>
      </c>
      <c r="E204" s="9">
        <v>4597692.78</v>
      </c>
      <c r="F204" s="16">
        <v>4597692.78</v>
      </c>
      <c r="G204" s="8">
        <f t="shared" si="6"/>
        <v>0</v>
      </c>
      <c r="H204" s="8">
        <f t="shared" si="7"/>
        <v>0</v>
      </c>
      <c r="I204" s="4"/>
      <c r="J204" s="16" t="str">
        <f>VLOOKUP(C204,'[1]GLOCUENTAS (1)'!$B:$C,2,FALSE)</f>
        <v>HPC REF NRV  CREDITO EFECTIVO   VENC    1ND</v>
      </c>
    </row>
    <row r="205" spans="1:10" x14ac:dyDescent="0.35">
      <c r="A205" s="47"/>
      <c r="B205" s="48"/>
      <c r="C205" s="11" t="s">
        <v>498</v>
      </c>
      <c r="D205" s="9">
        <v>14379675.5</v>
      </c>
      <c r="E205" s="9">
        <v>14379675.5</v>
      </c>
      <c r="F205" s="16">
        <v>14379675.5</v>
      </c>
      <c r="G205" s="8">
        <f t="shared" si="6"/>
        <v>0</v>
      </c>
      <c r="H205" s="8">
        <f t="shared" si="7"/>
        <v>0</v>
      </c>
      <c r="I205" s="4"/>
      <c r="J205" s="16" t="str">
        <f>VLOOKUP(C205,'[1]GLOCUENTAS (1)'!$B:$C,2,FALSE)</f>
        <v>HPC REFIN TC IB PN COLOCAC. VENCIDO     1ND</v>
      </c>
    </row>
    <row r="206" spans="1:10" x14ac:dyDescent="0.35">
      <c r="A206" s="47"/>
      <c r="B206" s="48"/>
      <c r="C206" s="33" t="s">
        <v>507</v>
      </c>
      <c r="D206" s="34"/>
      <c r="E206" s="34"/>
      <c r="F206" s="43">
        <v>1186.47</v>
      </c>
      <c r="G206" s="8">
        <f t="shared" si="6"/>
        <v>1186.47</v>
      </c>
      <c r="H206" s="8">
        <f t="shared" si="7"/>
        <v>1186.47</v>
      </c>
      <c r="I206" s="4"/>
      <c r="J206" s="16" t="str">
        <f>VLOOKUP(C206,'[1]GLOCUENTAS (1)'!$B:$C,2,FALSE)</f>
        <v>HPC REF CAP.VENC-90 HIPOT.TRAD. C/HIP. I1ND</v>
      </c>
    </row>
    <row r="207" spans="1:10" x14ac:dyDescent="0.35">
      <c r="A207" s="47"/>
      <c r="B207" s="48"/>
      <c r="C207" s="33" t="s">
        <v>162</v>
      </c>
      <c r="D207" s="34"/>
      <c r="E207" s="34"/>
      <c r="F207" s="43">
        <v>34751170.380000003</v>
      </c>
      <c r="G207" s="8">
        <f t="shared" si="6"/>
        <v>34751170.380000003</v>
      </c>
      <c r="H207" s="8">
        <f t="shared" si="7"/>
        <v>34751170.380000003</v>
      </c>
      <c r="I207" s="4"/>
      <c r="J207" s="16" t="str">
        <f>VLOOKUP(C207,'[1]GLOCUENTAS (1)'!$B:$C,2,FALSE)</f>
        <v>HPC CAP.VENC-90 HIPOT.REC PROP. C/HIP. I1ND</v>
      </c>
    </row>
    <row r="208" spans="1:10" x14ac:dyDescent="0.35">
      <c r="A208" s="47"/>
      <c r="B208" s="48"/>
      <c r="C208" s="33" t="s">
        <v>163</v>
      </c>
      <c r="D208" s="34"/>
      <c r="E208" s="34"/>
      <c r="F208" s="43">
        <v>37760573.270000003</v>
      </c>
      <c r="G208" s="8">
        <f t="shared" si="6"/>
        <v>37760573.270000003</v>
      </c>
      <c r="H208" s="8">
        <f t="shared" si="7"/>
        <v>37760573.270000003</v>
      </c>
      <c r="I208" s="4"/>
      <c r="J208" s="16" t="str">
        <f>VLOOKUP(C208,'[1]GLOCUENTAS (1)'!$B:$C,2,FALSE)</f>
        <v>HPC D/P CAP VENC-90 HIPOT.REC PROP C/HIP1ND</v>
      </c>
    </row>
    <row r="209" spans="1:10" x14ac:dyDescent="0.35">
      <c r="A209" s="47"/>
      <c r="B209" s="48"/>
      <c r="C209" s="33" t="s">
        <v>187</v>
      </c>
      <c r="D209" s="34"/>
      <c r="E209" s="34"/>
      <c r="F209" s="43">
        <v>197177.67</v>
      </c>
      <c r="G209" s="8">
        <f t="shared" si="6"/>
        <v>197177.67</v>
      </c>
      <c r="H209" s="8">
        <f t="shared" si="7"/>
        <v>197177.67</v>
      </c>
      <c r="I209" s="4"/>
      <c r="J209" s="16" t="str">
        <f>VLOOKUP(C209,'[1]GLOCUENTAS (1)'!$B:$C,2,FALSE)</f>
        <v>HPC CAP.VENCIDO HIPOT.TASA MIXTA REC    1ND</v>
      </c>
    </row>
    <row r="210" spans="1:10" x14ac:dyDescent="0.35">
      <c r="A210" s="47"/>
      <c r="B210" s="48"/>
      <c r="C210" s="11" t="s">
        <v>846</v>
      </c>
      <c r="D210" s="9"/>
      <c r="E210" s="9"/>
      <c r="F210" s="16">
        <v>0</v>
      </c>
      <c r="G210" s="8">
        <f t="shared" si="6"/>
        <v>0</v>
      </c>
      <c r="H210" s="8">
        <f t="shared" si="7"/>
        <v>0</v>
      </c>
      <c r="I210" s="4"/>
      <c r="J210" s="16" t="str">
        <f>VLOOKUP(C210,'[1]GLOCUENTAS (1)'!$B:$C,2,FALSE)</f>
        <v>HPC D/P CAP VENCIDO HIPOT.TASA MIXTA REC1ND</v>
      </c>
    </row>
    <row r="211" spans="1:10" x14ac:dyDescent="0.35">
      <c r="A211" s="47"/>
      <c r="B211" s="48"/>
      <c r="C211" s="33" t="s">
        <v>190</v>
      </c>
      <c r="D211" s="34"/>
      <c r="E211" s="34"/>
      <c r="F211" s="43">
        <v>4649245.92</v>
      </c>
      <c r="G211" s="8">
        <f t="shared" si="6"/>
        <v>4649245.92</v>
      </c>
      <c r="H211" s="8">
        <f t="shared" si="7"/>
        <v>4649245.92</v>
      </c>
      <c r="I211" s="4"/>
      <c r="J211" s="16" t="str">
        <f>VLOOKUP(C211,'[1]GLOCUENTAS (1)'!$B:$C,2,FALSE)</f>
        <v>HPC CAP.VENC. 2DA HIPOT.REC PROP C/HIP. 1ND</v>
      </c>
    </row>
    <row r="212" spans="1:10" x14ac:dyDescent="0.35">
      <c r="A212" s="47"/>
      <c r="B212" s="48"/>
      <c r="C212" s="33" t="s">
        <v>169</v>
      </c>
      <c r="D212" s="34"/>
      <c r="E212" s="34"/>
      <c r="F212" s="43">
        <v>2416202.75</v>
      </c>
      <c r="G212" s="8">
        <f t="shared" si="6"/>
        <v>2416202.75</v>
      </c>
      <c r="H212" s="8">
        <f t="shared" si="7"/>
        <v>2416202.75</v>
      </c>
      <c r="I212" s="4"/>
      <c r="J212" s="16" t="str">
        <f>VLOOKUP(C212,'[1]GLOCUENTAS (1)'!$B:$C,2,FALSE)</f>
        <v>HPC D/P CAP VENC-90 2DA HIPOT.REC PROP C1ND</v>
      </c>
    </row>
    <row r="213" spans="1:10" x14ac:dyDescent="0.35">
      <c r="A213" s="47"/>
      <c r="B213" s="48"/>
      <c r="C213" s="33" t="s">
        <v>508</v>
      </c>
      <c r="D213" s="34"/>
      <c r="E213" s="34"/>
      <c r="F213" s="43">
        <v>123971.06</v>
      </c>
      <c r="G213" s="8">
        <f t="shared" si="6"/>
        <v>123971.06</v>
      </c>
      <c r="H213" s="8">
        <f t="shared" si="7"/>
        <v>123971.06</v>
      </c>
      <c r="I213" s="4"/>
      <c r="J213" s="16" t="str">
        <f>VLOOKUP(C213,'[1]GLOCUENTAS (1)'!$B:$C,2,FALSE)</f>
        <v>HPC DP HIPOTEC.FINAN.PROV.REFINANC.VENC+1ND</v>
      </c>
    </row>
    <row r="214" spans="1:10" x14ac:dyDescent="0.35">
      <c r="A214" s="47"/>
      <c r="B214" s="48"/>
      <c r="C214" s="33" t="s">
        <v>185</v>
      </c>
      <c r="D214" s="34"/>
      <c r="E214" s="34"/>
      <c r="F214" s="43">
        <v>31152.57</v>
      </c>
      <c r="G214" s="8">
        <f t="shared" si="6"/>
        <v>31152.57</v>
      </c>
      <c r="H214" s="8">
        <f t="shared" si="7"/>
        <v>31152.57</v>
      </c>
      <c r="I214" s="4"/>
      <c r="J214" s="16" t="str">
        <f>VLOOKUP(C214,'[1]GLOCUENTAS (1)'!$B:$C,2,FALSE)</f>
        <v>HPC CAP.VENC-90 HIPOT.REC PROP S/HIP. IN1ND</v>
      </c>
    </row>
    <row r="215" spans="1:10" x14ac:dyDescent="0.35">
      <c r="A215" s="47"/>
      <c r="B215" s="48"/>
      <c r="C215" s="33" t="s">
        <v>509</v>
      </c>
      <c r="D215" s="34"/>
      <c r="E215" s="34"/>
      <c r="F215" s="43">
        <v>1463508.25</v>
      </c>
      <c r="G215" s="8">
        <f t="shared" si="6"/>
        <v>1463508.25</v>
      </c>
      <c r="H215" s="8">
        <f t="shared" si="7"/>
        <v>1463508.25</v>
      </c>
      <c r="I215" s="4"/>
      <c r="J215" s="16" t="str">
        <f>VLOOKUP(C215,'[1]GLOCUENTAS (1)'!$B:$C,2,FALSE)</f>
        <v>HPC D/P CAP VENC-90 HIPOT.REC PROP S/HIP1ND</v>
      </c>
    </row>
    <row r="216" spans="1:10" x14ac:dyDescent="0.35">
      <c r="A216" s="47"/>
      <c r="B216" s="48"/>
      <c r="C216" s="33" t="s">
        <v>510</v>
      </c>
      <c r="D216" s="34"/>
      <c r="E216" s="34"/>
      <c r="F216" s="43">
        <v>121530.97</v>
      </c>
      <c r="G216" s="8">
        <f t="shared" si="6"/>
        <v>121530.97</v>
      </c>
      <c r="H216" s="8">
        <f t="shared" si="7"/>
        <v>121530.97</v>
      </c>
      <c r="I216" s="4"/>
      <c r="J216" s="16" t="str">
        <f>VLOOKUP(C216,'[1]GLOCUENTAS (1)'!$B:$C,2,FALSE)</f>
        <v>HPC CAP.VENC. 2DA HIPOT.REC PROP (S/HIP.1ND</v>
      </c>
    </row>
    <row r="217" spans="1:10" x14ac:dyDescent="0.35">
      <c r="A217" s="47"/>
      <c r="B217" s="48"/>
      <c r="C217" s="33" t="s">
        <v>511</v>
      </c>
      <c r="D217" s="34"/>
      <c r="E217" s="34"/>
      <c r="F217" s="43">
        <v>100935.27</v>
      </c>
      <c r="G217" s="8">
        <f t="shared" si="6"/>
        <v>100935.27</v>
      </c>
      <c r="H217" s="8">
        <f t="shared" si="7"/>
        <v>100935.27</v>
      </c>
      <c r="I217" s="4"/>
      <c r="J217" s="16" t="str">
        <f>VLOOKUP(C217,'[1]GLOCUENTAS (1)'!$B:$C,2,FALSE)</f>
        <v>HPC D/P CAP VENC-90  2DA HIPOT.REC PROP 1ND</v>
      </c>
    </row>
    <row r="218" spans="1:10" x14ac:dyDescent="0.35">
      <c r="A218" s="47"/>
      <c r="B218" s="48"/>
      <c r="C218" s="33" t="s">
        <v>180</v>
      </c>
      <c r="D218" s="34"/>
      <c r="E218" s="34"/>
      <c r="F218" s="43">
        <v>904304.65</v>
      </c>
      <c r="G218" s="8">
        <f t="shared" si="6"/>
        <v>904304.65</v>
      </c>
      <c r="H218" s="8">
        <f t="shared" si="7"/>
        <v>904304.65</v>
      </c>
      <c r="I218" s="4"/>
      <c r="J218" s="16" t="str">
        <f>VLOOKUP(C218,'[1]GLOCUENTAS (1)'!$B:$C,2,FALSE)</f>
        <v>HPC REF CAP.VENC-90 HIPOT.TRAD          1ND</v>
      </c>
    </row>
    <row r="219" spans="1:10" x14ac:dyDescent="0.35">
      <c r="A219" s="47"/>
      <c r="B219" s="48"/>
      <c r="C219" s="33" t="s">
        <v>512</v>
      </c>
      <c r="D219" s="34"/>
      <c r="E219" s="34"/>
      <c r="F219" s="43">
        <v>5779.41</v>
      </c>
      <c r="G219" s="8">
        <f t="shared" si="6"/>
        <v>5779.41</v>
      </c>
      <c r="H219" s="8">
        <f t="shared" si="7"/>
        <v>5779.41</v>
      </c>
      <c r="I219" s="4"/>
      <c r="J219" s="16" t="str">
        <f>VLOOKUP(C219,'[1]GLOCUENTAS (1)'!$B:$C,2,FALSE)</f>
        <v>HPC CAP.VENC-90 TEC PROPIO COF          1ND</v>
      </c>
    </row>
    <row r="220" spans="1:10" x14ac:dyDescent="0.35">
      <c r="A220" s="47"/>
      <c r="B220" s="48"/>
      <c r="C220" s="33" t="s">
        <v>513</v>
      </c>
      <c r="D220" s="34"/>
      <c r="E220" s="34"/>
      <c r="F220" s="43">
        <v>61473.34</v>
      </c>
      <c r="G220" s="8">
        <f t="shared" si="6"/>
        <v>61473.34</v>
      </c>
      <c r="H220" s="8">
        <f t="shared" si="7"/>
        <v>61473.34</v>
      </c>
      <c r="I220" s="4"/>
      <c r="J220" s="16" t="str">
        <f>VLOOKUP(C220,'[1]GLOCUENTAS (1)'!$B:$C,2,FALSE)</f>
        <v>HPC CAP.VENC+90 TEC PROPIO COF          1ND</v>
      </c>
    </row>
    <row r="221" spans="1:10" x14ac:dyDescent="0.35">
      <c r="A221" s="47"/>
      <c r="B221" s="48"/>
      <c r="C221" s="33" t="s">
        <v>514</v>
      </c>
      <c r="D221" s="34"/>
      <c r="E221" s="34"/>
      <c r="F221" s="43">
        <v>1023.45</v>
      </c>
      <c r="G221" s="8">
        <f t="shared" si="6"/>
        <v>1023.45</v>
      </c>
      <c r="H221" s="8">
        <f t="shared" si="7"/>
        <v>1023.45</v>
      </c>
      <c r="I221" s="4"/>
      <c r="J221" s="16" t="str">
        <f>VLOOKUP(C221,'[1]GLOCUENTAS (1)'!$B:$C,2,FALSE)</f>
        <v>HPC D/P CAP VENC-90 TEC PROP COF        1ND</v>
      </c>
    </row>
    <row r="222" spans="1:10" x14ac:dyDescent="0.35">
      <c r="A222" s="47"/>
      <c r="B222" s="48"/>
      <c r="C222" s="33" t="s">
        <v>515</v>
      </c>
      <c r="D222" s="34"/>
      <c r="E222" s="34"/>
      <c r="F222" s="43">
        <v>71864.759999999995</v>
      </c>
      <c r="G222" s="8">
        <f t="shared" si="6"/>
        <v>71864.759999999995</v>
      </c>
      <c r="H222" s="8">
        <f t="shared" si="7"/>
        <v>71864.759999999995</v>
      </c>
      <c r="I222" s="4"/>
      <c r="J222" s="16" t="str">
        <f>VLOOKUP(C222,'[1]GLOCUENTAS (1)'!$B:$C,2,FALSE)</f>
        <v>HPC D/P CAP VENC+90 TEC PROPIO C        1ND</v>
      </c>
    </row>
    <row r="223" spans="1:10" x14ac:dyDescent="0.35">
      <c r="A223" s="47"/>
      <c r="B223" s="48"/>
      <c r="C223" s="33" t="s">
        <v>516</v>
      </c>
      <c r="D223" s="34"/>
      <c r="E223" s="34"/>
      <c r="F223" s="43">
        <v>29904.6</v>
      </c>
      <c r="G223" s="8">
        <f t="shared" si="6"/>
        <v>29904.6</v>
      </c>
      <c r="H223" s="8">
        <f t="shared" si="7"/>
        <v>29904.6</v>
      </c>
      <c r="I223" s="4"/>
      <c r="J223" s="16" t="str">
        <f>VLOOKUP(C223,'[1]GLOCUENTAS (1)'!$B:$C,2,FALSE)</f>
        <v>HPC CAP.VENC-90 MI HOGAR                1ND</v>
      </c>
    </row>
    <row r="224" spans="1:10" x14ac:dyDescent="0.35">
      <c r="A224" s="47"/>
      <c r="B224" s="48"/>
      <c r="C224" s="33" t="s">
        <v>517</v>
      </c>
      <c r="D224" s="34"/>
      <c r="E224" s="34"/>
      <c r="F224" s="43">
        <v>13068.48</v>
      </c>
      <c r="G224" s="8">
        <f t="shared" si="6"/>
        <v>13068.48</v>
      </c>
      <c r="H224" s="8">
        <f t="shared" si="7"/>
        <v>13068.48</v>
      </c>
      <c r="I224" s="4"/>
      <c r="J224" s="16" t="str">
        <f>VLOOKUP(C224,'[1]GLOCUENTAS (1)'!$B:$C,2,FALSE)</f>
        <v>HPC D/P CAP VENC-90 MI HOGAR            1ND</v>
      </c>
    </row>
    <row r="225" spans="1:10" x14ac:dyDescent="0.35">
      <c r="A225" s="47"/>
      <c r="B225" s="48"/>
      <c r="C225" s="33" t="s">
        <v>518</v>
      </c>
      <c r="D225" s="34"/>
      <c r="E225" s="34"/>
      <c r="F225" s="43">
        <v>8712851.5700000003</v>
      </c>
      <c r="G225" s="8">
        <f t="shared" si="6"/>
        <v>8712851.5700000003</v>
      </c>
      <c r="H225" s="8">
        <f t="shared" si="7"/>
        <v>8712851.5700000003</v>
      </c>
      <c r="I225" s="4"/>
      <c r="J225" s="16" t="str">
        <f>VLOOKUP(C225,'[1]GLOCUENTAS (1)'!$B:$C,2,FALSE)</f>
        <v>HPC CAP.VENC-90 NUEVO MVV COFIDE        1ND</v>
      </c>
    </row>
    <row r="226" spans="1:10" x14ac:dyDescent="0.35">
      <c r="A226" s="47"/>
      <c r="B226" s="48"/>
      <c r="C226" s="33" t="s">
        <v>519</v>
      </c>
      <c r="D226" s="34"/>
      <c r="E226" s="34"/>
      <c r="F226" s="43">
        <v>15171276.27</v>
      </c>
      <c r="G226" s="8">
        <f t="shared" si="6"/>
        <v>15171276.27</v>
      </c>
      <c r="H226" s="8">
        <f t="shared" si="7"/>
        <v>15171276.27</v>
      </c>
      <c r="I226" s="4"/>
      <c r="J226" s="16" t="str">
        <f>VLOOKUP(C226,'[1]GLOCUENTAS (1)'!$B:$C,2,FALSE)</f>
        <v>HPC D/P CAP VENC-90 NUEVO MVV COFIDE    1ND</v>
      </c>
    </row>
    <row r="227" spans="1:10" x14ac:dyDescent="0.35">
      <c r="A227" s="47"/>
      <c r="B227" s="48"/>
      <c r="C227" s="33" t="s">
        <v>164</v>
      </c>
      <c r="D227" s="34"/>
      <c r="E227" s="34"/>
      <c r="F227" s="43">
        <v>58309.01</v>
      </c>
      <c r="G227" s="8">
        <f t="shared" si="6"/>
        <v>58309.01</v>
      </c>
      <c r="H227" s="8">
        <f t="shared" si="7"/>
        <v>58309.01</v>
      </c>
      <c r="I227" s="4"/>
      <c r="J227" s="16" t="str">
        <f>VLOOKUP(C227,'[1]GLOCUENTAS (1)'!$B:$C,2,FALSE)</f>
        <v>HPC CAP.VENC-90 MI VIV REC PROP         1ND</v>
      </c>
    </row>
    <row r="228" spans="1:10" x14ac:dyDescent="0.35">
      <c r="A228" s="47"/>
      <c r="B228" s="48"/>
      <c r="C228" s="33" t="s">
        <v>184</v>
      </c>
      <c r="D228" s="34"/>
      <c r="E228" s="34"/>
      <c r="F228" s="43">
        <v>76497.600000000006</v>
      </c>
      <c r="G228" s="8">
        <f t="shared" si="6"/>
        <v>76497.600000000006</v>
      </c>
      <c r="H228" s="8">
        <f t="shared" si="7"/>
        <v>76497.600000000006</v>
      </c>
      <c r="I228" s="4"/>
      <c r="J228" s="16" t="str">
        <f>VLOOKUP(C228,'[1]GLOCUENTAS (1)'!$B:$C,2,FALSE)</f>
        <v>HPC D/P CAP VENC-90 MI VIV REC PR       1ND</v>
      </c>
    </row>
    <row r="229" spans="1:10" x14ac:dyDescent="0.35">
      <c r="A229" s="47"/>
      <c r="B229" s="48"/>
      <c r="C229" s="33" t="s">
        <v>520</v>
      </c>
      <c r="D229" s="34"/>
      <c r="E229" s="34"/>
      <c r="F229" s="43">
        <v>1764518810</v>
      </c>
      <c r="G229" s="8">
        <f t="shared" si="6"/>
        <v>1764518810</v>
      </c>
      <c r="H229" s="8">
        <f t="shared" si="7"/>
        <v>1764518810</v>
      </c>
      <c r="I229" s="4"/>
      <c r="J229" s="16" t="str">
        <f>VLOOKUP(C229,'[1]GLOCUENTAS (1)'!$B:$C,2,FALSE)</f>
        <v>HPC ADEUD CAP NUEVO MVV COFIDE LP       2NC</v>
      </c>
    </row>
    <row r="230" spans="1:10" x14ac:dyDescent="0.35">
      <c r="A230" s="47"/>
      <c r="B230" s="48"/>
      <c r="C230" s="33" t="s">
        <v>179</v>
      </c>
      <c r="D230" s="34"/>
      <c r="E230" s="34"/>
      <c r="F230" s="43">
        <v>7744149.54</v>
      </c>
      <c r="G230" s="8">
        <f t="shared" si="6"/>
        <v>7744149.54</v>
      </c>
      <c r="H230" s="8">
        <f t="shared" si="7"/>
        <v>7744149.54</v>
      </c>
      <c r="I230" s="4"/>
      <c r="J230" s="16" t="str">
        <f>VLOOKUP(C230,'[1]GLOCUENTAS (1)'!$B:$C,2,FALSE)</f>
        <v>HPC ADEUD CAP TECHO PROP COF LP         2NC</v>
      </c>
    </row>
    <row r="231" spans="1:10" x14ac:dyDescent="0.35">
      <c r="A231" s="47"/>
      <c r="B231" s="48"/>
      <c r="C231" s="33" t="s">
        <v>521</v>
      </c>
      <c r="D231" s="34"/>
      <c r="E231" s="34"/>
      <c r="F231" s="43">
        <v>1424834.71</v>
      </c>
      <c r="G231" s="8">
        <f t="shared" si="6"/>
        <v>1424834.71</v>
      </c>
      <c r="H231" s="8">
        <f t="shared" si="7"/>
        <v>1424834.71</v>
      </c>
      <c r="I231" s="4"/>
      <c r="J231" s="16" t="str">
        <f>VLOOKUP(C231,'[1]GLOCUENTAS (1)'!$B:$C,2,FALSE)</f>
        <v>HPC ADEUD CAP MI HOG COFIDE LP          2NC</v>
      </c>
    </row>
    <row r="232" spans="1:10" x14ac:dyDescent="0.35">
      <c r="A232" s="47"/>
      <c r="B232" s="48"/>
      <c r="C232" s="33" t="s">
        <v>186</v>
      </c>
      <c r="D232" s="34"/>
      <c r="E232" s="34"/>
      <c r="F232" s="43">
        <v>6389719.7599999998</v>
      </c>
      <c r="G232" s="8">
        <f t="shared" si="6"/>
        <v>6389719.7599999998</v>
      </c>
      <c r="H232" s="8">
        <f t="shared" si="7"/>
        <v>6389719.7599999998</v>
      </c>
      <c r="I232" s="4"/>
      <c r="J232" s="16" t="str">
        <f>VLOOKUP(C232,'[1]GLOCUENTAS (1)'!$B:$C,2,FALSE)</f>
        <v>GAC HIPOTECAS MI VIVIENDAÂ Â Â Â Â Â Â Â7NC</v>
      </c>
    </row>
    <row r="233" spans="1:10" x14ac:dyDescent="0.35">
      <c r="A233" s="47"/>
      <c r="B233" s="48"/>
      <c r="C233" s="33" t="s">
        <v>177</v>
      </c>
      <c r="D233" s="34"/>
      <c r="E233" s="34"/>
      <c r="F233" s="43">
        <v>1818146.81</v>
      </c>
      <c r="G233" s="8">
        <f t="shared" si="6"/>
        <v>1818146.81</v>
      </c>
      <c r="H233" s="8">
        <f t="shared" si="7"/>
        <v>1818146.81</v>
      </c>
      <c r="I233" s="4"/>
      <c r="J233" s="16" t="str">
        <f>VLOOKUP(C233,'[1]GLOCUENTAS (1)'!$B:$C,2,FALSE)</f>
        <v>GAC GTIA CRED HIPOT.TECHO PROPIOÂ Â Â Â 7NC</v>
      </c>
    </row>
    <row r="234" spans="1:10" x14ac:dyDescent="0.35">
      <c r="A234" s="47"/>
      <c r="B234" s="48"/>
      <c r="C234" s="33" t="s">
        <v>522</v>
      </c>
      <c r="D234" s="34"/>
      <c r="E234" s="34"/>
      <c r="F234" s="43">
        <v>1216838.08</v>
      </c>
      <c r="G234" s="8">
        <f t="shared" si="6"/>
        <v>1216838.08</v>
      </c>
      <c r="H234" s="8">
        <f t="shared" si="7"/>
        <v>1216838.08</v>
      </c>
      <c r="I234" s="4"/>
      <c r="J234" s="16" t="str">
        <f>VLOOKUP(C234,'[1]GLOCUENTAS (1)'!$B:$C,2,FALSE)</f>
        <v>GAC GTIA.HIPOTEC.MI HOGAR PREF          7NC</v>
      </c>
    </row>
    <row r="235" spans="1:10" x14ac:dyDescent="0.35">
      <c r="A235" s="47"/>
      <c r="B235" s="48"/>
      <c r="C235" s="33" t="s">
        <v>181</v>
      </c>
      <c r="D235" s="34"/>
      <c r="E235" s="34"/>
      <c r="F235" s="43">
        <v>450141442.29000002</v>
      </c>
      <c r="G235" s="8">
        <f t="shared" si="6"/>
        <v>450141442.29000002</v>
      </c>
      <c r="H235" s="8">
        <f t="shared" si="7"/>
        <v>450141442.29000002</v>
      </c>
      <c r="I235" s="4"/>
      <c r="J235" s="16" t="str">
        <f>VLOOKUP(C235,'[1]GLOCUENTAS (1)'!$B:$C,2,FALSE)</f>
        <v>GTIA RECIB X RIESGO FONDO MIVIVIENDA    7NC</v>
      </c>
    </row>
    <row r="236" spans="1:10" x14ac:dyDescent="0.35">
      <c r="A236" s="47"/>
      <c r="B236" s="48"/>
      <c r="C236" s="33" t="s">
        <v>523</v>
      </c>
      <c r="D236" s="34"/>
      <c r="E236" s="34"/>
      <c r="F236" s="43">
        <v>4318540.99</v>
      </c>
      <c r="G236" s="8">
        <f t="shared" si="6"/>
        <v>4318540.99</v>
      </c>
      <c r="H236" s="8">
        <f t="shared" si="7"/>
        <v>4318540.99</v>
      </c>
      <c r="I236" s="4"/>
      <c r="J236" s="16" t="str">
        <f>VLOOKUP(C236,'[1]GLOCUENTAS (1)'!$B:$C,2,FALSE)</f>
        <v>GAC COBERT. RIEGO HIPOTECAS MI VIVIENDAÂ7NC</v>
      </c>
    </row>
    <row r="237" spans="1:10" x14ac:dyDescent="0.35">
      <c r="A237" s="47"/>
      <c r="B237" s="48"/>
      <c r="C237" s="11" t="s">
        <v>107</v>
      </c>
      <c r="D237" s="9">
        <v>0</v>
      </c>
      <c r="E237" s="9">
        <v>0</v>
      </c>
      <c r="F237" s="16"/>
      <c r="G237" s="8">
        <f t="shared" si="6"/>
        <v>0</v>
      </c>
      <c r="H237" s="8">
        <f t="shared" si="7"/>
        <v>0</v>
      </c>
      <c r="I237" s="4"/>
      <c r="J237" s="16" t="e">
        <f>VLOOKUP(C237,'[1]GLOCUENTAS (1)'!$B:$C,2,FALSE)</f>
        <v>#N/A</v>
      </c>
    </row>
    <row r="238" spans="1:10" x14ac:dyDescent="0.35">
      <c r="A238" s="47"/>
      <c r="B238" s="48"/>
      <c r="C238" s="11" t="s">
        <v>97</v>
      </c>
      <c r="D238" s="9">
        <v>18024.29</v>
      </c>
      <c r="E238" s="9">
        <v>18024.29</v>
      </c>
      <c r="F238" s="16"/>
      <c r="G238" s="8">
        <f t="shared" si="6"/>
        <v>-18024.29</v>
      </c>
      <c r="H238" s="8">
        <f t="shared" si="7"/>
        <v>-18024.29</v>
      </c>
      <c r="I238" s="4"/>
      <c r="J238" s="16" t="e">
        <f>VLOOKUP(C238,'[1]GLOCUENTAS (1)'!$B:$C,2,FALSE)</f>
        <v>#N/A</v>
      </c>
    </row>
    <row r="239" spans="1:10" x14ac:dyDescent="0.35">
      <c r="A239" s="47" t="s">
        <v>9</v>
      </c>
      <c r="B239" s="46" t="s">
        <v>28</v>
      </c>
      <c r="C239" s="11" t="s">
        <v>845</v>
      </c>
      <c r="D239" s="9"/>
      <c r="E239" s="9"/>
      <c r="F239" s="16"/>
      <c r="G239" s="8">
        <f t="shared" si="6"/>
        <v>0</v>
      </c>
      <c r="H239" s="8">
        <f t="shared" si="7"/>
        <v>0</v>
      </c>
      <c r="I239" s="4"/>
      <c r="J239" s="16" t="e">
        <f>VLOOKUP(C239,'[1]GLOCUENTAS (1)'!$B:$C,2,FALSE)</f>
        <v>#N/A</v>
      </c>
    </row>
    <row r="240" spans="1:10" x14ac:dyDescent="0.35">
      <c r="A240" s="47"/>
      <c r="B240" s="46"/>
      <c r="C240" s="11" t="s">
        <v>151</v>
      </c>
      <c r="D240" s="9"/>
      <c r="E240" s="9"/>
      <c r="F240" s="16"/>
      <c r="G240" s="8">
        <f t="shared" si="6"/>
        <v>0</v>
      </c>
      <c r="H240" s="8">
        <f t="shared" si="7"/>
        <v>0</v>
      </c>
      <c r="I240" s="4"/>
      <c r="J240" s="16" t="str">
        <f>VLOOKUP(C240,'[1]GLOCUENTAS (1)'!$B:$C,2,FALSE)</f>
        <v>HPC CRED VEHICULAR NRV VIGE             1ND</v>
      </c>
    </row>
    <row r="241" spans="1:10" x14ac:dyDescent="0.35">
      <c r="A241" s="47"/>
      <c r="B241" s="46"/>
      <c r="C241" s="11" t="s">
        <v>468</v>
      </c>
      <c r="D241" s="9"/>
      <c r="E241" s="9"/>
      <c r="F241" s="16"/>
      <c r="G241" s="8">
        <f t="shared" si="6"/>
        <v>0</v>
      </c>
      <c r="H241" s="8">
        <f t="shared" si="7"/>
        <v>0</v>
      </c>
      <c r="I241" s="4"/>
      <c r="J241" s="16" t="str">
        <f>VLOOKUP(C241,'[1]GLOCUENTAS (1)'!$B:$C,2,FALSE)</f>
        <v>HPC D/P CRED VEHICULAR NRV              1ND</v>
      </c>
    </row>
    <row r="242" spans="1:10" x14ac:dyDescent="0.35">
      <c r="A242" s="47"/>
      <c r="B242" s="46"/>
      <c r="C242" s="11" t="s">
        <v>469</v>
      </c>
      <c r="D242" s="9"/>
      <c r="E242" s="9"/>
      <c r="F242" s="16"/>
      <c r="G242" s="8">
        <f t="shared" si="6"/>
        <v>0</v>
      </c>
      <c r="H242" s="8">
        <f t="shared" si="7"/>
        <v>0</v>
      </c>
      <c r="I242" s="4"/>
      <c r="J242" s="16" t="str">
        <f>VLOOKUP(C242,'[1]GLOCUENTAS (1)'!$B:$C,2,FALSE)</f>
        <v>HPC D/P CAP VIG EFEC C/GARANT. HIP      1ND</v>
      </c>
    </row>
    <row r="243" spans="1:10" x14ac:dyDescent="0.35">
      <c r="A243" s="47"/>
      <c r="B243" s="46"/>
      <c r="C243" s="11" t="s">
        <v>153</v>
      </c>
      <c r="D243" s="9"/>
      <c r="E243" s="9"/>
      <c r="F243" s="16"/>
      <c r="G243" s="8">
        <f t="shared" si="6"/>
        <v>0</v>
      </c>
      <c r="H243" s="8">
        <f t="shared" si="7"/>
        <v>0</v>
      </c>
      <c r="I243" s="4"/>
      <c r="J243" s="16" t="str">
        <f>VLOOKUP(C243,'[1]GLOCUENTAS (1)'!$B:$C,2,FALSE)</f>
        <v>HPC CAP.VIG. EFEC C/GARANT. HIP         1ND</v>
      </c>
    </row>
    <row r="244" spans="1:10" x14ac:dyDescent="0.35">
      <c r="A244" s="47"/>
      <c r="B244" s="46"/>
      <c r="C244" s="11" t="s">
        <v>157</v>
      </c>
      <c r="D244" s="9"/>
      <c r="E244" s="9"/>
      <c r="F244" s="16"/>
      <c r="G244" s="8">
        <f t="shared" si="6"/>
        <v>0</v>
      </c>
      <c r="H244" s="8">
        <f t="shared" si="7"/>
        <v>0</v>
      </c>
      <c r="I244" s="4"/>
      <c r="J244" s="16" t="str">
        <f>VLOOKUP(C244,'[1]GLOCUENTAS (1)'!$B:$C,2,FALSE)</f>
        <v>HPC CRED EFECTIVO NRV VIGEN             1ND</v>
      </c>
    </row>
    <row r="245" spans="1:10" x14ac:dyDescent="0.35">
      <c r="A245" s="47"/>
      <c r="B245" s="46"/>
      <c r="C245" s="11" t="s">
        <v>160</v>
      </c>
      <c r="D245" s="9"/>
      <c r="E245" s="9"/>
      <c r="F245" s="16"/>
      <c r="G245" s="8">
        <f t="shared" si="6"/>
        <v>0</v>
      </c>
      <c r="H245" s="8">
        <f t="shared" si="7"/>
        <v>0</v>
      </c>
      <c r="I245" s="4"/>
      <c r="J245" s="16" t="str">
        <f>VLOOKUP(C245,'[1]GLOCUENTAS (1)'!$B:$C,2,FALSE)</f>
        <v>HPC D/P CRED EFECTIVO NRV V             1ND</v>
      </c>
    </row>
    <row r="246" spans="1:10" x14ac:dyDescent="0.35">
      <c r="A246" s="47"/>
      <c r="B246" s="46"/>
      <c r="C246" s="11" t="s">
        <v>470</v>
      </c>
      <c r="D246" s="9"/>
      <c r="E246" s="9"/>
      <c r="F246" s="16"/>
      <c r="G246" s="8">
        <f t="shared" si="6"/>
        <v>0</v>
      </c>
      <c r="H246" s="8">
        <f t="shared" si="7"/>
        <v>0</v>
      </c>
      <c r="I246" s="4"/>
      <c r="J246" s="16" t="str">
        <f>VLOOKUP(C246,'[1]GLOCUENTAS (1)'!$B:$C,2,FALSE)</f>
        <v>HPC CAP.VIG. CRED EFECT FINAN .PROV.REFI1ND</v>
      </c>
    </row>
    <row r="247" spans="1:10" x14ac:dyDescent="0.35">
      <c r="A247" s="47"/>
      <c r="B247" s="46"/>
      <c r="C247" s="11" t="s">
        <v>471</v>
      </c>
      <c r="D247" s="9"/>
      <c r="E247" s="9"/>
      <c r="F247" s="16"/>
      <c r="G247" s="8">
        <f t="shared" si="6"/>
        <v>0</v>
      </c>
      <c r="H247" s="8">
        <f t="shared" si="7"/>
        <v>0</v>
      </c>
      <c r="I247" s="4"/>
      <c r="J247" s="16" t="str">
        <f>VLOOKUP(C247,'[1]GLOCUENTAS (1)'!$B:$C,2,FALSE)</f>
        <v>HPC DP CAP.VIG. CRED EFECT FINAN .PROV.R1ND</v>
      </c>
    </row>
    <row r="248" spans="1:10" x14ac:dyDescent="0.35">
      <c r="A248" s="47"/>
      <c r="B248" s="46"/>
      <c r="C248" s="11" t="s">
        <v>159</v>
      </c>
      <c r="D248" s="9"/>
      <c r="E248" s="9"/>
      <c r="F248" s="16"/>
      <c r="G248" s="8">
        <f t="shared" si="6"/>
        <v>0</v>
      </c>
      <c r="H248" s="8">
        <f t="shared" si="7"/>
        <v>0</v>
      </c>
      <c r="I248" s="4"/>
      <c r="J248" s="16" t="str">
        <f>VLOOKUP(C248,'[1]GLOCUENTAS (1)'!$B:$C,2,FALSE)</f>
        <v>HPC CAPVIGEFEC C/GARANTHIPFIN           1ND</v>
      </c>
    </row>
    <row r="249" spans="1:10" x14ac:dyDescent="0.35">
      <c r="A249" s="47"/>
      <c r="B249" s="46"/>
      <c r="C249" s="11" t="s">
        <v>152</v>
      </c>
      <c r="D249" s="9"/>
      <c r="E249" s="9"/>
      <c r="F249" s="16"/>
      <c r="G249" s="8">
        <f t="shared" si="6"/>
        <v>0</v>
      </c>
      <c r="H249" s="8">
        <f t="shared" si="7"/>
        <v>0</v>
      </c>
      <c r="I249" s="4"/>
      <c r="J249" s="16" t="str">
        <f>VLOOKUP(C249,'[1]GLOCUENTAS (1)'!$B:$C,2,FALSE)</f>
        <v>HPC CONV PRIVADO NRV VIG NORM GRUPO IBK 1 D</v>
      </c>
    </row>
    <row r="250" spans="1:10" x14ac:dyDescent="0.35">
      <c r="A250" s="47"/>
      <c r="B250" s="46"/>
      <c r="C250" s="11" t="s">
        <v>472</v>
      </c>
      <c r="D250" s="9"/>
      <c r="E250" s="9"/>
      <c r="F250" s="16"/>
      <c r="G250" s="8">
        <f t="shared" si="6"/>
        <v>0</v>
      </c>
      <c r="H250" s="8">
        <f t="shared" si="7"/>
        <v>0</v>
      </c>
      <c r="I250" s="4"/>
      <c r="J250" s="16" t="str">
        <f>VLOOKUP(C250,'[1]GLOCUENTAS (1)'!$B:$C,2,FALSE)</f>
        <v>HPC CAP.VIG.LIC CONVENIO PROV.REFIN     1ND</v>
      </c>
    </row>
    <row r="251" spans="1:10" x14ac:dyDescent="0.35">
      <c r="A251" s="47"/>
      <c r="B251" s="46"/>
      <c r="C251" s="11" t="s">
        <v>473</v>
      </c>
      <c r="D251" s="9"/>
      <c r="E251" s="9"/>
      <c r="F251" s="16"/>
      <c r="G251" s="8">
        <f t="shared" si="6"/>
        <v>0</v>
      </c>
      <c r="H251" s="8">
        <f t="shared" si="7"/>
        <v>0</v>
      </c>
      <c r="I251" s="4"/>
      <c r="J251" s="16" t="str">
        <f>VLOOKUP(C251,'[1]GLOCUENTAS (1)'!$B:$C,2,FALSE)</f>
        <v>HPC DP CAP.VIG.LIC CONVENIO PROV.REFIN  1ND</v>
      </c>
    </row>
    <row r="252" spans="1:10" x14ac:dyDescent="0.35">
      <c r="A252" s="47"/>
      <c r="B252" s="46"/>
      <c r="C252" s="11" t="s">
        <v>154</v>
      </c>
      <c r="D252" s="9"/>
      <c r="E252" s="9"/>
      <c r="F252" s="16"/>
      <c r="G252" s="8">
        <f t="shared" si="6"/>
        <v>0</v>
      </c>
      <c r="H252" s="8">
        <f t="shared" si="7"/>
        <v>0</v>
      </c>
      <c r="I252" s="4"/>
      <c r="J252" s="16" t="str">
        <f>VLOOKUP(C252,'[1]GLOCUENTAS (1)'!$B:$C,2,FALSE)</f>
        <v>HPC CONV PRIVADO NRV VIG NORM           1ND</v>
      </c>
    </row>
    <row r="253" spans="1:10" x14ac:dyDescent="0.35">
      <c r="A253" s="47"/>
      <c r="B253" s="46"/>
      <c r="C253" s="11" t="s">
        <v>474</v>
      </c>
      <c r="D253" s="9"/>
      <c r="E253" s="9"/>
      <c r="F253" s="16"/>
      <c r="G253" s="8">
        <f t="shared" si="6"/>
        <v>0</v>
      </c>
      <c r="H253" s="8">
        <f t="shared" si="7"/>
        <v>0</v>
      </c>
      <c r="I253" s="4"/>
      <c r="J253" s="16" t="str">
        <f>VLOOKUP(C253,'[1]GLOCUENTAS (1)'!$B:$C,2,FALSE)</f>
        <v>HPC CONV PRIVADO NRV VIG DP             1ND</v>
      </c>
    </row>
    <row r="254" spans="1:10" x14ac:dyDescent="0.35">
      <c r="A254" s="47"/>
      <c r="B254" s="46"/>
      <c r="C254" s="11" t="s">
        <v>475</v>
      </c>
      <c r="D254" s="9"/>
      <c r="E254" s="9"/>
      <c r="F254" s="16"/>
      <c r="G254" s="8">
        <f t="shared" si="6"/>
        <v>0</v>
      </c>
      <c r="H254" s="8">
        <f t="shared" si="7"/>
        <v>0</v>
      </c>
      <c r="I254" s="4"/>
      <c r="J254" s="16" t="str">
        <f>VLOOKUP(C254,'[1]GLOCUENTAS (1)'!$B:$C,2,FALSE)</f>
        <v>HPC CAPVIGTC FINAN PROVREFIN            1ND</v>
      </c>
    </row>
    <row r="255" spans="1:10" x14ac:dyDescent="0.35">
      <c r="A255" s="47"/>
      <c r="B255" s="46"/>
      <c r="C255" s="11" t="s">
        <v>189</v>
      </c>
      <c r="D255" s="9">
        <v>5208637267.1899996</v>
      </c>
      <c r="E255" s="9">
        <v>5208637267.1899996</v>
      </c>
      <c r="F255" s="16"/>
      <c r="G255" s="8">
        <f t="shared" si="6"/>
        <v>-5208637267.1899996</v>
      </c>
      <c r="H255" s="8">
        <f t="shared" si="7"/>
        <v>-5208637267.1899996</v>
      </c>
      <c r="I255" s="4"/>
      <c r="J255" s="16" t="str">
        <f>VLOOKUP(C255,'[1]GLOCUENTAS (1)'!$B:$C,2,FALSE)</f>
        <v>HPC CAP.VIG.HIPOT.REC PROP              1ND</v>
      </c>
    </row>
    <row r="256" spans="1:10" x14ac:dyDescent="0.35">
      <c r="A256" s="47"/>
      <c r="B256" s="46"/>
      <c r="C256" s="11" t="s">
        <v>167</v>
      </c>
      <c r="D256" s="9">
        <v>96328322.680000007</v>
      </c>
      <c r="E256" s="9">
        <v>96328322.680000007</v>
      </c>
      <c r="F256" s="16"/>
      <c r="G256" s="8">
        <f t="shared" si="6"/>
        <v>-96328322.680000007</v>
      </c>
      <c r="H256" s="8">
        <f t="shared" si="7"/>
        <v>-96328322.680000007</v>
      </c>
      <c r="I256" s="4"/>
      <c r="J256" s="16" t="str">
        <f>VLOOKUP(C256,'[1]GLOCUENTAS (1)'!$B:$C,2,FALSE)</f>
        <v>HPC D/P CAP VIG HIPOT.REC PROP          1ND</v>
      </c>
    </row>
    <row r="257" spans="1:10" x14ac:dyDescent="0.35">
      <c r="A257" s="47"/>
      <c r="B257" s="46"/>
      <c r="C257" s="11" t="s">
        <v>191</v>
      </c>
      <c r="D257" s="9">
        <v>270345.44</v>
      </c>
      <c r="E257" s="9">
        <v>270345.44</v>
      </c>
      <c r="F257" s="16"/>
      <c r="G257" s="8">
        <f t="shared" si="6"/>
        <v>-270345.44</v>
      </c>
      <c r="H257" s="8">
        <f t="shared" si="7"/>
        <v>-270345.44</v>
      </c>
      <c r="I257" s="4"/>
      <c r="J257" s="16" t="str">
        <f>VLOOKUP(C257,'[1]GLOCUENTAS (1)'!$B:$C,2,FALSE)</f>
        <v>HPC CAP.VIG. HIP. RP. BONOS             1ND</v>
      </c>
    </row>
    <row r="258" spans="1:10" x14ac:dyDescent="0.35">
      <c r="A258" s="47"/>
      <c r="B258" s="46"/>
      <c r="C258" s="11" t="s">
        <v>170</v>
      </c>
      <c r="D258" s="9">
        <v>1238702.71</v>
      </c>
      <c r="E258" s="9">
        <v>1238702.71</v>
      </c>
      <c r="F258" s="16"/>
      <c r="G258" s="8">
        <f t="shared" ref="G258:G321" si="8">F258-E258</f>
        <v>-1238702.71</v>
      </c>
      <c r="H258" s="8">
        <f t="shared" si="7"/>
        <v>-1238702.71</v>
      </c>
      <c r="I258" s="4"/>
      <c r="J258" s="16" t="str">
        <f>VLOOKUP(C258,'[1]GLOCUENTAS (1)'!$B:$C,2,FALSE)</f>
        <v>HPC CAP.VIG.HIPOT.TRAD.FINAN .PROV.RE   1ND</v>
      </c>
    </row>
    <row r="259" spans="1:10" x14ac:dyDescent="0.35">
      <c r="A259" s="47"/>
      <c r="B259" s="46"/>
      <c r="C259" s="11" t="s">
        <v>500</v>
      </c>
      <c r="D259" s="9">
        <v>42455.4</v>
      </c>
      <c r="E259" s="9">
        <v>42455.4</v>
      </c>
      <c r="F259" s="16"/>
      <c r="G259" s="8">
        <f t="shared" si="8"/>
        <v>-42455.4</v>
      </c>
      <c r="H259" s="8">
        <f t="shared" ref="H259:H322" si="9">F259-D259</f>
        <v>-42455.4</v>
      </c>
      <c r="I259" s="4"/>
      <c r="J259" s="16" t="str">
        <f>VLOOKUP(C259,'[1]GLOCUENTAS (1)'!$B:$C,2,FALSE)</f>
        <v>HPC D/P CAP.VIG.HIPOT.TRAD.FINAN.PROV   1ND</v>
      </c>
    </row>
    <row r="260" spans="1:10" x14ac:dyDescent="0.35">
      <c r="A260" s="47"/>
      <c r="B260" s="46"/>
      <c r="C260" s="11" t="s">
        <v>172</v>
      </c>
      <c r="D260" s="9">
        <v>148846.72</v>
      </c>
      <c r="E260" s="9">
        <v>148846.72</v>
      </c>
      <c r="F260" s="16"/>
      <c r="G260" s="8">
        <f t="shared" si="8"/>
        <v>-148846.72</v>
      </c>
      <c r="H260" s="8">
        <f t="shared" si="9"/>
        <v>-148846.72</v>
      </c>
      <c r="I260" s="4"/>
      <c r="J260" s="16" t="str">
        <f>VLOOKUP(C260,'[1]GLOCUENTAS (1)'!$B:$C,2,FALSE)</f>
        <v>HPC D/P CAP VIG HIPOT.TASA MIXTO REC PRO1ND</v>
      </c>
    </row>
    <row r="261" spans="1:10" x14ac:dyDescent="0.35">
      <c r="A261" s="47"/>
      <c r="B261" s="46"/>
      <c r="C261" s="11" t="s">
        <v>194</v>
      </c>
      <c r="D261" s="9">
        <v>5425907.8399999999</v>
      </c>
      <c r="E261" s="9">
        <v>5425907.8399999999</v>
      </c>
      <c r="F261" s="16"/>
      <c r="G261" s="8">
        <f t="shared" si="8"/>
        <v>-5425907.8399999999</v>
      </c>
      <c r="H261" s="8">
        <f t="shared" si="9"/>
        <v>-5425907.8399999999</v>
      </c>
      <c r="I261" s="4"/>
      <c r="J261" s="16" t="str">
        <f>VLOOKUP(C261,'[1]GLOCUENTAS (1)'!$B:$C,2,FALSE)</f>
        <v>HPC CAP.VIG.HIPOT. TASA MIXTA REC PRO   1ND</v>
      </c>
    </row>
    <row r="262" spans="1:10" x14ac:dyDescent="0.35">
      <c r="A262" s="47"/>
      <c r="B262" s="46"/>
      <c r="C262" s="11" t="s">
        <v>173</v>
      </c>
      <c r="D262" s="9">
        <v>1761198921.74</v>
      </c>
      <c r="E262" s="9">
        <v>1761198921.74</v>
      </c>
      <c r="F262" s="16"/>
      <c r="G262" s="8">
        <f t="shared" si="8"/>
        <v>-1761198921.74</v>
      </c>
      <c r="H262" s="8">
        <f t="shared" si="9"/>
        <v>-1761198921.74</v>
      </c>
      <c r="I262" s="4"/>
      <c r="J262" s="16" t="str">
        <f>VLOOKUP(C262,'[1]GLOCUENTAS (1)'!$B:$C,2,FALSE)</f>
        <v>HPC CAP.VIG.2DA HIPOT.REC PROP (C/HIP. I1ND</v>
      </c>
    </row>
    <row r="263" spans="1:10" x14ac:dyDescent="0.35">
      <c r="A263" s="47"/>
      <c r="B263" s="46"/>
      <c r="C263" s="11" t="s">
        <v>171</v>
      </c>
      <c r="D263" s="9">
        <v>11045589.289999999</v>
      </c>
      <c r="E263" s="9">
        <v>11045589.289999999</v>
      </c>
      <c r="F263" s="16"/>
      <c r="G263" s="8">
        <f t="shared" si="8"/>
        <v>-11045589.289999999</v>
      </c>
      <c r="H263" s="8">
        <f t="shared" si="9"/>
        <v>-11045589.289999999</v>
      </c>
      <c r="I263" s="4"/>
      <c r="J263" s="16" t="str">
        <f>VLOOKUP(C263,'[1]GLOCUENTAS (1)'!$B:$C,2,FALSE)</f>
        <v>HPC D/P CAP VIG 2DA HIPOT.REC PROP C/HIP1ND</v>
      </c>
    </row>
    <row r="264" spans="1:10" x14ac:dyDescent="0.35">
      <c r="A264" s="47"/>
      <c r="B264" s="46"/>
      <c r="C264" s="11" t="s">
        <v>183</v>
      </c>
      <c r="D264" s="9">
        <v>1072181852.25</v>
      </c>
      <c r="E264" s="9">
        <v>1072181852.25</v>
      </c>
      <c r="F264" s="16"/>
      <c r="G264" s="8">
        <f t="shared" si="8"/>
        <v>-1072181852.25</v>
      </c>
      <c r="H264" s="8">
        <f t="shared" si="9"/>
        <v>-1072181852.25</v>
      </c>
      <c r="I264" s="4"/>
      <c r="J264" s="16" t="str">
        <f>VLOOKUP(C264,'[1]GLOCUENTAS (1)'!$B:$C,2,FALSE)</f>
        <v>HPC CAP.VIG.HIPOT.REC PROP              1ND</v>
      </c>
    </row>
    <row r="265" spans="1:10" x14ac:dyDescent="0.35">
      <c r="A265" s="47"/>
      <c r="B265" s="46"/>
      <c r="C265" s="11" t="s">
        <v>161</v>
      </c>
      <c r="D265" s="9">
        <v>1363792.15</v>
      </c>
      <c r="E265" s="9">
        <v>1363792.15</v>
      </c>
      <c r="F265" s="16"/>
      <c r="G265" s="8">
        <f t="shared" si="8"/>
        <v>-1363792.15</v>
      </c>
      <c r="H265" s="8">
        <f t="shared" si="9"/>
        <v>-1363792.15</v>
      </c>
      <c r="I265" s="4"/>
      <c r="J265" s="16" t="str">
        <f>VLOOKUP(C265,'[1]GLOCUENTAS (1)'!$B:$C,2,FALSE)</f>
        <v>HPC D/P CAP VIG HIPOT.REC PROP          1ND</v>
      </c>
    </row>
    <row r="266" spans="1:10" x14ac:dyDescent="0.35">
      <c r="A266" s="47"/>
      <c r="B266" s="46"/>
      <c r="C266" s="11" t="s">
        <v>501</v>
      </c>
      <c r="D266" s="9">
        <v>142263.66</v>
      </c>
      <c r="E266" s="9">
        <v>142263.66</v>
      </c>
      <c r="F266" s="16"/>
      <c r="G266" s="8">
        <f t="shared" si="8"/>
        <v>-142263.66</v>
      </c>
      <c r="H266" s="8">
        <f t="shared" si="9"/>
        <v>-142263.66</v>
      </c>
      <c r="I266" s="4"/>
      <c r="J266" s="16" t="str">
        <f>VLOOKUP(C266,'[1]GLOCUENTAS (1)'!$B:$C,2,FALSE)</f>
        <v>HPC CAP.VIG. HIP. RP. BONOS             1ND</v>
      </c>
    </row>
    <row r="267" spans="1:10" x14ac:dyDescent="0.35">
      <c r="A267" s="47"/>
      <c r="B267" s="46"/>
      <c r="C267" s="11" t="s">
        <v>168</v>
      </c>
      <c r="D267" s="9">
        <v>466748012.60000002</v>
      </c>
      <c r="E267" s="9">
        <v>466748012.60000002</v>
      </c>
      <c r="F267" s="16"/>
      <c r="G267" s="8">
        <f t="shared" si="8"/>
        <v>-466748012.60000002</v>
      </c>
      <c r="H267" s="8">
        <f t="shared" si="9"/>
        <v>-466748012.60000002</v>
      </c>
      <c r="I267" s="4"/>
      <c r="J267" s="16" t="str">
        <f>VLOOKUP(C267,'[1]GLOCUENTAS (1)'!$B:$C,2,FALSE)</f>
        <v>HPC CAP.VIG. 2DA HIPOT.REC PROP (S/HIP. 1ND</v>
      </c>
    </row>
    <row r="268" spans="1:10" x14ac:dyDescent="0.35">
      <c r="A268" s="47"/>
      <c r="B268" s="46"/>
      <c r="C268" s="11" t="s">
        <v>174</v>
      </c>
      <c r="D268" s="9">
        <v>8722500.7100000009</v>
      </c>
      <c r="E268" s="9">
        <v>8722500.7100000009</v>
      </c>
      <c r="F268" s="16"/>
      <c r="G268" s="8">
        <f t="shared" si="8"/>
        <v>-8722500.7100000009</v>
      </c>
      <c r="H268" s="8">
        <f t="shared" si="9"/>
        <v>-8722500.7100000009</v>
      </c>
      <c r="I268" s="4"/>
      <c r="J268" s="16" t="str">
        <f>VLOOKUP(C268,'[1]GLOCUENTAS (1)'!$B:$C,2,FALSE)</f>
        <v>HPC CAP.VIG.TEC PROPIO COF              1ND</v>
      </c>
    </row>
    <row r="269" spans="1:10" x14ac:dyDescent="0.35">
      <c r="A269" s="47"/>
      <c r="B269" s="46"/>
      <c r="C269" s="11" t="s">
        <v>502</v>
      </c>
      <c r="D269" s="9">
        <v>826195.11</v>
      </c>
      <c r="E269" s="9">
        <v>826195.11</v>
      </c>
      <c r="F269" s="16"/>
      <c r="G269" s="8">
        <f t="shared" si="8"/>
        <v>-826195.11</v>
      </c>
      <c r="H269" s="8">
        <f t="shared" si="9"/>
        <v>-826195.11</v>
      </c>
      <c r="I269" s="4"/>
      <c r="J269" s="16" t="str">
        <f>VLOOKUP(C269,'[1]GLOCUENTAS (1)'!$B:$C,2,FALSE)</f>
        <v>HPC D/P CAP VIG TEC PROP COF            1ND</v>
      </c>
    </row>
    <row r="270" spans="1:10" x14ac:dyDescent="0.35">
      <c r="A270" s="47"/>
      <c r="B270" s="46"/>
      <c r="C270" s="11" t="s">
        <v>503</v>
      </c>
      <c r="D270" s="9">
        <v>1555775.15</v>
      </c>
      <c r="E270" s="9">
        <v>1555775.15</v>
      </c>
      <c r="F270" s="16"/>
      <c r="G270" s="8">
        <f t="shared" si="8"/>
        <v>-1555775.15</v>
      </c>
      <c r="H270" s="8">
        <f t="shared" si="9"/>
        <v>-1555775.15</v>
      </c>
      <c r="I270" s="4"/>
      <c r="J270" s="16" t="str">
        <f>VLOOKUP(C270,'[1]GLOCUENTAS (1)'!$B:$C,2,FALSE)</f>
        <v>HPC CAP.VIG.MI HOGAR                    1ND</v>
      </c>
    </row>
    <row r="271" spans="1:10" x14ac:dyDescent="0.35">
      <c r="A271" s="47"/>
      <c r="B271" s="46"/>
      <c r="C271" s="11" t="s">
        <v>504</v>
      </c>
      <c r="D271" s="9">
        <v>197425.55</v>
      </c>
      <c r="E271" s="9">
        <v>197425.55</v>
      </c>
      <c r="F271" s="16"/>
      <c r="G271" s="8">
        <f t="shared" si="8"/>
        <v>-197425.55</v>
      </c>
      <c r="H271" s="8">
        <f t="shared" si="9"/>
        <v>-197425.55</v>
      </c>
      <c r="I271" s="4"/>
      <c r="J271" s="16" t="str">
        <f>VLOOKUP(C271,'[1]GLOCUENTAS (1)'!$B:$C,2,FALSE)</f>
        <v>HPC D/P CAP VIG MI HOGAR                1ND</v>
      </c>
    </row>
    <row r="272" spans="1:10" x14ac:dyDescent="0.35">
      <c r="A272" s="47"/>
      <c r="B272" s="46"/>
      <c r="C272" s="11" t="s">
        <v>505</v>
      </c>
      <c r="D272" s="9">
        <v>2060703163.3699999</v>
      </c>
      <c r="E272" s="9">
        <v>2060703163.3699999</v>
      </c>
      <c r="F272" s="16"/>
      <c r="G272" s="8">
        <f t="shared" si="8"/>
        <v>-2060703163.3699999</v>
      </c>
      <c r="H272" s="8">
        <f t="shared" si="9"/>
        <v>-2060703163.3699999</v>
      </c>
      <c r="I272" s="4"/>
      <c r="J272" s="16" t="str">
        <f>VLOOKUP(C272,'[1]GLOCUENTAS (1)'!$B:$C,2,FALSE)</f>
        <v>HPC CAP.VIG.NUEVO MVV COFIDE            1ND</v>
      </c>
    </row>
    <row r="273" spans="1:10" x14ac:dyDescent="0.35">
      <c r="A273" s="47"/>
      <c r="B273" s="46"/>
      <c r="C273" s="11" t="s">
        <v>506</v>
      </c>
      <c r="D273" s="9">
        <v>41650602.030000001</v>
      </c>
      <c r="E273" s="9">
        <v>41650602.030000001</v>
      </c>
      <c r="F273" s="16"/>
      <c r="G273" s="8">
        <f t="shared" si="8"/>
        <v>-41650602.030000001</v>
      </c>
      <c r="H273" s="8">
        <f t="shared" si="9"/>
        <v>-41650602.030000001</v>
      </c>
      <c r="I273" s="4"/>
      <c r="J273" s="16" t="str">
        <f>VLOOKUP(C273,'[1]GLOCUENTAS (1)'!$B:$C,2,FALSE)</f>
        <v>HPC D/P CAP VIG NUEVO MVV COFIDE        1ND</v>
      </c>
    </row>
    <row r="274" spans="1:10" x14ac:dyDescent="0.35">
      <c r="A274" s="47"/>
      <c r="B274" s="46"/>
      <c r="C274" s="11" t="s">
        <v>165</v>
      </c>
      <c r="D274" s="9">
        <v>3450993.44</v>
      </c>
      <c r="E274" s="9">
        <v>3450993.44</v>
      </c>
      <c r="F274" s="16"/>
      <c r="G274" s="8">
        <f t="shared" si="8"/>
        <v>-3450993.44</v>
      </c>
      <c r="H274" s="8">
        <f t="shared" si="9"/>
        <v>-3450993.44</v>
      </c>
      <c r="I274" s="4"/>
      <c r="J274" s="16" t="str">
        <f>VLOOKUP(C274,'[1]GLOCUENTAS (1)'!$B:$C,2,FALSE)</f>
        <v>HPC CAP.VIG.MI VIV REC PROP.            1ND</v>
      </c>
    </row>
    <row r="275" spans="1:10" x14ac:dyDescent="0.35">
      <c r="A275" s="47"/>
      <c r="B275" s="46"/>
      <c r="C275" s="11" t="s">
        <v>192</v>
      </c>
      <c r="D275" s="9">
        <v>239378.68</v>
      </c>
      <c r="E275" s="9">
        <v>239378.68</v>
      </c>
      <c r="F275" s="16"/>
      <c r="G275" s="8">
        <f t="shared" si="8"/>
        <v>-239378.68</v>
      </c>
      <c r="H275" s="8">
        <f t="shared" si="9"/>
        <v>-239378.68</v>
      </c>
      <c r="I275" s="4"/>
      <c r="J275" s="16" t="str">
        <f>VLOOKUP(C275,'[1]GLOCUENTAS (1)'!$B:$C,2,FALSE)</f>
        <v>HPC D/P CAP VIG MI VIV REC PROP         1ND</v>
      </c>
    </row>
    <row r="276" spans="1:10" x14ac:dyDescent="0.35">
      <c r="A276" s="47"/>
      <c r="B276" s="46"/>
      <c r="C276" s="11" t="s">
        <v>476</v>
      </c>
      <c r="D276" s="9"/>
      <c r="E276" s="9"/>
      <c r="F276" s="16"/>
      <c r="G276" s="8">
        <f t="shared" si="8"/>
        <v>0</v>
      </c>
      <c r="H276" s="8">
        <f t="shared" si="9"/>
        <v>0</v>
      </c>
      <c r="I276" s="4"/>
      <c r="J276" s="16" t="str">
        <f>VLOOKUP(C276,'[1]GLOCUENTAS (1)'!$B:$C,2,FALSE)</f>
        <v>HPC CRED REFIN NRV AUTOMOVILES VIGENTE  1ND</v>
      </c>
    </row>
    <row r="277" spans="1:10" x14ac:dyDescent="0.35">
      <c r="A277" s="47"/>
      <c r="B277" s="46"/>
      <c r="C277" s="11" t="s">
        <v>477</v>
      </c>
      <c r="D277" s="9"/>
      <c r="E277" s="9"/>
      <c r="F277" s="16"/>
      <c r="G277" s="8">
        <f t="shared" si="8"/>
        <v>0</v>
      </c>
      <c r="H277" s="8">
        <f t="shared" si="9"/>
        <v>0</v>
      </c>
      <c r="I277" s="4"/>
      <c r="J277" s="16" t="str">
        <f>VLOOKUP(C277,'[1]GLOCUENTAS (1)'!$B:$C,2,FALSE)</f>
        <v>HPC CCNR REFIN COLOCAC. VIGENTE         1ND</v>
      </c>
    </row>
    <row r="278" spans="1:10" x14ac:dyDescent="0.35">
      <c r="A278" s="47"/>
      <c r="B278" s="46"/>
      <c r="C278" s="11" t="s">
        <v>478</v>
      </c>
      <c r="D278" s="9"/>
      <c r="E278" s="9"/>
      <c r="F278" s="16"/>
      <c r="G278" s="8">
        <f t="shared" si="8"/>
        <v>0</v>
      </c>
      <c r="H278" s="8">
        <f t="shared" si="9"/>
        <v>0</v>
      </c>
      <c r="I278" s="4"/>
      <c r="J278" s="16" t="str">
        <f>VLOOKUP(C278,'[1]GLOCUENTAS (1)'!$B:$C,2,FALSE)</f>
        <v>HPC REF CAP VIG EFEC C/GARANT HIPOTECARI1ND</v>
      </c>
    </row>
    <row r="279" spans="1:10" x14ac:dyDescent="0.35">
      <c r="A279" s="47"/>
      <c r="B279" s="46"/>
      <c r="C279" s="11" t="s">
        <v>479</v>
      </c>
      <c r="D279" s="9"/>
      <c r="E279" s="9"/>
      <c r="F279" s="16"/>
      <c r="G279" s="8">
        <f t="shared" si="8"/>
        <v>0</v>
      </c>
      <c r="H279" s="8">
        <f t="shared" si="9"/>
        <v>0</v>
      </c>
      <c r="I279" s="4"/>
      <c r="J279" s="16" t="str">
        <f>VLOOKUP(C279,'[1]GLOCUENTAS (1)'!$B:$C,2,FALSE)</f>
        <v>HPC REF NRV OT B/CONV NO ELEG VIG       1ND</v>
      </c>
    </row>
    <row r="280" spans="1:10" x14ac:dyDescent="0.35">
      <c r="A280" s="47"/>
      <c r="B280" s="46"/>
      <c r="C280" s="11" t="s">
        <v>480</v>
      </c>
      <c r="D280" s="9"/>
      <c r="E280" s="9"/>
      <c r="F280" s="16"/>
      <c r="G280" s="8">
        <f t="shared" si="8"/>
        <v>0</v>
      </c>
      <c r="H280" s="8">
        <f t="shared" si="9"/>
        <v>0</v>
      </c>
      <c r="I280" s="4"/>
      <c r="J280" s="16" t="str">
        <f>VLOOKUP(C280,'[1]GLOCUENTAS (1)'!$B:$C,2,FALSE)</f>
        <v>HPC REFIN TC IB PN COLOCAC. VIGENTE     1ND</v>
      </c>
    </row>
    <row r="281" spans="1:10" x14ac:dyDescent="0.35">
      <c r="A281" s="47"/>
      <c r="B281" s="46"/>
      <c r="C281" s="11" t="s">
        <v>175</v>
      </c>
      <c r="D281" s="9">
        <v>24940964.98</v>
      </c>
      <c r="E281" s="9">
        <v>24940964.98</v>
      </c>
      <c r="F281" s="16"/>
      <c r="G281" s="8">
        <f t="shared" si="8"/>
        <v>-24940964.98</v>
      </c>
      <c r="H281" s="8">
        <f t="shared" si="9"/>
        <v>-24940964.98</v>
      </c>
      <c r="I281" s="4"/>
      <c r="J281" s="16" t="str">
        <f>VLOOKUP(C281,'[1]GLOCUENTAS (1)'!$B:$C,2,FALSE)</f>
        <v>HPC REF CAP.VIG.HIPOT.TRAD. C/HIP. INSCR1ND</v>
      </c>
    </row>
    <row r="282" spans="1:10" x14ac:dyDescent="0.35">
      <c r="A282" s="47"/>
      <c r="B282" s="46"/>
      <c r="C282" s="11" t="s">
        <v>156</v>
      </c>
      <c r="D282" s="9"/>
      <c r="E282" s="9"/>
      <c r="F282" s="16"/>
      <c r="G282" s="8">
        <f t="shared" si="8"/>
        <v>0</v>
      </c>
      <c r="H282" s="8">
        <f t="shared" si="9"/>
        <v>0</v>
      </c>
      <c r="I282" s="4"/>
      <c r="J282" s="16" t="str">
        <f>VLOOKUP(C282,'[1]GLOCUENTAS (1)'!$B:$C,2,FALSE)</f>
        <v>HPC CRED VEHICULAR NRV VENC             1ND</v>
      </c>
    </row>
    <row r="283" spans="1:10" x14ac:dyDescent="0.35">
      <c r="A283" s="47"/>
      <c r="B283" s="46"/>
      <c r="C283" s="11" t="s">
        <v>481</v>
      </c>
      <c r="D283" s="9"/>
      <c r="E283" s="9"/>
      <c r="F283" s="16"/>
      <c r="G283" s="8">
        <f t="shared" si="8"/>
        <v>0</v>
      </c>
      <c r="H283" s="8">
        <f t="shared" si="9"/>
        <v>0</v>
      </c>
      <c r="I283" s="4"/>
      <c r="J283" s="16" t="str">
        <f>VLOOKUP(C283,'[1]GLOCUENTAS (1)'!$B:$C,2,FALSE)</f>
        <v>HPC D/P CRED VEHICULAR NRV              1ND</v>
      </c>
    </row>
    <row r="284" spans="1:10" x14ac:dyDescent="0.35">
      <c r="A284" s="47"/>
      <c r="B284" s="46"/>
      <c r="C284" s="11" t="s">
        <v>482</v>
      </c>
      <c r="D284" s="9"/>
      <c r="E284" s="9"/>
      <c r="F284" s="16"/>
      <c r="G284" s="8">
        <f t="shared" si="8"/>
        <v>0</v>
      </c>
      <c r="H284" s="8">
        <f t="shared" si="9"/>
        <v>0</v>
      </c>
      <c r="I284" s="4"/>
      <c r="J284" s="16" t="str">
        <f>VLOOKUP(C284,'[1]GLOCUENTAS (1)'!$B:$C,2,FALSE)</f>
        <v>HPC D/P CAP VENC-90 EFEC C/GARANT. HI   1ND</v>
      </c>
    </row>
    <row r="285" spans="1:10" x14ac:dyDescent="0.35">
      <c r="A285" s="47"/>
      <c r="B285" s="46"/>
      <c r="C285" s="11" t="s">
        <v>483</v>
      </c>
      <c r="D285" s="9"/>
      <c r="E285" s="9"/>
      <c r="F285" s="16"/>
      <c r="G285" s="8">
        <f t="shared" si="8"/>
        <v>0</v>
      </c>
      <c r="H285" s="8">
        <f t="shared" si="9"/>
        <v>0</v>
      </c>
      <c r="I285" s="4"/>
      <c r="J285" s="16" t="str">
        <f>VLOOKUP(C285,'[1]GLOCUENTAS (1)'!$B:$C,2,FALSE)</f>
        <v>HPC CAP.VENC-90 EFEC C/GARANT. HIP      1ND</v>
      </c>
    </row>
    <row r="286" spans="1:10" ht="29" customHeight="1" x14ac:dyDescent="0.35">
      <c r="A286" s="47"/>
      <c r="B286" s="46"/>
      <c r="C286" s="11" t="s">
        <v>484</v>
      </c>
      <c r="D286" s="9"/>
      <c r="E286" s="9"/>
      <c r="F286" s="16"/>
      <c r="G286" s="8">
        <f t="shared" si="8"/>
        <v>0</v>
      </c>
      <c r="H286" s="8">
        <f t="shared" si="9"/>
        <v>0</v>
      </c>
      <c r="I286" s="4"/>
      <c r="J286" s="16" t="str">
        <f>VLOOKUP(C286,'[1]GLOCUENTAS (1)'!$B:$C,2,FALSE)</f>
        <v>HPC CRED EFECTIVO NRV VENC-             1ND</v>
      </c>
    </row>
    <row r="287" spans="1:10" x14ac:dyDescent="0.35">
      <c r="A287" s="47"/>
      <c r="B287" s="46"/>
      <c r="C287" s="11" t="s">
        <v>155</v>
      </c>
      <c r="D287" s="9"/>
      <c r="E287" s="9"/>
      <c r="F287" s="16"/>
      <c r="G287" s="8">
        <f t="shared" si="8"/>
        <v>0</v>
      </c>
      <c r="H287" s="8">
        <f t="shared" si="9"/>
        <v>0</v>
      </c>
      <c r="I287" s="4"/>
      <c r="J287" s="16" t="str">
        <f>VLOOKUP(C287,'[1]GLOCUENTAS (1)'!$B:$C,2,FALSE)</f>
        <v>HPC D/P CRED EFECTIVO NRV V             1ND</v>
      </c>
    </row>
    <row r="288" spans="1:10" x14ac:dyDescent="0.35">
      <c r="A288" s="47"/>
      <c r="B288" s="46"/>
      <c r="C288" s="11" t="s">
        <v>485</v>
      </c>
      <c r="D288" s="9"/>
      <c r="E288" s="9"/>
      <c r="F288" s="16"/>
      <c r="G288" s="8">
        <f t="shared" si="8"/>
        <v>0</v>
      </c>
      <c r="H288" s="8">
        <f t="shared" si="9"/>
        <v>0</v>
      </c>
      <c r="I288" s="4"/>
      <c r="J288" s="16" t="str">
        <f>VLOOKUP(C288,'[1]GLOCUENTAS (1)'!$B:$C,2,FALSE)</f>
        <v>HPC CAP.VENC CRED EFECT FINAN.PROV.REFIN1ND</v>
      </c>
    </row>
    <row r="289" spans="1:10" x14ac:dyDescent="0.35">
      <c r="A289" s="47"/>
      <c r="B289" s="46"/>
      <c r="C289" s="11" t="s">
        <v>486</v>
      </c>
      <c r="D289" s="9"/>
      <c r="E289" s="9"/>
      <c r="F289" s="16"/>
      <c r="G289" s="8">
        <f t="shared" si="8"/>
        <v>0</v>
      </c>
      <c r="H289" s="8">
        <f t="shared" si="9"/>
        <v>0</v>
      </c>
      <c r="I289" s="4"/>
      <c r="J289" s="16" t="str">
        <f>VLOOKUP(C289,'[1]GLOCUENTAS (1)'!$B:$C,2,FALSE)</f>
        <v>HPC DP CAP.VENC CRED EFECT FINAN.PROV.RE1ND</v>
      </c>
    </row>
    <row r="290" spans="1:10" x14ac:dyDescent="0.35">
      <c r="A290" s="47"/>
      <c r="B290" s="46"/>
      <c r="C290" s="11" t="s">
        <v>487</v>
      </c>
      <c r="D290" s="9"/>
      <c r="E290" s="9"/>
      <c r="F290" s="16"/>
      <c r="G290" s="8">
        <f t="shared" si="8"/>
        <v>0</v>
      </c>
      <c r="H290" s="8">
        <f t="shared" si="9"/>
        <v>0</v>
      </c>
      <c r="I290" s="4"/>
      <c r="J290" s="16" t="str">
        <f>VLOOKUP(C290,'[1]GLOCUENTAS (1)'!$B:$C,2,FALSE)</f>
        <v>HPC CAP.VEN. PARALELO HIP. REGULAR      1ND</v>
      </c>
    </row>
    <row r="291" spans="1:10" x14ac:dyDescent="0.35">
      <c r="A291" s="47"/>
      <c r="B291" s="46"/>
      <c r="C291" s="11" t="s">
        <v>488</v>
      </c>
      <c r="D291" s="9"/>
      <c r="E291" s="9"/>
      <c r="F291" s="16"/>
      <c r="G291" s="8">
        <f t="shared" si="8"/>
        <v>0</v>
      </c>
      <c r="H291" s="8">
        <f t="shared" si="9"/>
        <v>0</v>
      </c>
      <c r="I291" s="4"/>
      <c r="J291" s="16" t="str">
        <f>VLOOKUP(C291,'[1]GLOCUENTAS (1)'!$B:$C,2,FALSE)</f>
        <v>HPC CAP.VEN. PARALELO PREST. VEHICULAR  1ND</v>
      </c>
    </row>
    <row r="292" spans="1:10" x14ac:dyDescent="0.35">
      <c r="A292" s="47"/>
      <c r="B292" s="46"/>
      <c r="C292" s="11" t="s">
        <v>489</v>
      </c>
      <c r="D292" s="9"/>
      <c r="E292" s="9"/>
      <c r="F292" s="16"/>
      <c r="G292" s="8">
        <f t="shared" si="8"/>
        <v>0</v>
      </c>
      <c r="H292" s="8">
        <f t="shared" si="9"/>
        <v>0</v>
      </c>
      <c r="I292" s="4"/>
      <c r="J292" s="16" t="str">
        <f>VLOOKUP(C292,'[1]GLOCUENTAS (1)'!$B:$C,2,FALSE)</f>
        <v>HPC CAPVENC TC FINANPROVREFIN           1ND</v>
      </c>
    </row>
    <row r="293" spans="1:10" x14ac:dyDescent="0.35">
      <c r="A293" s="47"/>
      <c r="B293" s="46"/>
      <c r="C293" s="11" t="s">
        <v>490</v>
      </c>
      <c r="D293" s="9"/>
      <c r="E293" s="9"/>
      <c r="F293" s="16"/>
      <c r="G293" s="8">
        <f t="shared" si="8"/>
        <v>0</v>
      </c>
      <c r="H293" s="8">
        <f t="shared" si="9"/>
        <v>0</v>
      </c>
      <c r="I293" s="4"/>
      <c r="J293" s="16" t="str">
        <f>VLOOKUP(C293,'[1]GLOCUENTAS (1)'!$B:$C,2,FALSE)</f>
        <v>HPC CAP.VENC LIC CONVENIO PROV.REFIN    1ND</v>
      </c>
    </row>
    <row r="294" spans="1:10" x14ac:dyDescent="0.35">
      <c r="A294" s="47"/>
      <c r="B294" s="46"/>
      <c r="C294" s="11" t="s">
        <v>491</v>
      </c>
      <c r="D294" s="9"/>
      <c r="E294" s="9"/>
      <c r="F294" s="16"/>
      <c r="G294" s="8">
        <f t="shared" si="8"/>
        <v>0</v>
      </c>
      <c r="H294" s="8">
        <f t="shared" si="9"/>
        <v>0</v>
      </c>
      <c r="I294" s="4"/>
      <c r="J294" s="16" t="str">
        <f>VLOOKUP(C294,'[1]GLOCUENTAS (1)'!$B:$C,2,FALSE)</f>
        <v>HPC DP CAP.VENC LIC CONVENIO PROV.REFIN 1ND</v>
      </c>
    </row>
    <row r="295" spans="1:10" x14ac:dyDescent="0.35">
      <c r="A295" s="47"/>
      <c r="B295" s="46"/>
      <c r="C295" s="11" t="s">
        <v>492</v>
      </c>
      <c r="D295" s="9"/>
      <c r="E295" s="9"/>
      <c r="F295" s="16"/>
      <c r="G295" s="8">
        <f t="shared" si="8"/>
        <v>0</v>
      </c>
      <c r="H295" s="8">
        <f t="shared" si="9"/>
        <v>0</v>
      </c>
      <c r="I295" s="4"/>
      <c r="J295" s="16" t="str">
        <f>VLOOKUP(C295,'[1]GLOCUENTAS (1)'!$B:$C,2,FALSE)</f>
        <v>HPC CONV PRIVADO NRV VEN NORM           1ND</v>
      </c>
    </row>
    <row r="296" spans="1:10" x14ac:dyDescent="0.35">
      <c r="A296" s="47"/>
      <c r="B296" s="46"/>
      <c r="C296" s="11" t="s">
        <v>493</v>
      </c>
      <c r="D296" s="9"/>
      <c r="E296" s="9"/>
      <c r="F296" s="16"/>
      <c r="G296" s="8">
        <f t="shared" si="8"/>
        <v>0</v>
      </c>
      <c r="H296" s="8">
        <f t="shared" si="9"/>
        <v>0</v>
      </c>
      <c r="I296" s="4"/>
      <c r="J296" s="16" t="str">
        <f>VLOOKUP(C296,'[1]GLOCUENTAS (1)'!$B:$C,2,FALSE)</f>
        <v>HPC CONV PRIVADO NRV VEN DP             1ND</v>
      </c>
    </row>
    <row r="297" spans="1:10" x14ac:dyDescent="0.35">
      <c r="A297" s="47"/>
      <c r="B297" s="46"/>
      <c r="C297" s="11" t="s">
        <v>494</v>
      </c>
      <c r="D297" s="9"/>
      <c r="E297" s="9"/>
      <c r="F297" s="16"/>
      <c r="G297" s="8">
        <f t="shared" si="8"/>
        <v>0</v>
      </c>
      <c r="H297" s="8">
        <f t="shared" si="9"/>
        <v>0</v>
      </c>
      <c r="I297" s="4"/>
      <c r="J297" s="16" t="str">
        <f>VLOOKUP(C297,'[1]GLOCUENTAS (1)'!$B:$C,2,FALSE)</f>
        <v>HPC REF NRV OT B/CONV NO ELEG VENC      1ND</v>
      </c>
    </row>
    <row r="298" spans="1:10" x14ac:dyDescent="0.35">
      <c r="A298" s="47"/>
      <c r="B298" s="46"/>
      <c r="C298" s="11" t="s">
        <v>495</v>
      </c>
      <c r="D298" s="9"/>
      <c r="E298" s="9"/>
      <c r="F298" s="16"/>
      <c r="G298" s="8">
        <f t="shared" si="8"/>
        <v>0</v>
      </c>
      <c r="H298" s="8">
        <f t="shared" si="9"/>
        <v>0</v>
      </c>
      <c r="I298" s="4"/>
      <c r="J298" s="16" t="str">
        <f>VLOOKUP(C298,'[1]GLOCUENTAS (1)'!$B:$C,2,FALSE)</f>
        <v>HPC  REF CAP VENC-90 EFEC C/GARA        1ND</v>
      </c>
    </row>
    <row r="299" spans="1:10" x14ac:dyDescent="0.35">
      <c r="A299" s="47"/>
      <c r="B299" s="46"/>
      <c r="C299" s="11" t="s">
        <v>496</v>
      </c>
      <c r="D299" s="9"/>
      <c r="E299" s="9"/>
      <c r="F299" s="16"/>
      <c r="G299" s="8">
        <f t="shared" si="8"/>
        <v>0</v>
      </c>
      <c r="H299" s="8">
        <f t="shared" si="9"/>
        <v>0</v>
      </c>
      <c r="I299" s="4"/>
      <c r="J299" s="16" t="str">
        <f>VLOOKUP(C299,'[1]GLOCUENTAS (1)'!$B:$C,2,FALSE)</f>
        <v>HPC CRED REFIN NRV AUTOMOVILES VENCIDO  1ND</v>
      </c>
    </row>
    <row r="300" spans="1:10" x14ac:dyDescent="0.35">
      <c r="A300" s="47"/>
      <c r="B300" s="46"/>
      <c r="C300" s="11" t="s">
        <v>497</v>
      </c>
      <c r="D300" s="9"/>
      <c r="E300" s="9"/>
      <c r="F300" s="16"/>
      <c r="G300" s="8">
        <f t="shared" si="8"/>
        <v>0</v>
      </c>
      <c r="H300" s="8">
        <f t="shared" si="9"/>
        <v>0</v>
      </c>
      <c r="I300" s="4"/>
      <c r="J300" s="16" t="str">
        <f>VLOOKUP(C300,'[1]GLOCUENTAS (1)'!$B:$C,2,FALSE)</f>
        <v>HPC REF NRV  CREDITO EFECTIVO   VENC    1ND</v>
      </c>
    </row>
    <row r="301" spans="1:10" x14ac:dyDescent="0.35">
      <c r="A301" s="47"/>
      <c r="B301" s="46"/>
      <c r="C301" s="11" t="s">
        <v>498</v>
      </c>
      <c r="D301" s="9"/>
      <c r="E301" s="9"/>
      <c r="F301" s="16"/>
      <c r="G301" s="8">
        <f t="shared" si="8"/>
        <v>0</v>
      </c>
      <c r="H301" s="8">
        <f t="shared" si="9"/>
        <v>0</v>
      </c>
      <c r="I301" s="4"/>
      <c r="J301" s="16" t="str">
        <f>VLOOKUP(C301,'[1]GLOCUENTAS (1)'!$B:$C,2,FALSE)</f>
        <v>HPC REFIN TC IB PN COLOCAC. VENCIDO     1ND</v>
      </c>
    </row>
    <row r="302" spans="1:10" x14ac:dyDescent="0.35">
      <c r="A302" s="47"/>
      <c r="B302" s="46"/>
      <c r="C302" s="11" t="s">
        <v>507</v>
      </c>
      <c r="D302" s="9">
        <v>1186.47</v>
      </c>
      <c r="E302" s="9">
        <v>1186.47</v>
      </c>
      <c r="F302" s="16"/>
      <c r="G302" s="8">
        <f t="shared" si="8"/>
        <v>-1186.47</v>
      </c>
      <c r="H302" s="8">
        <f t="shared" si="9"/>
        <v>-1186.47</v>
      </c>
      <c r="I302" s="4"/>
      <c r="J302" s="16" t="str">
        <f>VLOOKUP(C302,'[1]GLOCUENTAS (1)'!$B:$C,2,FALSE)</f>
        <v>HPC REF CAP.VENC-90 HIPOT.TRAD. C/HIP. I1ND</v>
      </c>
    </row>
    <row r="303" spans="1:10" x14ac:dyDescent="0.35">
      <c r="A303" s="47"/>
      <c r="B303" s="46"/>
      <c r="C303" s="11" t="s">
        <v>162</v>
      </c>
      <c r="D303" s="9">
        <v>34751170.380000003</v>
      </c>
      <c r="E303" s="9">
        <v>34751170.380000003</v>
      </c>
      <c r="F303" s="16"/>
      <c r="G303" s="8">
        <f t="shared" si="8"/>
        <v>-34751170.380000003</v>
      </c>
      <c r="H303" s="8">
        <f t="shared" si="9"/>
        <v>-34751170.380000003</v>
      </c>
      <c r="I303" s="4"/>
      <c r="J303" s="16" t="str">
        <f>VLOOKUP(C303,'[1]GLOCUENTAS (1)'!$B:$C,2,FALSE)</f>
        <v>HPC CAP.VENC-90 HIPOT.REC PROP. C/HIP. I1ND</v>
      </c>
    </row>
    <row r="304" spans="1:10" x14ac:dyDescent="0.35">
      <c r="A304" s="47"/>
      <c r="B304" s="46"/>
      <c r="C304" s="11" t="s">
        <v>163</v>
      </c>
      <c r="D304" s="9">
        <v>37760573.270000003</v>
      </c>
      <c r="E304" s="9">
        <v>37760573.270000003</v>
      </c>
      <c r="F304" s="16"/>
      <c r="G304" s="8">
        <f t="shared" si="8"/>
        <v>-37760573.270000003</v>
      </c>
      <c r="H304" s="8">
        <f t="shared" si="9"/>
        <v>-37760573.270000003</v>
      </c>
      <c r="I304" s="4"/>
      <c r="J304" s="16" t="str">
        <f>VLOOKUP(C304,'[1]GLOCUENTAS (1)'!$B:$C,2,FALSE)</f>
        <v>HPC D/P CAP VENC-90 HIPOT.REC PROP C/HIP1ND</v>
      </c>
    </row>
    <row r="305" spans="1:10" x14ac:dyDescent="0.35">
      <c r="A305" s="47"/>
      <c r="B305" s="46"/>
      <c r="C305" s="11" t="s">
        <v>187</v>
      </c>
      <c r="D305" s="9">
        <v>197177.67</v>
      </c>
      <c r="E305" s="9">
        <v>197177.67</v>
      </c>
      <c r="F305" s="16"/>
      <c r="G305" s="8">
        <f t="shared" si="8"/>
        <v>-197177.67</v>
      </c>
      <c r="H305" s="8">
        <f t="shared" si="9"/>
        <v>-197177.67</v>
      </c>
      <c r="I305" s="4"/>
      <c r="J305" s="16" t="str">
        <f>VLOOKUP(C305,'[1]GLOCUENTAS (1)'!$B:$C,2,FALSE)</f>
        <v>HPC CAP.VENCIDO HIPOT.TASA MIXTA REC    1ND</v>
      </c>
    </row>
    <row r="306" spans="1:10" x14ac:dyDescent="0.35">
      <c r="A306" s="47"/>
      <c r="B306" s="46"/>
      <c r="C306" s="11" t="s">
        <v>846</v>
      </c>
      <c r="D306" s="9"/>
      <c r="E306" s="9"/>
      <c r="F306" s="16"/>
      <c r="G306" s="8">
        <f t="shared" si="8"/>
        <v>0</v>
      </c>
      <c r="H306" s="8">
        <f t="shared" si="9"/>
        <v>0</v>
      </c>
      <c r="I306" s="4"/>
      <c r="J306" s="16" t="str">
        <f>VLOOKUP(C306,'[1]GLOCUENTAS (1)'!$B:$C,2,FALSE)</f>
        <v>HPC D/P CAP VENCIDO HIPOT.TASA MIXTA REC1ND</v>
      </c>
    </row>
    <row r="307" spans="1:10" x14ac:dyDescent="0.35">
      <c r="A307" s="47"/>
      <c r="B307" s="46"/>
      <c r="C307" s="11" t="s">
        <v>190</v>
      </c>
      <c r="D307" s="9">
        <v>4649245.92</v>
      </c>
      <c r="E307" s="9">
        <v>4649245.92</v>
      </c>
      <c r="F307" s="16"/>
      <c r="G307" s="8">
        <f t="shared" si="8"/>
        <v>-4649245.92</v>
      </c>
      <c r="H307" s="8">
        <f t="shared" si="9"/>
        <v>-4649245.92</v>
      </c>
      <c r="I307" s="4"/>
      <c r="J307" s="16" t="str">
        <f>VLOOKUP(C307,'[1]GLOCUENTAS (1)'!$B:$C,2,FALSE)</f>
        <v>HPC CAP.VENC. 2DA HIPOT.REC PROP C/HIP. 1ND</v>
      </c>
    </row>
    <row r="308" spans="1:10" x14ac:dyDescent="0.35">
      <c r="A308" s="47"/>
      <c r="B308" s="46"/>
      <c r="C308" s="11" t="s">
        <v>169</v>
      </c>
      <c r="D308" s="9">
        <v>2416202.75</v>
      </c>
      <c r="E308" s="9">
        <v>2416202.75</v>
      </c>
      <c r="F308" s="16"/>
      <c r="G308" s="8">
        <f t="shared" si="8"/>
        <v>-2416202.75</v>
      </c>
      <c r="H308" s="8">
        <f t="shared" si="9"/>
        <v>-2416202.75</v>
      </c>
      <c r="I308" s="4"/>
      <c r="J308" s="16" t="str">
        <f>VLOOKUP(C308,'[1]GLOCUENTAS (1)'!$B:$C,2,FALSE)</f>
        <v>HPC D/P CAP VENC-90 2DA HIPOT.REC PROP C1ND</v>
      </c>
    </row>
    <row r="309" spans="1:10" x14ac:dyDescent="0.35">
      <c r="A309" s="47"/>
      <c r="B309" s="46"/>
      <c r="C309" s="11" t="s">
        <v>508</v>
      </c>
      <c r="D309" s="9">
        <v>123971.06</v>
      </c>
      <c r="E309" s="9">
        <v>123971.06</v>
      </c>
      <c r="F309" s="16"/>
      <c r="G309" s="8">
        <f t="shared" si="8"/>
        <v>-123971.06</v>
      </c>
      <c r="H309" s="8">
        <f t="shared" si="9"/>
        <v>-123971.06</v>
      </c>
      <c r="I309" s="4"/>
      <c r="J309" s="16" t="str">
        <f>VLOOKUP(C309,'[1]GLOCUENTAS (1)'!$B:$C,2,FALSE)</f>
        <v>HPC DP HIPOTEC.FINAN.PROV.REFINANC.VENC+1ND</v>
      </c>
    </row>
    <row r="310" spans="1:10" x14ac:dyDescent="0.35">
      <c r="A310" s="47"/>
      <c r="B310" s="46"/>
      <c r="C310" s="11" t="s">
        <v>185</v>
      </c>
      <c r="D310" s="9">
        <v>31152.57</v>
      </c>
      <c r="E310" s="9">
        <v>31152.57</v>
      </c>
      <c r="F310" s="16"/>
      <c r="G310" s="8">
        <f t="shared" si="8"/>
        <v>-31152.57</v>
      </c>
      <c r="H310" s="8">
        <f t="shared" si="9"/>
        <v>-31152.57</v>
      </c>
      <c r="I310" s="4"/>
      <c r="J310" s="16" t="str">
        <f>VLOOKUP(C310,'[1]GLOCUENTAS (1)'!$B:$C,2,FALSE)</f>
        <v>HPC CAP.VENC-90 HIPOT.REC PROP S/HIP. IN1ND</v>
      </c>
    </row>
    <row r="311" spans="1:10" x14ac:dyDescent="0.35">
      <c r="A311" s="47"/>
      <c r="B311" s="46"/>
      <c r="C311" s="11" t="s">
        <v>509</v>
      </c>
      <c r="D311" s="9">
        <v>1463508.25</v>
      </c>
      <c r="E311" s="9">
        <v>1463508.25</v>
      </c>
      <c r="F311" s="16"/>
      <c r="G311" s="8">
        <f t="shared" si="8"/>
        <v>-1463508.25</v>
      </c>
      <c r="H311" s="8">
        <f t="shared" si="9"/>
        <v>-1463508.25</v>
      </c>
      <c r="I311" s="4"/>
      <c r="J311" s="16" t="str">
        <f>VLOOKUP(C311,'[1]GLOCUENTAS (1)'!$B:$C,2,FALSE)</f>
        <v>HPC D/P CAP VENC-90 HIPOT.REC PROP S/HIP1ND</v>
      </c>
    </row>
    <row r="312" spans="1:10" x14ac:dyDescent="0.35">
      <c r="A312" s="47"/>
      <c r="B312" s="46"/>
      <c r="C312" s="11" t="s">
        <v>510</v>
      </c>
      <c r="D312" s="9">
        <v>121530.97</v>
      </c>
      <c r="E312" s="9">
        <v>121530.97</v>
      </c>
      <c r="F312" s="16"/>
      <c r="G312" s="8">
        <f t="shared" si="8"/>
        <v>-121530.97</v>
      </c>
      <c r="H312" s="8">
        <f t="shared" si="9"/>
        <v>-121530.97</v>
      </c>
      <c r="I312" s="4"/>
      <c r="J312" s="16" t="str">
        <f>VLOOKUP(C312,'[1]GLOCUENTAS (1)'!$B:$C,2,FALSE)</f>
        <v>HPC CAP.VENC. 2DA HIPOT.REC PROP (S/HIP.1ND</v>
      </c>
    </row>
    <row r="313" spans="1:10" x14ac:dyDescent="0.35">
      <c r="A313" s="47"/>
      <c r="B313" s="46"/>
      <c r="C313" s="11" t="s">
        <v>511</v>
      </c>
      <c r="D313" s="9">
        <v>100935.27</v>
      </c>
      <c r="E313" s="9">
        <v>100935.27</v>
      </c>
      <c r="F313" s="16"/>
      <c r="G313" s="8">
        <f t="shared" si="8"/>
        <v>-100935.27</v>
      </c>
      <c r="H313" s="8">
        <f t="shared" si="9"/>
        <v>-100935.27</v>
      </c>
      <c r="I313" s="4"/>
      <c r="J313" s="16" t="str">
        <f>VLOOKUP(C313,'[1]GLOCUENTAS (1)'!$B:$C,2,FALSE)</f>
        <v>HPC D/P CAP VENC-90  2DA HIPOT.REC PROP 1ND</v>
      </c>
    </row>
    <row r="314" spans="1:10" x14ac:dyDescent="0.35">
      <c r="A314" s="47"/>
      <c r="B314" s="46"/>
      <c r="C314" s="11" t="s">
        <v>180</v>
      </c>
      <c r="D314" s="9">
        <v>904304.65</v>
      </c>
      <c r="E314" s="9">
        <v>904304.65</v>
      </c>
      <c r="F314" s="16"/>
      <c r="G314" s="8">
        <f t="shared" si="8"/>
        <v>-904304.65</v>
      </c>
      <c r="H314" s="8">
        <f t="shared" si="9"/>
        <v>-904304.65</v>
      </c>
      <c r="I314" s="4"/>
      <c r="J314" s="16" t="str">
        <f>VLOOKUP(C314,'[1]GLOCUENTAS (1)'!$B:$C,2,FALSE)</f>
        <v>HPC REF CAP.VENC-90 HIPOT.TRAD          1ND</v>
      </c>
    </row>
    <row r="315" spans="1:10" x14ac:dyDescent="0.35">
      <c r="A315" s="47"/>
      <c r="B315" s="46"/>
      <c r="C315" s="11" t="s">
        <v>512</v>
      </c>
      <c r="D315" s="9">
        <v>5779.41</v>
      </c>
      <c r="E315" s="9">
        <v>5779.41</v>
      </c>
      <c r="F315" s="16"/>
      <c r="G315" s="8">
        <f t="shared" si="8"/>
        <v>-5779.41</v>
      </c>
      <c r="H315" s="8">
        <f t="shared" si="9"/>
        <v>-5779.41</v>
      </c>
      <c r="I315" s="4"/>
      <c r="J315" s="16" t="str">
        <f>VLOOKUP(C315,'[1]GLOCUENTAS (1)'!$B:$C,2,FALSE)</f>
        <v>HPC CAP.VENC-90 TEC PROPIO COF          1ND</v>
      </c>
    </row>
    <row r="316" spans="1:10" x14ac:dyDescent="0.35">
      <c r="A316" s="47"/>
      <c r="B316" s="46"/>
      <c r="C316" s="11" t="s">
        <v>513</v>
      </c>
      <c r="D316" s="9">
        <v>61473.34</v>
      </c>
      <c r="E316" s="9">
        <v>61473.34</v>
      </c>
      <c r="F316" s="16"/>
      <c r="G316" s="8">
        <f t="shared" si="8"/>
        <v>-61473.34</v>
      </c>
      <c r="H316" s="8">
        <f t="shared" si="9"/>
        <v>-61473.34</v>
      </c>
      <c r="I316" s="4"/>
      <c r="J316" s="16" t="str">
        <f>VLOOKUP(C316,'[1]GLOCUENTAS (1)'!$B:$C,2,FALSE)</f>
        <v>HPC CAP.VENC+90 TEC PROPIO COF          1ND</v>
      </c>
    </row>
    <row r="317" spans="1:10" x14ac:dyDescent="0.35">
      <c r="A317" s="47"/>
      <c r="B317" s="46"/>
      <c r="C317" s="11" t="s">
        <v>514</v>
      </c>
      <c r="D317" s="9">
        <v>1023.45</v>
      </c>
      <c r="E317" s="9">
        <v>1023.45</v>
      </c>
      <c r="F317" s="16"/>
      <c r="G317" s="8">
        <f t="shared" si="8"/>
        <v>-1023.45</v>
      </c>
      <c r="H317" s="8">
        <f t="shared" si="9"/>
        <v>-1023.45</v>
      </c>
      <c r="I317" s="4"/>
      <c r="J317" s="16" t="str">
        <f>VLOOKUP(C317,'[1]GLOCUENTAS (1)'!$B:$C,2,FALSE)</f>
        <v>HPC D/P CAP VENC-90 TEC PROP COF        1ND</v>
      </c>
    </row>
    <row r="318" spans="1:10" x14ac:dyDescent="0.35">
      <c r="A318" s="47"/>
      <c r="B318" s="46"/>
      <c r="C318" s="11" t="s">
        <v>515</v>
      </c>
      <c r="D318" s="9">
        <v>71864.759999999995</v>
      </c>
      <c r="E318" s="9">
        <v>71864.759999999995</v>
      </c>
      <c r="F318" s="16"/>
      <c r="G318" s="8">
        <f t="shared" si="8"/>
        <v>-71864.759999999995</v>
      </c>
      <c r="H318" s="8">
        <f t="shared" si="9"/>
        <v>-71864.759999999995</v>
      </c>
      <c r="I318" s="4"/>
      <c r="J318" s="16" t="str">
        <f>VLOOKUP(C318,'[1]GLOCUENTAS (1)'!$B:$C,2,FALSE)</f>
        <v>HPC D/P CAP VENC+90 TEC PROPIO C        1ND</v>
      </c>
    </row>
    <row r="319" spans="1:10" x14ac:dyDescent="0.35">
      <c r="A319" s="47"/>
      <c r="B319" s="46"/>
      <c r="C319" s="11" t="s">
        <v>516</v>
      </c>
      <c r="D319" s="9">
        <v>29904.6</v>
      </c>
      <c r="E319" s="9">
        <v>29904.6</v>
      </c>
      <c r="F319" s="16"/>
      <c r="G319" s="8">
        <f t="shared" si="8"/>
        <v>-29904.6</v>
      </c>
      <c r="H319" s="8">
        <f t="shared" si="9"/>
        <v>-29904.6</v>
      </c>
      <c r="I319" s="4"/>
      <c r="J319" s="16" t="str">
        <f>VLOOKUP(C319,'[1]GLOCUENTAS (1)'!$B:$C,2,FALSE)</f>
        <v>HPC CAP.VENC-90 MI HOGAR                1ND</v>
      </c>
    </row>
    <row r="320" spans="1:10" x14ac:dyDescent="0.35">
      <c r="A320" s="47"/>
      <c r="B320" s="46"/>
      <c r="C320" s="11" t="s">
        <v>517</v>
      </c>
      <c r="D320" s="9">
        <v>13068.48</v>
      </c>
      <c r="E320" s="9">
        <v>13068.48</v>
      </c>
      <c r="F320" s="16"/>
      <c r="G320" s="8">
        <f t="shared" si="8"/>
        <v>-13068.48</v>
      </c>
      <c r="H320" s="8">
        <f t="shared" si="9"/>
        <v>-13068.48</v>
      </c>
      <c r="I320" s="4"/>
      <c r="J320" s="16" t="str">
        <f>VLOOKUP(C320,'[1]GLOCUENTAS (1)'!$B:$C,2,FALSE)</f>
        <v>HPC D/P CAP VENC-90 MI HOGAR            1ND</v>
      </c>
    </row>
    <row r="321" spans="1:10" x14ac:dyDescent="0.35">
      <c r="A321" s="47"/>
      <c r="B321" s="46"/>
      <c r="C321" s="11" t="s">
        <v>518</v>
      </c>
      <c r="D321" s="9">
        <v>8712851.5700000003</v>
      </c>
      <c r="E321" s="9">
        <v>8712851.5700000003</v>
      </c>
      <c r="F321" s="16"/>
      <c r="G321" s="8">
        <f t="shared" si="8"/>
        <v>-8712851.5700000003</v>
      </c>
      <c r="H321" s="8">
        <f t="shared" si="9"/>
        <v>-8712851.5700000003</v>
      </c>
      <c r="I321" s="4"/>
      <c r="J321" s="16" t="str">
        <f>VLOOKUP(C321,'[1]GLOCUENTAS (1)'!$B:$C,2,FALSE)</f>
        <v>HPC CAP.VENC-90 NUEVO MVV COFIDE        1ND</v>
      </c>
    </row>
    <row r="322" spans="1:10" x14ac:dyDescent="0.35">
      <c r="A322" s="47"/>
      <c r="B322" s="46"/>
      <c r="C322" s="11" t="s">
        <v>519</v>
      </c>
      <c r="D322" s="9">
        <v>15171276.27</v>
      </c>
      <c r="E322" s="9">
        <v>15171276.27</v>
      </c>
      <c r="F322" s="16"/>
      <c r="G322" s="8">
        <f t="shared" ref="G322:G385" si="10">F322-E322</f>
        <v>-15171276.27</v>
      </c>
      <c r="H322" s="8">
        <f t="shared" si="9"/>
        <v>-15171276.27</v>
      </c>
      <c r="I322" s="4"/>
      <c r="J322" s="16" t="str">
        <f>VLOOKUP(C322,'[1]GLOCUENTAS (1)'!$B:$C,2,FALSE)</f>
        <v>HPC D/P CAP VENC-90 NUEVO MVV COFIDE    1ND</v>
      </c>
    </row>
    <row r="323" spans="1:10" x14ac:dyDescent="0.35">
      <c r="A323" s="47"/>
      <c r="B323" s="46"/>
      <c r="C323" s="11" t="s">
        <v>164</v>
      </c>
      <c r="D323" s="9">
        <v>58309.01</v>
      </c>
      <c r="E323" s="9">
        <v>58309.01</v>
      </c>
      <c r="F323" s="16"/>
      <c r="G323" s="8">
        <f t="shared" si="10"/>
        <v>-58309.01</v>
      </c>
      <c r="H323" s="8">
        <f t="shared" ref="H323:H386" si="11">F323-D323</f>
        <v>-58309.01</v>
      </c>
      <c r="I323" s="4"/>
      <c r="J323" s="16" t="str">
        <f>VLOOKUP(C323,'[1]GLOCUENTAS (1)'!$B:$C,2,FALSE)</f>
        <v>HPC CAP.VENC-90 MI VIV REC PROP         1ND</v>
      </c>
    </row>
    <row r="324" spans="1:10" x14ac:dyDescent="0.35">
      <c r="A324" s="47"/>
      <c r="B324" s="46"/>
      <c r="C324" s="11" t="s">
        <v>184</v>
      </c>
      <c r="D324" s="9">
        <v>76497.600000000006</v>
      </c>
      <c r="E324" s="9">
        <v>76497.600000000006</v>
      </c>
      <c r="F324" s="16"/>
      <c r="G324" s="8">
        <f t="shared" si="10"/>
        <v>-76497.600000000006</v>
      </c>
      <c r="H324" s="8">
        <f t="shared" si="11"/>
        <v>-76497.600000000006</v>
      </c>
      <c r="I324" s="4"/>
      <c r="J324" s="16" t="str">
        <f>VLOOKUP(C324,'[1]GLOCUENTAS (1)'!$B:$C,2,FALSE)</f>
        <v>HPC D/P CAP VENC-90 MI VIV REC PR       1ND</v>
      </c>
    </row>
    <row r="325" spans="1:10" x14ac:dyDescent="0.35">
      <c r="A325" s="47"/>
      <c r="B325" s="46"/>
      <c r="C325" s="11" t="s">
        <v>520</v>
      </c>
      <c r="D325" s="9">
        <v>1764518810</v>
      </c>
      <c r="E325" s="9"/>
      <c r="F325" s="16"/>
      <c r="G325" s="8">
        <f t="shared" si="10"/>
        <v>0</v>
      </c>
      <c r="H325" s="8">
        <f t="shared" si="11"/>
        <v>-1764518810</v>
      </c>
      <c r="I325" s="4"/>
      <c r="J325" s="16" t="str">
        <f>VLOOKUP(C325,'[1]GLOCUENTAS (1)'!$B:$C,2,FALSE)</f>
        <v>HPC ADEUD CAP NUEVO MVV COFIDE LP       2NC</v>
      </c>
    </row>
    <row r="326" spans="1:10" x14ac:dyDescent="0.35">
      <c r="A326" s="47"/>
      <c r="B326" s="46"/>
      <c r="C326" s="11" t="s">
        <v>179</v>
      </c>
      <c r="D326" s="9">
        <v>5280306.2300000004</v>
      </c>
      <c r="E326" s="9"/>
      <c r="F326" s="16"/>
      <c r="G326" s="8">
        <f t="shared" si="10"/>
        <v>0</v>
      </c>
      <c r="H326" s="8">
        <f t="shared" si="11"/>
        <v>-5280306.2300000004</v>
      </c>
      <c r="I326" s="4"/>
      <c r="J326" s="16" t="str">
        <f>VLOOKUP(C326,'[1]GLOCUENTAS (1)'!$B:$C,2,FALSE)</f>
        <v>HPC ADEUD CAP TECHO PROP COF LP         2NC</v>
      </c>
    </row>
    <row r="327" spans="1:10" x14ac:dyDescent="0.35">
      <c r="A327" s="47"/>
      <c r="B327" s="46"/>
      <c r="C327" s="11" t="s">
        <v>521</v>
      </c>
      <c r="D327" s="9">
        <v>1424834.71</v>
      </c>
      <c r="E327" s="9"/>
      <c r="F327" s="16"/>
      <c r="G327" s="8">
        <f t="shared" si="10"/>
        <v>0</v>
      </c>
      <c r="H327" s="8">
        <f t="shared" si="11"/>
        <v>-1424834.71</v>
      </c>
      <c r="I327" s="4"/>
      <c r="J327" s="16" t="str">
        <f>VLOOKUP(C327,'[1]GLOCUENTAS (1)'!$B:$C,2,FALSE)</f>
        <v>HPC ADEUD CAP MI HOG COFIDE LP          2NC</v>
      </c>
    </row>
    <row r="328" spans="1:10" x14ac:dyDescent="0.35">
      <c r="A328" s="47"/>
      <c r="B328" s="46"/>
      <c r="C328" s="11" t="s">
        <v>186</v>
      </c>
      <c r="D328" s="9">
        <v>6389719.7599999998</v>
      </c>
      <c r="E328" s="9">
        <v>6389719.7599999998</v>
      </c>
      <c r="F328" s="16"/>
      <c r="G328" s="8">
        <f t="shared" si="10"/>
        <v>-6389719.7599999998</v>
      </c>
      <c r="H328" s="8">
        <f t="shared" si="11"/>
        <v>-6389719.7599999998</v>
      </c>
      <c r="I328" s="4"/>
      <c r="J328" s="16" t="str">
        <f>VLOOKUP(C328,'[1]GLOCUENTAS (1)'!$B:$C,2,FALSE)</f>
        <v>GAC HIPOTECAS MI VIVIENDAÂ Â Â Â Â Â Â Â7NC</v>
      </c>
    </row>
    <row r="329" spans="1:10" x14ac:dyDescent="0.35">
      <c r="A329" s="47"/>
      <c r="B329" s="46"/>
      <c r="C329" s="11" t="s">
        <v>177</v>
      </c>
      <c r="D329" s="9">
        <v>1818146.81</v>
      </c>
      <c r="E329" s="9">
        <v>1818146.81</v>
      </c>
      <c r="F329" s="16"/>
      <c r="G329" s="8">
        <f t="shared" si="10"/>
        <v>-1818146.81</v>
      </c>
      <c r="H329" s="8">
        <f t="shared" si="11"/>
        <v>-1818146.81</v>
      </c>
      <c r="I329" s="4"/>
      <c r="J329" s="16" t="str">
        <f>VLOOKUP(C329,'[1]GLOCUENTAS (1)'!$B:$C,2,FALSE)</f>
        <v>GAC GTIA CRED HIPOT.TECHO PROPIOÂ Â Â Â 7NC</v>
      </c>
    </row>
    <row r="330" spans="1:10" x14ac:dyDescent="0.35">
      <c r="A330" s="47"/>
      <c r="B330" s="46"/>
      <c r="C330" s="11" t="s">
        <v>522</v>
      </c>
      <c r="D330" s="9">
        <v>1216838.08</v>
      </c>
      <c r="E330" s="9">
        <v>1216838.08</v>
      </c>
      <c r="F330" s="16"/>
      <c r="G330" s="8">
        <f t="shared" si="10"/>
        <v>-1216838.08</v>
      </c>
      <c r="H330" s="8">
        <f t="shared" si="11"/>
        <v>-1216838.08</v>
      </c>
      <c r="I330" s="4"/>
      <c r="J330" s="16" t="str">
        <f>VLOOKUP(C330,'[1]GLOCUENTAS (1)'!$B:$C,2,FALSE)</f>
        <v>GAC GTIA.HIPOTEC.MI HOGAR PREF          7NC</v>
      </c>
    </row>
    <row r="331" spans="1:10" x14ac:dyDescent="0.35">
      <c r="A331" s="47"/>
      <c r="B331" s="46"/>
      <c r="C331" s="11" t="s">
        <v>181</v>
      </c>
      <c r="D331" s="9">
        <v>1413860937.3599999</v>
      </c>
      <c r="E331" s="9">
        <v>450141442.29000002</v>
      </c>
      <c r="F331" s="16"/>
      <c r="G331" s="8">
        <f t="shared" si="10"/>
        <v>-450141442.29000002</v>
      </c>
      <c r="H331" s="8">
        <f t="shared" si="11"/>
        <v>-1413860937.3599999</v>
      </c>
      <c r="I331" s="4"/>
      <c r="J331" s="16" t="str">
        <f>VLOOKUP(C331,'[1]GLOCUENTAS (1)'!$B:$C,2,FALSE)</f>
        <v>GTIA RECIB X RIESGO FONDO MIVIVIENDA    7NC</v>
      </c>
    </row>
    <row r="332" spans="1:10" x14ac:dyDescent="0.35">
      <c r="A332" s="47"/>
      <c r="B332" s="46"/>
      <c r="C332" s="11" t="s">
        <v>523</v>
      </c>
      <c r="D332" s="9">
        <v>4318540.99</v>
      </c>
      <c r="E332" s="9">
        <v>4318540.99</v>
      </c>
      <c r="F332" s="16"/>
      <c r="G332" s="8">
        <f t="shared" si="10"/>
        <v>-4318540.99</v>
      </c>
      <c r="H332" s="8">
        <f t="shared" si="11"/>
        <v>-4318540.99</v>
      </c>
      <c r="I332" s="4"/>
      <c r="J332" s="16" t="str">
        <f>VLOOKUP(C332,'[1]GLOCUENTAS (1)'!$B:$C,2,FALSE)</f>
        <v>GAC COBERT. RIEGO HIPOTECAS MI VIVIENDAÂ7NC</v>
      </c>
    </row>
    <row r="333" spans="1:10" x14ac:dyDescent="0.35">
      <c r="A333" s="47"/>
      <c r="B333" s="46"/>
      <c r="C333" s="11" t="s">
        <v>97</v>
      </c>
      <c r="D333" s="9">
        <v>2463843.31</v>
      </c>
      <c r="E333" s="9">
        <v>0</v>
      </c>
      <c r="F333" s="16"/>
      <c r="G333" s="8">
        <f t="shared" si="10"/>
        <v>0</v>
      </c>
      <c r="H333" s="8">
        <f t="shared" si="11"/>
        <v>-2463843.31</v>
      </c>
      <c r="I333" s="4"/>
      <c r="J333" s="16" t="e">
        <f>VLOOKUP(C333,'[1]GLOCUENTAS (1)'!$B:$C,2,FALSE)</f>
        <v>#N/A</v>
      </c>
    </row>
    <row r="334" spans="1:10" x14ac:dyDescent="0.35">
      <c r="A334" s="47"/>
      <c r="B334" s="46"/>
      <c r="C334" s="11" t="s">
        <v>107</v>
      </c>
      <c r="D334" s="9">
        <v>0</v>
      </c>
      <c r="E334" s="9"/>
      <c r="F334" s="16"/>
      <c r="G334" s="8">
        <f t="shared" si="10"/>
        <v>0</v>
      </c>
      <c r="H334" s="8">
        <f t="shared" si="11"/>
        <v>0</v>
      </c>
      <c r="I334" s="4"/>
      <c r="J334" s="16" t="e">
        <f>VLOOKUP(C334,'[1]GLOCUENTAS (1)'!$B:$C,2,FALSE)</f>
        <v>#N/A</v>
      </c>
    </row>
    <row r="335" spans="1:10" s="25" customFormat="1" x14ac:dyDescent="0.35">
      <c r="A335" s="47"/>
      <c r="B335" s="46"/>
      <c r="C335" s="20" t="s">
        <v>100</v>
      </c>
      <c r="D335" s="21">
        <f>SUM(D143:D334)</f>
        <v>17891351414.810001</v>
      </c>
      <c r="E335" s="21">
        <f>SUM(E143:E334)</f>
        <v>15153944125.49</v>
      </c>
      <c r="F335" s="21">
        <f>SUM(F143:F334)</f>
        <v>16927631919.739998</v>
      </c>
      <c r="G335" s="35">
        <f t="shared" si="10"/>
        <v>1773687794.2499981</v>
      </c>
      <c r="H335" s="35">
        <f t="shared" si="11"/>
        <v>-963719495.07000351</v>
      </c>
      <c r="I335" s="24"/>
      <c r="J335" s="16" t="e">
        <f>VLOOKUP(C335,'[1]GLOCUENTAS (1)'!$B:$C,2,FALSE)</f>
        <v>#N/A</v>
      </c>
    </row>
    <row r="336" spans="1:10" x14ac:dyDescent="0.35">
      <c r="A336" s="47" t="s">
        <v>10</v>
      </c>
      <c r="B336" s="46" t="s">
        <v>29</v>
      </c>
      <c r="C336" s="11" t="s">
        <v>199</v>
      </c>
      <c r="D336" s="9">
        <v>256369.45</v>
      </c>
      <c r="E336" s="9">
        <v>256369.45</v>
      </c>
      <c r="F336" s="16">
        <v>256369.45</v>
      </c>
      <c r="G336" s="8">
        <f t="shared" si="10"/>
        <v>0</v>
      </c>
      <c r="H336" s="8">
        <f t="shared" si="11"/>
        <v>0</v>
      </c>
      <c r="I336" s="4"/>
      <c r="J336" s="16" t="str">
        <f>VLOOKUP(C336,'[1]GLOCUENTAS (1)'!$B:$C,2,FALSE)</f>
        <v>FCD  LETR./FACT.DSCTO.MES VIG           1ND</v>
      </c>
    </row>
    <row r="337" spans="1:10" x14ac:dyDescent="0.35">
      <c r="A337" s="47"/>
      <c r="B337" s="46"/>
      <c r="C337" s="11" t="s">
        <v>198</v>
      </c>
      <c r="D337" s="9">
        <v>214707.37</v>
      </c>
      <c r="E337" s="9">
        <v>214707.37</v>
      </c>
      <c r="F337" s="16">
        <v>214707.37</v>
      </c>
      <c r="G337" s="8">
        <f t="shared" si="10"/>
        <v>0</v>
      </c>
      <c r="H337" s="8">
        <f t="shared" si="11"/>
        <v>0</v>
      </c>
      <c r="I337" s="4"/>
      <c r="J337" s="16" t="str">
        <f>VLOOKUP(C337,'[1]GLOCUENTAS (1)'!$B:$C,2,FALSE)</f>
        <v>FCD  DSCTO ELECTR SM PERUAN VIG MES     1ND</v>
      </c>
    </row>
    <row r="338" spans="1:10" x14ac:dyDescent="0.35">
      <c r="A338" s="47"/>
      <c r="B338" s="46"/>
      <c r="C338" s="11" t="s">
        <v>206</v>
      </c>
      <c r="D338" s="9">
        <v>63506850.770000003</v>
      </c>
      <c r="E338" s="9">
        <v>63506850.770000003</v>
      </c>
      <c r="F338" s="16">
        <v>63506850.770000003</v>
      </c>
      <c r="G338" s="8">
        <f t="shared" si="10"/>
        <v>0</v>
      </c>
      <c r="H338" s="8">
        <f t="shared" si="11"/>
        <v>0</v>
      </c>
      <c r="I338" s="4"/>
      <c r="J338" s="16" t="str">
        <f>VLOOKUP(C338,'[1]GLOCUENTAS (1)'!$B:$C,2,FALSE)</f>
        <v>FCD  LETRASÂ  DSCTO CPÂ  CCOR           1ND</v>
      </c>
    </row>
    <row r="339" spans="1:10" x14ac:dyDescent="0.35">
      <c r="A339" s="47"/>
      <c r="B339" s="46"/>
      <c r="C339" s="11" t="s">
        <v>207</v>
      </c>
      <c r="D339" s="9">
        <v>212241700</v>
      </c>
      <c r="E339" s="9">
        <v>212241700</v>
      </c>
      <c r="F339" s="16">
        <v>212241700</v>
      </c>
      <c r="G339" s="8">
        <f t="shared" si="10"/>
        <v>0</v>
      </c>
      <c r="H339" s="8">
        <f t="shared" si="11"/>
        <v>0</v>
      </c>
      <c r="I339" s="4"/>
      <c r="J339" s="16" t="str">
        <f>VLOOKUP(C339,'[1]GLOCUENTAS (1)'!$B:$C,2,FALSE)</f>
        <v>FCD  DSCTO ELECTR SM PERU VIG CCOR      1ND</v>
      </c>
    </row>
    <row r="340" spans="1:10" x14ac:dyDescent="0.35">
      <c r="A340" s="47"/>
      <c r="B340" s="46"/>
      <c r="C340" s="11" t="s">
        <v>197</v>
      </c>
      <c r="D340" s="9">
        <v>331052945.87</v>
      </c>
      <c r="E340" s="9">
        <v>331052945.87</v>
      </c>
      <c r="F340" s="16">
        <v>331052945.87</v>
      </c>
      <c r="G340" s="8">
        <f t="shared" si="10"/>
        <v>0</v>
      </c>
      <c r="H340" s="8">
        <f t="shared" si="11"/>
        <v>0</v>
      </c>
      <c r="I340" s="4"/>
      <c r="J340" s="16" t="str">
        <f>VLOOKUP(C340,'[1]GLOCUENTAS (1)'!$B:$C,2,FALSE)</f>
        <v>FCD  FACT ELECTR LET/FACT VIG CCOR      1ND</v>
      </c>
    </row>
    <row r="341" spans="1:10" x14ac:dyDescent="0.35">
      <c r="A341" s="47"/>
      <c r="B341" s="46"/>
      <c r="C341" s="11" t="s">
        <v>196</v>
      </c>
      <c r="D341" s="9">
        <v>95092017.719999999</v>
      </c>
      <c r="E341" s="9">
        <v>95092017.719999999</v>
      </c>
      <c r="F341" s="16">
        <v>95092017.719999999</v>
      </c>
      <c r="G341" s="8">
        <f t="shared" si="10"/>
        <v>0</v>
      </c>
      <c r="H341" s="8">
        <f t="shared" si="11"/>
        <v>0</v>
      </c>
      <c r="I341" s="4"/>
      <c r="J341" s="16" t="str">
        <f>VLOOKUP(C341,'[1]GLOCUENTAS (1)'!$B:$C,2,FALSE)</f>
        <v>FCD  LETRASÂ  DSCTO CPÂ  CGEM           1ND</v>
      </c>
    </row>
    <row r="342" spans="1:10" x14ac:dyDescent="0.35">
      <c r="A342" s="47"/>
      <c r="B342" s="46"/>
      <c r="C342" s="11" t="s">
        <v>200</v>
      </c>
      <c r="D342" s="9">
        <v>221385952.36000001</v>
      </c>
      <c r="E342" s="9">
        <v>221385952.36000001</v>
      </c>
      <c r="F342" s="16">
        <v>221385952.36000001</v>
      </c>
      <c r="G342" s="8">
        <f t="shared" si="10"/>
        <v>0</v>
      </c>
      <c r="H342" s="8">
        <f t="shared" si="11"/>
        <v>0</v>
      </c>
      <c r="I342" s="4"/>
      <c r="J342" s="16" t="str">
        <f>VLOOKUP(C342,'[1]GLOCUENTAS (1)'!$B:$C,2,FALSE)</f>
        <v>FCD  DSCTO ELECTR SM PERU VIG CGEM      1ND</v>
      </c>
    </row>
    <row r="343" spans="1:10" x14ac:dyDescent="0.35">
      <c r="A343" s="47"/>
      <c r="B343" s="46"/>
      <c r="C343" s="11" t="s">
        <v>208</v>
      </c>
      <c r="D343" s="9">
        <v>26351874.649999999</v>
      </c>
      <c r="E343" s="9">
        <v>26351874.649999999</v>
      </c>
      <c r="F343" s="16">
        <v>26351874.649999999</v>
      </c>
      <c r="G343" s="8">
        <f t="shared" si="10"/>
        <v>0</v>
      </c>
      <c r="H343" s="8">
        <f t="shared" si="11"/>
        <v>0</v>
      </c>
      <c r="I343" s="4"/>
      <c r="J343" s="16" t="str">
        <f>VLOOKUP(C343,'[1]GLOCUENTAS (1)'!$B:$C,2,FALSE)</f>
        <v>FCD  FACT ELECTR LET/FACT VIG CGEM      1ND</v>
      </c>
    </row>
    <row r="344" spans="1:10" x14ac:dyDescent="0.35">
      <c r="A344" s="47"/>
      <c r="B344" s="46"/>
      <c r="C344" s="11" t="s">
        <v>201</v>
      </c>
      <c r="D344" s="9">
        <v>51924136.909999996</v>
      </c>
      <c r="E344" s="9">
        <v>51924136.909999996</v>
      </c>
      <c r="F344" s="16">
        <v>51924136.909999996</v>
      </c>
      <c r="G344" s="8">
        <f t="shared" si="10"/>
        <v>0</v>
      </c>
      <c r="H344" s="8">
        <f t="shared" si="11"/>
        <v>0</v>
      </c>
      <c r="I344" s="4"/>
      <c r="J344" s="16" t="str">
        <f>VLOOKUP(C344,'[1]GLOCUENTAS (1)'!$B:$C,2,FALSE)</f>
        <v>FCD  LETRASÂ  DSCTO CPÂ  CMED           1ND</v>
      </c>
    </row>
    <row r="345" spans="1:10" x14ac:dyDescent="0.35">
      <c r="A345" s="47"/>
      <c r="B345" s="46"/>
      <c r="C345" s="11" t="s">
        <v>209</v>
      </c>
      <c r="D345" s="9">
        <v>76396577.730000004</v>
      </c>
      <c r="E345" s="9">
        <v>76396577.730000004</v>
      </c>
      <c r="F345" s="16">
        <v>76396577.730000004</v>
      </c>
      <c r="G345" s="8">
        <f t="shared" si="10"/>
        <v>0</v>
      </c>
      <c r="H345" s="8">
        <f t="shared" si="11"/>
        <v>0</v>
      </c>
      <c r="I345" s="4"/>
      <c r="J345" s="16" t="str">
        <f>VLOOKUP(C345,'[1]GLOCUENTAS (1)'!$B:$C,2,FALSE)</f>
        <v>FCD  DSCTO ELECTR SM PERU VIG CMED      1ND</v>
      </c>
    </row>
    <row r="346" spans="1:10" x14ac:dyDescent="0.35">
      <c r="A346" s="47"/>
      <c r="B346" s="46"/>
      <c r="C346" s="11" t="s">
        <v>847</v>
      </c>
      <c r="D346" s="9"/>
      <c r="E346" s="9"/>
      <c r="F346" s="16">
        <v>0</v>
      </c>
      <c r="G346" s="8">
        <f t="shared" si="10"/>
        <v>0</v>
      </c>
      <c r="H346" s="8">
        <f t="shared" si="11"/>
        <v>0</v>
      </c>
      <c r="I346" s="4"/>
      <c r="J346" s="16" t="str">
        <f>VLOOKUP(C346,'[1]GLOCUENTAS (1)'!$B:$C,2,FALSE)</f>
        <v>FCD DSCTO ELECTR VIG DUDOSO CMED        1ND</v>
      </c>
    </row>
    <row r="347" spans="1:10" x14ac:dyDescent="0.35">
      <c r="A347" s="47"/>
      <c r="B347" s="46"/>
      <c r="C347" s="11" t="s">
        <v>524</v>
      </c>
      <c r="D347" s="9">
        <v>2169445.1</v>
      </c>
      <c r="E347" s="9">
        <v>2169445.1</v>
      </c>
      <c r="F347" s="16">
        <v>2169445.1</v>
      </c>
      <c r="G347" s="8">
        <f t="shared" si="10"/>
        <v>0</v>
      </c>
      <c r="H347" s="8">
        <f t="shared" si="11"/>
        <v>0</v>
      </c>
      <c r="I347" s="4"/>
      <c r="J347" s="16" t="str">
        <f>VLOOKUP(C347,'[1]GLOCUENTAS (1)'!$B:$C,2,FALSE)</f>
        <v>FCD  FACT ELECTR LET/FACT VIG CMED      1ND</v>
      </c>
    </row>
    <row r="348" spans="1:10" x14ac:dyDescent="0.35">
      <c r="A348" s="47"/>
      <c r="B348" s="46"/>
      <c r="C348" s="11" t="s">
        <v>202</v>
      </c>
      <c r="D348" s="9">
        <v>31231953.02</v>
      </c>
      <c r="E348" s="9">
        <v>31231953.02</v>
      </c>
      <c r="F348" s="16">
        <v>31231953.02</v>
      </c>
      <c r="G348" s="8">
        <f t="shared" si="10"/>
        <v>0</v>
      </c>
      <c r="H348" s="8">
        <f t="shared" si="11"/>
        <v>0</v>
      </c>
      <c r="I348" s="4"/>
      <c r="J348" s="16" t="str">
        <f>VLOOKUP(C348,'[1]GLOCUENTAS (1)'!$B:$C,2,FALSE)</f>
        <v>FCD  LETRASÂ  DSCTO CPÂ  CPEM           1ND</v>
      </c>
    </row>
    <row r="349" spans="1:10" x14ac:dyDescent="0.35">
      <c r="A349" s="47"/>
      <c r="B349" s="46"/>
      <c r="C349" s="11" t="s">
        <v>204</v>
      </c>
      <c r="D349" s="9">
        <v>74465598.019999996</v>
      </c>
      <c r="E349" s="9">
        <v>74465598.019999996</v>
      </c>
      <c r="F349" s="16">
        <v>74465598.019999996</v>
      </c>
      <c r="G349" s="8">
        <f t="shared" si="10"/>
        <v>0</v>
      </c>
      <c r="H349" s="8">
        <f t="shared" si="11"/>
        <v>0</v>
      </c>
      <c r="I349" s="4"/>
      <c r="J349" s="16" t="str">
        <f>VLOOKUP(C349,'[1]GLOCUENTAS (1)'!$B:$C,2,FALSE)</f>
        <v>FCD  DSCTO ELECTR SM PERU VIG CMED      1ND</v>
      </c>
    </row>
    <row r="350" spans="1:10" x14ac:dyDescent="0.35">
      <c r="A350" s="47"/>
      <c r="B350" s="46"/>
      <c r="C350" s="11" t="s">
        <v>525</v>
      </c>
      <c r="D350" s="9">
        <v>11893.53</v>
      </c>
      <c r="E350" s="9">
        <v>11893.53</v>
      </c>
      <c r="F350" s="16">
        <v>11893.53</v>
      </c>
      <c r="G350" s="8">
        <f t="shared" si="10"/>
        <v>0</v>
      </c>
      <c r="H350" s="8">
        <f t="shared" si="11"/>
        <v>0</v>
      </c>
      <c r="I350" s="4"/>
      <c r="J350" s="16" t="str">
        <f>VLOOKUP(C350,'[1]GLOCUENTAS (1)'!$B:$C,2,FALSE)</f>
        <v>FCD DESC. LET. VIG. CPEM DUPE           1ND</v>
      </c>
    </row>
    <row r="351" spans="1:10" x14ac:dyDescent="0.35">
      <c r="A351" s="47"/>
      <c r="B351" s="46"/>
      <c r="C351" s="11" t="s">
        <v>526</v>
      </c>
      <c r="D351" s="9">
        <v>3509.49</v>
      </c>
      <c r="E351" s="9">
        <v>3509.49</v>
      </c>
      <c r="F351" s="16">
        <v>3509.49</v>
      </c>
      <c r="G351" s="8">
        <f t="shared" si="10"/>
        <v>0</v>
      </c>
      <c r="H351" s="8">
        <f t="shared" si="11"/>
        <v>0</v>
      </c>
      <c r="I351" s="4"/>
      <c r="J351" s="16" t="str">
        <f>VLOOKUP(C351,'[1]GLOCUENTAS (1)'!$B:$C,2,FALSE)</f>
        <v>FCD DESC. LET. VENC. CMIE DUPE          1ND</v>
      </c>
    </row>
    <row r="352" spans="1:10" x14ac:dyDescent="0.35">
      <c r="A352" s="47"/>
      <c r="B352" s="46"/>
      <c r="C352" s="11" t="s">
        <v>527</v>
      </c>
      <c r="D352" s="9">
        <v>221384.13</v>
      </c>
      <c r="E352" s="9">
        <v>221384.13</v>
      </c>
      <c r="F352" s="16">
        <v>221384.13</v>
      </c>
      <c r="G352" s="8">
        <f t="shared" si="10"/>
        <v>0</v>
      </c>
      <c r="H352" s="8">
        <f t="shared" si="11"/>
        <v>0</v>
      </c>
      <c r="I352" s="4"/>
      <c r="J352" s="16" t="str">
        <f>VLOOKUP(C352,'[1]GLOCUENTAS (1)'!$B:$C,2,FALSE)</f>
        <v>FCD LETRAS  DSCTO VC   CCOR             1ND</v>
      </c>
    </row>
    <row r="353" spans="1:10" x14ac:dyDescent="0.35">
      <c r="A353" s="47"/>
      <c r="B353" s="46"/>
      <c r="C353" s="11" t="s">
        <v>528</v>
      </c>
      <c r="D353" s="9">
        <v>243614.85</v>
      </c>
      <c r="E353" s="9">
        <v>243614.85</v>
      </c>
      <c r="F353" s="16">
        <v>243614.85</v>
      </c>
      <c r="G353" s="8">
        <f t="shared" si="10"/>
        <v>0</v>
      </c>
      <c r="H353" s="8">
        <f t="shared" si="11"/>
        <v>0</v>
      </c>
      <c r="I353" s="4"/>
      <c r="J353" s="16" t="str">
        <f>VLOOKUP(C353,'[1]GLOCUENTAS (1)'!$B:$C,2,FALSE)</f>
        <v>FCD  LETRASÂ  DSCTO VCÂ Â  CMED         1ND</v>
      </c>
    </row>
    <row r="354" spans="1:10" x14ac:dyDescent="0.35">
      <c r="A354" s="47"/>
      <c r="B354" s="46"/>
      <c r="C354" s="11" t="s">
        <v>203</v>
      </c>
      <c r="D354" s="9">
        <v>181477.98</v>
      </c>
      <c r="E354" s="9">
        <v>181477.98</v>
      </c>
      <c r="F354" s="16">
        <v>181477.98</v>
      </c>
      <c r="G354" s="8">
        <f t="shared" si="10"/>
        <v>0</v>
      </c>
      <c r="H354" s="8">
        <f t="shared" si="11"/>
        <v>0</v>
      </c>
      <c r="I354" s="4"/>
      <c r="J354" s="16" t="str">
        <f>VLOOKUP(C354,'[1]GLOCUENTAS (1)'!$B:$C,2,FALSE)</f>
        <v>PR LETRAS  DSCTO VC   CPEM              1ND</v>
      </c>
    </row>
    <row r="355" spans="1:10" x14ac:dyDescent="0.35">
      <c r="A355" s="47"/>
      <c r="B355" s="46"/>
      <c r="C355" s="11" t="s">
        <v>205</v>
      </c>
      <c r="D355" s="9">
        <v>43600.32</v>
      </c>
      <c r="E355" s="9">
        <v>43600.32</v>
      </c>
      <c r="F355" s="16">
        <v>43600.32</v>
      </c>
      <c r="G355" s="8">
        <f t="shared" si="10"/>
        <v>0</v>
      </c>
      <c r="H355" s="8">
        <f t="shared" si="11"/>
        <v>0</v>
      </c>
      <c r="I355" s="4"/>
      <c r="J355" s="16" t="str">
        <f>VLOOKUP(C355,'[1]GLOCUENTAS (1)'!$B:$C,2,FALSE)</f>
        <v>FCD DESC. LET. VENC. CPEM DUPE          1ND</v>
      </c>
    </row>
    <row r="356" spans="1:10" x14ac:dyDescent="0.35">
      <c r="A356" s="47"/>
      <c r="B356" s="46"/>
      <c r="C356" s="33" t="s">
        <v>848</v>
      </c>
      <c r="D356" s="34"/>
      <c r="E356" s="34"/>
      <c r="F356" s="43">
        <v>1655822.53</v>
      </c>
      <c r="G356" s="8">
        <f t="shared" si="10"/>
        <v>1655822.53</v>
      </c>
      <c r="H356" s="8">
        <f t="shared" si="11"/>
        <v>1655822.53</v>
      </c>
      <c r="I356" s="4"/>
      <c r="J356" s="16" t="str">
        <f>VLOOKUP(C356,'[1]GLOCUENTAS (1)'!$B:$C,2,FALSE)</f>
        <v>FCD  COBRANZA LIBRE FACTURAS            7NC</v>
      </c>
    </row>
    <row r="357" spans="1:10" x14ac:dyDescent="0.35">
      <c r="A357" s="47"/>
      <c r="B357" s="46"/>
      <c r="C357" s="33" t="s">
        <v>849</v>
      </c>
      <c r="D357" s="34"/>
      <c r="E357" s="34"/>
      <c r="F357" s="43">
        <v>1</v>
      </c>
      <c r="G357" s="8">
        <f t="shared" si="10"/>
        <v>1</v>
      </c>
      <c r="H357" s="8">
        <f t="shared" si="11"/>
        <v>1</v>
      </c>
      <c r="I357" s="4"/>
      <c r="J357" s="16" t="str">
        <f>VLOOKUP(C357,'[1]GLOCUENTAS (1)'!$B:$C,2,FALSE)</f>
        <v>PR COBRANZA LIBRE FACTURAS              7NC</v>
      </c>
    </row>
    <row r="358" spans="1:10" x14ac:dyDescent="0.35">
      <c r="A358" s="47"/>
      <c r="B358" s="46"/>
      <c r="C358" s="33" t="s">
        <v>850</v>
      </c>
      <c r="D358" s="34"/>
      <c r="E358" s="34"/>
      <c r="F358" s="43">
        <v>3756209.08</v>
      </c>
      <c r="G358" s="8">
        <f t="shared" si="10"/>
        <v>3756209.08</v>
      </c>
      <c r="H358" s="8">
        <f t="shared" si="11"/>
        <v>3756209.08</v>
      </c>
      <c r="I358" s="4"/>
      <c r="J358" s="16" t="str">
        <f>VLOOKUP(C358,'[1]GLOCUENTAS (1)'!$B:$C,2,FALSE)</f>
        <v>FCD  COB.LBR.F.BL                       7NC</v>
      </c>
    </row>
    <row r="359" spans="1:10" x14ac:dyDescent="0.35">
      <c r="A359" s="47"/>
      <c r="B359" s="46"/>
      <c r="C359" s="11" t="s">
        <v>107</v>
      </c>
      <c r="D359" s="9">
        <v>44518665.109999999</v>
      </c>
      <c r="E359" s="9"/>
      <c r="F359" s="16"/>
      <c r="G359" s="8">
        <f t="shared" si="10"/>
        <v>0</v>
      </c>
      <c r="H359" s="8">
        <f t="shared" si="11"/>
        <v>-44518665.109999999</v>
      </c>
      <c r="I359" s="4"/>
      <c r="J359" s="16" t="e">
        <f>VLOOKUP(C359,'[1]GLOCUENTAS (1)'!$B:$C,2,FALSE)</f>
        <v>#N/A</v>
      </c>
    </row>
    <row r="360" spans="1:10" x14ac:dyDescent="0.35">
      <c r="A360" s="47"/>
      <c r="B360" s="46"/>
      <c r="C360" s="11"/>
      <c r="D360" s="9">
        <v>1153945355.74</v>
      </c>
      <c r="E360" s="9">
        <v>5412032.6100000003</v>
      </c>
      <c r="F360" s="16"/>
      <c r="G360" s="8">
        <f t="shared" si="10"/>
        <v>-5412032.6100000003</v>
      </c>
      <c r="H360" s="8">
        <f t="shared" si="11"/>
        <v>-1153945355.74</v>
      </c>
      <c r="I360" s="4"/>
      <c r="J360" s="16" t="e">
        <f>VLOOKUP(C360,'[1]GLOCUENTAS (1)'!$B:$C,2,FALSE)</f>
        <v>#N/A</v>
      </c>
    </row>
    <row r="361" spans="1:10" s="25" customFormat="1" x14ac:dyDescent="0.35">
      <c r="A361" s="47"/>
      <c r="B361" s="46"/>
      <c r="C361" s="20" t="s">
        <v>100</v>
      </c>
      <c r="D361" s="21">
        <f>SUM(D336:D360)</f>
        <v>2385459630.1199999</v>
      </c>
      <c r="E361" s="21">
        <f>SUM(E336:E360)</f>
        <v>1192407641.8799996</v>
      </c>
      <c r="F361" s="21">
        <f>SUM(F336:F360)</f>
        <v>1192407641.8799996</v>
      </c>
      <c r="G361" s="23">
        <f t="shared" si="10"/>
        <v>0</v>
      </c>
      <c r="H361" s="8">
        <f t="shared" si="11"/>
        <v>-1193051988.2400002</v>
      </c>
      <c r="I361" s="24"/>
      <c r="J361" s="16" t="e">
        <f>VLOOKUP(C361,'[1]GLOCUENTAS (1)'!$B:$C,2,FALSE)</f>
        <v>#N/A</v>
      </c>
    </row>
    <row r="362" spans="1:10" x14ac:dyDescent="0.35">
      <c r="A362" s="47" t="s">
        <v>11</v>
      </c>
      <c r="B362" s="46" t="s">
        <v>30</v>
      </c>
      <c r="C362" s="11" t="s">
        <v>107</v>
      </c>
      <c r="D362" s="9">
        <v>4307848383.9499998</v>
      </c>
      <c r="E362" s="9">
        <v>3845075283.6199999</v>
      </c>
      <c r="F362" s="16">
        <v>0</v>
      </c>
      <c r="G362" s="8">
        <f t="shared" si="10"/>
        <v>-3845075283.6199999</v>
      </c>
      <c r="H362" s="8">
        <f t="shared" si="11"/>
        <v>-4307848383.9499998</v>
      </c>
      <c r="I362" s="4"/>
      <c r="J362" s="16" t="e">
        <f>VLOOKUP(C362,'[1]GLOCUENTAS (1)'!$B:$C,2,FALSE)</f>
        <v>#N/A</v>
      </c>
    </row>
    <row r="363" spans="1:10" x14ac:dyDescent="0.35">
      <c r="A363" s="47"/>
      <c r="B363" s="46"/>
      <c r="C363" s="33" t="s">
        <v>845</v>
      </c>
      <c r="D363" s="34"/>
      <c r="E363" s="34"/>
      <c r="F363" s="43">
        <v>3954987190.3699999</v>
      </c>
      <c r="G363" s="8">
        <f t="shared" si="10"/>
        <v>3954987190.3699999</v>
      </c>
      <c r="H363" s="8">
        <f t="shared" si="11"/>
        <v>3954987190.3699999</v>
      </c>
      <c r="I363" s="4"/>
      <c r="J363" s="16" t="e">
        <f>VLOOKUP(C363,'[1]GLOCUENTAS (1)'!$B:$C,2,FALSE)</f>
        <v>#N/A</v>
      </c>
    </row>
    <row r="364" spans="1:10" x14ac:dyDescent="0.35">
      <c r="A364" s="47"/>
      <c r="B364" s="46"/>
      <c r="C364" s="11" t="s">
        <v>97</v>
      </c>
      <c r="D364" s="9">
        <v>126956251.73999999</v>
      </c>
      <c r="E364" s="9">
        <v>109911906.75</v>
      </c>
      <c r="F364" s="16">
        <v>0</v>
      </c>
      <c r="G364" s="8">
        <f t="shared" si="10"/>
        <v>-109911906.75</v>
      </c>
      <c r="H364" s="8">
        <f t="shared" si="11"/>
        <v>-126956251.73999999</v>
      </c>
      <c r="I364" s="4"/>
      <c r="J364" s="16" t="e">
        <f>VLOOKUP(C364,'[1]GLOCUENTAS (1)'!$B:$C,2,FALSE)</f>
        <v>#N/A</v>
      </c>
    </row>
    <row r="365" spans="1:10" s="25" customFormat="1" x14ac:dyDescent="0.35">
      <c r="A365" s="47"/>
      <c r="B365" s="46"/>
      <c r="C365" s="20" t="s">
        <v>100</v>
      </c>
      <c r="D365" s="21">
        <f>SUM(D362:D364)</f>
        <v>4434804635.6899996</v>
      </c>
      <c r="E365" s="21">
        <f>SUM(E362:E364)</f>
        <v>3954987190.3699999</v>
      </c>
      <c r="F365" s="21">
        <f>SUM(F362:F364)</f>
        <v>3954987190.3699999</v>
      </c>
      <c r="G365" s="23">
        <f t="shared" si="10"/>
        <v>0</v>
      </c>
      <c r="H365" s="8">
        <f t="shared" si="11"/>
        <v>-479817445.31999969</v>
      </c>
      <c r="I365" s="24"/>
      <c r="J365" s="16" t="e">
        <f>VLOOKUP(C365,'[1]GLOCUENTAS (1)'!$B:$C,2,FALSE)</f>
        <v>#N/A</v>
      </c>
    </row>
    <row r="366" spans="1:10" x14ac:dyDescent="0.35">
      <c r="A366" s="47" t="s">
        <v>12</v>
      </c>
      <c r="B366" s="46" t="s">
        <v>31</v>
      </c>
      <c r="C366" s="33" t="s">
        <v>845</v>
      </c>
      <c r="D366" s="34"/>
      <c r="E366" s="34"/>
      <c r="F366" s="43">
        <v>973682.55</v>
      </c>
      <c r="G366" s="8">
        <f t="shared" si="10"/>
        <v>973682.55</v>
      </c>
      <c r="H366" s="8">
        <f t="shared" si="11"/>
        <v>973682.55</v>
      </c>
      <c r="I366" s="4"/>
      <c r="J366" s="16" t="e">
        <f>VLOOKUP(C366,'[1]GLOCUENTAS (1)'!$B:$C,2,FALSE)</f>
        <v>#N/A</v>
      </c>
    </row>
    <row r="367" spans="1:10" x14ac:dyDescent="0.35">
      <c r="A367" s="47"/>
      <c r="B367" s="46"/>
      <c r="C367" s="11" t="s">
        <v>530</v>
      </c>
      <c r="D367" s="9">
        <v>5856.49</v>
      </c>
      <c r="E367" s="9">
        <v>5856.49</v>
      </c>
      <c r="F367" s="16">
        <v>5856.49</v>
      </c>
      <c r="G367" s="8">
        <f t="shared" si="10"/>
        <v>0</v>
      </c>
      <c r="H367" s="8">
        <f t="shared" si="11"/>
        <v>0</v>
      </c>
      <c r="I367" s="4"/>
      <c r="J367" s="16" t="str">
        <f>VLOOKUP(C367,'[1]GLOCUENTAS (1)'!$B:$C,2,FALSE)</f>
        <v>JCC MYP PRE-JUD.CAP.TRAB.REV.CMIE       1ND</v>
      </c>
    </row>
    <row r="368" spans="1:10" x14ac:dyDescent="0.35">
      <c r="A368" s="47"/>
      <c r="B368" s="46"/>
      <c r="C368" s="11" t="s">
        <v>531</v>
      </c>
      <c r="D368" s="9">
        <v>89543.58</v>
      </c>
      <c r="E368" s="9">
        <v>89543.58</v>
      </c>
      <c r="F368" s="16">
        <v>89543.58</v>
      </c>
      <c r="G368" s="8">
        <f t="shared" si="10"/>
        <v>0</v>
      </c>
      <c r="H368" s="8">
        <f t="shared" si="11"/>
        <v>0</v>
      </c>
      <c r="I368" s="4"/>
      <c r="J368" s="16" t="str">
        <f>VLOOKUP(C368,'[1]GLOCUENTAS (1)'!$B:$C,2,FALSE)</f>
        <v>JCC PRE JUD MYP CAP TRAB MES            1ND</v>
      </c>
    </row>
    <row r="369" spans="1:10" x14ac:dyDescent="0.35">
      <c r="A369" s="47"/>
      <c r="B369" s="46"/>
      <c r="C369" s="11" t="s">
        <v>532</v>
      </c>
      <c r="D369" s="9">
        <v>5322.05</v>
      </c>
      <c r="E369" s="9">
        <v>5322.05</v>
      </c>
      <c r="F369" s="16">
        <v>5322.05</v>
      </c>
      <c r="G369" s="8">
        <f t="shared" si="10"/>
        <v>0</v>
      </c>
      <c r="H369" s="8">
        <f t="shared" si="11"/>
        <v>0</v>
      </c>
      <c r="I369" s="4"/>
      <c r="J369" s="16" t="str">
        <f>VLOOKUP(C369,'[1]GLOCUENTAS (1)'!$B:$C,2,FALSE)</f>
        <v>JCC PRE JUD REACTIVA PERU NO REVOLV CMIE1 D</v>
      </c>
    </row>
    <row r="370" spans="1:10" x14ac:dyDescent="0.35">
      <c r="A370" s="47"/>
      <c r="B370" s="46"/>
      <c r="C370" s="11" t="s">
        <v>533</v>
      </c>
      <c r="D370" s="9">
        <v>2287.73</v>
      </c>
      <c r="E370" s="9">
        <v>2287.73</v>
      </c>
      <c r="F370" s="16">
        <v>2287.73</v>
      </c>
      <c r="G370" s="8">
        <f t="shared" si="10"/>
        <v>0</v>
      </c>
      <c r="H370" s="8">
        <f t="shared" si="11"/>
        <v>0</v>
      </c>
      <c r="I370" s="4"/>
      <c r="J370" s="16" t="str">
        <f>VLOOKUP(C370,'[1]GLOCUENTAS (1)'!$B:$C,2,FALSE)</f>
        <v>JCC MP PRE JUD CAP IMPULSO MYPERU IBK CM1 D</v>
      </c>
    </row>
    <row r="371" spans="1:10" x14ac:dyDescent="0.35">
      <c r="A371" s="47"/>
      <c r="B371" s="46"/>
      <c r="C371" s="11" t="s">
        <v>534</v>
      </c>
      <c r="D371" s="9">
        <v>29659975.350000001</v>
      </c>
      <c r="E371" s="9">
        <v>29659975.350000001</v>
      </c>
      <c r="F371" s="16">
        <v>29659975.350000001</v>
      </c>
      <c r="G371" s="8">
        <f t="shared" si="10"/>
        <v>0</v>
      </c>
      <c r="H371" s="8">
        <f t="shared" si="11"/>
        <v>0</v>
      </c>
      <c r="I371" s="4"/>
      <c r="J371" s="16" t="str">
        <f>VLOOKUP(C371,'[1]GLOCUENTAS (1)'!$B:$C,2,FALSE)</f>
        <v>JCC PRE JUD TC VISA PN-DISP.EFEC        1ND</v>
      </c>
    </row>
    <row r="372" spans="1:10" x14ac:dyDescent="0.35">
      <c r="A372" s="47"/>
      <c r="B372" s="46"/>
      <c r="C372" s="11" t="s">
        <v>535</v>
      </c>
      <c r="D372" s="9">
        <v>1202117.7</v>
      </c>
      <c r="E372" s="9">
        <v>1202117.7</v>
      </c>
      <c r="F372" s="16">
        <v>1202117.7</v>
      </c>
      <c r="G372" s="8">
        <f t="shared" si="10"/>
        <v>0</v>
      </c>
      <c r="H372" s="8">
        <f t="shared" si="11"/>
        <v>0</v>
      </c>
      <c r="I372" s="4"/>
      <c r="J372" s="16" t="str">
        <f>VLOOKUP(C372,'[1]GLOCUENTAS (1)'!$B:$C,2,FALSE)</f>
        <v>JCC PRE JUD TC AMEX PN-DISP.EFEC        1ND</v>
      </c>
    </row>
    <row r="373" spans="1:10" x14ac:dyDescent="0.35">
      <c r="A373" s="47"/>
      <c r="B373" s="46"/>
      <c r="C373" s="11" t="s">
        <v>536</v>
      </c>
      <c r="D373" s="9">
        <v>11.97</v>
      </c>
      <c r="E373" s="9">
        <v>11.97</v>
      </c>
      <c r="F373" s="16">
        <v>11.97</v>
      </c>
      <c r="G373" s="8">
        <f t="shared" si="10"/>
        <v>0</v>
      </c>
      <c r="H373" s="8">
        <f t="shared" si="11"/>
        <v>0</v>
      </c>
      <c r="I373" s="4"/>
      <c r="J373" s="16" t="str">
        <f>VLOOKUP(C373,'[1]GLOCUENTAS (1)'!$B:$C,2,FALSE)</f>
        <v>JCC PRE JUD TC MASTER PN-CONSUMO        1ND</v>
      </c>
    </row>
    <row r="374" spans="1:10" x14ac:dyDescent="0.35">
      <c r="A374" s="47"/>
      <c r="B374" s="46"/>
      <c r="C374" s="11" t="s">
        <v>537</v>
      </c>
      <c r="D374" s="9">
        <v>12670633.33</v>
      </c>
      <c r="E374" s="9">
        <v>12670633.33</v>
      </c>
      <c r="F374" s="16">
        <v>12670633.33</v>
      </c>
      <c r="G374" s="8">
        <f t="shared" si="10"/>
        <v>0</v>
      </c>
      <c r="H374" s="8">
        <f t="shared" si="11"/>
        <v>0</v>
      </c>
      <c r="I374" s="4"/>
      <c r="J374" s="16" t="str">
        <f>VLOOKUP(C374,'[1]GLOCUENTAS (1)'!$B:$C,2,FALSE)</f>
        <v>JCC PRE JUD TC AMEX PN-CONSUMOS         1ND</v>
      </c>
    </row>
    <row r="375" spans="1:10" x14ac:dyDescent="0.35">
      <c r="A375" s="47"/>
      <c r="B375" s="46"/>
      <c r="C375" s="11" t="s">
        <v>302</v>
      </c>
      <c r="D375" s="9">
        <v>33841728.539999999</v>
      </c>
      <c r="E375" s="9">
        <v>33841728.539999999</v>
      </c>
      <c r="F375" s="16">
        <v>33706353.409999996</v>
      </c>
      <c r="G375" s="8">
        <f t="shared" si="10"/>
        <v>-135375.13000000268</v>
      </c>
      <c r="H375" s="8">
        <f t="shared" si="11"/>
        <v>-135375.13000000268</v>
      </c>
      <c r="I375" s="4"/>
      <c r="J375" s="16" t="str">
        <f>VLOOKUP(C375,'[1]GLOCUENTAS (1)'!$B:$C,2,FALSE)</f>
        <v>JCC PRE JUD TC VISA PN-CONSUMOS         1ND</v>
      </c>
    </row>
    <row r="376" spans="1:10" x14ac:dyDescent="0.35">
      <c r="A376" s="47"/>
      <c r="B376" s="46"/>
      <c r="C376" s="33" t="s">
        <v>851</v>
      </c>
      <c r="D376" s="34"/>
      <c r="E376" s="34"/>
      <c r="F376" s="43">
        <v>135375.13</v>
      </c>
      <c r="G376" s="8">
        <f t="shared" si="10"/>
        <v>135375.13</v>
      </c>
      <c r="H376" s="8">
        <f t="shared" si="11"/>
        <v>135375.13</v>
      </c>
      <c r="I376" s="4"/>
      <c r="J376" s="16" t="str">
        <f>VLOOKUP(C376,'[1]GLOCUENTAS (1)'!$B:$C,2,FALSE)</f>
        <v>JCC BTC PRE JUD RAPPIBANK REV           1 D</v>
      </c>
    </row>
    <row r="377" spans="1:10" x14ac:dyDescent="0.35">
      <c r="A377" s="47"/>
      <c r="B377" s="46"/>
      <c r="C377" s="11" t="s">
        <v>538</v>
      </c>
      <c r="D377" s="9">
        <v>15755.84</v>
      </c>
      <c r="E377" s="9">
        <v>15755.84</v>
      </c>
      <c r="F377" s="16">
        <v>15755.84</v>
      </c>
      <c r="G377" s="8">
        <f t="shared" si="10"/>
        <v>0</v>
      </c>
      <c r="H377" s="8">
        <f t="shared" si="11"/>
        <v>0</v>
      </c>
      <c r="I377" s="4"/>
      <c r="J377" s="16" t="str">
        <f>VLOOKUP(C377,'[1]GLOCUENTAS (1)'!$B:$C,2,FALSE)</f>
        <v>JCC PREJUD CONSU REV CONV.NOELEG I      1ND</v>
      </c>
    </row>
    <row r="378" spans="1:10" x14ac:dyDescent="0.35">
      <c r="A378" s="47"/>
      <c r="B378" s="46"/>
      <c r="C378" s="11" t="s">
        <v>539</v>
      </c>
      <c r="D378" s="9">
        <v>435868.01</v>
      </c>
      <c r="E378" s="9">
        <v>435868.01</v>
      </c>
      <c r="F378" s="16">
        <v>435868.01</v>
      </c>
      <c r="G378" s="8">
        <f t="shared" si="10"/>
        <v>0</v>
      </c>
      <c r="H378" s="8">
        <f t="shared" si="11"/>
        <v>0</v>
      </c>
      <c r="I378" s="4"/>
      <c r="J378" s="16" t="str">
        <f>VLOOKUP(C378,'[1]GLOCUENTAS (1)'!$B:$C,2,FALSE)</f>
        <v>JCC PREJUD CONSU REV ADEL SUELDO        1ND</v>
      </c>
    </row>
    <row r="379" spans="1:10" x14ac:dyDescent="0.35">
      <c r="A379" s="47"/>
      <c r="B379" s="46"/>
      <c r="C379" s="11" t="s">
        <v>252</v>
      </c>
      <c r="D379" s="9">
        <v>196659.88</v>
      </c>
      <c r="E379" s="9">
        <v>196659.88</v>
      </c>
      <c r="F379" s="16">
        <v>196659.88</v>
      </c>
      <c r="G379" s="8">
        <f t="shared" si="10"/>
        <v>0</v>
      </c>
      <c r="H379" s="8">
        <f t="shared" si="11"/>
        <v>0</v>
      </c>
      <c r="I379" s="4"/>
      <c r="J379" s="16" t="str">
        <f>VLOOKUP(C379,'[1]GLOCUENTAS (1)'!$B:$C,2,FALSE)</f>
        <v>JCC PRE JUD SOBR C.CTE.PN VENC GL7003   1ND</v>
      </c>
    </row>
    <row r="380" spans="1:10" x14ac:dyDescent="0.35">
      <c r="A380" s="47"/>
      <c r="B380" s="46"/>
      <c r="C380" s="11" t="s">
        <v>287</v>
      </c>
      <c r="D380" s="9">
        <v>1800097.2</v>
      </c>
      <c r="E380" s="9">
        <v>1800097.2</v>
      </c>
      <c r="F380" s="16">
        <v>1800097.2</v>
      </c>
      <c r="G380" s="8">
        <f t="shared" si="10"/>
        <v>0</v>
      </c>
      <c r="H380" s="8">
        <f t="shared" si="11"/>
        <v>0</v>
      </c>
      <c r="I380" s="4"/>
      <c r="J380" s="16" t="str">
        <f>VLOOKUP(C380,'[1]GLOCUENTAS (1)'!$B:$C,2,FALSE)</f>
        <v>JCC PREJUD NO REVOL CRE.VEHICULAR       1ND</v>
      </c>
    </row>
    <row r="381" spans="1:10" x14ac:dyDescent="0.35">
      <c r="A381" s="47"/>
      <c r="B381" s="46"/>
      <c r="C381" s="11" t="s">
        <v>540</v>
      </c>
      <c r="D381" s="9">
        <v>756310.75</v>
      </c>
      <c r="E381" s="9">
        <v>756310.75</v>
      </c>
      <c r="F381" s="16">
        <v>756310.75</v>
      </c>
      <c r="G381" s="8">
        <f t="shared" si="10"/>
        <v>0</v>
      </c>
      <c r="H381" s="8">
        <f t="shared" si="11"/>
        <v>0</v>
      </c>
      <c r="I381" s="4"/>
      <c r="J381" s="16" t="str">
        <f>VLOOKUP(C381,'[1]GLOCUENTAS (1)'!$B:$C,2,FALSE)</f>
        <v>JCC PRE JUD PREST EFEC GTIA HIPOTEC     1ND</v>
      </c>
    </row>
    <row r="382" spans="1:10" x14ac:dyDescent="0.35">
      <c r="A382" s="47"/>
      <c r="B382" s="46"/>
      <c r="C382" s="11" t="s">
        <v>294</v>
      </c>
      <c r="D382" s="9">
        <v>53389273.469999999</v>
      </c>
      <c r="E382" s="9">
        <v>53389273.469999999</v>
      </c>
      <c r="F382" s="16">
        <v>53389273.469999999</v>
      </c>
      <c r="G382" s="8">
        <f t="shared" si="10"/>
        <v>0</v>
      </c>
      <c r="H382" s="8">
        <f t="shared" si="11"/>
        <v>0</v>
      </c>
      <c r="I382" s="4"/>
      <c r="J382" s="16" t="str">
        <f>VLOOKUP(C382,'[1]GLOCUENTAS (1)'!$B:$C,2,FALSE)</f>
        <v>JCC PREJUD EFEC.NO REV LIBR.DIS         1ND</v>
      </c>
    </row>
    <row r="383" spans="1:10" x14ac:dyDescent="0.35">
      <c r="A383" s="47"/>
      <c r="B383" s="46"/>
      <c r="C383" s="11" t="s">
        <v>541</v>
      </c>
      <c r="D383" s="9">
        <v>85720547.530000001</v>
      </c>
      <c r="E383" s="9">
        <v>85720547.530000001</v>
      </c>
      <c r="F383" s="16">
        <v>85720547.530000001</v>
      </c>
      <c r="G383" s="8">
        <f t="shared" si="10"/>
        <v>0</v>
      </c>
      <c r="H383" s="8">
        <f t="shared" si="11"/>
        <v>0</v>
      </c>
      <c r="I383" s="4"/>
      <c r="J383" s="16" t="str">
        <f>VLOOKUP(C383,'[1]GLOCUENTAS (1)'!$B:$C,2,FALSE)</f>
        <v>JCC PREJU NO REVO CONV.NOELEG I         1ND</v>
      </c>
    </row>
    <row r="384" spans="1:10" x14ac:dyDescent="0.35">
      <c r="A384" s="47"/>
      <c r="B384" s="46"/>
      <c r="C384" s="11" t="s">
        <v>543</v>
      </c>
      <c r="D384" s="9">
        <v>22604297.030000001</v>
      </c>
      <c r="E384" s="9">
        <v>22604297.030000001</v>
      </c>
      <c r="F384" s="16">
        <v>22604297.030000001</v>
      </c>
      <c r="G384" s="8">
        <f t="shared" si="10"/>
        <v>0</v>
      </c>
      <c r="H384" s="8">
        <f t="shared" si="11"/>
        <v>0</v>
      </c>
      <c r="I384" s="4"/>
      <c r="J384" s="16" t="str">
        <f>VLOOKUP(C384,'[1]GLOCUENTAS (1)'!$B:$C,2,FALSE)</f>
        <v>JCC PRE.JUD.REFINANCIADOS               1ND</v>
      </c>
    </row>
    <row r="385" spans="1:10" x14ac:dyDescent="0.35">
      <c r="A385" s="47"/>
      <c r="B385" s="46"/>
      <c r="C385" s="11" t="s">
        <v>544</v>
      </c>
      <c r="D385" s="9">
        <v>1907488.05</v>
      </c>
      <c r="E385" s="9">
        <v>1907488.05</v>
      </c>
      <c r="F385" s="16">
        <v>1907488.05</v>
      </c>
      <c r="G385" s="8">
        <f t="shared" si="10"/>
        <v>0</v>
      </c>
      <c r="H385" s="8">
        <f t="shared" si="11"/>
        <v>0</v>
      </c>
      <c r="I385" s="4"/>
      <c r="J385" s="16" t="str">
        <f>VLOOKUP(C385,'[1]GLOCUENTAS (1)'!$B:$C,2,FALSE)</f>
        <v>JCC PREJUD REFINANC TC VISA             1 D</v>
      </c>
    </row>
    <row r="386" spans="1:10" x14ac:dyDescent="0.35">
      <c r="A386" s="47"/>
      <c r="B386" s="46"/>
      <c r="C386" s="11" t="s">
        <v>545</v>
      </c>
      <c r="D386" s="9">
        <v>303462.34000000003</v>
      </c>
      <c r="E386" s="9">
        <v>303462.34000000003</v>
      </c>
      <c r="F386" s="16">
        <v>303462.34000000003</v>
      </c>
      <c r="G386" s="8">
        <f t="shared" ref="G386:G449" si="12">F386-E386</f>
        <v>0</v>
      </c>
      <c r="H386" s="8">
        <f t="shared" si="11"/>
        <v>0</v>
      </c>
      <c r="I386" s="4"/>
      <c r="J386" s="16" t="str">
        <f>VLOOKUP(C386,'[1]GLOCUENTAS (1)'!$B:$C,2,FALSE)</f>
        <v>JCC PREJUD REFINANC TC AMEX             1 D</v>
      </c>
    </row>
    <row r="387" spans="1:10" x14ac:dyDescent="0.35">
      <c r="A387" s="47"/>
      <c r="B387" s="46"/>
      <c r="C387" s="11" t="s">
        <v>275</v>
      </c>
      <c r="D387" s="9">
        <v>19618998.66</v>
      </c>
      <c r="E387" s="9">
        <v>19618998.66</v>
      </c>
      <c r="F387" s="16">
        <v>19618998.66</v>
      </c>
      <c r="G387" s="8">
        <f t="shared" si="12"/>
        <v>0</v>
      </c>
      <c r="H387" s="8">
        <f t="shared" ref="H387:H450" si="13">F387-D387</f>
        <v>0</v>
      </c>
      <c r="I387" s="4"/>
      <c r="J387" s="16" t="str">
        <f>VLOOKUP(C387,'[1]GLOCUENTAS (1)'!$B:$C,2,FALSE)</f>
        <v>JCC PRE JUD CRED HIPOT-REC JCC VENC CHPV1ND</v>
      </c>
    </row>
    <row r="388" spans="1:10" x14ac:dyDescent="0.35">
      <c r="A388" s="47"/>
      <c r="B388" s="46"/>
      <c r="C388" s="11" t="s">
        <v>546</v>
      </c>
      <c r="D388" s="9">
        <v>1510.38</v>
      </c>
      <c r="E388" s="9">
        <v>1510.38</v>
      </c>
      <c r="F388" s="16">
        <v>1510.38</v>
      </c>
      <c r="G388" s="8">
        <f t="shared" si="12"/>
        <v>0</v>
      </c>
      <c r="H388" s="8">
        <f t="shared" si="13"/>
        <v>0</v>
      </c>
      <c r="I388" s="4"/>
      <c r="J388" s="16" t="str">
        <f>VLOOKUP(C388,'[1]GLOCUENTAS (1)'!$B:$C,2,FALSE)</f>
        <v>JCC PRE JUD H. MIVIVIENDA RP CHPV       1ND</v>
      </c>
    </row>
    <row r="389" spans="1:10" x14ac:dyDescent="0.35">
      <c r="A389" s="47"/>
      <c r="B389" s="46"/>
      <c r="C389" s="11" t="s">
        <v>285</v>
      </c>
      <c r="D389" s="9">
        <v>3265137.05</v>
      </c>
      <c r="E389" s="9">
        <v>3265137.05</v>
      </c>
      <c r="F389" s="16">
        <v>3265137.05</v>
      </c>
      <c r="G389" s="8">
        <f t="shared" si="12"/>
        <v>0</v>
      </c>
      <c r="H389" s="8">
        <f t="shared" si="13"/>
        <v>0</v>
      </c>
      <c r="I389" s="4"/>
      <c r="J389" s="16" t="str">
        <f>VLOOKUP(C389,'[1]GLOCUENTAS (1)'!$B:$C,2,FALSE)</f>
        <v>JCC PREJUD HIPOT.MI VIVIEND VEN COFIDE  1ND</v>
      </c>
    </row>
    <row r="390" spans="1:10" x14ac:dyDescent="0.35">
      <c r="A390" s="47"/>
      <c r="B390" s="46"/>
      <c r="C390" s="11" t="s">
        <v>229</v>
      </c>
      <c r="D390" s="9">
        <v>56068.18</v>
      </c>
      <c r="E390" s="9">
        <v>56068.18</v>
      </c>
      <c r="F390" s="16">
        <v>56068.18</v>
      </c>
      <c r="G390" s="8">
        <f t="shared" si="12"/>
        <v>0</v>
      </c>
      <c r="H390" s="8">
        <f t="shared" si="13"/>
        <v>0</v>
      </c>
      <c r="I390" s="4"/>
      <c r="J390" s="16" t="str">
        <f>VLOOKUP(C390,'[1]GLOCUENTAS (1)'!$B:$C,2,FALSE)</f>
        <v>JCC  CAPITAL TECHO PROPIO VENC -90      1ND</v>
      </c>
    </row>
    <row r="391" spans="1:10" x14ac:dyDescent="0.35">
      <c r="A391" s="47"/>
      <c r="B391" s="46"/>
      <c r="C391" s="11" t="s">
        <v>547</v>
      </c>
      <c r="D391" s="9">
        <v>212036.41</v>
      </c>
      <c r="E391" s="9">
        <v>212036.41</v>
      </c>
      <c r="F391" s="16">
        <v>212036.41</v>
      </c>
      <c r="G391" s="8">
        <f t="shared" si="12"/>
        <v>0</v>
      </c>
      <c r="H391" s="8">
        <f t="shared" si="13"/>
        <v>0</v>
      </c>
      <c r="I391" s="4"/>
      <c r="J391" s="16" t="str">
        <f>VLOOKUP(C391,'[1]GLOCUENTAS (1)'!$B:$C,2,FALSE)</f>
        <v>JCC MYP PJ CAP TRAB CMED                1ND</v>
      </c>
    </row>
    <row r="392" spans="1:10" x14ac:dyDescent="0.35">
      <c r="A392" s="47"/>
      <c r="B392" s="46"/>
      <c r="C392" s="11" t="s">
        <v>211</v>
      </c>
      <c r="D392" s="9">
        <v>54072</v>
      </c>
      <c r="E392" s="9">
        <v>54072</v>
      </c>
      <c r="F392" s="16">
        <v>54072</v>
      </c>
      <c r="G392" s="8">
        <f t="shared" si="12"/>
        <v>0</v>
      </c>
      <c r="H392" s="8">
        <f t="shared" si="13"/>
        <v>0</v>
      </c>
      <c r="I392" s="4"/>
      <c r="J392" s="16" t="str">
        <f>VLOOKUP(C392,'[1]GLOCUENTAS (1)'!$B:$C,2,FALSE)</f>
        <v>JCC PRE JUDIC RP CAP.TRAB VENC NO REVOLV1 D</v>
      </c>
    </row>
    <row r="393" spans="1:10" x14ac:dyDescent="0.35">
      <c r="A393" s="47"/>
      <c r="B393" s="46"/>
      <c r="C393" s="11" t="s">
        <v>548</v>
      </c>
      <c r="D393" s="9">
        <v>6983803.8600000003</v>
      </c>
      <c r="E393" s="9">
        <v>6983803.8600000003</v>
      </c>
      <c r="F393" s="16">
        <v>6983803.8600000003</v>
      </c>
      <c r="G393" s="8">
        <f t="shared" si="12"/>
        <v>0</v>
      </c>
      <c r="H393" s="8">
        <f t="shared" si="13"/>
        <v>0</v>
      </c>
      <c r="I393" s="4"/>
      <c r="J393" s="16" t="str">
        <f>VLOOKUP(C393,'[1]GLOCUENTAS (1)'!$B:$C,2,FALSE)</f>
        <v>JCC MP PRE JUD IMPLUSO MYPERU HONRADO IB1 D</v>
      </c>
    </row>
    <row r="394" spans="1:10" x14ac:dyDescent="0.35">
      <c r="A394" s="47"/>
      <c r="B394" s="46"/>
      <c r="C394" s="11" t="s">
        <v>549</v>
      </c>
      <c r="D394" s="9">
        <v>10974.39</v>
      </c>
      <c r="E394" s="9">
        <v>10974.39</v>
      </c>
      <c r="F394" s="16">
        <v>10974.39</v>
      </c>
      <c r="G394" s="8">
        <f t="shared" si="12"/>
        <v>0</v>
      </c>
      <c r="H394" s="8">
        <f t="shared" si="13"/>
        <v>0</v>
      </c>
      <c r="I394" s="4"/>
      <c r="J394" s="16" t="str">
        <f>VLOOKUP(C394,'[1]GLOCUENTAS (1)'!$B:$C,2,FALSE)</f>
        <v>JCC MYP PRE-JUD.CAP.TRAB.REV.CMED       1ND</v>
      </c>
    </row>
    <row r="395" spans="1:10" x14ac:dyDescent="0.35">
      <c r="A395" s="47"/>
      <c r="B395" s="46"/>
      <c r="C395" s="11" t="s">
        <v>550</v>
      </c>
      <c r="D395" s="9">
        <v>815311.57</v>
      </c>
      <c r="E395" s="9">
        <v>815311.57</v>
      </c>
      <c r="F395" s="16">
        <v>815311.57</v>
      </c>
      <c r="G395" s="8">
        <f t="shared" si="12"/>
        <v>0</v>
      </c>
      <c r="H395" s="8">
        <f t="shared" si="13"/>
        <v>0</v>
      </c>
      <c r="I395" s="4"/>
      <c r="J395" s="16" t="str">
        <f>VLOOKUP(C395,'[1]GLOCUENTAS (1)'!$B:$C,2,FALSE)</f>
        <v>JCC  MYP CAP TRAB PRE JUD  CMED         1ND</v>
      </c>
    </row>
    <row r="396" spans="1:10" x14ac:dyDescent="0.35">
      <c r="A396" s="47"/>
      <c r="B396" s="46"/>
      <c r="C396" s="11" t="s">
        <v>551</v>
      </c>
      <c r="D396" s="9">
        <v>893778.2</v>
      </c>
      <c r="E396" s="9">
        <v>893778.2</v>
      </c>
      <c r="F396" s="16">
        <v>893778.2</v>
      </c>
      <c r="G396" s="8">
        <f t="shared" si="12"/>
        <v>0</v>
      </c>
      <c r="H396" s="8">
        <f t="shared" si="13"/>
        <v>0</v>
      </c>
      <c r="I396" s="4"/>
      <c r="J396" s="16" t="str">
        <f>VLOOKUP(C396,'[1]GLOCUENTAS (1)'!$B:$C,2,FALSE)</f>
        <v>JCC PREJUD RP CAPTRAB VENC NO REVOLV CME1ND</v>
      </c>
    </row>
    <row r="397" spans="1:10" x14ac:dyDescent="0.35">
      <c r="A397" s="47"/>
      <c r="B397" s="46"/>
      <c r="C397" s="11" t="s">
        <v>552</v>
      </c>
      <c r="D397" s="9">
        <v>351551.39</v>
      </c>
      <c r="E397" s="9">
        <v>351551.39</v>
      </c>
      <c r="F397" s="16">
        <v>351551.39</v>
      </c>
      <c r="G397" s="8">
        <f t="shared" si="12"/>
        <v>0</v>
      </c>
      <c r="H397" s="8">
        <f t="shared" si="13"/>
        <v>0</v>
      </c>
      <c r="I397" s="4"/>
      <c r="J397" s="16" t="str">
        <f>VLOOKUP(C397,'[1]GLOCUENTAS (1)'!$B:$C,2,FALSE)</f>
        <v>JCC PRE JUD REACTIVA PERU NO REVOLV CMED1ND</v>
      </c>
    </row>
    <row r="398" spans="1:10" x14ac:dyDescent="0.35">
      <c r="A398" s="47"/>
      <c r="B398" s="46"/>
      <c r="C398" s="11" t="s">
        <v>553</v>
      </c>
      <c r="D398" s="9">
        <v>133726.85</v>
      </c>
      <c r="E398" s="9">
        <v>133726.85</v>
      </c>
      <c r="F398" s="16">
        <v>133726.85</v>
      </c>
      <c r="G398" s="8">
        <f t="shared" si="12"/>
        <v>0</v>
      </c>
      <c r="H398" s="8">
        <f t="shared" si="13"/>
        <v>0</v>
      </c>
      <c r="I398" s="4"/>
      <c r="J398" s="16" t="str">
        <f>VLOOKUP(C398,'[1]GLOCUENTAS (1)'!$B:$C,2,FALSE)</f>
        <v>JCC PRE JUD REACTIVA PERU NO REVOLV CMED1 D</v>
      </c>
    </row>
    <row r="399" spans="1:10" x14ac:dyDescent="0.35">
      <c r="A399" s="47"/>
      <c r="B399" s="46"/>
      <c r="C399" s="11" t="s">
        <v>554</v>
      </c>
      <c r="D399" s="9">
        <v>50487.08</v>
      </c>
      <c r="E399" s="9">
        <v>50487.08</v>
      </c>
      <c r="F399" s="16">
        <v>50487.08</v>
      </c>
      <c r="G399" s="8">
        <f t="shared" si="12"/>
        <v>0</v>
      </c>
      <c r="H399" s="8">
        <f t="shared" si="13"/>
        <v>0</v>
      </c>
      <c r="I399" s="4"/>
      <c r="J399" s="16" t="str">
        <f>VLOOKUP(C399,'[1]GLOCUENTAS (1)'!$B:$C,2,FALSE)</f>
        <v>JCC MP PRE JUD CAP IMPULSO MYPERU IBK CM1 D</v>
      </c>
    </row>
    <row r="400" spans="1:10" x14ac:dyDescent="0.35">
      <c r="A400" s="47"/>
      <c r="B400" s="46"/>
      <c r="C400" s="11" t="s">
        <v>555</v>
      </c>
      <c r="D400" s="9">
        <v>2645052.1</v>
      </c>
      <c r="E400" s="9">
        <v>2645052.1</v>
      </c>
      <c r="F400" s="16">
        <v>2645052.1</v>
      </c>
      <c r="G400" s="8">
        <f t="shared" si="12"/>
        <v>0</v>
      </c>
      <c r="H400" s="8">
        <f t="shared" si="13"/>
        <v>0</v>
      </c>
      <c r="I400" s="4"/>
      <c r="J400" s="16" t="str">
        <f>VLOOKUP(C400,'[1]GLOCUENTAS (1)'!$B:$C,2,FALSE)</f>
        <v>JCC MP PRE JUD IMPLUSO MYPERU HONRADO IB1 D</v>
      </c>
    </row>
    <row r="401" spans="1:10" x14ac:dyDescent="0.35">
      <c r="A401" s="47"/>
      <c r="B401" s="46"/>
      <c r="C401" s="11" t="s">
        <v>262</v>
      </c>
      <c r="D401" s="9">
        <v>137808.63</v>
      </c>
      <c r="E401" s="9">
        <v>64129.22</v>
      </c>
      <c r="F401" s="16">
        <v>64129.22</v>
      </c>
      <c r="G401" s="8">
        <f t="shared" si="12"/>
        <v>0</v>
      </c>
      <c r="H401" s="8">
        <f t="shared" si="13"/>
        <v>-73679.41</v>
      </c>
      <c r="I401" s="4"/>
      <c r="J401" s="16" t="str">
        <f>VLOOKUP(C401,'[1]GLOCUENTAS (1)'!$B:$C,2,FALSE)</f>
        <v>JCC PRE JUDIC DSCTO.LETRAS VENC CPEM GL71ND</v>
      </c>
    </row>
    <row r="402" spans="1:10" x14ac:dyDescent="0.35">
      <c r="A402" s="47"/>
      <c r="B402" s="46"/>
      <c r="C402" s="11" t="s">
        <v>556</v>
      </c>
      <c r="D402" s="9">
        <v>1044661.83</v>
      </c>
      <c r="E402" s="9">
        <v>1044661.83</v>
      </c>
      <c r="F402" s="16">
        <v>1044661.83</v>
      </c>
      <c r="G402" s="8">
        <f t="shared" si="12"/>
        <v>0</v>
      </c>
      <c r="H402" s="8">
        <f t="shared" si="13"/>
        <v>0</v>
      </c>
      <c r="I402" s="4"/>
      <c r="J402" s="16" t="str">
        <f>VLOOKUP(C402,'[1]GLOCUENTAS (1)'!$B:$C,2,FALSE)</f>
        <v>JCC MYP PRE-JUD.CAP.TRAB.REV.CPEM       1ND</v>
      </c>
    </row>
    <row r="403" spans="1:10" x14ac:dyDescent="0.35">
      <c r="A403" s="47"/>
      <c r="B403" s="46"/>
      <c r="C403" s="11" t="s">
        <v>557</v>
      </c>
      <c r="D403" s="9">
        <v>1332.01</v>
      </c>
      <c r="E403" s="9">
        <v>1332.01</v>
      </c>
      <c r="F403" s="16">
        <v>1332.01</v>
      </c>
      <c r="G403" s="8">
        <f t="shared" si="12"/>
        <v>0</v>
      </c>
      <c r="H403" s="8">
        <f t="shared" si="13"/>
        <v>0</v>
      </c>
      <c r="I403" s="4"/>
      <c r="J403" s="16" t="str">
        <f>VLOOKUP(C403,'[1]GLOCUENTAS (1)'!$B:$C,2,FALSE)</f>
        <v>JCC PRE JUDIC MYP COMP INM  NR CPEM     1ND</v>
      </c>
    </row>
    <row r="404" spans="1:10" x14ac:dyDescent="0.35">
      <c r="A404" s="47"/>
      <c r="B404" s="46"/>
      <c r="C404" s="11" t="s">
        <v>558</v>
      </c>
      <c r="D404" s="9">
        <v>42921.13</v>
      </c>
      <c r="E404" s="9">
        <v>42921.13</v>
      </c>
      <c r="F404" s="16">
        <v>42921.13</v>
      </c>
      <c r="G404" s="8">
        <f t="shared" si="12"/>
        <v>0</v>
      </c>
      <c r="H404" s="8">
        <f t="shared" si="13"/>
        <v>0</v>
      </c>
      <c r="I404" s="4"/>
      <c r="J404" s="16" t="str">
        <f>VLOOKUP(C404,'[1]GLOCUENTAS (1)'!$B:$C,2,FALSE)</f>
        <v>JCC CJ MYP COMP AF MUE NRV CPEM         1ND</v>
      </c>
    </row>
    <row r="405" spans="1:10" x14ac:dyDescent="0.35">
      <c r="A405" s="47"/>
      <c r="B405" s="46"/>
      <c r="C405" s="11" t="s">
        <v>559</v>
      </c>
      <c r="D405" s="9">
        <v>17657324.940000001</v>
      </c>
      <c r="E405" s="9">
        <v>17657324.940000001</v>
      </c>
      <c r="F405" s="16">
        <v>17657324.940000001</v>
      </c>
      <c r="G405" s="8">
        <f t="shared" si="12"/>
        <v>0</v>
      </c>
      <c r="H405" s="8">
        <f t="shared" si="13"/>
        <v>0</v>
      </c>
      <c r="I405" s="4"/>
      <c r="J405" s="16" t="str">
        <f>VLOOKUP(C405,'[1]GLOCUENTAS (1)'!$B:$C,2,FALSE)</f>
        <v>JCC MYP CAP TRAB PRE JUD  CPEM          1ND</v>
      </c>
    </row>
    <row r="406" spans="1:10" x14ac:dyDescent="0.35">
      <c r="A406" s="47"/>
      <c r="B406" s="46"/>
      <c r="C406" s="11" t="s">
        <v>560</v>
      </c>
      <c r="D406" s="9">
        <v>43112.95</v>
      </c>
      <c r="E406" s="9">
        <v>43112.95</v>
      </c>
      <c r="F406" s="16">
        <v>43112.95</v>
      </c>
      <c r="G406" s="8">
        <f t="shared" si="12"/>
        <v>0</v>
      </c>
      <c r="H406" s="8">
        <f t="shared" si="13"/>
        <v>0</v>
      </c>
      <c r="I406" s="4"/>
      <c r="J406" s="16" t="str">
        <f>VLOOKUP(C406,'[1]GLOCUENTAS (1)'!$B:$C,2,FALSE)</f>
        <v>JCC PRE JUDIC MYP CRED ESTAC NR CPEM    1ND</v>
      </c>
    </row>
    <row r="407" spans="1:10" x14ac:dyDescent="0.35">
      <c r="A407" s="47"/>
      <c r="B407" s="46"/>
      <c r="C407" s="11" t="s">
        <v>561</v>
      </c>
      <c r="D407" s="9">
        <v>437869.06</v>
      </c>
      <c r="E407" s="9">
        <v>437869.06</v>
      </c>
      <c r="F407" s="16">
        <v>437869.06</v>
      </c>
      <c r="G407" s="8">
        <f t="shared" si="12"/>
        <v>0</v>
      </c>
      <c r="H407" s="8">
        <f t="shared" si="13"/>
        <v>0</v>
      </c>
      <c r="I407" s="4"/>
      <c r="J407" s="16" t="str">
        <f>VLOOKUP(C407,'[1]GLOCUENTAS (1)'!$B:$C,2,FALSE)</f>
        <v>JCC PRE JUD REACTIVA PERU NO REVOLV CPEM1 D</v>
      </c>
    </row>
    <row r="408" spans="1:10" x14ac:dyDescent="0.35">
      <c r="A408" s="47"/>
      <c r="B408" s="46"/>
      <c r="C408" s="11" t="s">
        <v>562</v>
      </c>
      <c r="D408" s="9">
        <v>80390.87</v>
      </c>
      <c r="E408" s="9">
        <v>80390.87</v>
      </c>
      <c r="F408" s="16">
        <v>80390.87</v>
      </c>
      <c r="G408" s="8">
        <f t="shared" si="12"/>
        <v>0</v>
      </c>
      <c r="H408" s="8">
        <f t="shared" si="13"/>
        <v>0</v>
      </c>
      <c r="I408" s="4"/>
      <c r="J408" s="16" t="str">
        <f>VLOOKUP(C408,'[1]GLOCUENTAS (1)'!$B:$C,2,FALSE)</f>
        <v>JCC PRE JUD FONDO CRECER CPEM           1 D</v>
      </c>
    </row>
    <row r="409" spans="1:10" x14ac:dyDescent="0.35">
      <c r="A409" s="47"/>
      <c r="B409" s="46"/>
      <c r="C409" s="11" t="s">
        <v>563</v>
      </c>
      <c r="D409" s="9">
        <v>327352.89</v>
      </c>
      <c r="E409" s="9">
        <v>85659.29</v>
      </c>
      <c r="F409" s="16">
        <v>85659.29</v>
      </c>
      <c r="G409" s="8">
        <f t="shared" si="12"/>
        <v>0</v>
      </c>
      <c r="H409" s="8">
        <f t="shared" si="13"/>
        <v>-241693.60000000003</v>
      </c>
      <c r="I409" s="4"/>
      <c r="J409" s="16" t="str">
        <f>VLOOKUP(C409,'[1]GLOCUENTAS (1)'!$B:$C,2,FALSE)</f>
        <v>JCC PRE JUD REACTIVA PRE-HONRAMIENTO CPE1 D</v>
      </c>
    </row>
    <row r="410" spans="1:10" x14ac:dyDescent="0.35">
      <c r="A410" s="47"/>
      <c r="B410" s="46"/>
      <c r="C410" s="11" t="s">
        <v>564</v>
      </c>
      <c r="D410" s="9">
        <v>497024.81</v>
      </c>
      <c r="E410" s="9">
        <v>497024.81</v>
      </c>
      <c r="F410" s="16">
        <v>497024.81</v>
      </c>
      <c r="G410" s="8">
        <f t="shared" si="12"/>
        <v>0</v>
      </c>
      <c r="H410" s="8">
        <f t="shared" si="13"/>
        <v>0</v>
      </c>
      <c r="I410" s="4"/>
      <c r="J410" s="16" t="str">
        <f>VLOOKUP(C410,'[1]GLOCUENTAS (1)'!$B:$C,2,FALSE)</f>
        <v>JCC PRE JU REACTIVA PRE-HONRAMIENTO REPR1 D</v>
      </c>
    </row>
    <row r="411" spans="1:10" x14ac:dyDescent="0.35">
      <c r="A411" s="47"/>
      <c r="B411" s="46"/>
      <c r="C411" s="11" t="s">
        <v>565</v>
      </c>
      <c r="D411" s="9">
        <v>3647158.69</v>
      </c>
      <c r="E411" s="9">
        <v>3647158.69</v>
      </c>
      <c r="F411" s="16">
        <v>3647158.69</v>
      </c>
      <c r="G411" s="8">
        <f t="shared" si="12"/>
        <v>0</v>
      </c>
      <c r="H411" s="8">
        <f t="shared" si="13"/>
        <v>0</v>
      </c>
      <c r="I411" s="4"/>
      <c r="J411" s="16" t="str">
        <f>VLOOKUP(C411,'[1]GLOCUENTAS (1)'!$B:$C,2,FALSE)</f>
        <v>JCC MP PRE JUD CAP IMPULSO MYPERU IBK CP1 D</v>
      </c>
    </row>
    <row r="412" spans="1:10" x14ac:dyDescent="0.35">
      <c r="A412" s="47"/>
      <c r="B412" s="46"/>
      <c r="C412" s="11" t="s">
        <v>238</v>
      </c>
      <c r="D412" s="9">
        <v>95921.98</v>
      </c>
      <c r="E412" s="9">
        <v>95921.98</v>
      </c>
      <c r="F412" s="16">
        <v>95921.98</v>
      </c>
      <c r="G412" s="8">
        <f t="shared" si="12"/>
        <v>0</v>
      </c>
      <c r="H412" s="8">
        <f t="shared" si="13"/>
        <v>0</v>
      </c>
      <c r="I412" s="4"/>
      <c r="J412" s="16" t="str">
        <f>VLOOKUP(C412,'[1]GLOCUENTAS (1)'!$B:$C,2,FALSE)</f>
        <v>JCC PRE JUDIC RP CAP.TRAB VENC NO REVOLV1 D</v>
      </c>
    </row>
    <row r="413" spans="1:10" x14ac:dyDescent="0.35">
      <c r="A413" s="47"/>
      <c r="B413" s="46"/>
      <c r="C413" s="11" t="s">
        <v>566</v>
      </c>
      <c r="D413" s="9">
        <v>17509</v>
      </c>
      <c r="E413" s="9">
        <v>17509</v>
      </c>
      <c r="F413" s="16">
        <v>17509</v>
      </c>
      <c r="G413" s="8">
        <f t="shared" si="12"/>
        <v>0</v>
      </c>
      <c r="H413" s="8">
        <f t="shared" si="13"/>
        <v>0</v>
      </c>
      <c r="I413" s="4"/>
      <c r="J413" s="16" t="str">
        <f>VLOOKUP(C413,'[1]GLOCUENTAS (1)'!$B:$C,2,FALSE)</f>
        <v>JCC COBJUD TCVISA PJ-DIS.EFE MES        1ND</v>
      </c>
    </row>
    <row r="414" spans="1:10" x14ac:dyDescent="0.35">
      <c r="A414" s="47"/>
      <c r="B414" s="46"/>
      <c r="C414" s="11" t="s">
        <v>567</v>
      </c>
      <c r="D414" s="9">
        <v>0</v>
      </c>
      <c r="E414" s="9">
        <v>0</v>
      </c>
      <c r="F414" s="16">
        <v>0</v>
      </c>
      <c r="G414" s="8">
        <f t="shared" si="12"/>
        <v>0</v>
      </c>
      <c r="H414" s="8">
        <f t="shared" si="13"/>
        <v>0</v>
      </c>
      <c r="I414" s="4"/>
      <c r="J414" s="16" t="str">
        <f>VLOOKUP(C414,'[1]GLOCUENTAS (1)'!$B:$C,2,FALSE)</f>
        <v>JCC COB.JUD CTA.CTE. PJ MES             1ND</v>
      </c>
    </row>
    <row r="415" spans="1:10" x14ac:dyDescent="0.35">
      <c r="A415" s="47"/>
      <c r="B415" s="46"/>
      <c r="C415" s="11" t="s">
        <v>568</v>
      </c>
      <c r="D415" s="9">
        <v>1692.44</v>
      </c>
      <c r="E415" s="9">
        <v>1692.44</v>
      </c>
      <c r="F415" s="16">
        <v>1692.44</v>
      </c>
      <c r="G415" s="8">
        <f t="shared" si="12"/>
        <v>0</v>
      </c>
      <c r="H415" s="8">
        <f t="shared" si="13"/>
        <v>0</v>
      </c>
      <c r="I415" s="4"/>
      <c r="J415" s="16" t="str">
        <f>VLOOKUP(C415,'[1]GLOCUENTAS (1)'!$B:$C,2,FALSE)</f>
        <v>JCC MYP JUD.CAP.TRAB.REV.CMIE           1ND</v>
      </c>
    </row>
    <row r="416" spans="1:10" x14ac:dyDescent="0.35">
      <c r="A416" s="47"/>
      <c r="B416" s="46"/>
      <c r="C416" s="11" t="s">
        <v>569</v>
      </c>
      <c r="D416" s="9">
        <v>49860.62</v>
      </c>
      <c r="E416" s="9">
        <v>49860.62</v>
      </c>
      <c r="F416" s="16">
        <v>49860.62</v>
      </c>
      <c r="G416" s="8">
        <f t="shared" si="12"/>
        <v>0</v>
      </c>
      <c r="H416" s="8">
        <f t="shared" si="13"/>
        <v>0</v>
      </c>
      <c r="I416" s="4"/>
      <c r="J416" s="16" t="str">
        <f>VLOOKUP(C416,'[1]GLOCUENTAS (1)'!$B:$C,2,FALSE)</f>
        <v>JCC MYP CAP TRAB MES                    1ND</v>
      </c>
    </row>
    <row r="417" spans="1:10" x14ac:dyDescent="0.35">
      <c r="A417" s="47"/>
      <c r="B417" s="46"/>
      <c r="C417" s="11" t="s">
        <v>570</v>
      </c>
      <c r="D417" s="9">
        <v>6586.84</v>
      </c>
      <c r="E417" s="9">
        <v>6586.84</v>
      </c>
      <c r="F417" s="16">
        <v>6586.84</v>
      </c>
      <c r="G417" s="8">
        <f t="shared" si="12"/>
        <v>0</v>
      </c>
      <c r="H417" s="8">
        <f t="shared" si="13"/>
        <v>0</v>
      </c>
      <c r="I417" s="4"/>
      <c r="J417" s="16" t="str">
        <f>VLOOKUP(C417,'[1]GLOCUENTAS (1)'!$B:$C,2,FALSE)</f>
        <v>JCC CJ MYP COMP AF INMUEB MES           1ND</v>
      </c>
    </row>
    <row r="418" spans="1:10" x14ac:dyDescent="0.35">
      <c r="A418" s="47"/>
      <c r="B418" s="46"/>
      <c r="C418" s="11" t="s">
        <v>571</v>
      </c>
      <c r="D418" s="9">
        <v>467.31</v>
      </c>
      <c r="E418" s="9">
        <v>467.31</v>
      </c>
      <c r="F418" s="16">
        <v>467.31</v>
      </c>
      <c r="G418" s="8">
        <f t="shared" si="12"/>
        <v>0</v>
      </c>
      <c r="H418" s="8">
        <f t="shared" si="13"/>
        <v>0</v>
      </c>
      <c r="I418" s="4"/>
      <c r="J418" s="16" t="str">
        <f>VLOOKUP(C418,'[1]GLOCUENTAS (1)'!$B:$C,2,FALSE)</f>
        <v>JCC COB JUD REACTIVA PERU NO REVOLV CMIE1 D</v>
      </c>
    </row>
    <row r="419" spans="1:10" x14ac:dyDescent="0.35">
      <c r="A419" s="47"/>
      <c r="B419" s="46"/>
      <c r="C419" s="11" t="s">
        <v>572</v>
      </c>
      <c r="D419" s="9">
        <v>8240.4599999999991</v>
      </c>
      <c r="E419" s="9">
        <v>2060.67</v>
      </c>
      <c r="F419" s="16">
        <v>2060.67</v>
      </c>
      <c r="G419" s="8">
        <f t="shared" si="12"/>
        <v>0</v>
      </c>
      <c r="H419" s="8">
        <f t="shared" si="13"/>
        <v>-6179.7899999999991</v>
      </c>
      <c r="I419" s="4"/>
      <c r="J419" s="16" t="str">
        <f>VLOOKUP(C419,'[1]GLOCUENTAS (1)'!$B:$C,2,FALSE)</f>
        <v>JCC COB JUD FONDO CRECER CMIE           1 D</v>
      </c>
    </row>
    <row r="420" spans="1:10" x14ac:dyDescent="0.35">
      <c r="A420" s="47"/>
      <c r="B420" s="46"/>
      <c r="C420" s="11" t="s">
        <v>306</v>
      </c>
      <c r="D420" s="9">
        <v>0</v>
      </c>
      <c r="E420" s="9">
        <v>0</v>
      </c>
      <c r="F420" s="16">
        <v>0</v>
      </c>
      <c r="G420" s="8">
        <f t="shared" si="12"/>
        <v>0</v>
      </c>
      <c r="H420" s="8">
        <f t="shared" si="13"/>
        <v>0</v>
      </c>
      <c r="I420" s="4"/>
      <c r="J420" s="16" t="str">
        <f>VLOOKUP(C420,'[1]GLOCUENTAS (1)'!$B:$C,2,FALSE)</f>
        <v>JCC COB JUD PAG.TV NO REV. CMIE         1 D</v>
      </c>
    </row>
    <row r="421" spans="1:10" x14ac:dyDescent="0.35">
      <c r="A421" s="47"/>
      <c r="B421" s="46"/>
      <c r="C421" s="11" t="s">
        <v>573</v>
      </c>
      <c r="D421" s="9">
        <v>0</v>
      </c>
      <c r="E421" s="9">
        <v>0</v>
      </c>
      <c r="F421" s="16">
        <v>0</v>
      </c>
      <c r="G421" s="8">
        <f t="shared" si="12"/>
        <v>0</v>
      </c>
      <c r="H421" s="8">
        <f t="shared" si="13"/>
        <v>0</v>
      </c>
      <c r="I421" s="4"/>
      <c r="J421" s="16" t="str">
        <f>VLOOKUP(C421,'[1]GLOCUENTAS (1)'!$B:$C,2,FALSE)</f>
        <v>JCC COB. JUD. ARREND. FINANC PJ CMIE    1ND</v>
      </c>
    </row>
    <row r="422" spans="1:10" x14ac:dyDescent="0.35">
      <c r="A422" s="47"/>
      <c r="B422" s="46"/>
      <c r="C422" s="11" t="s">
        <v>298</v>
      </c>
      <c r="D422" s="9">
        <v>18796.71</v>
      </c>
      <c r="E422" s="9">
        <v>18796.71</v>
      </c>
      <c r="F422" s="16">
        <v>18796.71</v>
      </c>
      <c r="G422" s="8">
        <f t="shared" si="12"/>
        <v>0</v>
      </c>
      <c r="H422" s="8">
        <f t="shared" si="13"/>
        <v>0</v>
      </c>
      <c r="I422" s="4"/>
      <c r="J422" s="16" t="str">
        <f>VLOOKUP(C422,'[1]GLOCUENTAS (1)'!$B:$C,2,FALSE)</f>
        <v>JCC JUD.MYP LEASING BPE CMIE            1ND</v>
      </c>
    </row>
    <row r="423" spans="1:10" x14ac:dyDescent="0.35">
      <c r="A423" s="47"/>
      <c r="B423" s="46"/>
      <c r="C423" s="11" t="s">
        <v>574</v>
      </c>
      <c r="D423" s="9">
        <v>0</v>
      </c>
      <c r="E423" s="9">
        <v>0</v>
      </c>
      <c r="F423" s="16">
        <v>0</v>
      </c>
      <c r="G423" s="8">
        <f t="shared" si="12"/>
        <v>0</v>
      </c>
      <c r="H423" s="8">
        <f t="shared" si="13"/>
        <v>0</v>
      </c>
      <c r="I423" s="4"/>
      <c r="J423" s="16" t="str">
        <f>VLOOKUP(C423,'[1]GLOCUENTAS (1)'!$B:$C,2,FALSE)</f>
        <v>JCC COB.JUD.P.RFA SUB. MES              1ND</v>
      </c>
    </row>
    <row r="424" spans="1:10" x14ac:dyDescent="0.35">
      <c r="A424" s="47"/>
      <c r="B424" s="46"/>
      <c r="C424" s="11" t="s">
        <v>575</v>
      </c>
      <c r="D424" s="9">
        <v>199984.91</v>
      </c>
      <c r="E424" s="9">
        <v>199984.91</v>
      </c>
      <c r="F424" s="16">
        <v>199984.91</v>
      </c>
      <c r="G424" s="8">
        <f t="shared" si="12"/>
        <v>0</v>
      </c>
      <c r="H424" s="8">
        <f t="shared" si="13"/>
        <v>0</v>
      </c>
      <c r="I424" s="4"/>
      <c r="J424" s="16" t="str">
        <f>VLOOKUP(C424,'[1]GLOCUENTAS (1)'!$B:$C,2,FALSE)</f>
        <v>JCC COB JUD TC MASTER PN-DIS.EFE        1ND</v>
      </c>
    </row>
    <row r="425" spans="1:10" x14ac:dyDescent="0.35">
      <c r="A425" s="47"/>
      <c r="B425" s="46"/>
      <c r="C425" s="11" t="s">
        <v>576</v>
      </c>
      <c r="D425" s="9">
        <v>22678873.140000001</v>
      </c>
      <c r="E425" s="9">
        <v>22678873.140000001</v>
      </c>
      <c r="F425" s="16">
        <v>22678873.140000001</v>
      </c>
      <c r="G425" s="8">
        <f t="shared" si="12"/>
        <v>0</v>
      </c>
      <c r="H425" s="8">
        <f t="shared" si="13"/>
        <v>0</v>
      </c>
      <c r="I425" s="4"/>
      <c r="J425" s="16" t="str">
        <f>VLOOKUP(C425,'[1]GLOCUENTAS (1)'!$B:$C,2,FALSE)</f>
        <v>JCC COB JUD TC VISA PN-DISP.EFEC        1ND</v>
      </c>
    </row>
    <row r="426" spans="1:10" x14ac:dyDescent="0.35">
      <c r="A426" s="47"/>
      <c r="B426" s="46"/>
      <c r="C426" s="11" t="s">
        <v>577</v>
      </c>
      <c r="D426" s="9">
        <v>1416403.81</v>
      </c>
      <c r="E426" s="9">
        <v>1416403.81</v>
      </c>
      <c r="F426" s="16">
        <v>1416403.81</v>
      </c>
      <c r="G426" s="8">
        <f t="shared" si="12"/>
        <v>0</v>
      </c>
      <c r="H426" s="8">
        <f t="shared" si="13"/>
        <v>0</v>
      </c>
      <c r="I426" s="4"/>
      <c r="J426" s="16" t="str">
        <f>VLOOKUP(C426,'[1]GLOCUENTAS (1)'!$B:$C,2,FALSE)</f>
        <v>JCC COB JUD TC AMEX PN-DISP.EFE         1ND</v>
      </c>
    </row>
    <row r="427" spans="1:10" x14ac:dyDescent="0.35">
      <c r="A427" s="47"/>
      <c r="B427" s="46"/>
      <c r="C427" s="11" t="s">
        <v>578</v>
      </c>
      <c r="D427" s="9">
        <v>337967.96</v>
      </c>
      <c r="E427" s="9">
        <v>337967.96</v>
      </c>
      <c r="F427" s="16">
        <v>337967.96</v>
      </c>
      <c r="G427" s="8">
        <f t="shared" si="12"/>
        <v>0</v>
      </c>
      <c r="H427" s="8">
        <f t="shared" si="13"/>
        <v>0</v>
      </c>
      <c r="I427" s="4"/>
      <c r="J427" s="16" t="str">
        <f>VLOOKUP(C427,'[1]GLOCUENTAS (1)'!$B:$C,2,FALSE)</f>
        <v>JCC COB JUD TC MASTER PN-CONSUMO        1ND</v>
      </c>
    </row>
    <row r="428" spans="1:10" x14ac:dyDescent="0.35">
      <c r="A428" s="47"/>
      <c r="B428" s="46"/>
      <c r="C428" s="11" t="s">
        <v>579</v>
      </c>
      <c r="D428" s="9">
        <v>11986496.630000001</v>
      </c>
      <c r="E428" s="9">
        <v>11986496.630000001</v>
      </c>
      <c r="F428" s="16">
        <v>11986496.630000001</v>
      </c>
      <c r="G428" s="8">
        <f t="shared" si="12"/>
        <v>0</v>
      </c>
      <c r="H428" s="8">
        <f t="shared" si="13"/>
        <v>0</v>
      </c>
      <c r="I428" s="4"/>
      <c r="J428" s="16" t="str">
        <f>VLOOKUP(C428,'[1]GLOCUENTAS (1)'!$B:$C,2,FALSE)</f>
        <v>JCC COB JUD TC AMEX PN-CONSUMOS         1ND</v>
      </c>
    </row>
    <row r="429" spans="1:10" x14ac:dyDescent="0.35">
      <c r="A429" s="47"/>
      <c r="B429" s="46"/>
      <c r="C429" s="11" t="s">
        <v>231</v>
      </c>
      <c r="D429" s="9">
        <v>29665298.600000001</v>
      </c>
      <c r="E429" s="9">
        <v>29665298.600000001</v>
      </c>
      <c r="F429" s="16">
        <v>29665298.600000001</v>
      </c>
      <c r="G429" s="8">
        <f t="shared" si="12"/>
        <v>0</v>
      </c>
      <c r="H429" s="8">
        <f t="shared" si="13"/>
        <v>0</v>
      </c>
      <c r="I429" s="4"/>
      <c r="J429" s="16" t="str">
        <f>VLOOKUP(C429,'[1]GLOCUENTAS (1)'!$B:$C,2,FALSE)</f>
        <v>JCC COB JUD TC VISA PN-CONSUMOS         1ND</v>
      </c>
    </row>
    <row r="430" spans="1:10" x14ac:dyDescent="0.35">
      <c r="A430" s="47"/>
      <c r="B430" s="46"/>
      <c r="C430" s="11" t="s">
        <v>580</v>
      </c>
      <c r="D430" s="9">
        <v>238034.05</v>
      </c>
      <c r="E430" s="9">
        <v>238034.05</v>
      </c>
      <c r="F430" s="16">
        <v>238034.05</v>
      </c>
      <c r="G430" s="8">
        <f t="shared" si="12"/>
        <v>0</v>
      </c>
      <c r="H430" s="8">
        <f t="shared" si="13"/>
        <v>0</v>
      </c>
      <c r="I430" s="4"/>
      <c r="J430" s="16" t="str">
        <f>VLOOKUP(C430,'[1]GLOCUENTAS (1)'!$B:$C,2,FALSE)</f>
        <v>JCC COBJUD CONSU REV CONV.NOELEG        1ND</v>
      </c>
    </row>
    <row r="431" spans="1:10" x14ac:dyDescent="0.35">
      <c r="A431" s="47"/>
      <c r="B431" s="46"/>
      <c r="C431" s="11" t="s">
        <v>581</v>
      </c>
      <c r="D431" s="9">
        <v>139402.92000000001</v>
      </c>
      <c r="E431" s="9">
        <v>139402.92000000001</v>
      </c>
      <c r="F431" s="16">
        <v>139402.92000000001</v>
      </c>
      <c r="G431" s="8">
        <f t="shared" si="12"/>
        <v>0</v>
      </c>
      <c r="H431" s="8">
        <f t="shared" si="13"/>
        <v>0</v>
      </c>
      <c r="I431" s="4"/>
      <c r="J431" s="16" t="str">
        <f>VLOOKUP(C431,'[1]GLOCUENTAS (1)'!$B:$C,2,FALSE)</f>
        <v>JCC COBJUD CONSU REV ADEL SUELDO        1ND</v>
      </c>
    </row>
    <row r="432" spans="1:10" x14ac:dyDescent="0.35">
      <c r="A432" s="47"/>
      <c r="B432" s="46"/>
      <c r="C432" s="11" t="s">
        <v>582</v>
      </c>
      <c r="D432" s="9">
        <v>9991.5400000000009</v>
      </c>
      <c r="E432" s="9">
        <v>9991.5400000000009</v>
      </c>
      <c r="F432" s="16">
        <v>9991.5400000000009</v>
      </c>
      <c r="G432" s="8">
        <f t="shared" si="12"/>
        <v>0</v>
      </c>
      <c r="H432" s="8">
        <f t="shared" si="13"/>
        <v>0</v>
      </c>
      <c r="I432" s="4"/>
      <c r="J432" s="16" t="str">
        <f>VLOOKUP(C432,'[1]GLOCUENTAS (1)'!$B:$C,2,FALSE)</f>
        <v>JCC COBJUD CONSU REV PREFERENTE         1ND</v>
      </c>
    </row>
    <row r="433" spans="1:10" x14ac:dyDescent="0.35">
      <c r="A433" s="47"/>
      <c r="B433" s="46"/>
      <c r="C433" s="11" t="s">
        <v>243</v>
      </c>
      <c r="D433" s="9">
        <v>8013539.7999999998</v>
      </c>
      <c r="E433" s="9">
        <v>8013539.7999999998</v>
      </c>
      <c r="F433" s="16">
        <v>8013539.7999999998</v>
      </c>
      <c r="G433" s="8">
        <f t="shared" si="12"/>
        <v>0</v>
      </c>
      <c r="H433" s="8">
        <f t="shared" si="13"/>
        <v>0</v>
      </c>
      <c r="I433" s="4"/>
      <c r="J433" s="16" t="str">
        <f>VLOOKUP(C433,'[1]GLOCUENTAS (1)'!$B:$C,2,FALSE)</f>
        <v>JCC COBJUD NO REVOL CRE.VEHICULAR       1ND</v>
      </c>
    </row>
    <row r="434" spans="1:10" x14ac:dyDescent="0.35">
      <c r="A434" s="47"/>
      <c r="B434" s="46"/>
      <c r="C434" s="11" t="s">
        <v>225</v>
      </c>
      <c r="D434" s="9">
        <v>4345419.18</v>
      </c>
      <c r="E434" s="9">
        <v>4345419.18</v>
      </c>
      <c r="F434" s="16">
        <v>4345419.18</v>
      </c>
      <c r="G434" s="8">
        <f t="shared" si="12"/>
        <v>0</v>
      </c>
      <c r="H434" s="8">
        <f t="shared" si="13"/>
        <v>0</v>
      </c>
      <c r="I434" s="4"/>
      <c r="J434" s="16" t="str">
        <f>VLOOKUP(C434,'[1]GLOCUENTAS (1)'!$B:$C,2,FALSE)</f>
        <v>JCC COB JUD PREST EFEC GTIA HIPOT       1ND</v>
      </c>
    </row>
    <row r="435" spans="1:10" x14ac:dyDescent="0.35">
      <c r="A435" s="47"/>
      <c r="B435" s="46"/>
      <c r="C435" s="11" t="s">
        <v>223</v>
      </c>
      <c r="D435" s="9">
        <v>11337199.640000001</v>
      </c>
      <c r="E435" s="9">
        <v>11337199.640000001</v>
      </c>
      <c r="F435" s="16">
        <v>11337199.640000001</v>
      </c>
      <c r="G435" s="8">
        <f t="shared" si="12"/>
        <v>0</v>
      </c>
      <c r="H435" s="8">
        <f t="shared" si="13"/>
        <v>0</v>
      </c>
      <c r="I435" s="4"/>
      <c r="J435" s="16" t="str">
        <f>VLOOKUP(C435,'[1]GLOCUENTAS (1)'!$B:$C,2,FALSE)</f>
        <v>JCC COBJUD EFEC.NO REV LIBR.DISP        1ND</v>
      </c>
    </row>
    <row r="436" spans="1:10" x14ac:dyDescent="0.35">
      <c r="A436" s="47"/>
      <c r="B436" s="46"/>
      <c r="C436" s="11" t="s">
        <v>583</v>
      </c>
      <c r="D436" s="9">
        <v>2741090.69</v>
      </c>
      <c r="E436" s="9">
        <v>2741090.69</v>
      </c>
      <c r="F436" s="16">
        <v>2741090.69</v>
      </c>
      <c r="G436" s="8">
        <f t="shared" si="12"/>
        <v>0</v>
      </c>
      <c r="H436" s="8">
        <f t="shared" si="13"/>
        <v>0</v>
      </c>
      <c r="I436" s="4"/>
      <c r="J436" s="16" t="str">
        <f>VLOOKUP(C436,'[1]GLOCUENTAS (1)'!$B:$C,2,FALSE)</f>
        <v>JCC COBJU NO REVO CONV.NOELEG I         1ND</v>
      </c>
    </row>
    <row r="437" spans="1:10" x14ac:dyDescent="0.35">
      <c r="A437" s="47"/>
      <c r="B437" s="46"/>
      <c r="C437" s="11" t="s">
        <v>296</v>
      </c>
      <c r="D437" s="9">
        <v>960456.94</v>
      </c>
      <c r="E437" s="9">
        <v>960456.94</v>
      </c>
      <c r="F437" s="16">
        <v>960456.94</v>
      </c>
      <c r="G437" s="8">
        <f t="shared" si="12"/>
        <v>0</v>
      </c>
      <c r="H437" s="8">
        <f t="shared" si="13"/>
        <v>0</v>
      </c>
      <c r="I437" s="4"/>
      <c r="J437" s="16" t="str">
        <f>VLOOKUP(C437,'[1]GLOCUENTAS (1)'!$B:$C,2,FALSE)</f>
        <v>JCC COB.JUD.REFINANCIADOS               1ND</v>
      </c>
    </row>
    <row r="438" spans="1:10" x14ac:dyDescent="0.35">
      <c r="A438" s="47"/>
      <c r="B438" s="46"/>
      <c r="C438" s="11" t="s">
        <v>584</v>
      </c>
      <c r="D438" s="9">
        <v>263505.31</v>
      </c>
      <c r="E438" s="9">
        <v>263505.31</v>
      </c>
      <c r="F438" s="16">
        <v>263505.31</v>
      </c>
      <c r="G438" s="8">
        <f t="shared" si="12"/>
        <v>0</v>
      </c>
      <c r="H438" s="8">
        <f t="shared" si="13"/>
        <v>0</v>
      </c>
      <c r="I438" s="4"/>
      <c r="J438" s="16" t="str">
        <f>VLOOKUP(C438,'[1]GLOCUENTAS (1)'!$B:$C,2,FALSE)</f>
        <v>JCC JUD REFINANC TC VISA                1ND</v>
      </c>
    </row>
    <row r="439" spans="1:10" x14ac:dyDescent="0.35">
      <c r="A439" s="47"/>
      <c r="B439" s="46"/>
      <c r="C439" s="11" t="s">
        <v>585</v>
      </c>
      <c r="D439" s="9">
        <v>866.72</v>
      </c>
      <c r="E439" s="9">
        <v>866.72</v>
      </c>
      <c r="F439" s="16">
        <v>866.72</v>
      </c>
      <c r="G439" s="8">
        <f t="shared" si="12"/>
        <v>0</v>
      </c>
      <c r="H439" s="8">
        <f t="shared" si="13"/>
        <v>0</v>
      </c>
      <c r="I439" s="4"/>
      <c r="J439" s="16" t="str">
        <f>VLOOKUP(C439,'[1]GLOCUENTAS (1)'!$B:$C,2,FALSE)</f>
        <v>JCC JUD REFINANC TC AMEX                1ND</v>
      </c>
    </row>
    <row r="440" spans="1:10" x14ac:dyDescent="0.35">
      <c r="A440" s="47"/>
      <c r="B440" s="46"/>
      <c r="C440" s="11" t="s">
        <v>250</v>
      </c>
      <c r="D440" s="9">
        <v>147935224.63</v>
      </c>
      <c r="E440" s="9">
        <v>147935224.63</v>
      </c>
      <c r="F440" s="16">
        <v>147935224.63</v>
      </c>
      <c r="G440" s="8">
        <f t="shared" si="12"/>
        <v>0</v>
      </c>
      <c r="H440" s="8">
        <f t="shared" si="13"/>
        <v>0</v>
      </c>
      <c r="I440" s="4"/>
      <c r="J440" s="16" t="str">
        <f>VLOOKUP(C440,'[1]GLOCUENTAS (1)'!$B:$C,2,FALSE)</f>
        <v>JCC COB JUD CRED HIPOTEC-RECUPER CHPV   1ND</v>
      </c>
    </row>
    <row r="441" spans="1:10" x14ac:dyDescent="0.35">
      <c r="A441" s="47"/>
      <c r="B441" s="46"/>
      <c r="C441" s="11" t="s">
        <v>272</v>
      </c>
      <c r="D441" s="9">
        <v>165328.68</v>
      </c>
      <c r="E441" s="9">
        <v>165328.68</v>
      </c>
      <c r="F441" s="16">
        <v>165328.68</v>
      </c>
      <c r="G441" s="8">
        <f t="shared" si="12"/>
        <v>0</v>
      </c>
      <c r="H441" s="8">
        <f t="shared" si="13"/>
        <v>0</v>
      </c>
      <c r="I441" s="4"/>
      <c r="J441" s="16" t="str">
        <f>VLOOKUP(C441,'[1]GLOCUENTAS (1)'!$B:$C,2,FALSE)</f>
        <v>JCC COB JUD H. MIVIVIENDA RP CHPV       1ND</v>
      </c>
    </row>
    <row r="442" spans="1:10" x14ac:dyDescent="0.35">
      <c r="A442" s="47"/>
      <c r="B442" s="46"/>
      <c r="C442" s="11" t="s">
        <v>237</v>
      </c>
      <c r="D442" s="9">
        <v>34113542.350000001</v>
      </c>
      <c r="E442" s="9">
        <v>34113542.350000001</v>
      </c>
      <c r="F442" s="16">
        <v>34113542.350000001</v>
      </c>
      <c r="G442" s="8">
        <f t="shared" si="12"/>
        <v>0</v>
      </c>
      <c r="H442" s="8">
        <f t="shared" si="13"/>
        <v>0</v>
      </c>
      <c r="I442" s="4"/>
      <c r="J442" s="16" t="str">
        <f>VLOOKUP(C442,'[1]GLOCUENTAS (1)'!$B:$C,2,FALSE)</f>
        <v>JCC JUDIC.HIPOT.MI VIVIENDA COFIDE      1ND</v>
      </c>
    </row>
    <row r="443" spans="1:10" x14ac:dyDescent="0.35">
      <c r="A443" s="47"/>
      <c r="B443" s="46"/>
      <c r="C443" s="11" t="s">
        <v>586</v>
      </c>
      <c r="D443" s="9">
        <v>90629.28</v>
      </c>
      <c r="E443" s="9">
        <v>90629.28</v>
      </c>
      <c r="F443" s="16">
        <v>90629.28</v>
      </c>
      <c r="G443" s="8">
        <f t="shared" si="12"/>
        <v>0</v>
      </c>
      <c r="H443" s="8">
        <f t="shared" si="13"/>
        <v>0</v>
      </c>
      <c r="I443" s="4"/>
      <c r="J443" s="16" t="str">
        <f>VLOOKUP(C443,'[1]GLOCUENTAS (1)'!$B:$C,2,FALSE)</f>
        <v>JCC COB JUD H. MI HOGAR COFIDE          1ND</v>
      </c>
    </row>
    <row r="444" spans="1:10" x14ac:dyDescent="0.35">
      <c r="A444" s="47"/>
      <c r="B444" s="46"/>
      <c r="C444" s="11" t="s">
        <v>587</v>
      </c>
      <c r="D444" s="9">
        <v>210995.74</v>
      </c>
      <c r="E444" s="9">
        <v>210995.74</v>
      </c>
      <c r="F444" s="16">
        <v>210995.74</v>
      </c>
      <c r="G444" s="8">
        <f t="shared" si="12"/>
        <v>0</v>
      </c>
      <c r="H444" s="8">
        <f t="shared" si="13"/>
        <v>0</v>
      </c>
      <c r="I444" s="4"/>
      <c r="J444" s="16" t="str">
        <f>VLOOKUP(C444,'[1]GLOCUENTAS (1)'!$B:$C,2,FALSE)</f>
        <v>JCC COB JUD CRED TECHOPROPIO-RECUPER CHP1ND</v>
      </c>
    </row>
    <row r="445" spans="1:10" x14ac:dyDescent="0.35">
      <c r="A445" s="47"/>
      <c r="B445" s="46"/>
      <c r="C445" s="11" t="s">
        <v>303</v>
      </c>
      <c r="D445" s="9">
        <v>1229412.06</v>
      </c>
      <c r="E445" s="9">
        <v>1229412.06</v>
      </c>
      <c r="F445" s="16">
        <v>1229412.06</v>
      </c>
      <c r="G445" s="8">
        <f t="shared" si="12"/>
        <v>0</v>
      </c>
      <c r="H445" s="8">
        <f t="shared" si="13"/>
        <v>0</v>
      </c>
      <c r="I445" s="4"/>
      <c r="J445" s="16" t="str">
        <f>VLOOKUP(C445,'[1]GLOCUENTAS (1)'!$B:$C,2,FALSE)</f>
        <v>JCC COB. JUD. SOBREG CCTE. PJ CGEM      1ND</v>
      </c>
    </row>
    <row r="446" spans="1:10" x14ac:dyDescent="0.35">
      <c r="A446" s="47"/>
      <c r="B446" s="46"/>
      <c r="C446" s="11" t="s">
        <v>269</v>
      </c>
      <c r="D446" s="9">
        <v>85000</v>
      </c>
      <c r="E446" s="9">
        <v>85000</v>
      </c>
      <c r="F446" s="16">
        <v>85000</v>
      </c>
      <c r="G446" s="8">
        <f t="shared" si="12"/>
        <v>0</v>
      </c>
      <c r="H446" s="8">
        <f t="shared" si="13"/>
        <v>0</v>
      </c>
      <c r="I446" s="4"/>
      <c r="J446" s="16" t="str">
        <f>VLOOKUP(C446,'[1]GLOCUENTAS (1)'!$B:$C,2,FALSE)</f>
        <v>JCC COB.JUD. DESCTO. DE PAGARE CGEM     1ND</v>
      </c>
    </row>
    <row r="447" spans="1:10" x14ac:dyDescent="0.35">
      <c r="A447" s="47"/>
      <c r="B447" s="46"/>
      <c r="C447" s="11" t="s">
        <v>588</v>
      </c>
      <c r="D447" s="9">
        <v>1980773.97</v>
      </c>
      <c r="E447" s="9">
        <v>1980773.97</v>
      </c>
      <c r="F447" s="16">
        <v>1980773.97</v>
      </c>
      <c r="G447" s="8">
        <f t="shared" si="12"/>
        <v>0</v>
      </c>
      <c r="H447" s="8">
        <f t="shared" si="13"/>
        <v>0</v>
      </c>
      <c r="I447" s="4"/>
      <c r="J447" s="16" t="str">
        <f>VLOOKUP(C447,'[1]GLOCUENTAS (1)'!$B:$C,2,FALSE)</f>
        <v>JCC COB. JUD. DSCTO. LETRAS CGEM-JCC    1ND</v>
      </c>
    </row>
    <row r="448" spans="1:10" x14ac:dyDescent="0.35">
      <c r="A448" s="47"/>
      <c r="B448" s="46"/>
      <c r="C448" s="11" t="s">
        <v>589</v>
      </c>
      <c r="D448" s="9">
        <v>136997.51999999999</v>
      </c>
      <c r="E448" s="9">
        <v>136997.51999999999</v>
      </c>
      <c r="F448" s="16">
        <v>136997.51999999999</v>
      </c>
      <c r="G448" s="8">
        <f t="shared" si="12"/>
        <v>0</v>
      </c>
      <c r="H448" s="8">
        <f t="shared" si="13"/>
        <v>0</v>
      </c>
      <c r="I448" s="4"/>
      <c r="J448" s="16" t="str">
        <f>VLOOKUP(C448,'[1]GLOCUENTAS (1)'!$B:$C,2,FALSE)</f>
        <v>JCC MYP JUD CAP TRAB COM NR CMED        1ND</v>
      </c>
    </row>
    <row r="449" spans="1:10" x14ac:dyDescent="0.35">
      <c r="A449" s="47"/>
      <c r="B449" s="46"/>
      <c r="C449" s="11" t="s">
        <v>216</v>
      </c>
      <c r="D449" s="9">
        <v>13879112.369999999</v>
      </c>
      <c r="E449" s="9">
        <v>13879112.369999999</v>
      </c>
      <c r="F449" s="16">
        <v>13879112.369999999</v>
      </c>
      <c r="G449" s="8">
        <f t="shared" si="12"/>
        <v>0</v>
      </c>
      <c r="H449" s="8">
        <f t="shared" si="13"/>
        <v>0</v>
      </c>
      <c r="I449" s="4"/>
      <c r="J449" s="16" t="s">
        <v>909</v>
      </c>
    </row>
    <row r="450" spans="1:10" x14ac:dyDescent="0.35">
      <c r="A450" s="47"/>
      <c r="B450" s="46"/>
      <c r="C450" s="11" t="s">
        <v>590</v>
      </c>
      <c r="D450" s="9">
        <v>3116433.76</v>
      </c>
      <c r="E450" s="9">
        <v>3116433.76</v>
      </c>
      <c r="F450" s="16">
        <v>3116433.76</v>
      </c>
      <c r="G450" s="8">
        <f t="shared" ref="G450:G513" si="14">F450-E450</f>
        <v>0</v>
      </c>
      <c r="H450" s="8">
        <f t="shared" si="13"/>
        <v>0</v>
      </c>
      <c r="I450" s="4"/>
      <c r="J450" s="16" t="s">
        <v>910</v>
      </c>
    </row>
    <row r="451" spans="1:10" x14ac:dyDescent="0.35">
      <c r="A451" s="47"/>
      <c r="B451" s="46"/>
      <c r="C451" s="11" t="s">
        <v>591</v>
      </c>
      <c r="D451" s="9">
        <v>4924872.67</v>
      </c>
      <c r="E451" s="9">
        <v>4924872.67</v>
      </c>
      <c r="F451" s="16">
        <v>4924872.67</v>
      </c>
      <c r="G451" s="8">
        <f t="shared" si="14"/>
        <v>0</v>
      </c>
      <c r="H451" s="8">
        <f t="shared" ref="H451:H514" si="15">F451-D451</f>
        <v>0</v>
      </c>
      <c r="I451" s="4"/>
      <c r="J451" s="16" t="s">
        <v>911</v>
      </c>
    </row>
    <row r="452" spans="1:10" x14ac:dyDescent="0.35">
      <c r="A452" s="47"/>
      <c r="B452" s="46"/>
      <c r="C452" s="11" t="s">
        <v>592</v>
      </c>
      <c r="D452" s="9">
        <v>946937.16</v>
      </c>
      <c r="E452" s="9">
        <v>946937.16</v>
      </c>
      <c r="F452" s="16">
        <v>946937.16</v>
      </c>
      <c r="G452" s="8">
        <f t="shared" si="14"/>
        <v>0</v>
      </c>
      <c r="H452" s="8">
        <f t="shared" si="15"/>
        <v>0</v>
      </c>
      <c r="I452" s="4"/>
      <c r="J452" s="16" t="s">
        <v>912</v>
      </c>
    </row>
    <row r="453" spans="1:10" x14ac:dyDescent="0.35">
      <c r="A453" s="47"/>
      <c r="B453" s="46"/>
      <c r="C453" s="11" t="s">
        <v>593</v>
      </c>
      <c r="D453" s="9">
        <v>3241529.85</v>
      </c>
      <c r="E453" s="9">
        <v>3241529.85</v>
      </c>
      <c r="F453" s="16">
        <v>3241529.85</v>
      </c>
      <c r="G453" s="8">
        <f t="shared" si="14"/>
        <v>0</v>
      </c>
      <c r="H453" s="8">
        <f t="shared" si="15"/>
        <v>0</v>
      </c>
      <c r="I453" s="4"/>
      <c r="J453" s="16" t="s">
        <v>913</v>
      </c>
    </row>
    <row r="454" spans="1:10" x14ac:dyDescent="0.35">
      <c r="A454" s="47"/>
      <c r="B454" s="46"/>
      <c r="C454" s="11" t="s">
        <v>594</v>
      </c>
      <c r="D454" s="9">
        <v>170385.26</v>
      </c>
      <c r="E454" s="9">
        <v>170385.26</v>
      </c>
      <c r="F454" s="16">
        <v>170385.26</v>
      </c>
      <c r="G454" s="8">
        <f t="shared" si="14"/>
        <v>0</v>
      </c>
      <c r="H454" s="8">
        <f t="shared" si="15"/>
        <v>0</v>
      </c>
      <c r="I454" s="4"/>
      <c r="J454" s="16" t="s">
        <v>914</v>
      </c>
    </row>
    <row r="455" spans="1:10" x14ac:dyDescent="0.35">
      <c r="A455" s="47"/>
      <c r="B455" s="46"/>
      <c r="C455" s="11" t="s">
        <v>245</v>
      </c>
      <c r="D455" s="9">
        <v>1670795.41</v>
      </c>
      <c r="E455" s="9">
        <v>1670795.41</v>
      </c>
      <c r="F455" s="16">
        <v>1670795.41</v>
      </c>
      <c r="G455" s="8">
        <f t="shared" si="14"/>
        <v>0</v>
      </c>
      <c r="H455" s="8">
        <f t="shared" si="15"/>
        <v>0</v>
      </c>
      <c r="I455" s="4"/>
      <c r="J455" s="16" t="s">
        <v>915</v>
      </c>
    </row>
    <row r="456" spans="1:10" x14ac:dyDescent="0.35">
      <c r="A456" s="47"/>
      <c r="B456" s="46"/>
      <c r="C456" s="11" t="s">
        <v>295</v>
      </c>
      <c r="D456" s="9">
        <v>1968553.54</v>
      </c>
      <c r="E456" s="9">
        <v>1968553.54</v>
      </c>
      <c r="F456" s="16">
        <v>1968553.54</v>
      </c>
      <c r="G456" s="8">
        <f t="shared" si="14"/>
        <v>0</v>
      </c>
      <c r="H456" s="8">
        <f t="shared" si="15"/>
        <v>0</v>
      </c>
      <c r="I456" s="4"/>
      <c r="J456" s="16" t="s">
        <v>916</v>
      </c>
    </row>
    <row r="457" spans="1:10" x14ac:dyDescent="0.35">
      <c r="A457" s="47"/>
      <c r="B457" s="46"/>
      <c r="C457" s="11" t="s">
        <v>595</v>
      </c>
      <c r="D457" s="9">
        <v>323860.18</v>
      </c>
      <c r="E457" s="9">
        <v>323860.18</v>
      </c>
      <c r="F457" s="16">
        <v>323860.18</v>
      </c>
      <c r="G457" s="8">
        <f t="shared" si="14"/>
        <v>0</v>
      </c>
      <c r="H457" s="8">
        <f t="shared" si="15"/>
        <v>0</v>
      </c>
      <c r="I457" s="4"/>
      <c r="J457" s="16" t="s">
        <v>917</v>
      </c>
    </row>
    <row r="458" spans="1:10" x14ac:dyDescent="0.35">
      <c r="A458" s="47"/>
      <c r="B458" s="46"/>
      <c r="C458" s="11" t="s">
        <v>596</v>
      </c>
      <c r="D458" s="9">
        <v>103405.26</v>
      </c>
      <c r="E458" s="9">
        <v>103405.26</v>
      </c>
      <c r="F458" s="16">
        <v>103405.26</v>
      </c>
      <c r="G458" s="8">
        <f t="shared" si="14"/>
        <v>0</v>
      </c>
      <c r="H458" s="8">
        <f t="shared" si="15"/>
        <v>0</v>
      </c>
      <c r="I458" s="4"/>
      <c r="J458" s="16" t="s">
        <v>918</v>
      </c>
    </row>
    <row r="459" spans="1:10" x14ac:dyDescent="0.35">
      <c r="A459" s="47"/>
      <c r="B459" s="46"/>
      <c r="C459" s="11" t="s">
        <v>597</v>
      </c>
      <c r="D459" s="9">
        <v>3832528.67</v>
      </c>
      <c r="E459" s="9">
        <v>3832528.67</v>
      </c>
      <c r="F459" s="16">
        <v>3832528.67</v>
      </c>
      <c r="G459" s="8">
        <f t="shared" si="14"/>
        <v>0</v>
      </c>
      <c r="H459" s="8">
        <f t="shared" si="15"/>
        <v>0</v>
      </c>
      <c r="I459" s="4"/>
      <c r="J459" s="16" t="s">
        <v>919</v>
      </c>
    </row>
    <row r="460" spans="1:10" x14ac:dyDescent="0.35">
      <c r="A460" s="47"/>
      <c r="B460" s="46"/>
      <c r="C460" s="11" t="s">
        <v>598</v>
      </c>
      <c r="D460" s="9">
        <v>220011</v>
      </c>
      <c r="E460" s="9">
        <v>220011</v>
      </c>
      <c r="F460" s="16">
        <v>220011</v>
      </c>
      <c r="G460" s="8">
        <f t="shared" si="14"/>
        <v>0</v>
      </c>
      <c r="H460" s="8">
        <f t="shared" si="15"/>
        <v>0</v>
      </c>
      <c r="I460" s="4"/>
      <c r="J460" s="16" t="s">
        <v>920</v>
      </c>
    </row>
    <row r="461" spans="1:10" x14ac:dyDescent="0.35">
      <c r="A461" s="47"/>
      <c r="B461" s="46"/>
      <c r="C461" s="11" t="s">
        <v>297</v>
      </c>
      <c r="D461" s="9">
        <v>40108106.979999997</v>
      </c>
      <c r="E461" s="9">
        <v>40108106.979999997</v>
      </c>
      <c r="F461" s="16">
        <v>40108106.979999997</v>
      </c>
      <c r="G461" s="8">
        <f t="shared" si="14"/>
        <v>0</v>
      </c>
      <c r="H461" s="8">
        <f t="shared" si="15"/>
        <v>0</v>
      </c>
      <c r="I461" s="4"/>
      <c r="J461" s="16" t="s">
        <v>921</v>
      </c>
    </row>
    <row r="462" spans="1:10" x14ac:dyDescent="0.35">
      <c r="A462" s="47"/>
      <c r="B462" s="46"/>
      <c r="C462" s="11" t="s">
        <v>599</v>
      </c>
      <c r="D462" s="9">
        <v>4464236.49</v>
      </c>
      <c r="E462" s="9">
        <v>4464236.49</v>
      </c>
      <c r="F462" s="16">
        <v>4464236.49</v>
      </c>
      <c r="G462" s="8">
        <f t="shared" si="14"/>
        <v>0</v>
      </c>
      <c r="H462" s="8">
        <f t="shared" si="15"/>
        <v>0</v>
      </c>
      <c r="I462" s="4"/>
      <c r="J462" s="16" t="s">
        <v>922</v>
      </c>
    </row>
    <row r="463" spans="1:10" x14ac:dyDescent="0.35">
      <c r="A463" s="47"/>
      <c r="B463" s="46"/>
      <c r="C463" s="11" t="s">
        <v>600</v>
      </c>
      <c r="D463" s="9">
        <v>92105.87</v>
      </c>
      <c r="E463" s="9">
        <v>92105.87</v>
      </c>
      <c r="F463" s="16">
        <v>92105.87</v>
      </c>
      <c r="G463" s="8">
        <f t="shared" si="14"/>
        <v>0</v>
      </c>
      <c r="H463" s="8">
        <f t="shared" si="15"/>
        <v>0</v>
      </c>
      <c r="I463" s="4"/>
      <c r="J463" s="16" t="s">
        <v>923</v>
      </c>
    </row>
    <row r="464" spans="1:10" x14ac:dyDescent="0.35">
      <c r="A464" s="47"/>
      <c r="B464" s="46"/>
      <c r="C464" s="11" t="s">
        <v>261</v>
      </c>
      <c r="D464" s="9">
        <v>929712.74</v>
      </c>
      <c r="E464" s="9">
        <v>929712.74</v>
      </c>
      <c r="F464" s="16">
        <v>371885.1</v>
      </c>
      <c r="G464" s="8">
        <f t="shared" si="14"/>
        <v>-557827.64</v>
      </c>
      <c r="H464" s="8">
        <f t="shared" si="15"/>
        <v>-557827.64</v>
      </c>
      <c r="I464" s="4"/>
      <c r="J464" s="16" t="s">
        <v>924</v>
      </c>
    </row>
    <row r="465" spans="1:10" x14ac:dyDescent="0.35">
      <c r="A465" s="47"/>
      <c r="B465" s="46"/>
      <c r="C465" s="11" t="s">
        <v>601</v>
      </c>
      <c r="D465" s="9">
        <v>1344726.42</v>
      </c>
      <c r="E465" s="9">
        <v>1344726.42</v>
      </c>
      <c r="F465" s="16">
        <v>1344726.42</v>
      </c>
      <c r="G465" s="8">
        <f t="shared" si="14"/>
        <v>0</v>
      </c>
      <c r="H465" s="8">
        <f t="shared" si="15"/>
        <v>0</v>
      </c>
      <c r="I465" s="4"/>
      <c r="J465" s="16" t="s">
        <v>925</v>
      </c>
    </row>
    <row r="466" spans="1:10" x14ac:dyDescent="0.35">
      <c r="A466" s="47"/>
      <c r="B466" s="46"/>
      <c r="C466" s="11" t="s">
        <v>602</v>
      </c>
      <c r="D466" s="9">
        <v>2805581.89</v>
      </c>
      <c r="E466" s="9">
        <v>2805581.89</v>
      </c>
      <c r="F466" s="16">
        <v>2805581.89</v>
      </c>
      <c r="G466" s="8">
        <f t="shared" si="14"/>
        <v>0</v>
      </c>
      <c r="H466" s="8">
        <f t="shared" si="15"/>
        <v>0</v>
      </c>
      <c r="I466" s="4"/>
      <c r="J466" s="16" t="s">
        <v>911</v>
      </c>
    </row>
    <row r="467" spans="1:10" x14ac:dyDescent="0.35">
      <c r="A467" s="47"/>
      <c r="B467" s="46"/>
      <c r="C467" s="11" t="s">
        <v>258</v>
      </c>
      <c r="D467" s="9">
        <v>6001580.46</v>
      </c>
      <c r="E467" s="9">
        <v>6001580.46</v>
      </c>
      <c r="F467" s="16">
        <v>6001580.46</v>
      </c>
      <c r="G467" s="8">
        <f t="shared" si="14"/>
        <v>0</v>
      </c>
      <c r="H467" s="8">
        <f t="shared" si="15"/>
        <v>0</v>
      </c>
      <c r="I467" s="4"/>
      <c r="J467" s="16" t="s">
        <v>926</v>
      </c>
    </row>
    <row r="468" spans="1:10" x14ac:dyDescent="0.35">
      <c r="A468" s="47"/>
      <c r="B468" s="46"/>
      <c r="C468" s="11" t="s">
        <v>603</v>
      </c>
      <c r="D468" s="9">
        <v>118875.57</v>
      </c>
      <c r="E468" s="9">
        <v>118875.57</v>
      </c>
      <c r="F468" s="16">
        <v>118875.57</v>
      </c>
      <c r="G468" s="8">
        <f t="shared" si="14"/>
        <v>0</v>
      </c>
      <c r="H468" s="8">
        <f t="shared" si="15"/>
        <v>0</v>
      </c>
      <c r="I468" s="4"/>
      <c r="J468" s="16" t="s">
        <v>927</v>
      </c>
    </row>
    <row r="469" spans="1:10" x14ac:dyDescent="0.35">
      <c r="A469" s="47"/>
      <c r="B469" s="46"/>
      <c r="C469" s="11" t="s">
        <v>604</v>
      </c>
      <c r="D469" s="9">
        <v>308758.59999999998</v>
      </c>
      <c r="E469" s="9">
        <v>308758.59999999998</v>
      </c>
      <c r="F469" s="16">
        <v>308758.59999999998</v>
      </c>
      <c r="G469" s="8">
        <f t="shared" si="14"/>
        <v>0</v>
      </c>
      <c r="H469" s="8">
        <f t="shared" si="15"/>
        <v>0</v>
      </c>
      <c r="I469" s="4"/>
      <c r="J469" s="16" t="s">
        <v>928</v>
      </c>
    </row>
    <row r="470" spans="1:10" x14ac:dyDescent="0.35">
      <c r="A470" s="47"/>
      <c r="B470" s="46"/>
      <c r="C470" s="11" t="s">
        <v>254</v>
      </c>
      <c r="D470" s="9">
        <v>283018.36</v>
      </c>
      <c r="E470" s="9">
        <v>283018.36</v>
      </c>
      <c r="F470" s="16">
        <v>283018.36</v>
      </c>
      <c r="G470" s="8">
        <f t="shared" si="14"/>
        <v>0</v>
      </c>
      <c r="H470" s="8">
        <f t="shared" si="15"/>
        <v>0</v>
      </c>
      <c r="I470" s="4"/>
      <c r="J470" s="16" t="s">
        <v>929</v>
      </c>
    </row>
    <row r="471" spans="1:10" x14ac:dyDescent="0.35">
      <c r="A471" s="47"/>
      <c r="B471" s="46"/>
      <c r="C471" s="11" t="s">
        <v>605</v>
      </c>
      <c r="D471" s="9">
        <v>1279323.6399999999</v>
      </c>
      <c r="E471" s="9">
        <v>1279323.6399999999</v>
      </c>
      <c r="F471" s="16">
        <v>1279323.6399999999</v>
      </c>
      <c r="G471" s="8">
        <f t="shared" si="14"/>
        <v>0</v>
      </c>
      <c r="H471" s="8">
        <f t="shared" si="15"/>
        <v>0</v>
      </c>
      <c r="I471" s="4"/>
      <c r="J471" s="16" t="s">
        <v>930</v>
      </c>
    </row>
    <row r="472" spans="1:10" x14ac:dyDescent="0.35">
      <c r="A472" s="47"/>
      <c r="B472" s="46"/>
      <c r="C472" s="11" t="s">
        <v>606</v>
      </c>
      <c r="D472" s="9">
        <v>47928.65</v>
      </c>
      <c r="E472" s="9">
        <v>47928.65</v>
      </c>
      <c r="F472" s="16">
        <v>47928.65</v>
      </c>
      <c r="G472" s="8">
        <f t="shared" si="14"/>
        <v>0</v>
      </c>
      <c r="H472" s="8">
        <f t="shared" si="15"/>
        <v>0</v>
      </c>
      <c r="I472" s="4"/>
      <c r="J472" s="16" t="s">
        <v>931</v>
      </c>
    </row>
    <row r="473" spans="1:10" x14ac:dyDescent="0.35">
      <c r="A473" s="47"/>
      <c r="B473" s="46"/>
      <c r="C473" s="11" t="s">
        <v>284</v>
      </c>
      <c r="D473" s="9">
        <v>13484878.189999999</v>
      </c>
      <c r="E473" s="9">
        <v>13484878.189999999</v>
      </c>
      <c r="F473" s="16">
        <v>13484878.189999999</v>
      </c>
      <c r="G473" s="8">
        <f t="shared" si="14"/>
        <v>0</v>
      </c>
      <c r="H473" s="8">
        <f t="shared" si="15"/>
        <v>0</v>
      </c>
      <c r="I473" s="4"/>
      <c r="J473" s="16" t="s">
        <v>932</v>
      </c>
    </row>
    <row r="474" spans="1:10" x14ac:dyDescent="0.35">
      <c r="A474" s="47"/>
      <c r="B474" s="46"/>
      <c r="C474" s="11" t="s">
        <v>280</v>
      </c>
      <c r="D474" s="9">
        <v>270013.5</v>
      </c>
      <c r="E474" s="9">
        <v>270013.5</v>
      </c>
      <c r="F474" s="16">
        <v>270013.5</v>
      </c>
      <c r="G474" s="8">
        <f t="shared" si="14"/>
        <v>0</v>
      </c>
      <c r="H474" s="8">
        <f t="shared" si="15"/>
        <v>0</v>
      </c>
      <c r="I474" s="4"/>
      <c r="J474" s="16" t="s">
        <v>933</v>
      </c>
    </row>
    <row r="475" spans="1:10" x14ac:dyDescent="0.35">
      <c r="A475" s="47"/>
      <c r="B475" s="46"/>
      <c r="C475" s="11" t="s">
        <v>260</v>
      </c>
      <c r="D475" s="9">
        <v>388875.65</v>
      </c>
      <c r="E475" s="9">
        <v>388875.65</v>
      </c>
      <c r="F475" s="16">
        <v>388875.65</v>
      </c>
      <c r="G475" s="8">
        <f t="shared" si="14"/>
        <v>0</v>
      </c>
      <c r="H475" s="8">
        <f t="shared" si="15"/>
        <v>0</v>
      </c>
      <c r="I475" s="4"/>
      <c r="J475" s="16" t="s">
        <v>934</v>
      </c>
    </row>
    <row r="476" spans="1:10" x14ac:dyDescent="0.35">
      <c r="A476" s="47"/>
      <c r="B476" s="46"/>
      <c r="C476" s="11" t="s">
        <v>607</v>
      </c>
      <c r="D476" s="9">
        <v>13271.97</v>
      </c>
      <c r="E476" s="9">
        <v>13271.97</v>
      </c>
      <c r="F476" s="16">
        <v>13271.97</v>
      </c>
      <c r="G476" s="8">
        <f t="shared" si="14"/>
        <v>0</v>
      </c>
      <c r="H476" s="8">
        <f t="shared" si="15"/>
        <v>0</v>
      </c>
      <c r="I476" s="4"/>
      <c r="J476" s="16" t="s">
        <v>935</v>
      </c>
    </row>
    <row r="477" spans="1:10" x14ac:dyDescent="0.35">
      <c r="A477" s="47"/>
      <c r="B477" s="46"/>
      <c r="C477" s="11" t="s">
        <v>608</v>
      </c>
      <c r="D477" s="9">
        <v>294576.77</v>
      </c>
      <c r="E477" s="9">
        <v>294576.77</v>
      </c>
      <c r="F477" s="16">
        <v>294576.77</v>
      </c>
      <c r="G477" s="8">
        <f t="shared" si="14"/>
        <v>0</v>
      </c>
      <c r="H477" s="8">
        <f t="shared" si="15"/>
        <v>0</v>
      </c>
      <c r="I477" s="4"/>
      <c r="J477" s="16" t="s">
        <v>936</v>
      </c>
    </row>
    <row r="478" spans="1:10" x14ac:dyDescent="0.35">
      <c r="A478" s="47"/>
      <c r="B478" s="46"/>
      <c r="C478" s="11" t="s">
        <v>609</v>
      </c>
      <c r="D478" s="9">
        <v>1051448.5</v>
      </c>
      <c r="E478" s="9">
        <v>250939.04</v>
      </c>
      <c r="F478" s="16">
        <v>250939.04</v>
      </c>
      <c r="G478" s="8">
        <f t="shared" si="14"/>
        <v>0</v>
      </c>
      <c r="H478" s="8">
        <f t="shared" si="15"/>
        <v>-800509.46</v>
      </c>
      <c r="I478" s="4"/>
      <c r="J478" s="16" t="s">
        <v>937</v>
      </c>
    </row>
    <row r="479" spans="1:10" x14ac:dyDescent="0.35">
      <c r="A479" s="47"/>
      <c r="B479" s="46"/>
      <c r="C479" s="11" t="s">
        <v>610</v>
      </c>
      <c r="D479" s="9">
        <v>300018.58</v>
      </c>
      <c r="E479" s="9">
        <v>300018.58</v>
      </c>
      <c r="F479" s="16">
        <v>120007.43</v>
      </c>
      <c r="G479" s="8">
        <f t="shared" si="14"/>
        <v>-180011.15000000002</v>
      </c>
      <c r="H479" s="8">
        <f t="shared" si="15"/>
        <v>-180011.15000000002</v>
      </c>
      <c r="I479" s="4"/>
      <c r="J479" s="16" t="s">
        <v>937</v>
      </c>
    </row>
    <row r="480" spans="1:10" x14ac:dyDescent="0.35">
      <c r="A480" s="47"/>
      <c r="B480" s="46"/>
      <c r="C480" s="11" t="s">
        <v>611</v>
      </c>
      <c r="D480" s="9">
        <v>12034.14</v>
      </c>
      <c r="E480" s="9">
        <v>12034.14</v>
      </c>
      <c r="F480" s="16">
        <v>12034.14</v>
      </c>
      <c r="G480" s="8">
        <f t="shared" si="14"/>
        <v>0</v>
      </c>
      <c r="H480" s="8">
        <f t="shared" si="15"/>
        <v>0</v>
      </c>
      <c r="I480" s="4"/>
      <c r="J480" s="16" t="s">
        <v>925</v>
      </c>
    </row>
    <row r="481" spans="1:10" x14ac:dyDescent="0.35">
      <c r="A481" s="47"/>
      <c r="B481" s="46"/>
      <c r="C481" s="11" t="s">
        <v>612</v>
      </c>
      <c r="D481" s="9">
        <v>486384.88</v>
      </c>
      <c r="E481" s="9">
        <v>486384.88</v>
      </c>
      <c r="F481" s="16">
        <v>486384.88</v>
      </c>
      <c r="G481" s="8">
        <f t="shared" si="14"/>
        <v>0</v>
      </c>
      <c r="H481" s="8">
        <f t="shared" si="15"/>
        <v>0</v>
      </c>
      <c r="I481" s="4"/>
      <c r="J481" s="16" t="s">
        <v>938</v>
      </c>
    </row>
    <row r="482" spans="1:10" x14ac:dyDescent="0.35">
      <c r="A482" s="47"/>
      <c r="B482" s="46"/>
      <c r="C482" s="11" t="s">
        <v>613</v>
      </c>
      <c r="D482" s="9">
        <v>643827.81999999995</v>
      </c>
      <c r="E482" s="9">
        <v>643827.81999999995</v>
      </c>
      <c r="F482" s="16">
        <v>643827.81999999995</v>
      </c>
      <c r="G482" s="8">
        <f t="shared" si="14"/>
        <v>0</v>
      </c>
      <c r="H482" s="8">
        <f t="shared" si="15"/>
        <v>0</v>
      </c>
      <c r="I482" s="4"/>
      <c r="J482" s="16" t="s">
        <v>911</v>
      </c>
    </row>
    <row r="483" spans="1:10" x14ac:dyDescent="0.35">
      <c r="A483" s="47"/>
      <c r="B483" s="46"/>
      <c r="C483" s="11" t="s">
        <v>614</v>
      </c>
      <c r="D483" s="9">
        <v>252318.63</v>
      </c>
      <c r="E483" s="9">
        <v>252318.63</v>
      </c>
      <c r="F483" s="16">
        <v>252318.63</v>
      </c>
      <c r="G483" s="8">
        <f t="shared" si="14"/>
        <v>0</v>
      </c>
      <c r="H483" s="8">
        <f t="shared" si="15"/>
        <v>0</v>
      </c>
      <c r="I483" s="4"/>
      <c r="J483" s="16" t="s">
        <v>939</v>
      </c>
    </row>
    <row r="484" spans="1:10" x14ac:dyDescent="0.35">
      <c r="A484" s="47"/>
      <c r="B484" s="46"/>
      <c r="C484" s="11" t="s">
        <v>221</v>
      </c>
      <c r="D484" s="9">
        <v>85796942.909999996</v>
      </c>
      <c r="E484" s="9">
        <v>85796942.909999996</v>
      </c>
      <c r="F484" s="16">
        <v>85796942.909999996</v>
      </c>
      <c r="G484" s="8">
        <f t="shared" si="14"/>
        <v>0</v>
      </c>
      <c r="H484" s="8">
        <f t="shared" si="15"/>
        <v>0</v>
      </c>
      <c r="I484" s="4"/>
      <c r="J484" s="16" t="s">
        <v>940</v>
      </c>
    </row>
    <row r="485" spans="1:10" x14ac:dyDescent="0.35">
      <c r="A485" s="47"/>
      <c r="B485" s="46"/>
      <c r="C485" s="11" t="s">
        <v>276</v>
      </c>
      <c r="D485" s="9">
        <v>3638338.59</v>
      </c>
      <c r="E485" s="9">
        <v>3638338.59</v>
      </c>
      <c r="F485" s="16">
        <v>3638338.59</v>
      </c>
      <c r="G485" s="8">
        <f t="shared" si="14"/>
        <v>0</v>
      </c>
      <c r="H485" s="8">
        <f t="shared" si="15"/>
        <v>0</v>
      </c>
      <c r="I485" s="4"/>
      <c r="J485" s="16" t="s">
        <v>941</v>
      </c>
    </row>
    <row r="486" spans="1:10" x14ac:dyDescent="0.35">
      <c r="A486" s="47"/>
      <c r="B486" s="46"/>
      <c r="C486" s="11" t="s">
        <v>289</v>
      </c>
      <c r="D486" s="9">
        <v>368229553.81</v>
      </c>
      <c r="E486" s="9">
        <v>368229553.81</v>
      </c>
      <c r="F486" s="16">
        <v>368229553.81</v>
      </c>
      <c r="G486" s="8">
        <f t="shared" si="14"/>
        <v>0</v>
      </c>
      <c r="H486" s="8">
        <f t="shared" si="15"/>
        <v>0</v>
      </c>
      <c r="I486" s="4"/>
      <c r="J486" s="16" t="s">
        <v>942</v>
      </c>
    </row>
    <row r="487" spans="1:10" x14ac:dyDescent="0.35">
      <c r="A487" s="47"/>
      <c r="B487" s="46"/>
      <c r="C487" s="11" t="s">
        <v>214</v>
      </c>
      <c r="D487" s="9">
        <v>20411972.870000001</v>
      </c>
      <c r="E487" s="9">
        <v>20411972.870000001</v>
      </c>
      <c r="F487" s="16">
        <v>20411972.870000001</v>
      </c>
      <c r="G487" s="8">
        <f t="shared" si="14"/>
        <v>0</v>
      </c>
      <c r="H487" s="8">
        <f t="shared" si="15"/>
        <v>0</v>
      </c>
      <c r="I487" s="4"/>
      <c r="J487" s="16" t="s">
        <v>943</v>
      </c>
    </row>
    <row r="488" spans="1:10" x14ac:dyDescent="0.35">
      <c r="A488" s="47"/>
      <c r="B488" s="46"/>
      <c r="C488" s="11" t="s">
        <v>263</v>
      </c>
      <c r="D488" s="9">
        <v>240846725.31</v>
      </c>
      <c r="E488" s="9">
        <v>240846725.31</v>
      </c>
      <c r="F488" s="16">
        <v>240846725.31</v>
      </c>
      <c r="G488" s="8">
        <f t="shared" si="14"/>
        <v>0</v>
      </c>
      <c r="H488" s="8">
        <f t="shared" si="15"/>
        <v>0</v>
      </c>
      <c r="I488" s="4"/>
      <c r="J488" s="16" t="s">
        <v>944</v>
      </c>
    </row>
    <row r="489" spans="1:10" x14ac:dyDescent="0.35">
      <c r="A489" s="47"/>
      <c r="B489" s="46"/>
      <c r="C489" s="11" t="s">
        <v>283</v>
      </c>
      <c r="D489" s="9">
        <v>167590493.44</v>
      </c>
      <c r="E489" s="9">
        <v>167590493.44</v>
      </c>
      <c r="F489" s="16">
        <v>167590493.44</v>
      </c>
      <c r="G489" s="8">
        <f t="shared" si="14"/>
        <v>0</v>
      </c>
      <c r="H489" s="8">
        <f t="shared" si="15"/>
        <v>0</v>
      </c>
      <c r="I489" s="4"/>
      <c r="J489" s="16" t="s">
        <v>945</v>
      </c>
    </row>
    <row r="490" spans="1:10" x14ac:dyDescent="0.35">
      <c r="A490" s="47"/>
      <c r="B490" s="46"/>
      <c r="C490" s="11" t="s">
        <v>615</v>
      </c>
      <c r="D490" s="9">
        <v>125594.54</v>
      </c>
      <c r="E490" s="9">
        <v>125594.54</v>
      </c>
      <c r="F490" s="16">
        <v>125594.54</v>
      </c>
      <c r="G490" s="8">
        <f t="shared" si="14"/>
        <v>0</v>
      </c>
      <c r="H490" s="8">
        <f t="shared" si="15"/>
        <v>0</v>
      </c>
      <c r="I490" s="4"/>
      <c r="J490" s="16" t="s">
        <v>946</v>
      </c>
    </row>
    <row r="491" spans="1:10" x14ac:dyDescent="0.35">
      <c r="A491" s="47"/>
      <c r="B491" s="46"/>
      <c r="C491" s="11" t="s">
        <v>218</v>
      </c>
      <c r="D491" s="9">
        <v>23665241.850000001</v>
      </c>
      <c r="E491" s="9">
        <v>23665241.850000001</v>
      </c>
      <c r="F491" s="16">
        <v>23665241.850000001</v>
      </c>
      <c r="G491" s="8">
        <f t="shared" si="14"/>
        <v>0</v>
      </c>
      <c r="H491" s="8">
        <f t="shared" si="15"/>
        <v>0</v>
      </c>
      <c r="I491" s="4"/>
      <c r="J491" s="16" t="s">
        <v>947</v>
      </c>
    </row>
    <row r="492" spans="1:10" x14ac:dyDescent="0.35">
      <c r="A492" s="47"/>
      <c r="B492" s="46"/>
      <c r="C492" s="11" t="s">
        <v>616</v>
      </c>
      <c r="D492" s="9">
        <v>22293.37</v>
      </c>
      <c r="E492" s="9">
        <v>22293.37</v>
      </c>
      <c r="F492" s="16">
        <v>22293.37</v>
      </c>
      <c r="G492" s="8">
        <f t="shared" si="14"/>
        <v>0</v>
      </c>
      <c r="H492" s="8">
        <f t="shared" si="15"/>
        <v>0</v>
      </c>
      <c r="I492" s="4"/>
      <c r="J492" s="16" t="s">
        <v>948</v>
      </c>
    </row>
    <row r="493" spans="1:10" x14ac:dyDescent="0.35">
      <c r="A493" s="47"/>
      <c r="B493" s="46"/>
      <c r="C493" s="11" t="s">
        <v>234</v>
      </c>
      <c r="D493" s="9">
        <v>2016692.75</v>
      </c>
      <c r="E493" s="9">
        <v>2016692.75</v>
      </c>
      <c r="F493" s="16">
        <v>2016692.75</v>
      </c>
      <c r="G493" s="8">
        <f t="shared" si="14"/>
        <v>0</v>
      </c>
      <c r="H493" s="8">
        <f t="shared" si="15"/>
        <v>0</v>
      </c>
      <c r="I493" s="4"/>
      <c r="J493" s="16" t="s">
        <v>949</v>
      </c>
    </row>
    <row r="494" spans="1:10" x14ac:dyDescent="0.35">
      <c r="A494" s="47"/>
      <c r="B494" s="46"/>
      <c r="C494" s="11" t="s">
        <v>292</v>
      </c>
      <c r="D494" s="9">
        <v>1149828.08</v>
      </c>
      <c r="E494" s="9">
        <v>1149828.08</v>
      </c>
      <c r="F494" s="16">
        <v>1149828.08</v>
      </c>
      <c r="G494" s="8">
        <f t="shared" si="14"/>
        <v>0</v>
      </c>
      <c r="H494" s="8">
        <f t="shared" si="15"/>
        <v>0</v>
      </c>
      <c r="I494" s="4"/>
      <c r="J494" s="16" t="s">
        <v>950</v>
      </c>
    </row>
    <row r="495" spans="1:10" x14ac:dyDescent="0.35">
      <c r="A495" s="47"/>
      <c r="B495" s="46"/>
      <c r="C495" s="11" t="s">
        <v>617</v>
      </c>
      <c r="D495" s="9">
        <v>658650.79</v>
      </c>
      <c r="E495" s="9">
        <v>658650.79</v>
      </c>
      <c r="F495" s="16">
        <v>658650.79</v>
      </c>
      <c r="G495" s="8">
        <f t="shared" si="14"/>
        <v>0</v>
      </c>
      <c r="H495" s="8">
        <f t="shared" si="15"/>
        <v>0</v>
      </c>
      <c r="I495" s="4"/>
      <c r="J495" s="16" t="s">
        <v>951</v>
      </c>
    </row>
    <row r="496" spans="1:10" x14ac:dyDescent="0.35">
      <c r="A496" s="47"/>
      <c r="B496" s="46"/>
      <c r="C496" s="11" t="s">
        <v>270</v>
      </c>
      <c r="D496" s="9">
        <v>8489376.1300000008</v>
      </c>
      <c r="E496" s="9">
        <v>8294309.8099999996</v>
      </c>
      <c r="F496" s="16">
        <v>8294309.8099999996</v>
      </c>
      <c r="G496" s="8">
        <f t="shared" si="14"/>
        <v>0</v>
      </c>
      <c r="H496" s="8">
        <f t="shared" si="15"/>
        <v>-195066.32000000123</v>
      </c>
      <c r="I496" s="4"/>
      <c r="J496" s="16" t="s">
        <v>952</v>
      </c>
    </row>
    <row r="497" spans="1:10" x14ac:dyDescent="0.35">
      <c r="A497" s="47"/>
      <c r="B497" s="46"/>
      <c r="C497" s="11" t="s">
        <v>226</v>
      </c>
      <c r="D497" s="9">
        <v>4670550.7300000004</v>
      </c>
      <c r="E497" s="9">
        <v>4670550.7300000004</v>
      </c>
      <c r="F497" s="16">
        <v>4670550.7300000004</v>
      </c>
      <c r="G497" s="8">
        <f t="shared" si="14"/>
        <v>0</v>
      </c>
      <c r="H497" s="8">
        <f t="shared" si="15"/>
        <v>0</v>
      </c>
      <c r="I497" s="4"/>
      <c r="J497" s="16" t="s">
        <v>953</v>
      </c>
    </row>
    <row r="498" spans="1:10" x14ac:dyDescent="0.35">
      <c r="A498" s="47"/>
      <c r="B498" s="46"/>
      <c r="C498" s="11" t="s">
        <v>213</v>
      </c>
      <c r="D498" s="9">
        <v>5949028.0499999998</v>
      </c>
      <c r="E498" s="9">
        <v>5949028.0499999998</v>
      </c>
      <c r="F498" s="16">
        <v>5949028.0499999998</v>
      </c>
      <c r="G498" s="8">
        <f t="shared" si="14"/>
        <v>0</v>
      </c>
      <c r="H498" s="8">
        <f t="shared" si="15"/>
        <v>0</v>
      </c>
      <c r="I498" s="4"/>
      <c r="J498" s="16" t="s">
        <v>954</v>
      </c>
    </row>
    <row r="499" spans="1:10" x14ac:dyDescent="0.35">
      <c r="A499" s="47"/>
      <c r="B499" s="46"/>
      <c r="C499" s="11" t="s">
        <v>618</v>
      </c>
      <c r="D499" s="9">
        <v>29286.11</v>
      </c>
      <c r="E499" s="9">
        <v>29286.11</v>
      </c>
      <c r="F499" s="16">
        <v>29286.11</v>
      </c>
      <c r="G499" s="8">
        <f t="shared" si="14"/>
        <v>0</v>
      </c>
      <c r="H499" s="8">
        <f t="shared" si="15"/>
        <v>0</v>
      </c>
      <c r="I499" s="4"/>
      <c r="J499" s="16" t="s">
        <v>955</v>
      </c>
    </row>
    <row r="500" spans="1:10" x14ac:dyDescent="0.35">
      <c r="A500" s="47"/>
      <c r="B500" s="46"/>
      <c r="C500" s="11" t="s">
        <v>619</v>
      </c>
      <c r="D500" s="9">
        <v>103141.34</v>
      </c>
      <c r="E500" s="9">
        <v>103141.34</v>
      </c>
      <c r="F500" s="16">
        <v>103141.34</v>
      </c>
      <c r="G500" s="8">
        <f t="shared" si="14"/>
        <v>0</v>
      </c>
      <c r="H500" s="8">
        <f t="shared" si="15"/>
        <v>0</v>
      </c>
      <c r="I500" s="4"/>
      <c r="J500" s="16" t="s">
        <v>956</v>
      </c>
    </row>
    <row r="501" spans="1:10" x14ac:dyDescent="0.35">
      <c r="A501" s="47"/>
      <c r="B501" s="46"/>
      <c r="C501" s="11" t="s">
        <v>620</v>
      </c>
      <c r="D501" s="9">
        <v>5177.1899999999996</v>
      </c>
      <c r="E501" s="9">
        <v>5177.1899999999996</v>
      </c>
      <c r="F501" s="16">
        <v>5177.1899999999996</v>
      </c>
      <c r="G501" s="8">
        <f t="shared" si="14"/>
        <v>0</v>
      </c>
      <c r="H501" s="8">
        <f t="shared" si="15"/>
        <v>0</v>
      </c>
      <c r="I501" s="4"/>
      <c r="J501" s="16" t="s">
        <v>957</v>
      </c>
    </row>
    <row r="502" spans="1:10" x14ac:dyDescent="0.35">
      <c r="A502" s="47"/>
      <c r="B502" s="46"/>
      <c r="C502" s="11" t="s">
        <v>247</v>
      </c>
      <c r="D502" s="9">
        <v>953201.62</v>
      </c>
      <c r="E502" s="9">
        <v>953201.62</v>
      </c>
      <c r="F502" s="16">
        <v>953201.62</v>
      </c>
      <c r="G502" s="8">
        <f t="shared" si="14"/>
        <v>0</v>
      </c>
      <c r="H502" s="8">
        <f t="shared" si="15"/>
        <v>0</v>
      </c>
      <c r="I502" s="4"/>
      <c r="J502" s="16" t="s">
        <v>958</v>
      </c>
    </row>
    <row r="503" spans="1:10" x14ac:dyDescent="0.35">
      <c r="A503" s="47"/>
      <c r="B503" s="46"/>
      <c r="C503" s="11" t="s">
        <v>232</v>
      </c>
      <c r="D503" s="9">
        <v>737058772.25999999</v>
      </c>
      <c r="E503" s="9">
        <v>737058772.25999999</v>
      </c>
      <c r="F503" s="16">
        <v>737058772.25999999</v>
      </c>
      <c r="G503" s="8">
        <f t="shared" si="14"/>
        <v>0</v>
      </c>
      <c r="H503" s="8">
        <f t="shared" si="15"/>
        <v>0</v>
      </c>
      <c r="I503" s="4"/>
      <c r="J503" s="16" t="s">
        <v>959</v>
      </c>
    </row>
    <row r="504" spans="1:10" x14ac:dyDescent="0.35">
      <c r="A504" s="47"/>
      <c r="B504" s="46"/>
      <c r="C504" s="11" t="s">
        <v>249</v>
      </c>
      <c r="D504" s="9">
        <v>156450321.59999999</v>
      </c>
      <c r="E504" s="9">
        <v>156450321.59999999</v>
      </c>
      <c r="F504" s="16">
        <v>156450321.59999999</v>
      </c>
      <c r="G504" s="8">
        <f t="shared" si="14"/>
        <v>0</v>
      </c>
      <c r="H504" s="8">
        <f t="shared" si="15"/>
        <v>0</v>
      </c>
      <c r="I504" s="4"/>
      <c r="J504" s="16" t="s">
        <v>960</v>
      </c>
    </row>
    <row r="505" spans="1:10" x14ac:dyDescent="0.35">
      <c r="A505" s="47"/>
      <c r="B505" s="46"/>
      <c r="C505" s="11" t="s">
        <v>246</v>
      </c>
      <c r="D505" s="9">
        <v>12413372.59</v>
      </c>
      <c r="E505" s="9">
        <v>12413372.59</v>
      </c>
      <c r="F505" s="16">
        <v>12413372.59</v>
      </c>
      <c r="G505" s="8">
        <f t="shared" si="14"/>
        <v>0</v>
      </c>
      <c r="H505" s="8">
        <f t="shared" si="15"/>
        <v>0</v>
      </c>
      <c r="I505" s="4"/>
      <c r="J505" s="16" t="s">
        <v>961</v>
      </c>
    </row>
    <row r="506" spans="1:10" x14ac:dyDescent="0.35">
      <c r="A506" s="47"/>
      <c r="B506" s="46"/>
      <c r="C506" s="11" t="s">
        <v>288</v>
      </c>
      <c r="D506" s="9">
        <v>3971216.61</v>
      </c>
      <c r="E506" s="9">
        <v>3971216.61</v>
      </c>
      <c r="F506" s="16">
        <v>3971216.61</v>
      </c>
      <c r="G506" s="8">
        <f t="shared" si="14"/>
        <v>0</v>
      </c>
      <c r="H506" s="8">
        <f t="shared" si="15"/>
        <v>0</v>
      </c>
      <c r="I506" s="4"/>
      <c r="J506" s="16" t="s">
        <v>962</v>
      </c>
    </row>
    <row r="507" spans="1:10" x14ac:dyDescent="0.35">
      <c r="A507" s="47"/>
      <c r="B507" s="46"/>
      <c r="C507" s="11" t="s">
        <v>253</v>
      </c>
      <c r="D507" s="9">
        <v>25959.82</v>
      </c>
      <c r="E507" s="9">
        <v>25959.82</v>
      </c>
      <c r="F507" s="16">
        <v>25959.82</v>
      </c>
      <c r="G507" s="8">
        <f t="shared" si="14"/>
        <v>0</v>
      </c>
      <c r="H507" s="8">
        <f t="shared" si="15"/>
        <v>0</v>
      </c>
      <c r="I507" s="4"/>
      <c r="J507" s="16" t="s">
        <v>963</v>
      </c>
    </row>
    <row r="508" spans="1:10" x14ac:dyDescent="0.35">
      <c r="A508" s="47"/>
      <c r="B508" s="46"/>
      <c r="C508" s="11" t="s">
        <v>305</v>
      </c>
      <c r="D508" s="9">
        <v>362779.39</v>
      </c>
      <c r="E508" s="9">
        <v>362779.39</v>
      </c>
      <c r="F508" s="16">
        <v>362779.39</v>
      </c>
      <c r="G508" s="8">
        <f t="shared" si="14"/>
        <v>0</v>
      </c>
      <c r="H508" s="8">
        <f t="shared" si="15"/>
        <v>0</v>
      </c>
      <c r="I508" s="4"/>
      <c r="J508" s="16" t="s">
        <v>964</v>
      </c>
    </row>
    <row r="509" spans="1:10" x14ac:dyDescent="0.35">
      <c r="A509" s="47"/>
      <c r="B509" s="46"/>
      <c r="C509" s="11" t="s">
        <v>267</v>
      </c>
      <c r="D509" s="9">
        <v>23311.64</v>
      </c>
      <c r="E509" s="9">
        <v>23311.64</v>
      </c>
      <c r="F509" s="16">
        <v>23311.64</v>
      </c>
      <c r="G509" s="8">
        <f t="shared" si="14"/>
        <v>0</v>
      </c>
      <c r="H509" s="8">
        <f t="shared" si="15"/>
        <v>0</v>
      </c>
      <c r="I509" s="4"/>
      <c r="J509" s="16" t="s">
        <v>965</v>
      </c>
    </row>
    <row r="510" spans="1:10" x14ac:dyDescent="0.35">
      <c r="A510" s="47"/>
      <c r="B510" s="46"/>
      <c r="C510" s="11" t="s">
        <v>257</v>
      </c>
      <c r="D510" s="9">
        <v>278429239.61000001</v>
      </c>
      <c r="E510" s="9">
        <v>278429239.61000001</v>
      </c>
      <c r="F510" s="16">
        <v>278429239.61000001</v>
      </c>
      <c r="G510" s="8">
        <f t="shared" si="14"/>
        <v>0</v>
      </c>
      <c r="H510" s="8">
        <f t="shared" si="15"/>
        <v>0</v>
      </c>
      <c r="I510" s="4"/>
      <c r="J510" s="16" t="s">
        <v>966</v>
      </c>
    </row>
    <row r="511" spans="1:10" x14ac:dyDescent="0.35">
      <c r="A511" s="47"/>
      <c r="B511" s="46"/>
      <c r="C511" s="11" t="s">
        <v>621</v>
      </c>
      <c r="D511" s="9">
        <v>2998006.33</v>
      </c>
      <c r="E511" s="9">
        <v>2998006.33</v>
      </c>
      <c r="F511" s="16">
        <v>2998006.33</v>
      </c>
      <c r="G511" s="8">
        <f t="shared" si="14"/>
        <v>0</v>
      </c>
      <c r="H511" s="8">
        <f t="shared" si="15"/>
        <v>0</v>
      </c>
      <c r="I511" s="4"/>
      <c r="J511" s="16" t="s">
        <v>967</v>
      </c>
    </row>
    <row r="512" spans="1:10" x14ac:dyDescent="0.35">
      <c r="A512" s="47"/>
      <c r="B512" s="46"/>
      <c r="C512" s="11" t="s">
        <v>282</v>
      </c>
      <c r="D512" s="9">
        <v>13941.43</v>
      </c>
      <c r="E512" s="9">
        <v>13941.43</v>
      </c>
      <c r="F512" s="16">
        <v>13941.43</v>
      </c>
      <c r="G512" s="8">
        <f t="shared" si="14"/>
        <v>0</v>
      </c>
      <c r="H512" s="8">
        <f t="shared" si="15"/>
        <v>0</v>
      </c>
      <c r="I512" s="4"/>
      <c r="J512" s="16" t="s">
        <v>968</v>
      </c>
    </row>
    <row r="513" spans="1:10" x14ac:dyDescent="0.35">
      <c r="A513" s="47"/>
      <c r="B513" s="46"/>
      <c r="C513" s="11" t="s">
        <v>251</v>
      </c>
      <c r="D513" s="9">
        <v>16790.82</v>
      </c>
      <c r="E513" s="9">
        <v>16790.82</v>
      </c>
      <c r="F513" s="16">
        <v>16790.82</v>
      </c>
      <c r="G513" s="8">
        <f t="shared" si="14"/>
        <v>0</v>
      </c>
      <c r="H513" s="8">
        <f t="shared" si="15"/>
        <v>0</v>
      </c>
      <c r="I513" s="4"/>
      <c r="J513" s="16" t="s">
        <v>969</v>
      </c>
    </row>
    <row r="514" spans="1:10" x14ac:dyDescent="0.35">
      <c r="A514" s="47"/>
      <c r="B514" s="46"/>
      <c r="C514" s="11" t="s">
        <v>240</v>
      </c>
      <c r="D514" s="9">
        <v>18502025.66</v>
      </c>
      <c r="E514" s="9">
        <v>18502025.66</v>
      </c>
      <c r="F514" s="16">
        <v>18502025.66</v>
      </c>
      <c r="G514" s="8">
        <f t="shared" ref="G514:G577" si="16">F514-E514</f>
        <v>0</v>
      </c>
      <c r="H514" s="8">
        <f t="shared" si="15"/>
        <v>0</v>
      </c>
      <c r="I514" s="4"/>
      <c r="J514" s="16" t="s">
        <v>970</v>
      </c>
    </row>
    <row r="515" spans="1:10" x14ac:dyDescent="0.35">
      <c r="A515" s="47"/>
      <c r="B515" s="46"/>
      <c r="C515" s="11" t="s">
        <v>266</v>
      </c>
      <c r="D515" s="9">
        <v>8533129.3699999992</v>
      </c>
      <c r="E515" s="9">
        <v>8533129.3699999992</v>
      </c>
      <c r="F515" s="16">
        <v>8533129.3699999992</v>
      </c>
      <c r="G515" s="8">
        <f t="shared" si="16"/>
        <v>0</v>
      </c>
      <c r="H515" s="8">
        <f t="shared" ref="H515:H578" si="17">F515-D515</f>
        <v>0</v>
      </c>
      <c r="I515" s="4"/>
      <c r="J515" s="16" t="s">
        <v>971</v>
      </c>
    </row>
    <row r="516" spans="1:10" x14ac:dyDescent="0.35">
      <c r="A516" s="47"/>
      <c r="B516" s="46"/>
      <c r="C516" s="11" t="s">
        <v>622</v>
      </c>
      <c r="D516" s="9">
        <v>1494930.87</v>
      </c>
      <c r="E516" s="9">
        <v>1494930.87</v>
      </c>
      <c r="F516" s="16">
        <v>1494930.87</v>
      </c>
      <c r="G516" s="8">
        <f t="shared" si="16"/>
        <v>0</v>
      </c>
      <c r="H516" s="8">
        <f t="shared" si="17"/>
        <v>0</v>
      </c>
      <c r="I516" s="4"/>
      <c r="J516" s="16" t="s">
        <v>972</v>
      </c>
    </row>
    <row r="517" spans="1:10" x14ac:dyDescent="0.35">
      <c r="A517" s="47"/>
      <c r="B517" s="46"/>
      <c r="C517" s="11" t="s">
        <v>212</v>
      </c>
      <c r="D517" s="9">
        <v>153930.73000000001</v>
      </c>
      <c r="E517" s="9">
        <v>153930.73000000001</v>
      </c>
      <c r="F517" s="16">
        <v>153930.73000000001</v>
      </c>
      <c r="G517" s="8">
        <f t="shared" si="16"/>
        <v>0</v>
      </c>
      <c r="H517" s="8">
        <f t="shared" si="17"/>
        <v>0</v>
      </c>
      <c r="I517" s="4"/>
      <c r="J517" s="16" t="s">
        <v>973</v>
      </c>
    </row>
    <row r="518" spans="1:10" x14ac:dyDescent="0.35">
      <c r="A518" s="47"/>
      <c r="B518" s="46"/>
      <c r="C518" s="11" t="s">
        <v>304</v>
      </c>
      <c r="D518" s="9">
        <v>276643.83</v>
      </c>
      <c r="E518" s="9">
        <v>276643.83</v>
      </c>
      <c r="F518" s="16">
        <v>276643.83</v>
      </c>
      <c r="G518" s="8">
        <f t="shared" si="16"/>
        <v>0</v>
      </c>
      <c r="H518" s="8">
        <f t="shared" si="17"/>
        <v>0</v>
      </c>
      <c r="I518" s="4"/>
      <c r="J518" s="16" t="s">
        <v>959</v>
      </c>
    </row>
    <row r="519" spans="1:10" x14ac:dyDescent="0.35">
      <c r="A519" s="47"/>
      <c r="B519" s="46"/>
      <c r="C519" s="11" t="s">
        <v>623</v>
      </c>
      <c r="D519" s="9">
        <v>27887.99</v>
      </c>
      <c r="E519" s="9">
        <v>27887.99</v>
      </c>
      <c r="F519" s="16">
        <v>27887.99</v>
      </c>
      <c r="G519" s="8">
        <f t="shared" si="16"/>
        <v>0</v>
      </c>
      <c r="H519" s="8">
        <f t="shared" si="17"/>
        <v>0</v>
      </c>
      <c r="I519" s="4"/>
      <c r="J519" s="16" t="s">
        <v>974</v>
      </c>
    </row>
    <row r="520" spans="1:10" x14ac:dyDescent="0.35">
      <c r="A520" s="47"/>
      <c r="B520" s="46"/>
      <c r="C520" s="11" t="s">
        <v>624</v>
      </c>
      <c r="D520" s="9">
        <v>72796.929999999993</v>
      </c>
      <c r="E520" s="9">
        <v>72796.929999999993</v>
      </c>
      <c r="F520" s="16">
        <v>72796.929999999993</v>
      </c>
      <c r="G520" s="8">
        <f t="shared" si="16"/>
        <v>0</v>
      </c>
      <c r="H520" s="8">
        <f t="shared" si="17"/>
        <v>0</v>
      </c>
      <c r="I520" s="4"/>
      <c r="J520" s="16" t="s">
        <v>975</v>
      </c>
    </row>
    <row r="521" spans="1:10" x14ac:dyDescent="0.35">
      <c r="A521" s="47"/>
      <c r="B521" s="46"/>
      <c r="C521" s="11" t="s">
        <v>264</v>
      </c>
      <c r="D521" s="9">
        <v>61968045.420000002</v>
      </c>
      <c r="E521" s="9">
        <v>61968045.420000002</v>
      </c>
      <c r="F521" s="16">
        <v>61968045.420000002</v>
      </c>
      <c r="G521" s="8">
        <f t="shared" si="16"/>
        <v>0</v>
      </c>
      <c r="H521" s="8">
        <f t="shared" si="17"/>
        <v>0</v>
      </c>
      <c r="I521" s="4"/>
      <c r="J521" s="16" t="s">
        <v>976</v>
      </c>
    </row>
    <row r="522" spans="1:10" x14ac:dyDescent="0.35">
      <c r="A522" s="47"/>
      <c r="B522" s="46"/>
      <c r="C522" s="11" t="s">
        <v>300</v>
      </c>
      <c r="D522" s="9">
        <v>6196249.7199999997</v>
      </c>
      <c r="E522" s="9">
        <v>6196249.7199999997</v>
      </c>
      <c r="F522" s="16">
        <v>6196249.7199999997</v>
      </c>
      <c r="G522" s="8">
        <f t="shared" si="16"/>
        <v>0</v>
      </c>
      <c r="H522" s="8">
        <f t="shared" si="17"/>
        <v>0</v>
      </c>
      <c r="I522" s="4"/>
      <c r="J522" s="16" t="s">
        <v>977</v>
      </c>
    </row>
    <row r="523" spans="1:10" x14ac:dyDescent="0.35">
      <c r="A523" s="47"/>
      <c r="B523" s="46"/>
      <c r="C523" s="11" t="s">
        <v>625</v>
      </c>
      <c r="D523" s="9">
        <v>21137158.57</v>
      </c>
      <c r="E523" s="9">
        <v>21137158.57</v>
      </c>
      <c r="F523" s="16">
        <v>21137158.57</v>
      </c>
      <c r="G523" s="8">
        <f t="shared" si="16"/>
        <v>0</v>
      </c>
      <c r="H523" s="8">
        <f t="shared" si="17"/>
        <v>0</v>
      </c>
      <c r="I523" s="4"/>
      <c r="J523" s="16" t="s">
        <v>978</v>
      </c>
    </row>
    <row r="524" spans="1:10" x14ac:dyDescent="0.35">
      <c r="A524" s="47"/>
      <c r="B524" s="46"/>
      <c r="C524" s="11" t="s">
        <v>628</v>
      </c>
      <c r="D524" s="9">
        <v>28096802.390000001</v>
      </c>
      <c r="E524" s="9">
        <v>7595411.4100000001</v>
      </c>
      <c r="F524" s="16">
        <v>7595411.4100000001</v>
      </c>
      <c r="G524" s="8">
        <f t="shared" si="16"/>
        <v>0</v>
      </c>
      <c r="H524" s="8">
        <f t="shared" si="17"/>
        <v>-20501390.98</v>
      </c>
      <c r="I524" s="4"/>
      <c r="J524" s="16" t="s">
        <v>979</v>
      </c>
    </row>
    <row r="525" spans="1:10" x14ac:dyDescent="0.35">
      <c r="A525" s="47"/>
      <c r="B525" s="46"/>
      <c r="C525" s="11" t="s">
        <v>279</v>
      </c>
      <c r="D525" s="9">
        <v>644605.48</v>
      </c>
      <c r="E525" s="9">
        <v>644605.48</v>
      </c>
      <c r="F525" s="16">
        <v>644605.48</v>
      </c>
      <c r="G525" s="8">
        <f t="shared" si="16"/>
        <v>0</v>
      </c>
      <c r="H525" s="8">
        <f t="shared" si="17"/>
        <v>0</v>
      </c>
      <c r="I525" s="4"/>
      <c r="J525" s="16" t="s">
        <v>980</v>
      </c>
    </row>
    <row r="526" spans="1:10" x14ac:dyDescent="0.35">
      <c r="A526" s="47"/>
      <c r="B526" s="46"/>
      <c r="C526" s="11" t="s">
        <v>629</v>
      </c>
      <c r="D526" s="9">
        <v>14293302.810000001</v>
      </c>
      <c r="E526" s="9">
        <v>14293302.810000001</v>
      </c>
      <c r="F526" s="16">
        <v>14293302.810000001</v>
      </c>
      <c r="G526" s="8">
        <f t="shared" si="16"/>
        <v>0</v>
      </c>
      <c r="H526" s="8">
        <f t="shared" si="17"/>
        <v>0</v>
      </c>
      <c r="I526" s="4"/>
      <c r="J526" s="16" t="s">
        <v>981</v>
      </c>
    </row>
    <row r="527" spans="1:10" x14ac:dyDescent="0.35">
      <c r="A527" s="47"/>
      <c r="B527" s="46"/>
      <c r="C527" s="33" t="s">
        <v>852</v>
      </c>
      <c r="D527" s="34"/>
      <c r="E527" s="34"/>
      <c r="F527" s="43">
        <v>737838.79</v>
      </c>
      <c r="G527" s="8">
        <f t="shared" si="16"/>
        <v>737838.79</v>
      </c>
      <c r="H527" s="8">
        <f t="shared" si="17"/>
        <v>737838.79</v>
      </c>
      <c r="I527" s="4"/>
      <c r="J527" s="16" t="s">
        <v>982</v>
      </c>
    </row>
    <row r="528" spans="1:10" x14ac:dyDescent="0.35">
      <c r="A528" s="47"/>
      <c r="B528" s="46"/>
      <c r="C528" s="11" t="s">
        <v>630</v>
      </c>
      <c r="D528" s="9">
        <v>60419.519999999997</v>
      </c>
      <c r="E528" s="9">
        <v>60419.519999999997</v>
      </c>
      <c r="F528" s="16">
        <v>60419.519999999997</v>
      </c>
      <c r="G528" s="8">
        <f t="shared" si="16"/>
        <v>0</v>
      </c>
      <c r="H528" s="8">
        <f t="shared" si="17"/>
        <v>0</v>
      </c>
      <c r="I528" s="4"/>
      <c r="J528" s="16" t="s">
        <v>983</v>
      </c>
    </row>
    <row r="529" spans="1:10" x14ac:dyDescent="0.35">
      <c r="A529" s="47"/>
      <c r="B529" s="46"/>
      <c r="C529" s="11" t="s">
        <v>235</v>
      </c>
      <c r="D529" s="9">
        <v>356359.7</v>
      </c>
      <c r="E529" s="9">
        <v>356359.7</v>
      </c>
      <c r="F529" s="16">
        <v>356359.7</v>
      </c>
      <c r="G529" s="8">
        <f t="shared" si="16"/>
        <v>0</v>
      </c>
      <c r="H529" s="8">
        <f t="shared" si="17"/>
        <v>0</v>
      </c>
      <c r="I529" s="4"/>
      <c r="J529" s="16" t="s">
        <v>984</v>
      </c>
    </row>
    <row r="530" spans="1:10" x14ac:dyDescent="0.35">
      <c r="A530" s="47"/>
      <c r="B530" s="46"/>
      <c r="C530" s="11" t="s">
        <v>242</v>
      </c>
      <c r="D530" s="9">
        <v>30447.52</v>
      </c>
      <c r="E530" s="9">
        <v>30447.52</v>
      </c>
      <c r="F530" s="16">
        <v>30447.52</v>
      </c>
      <c r="G530" s="8">
        <f t="shared" si="16"/>
        <v>0</v>
      </c>
      <c r="H530" s="8">
        <f t="shared" si="17"/>
        <v>0</v>
      </c>
      <c r="I530" s="4"/>
      <c r="J530" s="16" t="s">
        <v>985</v>
      </c>
    </row>
    <row r="531" spans="1:10" x14ac:dyDescent="0.35">
      <c r="A531" s="47"/>
      <c r="B531" s="46"/>
      <c r="C531" s="11" t="s">
        <v>299</v>
      </c>
      <c r="D531" s="9">
        <v>24337237.140000001</v>
      </c>
      <c r="E531" s="9">
        <v>1783538.76</v>
      </c>
      <c r="F531" s="16">
        <v>1783538.76</v>
      </c>
      <c r="G531" s="8">
        <f t="shared" si="16"/>
        <v>0</v>
      </c>
      <c r="H531" s="8">
        <f t="shared" si="17"/>
        <v>-22553698.379999999</v>
      </c>
      <c r="I531" s="4"/>
      <c r="J531" s="16" t="s">
        <v>984</v>
      </c>
    </row>
    <row r="532" spans="1:10" x14ac:dyDescent="0.35">
      <c r="A532" s="47"/>
      <c r="B532" s="46"/>
      <c r="C532" s="11" t="s">
        <v>631</v>
      </c>
      <c r="D532" s="9">
        <v>158020.35</v>
      </c>
      <c r="E532" s="9">
        <v>158020.35</v>
      </c>
      <c r="F532" s="16">
        <v>158020.35</v>
      </c>
      <c r="G532" s="8">
        <f t="shared" si="16"/>
        <v>0</v>
      </c>
      <c r="H532" s="8">
        <f t="shared" si="17"/>
        <v>0</v>
      </c>
      <c r="I532" s="4"/>
      <c r="J532" s="16" t="s">
        <v>986</v>
      </c>
    </row>
    <row r="533" spans="1:10" x14ac:dyDescent="0.35">
      <c r="A533" s="47"/>
      <c r="B533" s="46"/>
      <c r="C533" s="11" t="s">
        <v>244</v>
      </c>
      <c r="D533" s="9">
        <v>100255.07</v>
      </c>
      <c r="E533" s="9"/>
      <c r="F533" s="16"/>
      <c r="G533" s="8">
        <f t="shared" si="16"/>
        <v>0</v>
      </c>
      <c r="H533" s="8">
        <f t="shared" si="17"/>
        <v>-100255.07</v>
      </c>
      <c r="I533" s="4"/>
      <c r="J533" s="16" t="e">
        <v>#N/A</v>
      </c>
    </row>
    <row r="534" spans="1:10" x14ac:dyDescent="0.35">
      <c r="A534" s="47"/>
      <c r="B534" s="46"/>
      <c r="C534" s="11" t="s">
        <v>220</v>
      </c>
      <c r="D534" s="9">
        <v>30425.52</v>
      </c>
      <c r="E534" s="9"/>
      <c r="F534" s="16"/>
      <c r="G534" s="8">
        <f t="shared" si="16"/>
        <v>0</v>
      </c>
      <c r="H534" s="8">
        <f t="shared" si="17"/>
        <v>-30425.52</v>
      </c>
      <c r="I534" s="4"/>
      <c r="J534" s="16" t="e">
        <v>#N/A</v>
      </c>
    </row>
    <row r="535" spans="1:10" x14ac:dyDescent="0.35">
      <c r="A535" s="47"/>
      <c r="B535" s="46"/>
      <c r="C535" s="11" t="s">
        <v>273</v>
      </c>
      <c r="D535" s="9">
        <v>7869.39</v>
      </c>
      <c r="E535" s="9"/>
      <c r="F535" s="16"/>
      <c r="G535" s="8">
        <f t="shared" si="16"/>
        <v>0</v>
      </c>
      <c r="H535" s="8">
        <f t="shared" si="17"/>
        <v>-7869.39</v>
      </c>
      <c r="I535" s="4"/>
      <c r="J535" s="16" t="s">
        <v>987</v>
      </c>
    </row>
    <row r="536" spans="1:10" x14ac:dyDescent="0.35">
      <c r="A536" s="47"/>
      <c r="B536" s="46"/>
      <c r="C536" s="11" t="s">
        <v>278</v>
      </c>
      <c r="D536" s="9">
        <v>4360368.0999999996</v>
      </c>
      <c r="E536" s="9"/>
      <c r="F536" s="16"/>
      <c r="G536" s="8">
        <f t="shared" si="16"/>
        <v>0</v>
      </c>
      <c r="H536" s="8">
        <f t="shared" si="17"/>
        <v>-4360368.0999999996</v>
      </c>
      <c r="I536" s="4"/>
      <c r="J536" s="16" t="e">
        <v>#N/A</v>
      </c>
    </row>
    <row r="537" spans="1:10" x14ac:dyDescent="0.35">
      <c r="A537" s="47"/>
      <c r="B537" s="46"/>
      <c r="C537" s="11" t="s">
        <v>227</v>
      </c>
      <c r="D537" s="9">
        <v>97246.54</v>
      </c>
      <c r="E537" s="9"/>
      <c r="F537" s="16"/>
      <c r="G537" s="8">
        <f t="shared" si="16"/>
        <v>0</v>
      </c>
      <c r="H537" s="8">
        <f t="shared" si="17"/>
        <v>-97246.54</v>
      </c>
      <c r="I537" s="4"/>
      <c r="J537" s="16" t="s">
        <v>988</v>
      </c>
    </row>
    <row r="538" spans="1:10" x14ac:dyDescent="0.35">
      <c r="A538" s="47"/>
      <c r="B538" s="46"/>
      <c r="C538" s="11" t="s">
        <v>542</v>
      </c>
      <c r="D538" s="9">
        <v>528552.44999999995</v>
      </c>
      <c r="E538" s="9"/>
      <c r="F538" s="16"/>
      <c r="G538" s="8">
        <f t="shared" si="16"/>
        <v>0</v>
      </c>
      <c r="H538" s="8">
        <f t="shared" si="17"/>
        <v>-528552.44999999995</v>
      </c>
      <c r="I538" s="4"/>
      <c r="J538" s="16" t="s">
        <v>989</v>
      </c>
    </row>
    <row r="539" spans="1:10" x14ac:dyDescent="0.35">
      <c r="A539" s="47"/>
      <c r="B539" s="46"/>
      <c r="C539" s="11" t="s">
        <v>217</v>
      </c>
      <c r="D539" s="9">
        <v>351373.62</v>
      </c>
      <c r="E539" s="9"/>
      <c r="F539" s="16"/>
      <c r="G539" s="8">
        <f t="shared" si="16"/>
        <v>0</v>
      </c>
      <c r="H539" s="8">
        <f t="shared" si="17"/>
        <v>-351373.62</v>
      </c>
      <c r="I539" s="4"/>
      <c r="J539" s="16" t="s">
        <v>990</v>
      </c>
    </row>
    <row r="540" spans="1:10" x14ac:dyDescent="0.35">
      <c r="A540" s="47"/>
      <c r="B540" s="46"/>
      <c r="C540" s="11" t="s">
        <v>277</v>
      </c>
      <c r="D540" s="9">
        <v>210332.31</v>
      </c>
      <c r="E540" s="9"/>
      <c r="F540" s="16"/>
      <c r="G540" s="8">
        <f t="shared" si="16"/>
        <v>0</v>
      </c>
      <c r="H540" s="8">
        <f t="shared" si="17"/>
        <v>-210332.31</v>
      </c>
      <c r="I540" s="4"/>
      <c r="J540" s="16" t="s">
        <v>991</v>
      </c>
    </row>
    <row r="541" spans="1:10" x14ac:dyDescent="0.35">
      <c r="A541" s="47"/>
      <c r="B541" s="46"/>
      <c r="C541" s="11" t="s">
        <v>215</v>
      </c>
      <c r="D541" s="9">
        <v>91791.7</v>
      </c>
      <c r="E541" s="9"/>
      <c r="F541" s="16"/>
      <c r="G541" s="8">
        <f t="shared" si="16"/>
        <v>0</v>
      </c>
      <c r="H541" s="8">
        <f t="shared" si="17"/>
        <v>-91791.7</v>
      </c>
      <c r="I541" s="4"/>
      <c r="J541" s="16" t="e">
        <v>#N/A</v>
      </c>
    </row>
    <row r="542" spans="1:10" x14ac:dyDescent="0.35">
      <c r="A542" s="47"/>
      <c r="B542" s="46"/>
      <c r="C542" s="11" t="s">
        <v>281</v>
      </c>
      <c r="D542" s="9">
        <v>2112602.65</v>
      </c>
      <c r="E542" s="9"/>
      <c r="F542" s="16"/>
      <c r="G542" s="8">
        <f t="shared" si="16"/>
        <v>0</v>
      </c>
      <c r="H542" s="8">
        <f t="shared" si="17"/>
        <v>-2112602.65</v>
      </c>
      <c r="I542" s="4"/>
      <c r="J542" s="16" t="e">
        <v>#N/A</v>
      </c>
    </row>
    <row r="543" spans="1:10" x14ac:dyDescent="0.35">
      <c r="A543" s="47"/>
      <c r="B543" s="46"/>
      <c r="C543" s="11" t="s">
        <v>627</v>
      </c>
      <c r="D543" s="9">
        <v>32281388.98</v>
      </c>
      <c r="E543" s="9"/>
      <c r="F543" s="16"/>
      <c r="G543" s="8">
        <f t="shared" si="16"/>
        <v>0</v>
      </c>
      <c r="H543" s="8">
        <f t="shared" si="17"/>
        <v>-32281388.98</v>
      </c>
      <c r="I543" s="4"/>
      <c r="J543" s="16" t="s">
        <v>992</v>
      </c>
    </row>
    <row r="544" spans="1:10" x14ac:dyDescent="0.35">
      <c r="A544" s="47"/>
      <c r="B544" s="46"/>
      <c r="C544" s="11" t="s">
        <v>97</v>
      </c>
      <c r="D544" s="9">
        <v>404293.78</v>
      </c>
      <c r="E544" s="9">
        <v>404293.78</v>
      </c>
      <c r="F544" s="16"/>
      <c r="G544" s="8">
        <f t="shared" si="16"/>
        <v>-404293.78</v>
      </c>
      <c r="H544" s="8">
        <f t="shared" si="17"/>
        <v>-404293.78</v>
      </c>
      <c r="I544" s="4"/>
      <c r="J544" s="16" t="e">
        <v>#N/A</v>
      </c>
    </row>
    <row r="545" spans="1:10" x14ac:dyDescent="0.35">
      <c r="A545" s="47"/>
      <c r="B545" s="46"/>
      <c r="C545" s="11" t="s">
        <v>219</v>
      </c>
      <c r="D545" s="9">
        <v>48830.3</v>
      </c>
      <c r="E545" s="9"/>
      <c r="F545" s="16"/>
      <c r="G545" s="8">
        <f t="shared" si="16"/>
        <v>0</v>
      </c>
      <c r="H545" s="8">
        <f t="shared" si="17"/>
        <v>-48830.3</v>
      </c>
      <c r="I545" s="4"/>
      <c r="J545" s="16" t="s">
        <v>993</v>
      </c>
    </row>
    <row r="546" spans="1:10" x14ac:dyDescent="0.35">
      <c r="A546" s="47"/>
      <c r="B546" s="46"/>
      <c r="C546" s="11" t="s">
        <v>268</v>
      </c>
      <c r="D546" s="9">
        <v>569388.77</v>
      </c>
      <c r="E546" s="9">
        <v>569388.77</v>
      </c>
      <c r="F546" s="16"/>
      <c r="G546" s="8">
        <f t="shared" si="16"/>
        <v>-569388.77</v>
      </c>
      <c r="H546" s="8">
        <f t="shared" si="17"/>
        <v>-569388.77</v>
      </c>
      <c r="I546" s="4"/>
      <c r="J546" s="16" t="s">
        <v>994</v>
      </c>
    </row>
    <row r="547" spans="1:10" x14ac:dyDescent="0.35">
      <c r="A547" s="47"/>
      <c r="B547" s="46"/>
      <c r="C547" s="11" t="s">
        <v>626</v>
      </c>
      <c r="D547" s="9">
        <v>14701763</v>
      </c>
      <c r="E547" s="9"/>
      <c r="F547" s="16"/>
      <c r="G547" s="8">
        <f t="shared" si="16"/>
        <v>0</v>
      </c>
      <c r="H547" s="8">
        <f t="shared" si="17"/>
        <v>-14701763</v>
      </c>
      <c r="I547" s="4"/>
      <c r="J547" s="16" t="s">
        <v>940</v>
      </c>
    </row>
    <row r="548" spans="1:10" x14ac:dyDescent="0.35">
      <c r="A548" s="47"/>
      <c r="B548" s="46"/>
      <c r="C548" s="11" t="s">
        <v>271</v>
      </c>
      <c r="D548" s="9">
        <v>33277190.969999999</v>
      </c>
      <c r="E548" s="9"/>
      <c r="F548" s="16"/>
      <c r="G548" s="8">
        <f t="shared" si="16"/>
        <v>0</v>
      </c>
      <c r="H548" s="8">
        <f t="shared" si="17"/>
        <v>-33277190.969999999</v>
      </c>
      <c r="I548" s="4"/>
      <c r="J548" s="16" t="s">
        <v>954</v>
      </c>
    </row>
    <row r="549" spans="1:10" s="25" customFormat="1" x14ac:dyDescent="0.35">
      <c r="A549" s="47"/>
      <c r="B549" s="46"/>
      <c r="C549" s="20" t="s">
        <v>100</v>
      </c>
      <c r="D549" s="21">
        <f>SUM(D366:D548)</f>
        <v>3095107712.3599973</v>
      </c>
      <c r="E549" s="21">
        <f>SUM(E366:E548)</f>
        <v>2962535503.8199983</v>
      </c>
      <c r="F549" s="21">
        <f>SUM(F366:F548)</f>
        <v>2962535503.8199983</v>
      </c>
      <c r="G549" s="23">
        <f t="shared" si="16"/>
        <v>0</v>
      </c>
      <c r="H549" s="8">
        <f t="shared" si="17"/>
        <v>-132572208.53999901</v>
      </c>
      <c r="I549" s="24"/>
      <c r="J549" s="16" t="e">
        <v>#N/A</v>
      </c>
    </row>
    <row r="550" spans="1:10" x14ac:dyDescent="0.35">
      <c r="A550" s="47" t="s">
        <v>13</v>
      </c>
      <c r="B550" s="46" t="s">
        <v>32</v>
      </c>
      <c r="C550" s="11" t="s">
        <v>107</v>
      </c>
      <c r="D550" s="9">
        <v>5450500683.3999996</v>
      </c>
      <c r="E550" s="9"/>
      <c r="F550" s="16"/>
      <c r="G550" s="8">
        <f t="shared" si="16"/>
        <v>0</v>
      </c>
      <c r="H550" s="8">
        <f t="shared" si="17"/>
        <v>-5450500683.3999996</v>
      </c>
      <c r="I550" s="4"/>
      <c r="J550" s="16" t="e">
        <v>#N/A</v>
      </c>
    </row>
    <row r="551" spans="1:10" x14ac:dyDescent="0.35">
      <c r="A551" s="47"/>
      <c r="B551" s="46"/>
      <c r="C551" s="11" t="s">
        <v>632</v>
      </c>
      <c r="D551" s="9">
        <v>9062533.1999999993</v>
      </c>
      <c r="E551" s="9">
        <v>9062533.1999999993</v>
      </c>
      <c r="F551" s="16">
        <v>9062533.1999999993</v>
      </c>
      <c r="G551" s="8">
        <f t="shared" si="16"/>
        <v>0</v>
      </c>
      <c r="H551" s="8">
        <f t="shared" si="17"/>
        <v>0</v>
      </c>
      <c r="I551" s="4"/>
      <c r="J551" s="16" t="s">
        <v>995</v>
      </c>
    </row>
    <row r="552" spans="1:10" x14ac:dyDescent="0.35">
      <c r="A552" s="47"/>
      <c r="B552" s="46"/>
      <c r="C552" s="11" t="s">
        <v>633</v>
      </c>
      <c r="D552" s="9">
        <v>8450.25</v>
      </c>
      <c r="E552" s="9">
        <v>8450.25</v>
      </c>
      <c r="F552" s="16">
        <v>8450.25</v>
      </c>
      <c r="G552" s="8">
        <f t="shared" si="16"/>
        <v>0</v>
      </c>
      <c r="H552" s="8">
        <f t="shared" si="17"/>
        <v>0</v>
      </c>
      <c r="I552" s="4"/>
      <c r="J552" s="16" t="s">
        <v>996</v>
      </c>
    </row>
    <row r="553" spans="1:10" x14ac:dyDescent="0.35">
      <c r="A553" s="47"/>
      <c r="B553" s="46"/>
      <c r="C553" s="11" t="s">
        <v>634</v>
      </c>
      <c r="D553" s="9">
        <v>5297836400.54</v>
      </c>
      <c r="E553" s="9">
        <v>5297836400.54</v>
      </c>
      <c r="F553" s="16">
        <v>5297836400.54</v>
      </c>
      <c r="G553" s="8">
        <f t="shared" si="16"/>
        <v>0</v>
      </c>
      <c r="H553" s="8">
        <f t="shared" si="17"/>
        <v>0</v>
      </c>
      <c r="I553" s="4"/>
      <c r="J553" s="16" t="s">
        <v>997</v>
      </c>
    </row>
    <row r="554" spans="1:10" x14ac:dyDescent="0.35">
      <c r="A554" s="47"/>
      <c r="B554" s="46"/>
      <c r="C554" s="11" t="s">
        <v>635</v>
      </c>
      <c r="D554" s="9">
        <v>119618969.44</v>
      </c>
      <c r="E554" s="9">
        <v>119618969.44</v>
      </c>
      <c r="F554" s="16">
        <v>119618969.44</v>
      </c>
      <c r="G554" s="8">
        <f t="shared" si="16"/>
        <v>0</v>
      </c>
      <c r="H554" s="8">
        <f t="shared" si="17"/>
        <v>0</v>
      </c>
      <c r="I554" s="4"/>
      <c r="J554" s="16" t="s">
        <v>998</v>
      </c>
    </row>
    <row r="555" spans="1:10" x14ac:dyDescent="0.35">
      <c r="A555" s="47"/>
      <c r="B555" s="46"/>
      <c r="C555" s="11" t="s">
        <v>636</v>
      </c>
      <c r="D555" s="9">
        <v>491099.79</v>
      </c>
      <c r="E555" s="9">
        <v>491099.79</v>
      </c>
      <c r="F555" s="16">
        <v>491099.79</v>
      </c>
      <c r="G555" s="8">
        <f t="shared" si="16"/>
        <v>0</v>
      </c>
      <c r="H555" s="8">
        <f t="shared" si="17"/>
        <v>0</v>
      </c>
      <c r="I555" s="4"/>
      <c r="J555" s="16" t="s">
        <v>999</v>
      </c>
    </row>
    <row r="556" spans="1:10" x14ac:dyDescent="0.35">
      <c r="A556" s="47"/>
      <c r="B556" s="46"/>
      <c r="C556" s="11" t="s">
        <v>637</v>
      </c>
      <c r="D556" s="9">
        <v>395775.07</v>
      </c>
      <c r="E556" s="9">
        <v>395775.07</v>
      </c>
      <c r="F556" s="16">
        <v>395775.07</v>
      </c>
      <c r="G556" s="8">
        <f t="shared" si="16"/>
        <v>0</v>
      </c>
      <c r="H556" s="8">
        <f t="shared" si="17"/>
        <v>0</v>
      </c>
      <c r="I556" s="4"/>
      <c r="J556" s="16" t="s">
        <v>1000</v>
      </c>
    </row>
    <row r="557" spans="1:10" x14ac:dyDescent="0.35">
      <c r="A557" s="47"/>
      <c r="B557" s="46"/>
      <c r="C557" s="11" t="s">
        <v>638</v>
      </c>
      <c r="D557" s="9">
        <v>810503.49</v>
      </c>
      <c r="E557" s="9">
        <v>810503.49</v>
      </c>
      <c r="F557" s="16">
        <v>810503.49</v>
      </c>
      <c r="G557" s="8">
        <f t="shared" si="16"/>
        <v>0</v>
      </c>
      <c r="H557" s="8">
        <f t="shared" si="17"/>
        <v>0</v>
      </c>
      <c r="I557" s="4"/>
      <c r="J557" s="16" t="s">
        <v>1001</v>
      </c>
    </row>
    <row r="558" spans="1:10" x14ac:dyDescent="0.35">
      <c r="A558" s="47"/>
      <c r="B558" s="46"/>
      <c r="C558" s="11" t="s">
        <v>639</v>
      </c>
      <c r="D558" s="9">
        <v>32234809.93</v>
      </c>
      <c r="E558" s="9">
        <v>32234809.93</v>
      </c>
      <c r="F558" s="16">
        <v>32234809.93</v>
      </c>
      <c r="G558" s="8">
        <f t="shared" si="16"/>
        <v>0</v>
      </c>
      <c r="H558" s="8">
        <f t="shared" si="17"/>
        <v>0</v>
      </c>
      <c r="I558" s="4"/>
      <c r="J558" s="16" t="s">
        <v>1002</v>
      </c>
    </row>
    <row r="559" spans="1:10" x14ac:dyDescent="0.35">
      <c r="A559" s="47"/>
      <c r="B559" s="46"/>
      <c r="C559" s="11" t="s">
        <v>97</v>
      </c>
      <c r="D559" s="9">
        <v>9957858.3100000005</v>
      </c>
      <c r="E559" s="9"/>
      <c r="F559" s="16"/>
      <c r="G559" s="8">
        <f t="shared" si="16"/>
        <v>0</v>
      </c>
      <c r="H559" s="8">
        <f t="shared" si="17"/>
        <v>-9957858.3100000005</v>
      </c>
      <c r="I559" s="4"/>
      <c r="J559" s="16" t="e">
        <v>#N/A</v>
      </c>
    </row>
    <row r="560" spans="1:10" x14ac:dyDescent="0.35">
      <c r="A560" s="47" t="s">
        <v>14</v>
      </c>
      <c r="B560" s="46" t="s">
        <v>32</v>
      </c>
      <c r="C560" s="11" t="s">
        <v>632</v>
      </c>
      <c r="D560" s="9"/>
      <c r="E560" s="9"/>
      <c r="F560" s="16"/>
      <c r="G560" s="8">
        <f t="shared" si="16"/>
        <v>0</v>
      </c>
      <c r="H560" s="8">
        <f t="shared" si="17"/>
        <v>0</v>
      </c>
      <c r="I560" s="4"/>
      <c r="J560" s="16" t="s">
        <v>995</v>
      </c>
    </row>
    <row r="561" spans="1:10" x14ac:dyDescent="0.35">
      <c r="A561" s="47"/>
      <c r="B561" s="46"/>
      <c r="C561" s="11" t="s">
        <v>633</v>
      </c>
      <c r="D561" s="9"/>
      <c r="E561" s="9"/>
      <c r="F561" s="16"/>
      <c r="G561" s="8">
        <f t="shared" si="16"/>
        <v>0</v>
      </c>
      <c r="H561" s="8">
        <f t="shared" si="17"/>
        <v>0</v>
      </c>
      <c r="I561" s="4"/>
      <c r="J561" s="16" t="s">
        <v>996</v>
      </c>
    </row>
    <row r="562" spans="1:10" x14ac:dyDescent="0.35">
      <c r="A562" s="47"/>
      <c r="B562" s="46"/>
      <c r="C562" s="11" t="s">
        <v>634</v>
      </c>
      <c r="D562" s="9"/>
      <c r="E562" s="9"/>
      <c r="F562" s="16"/>
      <c r="G562" s="8">
        <f t="shared" si="16"/>
        <v>0</v>
      </c>
      <c r="H562" s="8">
        <f t="shared" si="17"/>
        <v>0</v>
      </c>
      <c r="I562" s="4"/>
      <c r="J562" s="16" t="s">
        <v>997</v>
      </c>
    </row>
    <row r="563" spans="1:10" x14ac:dyDescent="0.35">
      <c r="A563" s="47"/>
      <c r="B563" s="46"/>
      <c r="C563" s="11" t="s">
        <v>635</v>
      </c>
      <c r="D563" s="9"/>
      <c r="E563" s="9"/>
      <c r="F563" s="16"/>
      <c r="G563" s="8">
        <f t="shared" si="16"/>
        <v>0</v>
      </c>
      <c r="H563" s="8">
        <f t="shared" si="17"/>
        <v>0</v>
      </c>
      <c r="I563" s="4"/>
      <c r="J563" s="16" t="s">
        <v>998</v>
      </c>
    </row>
    <row r="564" spans="1:10" x14ac:dyDescent="0.35">
      <c r="A564" s="47"/>
      <c r="B564" s="46"/>
      <c r="C564" s="11" t="s">
        <v>636</v>
      </c>
      <c r="D564" s="9"/>
      <c r="E564" s="9"/>
      <c r="F564" s="16"/>
      <c r="G564" s="8">
        <f t="shared" si="16"/>
        <v>0</v>
      </c>
      <c r="H564" s="8">
        <f t="shared" si="17"/>
        <v>0</v>
      </c>
      <c r="I564" s="4"/>
      <c r="J564" s="16" t="s">
        <v>999</v>
      </c>
    </row>
    <row r="565" spans="1:10" x14ac:dyDescent="0.35">
      <c r="A565" s="47"/>
      <c r="B565" s="46"/>
      <c r="C565" s="11" t="s">
        <v>637</v>
      </c>
      <c r="D565" s="9"/>
      <c r="E565" s="9"/>
      <c r="F565" s="16"/>
      <c r="G565" s="8">
        <f t="shared" si="16"/>
        <v>0</v>
      </c>
      <c r="H565" s="8">
        <f t="shared" si="17"/>
        <v>0</v>
      </c>
      <c r="I565" s="4"/>
      <c r="J565" s="16" t="s">
        <v>1000</v>
      </c>
    </row>
    <row r="566" spans="1:10" x14ac:dyDescent="0.35">
      <c r="A566" s="47"/>
      <c r="B566" s="46"/>
      <c r="C566" s="11" t="s">
        <v>638</v>
      </c>
      <c r="D566" s="9"/>
      <c r="E566" s="9"/>
      <c r="F566" s="16"/>
      <c r="G566" s="8">
        <f t="shared" si="16"/>
        <v>0</v>
      </c>
      <c r="H566" s="8">
        <f t="shared" si="17"/>
        <v>0</v>
      </c>
      <c r="I566" s="4"/>
      <c r="J566" s="16" t="s">
        <v>1001</v>
      </c>
    </row>
    <row r="567" spans="1:10" x14ac:dyDescent="0.35">
      <c r="A567" s="47"/>
      <c r="B567" s="46"/>
      <c r="C567" s="11" t="s">
        <v>639</v>
      </c>
      <c r="D567" s="9"/>
      <c r="E567" s="9"/>
      <c r="F567" s="16"/>
      <c r="G567" s="8">
        <f t="shared" si="16"/>
        <v>0</v>
      </c>
      <c r="H567" s="8">
        <f t="shared" si="17"/>
        <v>0</v>
      </c>
      <c r="I567" s="4"/>
      <c r="J567" s="16" t="s">
        <v>1002</v>
      </c>
    </row>
    <row r="568" spans="1:10" x14ac:dyDescent="0.35">
      <c r="A568" s="47"/>
      <c r="B568" s="46"/>
      <c r="C568" s="11" t="s">
        <v>641</v>
      </c>
      <c r="D568" s="9">
        <v>145764897.38</v>
      </c>
      <c r="E568" s="9"/>
      <c r="F568" s="16"/>
      <c r="G568" s="8">
        <f t="shared" si="16"/>
        <v>0</v>
      </c>
      <c r="H568" s="8">
        <f t="shared" si="17"/>
        <v>-145764897.38</v>
      </c>
      <c r="I568" s="4"/>
      <c r="J568" s="16" t="s">
        <v>1003</v>
      </c>
    </row>
    <row r="569" spans="1:10" x14ac:dyDescent="0.35">
      <c r="A569" s="47"/>
      <c r="B569" s="46"/>
      <c r="C569" s="11" t="s">
        <v>640</v>
      </c>
      <c r="D569" s="9">
        <v>22939713.18</v>
      </c>
      <c r="E569" s="9"/>
      <c r="F569" s="16"/>
      <c r="G569" s="8">
        <f t="shared" si="16"/>
        <v>0</v>
      </c>
      <c r="H569" s="8">
        <f t="shared" si="17"/>
        <v>-22939713.18</v>
      </c>
      <c r="I569" s="4"/>
      <c r="J569" s="16" t="s">
        <v>1004</v>
      </c>
    </row>
    <row r="570" spans="1:10" s="25" customFormat="1" x14ac:dyDescent="0.35">
      <c r="A570" s="47"/>
      <c r="B570" s="46"/>
      <c r="C570" s="20" t="s">
        <v>100</v>
      </c>
      <c r="D570" s="21">
        <f>SUM(D550:D569)</f>
        <v>11089621693.98</v>
      </c>
      <c r="E570" s="21">
        <f>SUM(E550:E569)</f>
        <v>5460458541.7099991</v>
      </c>
      <c r="F570" s="21">
        <f>SUM(F550:F569)</f>
        <v>5460458541.7099991</v>
      </c>
      <c r="G570" s="23">
        <f t="shared" si="16"/>
        <v>0</v>
      </c>
      <c r="H570" s="8">
        <f t="shared" si="17"/>
        <v>-5629163152.2700005</v>
      </c>
      <c r="I570" s="24"/>
      <c r="J570" s="16" t="e">
        <v>#N/A</v>
      </c>
    </row>
    <row r="571" spans="1:10" x14ac:dyDescent="0.35">
      <c r="A571" s="47" t="s">
        <v>15</v>
      </c>
      <c r="B571" s="46" t="s">
        <v>33</v>
      </c>
      <c r="C571" s="11" t="s">
        <v>642</v>
      </c>
      <c r="D571" s="9">
        <v>137871.71</v>
      </c>
      <c r="E571" s="9">
        <v>137871.71</v>
      </c>
      <c r="F571" s="16"/>
      <c r="G571" s="8">
        <f t="shared" si="16"/>
        <v>-137871.71</v>
      </c>
      <c r="H571" s="8">
        <f t="shared" si="17"/>
        <v>-137871.71</v>
      </c>
      <c r="I571" s="4"/>
      <c r="J571" s="16" t="s">
        <v>1005</v>
      </c>
    </row>
    <row r="572" spans="1:10" x14ac:dyDescent="0.35">
      <c r="A572" s="47"/>
      <c r="B572" s="46"/>
      <c r="C572" s="11" t="s">
        <v>643</v>
      </c>
      <c r="D572" s="9">
        <v>0</v>
      </c>
      <c r="E572" s="9">
        <v>0</v>
      </c>
      <c r="F572" s="16">
        <v>137871.71</v>
      </c>
      <c r="G572" s="8">
        <f t="shared" si="16"/>
        <v>137871.71</v>
      </c>
      <c r="H572" s="8">
        <f t="shared" si="17"/>
        <v>137871.71</v>
      </c>
      <c r="I572" s="4"/>
      <c r="J572" s="16" t="s">
        <v>1006</v>
      </c>
    </row>
    <row r="573" spans="1:10" x14ac:dyDescent="0.35">
      <c r="A573" s="47"/>
      <c r="B573" s="46"/>
      <c r="C573" s="11" t="s">
        <v>329</v>
      </c>
      <c r="D573" s="9">
        <v>285000000</v>
      </c>
      <c r="E573" s="9">
        <v>285000000</v>
      </c>
      <c r="F573" s="16">
        <v>285000000</v>
      </c>
      <c r="G573" s="8">
        <f t="shared" si="16"/>
        <v>0</v>
      </c>
      <c r="H573" s="8">
        <f t="shared" si="17"/>
        <v>0</v>
      </c>
      <c r="I573" s="4"/>
      <c r="J573" s="16" t="s">
        <v>1007</v>
      </c>
    </row>
    <row r="574" spans="1:10" x14ac:dyDescent="0.35">
      <c r="A574" s="47"/>
      <c r="B574" s="46"/>
      <c r="C574" s="11" t="s">
        <v>396</v>
      </c>
      <c r="D574" s="9">
        <v>34539485.890000001</v>
      </c>
      <c r="E574" s="9">
        <v>34539485.890000001</v>
      </c>
      <c r="F574" s="16">
        <v>34539485.890000001</v>
      </c>
      <c r="G574" s="8">
        <f t="shared" si="16"/>
        <v>0</v>
      </c>
      <c r="H574" s="8">
        <f t="shared" si="17"/>
        <v>0</v>
      </c>
      <c r="I574" s="4"/>
      <c r="J574" s="16" t="s">
        <v>1008</v>
      </c>
    </row>
    <row r="575" spans="1:10" x14ac:dyDescent="0.35">
      <c r="A575" s="47"/>
      <c r="B575" s="46"/>
      <c r="C575" s="11" t="s">
        <v>350</v>
      </c>
      <c r="D575" s="9">
        <v>20000000</v>
      </c>
      <c r="E575" s="9">
        <v>20000000</v>
      </c>
      <c r="F575" s="16">
        <v>20000000</v>
      </c>
      <c r="G575" s="8">
        <f t="shared" si="16"/>
        <v>0</v>
      </c>
      <c r="H575" s="8">
        <f t="shared" si="17"/>
        <v>0</v>
      </c>
      <c r="I575" s="4"/>
      <c r="J575" s="16" t="s">
        <v>1009</v>
      </c>
    </row>
    <row r="576" spans="1:10" x14ac:dyDescent="0.35">
      <c r="A576" s="47"/>
      <c r="B576" s="46"/>
      <c r="C576" s="11" t="s">
        <v>380</v>
      </c>
      <c r="D576" s="9">
        <v>1458656255.47</v>
      </c>
      <c r="E576" s="9">
        <v>1458656255.47</v>
      </c>
      <c r="F576" s="16">
        <v>1458656255.47</v>
      </c>
      <c r="G576" s="8">
        <f t="shared" si="16"/>
        <v>0</v>
      </c>
      <c r="H576" s="8">
        <f t="shared" si="17"/>
        <v>0</v>
      </c>
      <c r="I576" s="4"/>
      <c r="J576" s="16" t="s">
        <v>1010</v>
      </c>
    </row>
    <row r="577" spans="1:10" x14ac:dyDescent="0.35">
      <c r="A577" s="47"/>
      <c r="B577" s="46"/>
      <c r="C577" s="11" t="s">
        <v>316</v>
      </c>
      <c r="D577" s="9">
        <v>4189574.14</v>
      </c>
      <c r="E577" s="9">
        <v>4189574.14</v>
      </c>
      <c r="F577" s="16">
        <v>4189574.14</v>
      </c>
      <c r="G577" s="8">
        <f t="shared" si="16"/>
        <v>0</v>
      </c>
      <c r="H577" s="8">
        <f t="shared" si="17"/>
        <v>0</v>
      </c>
      <c r="I577" s="4"/>
      <c r="J577" s="16" t="s">
        <v>1011</v>
      </c>
    </row>
    <row r="578" spans="1:10" x14ac:dyDescent="0.35">
      <c r="A578" s="47"/>
      <c r="B578" s="46"/>
      <c r="C578" s="11" t="s">
        <v>644</v>
      </c>
      <c r="D578" s="9">
        <v>58860000</v>
      </c>
      <c r="E578" s="9">
        <v>58860000</v>
      </c>
      <c r="F578" s="16">
        <v>58860000</v>
      </c>
      <c r="G578" s="8">
        <f t="shared" ref="G578:G641" si="18">F578-E578</f>
        <v>0</v>
      </c>
      <c r="H578" s="8">
        <f t="shared" si="17"/>
        <v>0</v>
      </c>
      <c r="I578" s="4"/>
      <c r="J578" s="16" t="s">
        <v>1012</v>
      </c>
    </row>
    <row r="579" spans="1:10" x14ac:dyDescent="0.35">
      <c r="A579" s="47"/>
      <c r="B579" s="46"/>
      <c r="C579" s="11" t="s">
        <v>645</v>
      </c>
      <c r="D579" s="9">
        <v>845000</v>
      </c>
      <c r="E579" s="9">
        <v>845000</v>
      </c>
      <c r="F579" s="16">
        <v>845000</v>
      </c>
      <c r="G579" s="8">
        <f t="shared" si="18"/>
        <v>0</v>
      </c>
      <c r="H579" s="8">
        <f t="shared" ref="H579:H642" si="19">F579-D579</f>
        <v>0</v>
      </c>
      <c r="I579" s="4"/>
      <c r="J579" s="16" t="s">
        <v>1013</v>
      </c>
    </row>
    <row r="580" spans="1:10" x14ac:dyDescent="0.35">
      <c r="A580" s="47"/>
      <c r="B580" s="46"/>
      <c r="C580" s="11" t="s">
        <v>406</v>
      </c>
      <c r="D580" s="9">
        <v>273213271.10000002</v>
      </c>
      <c r="E580" s="9">
        <v>273213271.10000002</v>
      </c>
      <c r="F580" s="16">
        <v>273213271.10000002</v>
      </c>
      <c r="G580" s="8">
        <f t="shared" si="18"/>
        <v>0</v>
      </c>
      <c r="H580" s="8">
        <f t="shared" si="19"/>
        <v>0</v>
      </c>
      <c r="I580" s="4"/>
      <c r="J580" s="16" t="s">
        <v>1014</v>
      </c>
    </row>
    <row r="581" spans="1:10" x14ac:dyDescent="0.35">
      <c r="A581" s="47"/>
      <c r="B581" s="46"/>
      <c r="C581" s="11" t="s">
        <v>646</v>
      </c>
      <c r="D581" s="9">
        <v>6457942.3499999996</v>
      </c>
      <c r="E581" s="9">
        <v>6457942.3499999996</v>
      </c>
      <c r="F581" s="16">
        <v>6457942.3499999996</v>
      </c>
      <c r="G581" s="8">
        <f t="shared" si="18"/>
        <v>0</v>
      </c>
      <c r="H581" s="8">
        <f t="shared" si="19"/>
        <v>0</v>
      </c>
      <c r="I581" s="4"/>
      <c r="J581" s="16" t="s">
        <v>1015</v>
      </c>
    </row>
    <row r="582" spans="1:10" x14ac:dyDescent="0.35">
      <c r="A582" s="47"/>
      <c r="B582" s="46"/>
      <c r="C582" s="11" t="s">
        <v>381</v>
      </c>
      <c r="D582" s="9">
        <v>3023688706.3099999</v>
      </c>
      <c r="E582" s="9">
        <v>3023688706.3099999</v>
      </c>
      <c r="F582" s="16">
        <v>3023688706.3099999</v>
      </c>
      <c r="G582" s="8">
        <f t="shared" si="18"/>
        <v>0</v>
      </c>
      <c r="H582" s="8">
        <f t="shared" si="19"/>
        <v>0</v>
      </c>
      <c r="I582" s="4"/>
      <c r="J582" s="16" t="s">
        <v>1016</v>
      </c>
    </row>
    <row r="583" spans="1:10" x14ac:dyDescent="0.35">
      <c r="A583" s="47"/>
      <c r="B583" s="46"/>
      <c r="C583" s="11" t="s">
        <v>647</v>
      </c>
      <c r="D583" s="9">
        <v>97985453.849999994</v>
      </c>
      <c r="E583" s="9">
        <v>97985453.849999994</v>
      </c>
      <c r="F583" s="16">
        <v>97985453.849999994</v>
      </c>
      <c r="G583" s="8">
        <f t="shared" si="18"/>
        <v>0</v>
      </c>
      <c r="H583" s="8">
        <f t="shared" si="19"/>
        <v>0</v>
      </c>
      <c r="I583" s="4"/>
      <c r="J583" s="16" t="s">
        <v>1017</v>
      </c>
    </row>
    <row r="584" spans="1:10" x14ac:dyDescent="0.35">
      <c r="A584" s="47"/>
      <c r="B584" s="46"/>
      <c r="C584" s="11" t="s">
        <v>365</v>
      </c>
      <c r="D584" s="9">
        <v>98315.12</v>
      </c>
      <c r="E584" s="9">
        <v>98315.12</v>
      </c>
      <c r="F584" s="16">
        <v>47142880.57</v>
      </c>
      <c r="G584" s="8">
        <f t="shared" si="18"/>
        <v>47044565.450000003</v>
      </c>
      <c r="H584" s="8">
        <f t="shared" si="19"/>
        <v>47044565.450000003</v>
      </c>
      <c r="I584" s="4"/>
      <c r="J584" s="16" t="s">
        <v>1018</v>
      </c>
    </row>
    <row r="585" spans="1:10" x14ac:dyDescent="0.35">
      <c r="A585" s="47"/>
      <c r="B585" s="46"/>
      <c r="C585" s="11" t="s">
        <v>327</v>
      </c>
      <c r="D585" s="9">
        <v>115662624.65000001</v>
      </c>
      <c r="E585" s="9">
        <v>115662624.65000001</v>
      </c>
      <c r="F585" s="16">
        <v>68618059.200000003</v>
      </c>
      <c r="G585" s="8">
        <f t="shared" si="18"/>
        <v>-47044565.450000003</v>
      </c>
      <c r="H585" s="8">
        <f t="shared" si="19"/>
        <v>-47044565.450000003</v>
      </c>
      <c r="I585" s="4"/>
      <c r="J585" s="16" t="s">
        <v>1019</v>
      </c>
    </row>
    <row r="586" spans="1:10" x14ac:dyDescent="0.35">
      <c r="A586" s="47"/>
      <c r="B586" s="46"/>
      <c r="C586" s="11" t="s">
        <v>338</v>
      </c>
      <c r="D586" s="9">
        <v>175415686.46000001</v>
      </c>
      <c r="E586" s="9">
        <v>175415686.46000001</v>
      </c>
      <c r="F586" s="16">
        <v>175415686.46000001</v>
      </c>
      <c r="G586" s="8">
        <f t="shared" si="18"/>
        <v>0</v>
      </c>
      <c r="H586" s="8">
        <f t="shared" si="19"/>
        <v>0</v>
      </c>
      <c r="I586" s="4"/>
      <c r="J586" s="16" t="s">
        <v>1020</v>
      </c>
    </row>
    <row r="587" spans="1:10" x14ac:dyDescent="0.35">
      <c r="A587" s="47"/>
      <c r="B587" s="46"/>
      <c r="C587" s="11" t="s">
        <v>340</v>
      </c>
      <c r="D587" s="9">
        <v>0</v>
      </c>
      <c r="E587" s="9">
        <v>0</v>
      </c>
      <c r="F587" s="16">
        <v>359458.19</v>
      </c>
      <c r="G587" s="8">
        <f t="shared" si="18"/>
        <v>359458.19</v>
      </c>
      <c r="H587" s="8">
        <f t="shared" si="19"/>
        <v>359458.19</v>
      </c>
      <c r="I587" s="4"/>
      <c r="J587" s="16" t="s">
        <v>1021</v>
      </c>
    </row>
    <row r="588" spans="1:10" x14ac:dyDescent="0.35">
      <c r="A588" s="47"/>
      <c r="B588" s="46"/>
      <c r="C588" s="11" t="s">
        <v>320</v>
      </c>
      <c r="D588" s="9">
        <v>693993</v>
      </c>
      <c r="E588" s="9">
        <v>693993</v>
      </c>
      <c r="F588" s="16">
        <v>334534.81</v>
      </c>
      <c r="G588" s="8">
        <f t="shared" si="18"/>
        <v>-359458.19</v>
      </c>
      <c r="H588" s="8">
        <f t="shared" si="19"/>
        <v>-359458.19</v>
      </c>
      <c r="I588" s="4"/>
      <c r="J588" s="16" t="s">
        <v>1022</v>
      </c>
    </row>
    <row r="589" spans="1:10" x14ac:dyDescent="0.35">
      <c r="A589" s="47"/>
      <c r="B589" s="46"/>
      <c r="C589" s="11" t="s">
        <v>399</v>
      </c>
      <c r="D589" s="9">
        <v>249000000</v>
      </c>
      <c r="E589" s="9">
        <v>249000000</v>
      </c>
      <c r="F589" s="16">
        <v>249000000</v>
      </c>
      <c r="G589" s="8">
        <f t="shared" si="18"/>
        <v>0</v>
      </c>
      <c r="H589" s="8">
        <f t="shared" si="19"/>
        <v>0</v>
      </c>
      <c r="I589" s="4"/>
      <c r="J589" s="16" t="s">
        <v>1023</v>
      </c>
    </row>
    <row r="590" spans="1:10" x14ac:dyDescent="0.35">
      <c r="A590" s="47"/>
      <c r="B590" s="46"/>
      <c r="C590" s="11" t="s">
        <v>370</v>
      </c>
      <c r="D590" s="9">
        <v>27324800</v>
      </c>
      <c r="E590" s="9">
        <v>27324800</v>
      </c>
      <c r="F590" s="16">
        <v>27324800</v>
      </c>
      <c r="G590" s="8">
        <f t="shared" si="18"/>
        <v>0</v>
      </c>
      <c r="H590" s="8">
        <f t="shared" si="19"/>
        <v>0</v>
      </c>
      <c r="I590" s="4"/>
      <c r="J590" s="16" t="s">
        <v>1024</v>
      </c>
    </row>
    <row r="591" spans="1:10" x14ac:dyDescent="0.35">
      <c r="A591" s="47"/>
      <c r="B591" s="46"/>
      <c r="C591" s="11" t="s">
        <v>409</v>
      </c>
      <c r="D591" s="9">
        <v>115961172.3</v>
      </c>
      <c r="E591" s="9">
        <v>115961172.3</v>
      </c>
      <c r="F591" s="16">
        <v>115961172.3</v>
      </c>
      <c r="G591" s="8">
        <f t="shared" si="18"/>
        <v>0</v>
      </c>
      <c r="H591" s="8">
        <f t="shared" si="19"/>
        <v>0</v>
      </c>
      <c r="I591" s="4"/>
      <c r="J591" s="16" t="s">
        <v>1025</v>
      </c>
    </row>
    <row r="592" spans="1:10" x14ac:dyDescent="0.35">
      <c r="A592" s="47"/>
      <c r="B592" s="46"/>
      <c r="C592" s="11" t="s">
        <v>648</v>
      </c>
      <c r="D592" s="9">
        <v>69164813.450000003</v>
      </c>
      <c r="E592" s="9">
        <v>69164813.450000003</v>
      </c>
      <c r="F592" s="16">
        <v>69164813.450000003</v>
      </c>
      <c r="G592" s="8">
        <f t="shared" si="18"/>
        <v>0</v>
      </c>
      <c r="H592" s="8">
        <f t="shared" si="19"/>
        <v>0</v>
      </c>
      <c r="I592" s="4"/>
      <c r="J592" s="16" t="s">
        <v>1026</v>
      </c>
    </row>
    <row r="593" spans="1:10" x14ac:dyDescent="0.35">
      <c r="A593" s="47"/>
      <c r="B593" s="46"/>
      <c r="C593" s="11" t="s">
        <v>649</v>
      </c>
      <c r="D593" s="9">
        <v>32154723.670000002</v>
      </c>
      <c r="E593" s="9">
        <v>32154723.670000002</v>
      </c>
      <c r="F593" s="16"/>
      <c r="G593" s="8">
        <f t="shared" si="18"/>
        <v>-32154723.670000002</v>
      </c>
      <c r="H593" s="8">
        <f t="shared" si="19"/>
        <v>-32154723.670000002</v>
      </c>
      <c r="I593" s="4"/>
      <c r="J593" s="16" t="s">
        <v>1027</v>
      </c>
    </row>
    <row r="594" spans="1:10" x14ac:dyDescent="0.35">
      <c r="A594" s="47"/>
      <c r="B594" s="46"/>
      <c r="C594" s="11" t="s">
        <v>650</v>
      </c>
      <c r="D594" s="9">
        <v>0</v>
      </c>
      <c r="E594" s="9">
        <v>0</v>
      </c>
      <c r="F594" s="16">
        <v>32154723.670000002</v>
      </c>
      <c r="G594" s="8">
        <f t="shared" si="18"/>
        <v>32154723.670000002</v>
      </c>
      <c r="H594" s="8">
        <f t="shared" si="19"/>
        <v>32154723.670000002</v>
      </c>
      <c r="I594" s="4"/>
      <c r="J594" s="16" t="s">
        <v>1027</v>
      </c>
    </row>
    <row r="595" spans="1:10" x14ac:dyDescent="0.35">
      <c r="A595" s="47"/>
      <c r="B595" s="46"/>
      <c r="C595" s="11" t="s">
        <v>651</v>
      </c>
      <c r="D595" s="9">
        <v>148741729.05000001</v>
      </c>
      <c r="E595" s="9">
        <v>148741729.05000001</v>
      </c>
      <c r="F595" s="16">
        <v>148741729.05000001</v>
      </c>
      <c r="G595" s="8">
        <f t="shared" si="18"/>
        <v>0</v>
      </c>
      <c r="H595" s="8">
        <f t="shared" si="19"/>
        <v>0</v>
      </c>
      <c r="I595" s="4"/>
      <c r="J595" s="16" t="s">
        <v>1028</v>
      </c>
    </row>
    <row r="596" spans="1:10" x14ac:dyDescent="0.35">
      <c r="A596" s="47"/>
      <c r="B596" s="46"/>
      <c r="C596" s="11" t="s">
        <v>349</v>
      </c>
      <c r="D596" s="9">
        <v>208695375.19</v>
      </c>
      <c r="E596" s="9">
        <v>208695375.19</v>
      </c>
      <c r="F596" s="16">
        <v>208695375.19</v>
      </c>
      <c r="G596" s="8">
        <f t="shared" si="18"/>
        <v>0</v>
      </c>
      <c r="H596" s="8">
        <f t="shared" si="19"/>
        <v>0</v>
      </c>
      <c r="I596" s="4"/>
      <c r="J596" s="16" t="s">
        <v>1029</v>
      </c>
    </row>
    <row r="597" spans="1:10" x14ac:dyDescent="0.35">
      <c r="A597" s="47"/>
      <c r="B597" s="46"/>
      <c r="C597" s="11" t="s">
        <v>336</v>
      </c>
      <c r="D597" s="9">
        <v>527525.01</v>
      </c>
      <c r="E597" s="9">
        <v>527525.01</v>
      </c>
      <c r="F597" s="16">
        <v>527525.01</v>
      </c>
      <c r="G597" s="8">
        <f t="shared" si="18"/>
        <v>0</v>
      </c>
      <c r="H597" s="8">
        <f t="shared" si="19"/>
        <v>0</v>
      </c>
      <c r="I597" s="4"/>
      <c r="J597" s="16" t="s">
        <v>1011</v>
      </c>
    </row>
    <row r="598" spans="1:10" x14ac:dyDescent="0.35">
      <c r="A598" s="47"/>
      <c r="B598" s="46"/>
      <c r="C598" s="11" t="s">
        <v>652</v>
      </c>
      <c r="D598" s="9">
        <v>13502420</v>
      </c>
      <c r="E598" s="9">
        <v>13502420</v>
      </c>
      <c r="F598" s="16">
        <v>13502420</v>
      </c>
      <c r="G598" s="8">
        <f t="shared" si="18"/>
        <v>0</v>
      </c>
      <c r="H598" s="8">
        <f t="shared" si="19"/>
        <v>0</v>
      </c>
      <c r="I598" s="4"/>
      <c r="J598" s="16" t="s">
        <v>1030</v>
      </c>
    </row>
    <row r="599" spans="1:10" x14ac:dyDescent="0.35">
      <c r="A599" s="47"/>
      <c r="B599" s="46"/>
      <c r="C599" s="11" t="s">
        <v>653</v>
      </c>
      <c r="D599" s="9">
        <v>3389454</v>
      </c>
      <c r="E599" s="9">
        <v>3389454</v>
      </c>
      <c r="F599" s="16">
        <v>3389454</v>
      </c>
      <c r="G599" s="8">
        <f t="shared" si="18"/>
        <v>0</v>
      </c>
      <c r="H599" s="8">
        <f t="shared" si="19"/>
        <v>0</v>
      </c>
      <c r="I599" s="4"/>
      <c r="J599" s="16" t="s">
        <v>1031</v>
      </c>
    </row>
    <row r="600" spans="1:10" x14ac:dyDescent="0.35">
      <c r="A600" s="47"/>
      <c r="B600" s="46"/>
      <c r="C600" s="11" t="s">
        <v>384</v>
      </c>
      <c r="D600" s="9">
        <v>46727163.060000002</v>
      </c>
      <c r="E600" s="9">
        <v>46727163.060000002</v>
      </c>
      <c r="F600" s="16">
        <v>46727163.060000002</v>
      </c>
      <c r="G600" s="8">
        <f t="shared" si="18"/>
        <v>0</v>
      </c>
      <c r="H600" s="8">
        <f t="shared" si="19"/>
        <v>0</v>
      </c>
      <c r="I600" s="4"/>
      <c r="J600" s="16" t="s">
        <v>1032</v>
      </c>
    </row>
    <row r="601" spans="1:10" x14ac:dyDescent="0.35">
      <c r="A601" s="47"/>
      <c r="B601" s="46"/>
      <c r="C601" s="11" t="s">
        <v>374</v>
      </c>
      <c r="D601" s="9">
        <v>448977604.00999999</v>
      </c>
      <c r="E601" s="9">
        <v>448977604.00999999</v>
      </c>
      <c r="F601" s="16">
        <v>448977604.00999999</v>
      </c>
      <c r="G601" s="8">
        <f t="shared" si="18"/>
        <v>0</v>
      </c>
      <c r="H601" s="8">
        <f t="shared" si="19"/>
        <v>0</v>
      </c>
      <c r="I601" s="4"/>
      <c r="J601" s="16" t="s">
        <v>1014</v>
      </c>
    </row>
    <row r="602" spans="1:10" x14ac:dyDescent="0.35">
      <c r="A602" s="47"/>
      <c r="B602" s="46"/>
      <c r="C602" s="11" t="s">
        <v>654</v>
      </c>
      <c r="D602" s="9">
        <v>33033056.91</v>
      </c>
      <c r="E602" s="9">
        <v>33033056.91</v>
      </c>
      <c r="F602" s="16">
        <v>33033056.91</v>
      </c>
      <c r="G602" s="8">
        <f t="shared" si="18"/>
        <v>0</v>
      </c>
      <c r="H602" s="8">
        <f t="shared" si="19"/>
        <v>0</v>
      </c>
      <c r="I602" s="4"/>
      <c r="J602" s="16" t="s">
        <v>1033</v>
      </c>
    </row>
    <row r="603" spans="1:10" x14ac:dyDescent="0.35">
      <c r="A603" s="47"/>
      <c r="B603" s="46"/>
      <c r="C603" s="11" t="s">
        <v>407</v>
      </c>
      <c r="D603" s="9">
        <v>2018892.37</v>
      </c>
      <c r="E603" s="9">
        <v>2018892.37</v>
      </c>
      <c r="F603" s="16">
        <v>2018892.37</v>
      </c>
      <c r="G603" s="8">
        <f t="shared" si="18"/>
        <v>0</v>
      </c>
      <c r="H603" s="8">
        <f t="shared" si="19"/>
        <v>0</v>
      </c>
      <c r="I603" s="4"/>
      <c r="J603" s="16" t="s">
        <v>1034</v>
      </c>
    </row>
    <row r="604" spans="1:10" x14ac:dyDescent="0.35">
      <c r="A604" s="47"/>
      <c r="B604" s="46"/>
      <c r="C604" s="11" t="s">
        <v>655</v>
      </c>
      <c r="D604" s="9">
        <v>943683.11</v>
      </c>
      <c r="E604" s="9">
        <v>188736.62</v>
      </c>
      <c r="F604" s="16">
        <v>188736.62</v>
      </c>
      <c r="G604" s="8">
        <f t="shared" si="18"/>
        <v>0</v>
      </c>
      <c r="H604" s="8">
        <f t="shared" si="19"/>
        <v>-754946.49</v>
      </c>
      <c r="I604" s="4"/>
      <c r="J604" s="16" t="s">
        <v>1035</v>
      </c>
    </row>
    <row r="605" spans="1:10" x14ac:dyDescent="0.35">
      <c r="A605" s="47"/>
      <c r="B605" s="46"/>
      <c r="C605" s="11" t="s">
        <v>656</v>
      </c>
      <c r="D605" s="9">
        <v>814423.8</v>
      </c>
      <c r="E605" s="9">
        <v>814423.8</v>
      </c>
      <c r="F605" s="16">
        <v>814423.8</v>
      </c>
      <c r="G605" s="8">
        <f t="shared" si="18"/>
        <v>0</v>
      </c>
      <c r="H605" s="8">
        <f t="shared" si="19"/>
        <v>0</v>
      </c>
      <c r="I605" s="4"/>
      <c r="J605" s="16" t="s">
        <v>1036</v>
      </c>
    </row>
    <row r="606" spans="1:10" x14ac:dyDescent="0.35">
      <c r="A606" s="47"/>
      <c r="B606" s="46"/>
      <c r="C606" s="11" t="s">
        <v>657</v>
      </c>
      <c r="D606" s="9">
        <v>290385832.81</v>
      </c>
      <c r="E606" s="9">
        <v>290385832.81</v>
      </c>
      <c r="F606" s="16">
        <v>290385832.81</v>
      </c>
      <c r="G606" s="8">
        <f t="shared" si="18"/>
        <v>0</v>
      </c>
      <c r="H606" s="8">
        <f t="shared" si="19"/>
        <v>0</v>
      </c>
      <c r="I606" s="4"/>
      <c r="J606" s="16" t="s">
        <v>1017</v>
      </c>
    </row>
    <row r="607" spans="1:10" x14ac:dyDescent="0.35">
      <c r="A607" s="47"/>
      <c r="B607" s="46"/>
      <c r="C607" s="11" t="s">
        <v>382</v>
      </c>
      <c r="D607" s="9">
        <v>1735500</v>
      </c>
      <c r="E607" s="9">
        <v>1735500</v>
      </c>
      <c r="F607" s="16">
        <v>1735500</v>
      </c>
      <c r="G607" s="8">
        <f t="shared" si="18"/>
        <v>0</v>
      </c>
      <c r="H607" s="8">
        <f t="shared" si="19"/>
        <v>0</v>
      </c>
      <c r="I607" s="4"/>
      <c r="J607" s="16" t="s">
        <v>1037</v>
      </c>
    </row>
    <row r="608" spans="1:10" x14ac:dyDescent="0.35">
      <c r="A608" s="47"/>
      <c r="B608" s="46"/>
      <c r="C608" s="11" t="s">
        <v>379</v>
      </c>
      <c r="D608" s="9">
        <v>180866.58</v>
      </c>
      <c r="E608" s="9">
        <v>180866.58</v>
      </c>
      <c r="F608" s="16">
        <v>49528331.950000003</v>
      </c>
      <c r="G608" s="8">
        <f t="shared" si="18"/>
        <v>49347465.370000005</v>
      </c>
      <c r="H608" s="8">
        <f t="shared" si="19"/>
        <v>49347465.370000005</v>
      </c>
      <c r="I608" s="4"/>
      <c r="J608" s="16" t="s">
        <v>1038</v>
      </c>
    </row>
    <row r="609" spans="1:10" x14ac:dyDescent="0.35">
      <c r="A609" s="47"/>
      <c r="B609" s="46"/>
      <c r="C609" s="11" t="s">
        <v>394</v>
      </c>
      <c r="D609" s="9">
        <v>115423452.5</v>
      </c>
      <c r="E609" s="9">
        <v>115423452.5</v>
      </c>
      <c r="F609" s="16">
        <v>66075987.130000003</v>
      </c>
      <c r="G609" s="8">
        <f t="shared" si="18"/>
        <v>-49347465.369999997</v>
      </c>
      <c r="H609" s="8">
        <f t="shared" si="19"/>
        <v>-49347465.369999997</v>
      </c>
      <c r="I609" s="4"/>
      <c r="J609" s="16" t="s">
        <v>1039</v>
      </c>
    </row>
    <row r="610" spans="1:10" x14ac:dyDescent="0.35">
      <c r="A610" s="47"/>
      <c r="B610" s="46"/>
      <c r="C610" s="11" t="s">
        <v>356</v>
      </c>
      <c r="D610" s="9">
        <v>0</v>
      </c>
      <c r="E610" s="9">
        <v>0</v>
      </c>
      <c r="F610" s="16"/>
      <c r="G610" s="8">
        <f t="shared" si="18"/>
        <v>0</v>
      </c>
      <c r="H610" s="8">
        <f t="shared" si="19"/>
        <v>0</v>
      </c>
      <c r="I610" s="4"/>
      <c r="J610" s="16" t="s">
        <v>1040</v>
      </c>
    </row>
    <row r="611" spans="1:10" x14ac:dyDescent="0.35">
      <c r="A611" s="47"/>
      <c r="B611" s="46"/>
      <c r="C611" s="11" t="s">
        <v>332</v>
      </c>
      <c r="D611" s="9">
        <v>64603.34</v>
      </c>
      <c r="E611" s="9">
        <v>64603.34</v>
      </c>
      <c r="F611" s="16">
        <v>64603.34</v>
      </c>
      <c r="G611" s="8">
        <f t="shared" si="18"/>
        <v>0</v>
      </c>
      <c r="H611" s="8">
        <f t="shared" si="19"/>
        <v>0</v>
      </c>
      <c r="I611" s="4"/>
      <c r="J611" s="16" t="s">
        <v>1041</v>
      </c>
    </row>
    <row r="612" spans="1:10" x14ac:dyDescent="0.35">
      <c r="A612" s="47"/>
      <c r="B612" s="46"/>
      <c r="C612" s="11" t="s">
        <v>385</v>
      </c>
      <c r="D612" s="9">
        <v>7838950.5700000003</v>
      </c>
      <c r="E612" s="9">
        <v>7838950.5700000003</v>
      </c>
      <c r="F612" s="16">
        <v>7838950.5700000003</v>
      </c>
      <c r="G612" s="8">
        <f t="shared" si="18"/>
        <v>0</v>
      </c>
      <c r="H612" s="8">
        <f t="shared" si="19"/>
        <v>0</v>
      </c>
      <c r="I612" s="4"/>
      <c r="J612" s="16" t="s">
        <v>1042</v>
      </c>
    </row>
    <row r="613" spans="1:10" x14ac:dyDescent="0.35">
      <c r="A613" s="47"/>
      <c r="B613" s="46"/>
      <c r="C613" s="11" t="s">
        <v>323</v>
      </c>
      <c r="D613" s="9">
        <v>0</v>
      </c>
      <c r="E613" s="9">
        <v>0</v>
      </c>
      <c r="F613" s="16">
        <v>118503.33</v>
      </c>
      <c r="G613" s="8">
        <f t="shared" si="18"/>
        <v>118503.33</v>
      </c>
      <c r="H613" s="8">
        <f t="shared" si="19"/>
        <v>118503.33</v>
      </c>
      <c r="I613" s="4"/>
      <c r="J613" s="16" t="s">
        <v>1043</v>
      </c>
    </row>
    <row r="614" spans="1:10" x14ac:dyDescent="0.35">
      <c r="A614" s="47"/>
      <c r="B614" s="46"/>
      <c r="C614" s="11" t="s">
        <v>360</v>
      </c>
      <c r="D614" s="9">
        <v>306944.19</v>
      </c>
      <c r="E614" s="9">
        <v>306944.19</v>
      </c>
      <c r="F614" s="16">
        <v>188440.86</v>
      </c>
      <c r="G614" s="8">
        <f t="shared" si="18"/>
        <v>-118503.33000000002</v>
      </c>
      <c r="H614" s="8">
        <f t="shared" si="19"/>
        <v>-118503.33000000002</v>
      </c>
      <c r="I614" s="4"/>
      <c r="J614" s="16" t="s">
        <v>1044</v>
      </c>
    </row>
    <row r="615" spans="1:10" x14ac:dyDescent="0.35">
      <c r="A615" s="47"/>
      <c r="B615" s="46"/>
      <c r="C615" s="11" t="s">
        <v>404</v>
      </c>
      <c r="D615" s="9">
        <v>7400535</v>
      </c>
      <c r="E615" s="9">
        <v>7400535</v>
      </c>
      <c r="F615" s="16">
        <v>7400535</v>
      </c>
      <c r="G615" s="8">
        <f t="shared" si="18"/>
        <v>0</v>
      </c>
      <c r="H615" s="8">
        <f t="shared" si="19"/>
        <v>0</v>
      </c>
      <c r="I615" s="4"/>
      <c r="J615" s="16" t="s">
        <v>1045</v>
      </c>
    </row>
    <row r="616" spans="1:10" x14ac:dyDescent="0.35">
      <c r="A616" s="47"/>
      <c r="B616" s="46"/>
      <c r="C616" s="11" t="s">
        <v>355</v>
      </c>
      <c r="D616" s="9">
        <v>61357512.689999998</v>
      </c>
      <c r="E616" s="9">
        <v>61357512.689999998</v>
      </c>
      <c r="F616" s="16">
        <v>61357512.689999998</v>
      </c>
      <c r="G616" s="8">
        <f t="shared" si="18"/>
        <v>0</v>
      </c>
      <c r="H616" s="8">
        <f t="shared" si="19"/>
        <v>0</v>
      </c>
      <c r="I616" s="4"/>
      <c r="J616" s="16" t="s">
        <v>1046</v>
      </c>
    </row>
    <row r="617" spans="1:10" x14ac:dyDescent="0.35">
      <c r="A617" s="47"/>
      <c r="B617" s="46"/>
      <c r="C617" s="11" t="s">
        <v>334</v>
      </c>
      <c r="D617" s="9">
        <v>11746900</v>
      </c>
      <c r="E617" s="9">
        <v>11746900</v>
      </c>
      <c r="F617" s="16">
        <v>11746900</v>
      </c>
      <c r="G617" s="8">
        <f t="shared" si="18"/>
        <v>0</v>
      </c>
      <c r="H617" s="8">
        <f t="shared" si="19"/>
        <v>0</v>
      </c>
      <c r="I617" s="4"/>
      <c r="J617" s="16" t="s">
        <v>1047</v>
      </c>
    </row>
    <row r="618" spans="1:10" x14ac:dyDescent="0.35">
      <c r="A618" s="47"/>
      <c r="B618" s="46"/>
      <c r="C618" s="11" t="s">
        <v>392</v>
      </c>
      <c r="D618" s="9">
        <v>186261364.78999999</v>
      </c>
      <c r="E618" s="9">
        <v>186261364.78999999</v>
      </c>
      <c r="F618" s="16">
        <v>186261364.78999999</v>
      </c>
      <c r="G618" s="8">
        <f t="shared" si="18"/>
        <v>0</v>
      </c>
      <c r="H618" s="8">
        <f t="shared" si="19"/>
        <v>0</v>
      </c>
      <c r="I618" s="4"/>
      <c r="J618" s="16" t="s">
        <v>1048</v>
      </c>
    </row>
    <row r="619" spans="1:10" x14ac:dyDescent="0.35">
      <c r="A619" s="47"/>
      <c r="B619" s="46"/>
      <c r="C619" s="11" t="s">
        <v>387</v>
      </c>
      <c r="D619" s="9">
        <v>88469100.780000001</v>
      </c>
      <c r="E619" s="9">
        <v>88469100.780000001</v>
      </c>
      <c r="F619" s="16">
        <v>88469100.780000001</v>
      </c>
      <c r="G619" s="8">
        <f t="shared" si="18"/>
        <v>0</v>
      </c>
      <c r="H619" s="8">
        <f t="shared" si="19"/>
        <v>0</v>
      </c>
      <c r="I619" s="4"/>
      <c r="J619" s="16" t="s">
        <v>1049</v>
      </c>
    </row>
    <row r="620" spans="1:10" x14ac:dyDescent="0.35">
      <c r="A620" s="47"/>
      <c r="B620" s="46"/>
      <c r="C620" s="11" t="s">
        <v>658</v>
      </c>
      <c r="D620" s="9">
        <v>2408540</v>
      </c>
      <c r="E620" s="9">
        <v>2408540</v>
      </c>
      <c r="F620" s="16">
        <v>2408540</v>
      </c>
      <c r="G620" s="8">
        <f t="shared" si="18"/>
        <v>0</v>
      </c>
      <c r="H620" s="8">
        <f t="shared" si="19"/>
        <v>0</v>
      </c>
      <c r="I620" s="4"/>
      <c r="J620" s="16" t="s">
        <v>1050</v>
      </c>
    </row>
    <row r="621" spans="1:10" x14ac:dyDescent="0.35">
      <c r="A621" s="47"/>
      <c r="B621" s="46"/>
      <c r="C621" s="11" t="s">
        <v>659</v>
      </c>
      <c r="D621" s="9">
        <v>2258286</v>
      </c>
      <c r="E621" s="9">
        <v>2258286</v>
      </c>
      <c r="F621" s="16">
        <v>2258286</v>
      </c>
      <c r="G621" s="8">
        <f t="shared" si="18"/>
        <v>0</v>
      </c>
      <c r="H621" s="8">
        <f t="shared" si="19"/>
        <v>0</v>
      </c>
      <c r="I621" s="4"/>
      <c r="J621" s="16" t="s">
        <v>1051</v>
      </c>
    </row>
    <row r="622" spans="1:10" x14ac:dyDescent="0.35">
      <c r="A622" s="47"/>
      <c r="B622" s="46"/>
      <c r="C622" s="11" t="s">
        <v>363</v>
      </c>
      <c r="D622" s="9">
        <v>140005017.11000001</v>
      </c>
      <c r="E622" s="9">
        <v>140005017.11000001</v>
      </c>
      <c r="F622" s="16">
        <v>140005017.11000001</v>
      </c>
      <c r="G622" s="8">
        <f t="shared" si="18"/>
        <v>0</v>
      </c>
      <c r="H622" s="8">
        <f t="shared" si="19"/>
        <v>0</v>
      </c>
      <c r="I622" s="4"/>
      <c r="J622" s="16" t="s">
        <v>1014</v>
      </c>
    </row>
    <row r="623" spans="1:10" x14ac:dyDescent="0.35">
      <c r="A623" s="47"/>
      <c r="B623" s="46"/>
      <c r="C623" s="11" t="s">
        <v>313</v>
      </c>
      <c r="D623" s="9">
        <v>23676126.23</v>
      </c>
      <c r="E623" s="9">
        <v>23676126.23</v>
      </c>
      <c r="F623" s="16">
        <v>23676126.23</v>
      </c>
      <c r="G623" s="8">
        <f t="shared" si="18"/>
        <v>0</v>
      </c>
      <c r="H623" s="8">
        <f t="shared" si="19"/>
        <v>0</v>
      </c>
      <c r="I623" s="4"/>
      <c r="J623" s="16" t="s">
        <v>1052</v>
      </c>
    </row>
    <row r="624" spans="1:10" x14ac:dyDescent="0.35">
      <c r="A624" s="47"/>
      <c r="B624" s="46"/>
      <c r="C624" s="11" t="s">
        <v>388</v>
      </c>
      <c r="D624" s="9">
        <v>41830654.68</v>
      </c>
      <c r="E624" s="9">
        <v>41830654.68</v>
      </c>
      <c r="F624" s="16">
        <v>41830654.68</v>
      </c>
      <c r="G624" s="8">
        <f t="shared" si="18"/>
        <v>0</v>
      </c>
      <c r="H624" s="8">
        <f t="shared" si="19"/>
        <v>0</v>
      </c>
      <c r="I624" s="4"/>
      <c r="J624" s="16" t="s">
        <v>1053</v>
      </c>
    </row>
    <row r="625" spans="1:10" x14ac:dyDescent="0.35">
      <c r="A625" s="47"/>
      <c r="B625" s="46"/>
      <c r="C625" s="11" t="s">
        <v>391</v>
      </c>
      <c r="D625" s="9">
        <v>23193738.210000001</v>
      </c>
      <c r="E625" s="9">
        <v>23193738.210000001</v>
      </c>
      <c r="F625" s="16">
        <v>23193738.210000001</v>
      </c>
      <c r="G625" s="8">
        <f t="shared" si="18"/>
        <v>0</v>
      </c>
      <c r="H625" s="8">
        <f t="shared" si="19"/>
        <v>0</v>
      </c>
      <c r="I625" s="4"/>
      <c r="J625" s="16" t="e">
        <v>#N/A</v>
      </c>
    </row>
    <row r="626" spans="1:10" x14ac:dyDescent="0.35">
      <c r="A626" s="47"/>
      <c r="B626" s="46"/>
      <c r="C626" s="11" t="s">
        <v>660</v>
      </c>
      <c r="D626" s="9">
        <v>520706.97</v>
      </c>
      <c r="E626" s="9">
        <v>520706.97</v>
      </c>
      <c r="F626" s="16">
        <v>520706.97</v>
      </c>
      <c r="G626" s="8">
        <f t="shared" si="18"/>
        <v>0</v>
      </c>
      <c r="H626" s="8">
        <f t="shared" si="19"/>
        <v>0</v>
      </c>
      <c r="I626" s="4"/>
      <c r="J626" s="16" t="s">
        <v>1054</v>
      </c>
    </row>
    <row r="627" spans="1:10" x14ac:dyDescent="0.35">
      <c r="A627" s="47"/>
      <c r="B627" s="46"/>
      <c r="C627" s="11" t="s">
        <v>661</v>
      </c>
      <c r="D627" s="9">
        <v>88647109.129999995</v>
      </c>
      <c r="E627" s="9">
        <v>88647109.129999995</v>
      </c>
      <c r="F627" s="16">
        <v>88647109.129999995</v>
      </c>
      <c r="G627" s="8">
        <f t="shared" si="18"/>
        <v>0</v>
      </c>
      <c r="H627" s="8">
        <f t="shared" si="19"/>
        <v>0</v>
      </c>
      <c r="I627" s="4"/>
      <c r="J627" s="16" t="s">
        <v>1017</v>
      </c>
    </row>
    <row r="628" spans="1:10" x14ac:dyDescent="0.35">
      <c r="A628" s="47"/>
      <c r="B628" s="46"/>
      <c r="C628" s="11" t="s">
        <v>402</v>
      </c>
      <c r="D628" s="9">
        <v>34060.92</v>
      </c>
      <c r="E628" s="9">
        <v>34060.92</v>
      </c>
      <c r="F628" s="16">
        <v>7247605.2000000002</v>
      </c>
      <c r="G628" s="8">
        <f t="shared" si="18"/>
        <v>7213544.2800000003</v>
      </c>
      <c r="H628" s="8">
        <f t="shared" si="19"/>
        <v>7213544.2800000003</v>
      </c>
      <c r="I628" s="4"/>
      <c r="J628" s="16" t="s">
        <v>1055</v>
      </c>
    </row>
    <row r="629" spans="1:10" x14ac:dyDescent="0.35">
      <c r="A629" s="47"/>
      <c r="B629" s="46"/>
      <c r="C629" s="11" t="s">
        <v>375</v>
      </c>
      <c r="D629" s="9">
        <v>16312612.01</v>
      </c>
      <c r="E629" s="9">
        <v>16312612.01</v>
      </c>
      <c r="F629" s="16">
        <v>9099067.7300000004</v>
      </c>
      <c r="G629" s="8">
        <f t="shared" si="18"/>
        <v>-7213544.2799999993</v>
      </c>
      <c r="H629" s="8">
        <f t="shared" si="19"/>
        <v>-7213544.2799999993</v>
      </c>
      <c r="I629" s="4"/>
      <c r="J629" s="16" t="s">
        <v>1056</v>
      </c>
    </row>
    <row r="630" spans="1:10" x14ac:dyDescent="0.35">
      <c r="A630" s="47"/>
      <c r="B630" s="46"/>
      <c r="C630" s="11" t="s">
        <v>662</v>
      </c>
      <c r="D630" s="9">
        <v>2617.39</v>
      </c>
      <c r="E630" s="9">
        <v>2617.39</v>
      </c>
      <c r="F630" s="16">
        <v>142985.35999999999</v>
      </c>
      <c r="G630" s="8">
        <f t="shared" si="18"/>
        <v>140367.96999999997</v>
      </c>
      <c r="H630" s="8">
        <f t="shared" si="19"/>
        <v>140367.96999999997</v>
      </c>
      <c r="I630" s="4"/>
      <c r="J630" s="16" t="s">
        <v>1057</v>
      </c>
    </row>
    <row r="631" spans="1:10" x14ac:dyDescent="0.35">
      <c r="A631" s="47"/>
      <c r="B631" s="46"/>
      <c r="C631" s="11" t="s">
        <v>663</v>
      </c>
      <c r="D631" s="9">
        <v>140367.97</v>
      </c>
      <c r="E631" s="9">
        <v>140367.97</v>
      </c>
      <c r="F631" s="16"/>
      <c r="G631" s="8">
        <f t="shared" si="18"/>
        <v>-140367.97</v>
      </c>
      <c r="H631" s="8">
        <f t="shared" si="19"/>
        <v>-140367.97</v>
      </c>
      <c r="I631" s="4"/>
      <c r="J631" s="16" t="s">
        <v>1058</v>
      </c>
    </row>
    <row r="632" spans="1:10" x14ac:dyDescent="0.35">
      <c r="A632" s="47"/>
      <c r="B632" s="46"/>
      <c r="C632" s="11" t="s">
        <v>347</v>
      </c>
      <c r="D632" s="9">
        <v>2074583.97</v>
      </c>
      <c r="E632" s="9">
        <v>2074583.97</v>
      </c>
      <c r="F632" s="16">
        <v>2074583.97</v>
      </c>
      <c r="G632" s="8">
        <f t="shared" si="18"/>
        <v>0</v>
      </c>
      <c r="H632" s="8">
        <f t="shared" si="19"/>
        <v>0</v>
      </c>
      <c r="I632" s="4"/>
      <c r="J632" s="16" t="s">
        <v>1059</v>
      </c>
    </row>
    <row r="633" spans="1:10" x14ac:dyDescent="0.35">
      <c r="A633" s="47"/>
      <c r="B633" s="46"/>
      <c r="C633" s="11" t="s">
        <v>348</v>
      </c>
      <c r="D633" s="9">
        <v>15834.68</v>
      </c>
      <c r="E633" s="9">
        <v>15834.68</v>
      </c>
      <c r="F633" s="16"/>
      <c r="G633" s="8">
        <f t="shared" si="18"/>
        <v>-15834.68</v>
      </c>
      <c r="H633" s="8">
        <f t="shared" si="19"/>
        <v>-15834.68</v>
      </c>
      <c r="I633" s="4"/>
      <c r="J633" s="16" t="s">
        <v>1060</v>
      </c>
    </row>
    <row r="634" spans="1:10" x14ac:dyDescent="0.35">
      <c r="A634" s="47"/>
      <c r="B634" s="46"/>
      <c r="C634" s="11" t="s">
        <v>310</v>
      </c>
      <c r="D634" s="9">
        <v>592306.38</v>
      </c>
      <c r="E634" s="9">
        <v>592306.38</v>
      </c>
      <c r="F634" s="16">
        <v>608141.06000000006</v>
      </c>
      <c r="G634" s="8">
        <f t="shared" si="18"/>
        <v>15834.680000000051</v>
      </c>
      <c r="H634" s="8">
        <f t="shared" si="19"/>
        <v>15834.680000000051</v>
      </c>
      <c r="I634" s="4"/>
      <c r="J634" s="16" t="s">
        <v>1061</v>
      </c>
    </row>
    <row r="635" spans="1:10" x14ac:dyDescent="0.35">
      <c r="A635" s="47"/>
      <c r="B635" s="46"/>
      <c r="C635" s="11" t="s">
        <v>400</v>
      </c>
      <c r="D635" s="9">
        <v>20218000</v>
      </c>
      <c r="E635" s="9">
        <v>20218000</v>
      </c>
      <c r="F635" s="16">
        <v>20218000</v>
      </c>
      <c r="G635" s="8">
        <f t="shared" si="18"/>
        <v>0</v>
      </c>
      <c r="H635" s="8">
        <f t="shared" si="19"/>
        <v>0</v>
      </c>
      <c r="I635" s="4"/>
      <c r="J635" s="16" t="s">
        <v>1062</v>
      </c>
    </row>
    <row r="636" spans="1:10" x14ac:dyDescent="0.35">
      <c r="A636" s="47"/>
      <c r="B636" s="46"/>
      <c r="C636" s="11" t="s">
        <v>401</v>
      </c>
      <c r="D636" s="9">
        <v>6070482.7800000003</v>
      </c>
      <c r="E636" s="9">
        <v>6070482.7800000003</v>
      </c>
      <c r="F636" s="16">
        <v>6070482.7800000003</v>
      </c>
      <c r="G636" s="8">
        <f t="shared" si="18"/>
        <v>0</v>
      </c>
      <c r="H636" s="8">
        <f t="shared" si="19"/>
        <v>0</v>
      </c>
      <c r="I636" s="4"/>
      <c r="J636" s="16" t="s">
        <v>1063</v>
      </c>
    </row>
    <row r="637" spans="1:10" x14ac:dyDescent="0.35">
      <c r="A637" s="47"/>
      <c r="B637" s="46"/>
      <c r="C637" s="11" t="s">
        <v>330</v>
      </c>
      <c r="D637" s="9">
        <v>5329129</v>
      </c>
      <c r="E637" s="9">
        <v>5329129</v>
      </c>
      <c r="F637" s="16">
        <v>5329129</v>
      </c>
      <c r="G637" s="8">
        <f t="shared" si="18"/>
        <v>0</v>
      </c>
      <c r="H637" s="8">
        <f t="shared" si="19"/>
        <v>0</v>
      </c>
      <c r="I637" s="4"/>
      <c r="J637" s="16" t="s">
        <v>1064</v>
      </c>
    </row>
    <row r="638" spans="1:10" x14ac:dyDescent="0.35">
      <c r="A638" s="47"/>
      <c r="B638" s="46"/>
      <c r="C638" s="11" t="s">
        <v>311</v>
      </c>
      <c r="D638" s="9">
        <v>199668506.47999999</v>
      </c>
      <c r="E638" s="9">
        <v>199668506.47999999</v>
      </c>
      <c r="F638" s="16">
        <v>199668506.47999999</v>
      </c>
      <c r="G638" s="8">
        <f t="shared" si="18"/>
        <v>0</v>
      </c>
      <c r="H638" s="8">
        <f t="shared" si="19"/>
        <v>0</v>
      </c>
      <c r="I638" s="4"/>
      <c r="J638" s="16" t="s">
        <v>1065</v>
      </c>
    </row>
    <row r="639" spans="1:10" x14ac:dyDescent="0.35">
      <c r="A639" s="47"/>
      <c r="B639" s="46"/>
      <c r="C639" s="11" t="s">
        <v>344</v>
      </c>
      <c r="D639" s="9">
        <v>662746.86</v>
      </c>
      <c r="E639" s="9">
        <v>662746.86</v>
      </c>
      <c r="F639" s="16">
        <v>662746.86</v>
      </c>
      <c r="G639" s="8">
        <f t="shared" si="18"/>
        <v>0</v>
      </c>
      <c r="H639" s="8">
        <f t="shared" si="19"/>
        <v>0</v>
      </c>
      <c r="I639" s="4"/>
      <c r="J639" s="16" t="e">
        <v>#N/A</v>
      </c>
    </row>
    <row r="640" spans="1:10" x14ac:dyDescent="0.35">
      <c r="A640" s="47"/>
      <c r="B640" s="46"/>
      <c r="C640" s="11" t="s">
        <v>664</v>
      </c>
      <c r="D640" s="9">
        <v>150000</v>
      </c>
      <c r="E640" s="9">
        <v>150000</v>
      </c>
      <c r="F640" s="16">
        <v>150000</v>
      </c>
      <c r="G640" s="8">
        <f t="shared" si="18"/>
        <v>0</v>
      </c>
      <c r="H640" s="8">
        <f t="shared" si="19"/>
        <v>0</v>
      </c>
      <c r="I640" s="4"/>
      <c r="J640" s="16" t="s">
        <v>1066</v>
      </c>
    </row>
    <row r="641" spans="1:10" x14ac:dyDescent="0.35">
      <c r="A641" s="47"/>
      <c r="B641" s="46"/>
      <c r="C641" s="11" t="s">
        <v>354</v>
      </c>
      <c r="D641" s="9">
        <v>9354073.0999999996</v>
      </c>
      <c r="E641" s="9">
        <v>9354073.0999999996</v>
      </c>
      <c r="F641" s="16">
        <v>9354073.0999999996</v>
      </c>
      <c r="G641" s="8">
        <f t="shared" si="18"/>
        <v>0</v>
      </c>
      <c r="H641" s="8">
        <f t="shared" si="19"/>
        <v>0</v>
      </c>
      <c r="I641" s="4"/>
      <c r="J641" s="16" t="s">
        <v>1067</v>
      </c>
    </row>
    <row r="642" spans="1:10" x14ac:dyDescent="0.35">
      <c r="A642" s="47"/>
      <c r="B642" s="46"/>
      <c r="C642" s="11" t="s">
        <v>309</v>
      </c>
      <c r="D642" s="9">
        <v>40265152.600000001</v>
      </c>
      <c r="E642" s="9">
        <v>40265152.600000001</v>
      </c>
      <c r="F642" s="16">
        <v>40265152.600000001</v>
      </c>
      <c r="G642" s="8">
        <f t="shared" ref="G642:G705" si="20">F642-E642</f>
        <v>0</v>
      </c>
      <c r="H642" s="8">
        <f t="shared" si="19"/>
        <v>0</v>
      </c>
      <c r="I642" s="4"/>
      <c r="J642" s="16" t="s">
        <v>1068</v>
      </c>
    </row>
    <row r="643" spans="1:10" x14ac:dyDescent="0.35">
      <c r="A643" s="47"/>
      <c r="B643" s="46"/>
      <c r="C643" s="11" t="s">
        <v>665</v>
      </c>
      <c r="D643" s="9">
        <v>1212326</v>
      </c>
      <c r="E643" s="9">
        <v>1212326</v>
      </c>
      <c r="F643" s="16">
        <v>1212326</v>
      </c>
      <c r="G643" s="8">
        <f t="shared" si="20"/>
        <v>0</v>
      </c>
      <c r="H643" s="8">
        <f t="shared" ref="H643:H706" si="21">F643-D643</f>
        <v>0</v>
      </c>
      <c r="I643" s="4"/>
      <c r="J643" s="16" t="s">
        <v>1069</v>
      </c>
    </row>
    <row r="644" spans="1:10" x14ac:dyDescent="0.35">
      <c r="A644" s="47"/>
      <c r="B644" s="46"/>
      <c r="C644" s="11" t="s">
        <v>377</v>
      </c>
      <c r="D644" s="9">
        <v>22173334.719999999</v>
      </c>
      <c r="E644" s="9">
        <v>22173334.719999999</v>
      </c>
      <c r="F644" s="16">
        <v>22173334.719999999</v>
      </c>
      <c r="G644" s="8">
        <f t="shared" si="20"/>
        <v>0</v>
      </c>
      <c r="H644" s="8">
        <f t="shared" si="21"/>
        <v>0</v>
      </c>
      <c r="I644" s="4"/>
      <c r="J644" s="16" t="s">
        <v>1070</v>
      </c>
    </row>
    <row r="645" spans="1:10" x14ac:dyDescent="0.35">
      <c r="A645" s="47"/>
      <c r="B645" s="46"/>
      <c r="C645" s="11" t="s">
        <v>666</v>
      </c>
      <c r="D645" s="9">
        <v>143608.73000000001</v>
      </c>
      <c r="E645" s="9">
        <v>143608.73000000001</v>
      </c>
      <c r="F645" s="16">
        <v>143608.73000000001</v>
      </c>
      <c r="G645" s="8">
        <f t="shared" si="20"/>
        <v>0</v>
      </c>
      <c r="H645" s="8">
        <f t="shared" si="21"/>
        <v>0</v>
      </c>
      <c r="I645" s="4"/>
      <c r="J645" s="16" t="s">
        <v>1071</v>
      </c>
    </row>
    <row r="646" spans="1:10" x14ac:dyDescent="0.35">
      <c r="A646" s="47"/>
      <c r="B646" s="46"/>
      <c r="C646" s="11" t="s">
        <v>315</v>
      </c>
      <c r="D646" s="9">
        <v>1810078.95</v>
      </c>
      <c r="E646" s="9">
        <v>1810078.95</v>
      </c>
      <c r="F646" s="16">
        <v>1810078.95</v>
      </c>
      <c r="G646" s="8">
        <f t="shared" si="20"/>
        <v>0</v>
      </c>
      <c r="H646" s="8">
        <f t="shared" si="21"/>
        <v>0</v>
      </c>
      <c r="I646" s="4"/>
      <c r="J646" s="16" t="s">
        <v>1072</v>
      </c>
    </row>
    <row r="647" spans="1:10" x14ac:dyDescent="0.35">
      <c r="A647" s="47"/>
      <c r="B647" s="46"/>
      <c r="C647" s="11" t="s">
        <v>667</v>
      </c>
      <c r="D647" s="9">
        <v>11279959.560000001</v>
      </c>
      <c r="E647" s="9">
        <v>11279959.560000001</v>
      </c>
      <c r="F647" s="16">
        <v>11279959.560000001</v>
      </c>
      <c r="G647" s="8">
        <f t="shared" si="20"/>
        <v>0</v>
      </c>
      <c r="H647" s="8">
        <f t="shared" si="21"/>
        <v>0</v>
      </c>
      <c r="I647" s="4"/>
      <c r="J647" s="16" t="s">
        <v>1017</v>
      </c>
    </row>
    <row r="648" spans="1:10" x14ac:dyDescent="0.35">
      <c r="A648" s="47"/>
      <c r="B648" s="46"/>
      <c r="C648" s="11" t="s">
        <v>335</v>
      </c>
      <c r="D648" s="9">
        <v>16299712.470000001</v>
      </c>
      <c r="E648" s="9">
        <v>16299712.470000001</v>
      </c>
      <c r="F648" s="16">
        <v>16299712.470000001</v>
      </c>
      <c r="G648" s="8">
        <f t="shared" si="20"/>
        <v>0</v>
      </c>
      <c r="H648" s="8">
        <f t="shared" si="21"/>
        <v>0</v>
      </c>
      <c r="I648" s="4"/>
      <c r="J648" s="16" t="s">
        <v>1073</v>
      </c>
    </row>
    <row r="649" spans="1:10" x14ac:dyDescent="0.35">
      <c r="A649" s="47"/>
      <c r="B649" s="46"/>
      <c r="C649" s="11" t="s">
        <v>362</v>
      </c>
      <c r="D649" s="9">
        <v>30993.9</v>
      </c>
      <c r="E649" s="9">
        <v>30993.9</v>
      </c>
      <c r="F649" s="16">
        <v>30993.9</v>
      </c>
      <c r="G649" s="8">
        <f t="shared" si="20"/>
        <v>0</v>
      </c>
      <c r="H649" s="8">
        <f t="shared" si="21"/>
        <v>0</v>
      </c>
      <c r="I649" s="4"/>
      <c r="J649" s="16" t="s">
        <v>1074</v>
      </c>
    </row>
    <row r="650" spans="1:10" x14ac:dyDescent="0.35">
      <c r="A650" s="47"/>
      <c r="B650" s="46"/>
      <c r="C650" s="11" t="s">
        <v>337</v>
      </c>
      <c r="D650" s="9">
        <v>3424.55</v>
      </c>
      <c r="E650" s="9">
        <v>3424.55</v>
      </c>
      <c r="F650" s="16">
        <v>2172981.08</v>
      </c>
      <c r="G650" s="8">
        <f t="shared" si="20"/>
        <v>2169556.5300000003</v>
      </c>
      <c r="H650" s="8">
        <f t="shared" si="21"/>
        <v>2169556.5300000003</v>
      </c>
      <c r="I650" s="4"/>
      <c r="J650" s="16" t="s">
        <v>1075</v>
      </c>
    </row>
    <row r="651" spans="1:10" x14ac:dyDescent="0.35">
      <c r="A651" s="47"/>
      <c r="B651" s="46"/>
      <c r="C651" s="11" t="s">
        <v>352</v>
      </c>
      <c r="D651" s="9">
        <v>2895211.54</v>
      </c>
      <c r="E651" s="9">
        <v>2895211.54</v>
      </c>
      <c r="F651" s="16">
        <v>725655.01</v>
      </c>
      <c r="G651" s="8">
        <f t="shared" si="20"/>
        <v>-2169556.5300000003</v>
      </c>
      <c r="H651" s="8">
        <f t="shared" si="21"/>
        <v>-2169556.5300000003</v>
      </c>
      <c r="I651" s="4"/>
      <c r="J651" s="16" t="s">
        <v>1076</v>
      </c>
    </row>
    <row r="652" spans="1:10" x14ac:dyDescent="0.35">
      <c r="A652" s="47"/>
      <c r="B652" s="46"/>
      <c r="C652" s="11" t="s">
        <v>357</v>
      </c>
      <c r="D652" s="9">
        <v>316000</v>
      </c>
      <c r="E652" s="9">
        <v>316000</v>
      </c>
      <c r="F652" s="16">
        <v>316000</v>
      </c>
      <c r="G652" s="8">
        <f t="shared" si="20"/>
        <v>0</v>
      </c>
      <c r="H652" s="8">
        <f t="shared" si="21"/>
        <v>0</v>
      </c>
      <c r="I652" s="4"/>
      <c r="J652" s="16" t="s">
        <v>1077</v>
      </c>
    </row>
    <row r="653" spans="1:10" x14ac:dyDescent="0.35">
      <c r="A653" s="47"/>
      <c r="B653" s="46"/>
      <c r="C653" s="11" t="s">
        <v>668</v>
      </c>
      <c r="D653" s="9">
        <v>58256944.210000001</v>
      </c>
      <c r="E653" s="9">
        <v>58256944.210000001</v>
      </c>
      <c r="F653" s="16">
        <v>58256944.210000001</v>
      </c>
      <c r="G653" s="8">
        <f t="shared" si="20"/>
        <v>0</v>
      </c>
      <c r="H653" s="8">
        <f t="shared" si="21"/>
        <v>0</v>
      </c>
      <c r="I653" s="4"/>
      <c r="J653" s="16" t="e">
        <v>#N/A</v>
      </c>
    </row>
    <row r="654" spans="1:10" x14ac:dyDescent="0.35">
      <c r="A654" s="47"/>
      <c r="B654" s="46"/>
      <c r="C654" s="11" t="s">
        <v>312</v>
      </c>
      <c r="D654" s="9">
        <v>315465.28000000003</v>
      </c>
      <c r="E654" s="9">
        <v>315465.28000000003</v>
      </c>
      <c r="F654" s="16">
        <v>315465.28000000003</v>
      </c>
      <c r="G654" s="8">
        <f t="shared" si="20"/>
        <v>0</v>
      </c>
      <c r="H654" s="8">
        <f t="shared" si="21"/>
        <v>0</v>
      </c>
      <c r="I654" s="4"/>
      <c r="J654" s="16" t="s">
        <v>1078</v>
      </c>
    </row>
    <row r="655" spans="1:10" x14ac:dyDescent="0.35">
      <c r="A655" s="47"/>
      <c r="B655" s="46"/>
      <c r="C655" s="11" t="s">
        <v>669</v>
      </c>
      <c r="D655" s="9">
        <v>1997394.42</v>
      </c>
      <c r="E655" s="9">
        <v>370558.19</v>
      </c>
      <c r="F655" s="16">
        <v>370558.19</v>
      </c>
      <c r="G655" s="8">
        <f t="shared" si="20"/>
        <v>0</v>
      </c>
      <c r="H655" s="8">
        <f t="shared" si="21"/>
        <v>-1626836.23</v>
      </c>
      <c r="I655" s="4"/>
      <c r="J655" s="16" t="s">
        <v>1079</v>
      </c>
    </row>
    <row r="656" spans="1:10" x14ac:dyDescent="0.35">
      <c r="A656" s="47"/>
      <c r="B656" s="46"/>
      <c r="C656" s="11" t="s">
        <v>670</v>
      </c>
      <c r="D656" s="9">
        <v>8351316.7400000002</v>
      </c>
      <c r="E656" s="9">
        <v>1376273.95</v>
      </c>
      <c r="F656" s="16">
        <v>1376273.95</v>
      </c>
      <c r="G656" s="8">
        <f t="shared" si="20"/>
        <v>0</v>
      </c>
      <c r="H656" s="8">
        <f t="shared" si="21"/>
        <v>-6975042.79</v>
      </c>
      <c r="I656" s="4"/>
      <c r="J656" s="16" t="s">
        <v>1080</v>
      </c>
    </row>
    <row r="657" spans="1:10" x14ac:dyDescent="0.35">
      <c r="A657" s="47"/>
      <c r="B657" s="46"/>
      <c r="C657" s="11" t="s">
        <v>671</v>
      </c>
      <c r="D657" s="9">
        <v>2308944.42</v>
      </c>
      <c r="E657" s="9">
        <v>450448.02</v>
      </c>
      <c r="F657" s="16">
        <v>450448.02</v>
      </c>
      <c r="G657" s="8">
        <f t="shared" si="20"/>
        <v>0</v>
      </c>
      <c r="H657" s="8">
        <f t="shared" si="21"/>
        <v>-1858496.4</v>
      </c>
      <c r="I657" s="4"/>
      <c r="J657" s="16" t="s">
        <v>1081</v>
      </c>
    </row>
    <row r="658" spans="1:10" x14ac:dyDescent="0.35">
      <c r="A658" s="47"/>
      <c r="B658" s="46"/>
      <c r="C658" s="11" t="s">
        <v>672</v>
      </c>
      <c r="D658" s="9">
        <v>3021.1</v>
      </c>
      <c r="E658" s="9">
        <v>3021.1</v>
      </c>
      <c r="F658" s="16">
        <v>39036.620000000003</v>
      </c>
      <c r="G658" s="8">
        <f t="shared" si="20"/>
        <v>36015.520000000004</v>
      </c>
      <c r="H658" s="8">
        <f t="shared" si="21"/>
        <v>36015.520000000004</v>
      </c>
      <c r="I658" s="4"/>
      <c r="J658" s="16" t="s">
        <v>1082</v>
      </c>
    </row>
    <row r="659" spans="1:10" x14ac:dyDescent="0.35">
      <c r="A659" s="47"/>
      <c r="B659" s="46"/>
      <c r="C659" s="11" t="s">
        <v>673</v>
      </c>
      <c r="D659" s="9">
        <v>36015.519999999997</v>
      </c>
      <c r="E659" s="9">
        <v>36015.519999999997</v>
      </c>
      <c r="F659" s="16"/>
      <c r="G659" s="8">
        <f t="shared" si="20"/>
        <v>-36015.519999999997</v>
      </c>
      <c r="H659" s="8">
        <f t="shared" si="21"/>
        <v>-36015.519999999997</v>
      </c>
      <c r="I659" s="4"/>
      <c r="J659" s="16" t="s">
        <v>1083</v>
      </c>
    </row>
    <row r="660" spans="1:10" x14ac:dyDescent="0.35">
      <c r="A660" s="47"/>
      <c r="B660" s="46"/>
      <c r="C660" s="11" t="s">
        <v>674</v>
      </c>
      <c r="D660" s="9">
        <v>4360094.45</v>
      </c>
      <c r="E660" s="9">
        <v>4360094.45</v>
      </c>
      <c r="F660" s="16">
        <v>4360094.45</v>
      </c>
      <c r="G660" s="8">
        <f t="shared" si="20"/>
        <v>0</v>
      </c>
      <c r="H660" s="8">
        <f t="shared" si="21"/>
        <v>0</v>
      </c>
      <c r="I660" s="4"/>
      <c r="J660" s="16" t="s">
        <v>1084</v>
      </c>
    </row>
    <row r="661" spans="1:10" x14ac:dyDescent="0.35">
      <c r="A661" s="47"/>
      <c r="B661" s="46"/>
      <c r="C661" s="11" t="s">
        <v>339</v>
      </c>
      <c r="D661" s="9">
        <v>66644.91</v>
      </c>
      <c r="E661" s="9">
        <v>66644.91</v>
      </c>
      <c r="F661" s="16">
        <v>66644.91</v>
      </c>
      <c r="G661" s="8">
        <f t="shared" si="20"/>
        <v>0</v>
      </c>
      <c r="H661" s="8">
        <f t="shared" si="21"/>
        <v>0</v>
      </c>
      <c r="I661" s="4"/>
      <c r="J661" s="16" t="s">
        <v>1085</v>
      </c>
    </row>
    <row r="662" spans="1:10" x14ac:dyDescent="0.35">
      <c r="A662" s="47"/>
      <c r="B662" s="46"/>
      <c r="C662" s="11" t="s">
        <v>359</v>
      </c>
      <c r="D662" s="9">
        <v>53197</v>
      </c>
      <c r="E662" s="9">
        <v>53197</v>
      </c>
      <c r="F662" s="16">
        <v>53197</v>
      </c>
      <c r="G662" s="8">
        <f t="shared" si="20"/>
        <v>0</v>
      </c>
      <c r="H662" s="8">
        <f t="shared" si="21"/>
        <v>0</v>
      </c>
      <c r="I662" s="4"/>
      <c r="J662" s="16" t="s">
        <v>1086</v>
      </c>
    </row>
    <row r="663" spans="1:10" x14ac:dyDescent="0.35">
      <c r="A663" s="47"/>
      <c r="B663" s="46"/>
      <c r="C663" s="11" t="s">
        <v>675</v>
      </c>
      <c r="D663" s="9">
        <v>5833500.6100000003</v>
      </c>
      <c r="E663" s="9">
        <v>5833500.6100000003</v>
      </c>
      <c r="F663" s="16">
        <v>5833500.6100000003</v>
      </c>
      <c r="G663" s="8">
        <f t="shared" si="20"/>
        <v>0</v>
      </c>
      <c r="H663" s="8">
        <f t="shared" si="21"/>
        <v>0</v>
      </c>
      <c r="I663" s="4"/>
      <c r="J663" s="16" t="s">
        <v>1084</v>
      </c>
    </row>
    <row r="664" spans="1:10" x14ac:dyDescent="0.35">
      <c r="A664" s="47"/>
      <c r="B664" s="46"/>
      <c r="C664" s="11" t="s">
        <v>676</v>
      </c>
      <c r="D664" s="9">
        <v>0</v>
      </c>
      <c r="E664" s="9">
        <v>0</v>
      </c>
      <c r="F664" s="16">
        <v>27445.61</v>
      </c>
      <c r="G664" s="8">
        <f t="shared" si="20"/>
        <v>27445.61</v>
      </c>
      <c r="H664" s="8">
        <f t="shared" si="21"/>
        <v>27445.61</v>
      </c>
      <c r="I664" s="4"/>
      <c r="J664" s="16" t="s">
        <v>1087</v>
      </c>
    </row>
    <row r="665" spans="1:10" x14ac:dyDescent="0.35">
      <c r="A665" s="47"/>
      <c r="B665" s="46"/>
      <c r="C665" s="11" t="s">
        <v>677</v>
      </c>
      <c r="D665" s="9">
        <v>42641.63</v>
      </c>
      <c r="E665" s="9">
        <v>42641.63</v>
      </c>
      <c r="F665" s="16">
        <v>15196.02</v>
      </c>
      <c r="G665" s="8">
        <f t="shared" si="20"/>
        <v>-27445.609999999997</v>
      </c>
      <c r="H665" s="8">
        <f t="shared" si="21"/>
        <v>-27445.609999999997</v>
      </c>
      <c r="I665" s="4"/>
      <c r="J665" s="16" t="s">
        <v>1088</v>
      </c>
    </row>
    <row r="666" spans="1:10" x14ac:dyDescent="0.35">
      <c r="A666" s="47"/>
      <c r="B666" s="46"/>
      <c r="C666" s="11" t="s">
        <v>314</v>
      </c>
      <c r="D666" s="9">
        <v>0</v>
      </c>
      <c r="E666" s="9">
        <v>0</v>
      </c>
      <c r="F666" s="16">
        <v>34341.089999999997</v>
      </c>
      <c r="G666" s="8">
        <f t="shared" si="20"/>
        <v>34341.089999999997</v>
      </c>
      <c r="H666" s="8">
        <f t="shared" si="21"/>
        <v>34341.089999999997</v>
      </c>
      <c r="I666" s="4"/>
      <c r="J666" s="16" t="s">
        <v>1089</v>
      </c>
    </row>
    <row r="667" spans="1:10" x14ac:dyDescent="0.35">
      <c r="A667" s="47"/>
      <c r="B667" s="46"/>
      <c r="C667" s="11" t="s">
        <v>373</v>
      </c>
      <c r="D667" s="9">
        <v>34341.089999999997</v>
      </c>
      <c r="E667" s="9">
        <v>34341.089999999997</v>
      </c>
      <c r="F667" s="16"/>
      <c r="G667" s="8">
        <f t="shared" si="20"/>
        <v>-34341.089999999997</v>
      </c>
      <c r="H667" s="8">
        <f t="shared" si="21"/>
        <v>-34341.089999999997</v>
      </c>
      <c r="I667" s="4"/>
      <c r="J667" s="16" t="s">
        <v>1090</v>
      </c>
    </row>
    <row r="668" spans="1:10" x14ac:dyDescent="0.35">
      <c r="A668" s="47"/>
      <c r="B668" s="46"/>
      <c r="C668" s="11" t="s">
        <v>345</v>
      </c>
      <c r="D668" s="9">
        <v>17068325.649999999</v>
      </c>
      <c r="E668" s="9">
        <v>17068325.649999999</v>
      </c>
      <c r="F668" s="16">
        <v>17068325.649999999</v>
      </c>
      <c r="G668" s="8">
        <f t="shared" si="20"/>
        <v>0</v>
      </c>
      <c r="H668" s="8">
        <f t="shared" si="21"/>
        <v>0</v>
      </c>
      <c r="I668" s="4"/>
      <c r="J668" s="16" t="s">
        <v>1091</v>
      </c>
    </row>
    <row r="669" spans="1:10" x14ac:dyDescent="0.35">
      <c r="A669" s="47"/>
      <c r="B669" s="46"/>
      <c r="C669" s="11" t="s">
        <v>678</v>
      </c>
      <c r="D669" s="9">
        <v>6965232.5300000003</v>
      </c>
      <c r="E669" s="9">
        <v>6965232.5300000003</v>
      </c>
      <c r="F669" s="16">
        <v>6965232.5300000003</v>
      </c>
      <c r="G669" s="8">
        <f t="shared" si="20"/>
        <v>0</v>
      </c>
      <c r="H669" s="8">
        <f t="shared" si="21"/>
        <v>0</v>
      </c>
      <c r="I669" s="4"/>
      <c r="J669" s="16" t="s">
        <v>1048</v>
      </c>
    </row>
    <row r="670" spans="1:10" x14ac:dyDescent="0.35">
      <c r="A670" s="47"/>
      <c r="B670" s="46"/>
      <c r="C670" s="11" t="s">
        <v>351</v>
      </c>
      <c r="D670" s="9">
        <v>1664500</v>
      </c>
      <c r="E670" s="9">
        <v>1664500</v>
      </c>
      <c r="F670" s="16">
        <v>1664500</v>
      </c>
      <c r="G670" s="8">
        <f t="shared" si="20"/>
        <v>0</v>
      </c>
      <c r="H670" s="8">
        <f t="shared" si="21"/>
        <v>0</v>
      </c>
      <c r="I670" s="4"/>
      <c r="J670" s="16" t="s">
        <v>1092</v>
      </c>
    </row>
    <row r="671" spans="1:10" x14ac:dyDescent="0.35">
      <c r="A671" s="47"/>
      <c r="B671" s="46"/>
      <c r="C671" s="11" t="s">
        <v>397</v>
      </c>
      <c r="D671" s="9">
        <v>208046.06</v>
      </c>
      <c r="E671" s="9">
        <v>208046.06</v>
      </c>
      <c r="F671" s="16">
        <v>208046.06</v>
      </c>
      <c r="G671" s="8">
        <f t="shared" si="20"/>
        <v>0</v>
      </c>
      <c r="H671" s="8">
        <f t="shared" si="21"/>
        <v>0</v>
      </c>
      <c r="I671" s="4"/>
      <c r="J671" s="16" t="s">
        <v>1093</v>
      </c>
    </row>
    <row r="672" spans="1:10" x14ac:dyDescent="0.35">
      <c r="A672" s="47"/>
      <c r="B672" s="46"/>
      <c r="C672" s="11" t="s">
        <v>324</v>
      </c>
      <c r="D672" s="9">
        <v>480399</v>
      </c>
      <c r="E672" s="9">
        <v>480399</v>
      </c>
      <c r="F672" s="16">
        <v>480399</v>
      </c>
      <c r="G672" s="8">
        <f t="shared" si="20"/>
        <v>0</v>
      </c>
      <c r="H672" s="8">
        <f t="shared" si="21"/>
        <v>0</v>
      </c>
      <c r="I672" s="4"/>
      <c r="J672" s="16" t="s">
        <v>1094</v>
      </c>
    </row>
    <row r="673" spans="1:10" x14ac:dyDescent="0.35">
      <c r="A673" s="47"/>
      <c r="B673" s="46"/>
      <c r="C673" s="11" t="s">
        <v>331</v>
      </c>
      <c r="D673" s="9">
        <v>288484.21999999997</v>
      </c>
      <c r="E673" s="9">
        <v>288484.21999999997</v>
      </c>
      <c r="F673" s="16">
        <v>288484.21999999997</v>
      </c>
      <c r="G673" s="8">
        <f t="shared" si="20"/>
        <v>0</v>
      </c>
      <c r="H673" s="8">
        <f t="shared" si="21"/>
        <v>0</v>
      </c>
      <c r="I673" s="4"/>
      <c r="J673" s="16" t="s">
        <v>1095</v>
      </c>
    </row>
    <row r="674" spans="1:10" x14ac:dyDescent="0.35">
      <c r="A674" s="47"/>
      <c r="B674" s="46"/>
      <c r="C674" s="11" t="s">
        <v>679</v>
      </c>
      <c r="D674" s="9">
        <v>1454280.53</v>
      </c>
      <c r="E674" s="9">
        <v>1454280.53</v>
      </c>
      <c r="F674" s="16">
        <v>1454280.53</v>
      </c>
      <c r="G674" s="8">
        <f t="shared" si="20"/>
        <v>0</v>
      </c>
      <c r="H674" s="8">
        <f t="shared" si="21"/>
        <v>0</v>
      </c>
      <c r="I674" s="4"/>
      <c r="J674" s="16" t="s">
        <v>1096</v>
      </c>
    </row>
    <row r="675" spans="1:10" x14ac:dyDescent="0.35">
      <c r="A675" s="47"/>
      <c r="B675" s="46"/>
      <c r="C675" s="11" t="s">
        <v>321</v>
      </c>
      <c r="D675" s="9">
        <v>864396.95</v>
      </c>
      <c r="E675" s="9">
        <v>864396.95</v>
      </c>
      <c r="F675" s="16">
        <v>864396.95</v>
      </c>
      <c r="G675" s="8">
        <f t="shared" si="20"/>
        <v>0</v>
      </c>
      <c r="H675" s="8">
        <f t="shared" si="21"/>
        <v>0</v>
      </c>
      <c r="I675" s="4"/>
      <c r="J675" s="16" t="e">
        <v>#N/A</v>
      </c>
    </row>
    <row r="676" spans="1:10" x14ac:dyDescent="0.35">
      <c r="A676" s="47"/>
      <c r="B676" s="46"/>
      <c r="C676" s="11" t="s">
        <v>680</v>
      </c>
      <c r="D676" s="9">
        <v>667000</v>
      </c>
      <c r="E676" s="9">
        <v>667000</v>
      </c>
      <c r="F676" s="16">
        <v>667000</v>
      </c>
      <c r="G676" s="8">
        <f t="shared" si="20"/>
        <v>0</v>
      </c>
      <c r="H676" s="8">
        <f t="shared" si="21"/>
        <v>0</v>
      </c>
      <c r="I676" s="4"/>
      <c r="J676" s="16" t="s">
        <v>1097</v>
      </c>
    </row>
    <row r="677" spans="1:10" x14ac:dyDescent="0.35">
      <c r="A677" s="47"/>
      <c r="B677" s="46"/>
      <c r="C677" s="11" t="s">
        <v>681</v>
      </c>
      <c r="D677" s="9">
        <v>378389.38</v>
      </c>
      <c r="E677" s="9">
        <v>37838.94</v>
      </c>
      <c r="F677" s="16">
        <v>37838.94</v>
      </c>
      <c r="G677" s="8">
        <f t="shared" si="20"/>
        <v>0</v>
      </c>
      <c r="H677" s="8">
        <f t="shared" si="21"/>
        <v>-340550.44</v>
      </c>
      <c r="I677" s="4"/>
      <c r="J677" s="16" t="s">
        <v>1098</v>
      </c>
    </row>
    <row r="678" spans="1:10" x14ac:dyDescent="0.35">
      <c r="A678" s="47"/>
      <c r="B678" s="46"/>
      <c r="C678" s="11" t="s">
        <v>682</v>
      </c>
      <c r="D678" s="9">
        <v>1204125.3600000001</v>
      </c>
      <c r="E678" s="9">
        <v>1204125.3600000001</v>
      </c>
      <c r="F678" s="16">
        <v>1204125.3600000001</v>
      </c>
      <c r="G678" s="8">
        <f t="shared" si="20"/>
        <v>0</v>
      </c>
      <c r="H678" s="8">
        <f t="shared" si="21"/>
        <v>0</v>
      </c>
      <c r="I678" s="4"/>
      <c r="J678" s="16" t="s">
        <v>1054</v>
      </c>
    </row>
    <row r="679" spans="1:10" x14ac:dyDescent="0.35">
      <c r="A679" s="47"/>
      <c r="B679" s="46"/>
      <c r="C679" s="11" t="s">
        <v>683</v>
      </c>
      <c r="D679" s="9">
        <v>5172568.62</v>
      </c>
      <c r="E679" s="9">
        <v>5172568.62</v>
      </c>
      <c r="F679" s="16">
        <v>5172568.62</v>
      </c>
      <c r="G679" s="8">
        <f t="shared" si="20"/>
        <v>0</v>
      </c>
      <c r="H679" s="8">
        <f t="shared" si="21"/>
        <v>0</v>
      </c>
      <c r="I679" s="4"/>
      <c r="J679" s="16" t="s">
        <v>1084</v>
      </c>
    </row>
    <row r="680" spans="1:10" x14ac:dyDescent="0.35">
      <c r="A680" s="47"/>
      <c r="B680" s="46"/>
      <c r="C680" s="11" t="s">
        <v>386</v>
      </c>
      <c r="D680" s="9">
        <v>342.3</v>
      </c>
      <c r="E680" s="9">
        <v>342.3</v>
      </c>
      <c r="F680" s="16">
        <v>31164</v>
      </c>
      <c r="G680" s="8">
        <f t="shared" si="20"/>
        <v>30821.7</v>
      </c>
      <c r="H680" s="8">
        <f t="shared" si="21"/>
        <v>30821.7</v>
      </c>
      <c r="I680" s="4"/>
      <c r="J680" s="16" t="s">
        <v>1099</v>
      </c>
    </row>
    <row r="681" spans="1:10" x14ac:dyDescent="0.35">
      <c r="A681" s="47"/>
      <c r="B681" s="46"/>
      <c r="C681" s="11" t="s">
        <v>378</v>
      </c>
      <c r="D681" s="9">
        <v>30821.7</v>
      </c>
      <c r="E681" s="9">
        <v>30821.7</v>
      </c>
      <c r="F681" s="16"/>
      <c r="G681" s="8">
        <f t="shared" si="20"/>
        <v>-30821.7</v>
      </c>
      <c r="H681" s="8">
        <f t="shared" si="21"/>
        <v>-30821.7</v>
      </c>
      <c r="I681" s="4"/>
      <c r="J681" s="16" t="s">
        <v>1100</v>
      </c>
    </row>
    <row r="682" spans="1:10" x14ac:dyDescent="0.35">
      <c r="A682" s="47"/>
      <c r="B682" s="46"/>
      <c r="C682" s="11" t="s">
        <v>684</v>
      </c>
      <c r="D682" s="9">
        <v>0</v>
      </c>
      <c r="E682" s="9">
        <v>0</v>
      </c>
      <c r="F682" s="16">
        <v>2689.89</v>
      </c>
      <c r="G682" s="8">
        <f t="shared" si="20"/>
        <v>2689.89</v>
      </c>
      <c r="H682" s="8">
        <f t="shared" si="21"/>
        <v>2689.89</v>
      </c>
      <c r="I682" s="4"/>
      <c r="J682" s="16" t="s">
        <v>1101</v>
      </c>
    </row>
    <row r="683" spans="1:10" x14ac:dyDescent="0.35">
      <c r="A683" s="47"/>
      <c r="B683" s="46"/>
      <c r="C683" s="11" t="s">
        <v>685</v>
      </c>
      <c r="D683" s="9">
        <v>2689.89</v>
      </c>
      <c r="E683" s="9">
        <v>2689.89</v>
      </c>
      <c r="F683" s="16"/>
      <c r="G683" s="8">
        <f t="shared" si="20"/>
        <v>-2689.89</v>
      </c>
      <c r="H683" s="8">
        <f t="shared" si="21"/>
        <v>-2689.89</v>
      </c>
      <c r="I683" s="4"/>
      <c r="J683" s="16" t="s">
        <v>1102</v>
      </c>
    </row>
    <row r="684" spans="1:10" x14ac:dyDescent="0.35">
      <c r="A684" s="47"/>
      <c r="B684" s="46"/>
      <c r="C684" s="11" t="s">
        <v>686</v>
      </c>
      <c r="D684" s="9">
        <v>3867326.71</v>
      </c>
      <c r="E684" s="9">
        <v>3867326.71</v>
      </c>
      <c r="F684" s="16">
        <v>3867326.71</v>
      </c>
      <c r="G684" s="8">
        <f t="shared" si="20"/>
        <v>0</v>
      </c>
      <c r="H684" s="8">
        <f t="shared" si="21"/>
        <v>0</v>
      </c>
      <c r="I684" s="4"/>
      <c r="J684" s="16" t="s">
        <v>1103</v>
      </c>
    </row>
    <row r="685" spans="1:10" x14ac:dyDescent="0.35">
      <c r="A685" s="47"/>
      <c r="B685" s="46"/>
      <c r="C685" s="11" t="s">
        <v>687</v>
      </c>
      <c r="D685" s="9">
        <v>682816.57</v>
      </c>
      <c r="E685" s="9">
        <v>69583.37</v>
      </c>
      <c r="F685" s="16">
        <v>69583.37</v>
      </c>
      <c r="G685" s="8">
        <f t="shared" si="20"/>
        <v>0</v>
      </c>
      <c r="H685" s="8">
        <f t="shared" si="21"/>
        <v>-613233.19999999995</v>
      </c>
      <c r="I685" s="4"/>
      <c r="J685" s="16" t="s">
        <v>1104</v>
      </c>
    </row>
    <row r="686" spans="1:10" x14ac:dyDescent="0.35">
      <c r="A686" s="47"/>
      <c r="B686" s="46"/>
      <c r="C686" s="11" t="s">
        <v>688</v>
      </c>
      <c r="D686" s="9">
        <v>17515879.780000001</v>
      </c>
      <c r="E686" s="9">
        <v>17515879.780000001</v>
      </c>
      <c r="F686" s="16">
        <v>17515879.780000001</v>
      </c>
      <c r="G686" s="8">
        <f t="shared" si="20"/>
        <v>0</v>
      </c>
      <c r="H686" s="8">
        <f t="shared" si="21"/>
        <v>0</v>
      </c>
      <c r="I686" s="4"/>
      <c r="J686" s="16" t="s">
        <v>1065</v>
      </c>
    </row>
    <row r="687" spans="1:10" x14ac:dyDescent="0.35">
      <c r="A687" s="47"/>
      <c r="B687" s="46"/>
      <c r="C687" s="11" t="s">
        <v>689</v>
      </c>
      <c r="D687" s="9">
        <v>3795008.57</v>
      </c>
      <c r="E687" s="9">
        <v>3795008.57</v>
      </c>
      <c r="F687" s="16">
        <v>3795008.57</v>
      </c>
      <c r="G687" s="8">
        <f t="shared" si="20"/>
        <v>0</v>
      </c>
      <c r="H687" s="8">
        <f t="shared" si="21"/>
        <v>0</v>
      </c>
      <c r="I687" s="4"/>
      <c r="J687" s="16" t="e">
        <v>#N/A</v>
      </c>
    </row>
    <row r="688" spans="1:10" x14ac:dyDescent="0.35">
      <c r="A688" s="47"/>
      <c r="B688" s="46"/>
      <c r="C688" s="11" t="s">
        <v>690</v>
      </c>
      <c r="D688" s="9">
        <v>440634.98</v>
      </c>
      <c r="E688" s="9">
        <v>440634.98</v>
      </c>
      <c r="F688" s="16">
        <v>440634.98</v>
      </c>
      <c r="G688" s="8">
        <f t="shared" si="20"/>
        <v>0</v>
      </c>
      <c r="H688" s="8">
        <f t="shared" si="21"/>
        <v>0</v>
      </c>
      <c r="I688" s="4"/>
      <c r="J688" s="16" t="s">
        <v>1105</v>
      </c>
    </row>
    <row r="689" spans="1:10" x14ac:dyDescent="0.35">
      <c r="A689" s="47"/>
      <c r="B689" s="46"/>
      <c r="C689" s="11" t="s">
        <v>691</v>
      </c>
      <c r="D689" s="9">
        <v>6916.14</v>
      </c>
      <c r="E689" s="9">
        <v>6916.14</v>
      </c>
      <c r="F689" s="16">
        <v>76161.78</v>
      </c>
      <c r="G689" s="8">
        <f t="shared" si="20"/>
        <v>69245.64</v>
      </c>
      <c r="H689" s="8">
        <f t="shared" si="21"/>
        <v>69245.64</v>
      </c>
      <c r="I689" s="4"/>
      <c r="J689" s="16" t="s">
        <v>1106</v>
      </c>
    </row>
    <row r="690" spans="1:10" x14ac:dyDescent="0.35">
      <c r="A690" s="47"/>
      <c r="B690" s="46"/>
      <c r="C690" s="11" t="s">
        <v>692</v>
      </c>
      <c r="D690" s="9">
        <v>69245.64</v>
      </c>
      <c r="E690" s="9">
        <v>69245.64</v>
      </c>
      <c r="F690" s="16"/>
      <c r="G690" s="8">
        <f t="shared" si="20"/>
        <v>-69245.64</v>
      </c>
      <c r="H690" s="8">
        <f t="shared" si="21"/>
        <v>-69245.64</v>
      </c>
      <c r="I690" s="4"/>
      <c r="J690" s="16" t="s">
        <v>1107</v>
      </c>
    </row>
    <row r="691" spans="1:10" x14ac:dyDescent="0.35">
      <c r="A691" s="47"/>
      <c r="B691" s="46"/>
      <c r="C691" s="11" t="s">
        <v>398</v>
      </c>
      <c r="D691" s="9">
        <v>94226.52</v>
      </c>
      <c r="E691" s="9"/>
      <c r="F691" s="16"/>
      <c r="G691" s="8">
        <f t="shared" si="20"/>
        <v>0</v>
      </c>
      <c r="H691" s="8">
        <f t="shared" si="21"/>
        <v>-94226.52</v>
      </c>
      <c r="I691" s="4"/>
      <c r="J691" s="16" t="s">
        <v>1108</v>
      </c>
    </row>
    <row r="692" spans="1:10" x14ac:dyDescent="0.35">
      <c r="A692" s="47"/>
      <c r="B692" s="46"/>
      <c r="C692" s="11" t="s">
        <v>361</v>
      </c>
      <c r="D692" s="9">
        <v>43303.8</v>
      </c>
      <c r="E692" s="9"/>
      <c r="F692" s="16"/>
      <c r="G692" s="8">
        <f t="shared" si="20"/>
        <v>0</v>
      </c>
      <c r="H692" s="8">
        <f t="shared" si="21"/>
        <v>-43303.8</v>
      </c>
      <c r="I692" s="4"/>
      <c r="J692" s="16" t="s">
        <v>1109</v>
      </c>
    </row>
    <row r="693" spans="1:10" x14ac:dyDescent="0.35">
      <c r="A693" s="47"/>
      <c r="B693" s="46"/>
      <c r="C693" s="11" t="s">
        <v>97</v>
      </c>
      <c r="D693" s="9">
        <v>35284802.869999997</v>
      </c>
      <c r="E693" s="9"/>
      <c r="F693" s="16"/>
      <c r="G693" s="8">
        <f t="shared" si="20"/>
        <v>0</v>
      </c>
      <c r="H693" s="8">
        <f t="shared" si="21"/>
        <v>-35284802.869999997</v>
      </c>
      <c r="I693" s="4"/>
      <c r="J693" s="16" t="e">
        <v>#N/A</v>
      </c>
    </row>
    <row r="694" spans="1:10" s="25" customFormat="1" x14ac:dyDescent="0.35">
      <c r="A694" s="47"/>
      <c r="B694" s="46"/>
      <c r="C694" s="20" t="s">
        <v>100</v>
      </c>
      <c r="D694" s="21">
        <f>SUM(D571:D693)</f>
        <v>8587097167.2699995</v>
      </c>
      <c r="E694" s="21">
        <f>SUM(E571:E693)</f>
        <v>8539505728.5299988</v>
      </c>
      <c r="F694" s="21">
        <f>SUM(F571:F693)</f>
        <v>8539505728.529995</v>
      </c>
      <c r="G694" s="23">
        <f t="shared" si="20"/>
        <v>0</v>
      </c>
      <c r="H694" s="8">
        <f t="shared" si="21"/>
        <v>-47591438.740004539</v>
      </c>
      <c r="I694" s="24"/>
      <c r="J694" s="16" t="e">
        <v>#N/A</v>
      </c>
    </row>
    <row r="695" spans="1:10" x14ac:dyDescent="0.35">
      <c r="A695" s="47" t="s">
        <v>16</v>
      </c>
      <c r="B695" s="46" t="s">
        <v>34</v>
      </c>
      <c r="C695" s="11" t="s">
        <v>693</v>
      </c>
      <c r="D695" s="9">
        <v>3866.12</v>
      </c>
      <c r="E695" s="9">
        <v>3866.12</v>
      </c>
      <c r="F695" s="16">
        <v>3866.12</v>
      </c>
      <c r="G695" s="8">
        <f t="shared" si="20"/>
        <v>0</v>
      </c>
      <c r="H695" s="8">
        <f t="shared" si="21"/>
        <v>0</v>
      </c>
      <c r="I695" s="4"/>
      <c r="J695" s="16" t="s">
        <v>1110</v>
      </c>
    </row>
    <row r="696" spans="1:10" x14ac:dyDescent="0.35">
      <c r="A696" s="47"/>
      <c r="B696" s="46"/>
      <c r="C696" s="11" t="s">
        <v>694</v>
      </c>
      <c r="D696" s="9">
        <v>0</v>
      </c>
      <c r="E696" s="9">
        <v>0</v>
      </c>
      <c r="F696" s="16">
        <v>0</v>
      </c>
      <c r="G696" s="8">
        <f t="shared" si="20"/>
        <v>0</v>
      </c>
      <c r="H696" s="8">
        <f t="shared" si="21"/>
        <v>0</v>
      </c>
      <c r="I696" s="4"/>
      <c r="J696" s="16" t="s">
        <v>1111</v>
      </c>
    </row>
    <row r="697" spans="1:10" x14ac:dyDescent="0.35">
      <c r="A697" s="47"/>
      <c r="B697" s="46"/>
      <c r="C697" s="11" t="s">
        <v>695</v>
      </c>
      <c r="D697" s="9">
        <v>8882.5300000000007</v>
      </c>
      <c r="E697" s="9">
        <v>8882.5300000000007</v>
      </c>
      <c r="F697" s="16">
        <v>8882.5300000000007</v>
      </c>
      <c r="G697" s="8">
        <f t="shared" si="20"/>
        <v>0</v>
      </c>
      <c r="H697" s="8">
        <f t="shared" si="21"/>
        <v>0</v>
      </c>
      <c r="I697" s="4"/>
      <c r="J697" s="16" t="s">
        <v>1112</v>
      </c>
    </row>
    <row r="698" spans="1:10" x14ac:dyDescent="0.35">
      <c r="A698" s="47"/>
      <c r="B698" s="46"/>
      <c r="C698" s="11" t="s">
        <v>696</v>
      </c>
      <c r="D698" s="9">
        <v>1040654.93</v>
      </c>
      <c r="E698" s="9">
        <v>1040654.93</v>
      </c>
      <c r="F698" s="16">
        <v>1040654.93</v>
      </c>
      <c r="G698" s="8">
        <f t="shared" si="20"/>
        <v>0</v>
      </c>
      <c r="H698" s="8">
        <f t="shared" si="21"/>
        <v>0</v>
      </c>
      <c r="I698" s="4"/>
      <c r="J698" s="16" t="s">
        <v>1113</v>
      </c>
    </row>
    <row r="699" spans="1:10" x14ac:dyDescent="0.35">
      <c r="A699" s="47"/>
      <c r="B699" s="46"/>
      <c r="C699" s="11" t="s">
        <v>697</v>
      </c>
      <c r="D699" s="9">
        <v>3116.25</v>
      </c>
      <c r="E699" s="9">
        <v>3116.25</v>
      </c>
      <c r="F699" s="16">
        <v>3116.25</v>
      </c>
      <c r="G699" s="8">
        <f t="shared" si="20"/>
        <v>0</v>
      </c>
      <c r="H699" s="8">
        <f t="shared" si="21"/>
        <v>0</v>
      </c>
      <c r="I699" s="4"/>
      <c r="J699" s="16" t="s">
        <v>1114</v>
      </c>
    </row>
    <row r="700" spans="1:10" x14ac:dyDescent="0.35">
      <c r="A700" s="47"/>
      <c r="B700" s="46"/>
      <c r="C700" s="11" t="s">
        <v>698</v>
      </c>
      <c r="D700" s="9">
        <v>96803.57</v>
      </c>
      <c r="E700" s="9">
        <v>96803.57</v>
      </c>
      <c r="F700" s="16">
        <v>96803.57</v>
      </c>
      <c r="G700" s="8">
        <f t="shared" si="20"/>
        <v>0</v>
      </c>
      <c r="H700" s="8">
        <f t="shared" si="21"/>
        <v>0</v>
      </c>
      <c r="I700" s="4"/>
      <c r="J700" s="16" t="s">
        <v>1115</v>
      </c>
    </row>
    <row r="701" spans="1:10" x14ac:dyDescent="0.35">
      <c r="A701" s="47"/>
      <c r="B701" s="46"/>
      <c r="C701" s="11" t="s">
        <v>699</v>
      </c>
      <c r="D701" s="9">
        <v>45407.92</v>
      </c>
      <c r="E701" s="9">
        <v>45407.92</v>
      </c>
      <c r="F701" s="16">
        <v>45407.92</v>
      </c>
      <c r="G701" s="8">
        <f t="shared" si="20"/>
        <v>0</v>
      </c>
      <c r="H701" s="8">
        <f t="shared" si="21"/>
        <v>0</v>
      </c>
      <c r="I701" s="4"/>
      <c r="J701" s="16" t="s">
        <v>1116</v>
      </c>
    </row>
    <row r="702" spans="1:10" x14ac:dyDescent="0.35">
      <c r="A702" s="47"/>
      <c r="B702" s="46"/>
      <c r="C702" s="11" t="s">
        <v>700</v>
      </c>
      <c r="D702" s="9">
        <v>94843.88</v>
      </c>
      <c r="E702" s="9">
        <v>94843.88</v>
      </c>
      <c r="F702" s="16">
        <v>82374.36</v>
      </c>
      <c r="G702" s="8">
        <f t="shared" si="20"/>
        <v>-12469.520000000004</v>
      </c>
      <c r="H702" s="8">
        <f t="shared" si="21"/>
        <v>-12469.520000000004</v>
      </c>
      <c r="I702" s="4"/>
      <c r="J702" s="16" t="s">
        <v>1117</v>
      </c>
    </row>
    <row r="703" spans="1:10" x14ac:dyDescent="0.35">
      <c r="A703" s="47"/>
      <c r="B703" s="46"/>
      <c r="C703" s="11" t="s">
        <v>701</v>
      </c>
      <c r="D703" s="9">
        <v>15000.75</v>
      </c>
      <c r="E703" s="9">
        <v>15000.75</v>
      </c>
      <c r="F703" s="16">
        <v>15000.75</v>
      </c>
      <c r="G703" s="8">
        <f t="shared" si="20"/>
        <v>0</v>
      </c>
      <c r="H703" s="8">
        <f t="shared" si="21"/>
        <v>0</v>
      </c>
      <c r="I703" s="4"/>
      <c r="J703" s="16" t="s">
        <v>1118</v>
      </c>
    </row>
    <row r="704" spans="1:10" x14ac:dyDescent="0.35">
      <c r="A704" s="47"/>
      <c r="B704" s="46"/>
      <c r="C704" s="33" t="s">
        <v>864</v>
      </c>
      <c r="D704" s="34"/>
      <c r="E704" s="34"/>
      <c r="F704" s="43">
        <v>12469.52</v>
      </c>
      <c r="G704" s="8">
        <f t="shared" si="20"/>
        <v>12469.52</v>
      </c>
      <c r="H704" s="8">
        <f t="shared" si="21"/>
        <v>12469.52</v>
      </c>
      <c r="I704" s="4"/>
      <c r="J704" s="16" t="s">
        <v>1119</v>
      </c>
    </row>
    <row r="705" spans="1:10" x14ac:dyDescent="0.35">
      <c r="A705" s="47"/>
      <c r="B705" s="46"/>
      <c r="C705" s="11" t="s">
        <v>702</v>
      </c>
      <c r="D705" s="9">
        <v>1019636.03</v>
      </c>
      <c r="E705" s="9">
        <v>1019636.03</v>
      </c>
      <c r="F705" s="16">
        <v>1019636.03</v>
      </c>
      <c r="G705" s="8">
        <f t="shared" si="20"/>
        <v>0</v>
      </c>
      <c r="H705" s="8">
        <f t="shared" si="21"/>
        <v>0</v>
      </c>
      <c r="I705" s="4"/>
      <c r="J705" s="16" t="s">
        <v>1120</v>
      </c>
    </row>
    <row r="706" spans="1:10" x14ac:dyDescent="0.35">
      <c r="A706" s="47"/>
      <c r="B706" s="46"/>
      <c r="C706" s="11" t="s">
        <v>703</v>
      </c>
      <c r="D706" s="9">
        <v>26723.1</v>
      </c>
      <c r="E706" s="9">
        <v>26723.1</v>
      </c>
      <c r="F706" s="16">
        <v>26723.1</v>
      </c>
      <c r="G706" s="8">
        <f t="shared" ref="G706:G769" si="22">F706-E706</f>
        <v>0</v>
      </c>
      <c r="H706" s="8">
        <f t="shared" si="21"/>
        <v>0</v>
      </c>
      <c r="I706" s="4"/>
      <c r="J706" s="16" t="s">
        <v>1121</v>
      </c>
    </row>
    <row r="707" spans="1:10" x14ac:dyDescent="0.35">
      <c r="A707" s="47"/>
      <c r="B707" s="46"/>
      <c r="C707" s="11" t="s">
        <v>704</v>
      </c>
      <c r="D707" s="9">
        <v>2515855.94</v>
      </c>
      <c r="E707" s="9">
        <v>2515855.94</v>
      </c>
      <c r="F707" s="16">
        <v>2515855.94</v>
      </c>
      <c r="G707" s="8">
        <f t="shared" si="22"/>
        <v>0</v>
      </c>
      <c r="H707" s="8">
        <f t="shared" ref="H707:H770" si="23">F707-D707</f>
        <v>0</v>
      </c>
      <c r="I707" s="4"/>
      <c r="J707" s="16" t="s">
        <v>1122</v>
      </c>
    </row>
    <row r="708" spans="1:10" x14ac:dyDescent="0.35">
      <c r="A708" s="47"/>
      <c r="B708" s="46"/>
      <c r="C708" s="11" t="s">
        <v>865</v>
      </c>
      <c r="D708" s="9"/>
      <c r="E708" s="9"/>
      <c r="F708" s="16">
        <v>0</v>
      </c>
      <c r="G708" s="8">
        <f t="shared" si="22"/>
        <v>0</v>
      </c>
      <c r="H708" s="8">
        <f t="shared" si="23"/>
        <v>0</v>
      </c>
      <c r="I708" s="4"/>
      <c r="J708" s="16" t="s">
        <v>1123</v>
      </c>
    </row>
    <row r="709" spans="1:10" x14ac:dyDescent="0.35">
      <c r="A709" s="47"/>
      <c r="B709" s="46"/>
      <c r="C709" s="11" t="s">
        <v>705</v>
      </c>
      <c r="D709" s="9">
        <v>1120348.04</v>
      </c>
      <c r="E709" s="9">
        <v>1120348.04</v>
      </c>
      <c r="F709" s="16">
        <v>1120348.04</v>
      </c>
      <c r="G709" s="8">
        <f t="shared" si="22"/>
        <v>0</v>
      </c>
      <c r="H709" s="8">
        <f t="shared" si="23"/>
        <v>0</v>
      </c>
      <c r="I709" s="4"/>
      <c r="J709" s="16" t="s">
        <v>1124</v>
      </c>
    </row>
    <row r="710" spans="1:10" x14ac:dyDescent="0.35">
      <c r="A710" s="47"/>
      <c r="B710" s="46"/>
      <c r="C710" s="11" t="s">
        <v>706</v>
      </c>
      <c r="D710" s="9">
        <v>105654.14</v>
      </c>
      <c r="E710" s="9">
        <v>105654.14</v>
      </c>
      <c r="F710" s="16">
        <v>105654.14</v>
      </c>
      <c r="G710" s="8">
        <f t="shared" si="22"/>
        <v>0</v>
      </c>
      <c r="H710" s="8">
        <f t="shared" si="23"/>
        <v>0</v>
      </c>
      <c r="I710" s="4"/>
      <c r="J710" s="16" t="s">
        <v>1125</v>
      </c>
    </row>
    <row r="711" spans="1:10" x14ac:dyDescent="0.35">
      <c r="A711" s="47"/>
      <c r="B711" s="46"/>
      <c r="C711" s="11" t="s">
        <v>707</v>
      </c>
      <c r="D711" s="9">
        <v>471001.51</v>
      </c>
      <c r="E711" s="9">
        <v>471001.51</v>
      </c>
      <c r="F711" s="16">
        <v>471001.51</v>
      </c>
      <c r="G711" s="8">
        <f t="shared" si="22"/>
        <v>0</v>
      </c>
      <c r="H711" s="8">
        <f t="shared" si="23"/>
        <v>0</v>
      </c>
      <c r="I711" s="4"/>
      <c r="J711" s="16" t="s">
        <v>1126</v>
      </c>
    </row>
    <row r="712" spans="1:10" x14ac:dyDescent="0.35">
      <c r="A712" s="47"/>
      <c r="B712" s="46"/>
      <c r="C712" s="11" t="s">
        <v>708</v>
      </c>
      <c r="D712" s="9">
        <v>2139527.9</v>
      </c>
      <c r="E712" s="9">
        <v>2139527.9</v>
      </c>
      <c r="F712" s="16">
        <v>2139527.9</v>
      </c>
      <c r="G712" s="8">
        <f t="shared" si="22"/>
        <v>0</v>
      </c>
      <c r="H712" s="8">
        <f t="shared" si="23"/>
        <v>0</v>
      </c>
      <c r="I712" s="4"/>
      <c r="J712" s="16" t="s">
        <v>1127</v>
      </c>
    </row>
    <row r="713" spans="1:10" x14ac:dyDescent="0.35">
      <c r="A713" s="47"/>
      <c r="B713" s="46"/>
      <c r="C713" s="11" t="s">
        <v>709</v>
      </c>
      <c r="D713" s="9">
        <v>207485.14</v>
      </c>
      <c r="E713" s="9">
        <v>207485.14</v>
      </c>
      <c r="F713" s="16">
        <v>207485.14</v>
      </c>
      <c r="G713" s="8">
        <f t="shared" si="22"/>
        <v>0</v>
      </c>
      <c r="H713" s="8">
        <f t="shared" si="23"/>
        <v>0</v>
      </c>
      <c r="I713" s="4"/>
      <c r="J713" s="16" t="s">
        <v>1128</v>
      </c>
    </row>
    <row r="714" spans="1:10" x14ac:dyDescent="0.35">
      <c r="A714" s="47"/>
      <c r="B714" s="46"/>
      <c r="C714" s="11" t="s">
        <v>710</v>
      </c>
      <c r="D714" s="9">
        <v>43076638.469999999</v>
      </c>
      <c r="E714" s="9">
        <v>43076638.469999999</v>
      </c>
      <c r="F714" s="16">
        <v>43076638.469999999</v>
      </c>
      <c r="G714" s="8">
        <f t="shared" si="22"/>
        <v>0</v>
      </c>
      <c r="H714" s="8">
        <f t="shared" si="23"/>
        <v>0</v>
      </c>
      <c r="I714" s="4"/>
      <c r="J714" s="16" t="s">
        <v>1129</v>
      </c>
    </row>
    <row r="715" spans="1:10" x14ac:dyDescent="0.35">
      <c r="A715" s="47"/>
      <c r="B715" s="46"/>
      <c r="C715" s="11" t="s">
        <v>711</v>
      </c>
      <c r="D715" s="9">
        <v>123266.06</v>
      </c>
      <c r="E715" s="9">
        <v>123266.06</v>
      </c>
      <c r="F715" s="16">
        <v>123266.06</v>
      </c>
      <c r="G715" s="8">
        <f t="shared" si="22"/>
        <v>0</v>
      </c>
      <c r="H715" s="8">
        <f t="shared" si="23"/>
        <v>0</v>
      </c>
      <c r="I715" s="4"/>
      <c r="J715" s="16" t="s">
        <v>1130</v>
      </c>
    </row>
    <row r="716" spans="1:10" x14ac:dyDescent="0.35">
      <c r="A716" s="47"/>
      <c r="B716" s="46"/>
      <c r="C716" s="11" t="s">
        <v>712</v>
      </c>
      <c r="D716" s="9">
        <v>1133510.5</v>
      </c>
      <c r="E716" s="9">
        <v>1133510.5</v>
      </c>
      <c r="F716" s="16">
        <v>1133510.5</v>
      </c>
      <c r="G716" s="8">
        <f t="shared" si="22"/>
        <v>0</v>
      </c>
      <c r="H716" s="8">
        <f t="shared" si="23"/>
        <v>0</v>
      </c>
      <c r="I716" s="4"/>
      <c r="J716" s="16" t="s">
        <v>1131</v>
      </c>
    </row>
    <row r="717" spans="1:10" x14ac:dyDescent="0.35">
      <c r="A717" s="47"/>
      <c r="B717" s="46"/>
      <c r="C717" s="11" t="s">
        <v>713</v>
      </c>
      <c r="D717" s="9">
        <v>594935.69999999995</v>
      </c>
      <c r="E717" s="9">
        <v>594935.69999999995</v>
      </c>
      <c r="F717" s="16">
        <v>594935.69999999995</v>
      </c>
      <c r="G717" s="8">
        <f t="shared" si="22"/>
        <v>0</v>
      </c>
      <c r="H717" s="8">
        <f t="shared" si="23"/>
        <v>0</v>
      </c>
      <c r="I717" s="4"/>
      <c r="J717" s="16" t="s">
        <v>1132</v>
      </c>
    </row>
    <row r="718" spans="1:10" x14ac:dyDescent="0.35">
      <c r="A718" s="47"/>
      <c r="B718" s="46"/>
      <c r="C718" s="11" t="s">
        <v>714</v>
      </c>
      <c r="D718" s="9">
        <v>778090.88</v>
      </c>
      <c r="E718" s="9">
        <v>778090.88</v>
      </c>
      <c r="F718" s="16">
        <v>778090.88</v>
      </c>
      <c r="G718" s="8">
        <f t="shared" si="22"/>
        <v>0</v>
      </c>
      <c r="H718" s="8">
        <f t="shared" si="23"/>
        <v>0</v>
      </c>
      <c r="I718" s="4"/>
      <c r="J718" s="16" t="s">
        <v>1133</v>
      </c>
    </row>
    <row r="719" spans="1:10" x14ac:dyDescent="0.35">
      <c r="A719" s="47"/>
      <c r="B719" s="46"/>
      <c r="C719" s="11" t="s">
        <v>715</v>
      </c>
      <c r="D719" s="9">
        <v>249750.89</v>
      </c>
      <c r="E719" s="9">
        <v>249750.89</v>
      </c>
      <c r="F719" s="16">
        <v>249750.89</v>
      </c>
      <c r="G719" s="8">
        <f t="shared" si="22"/>
        <v>0</v>
      </c>
      <c r="H719" s="8">
        <f t="shared" si="23"/>
        <v>0</v>
      </c>
      <c r="I719" s="4"/>
      <c r="J719" s="16" t="s">
        <v>1134</v>
      </c>
    </row>
    <row r="720" spans="1:10" x14ac:dyDescent="0.35">
      <c r="A720" s="47"/>
      <c r="B720" s="46"/>
      <c r="C720" s="11" t="s">
        <v>716</v>
      </c>
      <c r="D720" s="9">
        <v>2175684.54</v>
      </c>
      <c r="E720" s="9">
        <v>2175684.54</v>
      </c>
      <c r="F720" s="16">
        <v>2175684.54</v>
      </c>
      <c r="G720" s="8">
        <f t="shared" si="22"/>
        <v>0</v>
      </c>
      <c r="H720" s="8">
        <f t="shared" si="23"/>
        <v>0</v>
      </c>
      <c r="I720" s="4"/>
      <c r="J720" s="16" t="s">
        <v>1135</v>
      </c>
    </row>
    <row r="721" spans="1:10" x14ac:dyDescent="0.35">
      <c r="A721" s="47"/>
      <c r="B721" s="46"/>
      <c r="C721" s="11" t="s">
        <v>717</v>
      </c>
      <c r="D721" s="9">
        <v>32954.629999999997</v>
      </c>
      <c r="E721" s="9">
        <v>32954.629999999997</v>
      </c>
      <c r="F721" s="16">
        <v>32954.629999999997</v>
      </c>
      <c r="G721" s="8">
        <f t="shared" si="22"/>
        <v>0</v>
      </c>
      <c r="H721" s="8">
        <f t="shared" si="23"/>
        <v>0</v>
      </c>
      <c r="I721" s="4"/>
      <c r="J721" s="16" t="s">
        <v>1136</v>
      </c>
    </row>
    <row r="722" spans="1:10" x14ac:dyDescent="0.35">
      <c r="A722" s="47"/>
      <c r="B722" s="46"/>
      <c r="C722" s="11" t="s">
        <v>718</v>
      </c>
      <c r="D722" s="9">
        <v>6880521.71</v>
      </c>
      <c r="E722" s="9">
        <v>6880521.71</v>
      </c>
      <c r="F722" s="16">
        <v>6880521.71</v>
      </c>
      <c r="G722" s="8">
        <f t="shared" si="22"/>
        <v>0</v>
      </c>
      <c r="H722" s="8">
        <f t="shared" si="23"/>
        <v>0</v>
      </c>
      <c r="I722" s="4"/>
      <c r="J722" s="16" t="s">
        <v>1137</v>
      </c>
    </row>
    <row r="723" spans="1:10" x14ac:dyDescent="0.35">
      <c r="A723" s="47"/>
      <c r="B723" s="46"/>
      <c r="C723" s="11" t="s">
        <v>719</v>
      </c>
      <c r="D723" s="9">
        <v>230441.5</v>
      </c>
      <c r="E723" s="9">
        <v>230441.5</v>
      </c>
      <c r="F723" s="16">
        <v>230441.5</v>
      </c>
      <c r="G723" s="8">
        <f t="shared" si="22"/>
        <v>0</v>
      </c>
      <c r="H723" s="8">
        <f t="shared" si="23"/>
        <v>0</v>
      </c>
      <c r="I723" s="4"/>
      <c r="J723" s="16" t="s">
        <v>1123</v>
      </c>
    </row>
    <row r="724" spans="1:10" x14ac:dyDescent="0.35">
      <c r="A724" s="47"/>
      <c r="B724" s="46"/>
      <c r="C724" s="11" t="s">
        <v>410</v>
      </c>
      <c r="D724" s="9">
        <v>40604514.530000001</v>
      </c>
      <c r="E724" s="9">
        <v>40604514.530000001</v>
      </c>
      <c r="F724" s="16">
        <v>40604514.530000001</v>
      </c>
      <c r="G724" s="8">
        <f t="shared" si="22"/>
        <v>0</v>
      </c>
      <c r="H724" s="8">
        <f t="shared" si="23"/>
        <v>0</v>
      </c>
      <c r="I724" s="4"/>
      <c r="J724" s="16" t="s">
        <v>1138</v>
      </c>
    </row>
    <row r="725" spans="1:10" x14ac:dyDescent="0.35">
      <c r="A725" s="47"/>
      <c r="B725" s="46"/>
      <c r="C725" s="11" t="s">
        <v>720</v>
      </c>
      <c r="D725" s="9">
        <v>109965.93</v>
      </c>
      <c r="E725" s="9">
        <v>109965.93</v>
      </c>
      <c r="F725" s="16">
        <v>109965.93</v>
      </c>
      <c r="G725" s="8">
        <f t="shared" si="22"/>
        <v>0</v>
      </c>
      <c r="H725" s="8">
        <f t="shared" si="23"/>
        <v>0</v>
      </c>
      <c r="I725" s="4"/>
      <c r="J725" s="16" t="s">
        <v>1139</v>
      </c>
    </row>
    <row r="726" spans="1:10" x14ac:dyDescent="0.35">
      <c r="A726" s="47"/>
      <c r="B726" s="46"/>
      <c r="C726" s="11" t="s">
        <v>414</v>
      </c>
      <c r="D726" s="9">
        <v>19115680.989999998</v>
      </c>
      <c r="E726" s="9">
        <v>19115680.989999998</v>
      </c>
      <c r="F726" s="16">
        <v>19115680.989999998</v>
      </c>
      <c r="G726" s="8">
        <f t="shared" si="22"/>
        <v>0</v>
      </c>
      <c r="H726" s="8">
        <f t="shared" si="23"/>
        <v>0</v>
      </c>
      <c r="I726" s="4"/>
      <c r="J726" s="16" t="s">
        <v>1140</v>
      </c>
    </row>
    <row r="727" spans="1:10" x14ac:dyDescent="0.35">
      <c r="A727" s="47"/>
      <c r="B727" s="46"/>
      <c r="C727" s="11" t="s">
        <v>721</v>
      </c>
      <c r="D727" s="9">
        <v>18100.91</v>
      </c>
      <c r="E727" s="9">
        <v>18100.91</v>
      </c>
      <c r="F727" s="16">
        <v>18100.91</v>
      </c>
      <c r="G727" s="8">
        <f t="shared" si="22"/>
        <v>0</v>
      </c>
      <c r="H727" s="8">
        <f t="shared" si="23"/>
        <v>0</v>
      </c>
      <c r="I727" s="4"/>
      <c r="J727" s="16" t="s">
        <v>1141</v>
      </c>
    </row>
    <row r="728" spans="1:10" x14ac:dyDescent="0.35">
      <c r="A728" s="47"/>
      <c r="B728" s="46"/>
      <c r="C728" s="11" t="s">
        <v>415</v>
      </c>
      <c r="D728" s="9">
        <v>924838311.99000001</v>
      </c>
      <c r="E728" s="9">
        <v>924838311.99000001</v>
      </c>
      <c r="F728" s="16">
        <v>924838311.99000001</v>
      </c>
      <c r="G728" s="8">
        <f t="shared" si="22"/>
        <v>0</v>
      </c>
      <c r="H728" s="8">
        <f t="shared" si="23"/>
        <v>0</v>
      </c>
      <c r="I728" s="4"/>
      <c r="J728" s="16" t="s">
        <v>1142</v>
      </c>
    </row>
    <row r="729" spans="1:10" x14ac:dyDescent="0.35">
      <c r="A729" s="47"/>
      <c r="B729" s="46"/>
      <c r="C729" s="11" t="s">
        <v>722</v>
      </c>
      <c r="D729" s="9">
        <v>767687.11</v>
      </c>
      <c r="E729" s="9">
        <v>767687.11</v>
      </c>
      <c r="F729" s="16">
        <v>767687.11</v>
      </c>
      <c r="G729" s="8">
        <f t="shared" si="22"/>
        <v>0</v>
      </c>
      <c r="H729" s="8">
        <f t="shared" si="23"/>
        <v>0</v>
      </c>
      <c r="I729" s="4"/>
      <c r="J729" s="16" t="s">
        <v>1143</v>
      </c>
    </row>
    <row r="730" spans="1:10" x14ac:dyDescent="0.35">
      <c r="A730" s="47"/>
      <c r="B730" s="46"/>
      <c r="C730" s="11" t="s">
        <v>723</v>
      </c>
      <c r="D730" s="9">
        <v>1249001.3500000001</v>
      </c>
      <c r="E730" s="9">
        <v>1249001.3500000001</v>
      </c>
      <c r="F730" s="16">
        <v>1249001.3500000001</v>
      </c>
      <c r="G730" s="8">
        <f t="shared" si="22"/>
        <v>0</v>
      </c>
      <c r="H730" s="8">
        <f t="shared" si="23"/>
        <v>0</v>
      </c>
      <c r="I730" s="4"/>
      <c r="J730" s="16" t="s">
        <v>1144</v>
      </c>
    </row>
    <row r="731" spans="1:10" x14ac:dyDescent="0.35">
      <c r="A731" s="47"/>
      <c r="B731" s="46"/>
      <c r="C731" s="11" t="s">
        <v>724</v>
      </c>
      <c r="D731" s="9">
        <v>2312411.63</v>
      </c>
      <c r="E731" s="9">
        <v>2312411.63</v>
      </c>
      <c r="F731" s="16">
        <v>2312411.63</v>
      </c>
      <c r="G731" s="8">
        <f t="shared" si="22"/>
        <v>0</v>
      </c>
      <c r="H731" s="8">
        <f t="shared" si="23"/>
        <v>0</v>
      </c>
      <c r="I731" s="4"/>
      <c r="J731" s="16" t="s">
        <v>1145</v>
      </c>
    </row>
    <row r="732" spans="1:10" x14ac:dyDescent="0.35">
      <c r="A732" s="47"/>
      <c r="B732" s="46"/>
      <c r="C732" s="11" t="s">
        <v>725</v>
      </c>
      <c r="D732" s="9">
        <v>637438.78</v>
      </c>
      <c r="E732" s="9">
        <v>637438.78</v>
      </c>
      <c r="F732" s="16">
        <v>637438.78</v>
      </c>
      <c r="G732" s="8">
        <f t="shared" si="22"/>
        <v>0</v>
      </c>
      <c r="H732" s="8">
        <f t="shared" si="23"/>
        <v>0</v>
      </c>
      <c r="I732" s="4"/>
      <c r="J732" s="16" t="s">
        <v>1146</v>
      </c>
    </row>
    <row r="733" spans="1:10" x14ac:dyDescent="0.35">
      <c r="A733" s="47"/>
      <c r="B733" s="46"/>
      <c r="C733" s="11" t="s">
        <v>412</v>
      </c>
      <c r="D733" s="9">
        <v>17495819.399999999</v>
      </c>
      <c r="E733" s="9">
        <v>17495819.399999999</v>
      </c>
      <c r="F733" s="16">
        <v>17495819.399999999</v>
      </c>
      <c r="G733" s="8">
        <f t="shared" si="22"/>
        <v>0</v>
      </c>
      <c r="H733" s="8">
        <f t="shared" si="23"/>
        <v>0</v>
      </c>
      <c r="I733" s="4"/>
      <c r="J733" s="16" t="s">
        <v>1147</v>
      </c>
    </row>
    <row r="734" spans="1:10" x14ac:dyDescent="0.35">
      <c r="A734" s="47"/>
      <c r="B734" s="46"/>
      <c r="C734" s="11" t="s">
        <v>726</v>
      </c>
      <c r="D734" s="9">
        <v>1301490.57</v>
      </c>
      <c r="E734" s="9">
        <v>1301490.57</v>
      </c>
      <c r="F734" s="16">
        <v>1301490.57</v>
      </c>
      <c r="G734" s="8">
        <f t="shared" si="22"/>
        <v>0</v>
      </c>
      <c r="H734" s="8">
        <f t="shared" si="23"/>
        <v>0</v>
      </c>
      <c r="I734" s="4"/>
      <c r="J734" s="16" t="s">
        <v>1148</v>
      </c>
    </row>
    <row r="735" spans="1:10" x14ac:dyDescent="0.35">
      <c r="A735" s="47"/>
      <c r="B735" s="46"/>
      <c r="C735" s="11" t="s">
        <v>866</v>
      </c>
      <c r="D735" s="9"/>
      <c r="E735" s="9"/>
      <c r="F735" s="16">
        <v>0</v>
      </c>
      <c r="G735" s="8">
        <f t="shared" si="22"/>
        <v>0</v>
      </c>
      <c r="H735" s="8">
        <f t="shared" si="23"/>
        <v>0</v>
      </c>
      <c r="I735" s="4"/>
      <c r="J735" s="16" t="s">
        <v>1149</v>
      </c>
    </row>
    <row r="736" spans="1:10" x14ac:dyDescent="0.35">
      <c r="A736" s="47"/>
      <c r="B736" s="46"/>
      <c r="C736" s="11" t="s">
        <v>727</v>
      </c>
      <c r="D736" s="9">
        <v>65690791.57</v>
      </c>
      <c r="E736" s="9">
        <v>65690791.57</v>
      </c>
      <c r="F736" s="16">
        <v>65690791.57</v>
      </c>
      <c r="G736" s="8">
        <f t="shared" si="22"/>
        <v>0</v>
      </c>
      <c r="H736" s="8">
        <f t="shared" si="23"/>
        <v>0</v>
      </c>
      <c r="I736" s="4"/>
      <c r="J736" s="16" t="s">
        <v>1150</v>
      </c>
    </row>
    <row r="737" spans="1:10" x14ac:dyDescent="0.35">
      <c r="A737" s="47"/>
      <c r="B737" s="46"/>
      <c r="C737" s="11" t="s">
        <v>728</v>
      </c>
      <c r="D737" s="9">
        <v>10049.35</v>
      </c>
      <c r="E737" s="9">
        <v>10049.35</v>
      </c>
      <c r="F737" s="16">
        <v>10049.35</v>
      </c>
      <c r="G737" s="8">
        <f t="shared" si="22"/>
        <v>0</v>
      </c>
      <c r="H737" s="8">
        <f t="shared" si="23"/>
        <v>0</v>
      </c>
      <c r="I737" s="4"/>
      <c r="J737" s="16" t="s">
        <v>1151</v>
      </c>
    </row>
    <row r="738" spans="1:10" x14ac:dyDescent="0.35">
      <c r="A738" s="47"/>
      <c r="B738" s="46"/>
      <c r="C738" s="11" t="s">
        <v>729</v>
      </c>
      <c r="D738" s="9">
        <v>1640964.61</v>
      </c>
      <c r="E738" s="9">
        <v>1640964.61</v>
      </c>
      <c r="F738" s="16">
        <v>914425.44</v>
      </c>
      <c r="G738" s="8">
        <f t="shared" si="22"/>
        <v>-726539.17000000016</v>
      </c>
      <c r="H738" s="8">
        <f t="shared" si="23"/>
        <v>-726539.17000000016</v>
      </c>
      <c r="I738" s="4"/>
      <c r="J738" s="16" t="s">
        <v>1152</v>
      </c>
    </row>
    <row r="739" spans="1:10" x14ac:dyDescent="0.35">
      <c r="A739" s="47"/>
      <c r="B739" s="46"/>
      <c r="C739" s="11" t="s">
        <v>730</v>
      </c>
      <c r="D739" s="9">
        <v>5311624.9800000004</v>
      </c>
      <c r="E739" s="9">
        <v>5311624.9800000004</v>
      </c>
      <c r="F739" s="16">
        <v>5311624.9800000004</v>
      </c>
      <c r="G739" s="8">
        <f t="shared" si="22"/>
        <v>0</v>
      </c>
      <c r="H739" s="8">
        <f t="shared" si="23"/>
        <v>0</v>
      </c>
      <c r="I739" s="4"/>
      <c r="J739" s="16" t="s">
        <v>1153</v>
      </c>
    </row>
    <row r="740" spans="1:10" x14ac:dyDescent="0.35">
      <c r="A740" s="47"/>
      <c r="B740" s="46"/>
      <c r="C740" s="33" t="s">
        <v>867</v>
      </c>
      <c r="D740" s="34"/>
      <c r="E740" s="34"/>
      <c r="F740" s="43">
        <v>726539.17</v>
      </c>
      <c r="G740" s="8">
        <f t="shared" si="22"/>
        <v>726539.17</v>
      </c>
      <c r="H740" s="8">
        <f t="shared" si="23"/>
        <v>726539.17</v>
      </c>
      <c r="I740" s="4"/>
      <c r="J740" s="16" t="s">
        <v>1154</v>
      </c>
    </row>
    <row r="741" spans="1:10" x14ac:dyDescent="0.35">
      <c r="A741" s="47"/>
      <c r="B741" s="46"/>
      <c r="C741" s="11" t="s">
        <v>731</v>
      </c>
      <c r="D741" s="9">
        <v>198790113.43000001</v>
      </c>
      <c r="E741" s="9">
        <v>198790113.43000001</v>
      </c>
      <c r="F741" s="16">
        <v>198790113.43000001</v>
      </c>
      <c r="G741" s="8">
        <f t="shared" si="22"/>
        <v>0</v>
      </c>
      <c r="H741" s="8">
        <f t="shared" si="23"/>
        <v>0</v>
      </c>
      <c r="I741" s="4"/>
      <c r="J741" s="16" t="s">
        <v>1155</v>
      </c>
    </row>
    <row r="742" spans="1:10" x14ac:dyDescent="0.35">
      <c r="A742" s="47"/>
      <c r="B742" s="46"/>
      <c r="C742" s="11" t="s">
        <v>732</v>
      </c>
      <c r="D742" s="9">
        <v>435082.11</v>
      </c>
      <c r="E742" s="9">
        <v>435082.11</v>
      </c>
      <c r="F742" s="16">
        <v>435082.11</v>
      </c>
      <c r="G742" s="8">
        <f t="shared" si="22"/>
        <v>0</v>
      </c>
      <c r="H742" s="8">
        <f t="shared" si="23"/>
        <v>0</v>
      </c>
      <c r="I742" s="4"/>
      <c r="J742" s="16" t="s">
        <v>1156</v>
      </c>
    </row>
    <row r="743" spans="1:10" x14ac:dyDescent="0.35">
      <c r="A743" s="47"/>
      <c r="B743" s="46"/>
      <c r="C743" s="11" t="s">
        <v>733</v>
      </c>
      <c r="D743" s="9">
        <v>3698271.34</v>
      </c>
      <c r="E743" s="9">
        <v>3698271.34</v>
      </c>
      <c r="F743" s="16">
        <v>3698271.34</v>
      </c>
      <c r="G743" s="8">
        <f t="shared" si="22"/>
        <v>0</v>
      </c>
      <c r="H743" s="8">
        <f t="shared" si="23"/>
        <v>0</v>
      </c>
      <c r="I743" s="4"/>
      <c r="J743" s="16" t="s">
        <v>1157</v>
      </c>
    </row>
    <row r="744" spans="1:10" x14ac:dyDescent="0.35">
      <c r="A744" s="47"/>
      <c r="B744" s="46"/>
      <c r="C744" s="11" t="s">
        <v>734</v>
      </c>
      <c r="D744" s="9">
        <v>369967400.75</v>
      </c>
      <c r="E744" s="9">
        <v>369967400.75</v>
      </c>
      <c r="F744" s="16">
        <v>369967400.75</v>
      </c>
      <c r="G744" s="8">
        <f t="shared" si="22"/>
        <v>0</v>
      </c>
      <c r="H744" s="8">
        <f t="shared" si="23"/>
        <v>0</v>
      </c>
      <c r="I744" s="4"/>
      <c r="J744" s="16" t="s">
        <v>1158</v>
      </c>
    </row>
    <row r="745" spans="1:10" x14ac:dyDescent="0.35">
      <c r="A745" s="47"/>
      <c r="B745" s="46"/>
      <c r="C745" s="11" t="s">
        <v>735</v>
      </c>
      <c r="D745" s="9">
        <v>2957112.29</v>
      </c>
      <c r="E745" s="9">
        <v>2957112.29</v>
      </c>
      <c r="F745" s="16">
        <v>2957112.29</v>
      </c>
      <c r="G745" s="8">
        <f t="shared" si="22"/>
        <v>0</v>
      </c>
      <c r="H745" s="8">
        <f t="shared" si="23"/>
        <v>0</v>
      </c>
      <c r="I745" s="4"/>
      <c r="J745" s="16" t="s">
        <v>1123</v>
      </c>
    </row>
    <row r="746" spans="1:10" x14ac:dyDescent="0.35">
      <c r="A746" s="47"/>
      <c r="B746" s="46"/>
      <c r="C746" s="11" t="s">
        <v>736</v>
      </c>
      <c r="D746" s="9">
        <v>114100.87</v>
      </c>
      <c r="E746" s="9">
        <v>114100.87</v>
      </c>
      <c r="F746" s="16">
        <v>114100.87</v>
      </c>
      <c r="G746" s="8">
        <f t="shared" si="22"/>
        <v>0</v>
      </c>
      <c r="H746" s="8">
        <f t="shared" si="23"/>
        <v>0</v>
      </c>
      <c r="I746" s="4"/>
      <c r="J746" s="16" t="s">
        <v>1159</v>
      </c>
    </row>
    <row r="747" spans="1:10" x14ac:dyDescent="0.35">
      <c r="A747" s="47"/>
      <c r="B747" s="46"/>
      <c r="C747" s="11" t="s">
        <v>737</v>
      </c>
      <c r="D747" s="9">
        <v>216854.03</v>
      </c>
      <c r="E747" s="9">
        <v>216854.03</v>
      </c>
      <c r="F747" s="16">
        <v>216854.03</v>
      </c>
      <c r="G747" s="8">
        <f t="shared" si="22"/>
        <v>0</v>
      </c>
      <c r="H747" s="8">
        <f t="shared" si="23"/>
        <v>0</v>
      </c>
      <c r="I747" s="4"/>
      <c r="J747" s="16" t="s">
        <v>1160</v>
      </c>
    </row>
    <row r="748" spans="1:10" x14ac:dyDescent="0.35">
      <c r="A748" s="47"/>
      <c r="B748" s="46"/>
      <c r="C748" s="11" t="s">
        <v>738</v>
      </c>
      <c r="D748" s="9">
        <v>5136720.92</v>
      </c>
      <c r="E748" s="9">
        <v>5136720.92</v>
      </c>
      <c r="F748" s="16">
        <v>5136720.92</v>
      </c>
      <c r="G748" s="8">
        <f t="shared" si="22"/>
        <v>0</v>
      </c>
      <c r="H748" s="8">
        <f t="shared" si="23"/>
        <v>0</v>
      </c>
      <c r="I748" s="4"/>
      <c r="J748" s="16" t="s">
        <v>1161</v>
      </c>
    </row>
    <row r="749" spans="1:10" x14ac:dyDescent="0.35">
      <c r="A749" s="47"/>
      <c r="B749" s="46"/>
      <c r="C749" s="11" t="s">
        <v>739</v>
      </c>
      <c r="D749" s="9">
        <v>7366.52</v>
      </c>
      <c r="E749" s="9">
        <v>7366.52</v>
      </c>
      <c r="F749" s="16">
        <v>7366.52</v>
      </c>
      <c r="G749" s="8">
        <f t="shared" si="22"/>
        <v>0</v>
      </c>
      <c r="H749" s="8">
        <f t="shared" si="23"/>
        <v>0</v>
      </c>
      <c r="I749" s="4"/>
      <c r="J749" s="16" t="s">
        <v>1162</v>
      </c>
    </row>
    <row r="750" spans="1:10" x14ac:dyDescent="0.35">
      <c r="A750" s="47"/>
      <c r="B750" s="46"/>
      <c r="C750" s="11" t="s">
        <v>740</v>
      </c>
      <c r="D750" s="9">
        <v>22252.55</v>
      </c>
      <c r="E750" s="9">
        <v>22252.55</v>
      </c>
      <c r="F750" s="16">
        <v>22252.55</v>
      </c>
      <c r="G750" s="8">
        <f t="shared" si="22"/>
        <v>0</v>
      </c>
      <c r="H750" s="8">
        <f t="shared" si="23"/>
        <v>0</v>
      </c>
      <c r="I750" s="4"/>
      <c r="J750" s="16" t="s">
        <v>1163</v>
      </c>
    </row>
    <row r="751" spans="1:10" x14ac:dyDescent="0.35">
      <c r="A751" s="47"/>
      <c r="B751" s="46"/>
      <c r="C751" s="11" t="s">
        <v>741</v>
      </c>
      <c r="D751" s="9">
        <v>15361.16</v>
      </c>
      <c r="E751" s="9">
        <v>15361.16</v>
      </c>
      <c r="F751" s="16">
        <v>15361.16</v>
      </c>
      <c r="G751" s="8">
        <f t="shared" si="22"/>
        <v>0</v>
      </c>
      <c r="H751" s="8">
        <f t="shared" si="23"/>
        <v>0</v>
      </c>
      <c r="I751" s="4"/>
      <c r="J751" s="16" t="s">
        <v>1164</v>
      </c>
    </row>
    <row r="752" spans="1:10" x14ac:dyDescent="0.35">
      <c r="A752" s="47"/>
      <c r="B752" s="46"/>
      <c r="C752" s="11" t="s">
        <v>742</v>
      </c>
      <c r="D752" s="9">
        <v>10163.99</v>
      </c>
      <c r="E752" s="9">
        <v>10163.99</v>
      </c>
      <c r="F752" s="16">
        <v>10163.99</v>
      </c>
      <c r="G752" s="8">
        <f t="shared" si="22"/>
        <v>0</v>
      </c>
      <c r="H752" s="8">
        <f t="shared" si="23"/>
        <v>0</v>
      </c>
      <c r="I752" s="4"/>
      <c r="J752" s="16" t="s">
        <v>1165</v>
      </c>
    </row>
    <row r="753" spans="1:10" x14ac:dyDescent="0.35">
      <c r="A753" s="47"/>
      <c r="B753" s="46"/>
      <c r="C753" s="11" t="s">
        <v>743</v>
      </c>
      <c r="D753" s="9">
        <v>156576.57999999999</v>
      </c>
      <c r="E753" s="9">
        <v>156576.57999999999</v>
      </c>
      <c r="F753" s="16">
        <v>156576.57999999999</v>
      </c>
      <c r="G753" s="8">
        <f t="shared" si="22"/>
        <v>0</v>
      </c>
      <c r="H753" s="8">
        <f t="shared" si="23"/>
        <v>0</v>
      </c>
      <c r="I753" s="4"/>
      <c r="J753" s="16" t="s">
        <v>1166</v>
      </c>
    </row>
    <row r="754" spans="1:10" x14ac:dyDescent="0.35">
      <c r="A754" s="47"/>
      <c r="B754" s="46"/>
      <c r="C754" s="11" t="s">
        <v>744</v>
      </c>
      <c r="D754" s="9">
        <v>159301.85999999999</v>
      </c>
      <c r="E754" s="9">
        <v>159301.85999999999</v>
      </c>
      <c r="F754" s="16">
        <v>159301.85999999999</v>
      </c>
      <c r="G754" s="8">
        <f t="shared" si="22"/>
        <v>0</v>
      </c>
      <c r="H754" s="8">
        <f t="shared" si="23"/>
        <v>0</v>
      </c>
      <c r="I754" s="4"/>
      <c r="J754" s="16" t="s">
        <v>1167</v>
      </c>
    </row>
    <row r="755" spans="1:10" x14ac:dyDescent="0.35">
      <c r="A755" s="47"/>
      <c r="B755" s="46"/>
      <c r="C755" s="11" t="s">
        <v>745</v>
      </c>
      <c r="D755" s="9">
        <v>24804.53</v>
      </c>
      <c r="E755" s="9">
        <v>24804.53</v>
      </c>
      <c r="F755" s="16">
        <v>13439.6</v>
      </c>
      <c r="G755" s="8">
        <f t="shared" si="22"/>
        <v>-11364.929999999998</v>
      </c>
      <c r="H755" s="8">
        <f t="shared" si="23"/>
        <v>-11364.929999999998</v>
      </c>
      <c r="I755" s="4"/>
      <c r="J755" s="16" t="s">
        <v>1117</v>
      </c>
    </row>
    <row r="756" spans="1:10" x14ac:dyDescent="0.35">
      <c r="A756" s="47"/>
      <c r="B756" s="46"/>
      <c r="C756" s="33" t="s">
        <v>868</v>
      </c>
      <c r="D756" s="34"/>
      <c r="E756" s="34"/>
      <c r="F756" s="43">
        <v>11364.93</v>
      </c>
      <c r="G756" s="8">
        <f t="shared" si="22"/>
        <v>11364.93</v>
      </c>
      <c r="H756" s="8">
        <f t="shared" si="23"/>
        <v>11364.93</v>
      </c>
      <c r="I756" s="4"/>
      <c r="J756" s="16" t="s">
        <v>1168</v>
      </c>
    </row>
    <row r="757" spans="1:10" x14ac:dyDescent="0.35">
      <c r="A757" s="47"/>
      <c r="B757" s="46"/>
      <c r="C757" s="11" t="s">
        <v>746</v>
      </c>
      <c r="D757" s="9">
        <v>14287.96</v>
      </c>
      <c r="E757" s="9">
        <v>14287.96</v>
      </c>
      <c r="F757" s="16">
        <v>14287.96</v>
      </c>
      <c r="G757" s="8">
        <f t="shared" si="22"/>
        <v>0</v>
      </c>
      <c r="H757" s="8">
        <f t="shared" si="23"/>
        <v>0</v>
      </c>
      <c r="I757" s="4"/>
      <c r="J757" s="16" t="s">
        <v>1120</v>
      </c>
    </row>
    <row r="758" spans="1:10" x14ac:dyDescent="0.35">
      <c r="A758" s="47"/>
      <c r="B758" s="46"/>
      <c r="C758" s="11" t="s">
        <v>747</v>
      </c>
      <c r="D758" s="9">
        <v>12481.33</v>
      </c>
      <c r="E758" s="9">
        <v>12481.33</v>
      </c>
      <c r="F758" s="16">
        <v>12481.33</v>
      </c>
      <c r="G758" s="8">
        <f t="shared" si="22"/>
        <v>0</v>
      </c>
      <c r="H758" s="8">
        <f t="shared" si="23"/>
        <v>0</v>
      </c>
      <c r="I758" s="4"/>
      <c r="J758" s="16" t="s">
        <v>1169</v>
      </c>
    </row>
    <row r="759" spans="1:10" x14ac:dyDescent="0.35">
      <c r="A759" s="47"/>
      <c r="B759" s="46"/>
      <c r="C759" s="11" t="s">
        <v>748</v>
      </c>
      <c r="D759" s="9">
        <v>48374.34</v>
      </c>
      <c r="E759" s="9">
        <v>48374.34</v>
      </c>
      <c r="F759" s="16">
        <v>48374.34</v>
      </c>
      <c r="G759" s="8">
        <f t="shared" si="22"/>
        <v>0</v>
      </c>
      <c r="H759" s="8">
        <f t="shared" si="23"/>
        <v>0</v>
      </c>
      <c r="I759" s="4"/>
      <c r="J759" s="16" t="s">
        <v>1170</v>
      </c>
    </row>
    <row r="760" spans="1:10" x14ac:dyDescent="0.35">
      <c r="A760" s="47"/>
      <c r="B760" s="46"/>
      <c r="C760" s="11" t="s">
        <v>749</v>
      </c>
      <c r="D760" s="9">
        <v>41530.050000000003</v>
      </c>
      <c r="E760" s="9">
        <v>41530.050000000003</v>
      </c>
      <c r="F760" s="16">
        <v>41530.050000000003</v>
      </c>
      <c r="G760" s="8">
        <f t="shared" si="22"/>
        <v>0</v>
      </c>
      <c r="H760" s="8">
        <f t="shared" si="23"/>
        <v>0</v>
      </c>
      <c r="I760" s="4"/>
      <c r="J760" s="16" t="s">
        <v>1171</v>
      </c>
    </row>
    <row r="761" spans="1:10" x14ac:dyDescent="0.35">
      <c r="A761" s="47"/>
      <c r="B761" s="46"/>
      <c r="C761" s="11" t="s">
        <v>750</v>
      </c>
      <c r="D761" s="9">
        <v>187819.48</v>
      </c>
      <c r="E761" s="9">
        <v>187819.48</v>
      </c>
      <c r="F761" s="16">
        <v>187819.48</v>
      </c>
      <c r="G761" s="8">
        <f t="shared" si="22"/>
        <v>0</v>
      </c>
      <c r="H761" s="8">
        <f t="shared" si="23"/>
        <v>0</v>
      </c>
      <c r="I761" s="4"/>
      <c r="J761" s="16" t="s">
        <v>1172</v>
      </c>
    </row>
    <row r="762" spans="1:10" x14ac:dyDescent="0.35">
      <c r="A762" s="47"/>
      <c r="B762" s="46"/>
      <c r="C762" s="11" t="s">
        <v>751</v>
      </c>
      <c r="D762" s="9">
        <v>71340.740000000005</v>
      </c>
      <c r="E762" s="9">
        <v>71340.740000000005</v>
      </c>
      <c r="F762" s="16">
        <v>71340.740000000005</v>
      </c>
      <c r="G762" s="8">
        <f t="shared" si="22"/>
        <v>0</v>
      </c>
      <c r="H762" s="8">
        <f t="shared" si="23"/>
        <v>0</v>
      </c>
      <c r="I762" s="4"/>
      <c r="J762" s="16" t="s">
        <v>1173</v>
      </c>
    </row>
    <row r="763" spans="1:10" x14ac:dyDescent="0.35">
      <c r="A763" s="47"/>
      <c r="B763" s="46"/>
      <c r="C763" s="11" t="s">
        <v>752</v>
      </c>
      <c r="D763" s="9">
        <v>87777.56</v>
      </c>
      <c r="E763" s="9">
        <v>87777.56</v>
      </c>
      <c r="F763" s="16">
        <v>87777.56</v>
      </c>
      <c r="G763" s="8">
        <f t="shared" si="22"/>
        <v>0</v>
      </c>
      <c r="H763" s="8">
        <f t="shared" si="23"/>
        <v>0</v>
      </c>
      <c r="I763" s="4"/>
      <c r="J763" s="16" t="s">
        <v>1174</v>
      </c>
    </row>
    <row r="764" spans="1:10" x14ac:dyDescent="0.35">
      <c r="A764" s="47"/>
      <c r="B764" s="46"/>
      <c r="C764" s="11" t="s">
        <v>753</v>
      </c>
      <c r="D764" s="9">
        <v>230630.08</v>
      </c>
      <c r="E764" s="9">
        <v>230630.08</v>
      </c>
      <c r="F764" s="16">
        <v>230630.08</v>
      </c>
      <c r="G764" s="8">
        <f t="shared" si="22"/>
        <v>0</v>
      </c>
      <c r="H764" s="8">
        <f t="shared" si="23"/>
        <v>0</v>
      </c>
      <c r="I764" s="4"/>
      <c r="J764" s="16" t="s">
        <v>1175</v>
      </c>
    </row>
    <row r="765" spans="1:10" x14ac:dyDescent="0.35">
      <c r="A765" s="47"/>
      <c r="B765" s="46"/>
      <c r="C765" s="11" t="s">
        <v>754</v>
      </c>
      <c r="D765" s="9">
        <v>89370.36</v>
      </c>
      <c r="E765" s="9">
        <v>89370.36</v>
      </c>
      <c r="F765" s="16">
        <v>89370.36</v>
      </c>
      <c r="G765" s="8">
        <f t="shared" si="22"/>
        <v>0</v>
      </c>
      <c r="H765" s="8">
        <f t="shared" si="23"/>
        <v>0</v>
      </c>
      <c r="I765" s="4"/>
      <c r="J765" s="16" t="s">
        <v>1176</v>
      </c>
    </row>
    <row r="766" spans="1:10" x14ac:dyDescent="0.35">
      <c r="A766" s="47"/>
      <c r="B766" s="46"/>
      <c r="C766" s="11" t="s">
        <v>755</v>
      </c>
      <c r="D766" s="9">
        <v>300009.95</v>
      </c>
      <c r="E766" s="9">
        <v>300009.95</v>
      </c>
      <c r="F766" s="16">
        <v>300009.95</v>
      </c>
      <c r="G766" s="8">
        <f t="shared" si="22"/>
        <v>0</v>
      </c>
      <c r="H766" s="8">
        <f t="shared" si="23"/>
        <v>0</v>
      </c>
      <c r="I766" s="4"/>
      <c r="J766" s="16" t="s">
        <v>1177</v>
      </c>
    </row>
    <row r="767" spans="1:10" x14ac:dyDescent="0.35">
      <c r="A767" s="47"/>
      <c r="B767" s="46"/>
      <c r="C767" s="11" t="s">
        <v>869</v>
      </c>
      <c r="D767" s="9"/>
      <c r="E767" s="9"/>
      <c r="F767" s="16">
        <v>0</v>
      </c>
      <c r="G767" s="8">
        <f t="shared" si="22"/>
        <v>0</v>
      </c>
      <c r="H767" s="8">
        <f t="shared" si="23"/>
        <v>0</v>
      </c>
      <c r="I767" s="4"/>
      <c r="J767" s="16" t="s">
        <v>1178</v>
      </c>
    </row>
    <row r="768" spans="1:10" x14ac:dyDescent="0.35">
      <c r="A768" s="47"/>
      <c r="B768" s="46"/>
      <c r="C768" s="11" t="s">
        <v>756</v>
      </c>
      <c r="D768" s="9">
        <v>406667.37</v>
      </c>
      <c r="E768" s="9">
        <v>406667.37</v>
      </c>
      <c r="F768" s="16">
        <v>406667.37</v>
      </c>
      <c r="G768" s="8">
        <f t="shared" si="22"/>
        <v>0</v>
      </c>
      <c r="H768" s="8">
        <f t="shared" si="23"/>
        <v>0</v>
      </c>
      <c r="I768" s="4"/>
      <c r="J768" s="16" t="s">
        <v>1179</v>
      </c>
    </row>
    <row r="769" spans="1:10" x14ac:dyDescent="0.35">
      <c r="A769" s="47"/>
      <c r="B769" s="46"/>
      <c r="C769" s="11" t="s">
        <v>757</v>
      </c>
      <c r="D769" s="9">
        <v>24799.96</v>
      </c>
      <c r="E769" s="9">
        <v>24799.96</v>
      </c>
      <c r="F769" s="16">
        <v>24799.96</v>
      </c>
      <c r="G769" s="8">
        <f t="shared" si="22"/>
        <v>0</v>
      </c>
      <c r="H769" s="8">
        <f t="shared" si="23"/>
        <v>0</v>
      </c>
      <c r="I769" s="4"/>
      <c r="J769" s="16" t="s">
        <v>1180</v>
      </c>
    </row>
    <row r="770" spans="1:10" x14ac:dyDescent="0.35">
      <c r="A770" s="47"/>
      <c r="B770" s="46"/>
      <c r="C770" s="11" t="s">
        <v>758</v>
      </c>
      <c r="D770" s="9">
        <v>105114.17</v>
      </c>
      <c r="E770" s="9">
        <v>105114.17</v>
      </c>
      <c r="F770" s="16">
        <v>105114.17</v>
      </c>
      <c r="G770" s="8">
        <f t="shared" ref="G770:G833" si="24">F770-E770</f>
        <v>0</v>
      </c>
      <c r="H770" s="8">
        <f t="shared" si="23"/>
        <v>0</v>
      </c>
      <c r="I770" s="4"/>
      <c r="J770" s="16" t="s">
        <v>1181</v>
      </c>
    </row>
    <row r="771" spans="1:10" x14ac:dyDescent="0.35">
      <c r="A771" s="47"/>
      <c r="B771" s="46"/>
      <c r="C771" s="11" t="s">
        <v>413</v>
      </c>
      <c r="D771" s="9">
        <v>481533.57</v>
      </c>
      <c r="E771" s="9">
        <v>481533.57</v>
      </c>
      <c r="F771" s="16">
        <v>481533.57</v>
      </c>
      <c r="G771" s="8">
        <f t="shared" si="24"/>
        <v>0</v>
      </c>
      <c r="H771" s="8">
        <f t="shared" ref="H771:H834" si="25">F771-D771</f>
        <v>0</v>
      </c>
      <c r="I771" s="4"/>
      <c r="J771" s="16" t="s">
        <v>1182</v>
      </c>
    </row>
    <row r="772" spans="1:10" x14ac:dyDescent="0.35">
      <c r="A772" s="47"/>
      <c r="B772" s="46"/>
      <c r="C772" s="11" t="s">
        <v>759</v>
      </c>
      <c r="D772" s="9">
        <v>19538.599999999999</v>
      </c>
      <c r="E772" s="9">
        <v>19538.599999999999</v>
      </c>
      <c r="F772" s="16">
        <v>19538.599999999999</v>
      </c>
      <c r="G772" s="8">
        <f t="shared" si="24"/>
        <v>0</v>
      </c>
      <c r="H772" s="8">
        <f t="shared" si="25"/>
        <v>0</v>
      </c>
      <c r="I772" s="4"/>
      <c r="J772" s="16" t="s">
        <v>1183</v>
      </c>
    </row>
    <row r="773" spans="1:10" x14ac:dyDescent="0.35">
      <c r="A773" s="47"/>
      <c r="B773" s="46"/>
      <c r="C773" s="11" t="s">
        <v>760</v>
      </c>
      <c r="D773" s="9">
        <v>237115.95</v>
      </c>
      <c r="E773" s="9">
        <v>237115.95</v>
      </c>
      <c r="F773" s="16">
        <v>237115.95</v>
      </c>
      <c r="G773" s="8">
        <f t="shared" si="24"/>
        <v>0</v>
      </c>
      <c r="H773" s="8">
        <f t="shared" si="25"/>
        <v>0</v>
      </c>
      <c r="I773" s="4"/>
      <c r="J773" s="16" t="s">
        <v>1184</v>
      </c>
    </row>
    <row r="774" spans="1:10" x14ac:dyDescent="0.35">
      <c r="A774" s="47"/>
      <c r="B774" s="46"/>
      <c r="C774" s="11" t="s">
        <v>761</v>
      </c>
      <c r="D774" s="9">
        <v>8285400.4900000002</v>
      </c>
      <c r="E774" s="9">
        <v>8285400.4900000002</v>
      </c>
      <c r="F774" s="16">
        <v>8285400.4900000002</v>
      </c>
      <c r="G774" s="8">
        <f t="shared" si="24"/>
        <v>0</v>
      </c>
      <c r="H774" s="8">
        <f t="shared" si="25"/>
        <v>0</v>
      </c>
      <c r="I774" s="4"/>
      <c r="J774" s="16" t="s">
        <v>1185</v>
      </c>
    </row>
    <row r="775" spans="1:10" x14ac:dyDescent="0.35">
      <c r="A775" s="47"/>
      <c r="B775" s="46"/>
      <c r="C775" s="11" t="s">
        <v>762</v>
      </c>
      <c r="D775" s="9">
        <v>996000.37</v>
      </c>
      <c r="E775" s="9">
        <v>996000.37</v>
      </c>
      <c r="F775" s="16">
        <v>996000.37</v>
      </c>
      <c r="G775" s="8">
        <f t="shared" si="24"/>
        <v>0</v>
      </c>
      <c r="H775" s="8">
        <f t="shared" si="25"/>
        <v>0</v>
      </c>
      <c r="I775" s="4"/>
      <c r="J775" s="16" t="s">
        <v>1186</v>
      </c>
    </row>
    <row r="776" spans="1:10" x14ac:dyDescent="0.35">
      <c r="A776" s="47"/>
      <c r="B776" s="46"/>
      <c r="C776" s="11" t="s">
        <v>763</v>
      </c>
      <c r="D776" s="9">
        <v>2028910.62</v>
      </c>
      <c r="E776" s="9">
        <v>2028910.62</v>
      </c>
      <c r="F776" s="16">
        <v>2028910.62</v>
      </c>
      <c r="G776" s="8">
        <f t="shared" si="24"/>
        <v>0</v>
      </c>
      <c r="H776" s="8">
        <f t="shared" si="25"/>
        <v>0</v>
      </c>
      <c r="I776" s="4"/>
      <c r="J776" s="16" t="s">
        <v>1187</v>
      </c>
    </row>
    <row r="777" spans="1:10" x14ac:dyDescent="0.35">
      <c r="A777" s="47"/>
      <c r="B777" s="46"/>
      <c r="C777" s="11" t="s">
        <v>764</v>
      </c>
      <c r="D777" s="9">
        <v>5472.42</v>
      </c>
      <c r="E777" s="9">
        <v>5472.42</v>
      </c>
      <c r="F777" s="16">
        <v>5472.42</v>
      </c>
      <c r="G777" s="8">
        <f t="shared" si="24"/>
        <v>0</v>
      </c>
      <c r="H777" s="8">
        <f t="shared" si="25"/>
        <v>0</v>
      </c>
      <c r="I777" s="4"/>
      <c r="J777" s="16" t="s">
        <v>1188</v>
      </c>
    </row>
    <row r="778" spans="1:10" x14ac:dyDescent="0.35">
      <c r="A778" s="47"/>
      <c r="B778" s="46"/>
      <c r="C778" s="11" t="s">
        <v>765</v>
      </c>
      <c r="D778" s="9">
        <v>1188171.03</v>
      </c>
      <c r="E778" s="9">
        <v>1188171.03</v>
      </c>
      <c r="F778" s="16">
        <v>1188171.03</v>
      </c>
      <c r="G778" s="8">
        <f t="shared" si="24"/>
        <v>0</v>
      </c>
      <c r="H778" s="8">
        <f t="shared" si="25"/>
        <v>0</v>
      </c>
      <c r="I778" s="4"/>
      <c r="J778" s="16" t="s">
        <v>1189</v>
      </c>
    </row>
    <row r="779" spans="1:10" x14ac:dyDescent="0.35">
      <c r="A779" s="47"/>
      <c r="B779" s="46"/>
      <c r="C779" s="11" t="s">
        <v>766</v>
      </c>
      <c r="D779" s="9">
        <v>381632.99</v>
      </c>
      <c r="E779" s="9">
        <v>381632.99</v>
      </c>
      <c r="F779" s="16">
        <v>381632.99</v>
      </c>
      <c r="G779" s="8">
        <f t="shared" si="24"/>
        <v>0</v>
      </c>
      <c r="H779" s="8">
        <f t="shared" si="25"/>
        <v>0</v>
      </c>
      <c r="I779" s="4"/>
      <c r="J779" s="16" t="s">
        <v>1190</v>
      </c>
    </row>
    <row r="780" spans="1:10" x14ac:dyDescent="0.35">
      <c r="A780" s="47"/>
      <c r="B780" s="46"/>
      <c r="C780" s="11" t="s">
        <v>767</v>
      </c>
      <c r="D780" s="9">
        <v>535999.15</v>
      </c>
      <c r="E780" s="9">
        <v>535999.15</v>
      </c>
      <c r="F780" s="16">
        <v>535999.15</v>
      </c>
      <c r="G780" s="8">
        <f t="shared" si="24"/>
        <v>0</v>
      </c>
      <c r="H780" s="8">
        <f t="shared" si="25"/>
        <v>0</v>
      </c>
      <c r="I780" s="4"/>
      <c r="J780" s="16" t="s">
        <v>1191</v>
      </c>
    </row>
    <row r="781" spans="1:10" x14ac:dyDescent="0.35">
      <c r="A781" s="47"/>
      <c r="B781" s="46"/>
      <c r="C781" s="11" t="s">
        <v>768</v>
      </c>
      <c r="D781" s="9">
        <v>48255.199999999997</v>
      </c>
      <c r="E781" s="9">
        <v>48255.199999999997</v>
      </c>
      <c r="F781" s="16">
        <v>48255.199999999997</v>
      </c>
      <c r="G781" s="8">
        <f t="shared" si="24"/>
        <v>0</v>
      </c>
      <c r="H781" s="8">
        <f t="shared" si="25"/>
        <v>0</v>
      </c>
      <c r="I781" s="4"/>
      <c r="J781" s="16" t="s">
        <v>1192</v>
      </c>
    </row>
    <row r="782" spans="1:10" x14ac:dyDescent="0.35">
      <c r="A782" s="47"/>
      <c r="B782" s="46"/>
      <c r="C782" s="11" t="s">
        <v>769</v>
      </c>
      <c r="D782" s="9">
        <v>2521745.9</v>
      </c>
      <c r="E782" s="9">
        <v>2521745.9</v>
      </c>
      <c r="F782" s="16">
        <v>2521745.9</v>
      </c>
      <c r="G782" s="8">
        <f t="shared" si="24"/>
        <v>0</v>
      </c>
      <c r="H782" s="8">
        <f t="shared" si="25"/>
        <v>0</v>
      </c>
      <c r="I782" s="4"/>
      <c r="J782" s="16" t="s">
        <v>1193</v>
      </c>
    </row>
    <row r="783" spans="1:10" x14ac:dyDescent="0.35">
      <c r="A783" s="47"/>
      <c r="B783" s="46"/>
      <c r="C783" s="11" t="s">
        <v>770</v>
      </c>
      <c r="D783" s="9">
        <v>2121122.7799999998</v>
      </c>
      <c r="E783" s="9">
        <v>2121122.7799999998</v>
      </c>
      <c r="F783" s="16">
        <v>1924335.31</v>
      </c>
      <c r="G783" s="8">
        <f t="shared" si="24"/>
        <v>-196787.46999999974</v>
      </c>
      <c r="H783" s="8">
        <f t="shared" si="25"/>
        <v>-196787.46999999974</v>
      </c>
      <c r="I783" s="4"/>
      <c r="J783" s="16" t="s">
        <v>1151</v>
      </c>
    </row>
    <row r="784" spans="1:10" x14ac:dyDescent="0.35">
      <c r="A784" s="47"/>
      <c r="B784" s="46"/>
      <c r="C784" s="11" t="s">
        <v>771</v>
      </c>
      <c r="D784" s="9">
        <v>307493.96000000002</v>
      </c>
      <c r="E784" s="9">
        <v>307493.96000000002</v>
      </c>
      <c r="F784" s="16">
        <v>34834.97</v>
      </c>
      <c r="G784" s="8">
        <f t="shared" si="24"/>
        <v>-272658.99</v>
      </c>
      <c r="H784" s="8">
        <f t="shared" si="25"/>
        <v>-272658.99</v>
      </c>
      <c r="I784" s="4"/>
      <c r="J784" s="16" t="s">
        <v>1152</v>
      </c>
    </row>
    <row r="785" spans="1:10" x14ac:dyDescent="0.35">
      <c r="A785" s="47"/>
      <c r="B785" s="46"/>
      <c r="C785" s="33" t="s">
        <v>870</v>
      </c>
      <c r="D785" s="34"/>
      <c r="E785" s="34"/>
      <c r="F785" s="43">
        <v>196787.47</v>
      </c>
      <c r="G785" s="8">
        <f t="shared" si="24"/>
        <v>196787.47</v>
      </c>
      <c r="H785" s="8">
        <f t="shared" si="25"/>
        <v>196787.47</v>
      </c>
      <c r="I785" s="4"/>
      <c r="J785" s="16" t="s">
        <v>1194</v>
      </c>
    </row>
    <row r="786" spans="1:10" x14ac:dyDescent="0.35">
      <c r="A786" s="47"/>
      <c r="B786" s="46"/>
      <c r="C786" s="33" t="s">
        <v>871</v>
      </c>
      <c r="D786" s="34"/>
      <c r="E786" s="34"/>
      <c r="F786" s="43">
        <v>272658.99</v>
      </c>
      <c r="G786" s="8">
        <f t="shared" si="24"/>
        <v>272658.99</v>
      </c>
      <c r="H786" s="8">
        <f t="shared" si="25"/>
        <v>272658.99</v>
      </c>
      <c r="I786" s="4"/>
      <c r="J786" s="16" t="s">
        <v>1195</v>
      </c>
    </row>
    <row r="787" spans="1:10" x14ac:dyDescent="0.35">
      <c r="A787" s="47"/>
      <c r="B787" s="46"/>
      <c r="C787" s="11" t="s">
        <v>772</v>
      </c>
      <c r="D787" s="9">
        <v>1101425.68</v>
      </c>
      <c r="E787" s="9">
        <v>1101425.68</v>
      </c>
      <c r="F787" s="16">
        <v>1101425.68</v>
      </c>
      <c r="G787" s="8">
        <f t="shared" si="24"/>
        <v>0</v>
      </c>
      <c r="H787" s="8">
        <f t="shared" si="25"/>
        <v>0</v>
      </c>
      <c r="I787" s="4"/>
      <c r="J787" s="16" t="s">
        <v>1155</v>
      </c>
    </row>
    <row r="788" spans="1:10" x14ac:dyDescent="0.35">
      <c r="A788" s="47"/>
      <c r="B788" s="46"/>
      <c r="C788" s="11" t="s">
        <v>773</v>
      </c>
      <c r="D788" s="9">
        <v>3120771.89</v>
      </c>
      <c r="E788" s="9">
        <v>3120771.89</v>
      </c>
      <c r="F788" s="16">
        <v>3120771.89</v>
      </c>
      <c r="G788" s="8">
        <f t="shared" si="24"/>
        <v>0</v>
      </c>
      <c r="H788" s="8">
        <f t="shared" si="25"/>
        <v>0</v>
      </c>
      <c r="I788" s="4"/>
      <c r="J788" s="16" t="s">
        <v>1196</v>
      </c>
    </row>
    <row r="789" spans="1:10" x14ac:dyDescent="0.35">
      <c r="A789" s="47"/>
      <c r="B789" s="46"/>
      <c r="C789" s="11" t="s">
        <v>774</v>
      </c>
      <c r="D789" s="9">
        <v>11969180.27</v>
      </c>
      <c r="E789" s="9">
        <v>11969180.27</v>
      </c>
      <c r="F789" s="16">
        <v>11969180.27</v>
      </c>
      <c r="G789" s="8">
        <f t="shared" si="24"/>
        <v>0</v>
      </c>
      <c r="H789" s="8">
        <f t="shared" si="25"/>
        <v>0</v>
      </c>
      <c r="I789" s="4"/>
      <c r="J789" s="16" t="s">
        <v>1197</v>
      </c>
    </row>
    <row r="790" spans="1:10" x14ac:dyDescent="0.35">
      <c r="A790" s="47"/>
      <c r="B790" s="46"/>
      <c r="C790" s="11" t="s">
        <v>775</v>
      </c>
      <c r="D790" s="9">
        <v>229402.45</v>
      </c>
      <c r="E790" s="9">
        <v>229402.45</v>
      </c>
      <c r="F790" s="16">
        <v>229402.45</v>
      </c>
      <c r="G790" s="8">
        <f t="shared" si="24"/>
        <v>0</v>
      </c>
      <c r="H790" s="8">
        <f t="shared" si="25"/>
        <v>0</v>
      </c>
      <c r="I790" s="4"/>
      <c r="J790" s="16" t="s">
        <v>1180</v>
      </c>
    </row>
    <row r="791" spans="1:10" x14ac:dyDescent="0.35">
      <c r="A791" s="47"/>
      <c r="B791" s="46"/>
      <c r="C791" s="11" t="s">
        <v>776</v>
      </c>
      <c r="D791" s="9">
        <v>114777.18</v>
      </c>
      <c r="E791" s="9">
        <v>114777.18</v>
      </c>
      <c r="F791" s="16">
        <v>114777.18</v>
      </c>
      <c r="G791" s="8">
        <f t="shared" si="24"/>
        <v>0</v>
      </c>
      <c r="H791" s="8">
        <f t="shared" si="25"/>
        <v>0</v>
      </c>
      <c r="I791" s="4"/>
      <c r="J791" s="16" t="s">
        <v>1198</v>
      </c>
    </row>
    <row r="792" spans="1:10" x14ac:dyDescent="0.35">
      <c r="A792" s="47"/>
      <c r="B792" s="46"/>
      <c r="C792" s="11" t="s">
        <v>777</v>
      </c>
      <c r="D792" s="9">
        <v>2025718.99</v>
      </c>
      <c r="E792" s="9">
        <v>2025718.99</v>
      </c>
      <c r="F792" s="16">
        <v>2025718.99</v>
      </c>
      <c r="G792" s="8">
        <f t="shared" si="24"/>
        <v>0</v>
      </c>
      <c r="H792" s="8">
        <f t="shared" si="25"/>
        <v>0</v>
      </c>
      <c r="I792" s="4"/>
      <c r="J792" s="16" t="s">
        <v>1199</v>
      </c>
    </row>
    <row r="793" spans="1:10" x14ac:dyDescent="0.35">
      <c r="A793" s="47"/>
      <c r="B793" s="46"/>
      <c r="C793" s="11" t="s">
        <v>778</v>
      </c>
      <c r="D793" s="9">
        <v>462193.97</v>
      </c>
      <c r="E793" s="9"/>
      <c r="F793" s="16"/>
      <c r="G793" s="8">
        <f t="shared" si="24"/>
        <v>0</v>
      </c>
      <c r="H793" s="8">
        <f t="shared" si="25"/>
        <v>-462193.97</v>
      </c>
      <c r="I793" s="4"/>
      <c r="J793" s="16" t="s">
        <v>1200</v>
      </c>
    </row>
    <row r="794" spans="1:10" x14ac:dyDescent="0.35">
      <c r="A794" s="47"/>
      <c r="B794" s="46"/>
      <c r="C794" s="11" t="s">
        <v>411</v>
      </c>
      <c r="D794" s="9">
        <v>38237237.68</v>
      </c>
      <c r="E794" s="9"/>
      <c r="F794" s="16"/>
      <c r="G794" s="8">
        <f t="shared" si="24"/>
        <v>0</v>
      </c>
      <c r="H794" s="8">
        <f t="shared" si="25"/>
        <v>-38237237.68</v>
      </c>
      <c r="I794" s="4"/>
      <c r="J794" s="16" t="s">
        <v>1201</v>
      </c>
    </row>
    <row r="795" spans="1:10" x14ac:dyDescent="0.35">
      <c r="A795" s="47"/>
      <c r="B795" s="46"/>
      <c r="C795" s="11" t="s">
        <v>779</v>
      </c>
      <c r="D795" s="9">
        <v>1244222.93</v>
      </c>
      <c r="E795" s="9"/>
      <c r="F795" s="16"/>
      <c r="G795" s="8">
        <f t="shared" si="24"/>
        <v>0</v>
      </c>
      <c r="H795" s="8">
        <f t="shared" si="25"/>
        <v>-1244222.93</v>
      </c>
      <c r="I795" s="4"/>
      <c r="J795" s="16" t="s">
        <v>1202</v>
      </c>
    </row>
    <row r="796" spans="1:10" s="25" customFormat="1" x14ac:dyDescent="0.35">
      <c r="A796" s="47"/>
      <c r="B796" s="46"/>
      <c r="C796" s="20" t="s">
        <v>100</v>
      </c>
      <c r="D796" s="21">
        <f>SUM(D695:D795)</f>
        <v>1806289466.6799996</v>
      </c>
      <c r="E796" s="21">
        <f>SUM(E695:E795)</f>
        <v>1766345812.0999994</v>
      </c>
      <c r="F796" s="21">
        <f>SUM(F695:F795)</f>
        <v>1766345812.0999997</v>
      </c>
      <c r="G796" s="23">
        <f t="shared" si="24"/>
        <v>0</v>
      </c>
      <c r="H796" s="8">
        <f t="shared" si="25"/>
        <v>-39943654.579999924</v>
      </c>
      <c r="I796" s="24"/>
      <c r="J796" s="16" t="e">
        <v>#N/A</v>
      </c>
    </row>
    <row r="797" spans="1:10" x14ac:dyDescent="0.35">
      <c r="A797" s="2" t="s">
        <v>17</v>
      </c>
      <c r="B797" s="6" t="s">
        <v>35</v>
      </c>
      <c r="C797" s="11"/>
      <c r="D797" s="9"/>
      <c r="E797" s="9"/>
      <c r="F797" s="16"/>
      <c r="G797" s="8">
        <f t="shared" si="24"/>
        <v>0</v>
      </c>
      <c r="H797" s="8">
        <f t="shared" si="25"/>
        <v>0</v>
      </c>
      <c r="I797" s="4"/>
      <c r="J797" s="16" t="e">
        <v>#N/A</v>
      </c>
    </row>
    <row r="798" spans="1:10" x14ac:dyDescent="0.35">
      <c r="A798" s="2" t="s">
        <v>18</v>
      </c>
      <c r="B798" s="6" t="s">
        <v>36</v>
      </c>
      <c r="C798" s="11"/>
      <c r="D798" s="9"/>
      <c r="E798" s="9"/>
      <c r="F798" s="16"/>
      <c r="G798" s="8">
        <f t="shared" si="24"/>
        <v>0</v>
      </c>
      <c r="H798" s="8">
        <f t="shared" si="25"/>
        <v>0</v>
      </c>
      <c r="I798" s="4"/>
      <c r="J798" s="16" t="e">
        <v>#N/A</v>
      </c>
    </row>
    <row r="799" spans="1:10" x14ac:dyDescent="0.35">
      <c r="A799" s="50" t="s">
        <v>19</v>
      </c>
      <c r="B799" s="44" t="s">
        <v>37</v>
      </c>
      <c r="C799" s="11" t="s">
        <v>430</v>
      </c>
      <c r="D799" s="9">
        <v>33479048.25</v>
      </c>
      <c r="E799" s="9">
        <v>33479048.25</v>
      </c>
      <c r="F799" s="16">
        <v>33479048.25</v>
      </c>
      <c r="G799" s="8">
        <f t="shared" si="24"/>
        <v>0</v>
      </c>
      <c r="H799" s="8">
        <f t="shared" si="25"/>
        <v>0</v>
      </c>
      <c r="I799" s="4"/>
      <c r="J799" s="16" t="s">
        <v>1203</v>
      </c>
    </row>
    <row r="800" spans="1:10" x14ac:dyDescent="0.35">
      <c r="A800" s="51"/>
      <c r="B800" s="45"/>
      <c r="C800" s="11" t="s">
        <v>432</v>
      </c>
      <c r="D800" s="9">
        <v>38627257.689999998</v>
      </c>
      <c r="E800" s="9">
        <v>38627257.689999998</v>
      </c>
      <c r="F800" s="16">
        <v>38627257.689999998</v>
      </c>
      <c r="G800" s="8">
        <f t="shared" si="24"/>
        <v>0</v>
      </c>
      <c r="H800" s="8">
        <f t="shared" si="25"/>
        <v>0</v>
      </c>
      <c r="I800" s="4"/>
      <c r="J800" s="16" t="s">
        <v>1204</v>
      </c>
    </row>
    <row r="801" spans="1:10" x14ac:dyDescent="0.35">
      <c r="A801" s="51"/>
      <c r="B801" s="45"/>
      <c r="C801" s="11" t="s">
        <v>427</v>
      </c>
      <c r="D801" s="9">
        <v>1676878743.24</v>
      </c>
      <c r="E801" s="9">
        <v>1676878743.24</v>
      </c>
      <c r="F801" s="16">
        <v>1676878743.24</v>
      </c>
      <c r="G801" s="8">
        <f t="shared" si="24"/>
        <v>0</v>
      </c>
      <c r="H801" s="8">
        <f t="shared" si="25"/>
        <v>0</v>
      </c>
      <c r="I801" s="4"/>
      <c r="J801" s="16" t="s">
        <v>1205</v>
      </c>
    </row>
    <row r="802" spans="1:10" x14ac:dyDescent="0.35">
      <c r="A802" s="51"/>
      <c r="B802" s="45"/>
      <c r="C802" s="11" t="s">
        <v>429</v>
      </c>
      <c r="D802" s="9">
        <v>1307175.1499999999</v>
      </c>
      <c r="E802" s="9">
        <v>1307175.1499999999</v>
      </c>
      <c r="F802" s="16">
        <v>1307175.1499999999</v>
      </c>
      <c r="G802" s="8">
        <f t="shared" si="24"/>
        <v>0</v>
      </c>
      <c r="H802" s="8">
        <f t="shared" si="25"/>
        <v>0</v>
      </c>
      <c r="I802" s="4"/>
      <c r="J802" s="16" t="s">
        <v>1206</v>
      </c>
    </row>
    <row r="803" spans="1:10" x14ac:dyDescent="0.35">
      <c r="A803" s="51"/>
      <c r="B803" s="45"/>
      <c r="C803" s="11" t="s">
        <v>431</v>
      </c>
      <c r="D803" s="9">
        <v>216326393.72999999</v>
      </c>
      <c r="E803" s="9">
        <v>216326393.72999999</v>
      </c>
      <c r="F803" s="16">
        <v>216326393.72999999</v>
      </c>
      <c r="G803" s="8">
        <f t="shared" si="24"/>
        <v>0</v>
      </c>
      <c r="H803" s="8">
        <f t="shared" si="25"/>
        <v>0</v>
      </c>
      <c r="I803" s="4"/>
      <c r="J803" s="16" t="s">
        <v>1207</v>
      </c>
    </row>
    <row r="804" spans="1:10" s="25" customFormat="1" x14ac:dyDescent="0.35">
      <c r="A804" s="52"/>
      <c r="B804" s="49"/>
      <c r="C804" s="20" t="s">
        <v>100</v>
      </c>
      <c r="D804" s="21">
        <f>SUM(D799:D803)</f>
        <v>1966618618.0600002</v>
      </c>
      <c r="E804" s="21">
        <f>SUM(E799:E803)</f>
        <v>1966618618.0600002</v>
      </c>
      <c r="F804" s="21">
        <f>SUM(F799:F803)</f>
        <v>1966618618.0600002</v>
      </c>
      <c r="G804" s="23">
        <f t="shared" si="24"/>
        <v>0</v>
      </c>
      <c r="H804" s="8">
        <f t="shared" si="25"/>
        <v>0</v>
      </c>
      <c r="I804" s="24"/>
      <c r="J804" s="16" t="e">
        <v>#N/A</v>
      </c>
    </row>
    <row r="805" spans="1:10" x14ac:dyDescent="0.35">
      <c r="A805" s="2" t="s">
        <v>20</v>
      </c>
      <c r="B805" s="6" t="s">
        <v>38</v>
      </c>
      <c r="C805" s="11"/>
      <c r="D805" s="9"/>
      <c r="E805" s="9"/>
      <c r="F805" s="16"/>
      <c r="G805" s="8">
        <f t="shared" si="24"/>
        <v>0</v>
      </c>
      <c r="H805" s="8">
        <f t="shared" si="25"/>
        <v>0</v>
      </c>
      <c r="I805" s="4"/>
      <c r="J805" s="16" t="e">
        <v>#N/A</v>
      </c>
    </row>
    <row r="806" spans="1:10" x14ac:dyDescent="0.35">
      <c r="A806" s="47" t="s">
        <v>21</v>
      </c>
      <c r="B806" s="46" t="s">
        <v>39</v>
      </c>
      <c r="C806" s="33" t="s">
        <v>845</v>
      </c>
      <c r="D806" s="34"/>
      <c r="E806" s="34"/>
      <c r="F806" s="43">
        <v>13851925070.51</v>
      </c>
      <c r="G806" s="8">
        <f t="shared" si="24"/>
        <v>13851925070.51</v>
      </c>
      <c r="H806" s="8">
        <f t="shared" si="25"/>
        <v>13851925070.51</v>
      </c>
      <c r="I806" s="4"/>
      <c r="J806" s="16" t="e">
        <v>#N/A</v>
      </c>
    </row>
    <row r="807" spans="1:10" x14ac:dyDescent="0.35">
      <c r="A807" s="47"/>
      <c r="B807" s="46"/>
      <c r="C807" s="33" t="s">
        <v>872</v>
      </c>
      <c r="D807" s="34"/>
      <c r="E807" s="34"/>
      <c r="F807" s="43">
        <v>130000000</v>
      </c>
      <c r="G807" s="8">
        <f t="shared" si="24"/>
        <v>130000000</v>
      </c>
      <c r="H807" s="8">
        <f t="shared" si="25"/>
        <v>130000000</v>
      </c>
      <c r="I807" s="4"/>
      <c r="J807" s="16" t="s">
        <v>1208</v>
      </c>
    </row>
    <row r="808" spans="1:10" x14ac:dyDescent="0.35">
      <c r="A808" s="47"/>
      <c r="B808" s="46"/>
      <c r="C808" s="11" t="s">
        <v>873</v>
      </c>
      <c r="D808" s="9"/>
      <c r="E808" s="9"/>
      <c r="F808" s="16">
        <v>0</v>
      </c>
      <c r="G808" s="8">
        <f t="shared" si="24"/>
        <v>0</v>
      </c>
      <c r="H808" s="8">
        <f t="shared" si="25"/>
        <v>0</v>
      </c>
      <c r="I808" s="4"/>
      <c r="J808" s="16" t="s">
        <v>1209</v>
      </c>
    </row>
    <row r="809" spans="1:10" x14ac:dyDescent="0.35">
      <c r="A809" s="47"/>
      <c r="B809" s="46"/>
      <c r="C809" s="11" t="s">
        <v>788</v>
      </c>
      <c r="D809" s="9">
        <v>0</v>
      </c>
      <c r="E809" s="9"/>
      <c r="F809" s="16">
        <v>0</v>
      </c>
      <c r="G809" s="8">
        <f t="shared" si="24"/>
        <v>0</v>
      </c>
      <c r="H809" s="8">
        <f t="shared" si="25"/>
        <v>0</v>
      </c>
      <c r="I809" s="4"/>
      <c r="J809" s="16" t="s">
        <v>1210</v>
      </c>
    </row>
    <row r="810" spans="1:10" x14ac:dyDescent="0.35">
      <c r="A810" s="47"/>
      <c r="B810" s="46"/>
      <c r="C810" s="11" t="s">
        <v>789</v>
      </c>
      <c r="D810" s="9">
        <v>0</v>
      </c>
      <c r="E810" s="9"/>
      <c r="F810" s="16">
        <v>0</v>
      </c>
      <c r="G810" s="8">
        <f t="shared" si="24"/>
        <v>0</v>
      </c>
      <c r="H810" s="8">
        <f t="shared" si="25"/>
        <v>0</v>
      </c>
      <c r="I810" s="4"/>
      <c r="J810" s="16" t="s">
        <v>1211</v>
      </c>
    </row>
    <row r="811" spans="1:10" x14ac:dyDescent="0.35">
      <c r="A811" s="47"/>
      <c r="B811" s="46"/>
      <c r="C811" s="11" t="s">
        <v>790</v>
      </c>
      <c r="D811" s="9">
        <v>0</v>
      </c>
      <c r="E811" s="9"/>
      <c r="F811" s="16">
        <v>0</v>
      </c>
      <c r="G811" s="8">
        <f t="shared" si="24"/>
        <v>0</v>
      </c>
      <c r="H811" s="8">
        <f t="shared" si="25"/>
        <v>0</v>
      </c>
      <c r="I811" s="4"/>
      <c r="J811" s="16" t="s">
        <v>1212</v>
      </c>
    </row>
    <row r="812" spans="1:10" x14ac:dyDescent="0.35">
      <c r="A812" s="47"/>
      <c r="B812" s="46"/>
      <c r="C812" s="11" t="s">
        <v>467</v>
      </c>
      <c r="D812" s="9">
        <v>0</v>
      </c>
      <c r="E812" s="9"/>
      <c r="F812" s="16">
        <v>0</v>
      </c>
      <c r="G812" s="8">
        <f t="shared" si="24"/>
        <v>0</v>
      </c>
      <c r="H812" s="8">
        <f t="shared" si="25"/>
        <v>0</v>
      </c>
      <c r="I812" s="4"/>
      <c r="J812" s="16" t="s">
        <v>1213</v>
      </c>
    </row>
    <row r="813" spans="1:10" x14ac:dyDescent="0.35">
      <c r="A813" s="47"/>
      <c r="B813" s="46"/>
      <c r="C813" s="11" t="s">
        <v>791</v>
      </c>
      <c r="D813" s="9">
        <v>0</v>
      </c>
      <c r="E813" s="9"/>
      <c r="F813" s="16">
        <v>0</v>
      </c>
      <c r="G813" s="8">
        <f t="shared" si="24"/>
        <v>0</v>
      </c>
      <c r="H813" s="8">
        <f t="shared" si="25"/>
        <v>0</v>
      </c>
      <c r="I813" s="4"/>
      <c r="J813" s="16" t="s">
        <v>1214</v>
      </c>
    </row>
    <row r="814" spans="1:10" x14ac:dyDescent="0.35">
      <c r="A814" s="47"/>
      <c r="B814" s="46"/>
      <c r="C814" s="11" t="s">
        <v>874</v>
      </c>
      <c r="D814" s="9"/>
      <c r="E814" s="9"/>
      <c r="F814" s="16">
        <v>0</v>
      </c>
      <c r="G814" s="8">
        <f t="shared" si="24"/>
        <v>0</v>
      </c>
      <c r="H814" s="8">
        <f t="shared" si="25"/>
        <v>0</v>
      </c>
      <c r="I814" s="4"/>
      <c r="J814" s="16" t="s">
        <v>1215</v>
      </c>
    </row>
    <row r="815" spans="1:10" x14ac:dyDescent="0.35">
      <c r="A815" s="47"/>
      <c r="B815" s="46"/>
      <c r="C815" s="11" t="s">
        <v>459</v>
      </c>
      <c r="D815" s="9">
        <v>0</v>
      </c>
      <c r="E815" s="9"/>
      <c r="F815" s="16">
        <v>0</v>
      </c>
      <c r="G815" s="8">
        <f t="shared" si="24"/>
        <v>0</v>
      </c>
      <c r="H815" s="8">
        <f t="shared" si="25"/>
        <v>0</v>
      </c>
      <c r="I815" s="4"/>
      <c r="J815" s="16" t="s">
        <v>1216</v>
      </c>
    </row>
    <row r="816" spans="1:10" x14ac:dyDescent="0.35">
      <c r="A816" s="47"/>
      <c r="B816" s="46"/>
      <c r="C816" s="11" t="s">
        <v>792</v>
      </c>
      <c r="D816" s="9">
        <v>0</v>
      </c>
      <c r="E816" s="9"/>
      <c r="F816" s="16">
        <v>0</v>
      </c>
      <c r="G816" s="8">
        <f t="shared" si="24"/>
        <v>0</v>
      </c>
      <c r="H816" s="8">
        <f t="shared" si="25"/>
        <v>0</v>
      </c>
      <c r="I816" s="4"/>
      <c r="J816" s="16" t="s">
        <v>1217</v>
      </c>
    </row>
    <row r="817" spans="1:10" x14ac:dyDescent="0.35">
      <c r="A817" s="47"/>
      <c r="B817" s="46"/>
      <c r="C817" s="11" t="s">
        <v>465</v>
      </c>
      <c r="D817" s="9">
        <v>0</v>
      </c>
      <c r="E817" s="9"/>
      <c r="F817" s="16">
        <v>0</v>
      </c>
      <c r="G817" s="8">
        <f t="shared" si="24"/>
        <v>0</v>
      </c>
      <c r="H817" s="8">
        <f t="shared" si="25"/>
        <v>0</v>
      </c>
      <c r="I817" s="4"/>
      <c r="J817" s="16" t="s">
        <v>1218</v>
      </c>
    </row>
    <row r="818" spans="1:10" x14ac:dyDescent="0.35">
      <c r="A818" s="47"/>
      <c r="B818" s="46"/>
      <c r="C818" s="11" t="s">
        <v>793</v>
      </c>
      <c r="D818" s="9">
        <v>0</v>
      </c>
      <c r="E818" s="9"/>
      <c r="F818" s="16">
        <v>0</v>
      </c>
      <c r="G818" s="8">
        <f t="shared" si="24"/>
        <v>0</v>
      </c>
      <c r="H818" s="8">
        <f t="shared" si="25"/>
        <v>0</v>
      </c>
      <c r="I818" s="4"/>
      <c r="J818" s="16" t="s">
        <v>1219</v>
      </c>
    </row>
    <row r="819" spans="1:10" x14ac:dyDescent="0.35">
      <c r="A819" s="47"/>
      <c r="B819" s="46"/>
      <c r="C819" s="11" t="s">
        <v>794</v>
      </c>
      <c r="D819" s="9">
        <v>0</v>
      </c>
      <c r="E819" s="9"/>
      <c r="F819" s="16">
        <v>0</v>
      </c>
      <c r="G819" s="8">
        <f t="shared" si="24"/>
        <v>0</v>
      </c>
      <c r="H819" s="8">
        <f t="shared" si="25"/>
        <v>0</v>
      </c>
      <c r="I819" s="4"/>
      <c r="J819" s="16" t="s">
        <v>1220</v>
      </c>
    </row>
    <row r="820" spans="1:10" x14ac:dyDescent="0.35">
      <c r="A820" s="47"/>
      <c r="B820" s="46"/>
      <c r="C820" s="33" t="s">
        <v>457</v>
      </c>
      <c r="D820" s="34"/>
      <c r="E820" s="34"/>
      <c r="F820" s="43">
        <v>456113915.95999998</v>
      </c>
      <c r="G820" s="8">
        <f t="shared" si="24"/>
        <v>456113915.95999998</v>
      </c>
      <c r="H820" s="8">
        <f t="shared" si="25"/>
        <v>456113915.95999998</v>
      </c>
      <c r="I820" s="4"/>
      <c r="J820" s="16" t="s">
        <v>1221</v>
      </c>
    </row>
    <row r="821" spans="1:10" x14ac:dyDescent="0.35">
      <c r="A821" s="47"/>
      <c r="B821" s="46"/>
      <c r="C821" s="11" t="s">
        <v>448</v>
      </c>
      <c r="D821" s="9">
        <v>6215793613.6000004</v>
      </c>
      <c r="E821" s="9">
        <v>6215793613.6000004</v>
      </c>
      <c r="F821" s="16">
        <v>6215793613.6000004</v>
      </c>
      <c r="G821" s="8">
        <f t="shared" si="24"/>
        <v>0</v>
      </c>
      <c r="H821" s="8">
        <f t="shared" si="25"/>
        <v>0</v>
      </c>
      <c r="I821" s="4"/>
      <c r="J821" s="16" t="s">
        <v>1222</v>
      </c>
    </row>
    <row r="822" spans="1:10" x14ac:dyDescent="0.35">
      <c r="A822" s="47"/>
      <c r="B822" s="46"/>
      <c r="C822" s="11" t="s">
        <v>875</v>
      </c>
      <c r="D822" s="9"/>
      <c r="E822" s="9"/>
      <c r="F822" s="16">
        <v>0</v>
      </c>
      <c r="G822" s="8">
        <f t="shared" si="24"/>
        <v>0</v>
      </c>
      <c r="H822" s="8">
        <f t="shared" si="25"/>
        <v>0</v>
      </c>
      <c r="I822" s="4"/>
      <c r="J822" s="16" t="s">
        <v>1223</v>
      </c>
    </row>
    <row r="823" spans="1:10" x14ac:dyDescent="0.35">
      <c r="A823" s="47"/>
      <c r="B823" s="46"/>
      <c r="C823" s="33" t="s">
        <v>876</v>
      </c>
      <c r="D823" s="34"/>
      <c r="E823" s="34"/>
      <c r="F823" s="43">
        <v>60000000</v>
      </c>
      <c r="G823" s="8">
        <f t="shared" si="24"/>
        <v>60000000</v>
      </c>
      <c r="H823" s="8">
        <f t="shared" si="25"/>
        <v>60000000</v>
      </c>
      <c r="I823" s="4"/>
      <c r="J823" s="16" t="s">
        <v>1224</v>
      </c>
    </row>
    <row r="824" spans="1:10" x14ac:dyDescent="0.35">
      <c r="A824" s="47"/>
      <c r="B824" s="46"/>
      <c r="C824" s="33" t="s">
        <v>877</v>
      </c>
      <c r="D824" s="34"/>
      <c r="E824" s="34"/>
      <c r="F824" s="43">
        <v>83000000</v>
      </c>
      <c r="G824" s="8">
        <f t="shared" si="24"/>
        <v>83000000</v>
      </c>
      <c r="H824" s="8">
        <f t="shared" si="25"/>
        <v>83000000</v>
      </c>
      <c r="I824" s="4"/>
      <c r="J824" s="16" t="s">
        <v>1225</v>
      </c>
    </row>
    <row r="825" spans="1:10" x14ac:dyDescent="0.35">
      <c r="A825" s="47"/>
      <c r="B825" s="46"/>
      <c r="C825" s="11" t="s">
        <v>878</v>
      </c>
      <c r="D825" s="9"/>
      <c r="E825" s="9"/>
      <c r="F825" s="16">
        <v>0</v>
      </c>
      <c r="G825" s="8">
        <f t="shared" si="24"/>
        <v>0</v>
      </c>
      <c r="H825" s="8">
        <f t="shared" si="25"/>
        <v>0</v>
      </c>
      <c r="I825" s="4"/>
      <c r="J825" s="16" t="s">
        <v>1226</v>
      </c>
    </row>
    <row r="826" spans="1:10" x14ac:dyDescent="0.35">
      <c r="A826" s="47"/>
      <c r="B826" s="46"/>
      <c r="C826" s="11" t="s">
        <v>879</v>
      </c>
      <c r="D826" s="9"/>
      <c r="E826" s="9"/>
      <c r="F826" s="16">
        <v>0</v>
      </c>
      <c r="G826" s="8">
        <f t="shared" si="24"/>
        <v>0</v>
      </c>
      <c r="H826" s="8">
        <f t="shared" si="25"/>
        <v>0</v>
      </c>
      <c r="I826" s="4"/>
      <c r="J826" s="16" t="s">
        <v>1227</v>
      </c>
    </row>
    <row r="827" spans="1:10" x14ac:dyDescent="0.35">
      <c r="A827" s="47"/>
      <c r="B827" s="46"/>
      <c r="C827" s="33" t="s">
        <v>880</v>
      </c>
      <c r="D827" s="34"/>
      <c r="E827" s="34"/>
      <c r="F827" s="43">
        <v>56000000</v>
      </c>
      <c r="G827" s="8">
        <f t="shared" si="24"/>
        <v>56000000</v>
      </c>
      <c r="H827" s="8">
        <f t="shared" si="25"/>
        <v>56000000</v>
      </c>
      <c r="I827" s="4"/>
      <c r="J827" s="16" t="s">
        <v>1228</v>
      </c>
    </row>
    <row r="828" spans="1:10" x14ac:dyDescent="0.35">
      <c r="A828" s="47"/>
      <c r="B828" s="46"/>
      <c r="C828" s="33" t="s">
        <v>881</v>
      </c>
      <c r="D828" s="34"/>
      <c r="E828" s="34"/>
      <c r="F828" s="43">
        <v>20000000</v>
      </c>
      <c r="G828" s="8">
        <f t="shared" si="24"/>
        <v>20000000</v>
      </c>
      <c r="H828" s="8">
        <f t="shared" si="25"/>
        <v>20000000</v>
      </c>
      <c r="I828" s="4"/>
      <c r="J828" s="16" t="s">
        <v>1229</v>
      </c>
    </row>
    <row r="829" spans="1:10" x14ac:dyDescent="0.35">
      <c r="A829" s="47"/>
      <c r="B829" s="46"/>
      <c r="C829" s="11" t="s">
        <v>882</v>
      </c>
      <c r="D829" s="9"/>
      <c r="E829" s="9"/>
      <c r="F829" s="16">
        <v>0</v>
      </c>
      <c r="G829" s="8">
        <f t="shared" si="24"/>
        <v>0</v>
      </c>
      <c r="H829" s="8">
        <f t="shared" si="25"/>
        <v>0</v>
      </c>
      <c r="I829" s="4"/>
      <c r="J829" s="16" t="s">
        <v>1230</v>
      </c>
    </row>
    <row r="830" spans="1:10" x14ac:dyDescent="0.35">
      <c r="A830" s="47"/>
      <c r="B830" s="46"/>
      <c r="C830" s="33" t="s">
        <v>883</v>
      </c>
      <c r="D830" s="34"/>
      <c r="E830" s="34"/>
      <c r="F830" s="43">
        <v>60000000</v>
      </c>
      <c r="G830" s="8">
        <f t="shared" si="24"/>
        <v>60000000</v>
      </c>
      <c r="H830" s="8">
        <f t="shared" si="25"/>
        <v>60000000</v>
      </c>
      <c r="I830" s="4"/>
      <c r="J830" s="16" t="s">
        <v>1231</v>
      </c>
    </row>
    <row r="831" spans="1:10" x14ac:dyDescent="0.35">
      <c r="A831" s="47"/>
      <c r="B831" s="46"/>
      <c r="C831" s="33" t="s">
        <v>884</v>
      </c>
      <c r="D831" s="34"/>
      <c r="E831" s="34"/>
      <c r="F831" s="43">
        <v>20000000</v>
      </c>
      <c r="G831" s="8">
        <f t="shared" si="24"/>
        <v>20000000</v>
      </c>
      <c r="H831" s="8">
        <f t="shared" si="25"/>
        <v>20000000</v>
      </c>
      <c r="I831" s="4"/>
      <c r="J831" s="16" t="s">
        <v>1232</v>
      </c>
    </row>
    <row r="832" spans="1:10" x14ac:dyDescent="0.35">
      <c r="A832" s="47"/>
      <c r="B832" s="46"/>
      <c r="C832" s="11" t="s">
        <v>885</v>
      </c>
      <c r="D832" s="9"/>
      <c r="E832" s="9"/>
      <c r="F832" s="16">
        <v>0</v>
      </c>
      <c r="G832" s="8">
        <f t="shared" si="24"/>
        <v>0</v>
      </c>
      <c r="H832" s="8">
        <f t="shared" si="25"/>
        <v>0</v>
      </c>
      <c r="I832" s="4"/>
      <c r="J832" s="16" t="s">
        <v>1233</v>
      </c>
    </row>
    <row r="833" spans="1:10" x14ac:dyDescent="0.35">
      <c r="A833" s="47"/>
      <c r="B833" s="46"/>
      <c r="C833" s="11" t="s">
        <v>886</v>
      </c>
      <c r="D833" s="9"/>
      <c r="E833" s="9"/>
      <c r="F833" s="16">
        <v>0</v>
      </c>
      <c r="G833" s="8">
        <f t="shared" si="24"/>
        <v>0</v>
      </c>
      <c r="H833" s="8">
        <f t="shared" si="25"/>
        <v>0</v>
      </c>
      <c r="I833" s="4"/>
      <c r="J833" s="16" t="s">
        <v>1234</v>
      </c>
    </row>
    <row r="834" spans="1:10" x14ac:dyDescent="0.35">
      <c r="A834" s="47"/>
      <c r="B834" s="46"/>
      <c r="C834" s="11" t="s">
        <v>797</v>
      </c>
      <c r="D834" s="9">
        <v>12100000</v>
      </c>
      <c r="E834" s="9">
        <v>12100000</v>
      </c>
      <c r="F834" s="16">
        <v>12100000</v>
      </c>
      <c r="G834" s="8">
        <f t="shared" ref="G834:G869" si="26">F834-E834</f>
        <v>0</v>
      </c>
      <c r="H834" s="8">
        <f t="shared" si="25"/>
        <v>0</v>
      </c>
      <c r="I834" s="4"/>
      <c r="J834" s="16" t="s">
        <v>1235</v>
      </c>
    </row>
    <row r="835" spans="1:10" x14ac:dyDescent="0.35">
      <c r="A835" s="47"/>
      <c r="B835" s="46"/>
      <c r="C835" s="11" t="s">
        <v>798</v>
      </c>
      <c r="D835" s="9">
        <v>15000000</v>
      </c>
      <c r="E835" s="9">
        <v>15000000</v>
      </c>
      <c r="F835" s="16">
        <v>15000000</v>
      </c>
      <c r="G835" s="8">
        <f t="shared" si="26"/>
        <v>0</v>
      </c>
      <c r="H835" s="8">
        <f t="shared" ref="H835:H869" si="27">F835-D835</f>
        <v>0</v>
      </c>
      <c r="I835" s="4"/>
      <c r="J835" s="16" t="s">
        <v>1236</v>
      </c>
    </row>
    <row r="836" spans="1:10" x14ac:dyDescent="0.35">
      <c r="A836" s="47"/>
      <c r="B836" s="46"/>
      <c r="C836" s="11" t="s">
        <v>799</v>
      </c>
      <c r="D836" s="9">
        <v>1000000</v>
      </c>
      <c r="E836" s="9">
        <v>1000000</v>
      </c>
      <c r="F836" s="16">
        <v>1000000</v>
      </c>
      <c r="G836" s="8">
        <f t="shared" si="26"/>
        <v>0</v>
      </c>
      <c r="H836" s="8">
        <f t="shared" si="27"/>
        <v>0</v>
      </c>
      <c r="I836" s="4"/>
      <c r="J836" s="16" t="e">
        <v>#N/A</v>
      </c>
    </row>
    <row r="837" spans="1:10" x14ac:dyDescent="0.35">
      <c r="A837" s="47"/>
      <c r="B837" s="46"/>
      <c r="C837" s="11" t="s">
        <v>800</v>
      </c>
      <c r="D837" s="9">
        <v>270000000</v>
      </c>
      <c r="E837" s="9">
        <v>270000000</v>
      </c>
      <c r="F837" s="16">
        <v>270000000</v>
      </c>
      <c r="G837" s="8">
        <f t="shared" si="26"/>
        <v>0</v>
      </c>
      <c r="H837" s="8">
        <f t="shared" si="27"/>
        <v>0</v>
      </c>
      <c r="I837" s="4"/>
      <c r="J837" s="16" t="s">
        <v>1237</v>
      </c>
    </row>
    <row r="838" spans="1:10" x14ac:dyDescent="0.35">
      <c r="A838" s="47"/>
      <c r="B838" s="46"/>
      <c r="C838" s="11" t="s">
        <v>801</v>
      </c>
      <c r="D838" s="9">
        <v>220000000</v>
      </c>
      <c r="E838" s="9">
        <v>220000000</v>
      </c>
      <c r="F838" s="16">
        <v>220000000</v>
      </c>
      <c r="G838" s="8">
        <f t="shared" si="26"/>
        <v>0</v>
      </c>
      <c r="H838" s="8">
        <f t="shared" si="27"/>
        <v>0</v>
      </c>
      <c r="I838" s="4"/>
      <c r="J838" s="16" t="s">
        <v>1238</v>
      </c>
    </row>
    <row r="839" spans="1:10" x14ac:dyDescent="0.35">
      <c r="A839" s="47"/>
      <c r="B839" s="46"/>
      <c r="C839" s="11" t="s">
        <v>802</v>
      </c>
      <c r="D839" s="9">
        <v>25000000</v>
      </c>
      <c r="E839" s="9">
        <v>25000000</v>
      </c>
      <c r="F839" s="16">
        <v>25000000</v>
      </c>
      <c r="G839" s="8">
        <f t="shared" si="26"/>
        <v>0</v>
      </c>
      <c r="H839" s="8">
        <f t="shared" si="27"/>
        <v>0</v>
      </c>
      <c r="I839" s="4"/>
      <c r="J839" s="16" t="s">
        <v>1239</v>
      </c>
    </row>
    <row r="840" spans="1:10" x14ac:dyDescent="0.35">
      <c r="A840" s="47"/>
      <c r="B840" s="46"/>
      <c r="C840" s="11" t="s">
        <v>803</v>
      </c>
      <c r="D840" s="9">
        <v>35000000</v>
      </c>
      <c r="E840" s="9">
        <v>35000000</v>
      </c>
      <c r="F840" s="16">
        <v>35000000</v>
      </c>
      <c r="G840" s="8">
        <f t="shared" si="26"/>
        <v>0</v>
      </c>
      <c r="H840" s="8">
        <f t="shared" si="27"/>
        <v>0</v>
      </c>
      <c r="I840" s="4"/>
      <c r="J840" s="16" t="s">
        <v>1240</v>
      </c>
    </row>
    <row r="841" spans="1:10" x14ac:dyDescent="0.35">
      <c r="A841" s="47"/>
      <c r="B841" s="46"/>
      <c r="C841" s="11" t="s">
        <v>804</v>
      </c>
      <c r="D841" s="9">
        <v>2000000</v>
      </c>
      <c r="E841" s="9">
        <v>2000000</v>
      </c>
      <c r="F841" s="16">
        <v>2000000</v>
      </c>
      <c r="G841" s="8">
        <f t="shared" si="26"/>
        <v>0</v>
      </c>
      <c r="H841" s="8">
        <f t="shared" si="27"/>
        <v>0</v>
      </c>
      <c r="I841" s="4"/>
      <c r="J841" s="16" t="e">
        <v>#N/A</v>
      </c>
    </row>
    <row r="842" spans="1:10" x14ac:dyDescent="0.35">
      <c r="A842" s="47"/>
      <c r="B842" s="46"/>
      <c r="C842" s="11" t="s">
        <v>805</v>
      </c>
      <c r="D842" s="9">
        <v>0</v>
      </c>
      <c r="E842" s="9"/>
      <c r="F842" s="16">
        <v>0</v>
      </c>
      <c r="G842" s="8">
        <f t="shared" si="26"/>
        <v>0</v>
      </c>
      <c r="H842" s="8">
        <f t="shared" si="27"/>
        <v>0</v>
      </c>
      <c r="I842" s="4"/>
      <c r="J842" s="16" t="s">
        <v>1241</v>
      </c>
    </row>
    <row r="843" spans="1:10" x14ac:dyDescent="0.35">
      <c r="A843" s="47"/>
      <c r="B843" s="46"/>
      <c r="C843" s="11" t="s">
        <v>806</v>
      </c>
      <c r="D843" s="9">
        <v>0</v>
      </c>
      <c r="E843" s="9"/>
      <c r="F843" s="16">
        <v>0</v>
      </c>
      <c r="G843" s="8">
        <f t="shared" si="26"/>
        <v>0</v>
      </c>
      <c r="H843" s="8">
        <f t="shared" si="27"/>
        <v>0</v>
      </c>
      <c r="I843" s="4"/>
      <c r="J843" s="16" t="s">
        <v>1242</v>
      </c>
    </row>
    <row r="844" spans="1:10" x14ac:dyDescent="0.35">
      <c r="A844" s="47"/>
      <c r="B844" s="46"/>
      <c r="C844" s="11" t="s">
        <v>807</v>
      </c>
      <c r="D844" s="9">
        <v>0</v>
      </c>
      <c r="E844" s="9"/>
      <c r="F844" s="16">
        <v>0</v>
      </c>
      <c r="G844" s="8">
        <f t="shared" si="26"/>
        <v>0</v>
      </c>
      <c r="H844" s="8">
        <f t="shared" si="27"/>
        <v>0</v>
      </c>
      <c r="I844" s="4"/>
      <c r="J844" s="16" t="s">
        <v>1243</v>
      </c>
    </row>
    <row r="845" spans="1:10" x14ac:dyDescent="0.35">
      <c r="A845" s="47"/>
      <c r="B845" s="46"/>
      <c r="C845" s="11" t="s">
        <v>808</v>
      </c>
      <c r="D845" s="9">
        <v>0</v>
      </c>
      <c r="E845" s="9"/>
      <c r="F845" s="16">
        <v>0</v>
      </c>
      <c r="G845" s="8">
        <f t="shared" si="26"/>
        <v>0</v>
      </c>
      <c r="H845" s="8">
        <f t="shared" si="27"/>
        <v>0</v>
      </c>
      <c r="I845" s="4"/>
      <c r="J845" s="16" t="s">
        <v>1244</v>
      </c>
    </row>
    <row r="846" spans="1:10" x14ac:dyDescent="0.35">
      <c r="A846" s="47"/>
      <c r="B846" s="46"/>
      <c r="C846" s="11" t="s">
        <v>809</v>
      </c>
      <c r="D846" s="9">
        <v>0</v>
      </c>
      <c r="E846" s="9"/>
      <c r="F846" s="16">
        <v>0</v>
      </c>
      <c r="G846" s="8">
        <f t="shared" si="26"/>
        <v>0</v>
      </c>
      <c r="H846" s="8">
        <f t="shared" si="27"/>
        <v>0</v>
      </c>
      <c r="I846" s="4"/>
      <c r="J846" s="16" t="s">
        <v>1245</v>
      </c>
    </row>
    <row r="847" spans="1:10" x14ac:dyDescent="0.35">
      <c r="A847" s="47"/>
      <c r="B847" s="46"/>
      <c r="C847" s="11" t="s">
        <v>810</v>
      </c>
      <c r="D847" s="9">
        <v>0</v>
      </c>
      <c r="E847" s="9"/>
      <c r="F847" s="16">
        <v>0</v>
      </c>
      <c r="G847" s="8">
        <f t="shared" si="26"/>
        <v>0</v>
      </c>
      <c r="H847" s="8">
        <f t="shared" si="27"/>
        <v>0</v>
      </c>
      <c r="I847" s="4"/>
      <c r="J847" s="16" t="s">
        <v>1246</v>
      </c>
    </row>
    <row r="848" spans="1:10" x14ac:dyDescent="0.35">
      <c r="A848" s="47"/>
      <c r="B848" s="46"/>
      <c r="C848" s="11" t="s">
        <v>811</v>
      </c>
      <c r="D848" s="9">
        <v>0</v>
      </c>
      <c r="E848" s="9"/>
      <c r="F848" s="16">
        <v>0</v>
      </c>
      <c r="G848" s="8">
        <f t="shared" si="26"/>
        <v>0</v>
      </c>
      <c r="H848" s="8">
        <f t="shared" si="27"/>
        <v>0</v>
      </c>
      <c r="I848" s="4"/>
      <c r="J848" s="16" t="s">
        <v>1247</v>
      </c>
    </row>
    <row r="849" spans="1:10" x14ac:dyDescent="0.35">
      <c r="A849" s="47"/>
      <c r="B849" s="46"/>
      <c r="C849" s="11" t="s">
        <v>812</v>
      </c>
      <c r="D849" s="9">
        <v>928477314.07000005</v>
      </c>
      <c r="E849" s="9"/>
      <c r="F849" s="16">
        <v>928477314.07000005</v>
      </c>
      <c r="G849" s="8">
        <f t="shared" si="26"/>
        <v>928477314.07000005</v>
      </c>
      <c r="H849" s="8">
        <f t="shared" si="27"/>
        <v>0</v>
      </c>
      <c r="I849" s="4"/>
      <c r="J849" s="16" t="s">
        <v>1248</v>
      </c>
    </row>
    <row r="850" spans="1:10" x14ac:dyDescent="0.35">
      <c r="A850" s="47"/>
      <c r="B850" s="46"/>
      <c r="C850" s="11" t="s">
        <v>813</v>
      </c>
      <c r="D850" s="9">
        <v>1745008840.8900001</v>
      </c>
      <c r="E850" s="9"/>
      <c r="F850" s="16">
        <v>1745008840.8900001</v>
      </c>
      <c r="G850" s="8">
        <f t="shared" si="26"/>
        <v>1745008840.8900001</v>
      </c>
      <c r="H850" s="8">
        <f t="shared" si="27"/>
        <v>0</v>
      </c>
      <c r="I850" s="4"/>
      <c r="J850" s="16" t="s">
        <v>1249</v>
      </c>
    </row>
    <row r="851" spans="1:10" x14ac:dyDescent="0.35">
      <c r="A851" s="47"/>
      <c r="B851" s="46"/>
      <c r="C851" s="33" t="s">
        <v>887</v>
      </c>
      <c r="D851" s="34"/>
      <c r="E851" s="34"/>
      <c r="F851" s="43">
        <v>195883808.27000001</v>
      </c>
      <c r="G851" s="8">
        <f t="shared" si="26"/>
        <v>195883808.27000001</v>
      </c>
      <c r="H851" s="8">
        <f t="shared" si="27"/>
        <v>195883808.27000001</v>
      </c>
      <c r="I851" s="4"/>
      <c r="J851" s="16" t="s">
        <v>1250</v>
      </c>
    </row>
    <row r="852" spans="1:10" x14ac:dyDescent="0.35">
      <c r="A852" s="47"/>
      <c r="B852" s="46"/>
      <c r="C852" s="33" t="s">
        <v>888</v>
      </c>
      <c r="D852" s="34"/>
      <c r="E852" s="34"/>
      <c r="F852" s="43">
        <v>312000000</v>
      </c>
      <c r="G852" s="8">
        <f t="shared" si="26"/>
        <v>312000000</v>
      </c>
      <c r="H852" s="8">
        <f t="shared" si="27"/>
        <v>312000000</v>
      </c>
      <c r="I852" s="4"/>
      <c r="J852" s="16" t="s">
        <v>1251</v>
      </c>
    </row>
    <row r="853" spans="1:10" x14ac:dyDescent="0.35">
      <c r="A853" s="47"/>
      <c r="B853" s="46"/>
      <c r="C853" s="11" t="s">
        <v>814</v>
      </c>
      <c r="D853" s="9">
        <v>430000000</v>
      </c>
      <c r="E853" s="9"/>
      <c r="F853" s="16">
        <v>430000000</v>
      </c>
      <c r="G853" s="8">
        <f t="shared" si="26"/>
        <v>430000000</v>
      </c>
      <c r="H853" s="8">
        <f t="shared" si="27"/>
        <v>0</v>
      </c>
      <c r="I853" s="4"/>
      <c r="J853" s="16" t="s">
        <v>1252</v>
      </c>
    </row>
    <row r="854" spans="1:10" x14ac:dyDescent="0.35">
      <c r="A854" s="47"/>
      <c r="B854" s="46"/>
      <c r="C854" s="11" t="s">
        <v>462</v>
      </c>
      <c r="D854" s="9">
        <v>42071600</v>
      </c>
      <c r="E854" s="9"/>
      <c r="F854" s="16"/>
      <c r="G854" s="8">
        <f t="shared" si="26"/>
        <v>0</v>
      </c>
      <c r="H854" s="8">
        <f t="shared" si="27"/>
        <v>-42071600</v>
      </c>
      <c r="I854" s="4"/>
      <c r="J854" s="16" t="s">
        <v>1253</v>
      </c>
    </row>
    <row r="855" spans="1:10" x14ac:dyDescent="0.35">
      <c r="A855" s="47"/>
      <c r="B855" s="46"/>
      <c r="C855" s="11" t="s">
        <v>782</v>
      </c>
      <c r="D855" s="9">
        <v>336642627.07999998</v>
      </c>
      <c r="E855" s="9"/>
      <c r="F855" s="16"/>
      <c r="G855" s="8">
        <f t="shared" si="26"/>
        <v>0</v>
      </c>
      <c r="H855" s="8">
        <f t="shared" si="27"/>
        <v>-336642627.07999998</v>
      </c>
      <c r="I855" s="4"/>
      <c r="J855" s="16" t="s">
        <v>1254</v>
      </c>
    </row>
    <row r="856" spans="1:10" x14ac:dyDescent="0.35">
      <c r="A856" s="47"/>
      <c r="B856" s="46"/>
      <c r="C856" s="11" t="s">
        <v>784</v>
      </c>
      <c r="D856" s="9">
        <v>2219758256</v>
      </c>
      <c r="E856" s="9"/>
      <c r="F856" s="16"/>
      <c r="G856" s="8">
        <f t="shared" si="26"/>
        <v>0</v>
      </c>
      <c r="H856" s="8">
        <f t="shared" si="27"/>
        <v>-2219758256</v>
      </c>
      <c r="I856" s="4"/>
      <c r="J856" s="16" t="s">
        <v>1255</v>
      </c>
    </row>
    <row r="857" spans="1:10" x14ac:dyDescent="0.35">
      <c r="A857" s="47"/>
      <c r="B857" s="46"/>
      <c r="C857" s="11" t="s">
        <v>786</v>
      </c>
      <c r="D857" s="9">
        <v>2361857950.71</v>
      </c>
      <c r="E857" s="9"/>
      <c r="F857" s="16"/>
      <c r="G857" s="8">
        <f t="shared" si="26"/>
        <v>0</v>
      </c>
      <c r="H857" s="8">
        <f t="shared" si="27"/>
        <v>-2361857950.71</v>
      </c>
      <c r="I857" s="4"/>
      <c r="J857" s="16" t="s">
        <v>1256</v>
      </c>
    </row>
    <row r="858" spans="1:10" x14ac:dyDescent="0.35">
      <c r="A858" s="47"/>
      <c r="B858" s="46"/>
      <c r="C858" s="11" t="s">
        <v>787</v>
      </c>
      <c r="D858" s="9">
        <v>1379494467.96</v>
      </c>
      <c r="E858" s="9"/>
      <c r="F858" s="16"/>
      <c r="G858" s="8">
        <f t="shared" si="26"/>
        <v>0</v>
      </c>
      <c r="H858" s="8">
        <f t="shared" si="27"/>
        <v>-1379494467.96</v>
      </c>
      <c r="I858" s="4"/>
      <c r="J858" s="16" t="s">
        <v>1257</v>
      </c>
    </row>
    <row r="859" spans="1:10" x14ac:dyDescent="0.35">
      <c r="A859" s="47"/>
      <c r="B859" s="46"/>
      <c r="C859" s="11" t="s">
        <v>795</v>
      </c>
      <c r="D859" s="9">
        <v>195000000</v>
      </c>
      <c r="E859" s="9">
        <v>195000000</v>
      </c>
      <c r="F859" s="16"/>
      <c r="G859" s="8">
        <f t="shared" si="26"/>
        <v>-195000000</v>
      </c>
      <c r="H859" s="8">
        <f t="shared" si="27"/>
        <v>-195000000</v>
      </c>
      <c r="I859" s="4"/>
      <c r="J859" s="16" t="s">
        <v>1258</v>
      </c>
    </row>
    <row r="860" spans="1:10" x14ac:dyDescent="0.35">
      <c r="A860" s="47"/>
      <c r="B860" s="46"/>
      <c r="C860" s="11" t="s">
        <v>783</v>
      </c>
      <c r="D860" s="9">
        <v>3878917832.4099998</v>
      </c>
      <c r="E860" s="9"/>
      <c r="F860" s="16"/>
      <c r="G860" s="8">
        <f t="shared" si="26"/>
        <v>0</v>
      </c>
      <c r="H860" s="8">
        <f t="shared" si="27"/>
        <v>-3878917832.4099998</v>
      </c>
      <c r="I860" s="4"/>
      <c r="J860" s="16" t="s">
        <v>1259</v>
      </c>
    </row>
    <row r="861" spans="1:10" x14ac:dyDescent="0.35">
      <c r="A861" s="47"/>
      <c r="B861" s="46"/>
      <c r="C861" s="11" t="s">
        <v>107</v>
      </c>
      <c r="D861" s="9">
        <v>2671350791.5999999</v>
      </c>
      <c r="E861" s="9"/>
      <c r="F861" s="16"/>
      <c r="G861" s="8">
        <f t="shared" si="26"/>
        <v>0</v>
      </c>
      <c r="H861" s="8">
        <f t="shared" si="27"/>
        <v>-2671350791.5999999</v>
      </c>
      <c r="I861" s="4"/>
      <c r="J861" s="16" t="e">
        <v>#N/A</v>
      </c>
    </row>
    <row r="862" spans="1:10" x14ac:dyDescent="0.35">
      <c r="A862" s="47"/>
      <c r="B862" s="46"/>
      <c r="C862" s="11" t="s">
        <v>97</v>
      </c>
      <c r="D862" s="9">
        <v>12669833408.459999</v>
      </c>
      <c r="E862" s="9">
        <v>885113915.96000004</v>
      </c>
      <c r="F862" s="16"/>
      <c r="G862" s="8">
        <f t="shared" si="26"/>
        <v>-885113915.96000004</v>
      </c>
      <c r="H862" s="8">
        <f t="shared" si="27"/>
        <v>-12669833408.459999</v>
      </c>
      <c r="I862" s="4"/>
      <c r="J862" s="16" t="e">
        <v>#N/A</v>
      </c>
    </row>
    <row r="863" spans="1:10" x14ac:dyDescent="0.35">
      <c r="A863" s="47"/>
      <c r="B863" s="46"/>
      <c r="C863" s="11" t="s">
        <v>796</v>
      </c>
      <c r="D863" s="9">
        <v>58429975.979999997</v>
      </c>
      <c r="E863" s="9">
        <v>58429975.979999997</v>
      </c>
      <c r="F863" s="16"/>
      <c r="G863" s="8">
        <f t="shared" si="26"/>
        <v>-58429975.979999997</v>
      </c>
      <c r="H863" s="8">
        <f t="shared" si="27"/>
        <v>-58429975.979999997</v>
      </c>
      <c r="I863" s="4"/>
      <c r="J863" s="16" t="s">
        <v>1260</v>
      </c>
    </row>
    <row r="864" spans="1:10" x14ac:dyDescent="0.35">
      <c r="A864" s="47"/>
      <c r="B864" s="46"/>
      <c r="C864" s="11" t="s">
        <v>785</v>
      </c>
      <c r="D864" s="9">
        <v>926603040.5</v>
      </c>
      <c r="E864" s="9"/>
      <c r="F864" s="16"/>
      <c r="G864" s="8">
        <f t="shared" si="26"/>
        <v>0</v>
      </c>
      <c r="H864" s="8">
        <f t="shared" si="27"/>
        <v>-926603040.5</v>
      </c>
      <c r="I864" s="4"/>
      <c r="J864" s="16" t="s">
        <v>1261</v>
      </c>
    </row>
    <row r="865" spans="1:10" x14ac:dyDescent="0.35">
      <c r="A865" s="47"/>
      <c r="B865" s="46"/>
      <c r="C865" s="11" t="s">
        <v>443</v>
      </c>
      <c r="D865" s="9">
        <v>32304626.699999999</v>
      </c>
      <c r="E865" s="9"/>
      <c r="F865" s="16"/>
      <c r="G865" s="8">
        <f t="shared" si="26"/>
        <v>0</v>
      </c>
      <c r="H865" s="8">
        <f t="shared" si="27"/>
        <v>-32304626.699999999</v>
      </c>
      <c r="I865" s="4"/>
      <c r="J865" s="16" t="s">
        <v>1262</v>
      </c>
    </row>
    <row r="866" spans="1:10" x14ac:dyDescent="0.35">
      <c r="A866" s="47"/>
      <c r="B866" s="46"/>
      <c r="C866" s="11" t="s">
        <v>780</v>
      </c>
      <c r="D866" s="9">
        <v>300000000</v>
      </c>
      <c r="E866" s="9"/>
      <c r="F866" s="16"/>
      <c r="G866" s="8">
        <f t="shared" si="26"/>
        <v>0</v>
      </c>
      <c r="H866" s="8">
        <f t="shared" si="27"/>
        <v>-300000000</v>
      </c>
      <c r="I866" s="4"/>
      <c r="J866" s="16" t="s">
        <v>1263</v>
      </c>
    </row>
    <row r="867" spans="1:10" x14ac:dyDescent="0.35">
      <c r="A867" s="47"/>
      <c r="B867" s="46"/>
      <c r="C867" s="11" t="s">
        <v>781</v>
      </c>
      <c r="D867" s="9">
        <v>4041192</v>
      </c>
      <c r="E867" s="9"/>
      <c r="F867" s="16"/>
      <c r="G867" s="8">
        <f t="shared" si="26"/>
        <v>0</v>
      </c>
      <c r="H867" s="8">
        <f t="shared" si="27"/>
        <v>-4041192</v>
      </c>
      <c r="I867" s="4"/>
      <c r="J867" s="16" t="s">
        <v>1264</v>
      </c>
    </row>
    <row r="868" spans="1:10" s="25" customFormat="1" x14ac:dyDescent="0.35">
      <c r="A868" s="47"/>
      <c r="B868" s="46"/>
      <c r="C868" s="20" t="s">
        <v>100</v>
      </c>
      <c r="D868" s="21">
        <f>SUM(D806:D867)</f>
        <v>36975685537.959999</v>
      </c>
      <c r="E868" s="21">
        <f>SUM(E806:E867)</f>
        <v>7934437505.54</v>
      </c>
      <c r="F868" s="21">
        <f>SUM(F806:F867)</f>
        <v>25144302563.299999</v>
      </c>
      <c r="G868" s="35">
        <f t="shared" si="26"/>
        <v>17209865057.759998</v>
      </c>
      <c r="H868" s="35">
        <f t="shared" si="27"/>
        <v>-11831382974.66</v>
      </c>
      <c r="I868" s="24"/>
      <c r="J868" s="16" t="e">
        <v>#N/A</v>
      </c>
    </row>
    <row r="869" spans="1:10" x14ac:dyDescent="0.35">
      <c r="A869" s="2" t="s">
        <v>22</v>
      </c>
      <c r="B869" s="6" t="s">
        <v>40</v>
      </c>
      <c r="C869" s="11"/>
      <c r="D869" s="9"/>
      <c r="E869" s="9"/>
      <c r="F869" s="16"/>
      <c r="G869" s="8">
        <f t="shared" si="26"/>
        <v>0</v>
      </c>
      <c r="H869" s="8">
        <f t="shared" si="27"/>
        <v>0</v>
      </c>
      <c r="I869" s="4"/>
      <c r="J869" s="16" t="e">
        <v>#N/A</v>
      </c>
    </row>
  </sheetData>
  <autoFilter ref="A1:J1" xr:uid="{5F6B47A2-F3AD-404B-9C3B-E3B506800318}"/>
  <mergeCells count="30">
    <mergeCell ref="B695:B796"/>
    <mergeCell ref="A695:A796"/>
    <mergeCell ref="B806:B868"/>
    <mergeCell ref="A806:A868"/>
    <mergeCell ref="B799:B804"/>
    <mergeCell ref="A799:A804"/>
    <mergeCell ref="B550:B559"/>
    <mergeCell ref="A550:A559"/>
    <mergeCell ref="B560:B570"/>
    <mergeCell ref="A560:A570"/>
    <mergeCell ref="B571:B694"/>
    <mergeCell ref="A571:A694"/>
    <mergeCell ref="B336:B361"/>
    <mergeCell ref="A336:A361"/>
    <mergeCell ref="B362:B365"/>
    <mergeCell ref="A362:A365"/>
    <mergeCell ref="B366:B549"/>
    <mergeCell ref="A366:A549"/>
    <mergeCell ref="B90:B142"/>
    <mergeCell ref="A90:A142"/>
    <mergeCell ref="B143:B238"/>
    <mergeCell ref="A143:A238"/>
    <mergeCell ref="B239:B335"/>
    <mergeCell ref="A239:A335"/>
    <mergeCell ref="B2:B46"/>
    <mergeCell ref="A2:A46"/>
    <mergeCell ref="B47:B87"/>
    <mergeCell ref="A47:A87"/>
    <mergeCell ref="A88:A89"/>
    <mergeCell ref="B88:B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1C5-6009-4A20-8EC5-CD437D1451E1}">
  <dimension ref="A1:J536"/>
  <sheetViews>
    <sheetView tabSelected="1" topLeftCell="B44" zoomScaleNormal="55" workbookViewId="0">
      <selection activeCell="I52" sqref="I52"/>
    </sheetView>
  </sheetViews>
  <sheetFormatPr baseColWidth="10" defaultRowHeight="14.5" x14ac:dyDescent="0.35"/>
  <cols>
    <col min="1" max="1" width="10.90625" style="1"/>
    <col min="2" max="2" width="35.54296875" style="3" customWidth="1"/>
    <col min="3" max="3" width="22.36328125" style="12" customWidth="1"/>
    <col min="4" max="4" width="18.54296875" style="13" customWidth="1"/>
    <col min="5" max="5" width="21.7265625" style="13" customWidth="1"/>
    <col min="6" max="6" width="17.36328125" style="13" bestFit="1" customWidth="1"/>
    <col min="7" max="8" width="16.81640625" style="1" bestFit="1" customWidth="1"/>
    <col min="9" max="9" width="10.90625" style="1"/>
    <col min="10" max="10" width="46.81640625" style="1" bestFit="1" customWidth="1"/>
    <col min="11" max="16384" width="10.90625" style="1"/>
  </cols>
  <sheetData>
    <row r="1" spans="1:10" ht="43.5" x14ac:dyDescent="0.35">
      <c r="A1" s="30" t="s">
        <v>0</v>
      </c>
      <c r="B1" s="30" t="s">
        <v>1</v>
      </c>
      <c r="C1" s="31" t="s">
        <v>2</v>
      </c>
      <c r="D1" s="32" t="s">
        <v>816</v>
      </c>
      <c r="E1" s="32" t="s">
        <v>815</v>
      </c>
      <c r="F1" s="32" t="s">
        <v>817</v>
      </c>
      <c r="G1" s="32" t="s">
        <v>889</v>
      </c>
      <c r="H1" s="32" t="s">
        <v>890</v>
      </c>
      <c r="I1" s="30" t="s">
        <v>3</v>
      </c>
      <c r="J1" s="30" t="s">
        <v>195</v>
      </c>
    </row>
    <row r="2" spans="1:10" s="3" customFormat="1" x14ac:dyDescent="0.35">
      <c r="A2" s="2" t="s">
        <v>4</v>
      </c>
      <c r="B2" s="46" t="s">
        <v>23</v>
      </c>
      <c r="C2" s="10" t="s">
        <v>41</v>
      </c>
      <c r="D2" s="8">
        <v>450000</v>
      </c>
      <c r="E2" s="8"/>
      <c r="F2" s="8"/>
      <c r="G2" s="36">
        <f t="shared" ref="G2:G35" si="0">F2-E2</f>
        <v>0</v>
      </c>
      <c r="H2" s="36">
        <f t="shared" ref="H2:H35" si="1">F2-D2</f>
        <v>-450000</v>
      </c>
      <c r="J2" s="16" t="s">
        <v>1265</v>
      </c>
    </row>
    <row r="3" spans="1:10" s="3" customFormat="1" x14ac:dyDescent="0.35">
      <c r="A3" s="2" t="s">
        <v>4</v>
      </c>
      <c r="B3" s="46"/>
      <c r="C3" s="10" t="s">
        <v>54</v>
      </c>
      <c r="D3" s="8">
        <v>3.76</v>
      </c>
      <c r="E3" s="8">
        <v>3.76</v>
      </c>
      <c r="F3" s="8">
        <v>3.75</v>
      </c>
      <c r="G3" s="36">
        <f t="shared" si="0"/>
        <v>-9.9999999999997868E-3</v>
      </c>
      <c r="H3" s="36">
        <f t="shared" si="1"/>
        <v>-9.9999999999997868E-3</v>
      </c>
      <c r="J3" s="16" t="s">
        <v>1266</v>
      </c>
    </row>
    <row r="4" spans="1:10" x14ac:dyDescent="0.35">
      <c r="A4" s="2" t="s">
        <v>4</v>
      </c>
      <c r="B4" s="46"/>
      <c r="C4" s="11" t="s">
        <v>52</v>
      </c>
      <c r="D4" s="9">
        <v>0</v>
      </c>
      <c r="E4" s="9">
        <v>0</v>
      </c>
      <c r="F4" s="9">
        <v>0</v>
      </c>
      <c r="G4" s="36">
        <f t="shared" si="0"/>
        <v>0</v>
      </c>
      <c r="H4" s="36">
        <f t="shared" si="1"/>
        <v>0</v>
      </c>
      <c r="J4" s="16" t="s">
        <v>1267</v>
      </c>
    </row>
    <row r="5" spans="1:10" x14ac:dyDescent="0.35">
      <c r="A5" s="2" t="s">
        <v>4</v>
      </c>
      <c r="B5" s="46"/>
      <c r="C5" s="11" t="s">
        <v>44</v>
      </c>
      <c r="D5" s="9">
        <v>10000</v>
      </c>
      <c r="E5" s="9"/>
      <c r="F5" s="9"/>
      <c r="G5" s="36">
        <f t="shared" si="0"/>
        <v>0</v>
      </c>
      <c r="H5" s="36">
        <f t="shared" si="1"/>
        <v>-10000</v>
      </c>
      <c r="J5" s="16" t="s">
        <v>1268</v>
      </c>
    </row>
    <row r="6" spans="1:10" x14ac:dyDescent="0.35">
      <c r="A6" s="2" t="s">
        <v>4</v>
      </c>
      <c r="B6" s="46"/>
      <c r="C6" s="11" t="s">
        <v>56</v>
      </c>
      <c r="D6" s="9">
        <v>12000000</v>
      </c>
      <c r="E6" s="9"/>
      <c r="F6" s="9"/>
      <c r="G6" s="36">
        <f t="shared" si="0"/>
        <v>0</v>
      </c>
      <c r="H6" s="36">
        <f t="shared" si="1"/>
        <v>-12000000</v>
      </c>
      <c r="J6" s="16" t="s">
        <v>1269</v>
      </c>
    </row>
    <row r="7" spans="1:10" x14ac:dyDescent="0.35">
      <c r="A7" s="2" t="s">
        <v>4</v>
      </c>
      <c r="B7" s="46"/>
      <c r="C7" s="11" t="s">
        <v>77</v>
      </c>
      <c r="D7" s="9">
        <v>37310895.789999999</v>
      </c>
      <c r="E7" s="9">
        <v>37310895.789999999</v>
      </c>
      <c r="F7" s="9">
        <v>37310893.189999998</v>
      </c>
      <c r="G7" s="36">
        <f t="shared" si="0"/>
        <v>-2.6000000014901161</v>
      </c>
      <c r="H7" s="36">
        <f t="shared" si="1"/>
        <v>-2.6000000014901161</v>
      </c>
      <c r="J7" s="16" t="s">
        <v>1270</v>
      </c>
    </row>
    <row r="8" spans="1:10" x14ac:dyDescent="0.35">
      <c r="A8" s="2" t="s">
        <v>4</v>
      </c>
      <c r="B8" s="46"/>
      <c r="C8" s="11" t="s">
        <v>99</v>
      </c>
      <c r="D8" s="9">
        <v>0</v>
      </c>
      <c r="E8" s="9">
        <v>0</v>
      </c>
      <c r="F8" s="9">
        <v>0</v>
      </c>
      <c r="G8" s="36">
        <f t="shared" si="0"/>
        <v>0</v>
      </c>
      <c r="H8" s="36">
        <f t="shared" si="1"/>
        <v>0</v>
      </c>
      <c r="J8" s="16" t="s">
        <v>1271</v>
      </c>
    </row>
    <row r="9" spans="1:10" x14ac:dyDescent="0.35">
      <c r="A9" s="2" t="s">
        <v>4</v>
      </c>
      <c r="B9" s="46"/>
      <c r="C9" s="11" t="s">
        <v>43</v>
      </c>
      <c r="D9" s="9">
        <v>355.54</v>
      </c>
      <c r="E9" s="9">
        <v>355.54</v>
      </c>
      <c r="F9" s="9">
        <v>355.53</v>
      </c>
      <c r="G9" s="36">
        <f t="shared" si="0"/>
        <v>-1.0000000000047748E-2</v>
      </c>
      <c r="H9" s="36">
        <f t="shared" si="1"/>
        <v>-1.0000000000047748E-2</v>
      </c>
      <c r="J9" s="16" t="s">
        <v>1272</v>
      </c>
    </row>
    <row r="10" spans="1:10" x14ac:dyDescent="0.35">
      <c r="A10" s="2" t="s">
        <v>4</v>
      </c>
      <c r="B10" s="46"/>
      <c r="C10" s="11" t="s">
        <v>75</v>
      </c>
      <c r="D10" s="9">
        <v>11311458.789999999</v>
      </c>
      <c r="E10" s="9">
        <v>11311458.789999999</v>
      </c>
      <c r="F10" s="9">
        <v>11311457.689999999</v>
      </c>
      <c r="G10" s="36">
        <f t="shared" si="0"/>
        <v>-1.099999999627471</v>
      </c>
      <c r="H10" s="36">
        <f t="shared" si="1"/>
        <v>-1.099999999627471</v>
      </c>
      <c r="J10" s="16" t="s">
        <v>1273</v>
      </c>
    </row>
    <row r="11" spans="1:10" x14ac:dyDescent="0.35">
      <c r="A11" s="2" t="s">
        <v>4</v>
      </c>
      <c r="B11" s="46"/>
      <c r="C11" s="11" t="s">
        <v>79</v>
      </c>
      <c r="D11" s="9">
        <v>0</v>
      </c>
      <c r="E11" s="9"/>
      <c r="F11" s="9"/>
      <c r="G11" s="36">
        <f t="shared" si="0"/>
        <v>0</v>
      </c>
      <c r="H11" s="36">
        <f t="shared" si="1"/>
        <v>0</v>
      </c>
      <c r="J11" s="16" t="s">
        <v>1274</v>
      </c>
    </row>
    <row r="12" spans="1:10" x14ac:dyDescent="0.35">
      <c r="A12" s="2" t="s">
        <v>4</v>
      </c>
      <c r="B12" s="46"/>
      <c r="C12" s="11" t="s">
        <v>67</v>
      </c>
      <c r="D12" s="9">
        <v>3307859.75</v>
      </c>
      <c r="E12" s="9">
        <v>3307859.75</v>
      </c>
      <c r="F12" s="9">
        <v>3307914.53</v>
      </c>
      <c r="G12" s="36">
        <f t="shared" si="0"/>
        <v>54.779999999795109</v>
      </c>
      <c r="H12" s="36">
        <f t="shared" si="1"/>
        <v>54.779999999795109</v>
      </c>
      <c r="J12" s="16" t="s">
        <v>1275</v>
      </c>
    </row>
    <row r="13" spans="1:10" x14ac:dyDescent="0.35">
      <c r="A13" s="2" t="s">
        <v>4</v>
      </c>
      <c r="B13" s="46"/>
      <c r="C13" s="11" t="s">
        <v>65</v>
      </c>
      <c r="D13" s="9">
        <v>10.1</v>
      </c>
      <c r="E13" s="9">
        <v>10.1</v>
      </c>
      <c r="F13" s="9">
        <v>10.08</v>
      </c>
      <c r="G13" s="36">
        <f t="shared" si="0"/>
        <v>-1.9999999999999574E-2</v>
      </c>
      <c r="H13" s="36">
        <f t="shared" si="1"/>
        <v>-1.9999999999999574E-2</v>
      </c>
      <c r="J13" s="16" t="s">
        <v>1276</v>
      </c>
    </row>
    <row r="14" spans="1:10" x14ac:dyDescent="0.35">
      <c r="A14" s="2" t="s">
        <v>4</v>
      </c>
      <c r="B14" s="46"/>
      <c r="C14" s="11" t="s">
        <v>42</v>
      </c>
      <c r="D14" s="9">
        <v>0.03</v>
      </c>
      <c r="E14" s="9">
        <v>0.03</v>
      </c>
      <c r="F14" s="9">
        <v>0.02</v>
      </c>
      <c r="G14" s="36">
        <f t="shared" si="0"/>
        <v>-9.9999999999999985E-3</v>
      </c>
      <c r="H14" s="36">
        <f t="shared" si="1"/>
        <v>-9.9999999999999985E-3</v>
      </c>
      <c r="J14" s="16" t="s">
        <v>1277</v>
      </c>
    </row>
    <row r="15" spans="1:10" x14ac:dyDescent="0.35">
      <c r="A15" s="2" t="s">
        <v>4</v>
      </c>
      <c r="B15" s="46"/>
      <c r="C15" s="11" t="s">
        <v>80</v>
      </c>
      <c r="D15" s="9">
        <v>303529749.36000001</v>
      </c>
      <c r="E15" s="9">
        <v>303529749.36000001</v>
      </c>
      <c r="F15" s="9">
        <v>303529422.73000002</v>
      </c>
      <c r="G15" s="36">
        <f t="shared" si="0"/>
        <v>-326.62999999523163</v>
      </c>
      <c r="H15" s="36">
        <f t="shared" si="1"/>
        <v>-326.62999999523163</v>
      </c>
      <c r="J15" s="16" t="s">
        <v>1278</v>
      </c>
    </row>
    <row r="16" spans="1:10" x14ac:dyDescent="0.35">
      <c r="A16" s="2" t="s">
        <v>4</v>
      </c>
      <c r="B16" s="46"/>
      <c r="C16" s="11" t="s">
        <v>66</v>
      </c>
      <c r="D16" s="9">
        <v>89529.59</v>
      </c>
      <c r="E16" s="9">
        <v>89529.59</v>
      </c>
      <c r="F16" s="9">
        <v>87029.33</v>
      </c>
      <c r="G16" s="36">
        <f t="shared" si="0"/>
        <v>-2500.2599999999948</v>
      </c>
      <c r="H16" s="36">
        <f t="shared" si="1"/>
        <v>-2500.2599999999948</v>
      </c>
      <c r="J16" s="16" t="s">
        <v>1275</v>
      </c>
    </row>
    <row r="17" spans="1:10" x14ac:dyDescent="0.35">
      <c r="A17" s="2" t="s">
        <v>4</v>
      </c>
      <c r="B17" s="46"/>
      <c r="C17" s="11" t="s">
        <v>78</v>
      </c>
      <c r="D17" s="9">
        <v>10400.870000000001</v>
      </c>
      <c r="E17" s="9">
        <v>10400.870000000001</v>
      </c>
      <c r="F17" s="9">
        <v>10400.719999999999</v>
      </c>
      <c r="G17" s="36">
        <f t="shared" si="0"/>
        <v>-0.15000000000145519</v>
      </c>
      <c r="H17" s="36">
        <f t="shared" si="1"/>
        <v>-0.15000000000145519</v>
      </c>
      <c r="J17" s="16" t="s">
        <v>1279</v>
      </c>
    </row>
    <row r="18" spans="1:10" x14ac:dyDescent="0.35">
      <c r="A18" s="2" t="s">
        <v>4</v>
      </c>
      <c r="B18" s="46"/>
      <c r="C18" s="11" t="s">
        <v>84</v>
      </c>
      <c r="D18" s="9">
        <v>2260792.7000000002</v>
      </c>
      <c r="E18" s="9">
        <v>2260792.7000000002</v>
      </c>
      <c r="F18" s="9">
        <v>2260791.29</v>
      </c>
      <c r="G18" s="36">
        <f t="shared" si="0"/>
        <v>-1.4100000001490116</v>
      </c>
      <c r="H18" s="36">
        <f t="shared" si="1"/>
        <v>-1.4100000001490116</v>
      </c>
      <c r="J18" s="16" t="s">
        <v>1280</v>
      </c>
    </row>
    <row r="19" spans="1:10" x14ac:dyDescent="0.35">
      <c r="A19" s="2" t="s">
        <v>4</v>
      </c>
      <c r="B19" s="46"/>
      <c r="C19" s="11" t="s">
        <v>46</v>
      </c>
      <c r="D19" s="9">
        <v>764253.46</v>
      </c>
      <c r="E19" s="9">
        <v>764253.46</v>
      </c>
      <c r="F19" s="9">
        <v>764252.21</v>
      </c>
      <c r="G19" s="36">
        <f t="shared" si="0"/>
        <v>-1.25</v>
      </c>
      <c r="H19" s="36">
        <f t="shared" si="1"/>
        <v>-1.25</v>
      </c>
      <c r="J19" s="16" t="s">
        <v>1281</v>
      </c>
    </row>
    <row r="20" spans="1:10" x14ac:dyDescent="0.35">
      <c r="A20" s="2" t="s">
        <v>4</v>
      </c>
      <c r="B20" s="46"/>
      <c r="C20" s="11" t="s">
        <v>53</v>
      </c>
      <c r="D20" s="9">
        <v>5771281.5899999999</v>
      </c>
      <c r="E20" s="9">
        <v>5771281.5899999999</v>
      </c>
      <c r="F20" s="9">
        <v>5771273.2999999998</v>
      </c>
      <c r="G20" s="36">
        <f t="shared" si="0"/>
        <v>-8.2900000000372529</v>
      </c>
      <c r="H20" s="36">
        <f t="shared" si="1"/>
        <v>-8.2900000000372529</v>
      </c>
      <c r="J20" s="16" t="s">
        <v>1282</v>
      </c>
    </row>
    <row r="21" spans="1:10" x14ac:dyDescent="0.35">
      <c r="A21" s="2" t="s">
        <v>4</v>
      </c>
      <c r="B21" s="46"/>
      <c r="C21" s="11" t="s">
        <v>60</v>
      </c>
      <c r="D21" s="9">
        <v>43561.89</v>
      </c>
      <c r="E21" s="9">
        <v>43561.89</v>
      </c>
      <c r="F21" s="9">
        <v>43561.81</v>
      </c>
      <c r="G21" s="36">
        <f t="shared" si="0"/>
        <v>-8.000000000174623E-2</v>
      </c>
      <c r="H21" s="36">
        <f t="shared" si="1"/>
        <v>-8.000000000174623E-2</v>
      </c>
      <c r="J21" s="16" t="s">
        <v>1283</v>
      </c>
    </row>
    <row r="22" spans="1:10" x14ac:dyDescent="0.35">
      <c r="A22" s="2" t="s">
        <v>4</v>
      </c>
      <c r="B22" s="46"/>
      <c r="C22" s="11" t="s">
        <v>55</v>
      </c>
      <c r="D22" s="9">
        <v>63689.09</v>
      </c>
      <c r="E22" s="9">
        <v>63689.09</v>
      </c>
      <c r="F22" s="9">
        <v>63689.04</v>
      </c>
      <c r="G22" s="36">
        <f t="shared" si="0"/>
        <v>-4.9999999995634425E-2</v>
      </c>
      <c r="H22" s="36">
        <f t="shared" si="1"/>
        <v>-4.9999999995634425E-2</v>
      </c>
      <c r="J22" s="16" t="s">
        <v>1284</v>
      </c>
    </row>
    <row r="23" spans="1:10" x14ac:dyDescent="0.35">
      <c r="A23" s="2" t="s">
        <v>4</v>
      </c>
      <c r="B23" s="46"/>
      <c r="C23" s="11" t="s">
        <v>63</v>
      </c>
      <c r="D23" s="9">
        <v>405845.56</v>
      </c>
      <c r="E23" s="9">
        <v>405845.56</v>
      </c>
      <c r="F23" s="9">
        <v>405845.42</v>
      </c>
      <c r="G23" s="36">
        <f t="shared" si="0"/>
        <v>-0.14000000001396984</v>
      </c>
      <c r="H23" s="36">
        <f t="shared" si="1"/>
        <v>-0.14000000001396984</v>
      </c>
      <c r="J23" s="16" t="s">
        <v>1285</v>
      </c>
    </row>
    <row r="24" spans="1:10" x14ac:dyDescent="0.35">
      <c r="A24" s="2" t="s">
        <v>4</v>
      </c>
      <c r="B24" s="46"/>
      <c r="C24" s="11" t="s">
        <v>48</v>
      </c>
      <c r="D24" s="9">
        <v>39000000</v>
      </c>
      <c r="E24" s="9"/>
      <c r="F24" s="9"/>
      <c r="G24" s="36">
        <f t="shared" si="0"/>
        <v>0</v>
      </c>
      <c r="H24" s="36">
        <f t="shared" si="1"/>
        <v>-39000000</v>
      </c>
      <c r="J24" s="16" t="s">
        <v>1286</v>
      </c>
    </row>
    <row r="25" spans="1:10" x14ac:dyDescent="0.35">
      <c r="A25" s="2" t="s">
        <v>4</v>
      </c>
      <c r="B25" s="46"/>
      <c r="C25" s="11" t="s">
        <v>64</v>
      </c>
      <c r="D25" s="9">
        <v>25000</v>
      </c>
      <c r="E25" s="9"/>
      <c r="F25" s="9"/>
      <c r="G25" s="36">
        <f t="shared" si="0"/>
        <v>0</v>
      </c>
      <c r="H25" s="36">
        <f t="shared" si="1"/>
        <v>-25000</v>
      </c>
      <c r="J25" s="16" t="s">
        <v>1287</v>
      </c>
    </row>
    <row r="26" spans="1:10" x14ac:dyDescent="0.35">
      <c r="A26" s="2" t="s">
        <v>4</v>
      </c>
      <c r="B26" s="46"/>
      <c r="C26" s="11" t="s">
        <v>71</v>
      </c>
      <c r="D26" s="9">
        <v>78851.98</v>
      </c>
      <c r="E26" s="9">
        <v>78851.98</v>
      </c>
      <c r="F26" s="9">
        <v>78851.929999999993</v>
      </c>
      <c r="G26" s="36">
        <f t="shared" si="0"/>
        <v>-5.0000000002910383E-2</v>
      </c>
      <c r="H26" s="36">
        <f t="shared" si="1"/>
        <v>-5.0000000002910383E-2</v>
      </c>
      <c r="J26" s="16" t="s">
        <v>1288</v>
      </c>
    </row>
    <row r="27" spans="1:10" x14ac:dyDescent="0.35">
      <c r="A27" s="2" t="s">
        <v>4</v>
      </c>
      <c r="B27" s="46"/>
      <c r="C27" s="11" t="s">
        <v>74</v>
      </c>
      <c r="D27" s="9">
        <v>230.27</v>
      </c>
      <c r="E27" s="9">
        <v>230.27</v>
      </c>
      <c r="F27" s="9">
        <v>230.26</v>
      </c>
      <c r="G27" s="36">
        <f t="shared" si="0"/>
        <v>-1.0000000000019327E-2</v>
      </c>
      <c r="H27" s="36">
        <f t="shared" si="1"/>
        <v>-1.0000000000019327E-2</v>
      </c>
      <c r="J27" s="16" t="s">
        <v>1289</v>
      </c>
    </row>
    <row r="28" spans="1:10" x14ac:dyDescent="0.35">
      <c r="A28" s="2" t="s">
        <v>4</v>
      </c>
      <c r="B28" s="46"/>
      <c r="C28" s="11"/>
      <c r="D28" s="9">
        <v>1207177.8500000001</v>
      </c>
      <c r="E28" s="9"/>
      <c r="F28" s="9"/>
      <c r="G28" s="36">
        <f t="shared" si="0"/>
        <v>0</v>
      </c>
      <c r="H28" s="36">
        <f t="shared" si="1"/>
        <v>-1207177.8500000001</v>
      </c>
      <c r="J28" s="16" t="e">
        <v>#N/A</v>
      </c>
    </row>
    <row r="29" spans="1:10" x14ac:dyDescent="0.35">
      <c r="A29" s="2" t="s">
        <v>4</v>
      </c>
      <c r="B29" s="46"/>
      <c r="C29" s="11" t="s">
        <v>59</v>
      </c>
      <c r="D29" s="9">
        <v>0</v>
      </c>
      <c r="E29" s="9"/>
      <c r="F29" s="9"/>
      <c r="G29" s="36">
        <f t="shared" si="0"/>
        <v>0</v>
      </c>
      <c r="H29" s="36">
        <f t="shared" si="1"/>
        <v>0</v>
      </c>
      <c r="J29" s="16" t="s">
        <v>1290</v>
      </c>
    </row>
    <row r="30" spans="1:10" x14ac:dyDescent="0.35">
      <c r="A30" s="2" t="s">
        <v>4</v>
      </c>
      <c r="B30" s="46"/>
      <c r="C30" s="11" t="s">
        <v>72</v>
      </c>
      <c r="D30" s="9">
        <v>1165627162.1099999</v>
      </c>
      <c r="E30" s="9">
        <v>1165627162.1099999</v>
      </c>
      <c r="F30" s="9">
        <v>1165634480.55</v>
      </c>
      <c r="G30" s="36">
        <f t="shared" si="0"/>
        <v>7318.4400000572205</v>
      </c>
      <c r="H30" s="36">
        <f t="shared" si="1"/>
        <v>7318.4400000572205</v>
      </c>
      <c r="J30" s="16" t="s">
        <v>1291</v>
      </c>
    </row>
    <row r="31" spans="1:10" x14ac:dyDescent="0.35">
      <c r="A31" s="2" t="s">
        <v>4</v>
      </c>
      <c r="B31" s="46"/>
      <c r="C31" s="11" t="s">
        <v>51</v>
      </c>
      <c r="D31" s="9">
        <v>30095.32</v>
      </c>
      <c r="E31" s="9">
        <v>30095.32</v>
      </c>
      <c r="F31" s="9">
        <v>30095.29</v>
      </c>
      <c r="G31" s="36">
        <f t="shared" si="0"/>
        <v>-2.9999999998835847E-2</v>
      </c>
      <c r="H31" s="36">
        <f t="shared" si="1"/>
        <v>-2.9999999998835847E-2</v>
      </c>
      <c r="J31" s="16" t="s">
        <v>1292</v>
      </c>
    </row>
    <row r="32" spans="1:10" x14ac:dyDescent="0.35">
      <c r="A32" s="2" t="s">
        <v>4</v>
      </c>
      <c r="B32" s="46"/>
      <c r="C32" s="11" t="s">
        <v>69</v>
      </c>
      <c r="D32" s="9">
        <v>12511.54</v>
      </c>
      <c r="E32" s="9">
        <v>12511.54</v>
      </c>
      <c r="F32" s="9">
        <v>14950.2</v>
      </c>
      <c r="G32" s="36">
        <f t="shared" si="0"/>
        <v>2438.66</v>
      </c>
      <c r="H32" s="36">
        <f t="shared" si="1"/>
        <v>2438.66</v>
      </c>
      <c r="J32" s="16" t="s">
        <v>1293</v>
      </c>
    </row>
    <row r="33" spans="1:10" x14ac:dyDescent="0.35">
      <c r="A33" s="2" t="s">
        <v>4</v>
      </c>
      <c r="B33" s="46"/>
      <c r="C33" s="11" t="s">
        <v>49</v>
      </c>
      <c r="D33" s="9">
        <v>9039.7999999999993</v>
      </c>
      <c r="E33" s="9">
        <v>9039.7999999999993</v>
      </c>
      <c r="F33" s="9">
        <v>905</v>
      </c>
      <c r="G33" s="36">
        <f t="shared" si="0"/>
        <v>-8134.7999999999993</v>
      </c>
      <c r="H33" s="36">
        <f t="shared" si="1"/>
        <v>-8134.7999999999993</v>
      </c>
      <c r="J33" s="16" t="s">
        <v>1294</v>
      </c>
    </row>
    <row r="34" spans="1:10" x14ac:dyDescent="0.35">
      <c r="A34" s="2" t="s">
        <v>4</v>
      </c>
      <c r="B34" s="46"/>
      <c r="C34" s="11" t="s">
        <v>62</v>
      </c>
      <c r="D34" s="9">
        <v>17596732.18</v>
      </c>
      <c r="E34" s="9">
        <v>17596732.18</v>
      </c>
      <c r="F34" s="9">
        <v>17597432.41</v>
      </c>
      <c r="G34" s="36">
        <f t="shared" si="0"/>
        <v>700.23000000044703</v>
      </c>
      <c r="H34" s="36">
        <f t="shared" si="1"/>
        <v>700.23000000044703</v>
      </c>
      <c r="J34" s="16" t="s">
        <v>1291</v>
      </c>
    </row>
    <row r="35" spans="1:10" x14ac:dyDescent="0.35">
      <c r="A35" s="2" t="s">
        <v>4</v>
      </c>
      <c r="B35" s="4"/>
      <c r="C35" s="27" t="s">
        <v>529</v>
      </c>
      <c r="D35" s="28">
        <f>SUM(D2:D34)</f>
        <v>1600916488.9199998</v>
      </c>
      <c r="E35" s="28">
        <f>SUM(E2:E34)</f>
        <v>1548224311.0699997</v>
      </c>
      <c r="F35" s="28">
        <f>SUM(F2:F34)</f>
        <v>1548223846.2800002</v>
      </c>
      <c r="G35" s="36">
        <f t="shared" si="0"/>
        <v>-464.78999948501587</v>
      </c>
      <c r="H35" s="36">
        <f t="shared" si="1"/>
        <v>-52692642.639999628</v>
      </c>
      <c r="J35" s="16" t="e">
        <v>#N/A</v>
      </c>
    </row>
    <row r="36" spans="1:10" x14ac:dyDescent="0.35">
      <c r="A36" s="2" t="s">
        <v>5</v>
      </c>
      <c r="B36" s="44" t="s">
        <v>101</v>
      </c>
      <c r="C36" s="11" t="s">
        <v>840</v>
      </c>
      <c r="D36" s="9"/>
      <c r="E36" s="9"/>
      <c r="F36" s="9">
        <v>3044063.46</v>
      </c>
      <c r="G36" s="36">
        <f t="shared" ref="G36:G99" si="2">F36-E36</f>
        <v>3044063.46</v>
      </c>
      <c r="H36" s="36">
        <f t="shared" ref="H36:H99" si="3">F36-D36</f>
        <v>3044063.46</v>
      </c>
      <c r="J36" s="16" t="s">
        <v>1295</v>
      </c>
    </row>
    <row r="37" spans="1:10" x14ac:dyDescent="0.35">
      <c r="A37" s="2" t="s">
        <v>5</v>
      </c>
      <c r="B37" s="45"/>
      <c r="C37" s="11" t="s">
        <v>92</v>
      </c>
      <c r="D37" s="9">
        <v>58.98</v>
      </c>
      <c r="E37" s="9">
        <v>58.98</v>
      </c>
      <c r="F37" s="9">
        <v>997763.77</v>
      </c>
      <c r="G37" s="36">
        <f>F37-E37</f>
        <v>997704.79</v>
      </c>
      <c r="H37" s="36">
        <f>F37-D37</f>
        <v>997704.79</v>
      </c>
      <c r="J37" s="16" t="s">
        <v>1296</v>
      </c>
    </row>
    <row r="38" spans="1:10" x14ac:dyDescent="0.35">
      <c r="A38" s="2" t="s">
        <v>5</v>
      </c>
      <c r="B38" s="45"/>
      <c r="C38" s="11" t="s">
        <v>88</v>
      </c>
      <c r="D38" s="9">
        <v>117372472.92</v>
      </c>
      <c r="E38" s="9">
        <v>117372472.92</v>
      </c>
      <c r="F38" s="9">
        <v>117371479.87</v>
      </c>
      <c r="G38" s="36">
        <f t="shared" si="2"/>
        <v>-993.04999999701977</v>
      </c>
      <c r="H38" s="36">
        <f t="shared" si="3"/>
        <v>-993.04999999701977</v>
      </c>
      <c r="J38" s="16" t="s">
        <v>1297</v>
      </c>
    </row>
    <row r="39" spans="1:10" x14ac:dyDescent="0.35">
      <c r="A39" s="2" t="s">
        <v>5</v>
      </c>
      <c r="B39" s="45"/>
      <c r="C39" s="11" t="s">
        <v>829</v>
      </c>
      <c r="D39" s="9"/>
      <c r="E39" s="9"/>
      <c r="F39" s="9">
        <v>50718.21</v>
      </c>
      <c r="G39" s="36">
        <f t="shared" si="2"/>
        <v>50718.21</v>
      </c>
      <c r="H39" s="36">
        <f t="shared" si="3"/>
        <v>50718.21</v>
      </c>
      <c r="J39" s="16" t="s">
        <v>1298</v>
      </c>
    </row>
    <row r="40" spans="1:10" x14ac:dyDescent="0.35">
      <c r="A40" s="2" t="s">
        <v>5</v>
      </c>
      <c r="B40" s="45"/>
      <c r="C40" s="11" t="s">
        <v>853</v>
      </c>
      <c r="D40" s="9"/>
      <c r="E40" s="9"/>
      <c r="F40" s="9">
        <v>4737.63</v>
      </c>
      <c r="G40" s="36">
        <f t="shared" si="2"/>
        <v>4737.63</v>
      </c>
      <c r="H40" s="36">
        <f t="shared" si="3"/>
        <v>4737.63</v>
      </c>
      <c r="J40" s="16" t="s">
        <v>1299</v>
      </c>
    </row>
    <row r="41" spans="1:10" x14ac:dyDescent="0.35">
      <c r="A41" s="2" t="s">
        <v>5</v>
      </c>
      <c r="B41" s="45"/>
      <c r="C41" s="11" t="s">
        <v>842</v>
      </c>
      <c r="D41" s="9"/>
      <c r="E41" s="9"/>
      <c r="F41" s="9">
        <v>4930.3900000000003</v>
      </c>
      <c r="G41" s="36">
        <f t="shared" si="2"/>
        <v>4930.3900000000003</v>
      </c>
      <c r="H41" s="36">
        <f t="shared" si="3"/>
        <v>4930.3900000000003</v>
      </c>
      <c r="J41" s="16" t="s">
        <v>1300</v>
      </c>
    </row>
    <row r="42" spans="1:10" x14ac:dyDescent="0.35">
      <c r="A42" s="2" t="s">
        <v>5</v>
      </c>
      <c r="B42" s="45"/>
      <c r="C42" s="11" t="s">
        <v>86</v>
      </c>
      <c r="D42" s="9">
        <v>324429028.24000001</v>
      </c>
      <c r="E42" s="9">
        <v>279626827.35000002</v>
      </c>
      <c r="F42" s="9">
        <v>768202253.20000005</v>
      </c>
      <c r="G42" s="36">
        <f t="shared" si="2"/>
        <v>488575425.85000002</v>
      </c>
      <c r="H42" s="36">
        <f t="shared" si="3"/>
        <v>443773224.96000004</v>
      </c>
      <c r="J42" s="16" t="s">
        <v>1301</v>
      </c>
    </row>
    <row r="43" spans="1:10" x14ac:dyDescent="0.35">
      <c r="A43" s="2" t="s">
        <v>5</v>
      </c>
      <c r="B43" s="45"/>
      <c r="C43" s="11" t="s">
        <v>91</v>
      </c>
      <c r="D43" s="9">
        <v>5142876.0999999996</v>
      </c>
      <c r="E43" s="9">
        <v>5142876.0999999996</v>
      </c>
      <c r="F43" s="9">
        <v>5142210.0599999996</v>
      </c>
      <c r="G43" s="36">
        <f t="shared" si="2"/>
        <v>-666.04000000003725</v>
      </c>
      <c r="H43" s="36">
        <f t="shared" si="3"/>
        <v>-666.04000000003725</v>
      </c>
      <c r="J43" s="16" t="s">
        <v>1302</v>
      </c>
    </row>
    <row r="44" spans="1:10" x14ac:dyDescent="0.35">
      <c r="A44" s="2" t="s">
        <v>5</v>
      </c>
      <c r="B44" s="45"/>
      <c r="C44" s="11" t="s">
        <v>854</v>
      </c>
      <c r="D44" s="9"/>
      <c r="E44" s="9"/>
      <c r="F44" s="9">
        <v>650666.36</v>
      </c>
      <c r="G44" s="36">
        <f t="shared" si="2"/>
        <v>650666.36</v>
      </c>
      <c r="H44" s="36">
        <f t="shared" si="3"/>
        <v>650666.36</v>
      </c>
      <c r="J44" s="16" t="s">
        <v>1303</v>
      </c>
    </row>
    <row r="45" spans="1:10" x14ac:dyDescent="0.35">
      <c r="A45" s="2" t="s">
        <v>5</v>
      </c>
      <c r="B45" s="45"/>
      <c r="C45" s="11" t="s">
        <v>831</v>
      </c>
      <c r="D45" s="9"/>
      <c r="E45" s="9"/>
      <c r="F45" s="9">
        <v>34849546.020000003</v>
      </c>
      <c r="G45" s="36">
        <f t="shared" si="2"/>
        <v>34849546.020000003</v>
      </c>
      <c r="H45" s="36">
        <f t="shared" si="3"/>
        <v>34849546.020000003</v>
      </c>
      <c r="J45" s="16" t="s">
        <v>1304</v>
      </c>
    </row>
    <row r="46" spans="1:10" x14ac:dyDescent="0.35">
      <c r="A46" s="2" t="s">
        <v>5</v>
      </c>
      <c r="B46" s="45"/>
      <c r="C46" s="11" t="s">
        <v>825</v>
      </c>
      <c r="D46" s="9"/>
      <c r="E46" s="9"/>
      <c r="F46" s="9">
        <v>650558.39</v>
      </c>
      <c r="G46" s="36">
        <f t="shared" si="2"/>
        <v>650558.39</v>
      </c>
      <c r="H46" s="36">
        <f t="shared" si="3"/>
        <v>650558.39</v>
      </c>
      <c r="J46" s="16" t="s">
        <v>1305</v>
      </c>
    </row>
    <row r="47" spans="1:10" x14ac:dyDescent="0.35">
      <c r="A47" s="2" t="s">
        <v>5</v>
      </c>
      <c r="B47" s="45"/>
      <c r="C47" s="11" t="s">
        <v>837</v>
      </c>
      <c r="D47" s="9"/>
      <c r="E47" s="9"/>
      <c r="F47" s="9">
        <v>397.31</v>
      </c>
      <c r="G47" s="36">
        <f t="shared" si="2"/>
        <v>397.31</v>
      </c>
      <c r="H47" s="36">
        <f t="shared" si="3"/>
        <v>397.31</v>
      </c>
      <c r="J47" s="16" t="s">
        <v>1306</v>
      </c>
    </row>
    <row r="48" spans="1:10" x14ac:dyDescent="0.35">
      <c r="A48" s="2" t="s">
        <v>5</v>
      </c>
      <c r="B48" s="45"/>
      <c r="C48" s="11" t="s">
        <v>832</v>
      </c>
      <c r="D48" s="9"/>
      <c r="E48" s="9"/>
      <c r="F48" s="9">
        <v>2228852.59</v>
      </c>
      <c r="G48" s="36">
        <f t="shared" si="2"/>
        <v>2228852.59</v>
      </c>
      <c r="H48" s="36">
        <f t="shared" si="3"/>
        <v>2228852.59</v>
      </c>
      <c r="J48" s="16" t="s">
        <v>1307</v>
      </c>
    </row>
    <row r="49" spans="1:10" x14ac:dyDescent="0.35">
      <c r="A49" s="2" t="s">
        <v>5</v>
      </c>
      <c r="B49" s="45"/>
      <c r="C49" s="11" t="s">
        <v>90</v>
      </c>
      <c r="D49" s="9">
        <v>119544946.42</v>
      </c>
      <c r="E49" s="9">
        <v>99778178.150000006</v>
      </c>
      <c r="F49" s="9">
        <v>99769095.909999996</v>
      </c>
      <c r="G49" s="36">
        <f t="shared" si="2"/>
        <v>-9082.2400000095367</v>
      </c>
      <c r="H49" s="36">
        <f t="shared" si="3"/>
        <v>-19775850.510000005</v>
      </c>
      <c r="J49" s="16" t="s">
        <v>1308</v>
      </c>
    </row>
    <row r="50" spans="1:10" x14ac:dyDescent="0.35">
      <c r="A50" s="2" t="s">
        <v>5</v>
      </c>
      <c r="B50" s="45"/>
      <c r="C50" s="11" t="s">
        <v>821</v>
      </c>
      <c r="D50" s="9"/>
      <c r="E50" s="9"/>
      <c r="F50" s="9">
        <v>174200941.38</v>
      </c>
      <c r="G50" s="36">
        <f t="shared" si="2"/>
        <v>174200941.38</v>
      </c>
      <c r="H50" s="36">
        <f t="shared" si="3"/>
        <v>174200941.38</v>
      </c>
      <c r="J50" s="16" t="s">
        <v>1309</v>
      </c>
    </row>
    <row r="51" spans="1:10" x14ac:dyDescent="0.35">
      <c r="A51" s="2" t="s">
        <v>5</v>
      </c>
      <c r="B51" s="45"/>
      <c r="C51" s="11" t="s">
        <v>824</v>
      </c>
      <c r="D51" s="9"/>
      <c r="E51" s="9"/>
      <c r="F51" s="9">
        <v>0.41</v>
      </c>
      <c r="G51" s="36">
        <f t="shared" si="2"/>
        <v>0.41</v>
      </c>
      <c r="H51" s="36">
        <f t="shared" si="3"/>
        <v>0.41</v>
      </c>
      <c r="J51" s="16" t="s">
        <v>1310</v>
      </c>
    </row>
    <row r="52" spans="1:10" x14ac:dyDescent="0.35">
      <c r="A52" s="2" t="s">
        <v>5</v>
      </c>
      <c r="B52" s="45"/>
      <c r="C52" s="11" t="s">
        <v>830</v>
      </c>
      <c r="D52" s="9"/>
      <c r="E52" s="9"/>
      <c r="F52" s="9">
        <v>361772.51</v>
      </c>
      <c r="G52" s="36">
        <f t="shared" si="2"/>
        <v>361772.51</v>
      </c>
      <c r="H52" s="36">
        <f t="shared" si="3"/>
        <v>361772.51</v>
      </c>
      <c r="J52" s="16" t="s">
        <v>1311</v>
      </c>
    </row>
    <row r="53" spans="1:10" x14ac:dyDescent="0.35">
      <c r="A53" s="2" t="s">
        <v>5</v>
      </c>
      <c r="B53" s="45"/>
      <c r="C53" s="11" t="s">
        <v>93</v>
      </c>
      <c r="D53" s="9">
        <v>331103.53000000003</v>
      </c>
      <c r="E53" s="9">
        <v>298247.56</v>
      </c>
      <c r="F53" s="9">
        <v>410617.61</v>
      </c>
      <c r="G53" s="36">
        <f t="shared" si="2"/>
        <v>112370.04999999999</v>
      </c>
      <c r="H53" s="36">
        <f t="shared" si="3"/>
        <v>79514.079999999958</v>
      </c>
      <c r="J53" s="16" t="s">
        <v>1312</v>
      </c>
    </row>
    <row r="54" spans="1:10" x14ac:dyDescent="0.35">
      <c r="A54" s="2" t="s">
        <v>5</v>
      </c>
      <c r="B54" s="45"/>
      <c r="C54" s="11" t="s">
        <v>823</v>
      </c>
      <c r="D54" s="9"/>
      <c r="E54" s="9"/>
      <c r="F54" s="9">
        <v>4161691.16</v>
      </c>
      <c r="G54" s="36">
        <f t="shared" si="2"/>
        <v>4161691.16</v>
      </c>
      <c r="H54" s="36">
        <f t="shared" si="3"/>
        <v>4161691.16</v>
      </c>
      <c r="J54" s="16" t="s">
        <v>1313</v>
      </c>
    </row>
    <row r="55" spans="1:10" x14ac:dyDescent="0.35">
      <c r="A55" s="2" t="s">
        <v>5</v>
      </c>
      <c r="B55" s="45"/>
      <c r="C55" s="11"/>
      <c r="D55" s="9">
        <v>1897581055.0799999</v>
      </c>
      <c r="E55" s="9">
        <v>1633254930.3399999</v>
      </c>
      <c r="F55" s="9"/>
      <c r="G55" s="36">
        <f t="shared" si="2"/>
        <v>-1633254930.3399999</v>
      </c>
      <c r="H55" s="36">
        <f t="shared" si="3"/>
        <v>-1897581055.0799999</v>
      </c>
      <c r="J55" s="16" t="e">
        <v>#N/A</v>
      </c>
    </row>
    <row r="56" spans="1:10" x14ac:dyDescent="0.35">
      <c r="A56" s="2" t="s">
        <v>5</v>
      </c>
      <c r="B56" s="45"/>
      <c r="C56" s="11" t="s">
        <v>835</v>
      </c>
      <c r="D56" s="9"/>
      <c r="E56" s="9"/>
      <c r="F56" s="9">
        <v>34201.03</v>
      </c>
      <c r="G56" s="36">
        <f t="shared" si="2"/>
        <v>34201.03</v>
      </c>
      <c r="H56" s="36">
        <f t="shared" si="3"/>
        <v>34201.03</v>
      </c>
      <c r="J56" s="16" t="s">
        <v>1314</v>
      </c>
    </row>
    <row r="57" spans="1:10" x14ac:dyDescent="0.35">
      <c r="A57" s="2" t="s">
        <v>5</v>
      </c>
      <c r="B57" s="45"/>
      <c r="C57" s="11" t="s">
        <v>833</v>
      </c>
      <c r="D57" s="9"/>
      <c r="E57" s="9"/>
      <c r="F57" s="9">
        <v>148.13999999999999</v>
      </c>
      <c r="G57" s="36">
        <f t="shared" si="2"/>
        <v>148.13999999999999</v>
      </c>
      <c r="H57" s="36">
        <f t="shared" si="3"/>
        <v>148.13999999999999</v>
      </c>
      <c r="J57" s="16" t="s">
        <v>1315</v>
      </c>
    </row>
    <row r="58" spans="1:10" x14ac:dyDescent="0.35">
      <c r="A58" s="2" t="s">
        <v>5</v>
      </c>
      <c r="B58" s="45"/>
      <c r="C58" s="11" t="s">
        <v>87</v>
      </c>
      <c r="D58" s="9">
        <v>618480739.33000004</v>
      </c>
      <c r="E58" s="9">
        <v>578508268.55999994</v>
      </c>
      <c r="F58" s="9">
        <v>679161115.57000005</v>
      </c>
      <c r="G58" s="36">
        <f t="shared" si="2"/>
        <v>100652847.01000011</v>
      </c>
      <c r="H58" s="36">
        <f t="shared" si="3"/>
        <v>60680376.24000001</v>
      </c>
      <c r="J58" s="16" t="s">
        <v>1316</v>
      </c>
    </row>
    <row r="59" spans="1:10" x14ac:dyDescent="0.35">
      <c r="A59" s="2" t="s">
        <v>5</v>
      </c>
      <c r="B59" s="45"/>
      <c r="C59" s="11" t="s">
        <v>820</v>
      </c>
      <c r="D59" s="9"/>
      <c r="E59" s="9"/>
      <c r="F59" s="9">
        <v>86.53</v>
      </c>
      <c r="G59" s="36">
        <f t="shared" si="2"/>
        <v>86.53</v>
      </c>
      <c r="H59" s="36">
        <f t="shared" si="3"/>
        <v>86.53</v>
      </c>
      <c r="J59" s="16" t="s">
        <v>1317</v>
      </c>
    </row>
    <row r="60" spans="1:10" x14ac:dyDescent="0.35">
      <c r="A60" s="2" t="s">
        <v>5</v>
      </c>
      <c r="B60" s="45"/>
      <c r="C60" s="11" t="s">
        <v>855</v>
      </c>
      <c r="D60" s="9"/>
      <c r="E60" s="9"/>
      <c r="F60" s="9">
        <v>0</v>
      </c>
      <c r="G60" s="36">
        <f t="shared" si="2"/>
        <v>0</v>
      </c>
      <c r="H60" s="36">
        <f t="shared" si="3"/>
        <v>0</v>
      </c>
      <c r="J60" s="16" t="s">
        <v>1318</v>
      </c>
    </row>
    <row r="61" spans="1:10" x14ac:dyDescent="0.35">
      <c r="A61" s="2" t="s">
        <v>5</v>
      </c>
      <c r="B61" s="45"/>
      <c r="C61" s="11" t="s">
        <v>838</v>
      </c>
      <c r="D61" s="9"/>
      <c r="E61" s="9"/>
      <c r="F61" s="9">
        <v>3323.81</v>
      </c>
      <c r="G61" s="36">
        <f t="shared" si="2"/>
        <v>3323.81</v>
      </c>
      <c r="H61" s="36">
        <f t="shared" si="3"/>
        <v>3323.81</v>
      </c>
      <c r="J61" s="16" t="s">
        <v>1319</v>
      </c>
    </row>
    <row r="62" spans="1:10" x14ac:dyDescent="0.35">
      <c r="A62" s="2" t="s">
        <v>5</v>
      </c>
      <c r="B62" s="45"/>
      <c r="C62" s="11" t="s">
        <v>843</v>
      </c>
      <c r="D62" s="9"/>
      <c r="E62" s="9"/>
      <c r="F62" s="9">
        <v>24960370.449999999</v>
      </c>
      <c r="G62" s="36">
        <f t="shared" si="2"/>
        <v>24960370.449999999</v>
      </c>
      <c r="H62" s="36">
        <f t="shared" si="3"/>
        <v>24960370.449999999</v>
      </c>
      <c r="J62" s="16" t="s">
        <v>1320</v>
      </c>
    </row>
    <row r="63" spans="1:10" x14ac:dyDescent="0.35">
      <c r="A63" s="2" t="s">
        <v>5</v>
      </c>
      <c r="B63" s="45"/>
      <c r="C63" s="11" t="s">
        <v>828</v>
      </c>
      <c r="D63" s="9"/>
      <c r="E63" s="9"/>
      <c r="F63" s="9">
        <v>893589108.53999996</v>
      </c>
      <c r="G63" s="36">
        <f t="shared" si="2"/>
        <v>893589108.53999996</v>
      </c>
      <c r="H63" s="36">
        <f t="shared" si="3"/>
        <v>893589108.53999996</v>
      </c>
      <c r="J63" s="16" t="s">
        <v>1321</v>
      </c>
    </row>
    <row r="64" spans="1:10" x14ac:dyDescent="0.35">
      <c r="A64" s="2" t="s">
        <v>5</v>
      </c>
      <c r="B64" s="45"/>
      <c r="C64" s="11" t="s">
        <v>89</v>
      </c>
      <c r="D64" s="9">
        <v>51183377.700000003</v>
      </c>
      <c r="E64" s="9">
        <v>46701774.07</v>
      </c>
      <c r="F64" s="9">
        <v>82453746.329999998</v>
      </c>
      <c r="G64" s="36">
        <f t="shared" si="2"/>
        <v>35751972.259999998</v>
      </c>
      <c r="H64" s="36">
        <f t="shared" si="3"/>
        <v>31270368.629999995</v>
      </c>
      <c r="J64" s="16" t="s">
        <v>1322</v>
      </c>
    </row>
    <row r="65" spans="1:10" x14ac:dyDescent="0.35">
      <c r="A65" s="2" t="s">
        <v>5</v>
      </c>
      <c r="B65" s="45"/>
      <c r="C65" s="11" t="s">
        <v>856</v>
      </c>
      <c r="D65" s="9"/>
      <c r="E65" s="9"/>
      <c r="F65" s="9">
        <v>204919.34</v>
      </c>
      <c r="G65" s="36">
        <f t="shared" si="2"/>
        <v>204919.34</v>
      </c>
      <c r="H65" s="36">
        <f t="shared" si="3"/>
        <v>204919.34</v>
      </c>
      <c r="J65" s="16" t="s">
        <v>1323</v>
      </c>
    </row>
    <row r="66" spans="1:10" x14ac:dyDescent="0.35">
      <c r="A66" s="2" t="s">
        <v>5</v>
      </c>
      <c r="B66" s="45"/>
      <c r="C66" s="11" t="s">
        <v>844</v>
      </c>
      <c r="D66" s="9"/>
      <c r="E66" s="9"/>
      <c r="F66" s="9">
        <v>72511.399999999994</v>
      </c>
      <c r="G66" s="36">
        <f t="shared" si="2"/>
        <v>72511.399999999994</v>
      </c>
      <c r="H66" s="36">
        <f t="shared" si="3"/>
        <v>72511.399999999994</v>
      </c>
      <c r="J66" s="16" t="s">
        <v>1324</v>
      </c>
    </row>
    <row r="67" spans="1:10" x14ac:dyDescent="0.35">
      <c r="A67" s="2" t="s">
        <v>5</v>
      </c>
      <c r="B67" s="45"/>
      <c r="C67" s="11" t="s">
        <v>819</v>
      </c>
      <c r="D67" s="9"/>
      <c r="E67" s="9"/>
      <c r="F67" s="9">
        <v>24026846.399999999</v>
      </c>
      <c r="G67" s="36">
        <f t="shared" si="2"/>
        <v>24026846.399999999</v>
      </c>
      <c r="H67" s="36">
        <f t="shared" si="3"/>
        <v>24026846.399999999</v>
      </c>
      <c r="J67" s="16" t="s">
        <v>1325</v>
      </c>
    </row>
    <row r="68" spans="1:10" x14ac:dyDescent="0.35">
      <c r="A68" s="2" t="s">
        <v>5</v>
      </c>
      <c r="B68" s="45"/>
      <c r="C68" s="11" t="s">
        <v>857</v>
      </c>
      <c r="D68" s="9"/>
      <c r="E68" s="9"/>
      <c r="F68" s="9">
        <v>55709.06</v>
      </c>
      <c r="G68" s="36">
        <f t="shared" si="2"/>
        <v>55709.06</v>
      </c>
      <c r="H68" s="36">
        <f t="shared" si="3"/>
        <v>55709.06</v>
      </c>
      <c r="J68" s="16" t="s">
        <v>1326</v>
      </c>
    </row>
    <row r="69" spans="1:10" x14ac:dyDescent="0.35">
      <c r="A69" s="2" t="s">
        <v>5</v>
      </c>
      <c r="B69" s="45"/>
      <c r="C69" s="11" t="s">
        <v>826</v>
      </c>
      <c r="D69" s="9"/>
      <c r="E69" s="9"/>
      <c r="F69" s="9">
        <v>1118860.33</v>
      </c>
      <c r="G69" s="36">
        <f t="shared" si="2"/>
        <v>1118860.33</v>
      </c>
      <c r="H69" s="36">
        <f t="shared" si="3"/>
        <v>1118860.33</v>
      </c>
      <c r="J69" s="16" t="s">
        <v>1327</v>
      </c>
    </row>
    <row r="70" spans="1:10" x14ac:dyDescent="0.35">
      <c r="A70" s="2" t="s">
        <v>5</v>
      </c>
      <c r="B70" s="45"/>
      <c r="C70" s="11" t="s">
        <v>95</v>
      </c>
      <c r="D70" s="9">
        <v>20020.05</v>
      </c>
      <c r="E70" s="9">
        <v>17954.3</v>
      </c>
      <c r="F70" s="9">
        <v>17954.18</v>
      </c>
      <c r="G70" s="36">
        <f t="shared" si="2"/>
        <v>-0.11999999999898137</v>
      </c>
      <c r="H70" s="36">
        <f t="shared" si="3"/>
        <v>-2065.869999999999</v>
      </c>
      <c r="J70" s="16" t="s">
        <v>1328</v>
      </c>
    </row>
    <row r="71" spans="1:10" x14ac:dyDescent="0.35">
      <c r="A71" s="2" t="s">
        <v>5</v>
      </c>
      <c r="B71" s="45"/>
      <c r="C71" s="11" t="s">
        <v>836</v>
      </c>
      <c r="D71" s="9"/>
      <c r="E71" s="9"/>
      <c r="F71" s="9">
        <v>13238.4</v>
      </c>
      <c r="G71" s="36">
        <f t="shared" si="2"/>
        <v>13238.4</v>
      </c>
      <c r="H71" s="36">
        <f t="shared" si="3"/>
        <v>13238.4</v>
      </c>
      <c r="J71" s="16" t="s">
        <v>1329</v>
      </c>
    </row>
    <row r="72" spans="1:10" x14ac:dyDescent="0.35">
      <c r="A72" s="2" t="s">
        <v>5</v>
      </c>
      <c r="B72" s="45"/>
      <c r="C72" s="11" t="s">
        <v>841</v>
      </c>
      <c r="D72" s="9"/>
      <c r="E72" s="9"/>
      <c r="F72" s="9">
        <v>43322.37</v>
      </c>
      <c r="G72" s="36">
        <f t="shared" si="2"/>
        <v>43322.37</v>
      </c>
      <c r="H72" s="36">
        <f t="shared" si="3"/>
        <v>43322.37</v>
      </c>
      <c r="J72" s="16" t="s">
        <v>1330</v>
      </c>
    </row>
    <row r="73" spans="1:10" x14ac:dyDescent="0.35">
      <c r="A73" s="2" t="s">
        <v>5</v>
      </c>
      <c r="B73" s="45"/>
      <c r="C73" s="11" t="s">
        <v>839</v>
      </c>
      <c r="D73" s="9"/>
      <c r="E73" s="9"/>
      <c r="F73" s="9">
        <v>115273.88</v>
      </c>
      <c r="G73" s="36">
        <f t="shared" si="2"/>
        <v>115273.88</v>
      </c>
      <c r="H73" s="36">
        <f t="shared" si="3"/>
        <v>115273.88</v>
      </c>
      <c r="J73" s="16" t="s">
        <v>1331</v>
      </c>
    </row>
    <row r="74" spans="1:10" x14ac:dyDescent="0.35">
      <c r="A74" s="2" t="s">
        <v>5</v>
      </c>
      <c r="B74" s="49"/>
      <c r="C74" s="11" t="s">
        <v>818</v>
      </c>
      <c r="D74" s="9"/>
      <c r="E74" s="9"/>
      <c r="F74" s="9">
        <v>76130</v>
      </c>
      <c r="G74" s="36">
        <f t="shared" si="2"/>
        <v>76130</v>
      </c>
      <c r="H74" s="36">
        <f t="shared" si="3"/>
        <v>76130</v>
      </c>
      <c r="J74" s="16" t="s">
        <v>1332</v>
      </c>
    </row>
    <row r="75" spans="1:10" x14ac:dyDescent="0.35">
      <c r="A75" s="2" t="s">
        <v>5</v>
      </c>
      <c r="B75" s="4"/>
      <c r="C75" s="27" t="s">
        <v>529</v>
      </c>
      <c r="D75" s="28">
        <f>SUM(D36:D74)</f>
        <v>3134085678.3499999</v>
      </c>
      <c r="E75" s="28">
        <f>SUM(E36:E74)</f>
        <v>2760701588.3300004</v>
      </c>
      <c r="F75" s="28">
        <f>SUM(F36:F74)</f>
        <v>2918049162</v>
      </c>
      <c r="G75" s="36">
        <f t="shared" si="2"/>
        <v>157347573.6699996</v>
      </c>
      <c r="H75" s="36">
        <f t="shared" si="3"/>
        <v>-216036516.3499999</v>
      </c>
      <c r="J75" s="16" t="e">
        <v>#N/A</v>
      </c>
    </row>
    <row r="76" spans="1:10" x14ac:dyDescent="0.35">
      <c r="A76" s="4" t="s">
        <v>6</v>
      </c>
      <c r="B76" s="46" t="s">
        <v>499</v>
      </c>
      <c r="C76" s="11"/>
      <c r="D76" s="9">
        <v>4377214.29</v>
      </c>
      <c r="E76" s="9">
        <v>4377214.29</v>
      </c>
      <c r="F76" s="9"/>
      <c r="G76" s="36">
        <f t="shared" si="2"/>
        <v>-4377214.29</v>
      </c>
      <c r="H76" s="36">
        <f t="shared" si="3"/>
        <v>-4377214.29</v>
      </c>
      <c r="J76" s="16" t="e">
        <v>#N/A</v>
      </c>
    </row>
    <row r="77" spans="1:10" x14ac:dyDescent="0.35">
      <c r="A77" s="4" t="s">
        <v>6</v>
      </c>
      <c r="B77" s="46"/>
      <c r="C77" s="11" t="s">
        <v>107</v>
      </c>
      <c r="D77" s="9">
        <v>1161024.71</v>
      </c>
      <c r="E77" s="9">
        <v>840000</v>
      </c>
      <c r="F77" s="9"/>
      <c r="G77" s="36">
        <f t="shared" si="2"/>
        <v>-840000</v>
      </c>
      <c r="H77" s="36">
        <f t="shared" si="3"/>
        <v>-1161024.71</v>
      </c>
      <c r="J77" s="16" t="e">
        <v>#N/A</v>
      </c>
    </row>
    <row r="78" spans="1:10" x14ac:dyDescent="0.35">
      <c r="A78" s="4" t="s">
        <v>6</v>
      </c>
      <c r="B78" s="46"/>
      <c r="C78" s="11" t="s">
        <v>108</v>
      </c>
      <c r="D78" s="9">
        <v>43085046.270000003</v>
      </c>
      <c r="E78" s="9">
        <v>43085046.270000003</v>
      </c>
      <c r="F78" s="9">
        <v>43085045.939999998</v>
      </c>
      <c r="G78" s="36">
        <f t="shared" si="2"/>
        <v>-0.33000000566244125</v>
      </c>
      <c r="H78" s="36">
        <f t="shared" si="3"/>
        <v>-0.33000000566244125</v>
      </c>
      <c r="J78" s="16" t="s">
        <v>1333</v>
      </c>
    </row>
    <row r="79" spans="1:10" x14ac:dyDescent="0.35">
      <c r="A79" s="4" t="s">
        <v>6</v>
      </c>
      <c r="B79" s="46"/>
      <c r="C79" s="11" t="s">
        <v>858</v>
      </c>
      <c r="D79" s="9"/>
      <c r="E79" s="9"/>
      <c r="F79" s="9">
        <v>418729.54</v>
      </c>
      <c r="G79" s="36">
        <f t="shared" si="2"/>
        <v>418729.54</v>
      </c>
      <c r="H79" s="36">
        <f t="shared" si="3"/>
        <v>418729.54</v>
      </c>
      <c r="J79" s="16" t="s">
        <v>1334</v>
      </c>
    </row>
    <row r="80" spans="1:10" x14ac:dyDescent="0.35">
      <c r="A80" s="4" t="s">
        <v>6</v>
      </c>
      <c r="B80" s="46"/>
      <c r="C80" s="11" t="s">
        <v>110</v>
      </c>
      <c r="D80" s="9">
        <v>3700458.54</v>
      </c>
      <c r="E80" s="9"/>
      <c r="F80" s="9"/>
      <c r="G80" s="36">
        <f t="shared" si="2"/>
        <v>0</v>
      </c>
      <c r="H80" s="36">
        <f t="shared" si="3"/>
        <v>-3700458.54</v>
      </c>
      <c r="J80" s="16" t="s">
        <v>1335</v>
      </c>
    </row>
    <row r="81" spans="1:10" x14ac:dyDescent="0.35">
      <c r="A81" s="4" t="s">
        <v>6</v>
      </c>
      <c r="B81" s="46"/>
      <c r="C81" s="11" t="s">
        <v>859</v>
      </c>
      <c r="D81" s="9"/>
      <c r="E81" s="9"/>
      <c r="F81" s="9">
        <v>667634.96</v>
      </c>
      <c r="G81" s="36">
        <f t="shared" si="2"/>
        <v>667634.96</v>
      </c>
      <c r="H81" s="36">
        <f t="shared" si="3"/>
        <v>667634.96</v>
      </c>
      <c r="J81" s="16" t="s">
        <v>1336</v>
      </c>
    </row>
    <row r="82" spans="1:10" x14ac:dyDescent="0.35">
      <c r="A82" s="4" t="s">
        <v>6</v>
      </c>
      <c r="B82" s="46"/>
      <c r="C82" s="11" t="s">
        <v>860</v>
      </c>
      <c r="D82" s="9"/>
      <c r="E82" s="9"/>
      <c r="F82" s="9">
        <v>1241330.71</v>
      </c>
      <c r="G82" s="36">
        <f t="shared" si="2"/>
        <v>1241330.71</v>
      </c>
      <c r="H82" s="36">
        <f t="shared" si="3"/>
        <v>1241330.71</v>
      </c>
      <c r="J82" s="16" t="s">
        <v>1337</v>
      </c>
    </row>
    <row r="83" spans="1:10" x14ac:dyDescent="0.35">
      <c r="A83" s="4" t="s">
        <v>6</v>
      </c>
      <c r="B83" s="46"/>
      <c r="C83" s="11" t="s">
        <v>104</v>
      </c>
      <c r="D83" s="9">
        <v>840000</v>
      </c>
      <c r="E83" s="9"/>
      <c r="F83" s="9"/>
      <c r="G83" s="36">
        <f t="shared" si="2"/>
        <v>0</v>
      </c>
      <c r="H83" s="36">
        <f t="shared" si="3"/>
        <v>-840000</v>
      </c>
      <c r="J83" s="16" t="s">
        <v>1338</v>
      </c>
    </row>
    <row r="84" spans="1:10" x14ac:dyDescent="0.35">
      <c r="A84" s="4" t="s">
        <v>6</v>
      </c>
      <c r="B84" s="46"/>
      <c r="C84" s="11" t="s">
        <v>109</v>
      </c>
      <c r="D84" s="9">
        <v>2096653.8</v>
      </c>
      <c r="E84" s="9">
        <v>2096653.8</v>
      </c>
      <c r="F84" s="9">
        <v>2096653.78</v>
      </c>
      <c r="G84" s="36">
        <f t="shared" si="2"/>
        <v>-2.0000000018626451E-2</v>
      </c>
      <c r="H84" s="36">
        <f t="shared" si="3"/>
        <v>-2.0000000018626451E-2</v>
      </c>
      <c r="J84" s="16" t="s">
        <v>1339</v>
      </c>
    </row>
    <row r="85" spans="1:10" x14ac:dyDescent="0.35">
      <c r="A85" s="4" t="s">
        <v>6</v>
      </c>
      <c r="B85" s="46"/>
      <c r="C85" s="11" t="s">
        <v>105</v>
      </c>
      <c r="D85" s="9">
        <v>93916828.200000003</v>
      </c>
      <c r="E85" s="9">
        <v>93916828.200000003</v>
      </c>
      <c r="F85" s="9">
        <v>94152343.939999998</v>
      </c>
      <c r="G85" s="36">
        <f t="shared" si="2"/>
        <v>235515.73999999464</v>
      </c>
      <c r="H85" s="36">
        <f t="shared" si="3"/>
        <v>235515.73999999464</v>
      </c>
      <c r="J85" s="16" t="s">
        <v>1340</v>
      </c>
    </row>
    <row r="86" spans="1:10" x14ac:dyDescent="0.35">
      <c r="A86" s="4" t="s">
        <v>6</v>
      </c>
      <c r="B86" s="46"/>
      <c r="C86" s="11" t="s">
        <v>861</v>
      </c>
      <c r="D86" s="9"/>
      <c r="E86" s="9"/>
      <c r="F86" s="9">
        <v>376293.56</v>
      </c>
      <c r="G86" s="36">
        <f t="shared" si="2"/>
        <v>376293.56</v>
      </c>
      <c r="H86" s="36">
        <f t="shared" si="3"/>
        <v>376293.56</v>
      </c>
      <c r="J86" s="16" t="s">
        <v>1341</v>
      </c>
    </row>
    <row r="87" spans="1:10" x14ac:dyDescent="0.35">
      <c r="A87" s="4" t="s">
        <v>6</v>
      </c>
      <c r="B87" s="46"/>
      <c r="C87" s="11" t="s">
        <v>98</v>
      </c>
      <c r="D87" s="9">
        <v>419126.5</v>
      </c>
      <c r="E87" s="9">
        <v>419126.5</v>
      </c>
      <c r="F87" s="9">
        <v>419126.49</v>
      </c>
      <c r="G87" s="36">
        <f t="shared" si="2"/>
        <v>-1.0000000009313226E-2</v>
      </c>
      <c r="H87" s="36">
        <f t="shared" si="3"/>
        <v>-1.0000000009313226E-2</v>
      </c>
      <c r="J87" s="16" t="s">
        <v>1342</v>
      </c>
    </row>
    <row r="88" spans="1:10" x14ac:dyDescent="0.35">
      <c r="A88" s="4" t="s">
        <v>6</v>
      </c>
      <c r="B88" s="46"/>
      <c r="C88" s="11" t="s">
        <v>862</v>
      </c>
      <c r="D88" s="9"/>
      <c r="E88" s="9"/>
      <c r="F88" s="9">
        <v>262801.96999999997</v>
      </c>
      <c r="G88" s="36">
        <f t="shared" si="2"/>
        <v>262801.96999999997</v>
      </c>
      <c r="H88" s="36">
        <f t="shared" si="3"/>
        <v>262801.96999999997</v>
      </c>
      <c r="J88" s="16" t="s">
        <v>1343</v>
      </c>
    </row>
    <row r="89" spans="1:10" x14ac:dyDescent="0.35">
      <c r="A89" s="4" t="s">
        <v>6</v>
      </c>
      <c r="B89" s="46"/>
      <c r="C89" s="11" t="s">
        <v>845</v>
      </c>
      <c r="D89" s="9"/>
      <c r="E89" s="9"/>
      <c r="F89" s="9">
        <v>2140000</v>
      </c>
      <c r="G89" s="36">
        <f t="shared" si="2"/>
        <v>2140000</v>
      </c>
      <c r="H89" s="36">
        <f t="shared" si="3"/>
        <v>2140000</v>
      </c>
      <c r="J89" s="16" t="e">
        <v>#N/A</v>
      </c>
    </row>
    <row r="90" spans="1:10" x14ac:dyDescent="0.35">
      <c r="A90" s="4" t="s">
        <v>6</v>
      </c>
      <c r="B90" s="46"/>
      <c r="C90" s="11" t="s">
        <v>863</v>
      </c>
      <c r="D90" s="9"/>
      <c r="E90" s="9"/>
      <c r="F90" s="9">
        <v>457287.66</v>
      </c>
      <c r="G90" s="36">
        <f t="shared" si="2"/>
        <v>457287.66</v>
      </c>
      <c r="H90" s="36">
        <f t="shared" si="3"/>
        <v>457287.66</v>
      </c>
      <c r="J90" s="16" t="s">
        <v>1344</v>
      </c>
    </row>
    <row r="91" spans="1:10" x14ac:dyDescent="0.35">
      <c r="A91" s="4" t="s">
        <v>6</v>
      </c>
      <c r="B91" s="46"/>
      <c r="C91" s="11" t="s">
        <v>106</v>
      </c>
      <c r="D91" s="9">
        <v>321024.71000000002</v>
      </c>
      <c r="E91" s="9"/>
      <c r="F91" s="9"/>
      <c r="G91" s="36">
        <f t="shared" si="2"/>
        <v>0</v>
      </c>
      <c r="H91" s="36">
        <f t="shared" si="3"/>
        <v>-321024.71000000002</v>
      </c>
      <c r="J91" s="16" t="s">
        <v>1345</v>
      </c>
    </row>
    <row r="92" spans="1:10" x14ac:dyDescent="0.35">
      <c r="A92" s="4" t="s">
        <v>6</v>
      </c>
      <c r="B92" s="46"/>
      <c r="C92" s="11" t="s">
        <v>102</v>
      </c>
      <c r="D92" s="9">
        <v>68032988.819999993</v>
      </c>
      <c r="E92" s="9">
        <v>68032988.819999993</v>
      </c>
      <c r="F92" s="9">
        <v>68032988.010000005</v>
      </c>
      <c r="G92" s="36">
        <f t="shared" si="2"/>
        <v>-0.8099999874830246</v>
      </c>
      <c r="H92" s="36">
        <f t="shared" si="3"/>
        <v>-0.8099999874830246</v>
      </c>
      <c r="J92" s="16" t="s">
        <v>1346</v>
      </c>
    </row>
    <row r="93" spans="1:10" x14ac:dyDescent="0.35">
      <c r="A93" s="4" t="s">
        <v>6</v>
      </c>
      <c r="B93" s="46"/>
      <c r="C93" s="11" t="s">
        <v>103</v>
      </c>
      <c r="D93" s="9">
        <v>1300000</v>
      </c>
      <c r="E93" s="9"/>
      <c r="F93" s="9"/>
      <c r="G93" s="36">
        <f t="shared" si="2"/>
        <v>0</v>
      </c>
      <c r="H93" s="36">
        <f t="shared" si="3"/>
        <v>-1300000</v>
      </c>
      <c r="J93" s="16" t="s">
        <v>1347</v>
      </c>
    </row>
    <row r="94" spans="1:10" x14ac:dyDescent="0.35">
      <c r="A94" s="4" t="s">
        <v>6</v>
      </c>
      <c r="B94" s="4"/>
      <c r="C94" s="27" t="s">
        <v>529</v>
      </c>
      <c r="D94" s="28">
        <f>SUM(D76:D93)</f>
        <v>219250365.84</v>
      </c>
      <c r="E94" s="28">
        <f>SUM(E76:E93)</f>
        <v>212767857.88</v>
      </c>
      <c r="F94" s="28">
        <f>SUM(F76:F93)</f>
        <v>213350236.56</v>
      </c>
      <c r="G94" s="36">
        <f t="shared" si="2"/>
        <v>582378.68000000715</v>
      </c>
      <c r="H94" s="36">
        <f t="shared" si="3"/>
        <v>-5900129.2800000012</v>
      </c>
      <c r="J94" s="16" t="e">
        <v>#N/A</v>
      </c>
    </row>
    <row r="95" spans="1:10" x14ac:dyDescent="0.35">
      <c r="A95" s="4" t="s">
        <v>7</v>
      </c>
      <c r="B95" s="47" t="s">
        <v>26</v>
      </c>
      <c r="C95" s="11" t="s">
        <v>141</v>
      </c>
      <c r="D95" s="9">
        <v>64980169.340000004</v>
      </c>
      <c r="E95" s="9">
        <v>64980169.340000004</v>
      </c>
      <c r="F95" s="9">
        <v>64978784.090000004</v>
      </c>
      <c r="G95" s="36">
        <f t="shared" si="2"/>
        <v>-1385.25</v>
      </c>
      <c r="H95" s="36">
        <f t="shared" si="3"/>
        <v>-1385.25</v>
      </c>
      <c r="J95" s="16" t="s">
        <v>1348</v>
      </c>
    </row>
    <row r="96" spans="1:10" x14ac:dyDescent="0.35">
      <c r="A96" s="4" t="s">
        <v>7</v>
      </c>
      <c r="B96" s="47"/>
      <c r="C96" s="11" t="s">
        <v>142</v>
      </c>
      <c r="D96" s="9">
        <v>15788495.880000001</v>
      </c>
      <c r="E96" s="9">
        <v>15788495.880000001</v>
      </c>
      <c r="F96" s="9">
        <v>15788300.26</v>
      </c>
      <c r="G96" s="36">
        <f t="shared" si="2"/>
        <v>-195.62000000104308</v>
      </c>
      <c r="H96" s="36">
        <f t="shared" si="3"/>
        <v>-195.62000000104308</v>
      </c>
      <c r="J96" s="16" t="s">
        <v>1349</v>
      </c>
    </row>
    <row r="97" spans="1:10" x14ac:dyDescent="0.35">
      <c r="A97" s="4" t="s">
        <v>7</v>
      </c>
      <c r="B97" s="47"/>
      <c r="C97" s="11" t="s">
        <v>143</v>
      </c>
      <c r="D97" s="9">
        <v>17828.38</v>
      </c>
      <c r="E97" s="9">
        <v>17828.38</v>
      </c>
      <c r="F97" s="9">
        <v>17828.25</v>
      </c>
      <c r="G97" s="36">
        <f t="shared" si="2"/>
        <v>-0.13000000000101863</v>
      </c>
      <c r="H97" s="36">
        <f t="shared" si="3"/>
        <v>-0.13000000000101863</v>
      </c>
      <c r="J97" s="16" t="s">
        <v>1350</v>
      </c>
    </row>
    <row r="98" spans="1:10" x14ac:dyDescent="0.35">
      <c r="A98" s="4" t="s">
        <v>7</v>
      </c>
      <c r="B98" s="47"/>
      <c r="C98" s="11" t="s">
        <v>125</v>
      </c>
      <c r="D98" s="9">
        <v>329.95</v>
      </c>
      <c r="E98" s="9">
        <v>329.95</v>
      </c>
      <c r="F98" s="9">
        <v>329.94</v>
      </c>
      <c r="G98" s="36">
        <f t="shared" si="2"/>
        <v>-9.9999999999909051E-3</v>
      </c>
      <c r="H98" s="36">
        <f t="shared" si="3"/>
        <v>-9.9999999999909051E-3</v>
      </c>
      <c r="J98" s="16" t="s">
        <v>1351</v>
      </c>
    </row>
    <row r="99" spans="1:10" x14ac:dyDescent="0.35">
      <c r="A99" s="4" t="s">
        <v>7</v>
      </c>
      <c r="B99" s="47"/>
      <c r="C99" s="11" t="s">
        <v>126</v>
      </c>
      <c r="D99" s="9">
        <v>96886.57</v>
      </c>
      <c r="E99" s="9">
        <v>96886.57</v>
      </c>
      <c r="F99" s="9">
        <v>96886.25</v>
      </c>
      <c r="G99" s="36">
        <f t="shared" si="2"/>
        <v>-0.32000000000698492</v>
      </c>
      <c r="H99" s="36">
        <f t="shared" si="3"/>
        <v>-0.32000000000698492</v>
      </c>
      <c r="J99" s="16" t="s">
        <v>1352</v>
      </c>
    </row>
    <row r="100" spans="1:10" x14ac:dyDescent="0.35">
      <c r="A100" s="4" t="s">
        <v>7</v>
      </c>
      <c r="B100" s="47"/>
      <c r="C100" s="11" t="s">
        <v>129</v>
      </c>
      <c r="D100" s="9">
        <v>15476.48</v>
      </c>
      <c r="E100" s="9">
        <v>15476.48</v>
      </c>
      <c r="F100" s="9">
        <v>15476.01</v>
      </c>
      <c r="G100" s="36">
        <f t="shared" ref="G100:G163" si="4">F100-E100</f>
        <v>-0.46999999999934516</v>
      </c>
      <c r="H100" s="36">
        <f t="shared" ref="H100:H163" si="5">F100-D100</f>
        <v>-0.46999999999934516</v>
      </c>
      <c r="J100" s="16" t="s">
        <v>1353</v>
      </c>
    </row>
    <row r="101" spans="1:10" x14ac:dyDescent="0.35">
      <c r="A101" s="4" t="s">
        <v>7</v>
      </c>
      <c r="B101" s="47"/>
      <c r="C101" s="11" t="s">
        <v>130</v>
      </c>
      <c r="D101" s="9">
        <v>133019.1</v>
      </c>
      <c r="E101" s="9">
        <v>133019.1</v>
      </c>
      <c r="F101" s="9">
        <v>133014.81</v>
      </c>
      <c r="G101" s="36">
        <f t="shared" si="4"/>
        <v>-4.2900000000081491</v>
      </c>
      <c r="H101" s="36">
        <f t="shared" si="5"/>
        <v>-4.2900000000081491</v>
      </c>
      <c r="J101" s="16" t="s">
        <v>1354</v>
      </c>
    </row>
    <row r="102" spans="1:10" x14ac:dyDescent="0.35">
      <c r="A102" s="4" t="s">
        <v>7</v>
      </c>
      <c r="B102" s="47"/>
      <c r="C102" s="11" t="s">
        <v>127</v>
      </c>
      <c r="D102" s="9">
        <v>9235.15</v>
      </c>
      <c r="E102" s="9">
        <v>9235.15</v>
      </c>
      <c r="F102" s="9">
        <v>9235.06</v>
      </c>
      <c r="G102" s="36">
        <f t="shared" si="4"/>
        <v>-9.0000000000145519E-2</v>
      </c>
      <c r="H102" s="36">
        <f t="shared" si="5"/>
        <v>-9.0000000000145519E-2</v>
      </c>
      <c r="J102" s="16" t="s">
        <v>1355</v>
      </c>
    </row>
    <row r="103" spans="1:10" x14ac:dyDescent="0.35">
      <c r="A103" s="4" t="s">
        <v>7</v>
      </c>
      <c r="B103" s="47"/>
      <c r="C103" s="11" t="s">
        <v>128</v>
      </c>
      <c r="D103" s="9">
        <v>11908.29</v>
      </c>
      <c r="E103" s="9">
        <v>11908.29</v>
      </c>
      <c r="F103" s="9">
        <v>11907.87</v>
      </c>
      <c r="G103" s="36">
        <f t="shared" si="4"/>
        <v>-0.42000000000007276</v>
      </c>
      <c r="H103" s="36">
        <f t="shared" si="5"/>
        <v>-0.42000000000007276</v>
      </c>
      <c r="J103" s="16" t="s">
        <v>1356</v>
      </c>
    </row>
    <row r="104" spans="1:10" x14ac:dyDescent="0.35">
      <c r="A104" s="4" t="s">
        <v>7</v>
      </c>
      <c r="B104" s="47"/>
      <c r="C104" s="11" t="s">
        <v>845</v>
      </c>
      <c r="D104" s="9"/>
      <c r="E104" s="9"/>
      <c r="F104" s="9">
        <v>0</v>
      </c>
      <c r="G104" s="36">
        <f t="shared" si="4"/>
        <v>0</v>
      </c>
      <c r="H104" s="36">
        <f t="shared" si="5"/>
        <v>0</v>
      </c>
      <c r="J104" s="16" t="e">
        <v>#N/A</v>
      </c>
    </row>
    <row r="105" spans="1:10" x14ac:dyDescent="0.35">
      <c r="A105" s="4" t="s">
        <v>7</v>
      </c>
      <c r="B105" s="47"/>
      <c r="C105" s="11" t="s">
        <v>131</v>
      </c>
      <c r="D105" s="9">
        <v>0</v>
      </c>
      <c r="E105" s="9">
        <v>0</v>
      </c>
      <c r="F105" s="9">
        <v>0</v>
      </c>
      <c r="G105" s="36">
        <f t="shared" si="4"/>
        <v>0</v>
      </c>
      <c r="H105" s="36">
        <f t="shared" si="5"/>
        <v>0</v>
      </c>
      <c r="J105" s="16" t="s">
        <v>1357</v>
      </c>
    </row>
    <row r="106" spans="1:10" x14ac:dyDescent="0.35">
      <c r="A106" s="4" t="s">
        <v>7</v>
      </c>
      <c r="B106" s="47"/>
      <c r="C106" s="11" t="s">
        <v>132</v>
      </c>
      <c r="D106" s="9">
        <v>52.98</v>
      </c>
      <c r="E106" s="9">
        <v>52.98</v>
      </c>
      <c r="F106" s="9">
        <v>52.97</v>
      </c>
      <c r="G106" s="36">
        <f t="shared" si="4"/>
        <v>-9.9999999999980105E-3</v>
      </c>
      <c r="H106" s="36">
        <f t="shared" si="5"/>
        <v>-9.9999999999980105E-3</v>
      </c>
      <c r="J106" s="16" t="s">
        <v>1358</v>
      </c>
    </row>
    <row r="107" spans="1:10" x14ac:dyDescent="0.35">
      <c r="A107" s="4" t="s">
        <v>7</v>
      </c>
      <c r="B107" s="47"/>
      <c r="C107" s="11" t="s">
        <v>146</v>
      </c>
      <c r="D107" s="9">
        <v>48719.11</v>
      </c>
      <c r="E107" s="9">
        <v>48719.11</v>
      </c>
      <c r="F107" s="9">
        <v>48718.14</v>
      </c>
      <c r="G107" s="36">
        <f t="shared" si="4"/>
        <v>-0.97000000000116415</v>
      </c>
      <c r="H107" s="36">
        <f t="shared" si="5"/>
        <v>-0.97000000000116415</v>
      </c>
      <c r="J107" s="16" t="s">
        <v>1359</v>
      </c>
    </row>
    <row r="108" spans="1:10" x14ac:dyDescent="0.35">
      <c r="A108" s="4" t="s">
        <v>7</v>
      </c>
      <c r="B108" s="47"/>
      <c r="C108" s="11" t="s">
        <v>147</v>
      </c>
      <c r="D108" s="9">
        <v>455159.36</v>
      </c>
      <c r="E108" s="9">
        <v>455159.36</v>
      </c>
      <c r="F108" s="9">
        <v>455156.08</v>
      </c>
      <c r="G108" s="36">
        <f t="shared" si="4"/>
        <v>-3.279999999969732</v>
      </c>
      <c r="H108" s="36">
        <f t="shared" si="5"/>
        <v>-3.279999999969732</v>
      </c>
      <c r="J108" s="16" t="s">
        <v>1360</v>
      </c>
    </row>
    <row r="109" spans="1:10" x14ac:dyDescent="0.35">
      <c r="A109" s="4" t="s">
        <v>7</v>
      </c>
      <c r="B109" s="47"/>
      <c r="C109" s="11" t="s">
        <v>148</v>
      </c>
      <c r="D109" s="9">
        <v>1505314.1</v>
      </c>
      <c r="E109" s="9">
        <v>1505314.1</v>
      </c>
      <c r="F109" s="9">
        <v>1505304.87</v>
      </c>
      <c r="G109" s="36">
        <f t="shared" si="4"/>
        <v>-9.2299999999813735</v>
      </c>
      <c r="H109" s="36">
        <f t="shared" si="5"/>
        <v>-9.2299999999813735</v>
      </c>
      <c r="J109" s="16" t="s">
        <v>1361</v>
      </c>
    </row>
    <row r="110" spans="1:10" x14ac:dyDescent="0.35">
      <c r="A110" s="4" t="s">
        <v>7</v>
      </c>
      <c r="B110" s="47"/>
      <c r="C110" s="11" t="s">
        <v>150</v>
      </c>
      <c r="D110" s="9">
        <v>19223.79</v>
      </c>
      <c r="E110" s="9">
        <v>19223.79</v>
      </c>
      <c r="F110" s="9">
        <v>19223.419999999998</v>
      </c>
      <c r="G110" s="36">
        <f t="shared" si="4"/>
        <v>-0.37000000000261934</v>
      </c>
      <c r="H110" s="36">
        <f t="shared" si="5"/>
        <v>-0.37000000000261934</v>
      </c>
      <c r="J110" s="16" t="s">
        <v>1362</v>
      </c>
    </row>
    <row r="111" spans="1:10" x14ac:dyDescent="0.35">
      <c r="A111" s="4" t="s">
        <v>7</v>
      </c>
      <c r="B111" s="47"/>
      <c r="C111" s="11" t="s">
        <v>149</v>
      </c>
      <c r="D111" s="9">
        <v>32489510.140000001</v>
      </c>
      <c r="E111" s="9">
        <v>32489510.140000001</v>
      </c>
      <c r="F111" s="9">
        <v>32489060.59</v>
      </c>
      <c r="G111" s="36">
        <f t="shared" si="4"/>
        <v>-449.55000000074506</v>
      </c>
      <c r="H111" s="36">
        <f t="shared" si="5"/>
        <v>-449.55000000074506</v>
      </c>
      <c r="J111" s="16" t="s">
        <v>1363</v>
      </c>
    </row>
    <row r="112" spans="1:10" x14ac:dyDescent="0.35">
      <c r="A112" s="4" t="s">
        <v>7</v>
      </c>
      <c r="B112" s="47"/>
      <c r="C112" s="11"/>
      <c r="D112" s="9"/>
      <c r="E112" s="9"/>
      <c r="F112" s="9">
        <v>0</v>
      </c>
      <c r="G112" s="36">
        <f t="shared" si="4"/>
        <v>0</v>
      </c>
      <c r="H112" s="36">
        <f t="shared" si="5"/>
        <v>0</v>
      </c>
      <c r="J112" s="16" t="e">
        <v>#N/A</v>
      </c>
    </row>
    <row r="113" spans="1:10" x14ac:dyDescent="0.35">
      <c r="A113" s="4" t="s">
        <v>7</v>
      </c>
      <c r="B113" s="47"/>
      <c r="C113" s="11" t="s">
        <v>133</v>
      </c>
      <c r="D113" s="9">
        <v>5171.16</v>
      </c>
      <c r="E113" s="9">
        <v>5171.16</v>
      </c>
      <c r="F113" s="9">
        <v>5171.01</v>
      </c>
      <c r="G113" s="36">
        <f t="shared" si="4"/>
        <v>-0.1499999999996362</v>
      </c>
      <c r="H113" s="36">
        <f t="shared" si="5"/>
        <v>-0.1499999999996362</v>
      </c>
      <c r="J113" s="16" t="s">
        <v>1364</v>
      </c>
    </row>
    <row r="114" spans="1:10" x14ac:dyDescent="0.35">
      <c r="A114" s="4" t="s">
        <v>7</v>
      </c>
      <c r="B114" s="47"/>
      <c r="C114" s="11" t="s">
        <v>144</v>
      </c>
      <c r="D114" s="9">
        <v>283714.78000000003</v>
      </c>
      <c r="E114" s="9">
        <v>283714.78000000003</v>
      </c>
      <c r="F114" s="9">
        <v>283708.07</v>
      </c>
      <c r="G114" s="36">
        <f t="shared" si="4"/>
        <v>-6.7100000000209548</v>
      </c>
      <c r="H114" s="36">
        <f t="shared" si="5"/>
        <v>-6.7100000000209548</v>
      </c>
      <c r="J114" s="16" t="s">
        <v>1365</v>
      </c>
    </row>
    <row r="115" spans="1:10" x14ac:dyDescent="0.35">
      <c r="A115" s="4" t="s">
        <v>7</v>
      </c>
      <c r="B115" s="47"/>
      <c r="C115" s="11" t="s">
        <v>136</v>
      </c>
      <c r="D115" s="9">
        <v>38353.03</v>
      </c>
      <c r="E115" s="9">
        <v>38353.03</v>
      </c>
      <c r="F115" s="9">
        <v>38351.89</v>
      </c>
      <c r="G115" s="36">
        <f t="shared" si="4"/>
        <v>-1.1399999999994179</v>
      </c>
      <c r="H115" s="36">
        <f t="shared" si="5"/>
        <v>-1.1399999999994179</v>
      </c>
      <c r="J115" s="16" t="s">
        <v>1366</v>
      </c>
    </row>
    <row r="116" spans="1:10" x14ac:dyDescent="0.35">
      <c r="A116" s="4" t="s">
        <v>7</v>
      </c>
      <c r="B116" s="47"/>
      <c r="C116" s="11" t="s">
        <v>135</v>
      </c>
      <c r="D116" s="9">
        <v>919775.74</v>
      </c>
      <c r="E116" s="9">
        <v>919775.74</v>
      </c>
      <c r="F116" s="9">
        <v>919768.94</v>
      </c>
      <c r="G116" s="36">
        <f t="shared" si="4"/>
        <v>-6.8000000000465661</v>
      </c>
      <c r="H116" s="36">
        <f t="shared" si="5"/>
        <v>-6.8000000000465661</v>
      </c>
      <c r="J116" s="16" t="s">
        <v>1367</v>
      </c>
    </row>
    <row r="117" spans="1:10" x14ac:dyDescent="0.35">
      <c r="A117" s="4" t="s">
        <v>7</v>
      </c>
      <c r="B117" s="47"/>
      <c r="C117" s="11" t="s">
        <v>145</v>
      </c>
      <c r="D117" s="9">
        <v>46250.7</v>
      </c>
      <c r="E117" s="9">
        <v>46250.7</v>
      </c>
      <c r="F117" s="9">
        <v>46250.51</v>
      </c>
      <c r="G117" s="36">
        <f t="shared" si="4"/>
        <v>-0.18999999999505235</v>
      </c>
      <c r="H117" s="36">
        <f t="shared" si="5"/>
        <v>-0.18999999999505235</v>
      </c>
      <c r="J117" s="16" t="s">
        <v>1368</v>
      </c>
    </row>
    <row r="118" spans="1:10" x14ac:dyDescent="0.35">
      <c r="A118" s="4" t="s">
        <v>7</v>
      </c>
      <c r="B118" s="47"/>
      <c r="C118" s="11" t="s">
        <v>107</v>
      </c>
      <c r="D118" s="9">
        <v>0</v>
      </c>
      <c r="E118" s="9">
        <v>0</v>
      </c>
      <c r="F118" s="9"/>
      <c r="G118" s="36">
        <f t="shared" si="4"/>
        <v>0</v>
      </c>
      <c r="H118" s="36">
        <f t="shared" si="5"/>
        <v>0</v>
      </c>
      <c r="J118" s="16" t="e">
        <v>#N/A</v>
      </c>
    </row>
    <row r="119" spans="1:10" x14ac:dyDescent="0.35">
      <c r="A119" s="4" t="s">
        <v>7</v>
      </c>
      <c r="B119" s="47"/>
      <c r="C119" s="11" t="s">
        <v>111</v>
      </c>
      <c r="D119" s="9">
        <v>8.3800000000000008</v>
      </c>
      <c r="E119" s="9">
        <v>8.3800000000000008</v>
      </c>
      <c r="F119" s="9">
        <v>8.36</v>
      </c>
      <c r="G119" s="36">
        <f t="shared" si="4"/>
        <v>-2.000000000000135E-2</v>
      </c>
      <c r="H119" s="36">
        <f t="shared" si="5"/>
        <v>-2.000000000000135E-2</v>
      </c>
      <c r="J119" s="16" t="s">
        <v>1369</v>
      </c>
    </row>
    <row r="120" spans="1:10" x14ac:dyDescent="0.35">
      <c r="A120" s="4" t="s">
        <v>7</v>
      </c>
      <c r="B120" s="47"/>
      <c r="C120" s="11" t="s">
        <v>137</v>
      </c>
      <c r="D120" s="9">
        <v>85.81</v>
      </c>
      <c r="E120" s="9">
        <v>85.81</v>
      </c>
      <c r="F120" s="9">
        <v>85.78</v>
      </c>
      <c r="G120" s="36">
        <f t="shared" si="4"/>
        <v>-3.0000000000001137E-2</v>
      </c>
      <c r="H120" s="36">
        <f t="shared" si="5"/>
        <v>-3.0000000000001137E-2</v>
      </c>
      <c r="J120" s="16" t="s">
        <v>1370</v>
      </c>
    </row>
    <row r="121" spans="1:10" x14ac:dyDescent="0.35">
      <c r="A121" s="4" t="s">
        <v>7</v>
      </c>
      <c r="B121" s="47"/>
      <c r="C121" s="11" t="s">
        <v>138</v>
      </c>
      <c r="D121" s="9">
        <v>0</v>
      </c>
      <c r="E121" s="9">
        <v>0</v>
      </c>
      <c r="F121" s="9">
        <v>0</v>
      </c>
      <c r="G121" s="36">
        <f t="shared" si="4"/>
        <v>0</v>
      </c>
      <c r="H121" s="36">
        <f t="shared" si="5"/>
        <v>0</v>
      </c>
      <c r="J121" s="16" t="s">
        <v>1371</v>
      </c>
    </row>
    <row r="122" spans="1:10" x14ac:dyDescent="0.35">
      <c r="A122" s="4" t="s">
        <v>7</v>
      </c>
      <c r="B122" s="47"/>
      <c r="C122" s="11" t="s">
        <v>139</v>
      </c>
      <c r="D122" s="9">
        <v>710345.82</v>
      </c>
      <c r="E122" s="9">
        <v>710345.82</v>
      </c>
      <c r="F122" s="9">
        <v>710345.2</v>
      </c>
      <c r="G122" s="36">
        <f t="shared" si="4"/>
        <v>-0.61999999999534339</v>
      </c>
      <c r="H122" s="36">
        <f t="shared" si="5"/>
        <v>-0.61999999999534339</v>
      </c>
      <c r="J122" s="16" t="s">
        <v>1372</v>
      </c>
    </row>
    <row r="123" spans="1:10" x14ac:dyDescent="0.35">
      <c r="A123" s="4" t="s">
        <v>7</v>
      </c>
      <c r="B123" s="47"/>
      <c r="C123" s="11" t="s">
        <v>140</v>
      </c>
      <c r="D123" s="9">
        <v>808531.32</v>
      </c>
      <c r="E123" s="9">
        <v>808531.32</v>
      </c>
      <c r="F123" s="9">
        <v>808527.11</v>
      </c>
      <c r="G123" s="36">
        <f t="shared" si="4"/>
        <v>-4.2099999999627471</v>
      </c>
      <c r="H123" s="36">
        <f t="shared" si="5"/>
        <v>-4.2099999999627471</v>
      </c>
      <c r="J123" s="16" t="s">
        <v>1373</v>
      </c>
    </row>
    <row r="124" spans="1:10" x14ac:dyDescent="0.35">
      <c r="A124" s="4" t="s">
        <v>7</v>
      </c>
      <c r="B124" s="47"/>
      <c r="C124" s="11" t="s">
        <v>112</v>
      </c>
      <c r="D124" s="9">
        <v>-2545047</v>
      </c>
      <c r="E124" s="9">
        <v>-2545047</v>
      </c>
      <c r="F124" s="9">
        <v>-2549592.2200000002</v>
      </c>
      <c r="G124" s="36">
        <f t="shared" si="4"/>
        <v>-4545.2200000002049</v>
      </c>
      <c r="H124" s="36">
        <f t="shared" si="5"/>
        <v>-4545.2200000002049</v>
      </c>
      <c r="J124" s="16" t="s">
        <v>1374</v>
      </c>
    </row>
    <row r="125" spans="1:10" x14ac:dyDescent="0.35">
      <c r="A125" s="4" t="s">
        <v>7</v>
      </c>
      <c r="B125" s="47"/>
      <c r="C125" s="11" t="s">
        <v>116</v>
      </c>
      <c r="D125" s="9">
        <v>398.2</v>
      </c>
      <c r="E125" s="9">
        <v>398.2</v>
      </c>
      <c r="F125" s="9">
        <v>398.19</v>
      </c>
      <c r="G125" s="36">
        <f t="shared" si="4"/>
        <v>-9.9999999999909051E-3</v>
      </c>
      <c r="H125" s="36">
        <f t="shared" si="5"/>
        <v>-9.9999999999909051E-3</v>
      </c>
      <c r="J125" s="16" t="s">
        <v>1375</v>
      </c>
    </row>
    <row r="126" spans="1:10" x14ac:dyDescent="0.35">
      <c r="A126" s="4" t="s">
        <v>7</v>
      </c>
      <c r="B126" s="47"/>
      <c r="C126" s="11" t="s">
        <v>115</v>
      </c>
      <c r="D126" s="9">
        <v>668488.18999999994</v>
      </c>
      <c r="E126" s="9">
        <v>668488.18999999994</v>
      </c>
      <c r="F126" s="9">
        <v>668469.81999999995</v>
      </c>
      <c r="G126" s="36">
        <f t="shared" si="4"/>
        <v>-18.369999999995343</v>
      </c>
      <c r="H126" s="36">
        <f t="shared" si="5"/>
        <v>-18.369999999995343</v>
      </c>
      <c r="J126" s="16" t="s">
        <v>1376</v>
      </c>
    </row>
    <row r="127" spans="1:10" x14ac:dyDescent="0.35">
      <c r="A127" s="4" t="s">
        <v>7</v>
      </c>
      <c r="B127" s="47"/>
      <c r="C127" s="11" t="s">
        <v>117</v>
      </c>
      <c r="D127" s="9">
        <v>48780.2</v>
      </c>
      <c r="E127" s="9">
        <v>48780.2</v>
      </c>
      <c r="F127" s="9">
        <v>48779.07</v>
      </c>
      <c r="G127" s="36">
        <f t="shared" si="4"/>
        <v>-1.1299999999973807</v>
      </c>
      <c r="H127" s="36">
        <f t="shared" si="5"/>
        <v>-1.1299999999973807</v>
      </c>
      <c r="J127" s="16" t="s">
        <v>1377</v>
      </c>
    </row>
    <row r="128" spans="1:10" x14ac:dyDescent="0.35">
      <c r="A128" s="4" t="s">
        <v>7</v>
      </c>
      <c r="B128" s="47"/>
      <c r="C128" s="11" t="s">
        <v>118</v>
      </c>
      <c r="D128" s="9">
        <v>14137.77</v>
      </c>
      <c r="E128" s="9">
        <v>14137.77</v>
      </c>
      <c r="F128" s="9">
        <v>14137.55</v>
      </c>
      <c r="G128" s="36">
        <f t="shared" si="4"/>
        <v>-0.22000000000116415</v>
      </c>
      <c r="H128" s="36">
        <f t="shared" si="5"/>
        <v>-0.22000000000116415</v>
      </c>
      <c r="J128" s="16" t="s">
        <v>1378</v>
      </c>
    </row>
    <row r="129" spans="1:10" x14ac:dyDescent="0.35">
      <c r="A129" s="4" t="s">
        <v>7</v>
      </c>
      <c r="B129" s="47"/>
      <c r="C129" s="11" t="s">
        <v>119</v>
      </c>
      <c r="D129" s="9">
        <v>7083502.6500000004</v>
      </c>
      <c r="E129" s="9">
        <v>7083502.6500000004</v>
      </c>
      <c r="F129" s="9">
        <v>7083418.0599999996</v>
      </c>
      <c r="G129" s="36">
        <f t="shared" si="4"/>
        <v>-84.590000000782311</v>
      </c>
      <c r="H129" s="36">
        <f t="shared" si="5"/>
        <v>-84.590000000782311</v>
      </c>
      <c r="J129" s="16" t="s">
        <v>1379</v>
      </c>
    </row>
    <row r="130" spans="1:10" x14ac:dyDescent="0.35">
      <c r="A130" s="4" t="s">
        <v>7</v>
      </c>
      <c r="B130" s="47"/>
      <c r="C130" s="11" t="s">
        <v>120</v>
      </c>
      <c r="D130" s="9">
        <v>5713.41</v>
      </c>
      <c r="E130" s="9">
        <v>5713.41</v>
      </c>
      <c r="F130" s="9">
        <v>5713.18</v>
      </c>
      <c r="G130" s="36">
        <f t="shared" si="4"/>
        <v>-0.22999999999956344</v>
      </c>
      <c r="H130" s="36">
        <f t="shared" si="5"/>
        <v>-0.22999999999956344</v>
      </c>
      <c r="J130" s="16" t="s">
        <v>1380</v>
      </c>
    </row>
    <row r="131" spans="1:10" x14ac:dyDescent="0.35">
      <c r="A131" s="4" t="s">
        <v>7</v>
      </c>
      <c r="B131" s="47"/>
      <c r="C131" s="11" t="s">
        <v>121</v>
      </c>
      <c r="D131" s="9">
        <v>11399.56</v>
      </c>
      <c r="E131" s="9">
        <v>11399.56</v>
      </c>
      <c r="F131" s="9">
        <v>11399.55</v>
      </c>
      <c r="G131" s="36">
        <f t="shared" si="4"/>
        <v>-1.0000000000218279E-2</v>
      </c>
      <c r="H131" s="36">
        <f t="shared" si="5"/>
        <v>-1.0000000000218279E-2</v>
      </c>
      <c r="J131" s="16" t="s">
        <v>1381</v>
      </c>
    </row>
    <row r="132" spans="1:10" x14ac:dyDescent="0.35">
      <c r="A132" s="4" t="s">
        <v>7</v>
      </c>
      <c r="B132" s="47"/>
      <c r="C132" s="11" t="s">
        <v>122</v>
      </c>
      <c r="D132" s="9">
        <v>1480.87</v>
      </c>
      <c r="E132" s="9">
        <v>1480.87</v>
      </c>
      <c r="F132" s="9">
        <v>1480.82</v>
      </c>
      <c r="G132" s="36">
        <f t="shared" si="4"/>
        <v>-4.9999999999954525E-2</v>
      </c>
      <c r="H132" s="36">
        <f t="shared" si="5"/>
        <v>-4.9999999999954525E-2</v>
      </c>
      <c r="J132" s="16" t="s">
        <v>1382</v>
      </c>
    </row>
    <row r="133" spans="1:10" x14ac:dyDescent="0.35">
      <c r="A133" s="4" t="s">
        <v>7</v>
      </c>
      <c r="B133" s="47"/>
      <c r="C133" s="11" t="s">
        <v>123</v>
      </c>
      <c r="D133" s="9">
        <v>361511.04</v>
      </c>
      <c r="E133" s="9">
        <v>361511.04</v>
      </c>
      <c r="F133" s="9">
        <v>361510.39</v>
      </c>
      <c r="G133" s="36">
        <f t="shared" si="4"/>
        <v>-0.6499999999650754</v>
      </c>
      <c r="H133" s="36">
        <f t="shared" si="5"/>
        <v>-0.6499999999650754</v>
      </c>
      <c r="J133" s="16" t="s">
        <v>1383</v>
      </c>
    </row>
    <row r="134" spans="1:10" x14ac:dyDescent="0.35">
      <c r="A134" s="4" t="s">
        <v>7</v>
      </c>
      <c r="B134" s="47"/>
      <c r="C134" s="11" t="s">
        <v>124</v>
      </c>
      <c r="D134" s="9">
        <v>18254.23</v>
      </c>
      <c r="E134" s="9">
        <v>18254.23</v>
      </c>
      <c r="F134" s="9">
        <v>18254.21</v>
      </c>
      <c r="G134" s="36">
        <f t="shared" si="4"/>
        <v>-2.0000000000436557E-2</v>
      </c>
      <c r="H134" s="36">
        <f t="shared" si="5"/>
        <v>-2.0000000000436557E-2</v>
      </c>
      <c r="J134" s="16" t="s">
        <v>1384</v>
      </c>
    </row>
    <row r="135" spans="1:10" x14ac:dyDescent="0.35">
      <c r="A135" s="4" t="s">
        <v>7</v>
      </c>
      <c r="B135" s="47"/>
      <c r="C135" s="11" t="s">
        <v>113</v>
      </c>
      <c r="D135" s="9">
        <v>58512.08</v>
      </c>
      <c r="E135" s="9">
        <v>58512.08</v>
      </c>
      <c r="F135" s="9">
        <v>58512.04</v>
      </c>
      <c r="G135" s="36">
        <f t="shared" si="4"/>
        <v>-4.0000000000873115E-2</v>
      </c>
      <c r="H135" s="36">
        <f t="shared" si="5"/>
        <v>-4.0000000000873115E-2</v>
      </c>
      <c r="J135" s="16" t="s">
        <v>1385</v>
      </c>
    </row>
    <row r="136" spans="1:10" x14ac:dyDescent="0.35">
      <c r="A136" s="4" t="s">
        <v>7</v>
      </c>
      <c r="B136" s="47"/>
      <c r="C136" s="11" t="s">
        <v>114</v>
      </c>
      <c r="D136" s="9">
        <v>2798.66</v>
      </c>
      <c r="E136" s="9">
        <v>2798.66</v>
      </c>
      <c r="F136" s="9">
        <v>2798.56</v>
      </c>
      <c r="G136" s="36">
        <f t="shared" si="4"/>
        <v>-9.9999999999909051E-2</v>
      </c>
      <c r="H136" s="36">
        <f t="shared" si="5"/>
        <v>-9.9999999999909051E-2</v>
      </c>
      <c r="J136" s="16" t="s">
        <v>1386</v>
      </c>
    </row>
    <row r="137" spans="1:10" x14ac:dyDescent="0.35">
      <c r="A137" s="4" t="s">
        <v>7</v>
      </c>
      <c r="B137" s="2"/>
      <c r="C137" s="11" t="s">
        <v>134</v>
      </c>
      <c r="D137" s="9">
        <v>57442.01</v>
      </c>
      <c r="E137" s="9">
        <v>57442.01</v>
      </c>
      <c r="F137" s="9">
        <v>57440.47</v>
      </c>
      <c r="G137" s="36">
        <f t="shared" si="4"/>
        <v>-1.5400000000008731</v>
      </c>
      <c r="H137" s="36">
        <f t="shared" si="5"/>
        <v>-1.5400000000008731</v>
      </c>
      <c r="J137" s="16" t="s">
        <v>1387</v>
      </c>
    </row>
    <row r="138" spans="1:10" x14ac:dyDescent="0.35">
      <c r="A138" s="4" t="s">
        <v>7</v>
      </c>
      <c r="B138" s="2"/>
      <c r="C138" s="11"/>
      <c r="D138" s="9">
        <v>-5644</v>
      </c>
      <c r="E138" s="9">
        <v>-5644</v>
      </c>
      <c r="F138" s="9"/>
      <c r="G138" s="36">
        <f t="shared" si="4"/>
        <v>5644</v>
      </c>
      <c r="H138" s="36">
        <f t="shared" si="5"/>
        <v>5644</v>
      </c>
      <c r="J138" s="16" t="e">
        <v>#N/A</v>
      </c>
    </row>
    <row r="139" spans="1:10" x14ac:dyDescent="0.35">
      <c r="A139" s="4" t="s">
        <v>7</v>
      </c>
      <c r="B139" s="2"/>
      <c r="C139" s="29" t="s">
        <v>529</v>
      </c>
      <c r="D139" s="28">
        <f>SUM(D95:D138)</f>
        <v>124165293.23</v>
      </c>
      <c r="E139" s="28">
        <f>SUM(E95:E138)</f>
        <v>124165293.23</v>
      </c>
      <c r="F139" s="28">
        <f>SUM(F95:F138)</f>
        <v>124164215.17000002</v>
      </c>
      <c r="G139" s="36">
        <f t="shared" si="4"/>
        <v>-1078.059999987483</v>
      </c>
      <c r="H139" s="36">
        <f t="shared" si="5"/>
        <v>-1078.059999987483</v>
      </c>
      <c r="J139" s="16" t="e">
        <v>#N/A</v>
      </c>
    </row>
    <row r="140" spans="1:10" x14ac:dyDescent="0.35">
      <c r="A140" s="4" t="s">
        <v>8</v>
      </c>
      <c r="B140" s="47" t="s">
        <v>27</v>
      </c>
      <c r="C140" s="11" t="s">
        <v>179</v>
      </c>
      <c r="D140" s="9"/>
      <c r="E140" s="9"/>
      <c r="F140" s="9">
        <v>2337.36</v>
      </c>
      <c r="G140" s="36">
        <f t="shared" si="4"/>
        <v>2337.36</v>
      </c>
      <c r="H140" s="36">
        <f t="shared" si="5"/>
        <v>2337.36</v>
      </c>
      <c r="J140" s="16" t="s">
        <v>1388</v>
      </c>
    </row>
    <row r="141" spans="1:10" x14ac:dyDescent="0.35">
      <c r="A141" s="4" t="s">
        <v>8</v>
      </c>
      <c r="B141" s="47"/>
      <c r="C141" s="11" t="s">
        <v>178</v>
      </c>
      <c r="D141" s="9"/>
      <c r="E141" s="9"/>
      <c r="F141" s="9">
        <v>5674.75</v>
      </c>
      <c r="G141" s="36">
        <f t="shared" si="4"/>
        <v>5674.75</v>
      </c>
      <c r="H141" s="36">
        <f t="shared" si="5"/>
        <v>5674.75</v>
      </c>
      <c r="J141" s="16" t="s">
        <v>1389</v>
      </c>
    </row>
    <row r="142" spans="1:10" x14ac:dyDescent="0.35">
      <c r="A142" s="4" t="s">
        <v>8</v>
      </c>
      <c r="B142" s="47"/>
      <c r="C142" s="11" t="s">
        <v>157</v>
      </c>
      <c r="D142" s="9">
        <v>4893925.68</v>
      </c>
      <c r="E142" s="9">
        <v>4893925.68</v>
      </c>
      <c r="F142" s="9">
        <v>4893924.28</v>
      </c>
      <c r="G142" s="36">
        <f t="shared" si="4"/>
        <v>-1.3999999994412065</v>
      </c>
      <c r="H142" s="36">
        <f t="shared" si="5"/>
        <v>-1.3999999994412065</v>
      </c>
      <c r="J142" s="16" t="s">
        <v>1390</v>
      </c>
    </row>
    <row r="143" spans="1:10" x14ac:dyDescent="0.35">
      <c r="A143" s="4" t="s">
        <v>8</v>
      </c>
      <c r="B143" s="47"/>
      <c r="C143" s="11" t="s">
        <v>180</v>
      </c>
      <c r="D143" s="9"/>
      <c r="E143" s="9"/>
      <c r="F143" s="9">
        <v>106856.4</v>
      </c>
      <c r="G143" s="36">
        <f t="shared" si="4"/>
        <v>106856.4</v>
      </c>
      <c r="H143" s="36">
        <f t="shared" si="5"/>
        <v>106856.4</v>
      </c>
      <c r="J143" s="16" t="s">
        <v>1391</v>
      </c>
    </row>
    <row r="144" spans="1:10" x14ac:dyDescent="0.35">
      <c r="A144" s="4" t="s">
        <v>8</v>
      </c>
      <c r="B144" s="47"/>
      <c r="C144" s="11" t="s">
        <v>181</v>
      </c>
      <c r="D144" s="9"/>
      <c r="E144" s="9"/>
      <c r="F144" s="9">
        <v>3958.88</v>
      </c>
      <c r="G144" s="36">
        <f t="shared" si="4"/>
        <v>3958.88</v>
      </c>
      <c r="H144" s="36">
        <f t="shared" si="5"/>
        <v>3958.88</v>
      </c>
      <c r="J144" s="16" t="s">
        <v>1392</v>
      </c>
    </row>
    <row r="145" spans="1:10" x14ac:dyDescent="0.35">
      <c r="A145" s="4" t="s">
        <v>8</v>
      </c>
      <c r="B145" s="47"/>
      <c r="C145" s="11" t="s">
        <v>182</v>
      </c>
      <c r="D145" s="9"/>
      <c r="E145" s="9"/>
      <c r="F145" s="9">
        <v>102653.11</v>
      </c>
      <c r="G145" s="36">
        <f t="shared" si="4"/>
        <v>102653.11</v>
      </c>
      <c r="H145" s="36">
        <f t="shared" si="5"/>
        <v>102653.11</v>
      </c>
      <c r="J145" s="16" t="s">
        <v>1393</v>
      </c>
    </row>
    <row r="146" spans="1:10" x14ac:dyDescent="0.35">
      <c r="A146" s="4" t="s">
        <v>8</v>
      </c>
      <c r="B146" s="47"/>
      <c r="C146" s="11" t="s">
        <v>183</v>
      </c>
      <c r="D146" s="9"/>
      <c r="E146" s="9"/>
      <c r="F146" s="9">
        <v>5372773.5700000003</v>
      </c>
      <c r="G146" s="36">
        <f t="shared" si="4"/>
        <v>5372773.5700000003</v>
      </c>
      <c r="H146" s="36">
        <f t="shared" si="5"/>
        <v>5372773.5700000003</v>
      </c>
      <c r="J146" s="16" t="s">
        <v>1394</v>
      </c>
    </row>
    <row r="147" spans="1:10" x14ac:dyDescent="0.35">
      <c r="A147" s="4" t="s">
        <v>8</v>
      </c>
      <c r="B147" s="47"/>
      <c r="C147" s="11" t="s">
        <v>846</v>
      </c>
      <c r="D147" s="9"/>
      <c r="E147" s="9"/>
      <c r="F147" s="9">
        <v>0</v>
      </c>
      <c r="G147" s="36">
        <f t="shared" si="4"/>
        <v>0</v>
      </c>
      <c r="H147" s="36">
        <f t="shared" si="5"/>
        <v>0</v>
      </c>
      <c r="J147" s="16" t="s">
        <v>1395</v>
      </c>
    </row>
    <row r="148" spans="1:10" x14ac:dyDescent="0.35">
      <c r="A148" s="4" t="s">
        <v>8</v>
      </c>
      <c r="B148" s="47"/>
      <c r="C148" s="11" t="s">
        <v>845</v>
      </c>
      <c r="D148" s="9"/>
      <c r="E148" s="9"/>
      <c r="F148" s="9">
        <v>0</v>
      </c>
      <c r="G148" s="36">
        <f t="shared" si="4"/>
        <v>0</v>
      </c>
      <c r="H148" s="36">
        <f t="shared" si="5"/>
        <v>0</v>
      </c>
      <c r="J148" s="16" t="e">
        <v>#N/A</v>
      </c>
    </row>
    <row r="149" spans="1:10" x14ac:dyDescent="0.35">
      <c r="A149" s="4" t="s">
        <v>8</v>
      </c>
      <c r="B149" s="47"/>
      <c r="C149" s="11" t="s">
        <v>160</v>
      </c>
      <c r="D149" s="9">
        <v>30620.22</v>
      </c>
      <c r="E149" s="9">
        <v>30620.22</v>
      </c>
      <c r="F149" s="9">
        <v>30620.21</v>
      </c>
      <c r="G149" s="36">
        <f t="shared" si="4"/>
        <v>-1.0000000002037268E-2</v>
      </c>
      <c r="H149" s="36">
        <f t="shared" si="5"/>
        <v>-1.0000000002037268E-2</v>
      </c>
      <c r="J149" s="16" t="s">
        <v>1396</v>
      </c>
    </row>
    <row r="150" spans="1:10" x14ac:dyDescent="0.35">
      <c r="A150" s="4" t="s">
        <v>8</v>
      </c>
      <c r="B150" s="47"/>
      <c r="C150" s="11" t="s">
        <v>184</v>
      </c>
      <c r="D150" s="9"/>
      <c r="E150" s="9"/>
      <c r="F150" s="9">
        <v>945.09</v>
      </c>
      <c r="G150" s="36">
        <f t="shared" si="4"/>
        <v>945.09</v>
      </c>
      <c r="H150" s="36">
        <f t="shared" si="5"/>
        <v>945.09</v>
      </c>
      <c r="J150" s="16" t="s">
        <v>1397</v>
      </c>
    </row>
    <row r="151" spans="1:10" x14ac:dyDescent="0.35">
      <c r="A151" s="4" t="s">
        <v>8</v>
      </c>
      <c r="B151" s="47"/>
      <c r="C151" s="11" t="s">
        <v>187</v>
      </c>
      <c r="D151" s="9"/>
      <c r="E151" s="9"/>
      <c r="F151" s="9">
        <v>1179.97</v>
      </c>
      <c r="G151" s="36">
        <f t="shared" si="4"/>
        <v>1179.97</v>
      </c>
      <c r="H151" s="36">
        <f t="shared" si="5"/>
        <v>1179.97</v>
      </c>
      <c r="J151" s="16" t="s">
        <v>1398</v>
      </c>
    </row>
    <row r="152" spans="1:10" x14ac:dyDescent="0.35">
      <c r="A152" s="4" t="s">
        <v>8</v>
      </c>
      <c r="B152" s="47"/>
      <c r="C152" s="11" t="s">
        <v>186</v>
      </c>
      <c r="D152" s="9"/>
      <c r="E152" s="9"/>
      <c r="F152" s="9">
        <v>245973.12</v>
      </c>
      <c r="G152" s="36">
        <f t="shared" si="4"/>
        <v>245973.12</v>
      </c>
      <c r="H152" s="36">
        <f t="shared" si="5"/>
        <v>245973.12</v>
      </c>
      <c r="J152" s="16" t="s">
        <v>1399</v>
      </c>
    </row>
    <row r="153" spans="1:10" x14ac:dyDescent="0.35">
      <c r="A153" s="4" t="s">
        <v>8</v>
      </c>
      <c r="B153" s="47"/>
      <c r="C153" s="11" t="s">
        <v>151</v>
      </c>
      <c r="D153" s="9">
        <v>1148.0899999999999</v>
      </c>
      <c r="E153" s="9">
        <v>1148.0899999999999</v>
      </c>
      <c r="F153" s="9">
        <v>1148.06</v>
      </c>
      <c r="G153" s="36">
        <f t="shared" si="4"/>
        <v>-2.9999999999972715E-2</v>
      </c>
      <c r="H153" s="36">
        <f t="shared" si="5"/>
        <v>-2.9999999999972715E-2</v>
      </c>
      <c r="J153" s="16" t="s">
        <v>1400</v>
      </c>
    </row>
    <row r="154" spans="1:10" x14ac:dyDescent="0.35">
      <c r="A154" s="4" t="s">
        <v>8</v>
      </c>
      <c r="B154" s="47"/>
      <c r="C154" s="11" t="s">
        <v>185</v>
      </c>
      <c r="D154" s="9"/>
      <c r="E154" s="9"/>
      <c r="F154" s="9">
        <v>72514.070000000007</v>
      </c>
      <c r="G154" s="36">
        <f t="shared" si="4"/>
        <v>72514.070000000007</v>
      </c>
      <c r="H154" s="36">
        <f t="shared" si="5"/>
        <v>72514.070000000007</v>
      </c>
      <c r="J154" s="16" t="s">
        <v>1401</v>
      </c>
    </row>
    <row r="155" spans="1:10" x14ac:dyDescent="0.35">
      <c r="A155" s="4" t="s">
        <v>8</v>
      </c>
      <c r="B155" s="47"/>
      <c r="C155" s="11" t="s">
        <v>189</v>
      </c>
      <c r="D155" s="9"/>
      <c r="E155" s="9"/>
      <c r="F155" s="9">
        <v>75437914.840000004</v>
      </c>
      <c r="G155" s="36">
        <f t="shared" si="4"/>
        <v>75437914.840000004</v>
      </c>
      <c r="H155" s="36">
        <f t="shared" si="5"/>
        <v>75437914.840000004</v>
      </c>
      <c r="J155" s="16" t="s">
        <v>1394</v>
      </c>
    </row>
    <row r="156" spans="1:10" x14ac:dyDescent="0.35">
      <c r="A156" s="4" t="s">
        <v>8</v>
      </c>
      <c r="B156" s="47"/>
      <c r="C156" s="11" t="s">
        <v>188</v>
      </c>
      <c r="D156" s="9"/>
      <c r="E156" s="9"/>
      <c r="F156" s="9">
        <v>574.86</v>
      </c>
      <c r="G156" s="36">
        <f t="shared" si="4"/>
        <v>574.86</v>
      </c>
      <c r="H156" s="36">
        <f t="shared" si="5"/>
        <v>574.86</v>
      </c>
      <c r="J156" s="16" t="s">
        <v>1402</v>
      </c>
    </row>
    <row r="157" spans="1:10" x14ac:dyDescent="0.35">
      <c r="A157" s="4" t="s">
        <v>8</v>
      </c>
      <c r="B157" s="47"/>
      <c r="C157" s="11" t="s">
        <v>190</v>
      </c>
      <c r="D157" s="9"/>
      <c r="E157" s="9"/>
      <c r="F157" s="9">
        <v>609864.76</v>
      </c>
      <c r="G157" s="36">
        <f t="shared" si="4"/>
        <v>609864.76</v>
      </c>
      <c r="H157" s="36">
        <f t="shared" si="5"/>
        <v>609864.76</v>
      </c>
      <c r="J157" s="16" t="s">
        <v>1403</v>
      </c>
    </row>
    <row r="158" spans="1:10" x14ac:dyDescent="0.35">
      <c r="A158" s="4" t="s">
        <v>8</v>
      </c>
      <c r="B158" s="47"/>
      <c r="C158" s="11"/>
      <c r="D158" s="9">
        <v>0</v>
      </c>
      <c r="E158" s="9">
        <v>0</v>
      </c>
      <c r="F158" s="9"/>
      <c r="G158" s="36">
        <f t="shared" si="4"/>
        <v>0</v>
      </c>
      <c r="H158" s="36">
        <f t="shared" si="5"/>
        <v>0</v>
      </c>
      <c r="J158" s="16" t="e">
        <v>#N/A</v>
      </c>
    </row>
    <row r="159" spans="1:10" x14ac:dyDescent="0.35">
      <c r="A159" s="4" t="s">
        <v>8</v>
      </c>
      <c r="B159" s="47"/>
      <c r="C159" s="11" t="s">
        <v>191</v>
      </c>
      <c r="D159" s="9"/>
      <c r="E159" s="9"/>
      <c r="F159" s="9">
        <v>102179.93</v>
      </c>
      <c r="G159" s="36">
        <f t="shared" si="4"/>
        <v>102179.93</v>
      </c>
      <c r="H159" s="36">
        <f t="shared" si="5"/>
        <v>102179.93</v>
      </c>
      <c r="J159" s="16" t="s">
        <v>1404</v>
      </c>
    </row>
    <row r="160" spans="1:10" x14ac:dyDescent="0.35">
      <c r="A160" s="4" t="s">
        <v>8</v>
      </c>
      <c r="B160" s="47"/>
      <c r="C160" s="11" t="s">
        <v>152</v>
      </c>
      <c r="D160" s="9">
        <v>11140.37</v>
      </c>
      <c r="E160" s="9">
        <v>11140.37</v>
      </c>
      <c r="F160" s="9">
        <v>11140.35</v>
      </c>
      <c r="G160" s="36">
        <f t="shared" si="4"/>
        <v>-2.0000000000436557E-2</v>
      </c>
      <c r="H160" s="36">
        <f t="shared" si="5"/>
        <v>-2.0000000000436557E-2</v>
      </c>
      <c r="J160" s="16" t="s">
        <v>1405</v>
      </c>
    </row>
    <row r="161" spans="1:10" x14ac:dyDescent="0.35">
      <c r="A161" s="4" t="s">
        <v>8</v>
      </c>
      <c r="B161" s="47"/>
      <c r="C161" s="11" t="s">
        <v>161</v>
      </c>
      <c r="D161" s="9"/>
      <c r="E161" s="9"/>
      <c r="F161" s="9">
        <v>43050.04</v>
      </c>
      <c r="G161" s="36">
        <f t="shared" si="4"/>
        <v>43050.04</v>
      </c>
      <c r="H161" s="36">
        <f t="shared" si="5"/>
        <v>43050.04</v>
      </c>
      <c r="J161" s="16" t="s">
        <v>1406</v>
      </c>
    </row>
    <row r="162" spans="1:10" x14ac:dyDescent="0.35">
      <c r="A162" s="4" t="s">
        <v>8</v>
      </c>
      <c r="B162" s="47"/>
      <c r="C162" s="11" t="s">
        <v>162</v>
      </c>
      <c r="D162" s="9"/>
      <c r="E162" s="9"/>
      <c r="F162" s="9">
        <v>1023217.89</v>
      </c>
      <c r="G162" s="36">
        <f t="shared" si="4"/>
        <v>1023217.89</v>
      </c>
      <c r="H162" s="36">
        <f t="shared" si="5"/>
        <v>1023217.89</v>
      </c>
      <c r="J162" s="16" t="s">
        <v>1407</v>
      </c>
    </row>
    <row r="163" spans="1:10" x14ac:dyDescent="0.35">
      <c r="A163" s="4" t="s">
        <v>8</v>
      </c>
      <c r="B163" s="47"/>
      <c r="C163" s="11" t="s">
        <v>163</v>
      </c>
      <c r="D163" s="9"/>
      <c r="E163" s="9"/>
      <c r="F163" s="9">
        <v>186889.75</v>
      </c>
      <c r="G163" s="36">
        <f t="shared" si="4"/>
        <v>186889.75</v>
      </c>
      <c r="H163" s="36">
        <f t="shared" si="5"/>
        <v>186889.75</v>
      </c>
      <c r="J163" s="16" t="s">
        <v>1408</v>
      </c>
    </row>
    <row r="164" spans="1:10" x14ac:dyDescent="0.35">
      <c r="A164" s="4" t="s">
        <v>8</v>
      </c>
      <c r="B164" s="47"/>
      <c r="C164" s="11" t="s">
        <v>165</v>
      </c>
      <c r="D164" s="9"/>
      <c r="E164" s="9"/>
      <c r="F164" s="9">
        <v>321841.03999999998</v>
      </c>
      <c r="G164" s="36">
        <f t="shared" ref="G164:G226" si="6">F164-E164</f>
        <v>321841.03999999998</v>
      </c>
      <c r="H164" s="36">
        <f t="shared" ref="H164:H226" si="7">F164-D164</f>
        <v>321841.03999999998</v>
      </c>
      <c r="J164" s="16" t="s">
        <v>1409</v>
      </c>
    </row>
    <row r="165" spans="1:10" x14ac:dyDescent="0.35">
      <c r="A165" s="4" t="s">
        <v>8</v>
      </c>
      <c r="B165" s="47"/>
      <c r="C165" s="11" t="s">
        <v>164</v>
      </c>
      <c r="D165" s="9"/>
      <c r="E165" s="9"/>
      <c r="F165" s="9">
        <v>108.7</v>
      </c>
      <c r="G165" s="36">
        <f t="shared" si="6"/>
        <v>108.7</v>
      </c>
      <c r="H165" s="36">
        <f t="shared" si="7"/>
        <v>108.7</v>
      </c>
      <c r="J165" s="16" t="s">
        <v>1410</v>
      </c>
    </row>
    <row r="166" spans="1:10" x14ac:dyDescent="0.35">
      <c r="A166" s="4" t="s">
        <v>8</v>
      </c>
      <c r="B166" s="47"/>
      <c r="C166" s="11" t="s">
        <v>153</v>
      </c>
      <c r="D166" s="9">
        <v>11740764.66</v>
      </c>
      <c r="E166" s="9">
        <v>11740764.66</v>
      </c>
      <c r="F166" s="9">
        <v>11740764.24</v>
      </c>
      <c r="G166" s="36">
        <f t="shared" si="6"/>
        <v>-0.41999999992549419</v>
      </c>
      <c r="H166" s="36">
        <f t="shared" si="7"/>
        <v>-0.41999999992549419</v>
      </c>
      <c r="J166" s="16" t="s">
        <v>1411</v>
      </c>
    </row>
    <row r="167" spans="1:10" x14ac:dyDescent="0.35">
      <c r="A167" s="4" t="s">
        <v>8</v>
      </c>
      <c r="B167" s="47"/>
      <c r="C167" s="11" t="s">
        <v>169</v>
      </c>
      <c r="D167" s="9"/>
      <c r="E167" s="9"/>
      <c r="F167" s="9">
        <v>758.38</v>
      </c>
      <c r="G167" s="36">
        <f t="shared" si="6"/>
        <v>758.38</v>
      </c>
      <c r="H167" s="36">
        <f t="shared" si="7"/>
        <v>758.38</v>
      </c>
      <c r="J167" s="16" t="s">
        <v>1412</v>
      </c>
    </row>
    <row r="168" spans="1:10" x14ac:dyDescent="0.35">
      <c r="A168" s="4" t="s">
        <v>8</v>
      </c>
      <c r="B168" s="47"/>
      <c r="C168" s="11" t="s">
        <v>166</v>
      </c>
      <c r="D168" s="9"/>
      <c r="E168" s="9"/>
      <c r="F168" s="9">
        <v>1159.02</v>
      </c>
      <c r="G168" s="36">
        <f t="shared" si="6"/>
        <v>1159.02</v>
      </c>
      <c r="H168" s="36">
        <f t="shared" si="7"/>
        <v>1159.02</v>
      </c>
      <c r="J168" s="16" t="s">
        <v>1402</v>
      </c>
    </row>
    <row r="169" spans="1:10" x14ac:dyDescent="0.35">
      <c r="A169" s="4" t="s">
        <v>8</v>
      </c>
      <c r="B169" s="47"/>
      <c r="C169" s="11" t="s">
        <v>167</v>
      </c>
      <c r="D169" s="9"/>
      <c r="E169" s="9"/>
      <c r="F169" s="9">
        <v>1053002.73</v>
      </c>
      <c r="G169" s="36">
        <f t="shared" si="6"/>
        <v>1053002.73</v>
      </c>
      <c r="H169" s="36">
        <f t="shared" si="7"/>
        <v>1053002.73</v>
      </c>
      <c r="J169" s="16" t="s">
        <v>1406</v>
      </c>
    </row>
    <row r="170" spans="1:10" x14ac:dyDescent="0.35">
      <c r="A170" s="4" t="s">
        <v>8</v>
      </c>
      <c r="B170" s="47"/>
      <c r="C170" s="11" t="s">
        <v>168</v>
      </c>
      <c r="D170" s="9"/>
      <c r="E170" s="9"/>
      <c r="F170" s="9">
        <v>3260197.23</v>
      </c>
      <c r="G170" s="36">
        <f t="shared" si="6"/>
        <v>3260197.23</v>
      </c>
      <c r="H170" s="36">
        <f t="shared" si="7"/>
        <v>3260197.23</v>
      </c>
      <c r="J170" s="16" t="s">
        <v>1413</v>
      </c>
    </row>
    <row r="171" spans="1:10" x14ac:dyDescent="0.35">
      <c r="A171" s="4" t="s">
        <v>8</v>
      </c>
      <c r="B171" s="47"/>
      <c r="C171" s="11" t="s">
        <v>170</v>
      </c>
      <c r="D171" s="9"/>
      <c r="E171" s="9"/>
      <c r="F171" s="9">
        <v>139684.82</v>
      </c>
      <c r="G171" s="36">
        <f t="shared" si="6"/>
        <v>139684.82</v>
      </c>
      <c r="H171" s="36">
        <f t="shared" si="7"/>
        <v>139684.82</v>
      </c>
      <c r="J171" s="16" t="s">
        <v>1414</v>
      </c>
    </row>
    <row r="172" spans="1:10" x14ac:dyDescent="0.35">
      <c r="A172" s="4" t="s">
        <v>8</v>
      </c>
      <c r="B172" s="47"/>
      <c r="C172" s="11" t="s">
        <v>154</v>
      </c>
      <c r="D172" s="9">
        <v>298237.69</v>
      </c>
      <c r="E172" s="9">
        <v>298237.69</v>
      </c>
      <c r="F172" s="9">
        <v>298237.61</v>
      </c>
      <c r="G172" s="36">
        <f t="shared" si="6"/>
        <v>-8.0000000016298145E-2</v>
      </c>
      <c r="H172" s="36">
        <f t="shared" si="7"/>
        <v>-8.0000000016298145E-2</v>
      </c>
      <c r="J172" s="16" t="s">
        <v>1415</v>
      </c>
    </row>
    <row r="173" spans="1:10" x14ac:dyDescent="0.35">
      <c r="A173" s="4" t="s">
        <v>8</v>
      </c>
      <c r="B173" s="47"/>
      <c r="C173" s="11" t="s">
        <v>171</v>
      </c>
      <c r="D173" s="9"/>
      <c r="E173" s="9"/>
      <c r="F173" s="9">
        <v>475232.75</v>
      </c>
      <c r="G173" s="36">
        <f t="shared" si="6"/>
        <v>475232.75</v>
      </c>
      <c r="H173" s="36">
        <f t="shared" si="7"/>
        <v>475232.75</v>
      </c>
      <c r="J173" s="16" t="s">
        <v>1416</v>
      </c>
    </row>
    <row r="174" spans="1:10" x14ac:dyDescent="0.35">
      <c r="A174" s="4" t="s">
        <v>8</v>
      </c>
      <c r="B174" s="47"/>
      <c r="C174" s="11" t="s">
        <v>172</v>
      </c>
      <c r="D174" s="9"/>
      <c r="E174" s="9"/>
      <c r="F174" s="9">
        <v>65327.48</v>
      </c>
      <c r="G174" s="36">
        <f t="shared" si="6"/>
        <v>65327.48</v>
      </c>
      <c r="H174" s="36">
        <f t="shared" si="7"/>
        <v>65327.48</v>
      </c>
      <c r="J174" s="16" t="s">
        <v>1417</v>
      </c>
    </row>
    <row r="175" spans="1:10" x14ac:dyDescent="0.35">
      <c r="A175" s="4" t="s">
        <v>8</v>
      </c>
      <c r="B175" s="47"/>
      <c r="C175" s="11" t="s">
        <v>158</v>
      </c>
      <c r="D175" s="9">
        <v>11.26</v>
      </c>
      <c r="E175" s="9">
        <v>11.26</v>
      </c>
      <c r="F175" s="9">
        <v>11.25</v>
      </c>
      <c r="G175" s="36">
        <f t="shared" si="6"/>
        <v>-9.9999999999997868E-3</v>
      </c>
      <c r="H175" s="36">
        <f t="shared" si="7"/>
        <v>-9.9999999999997868E-3</v>
      </c>
      <c r="J175" s="16" t="s">
        <v>1418</v>
      </c>
    </row>
    <row r="176" spans="1:10" x14ac:dyDescent="0.35">
      <c r="A176" s="4" t="s">
        <v>8</v>
      </c>
      <c r="B176" s="47"/>
      <c r="C176" s="11" t="s">
        <v>159</v>
      </c>
      <c r="D176" s="9">
        <v>12724.4</v>
      </c>
      <c r="E176" s="9">
        <v>12724.4</v>
      </c>
      <c r="F176" s="9">
        <v>12724.39</v>
      </c>
      <c r="G176" s="36">
        <f t="shared" si="6"/>
        <v>-1.0000000000218279E-2</v>
      </c>
      <c r="H176" s="36">
        <f t="shared" si="7"/>
        <v>-1.0000000000218279E-2</v>
      </c>
      <c r="J176" s="16" t="s">
        <v>1419</v>
      </c>
    </row>
    <row r="177" spans="1:10" x14ac:dyDescent="0.35">
      <c r="A177" s="4" t="s">
        <v>8</v>
      </c>
      <c r="B177" s="47"/>
      <c r="C177" s="11" t="s">
        <v>193</v>
      </c>
      <c r="D177" s="9"/>
      <c r="E177" s="9"/>
      <c r="F177" s="9">
        <v>5347.31</v>
      </c>
      <c r="G177" s="36">
        <f t="shared" si="6"/>
        <v>5347.31</v>
      </c>
      <c r="H177" s="36">
        <f t="shared" si="7"/>
        <v>5347.31</v>
      </c>
      <c r="J177" s="16" t="s">
        <v>1420</v>
      </c>
    </row>
    <row r="178" spans="1:10" x14ac:dyDescent="0.35">
      <c r="A178" s="4" t="s">
        <v>8</v>
      </c>
      <c r="B178" s="47"/>
      <c r="C178" s="11" t="s">
        <v>194</v>
      </c>
      <c r="D178" s="9"/>
      <c r="E178" s="9"/>
      <c r="F178" s="9">
        <v>1906566.49</v>
      </c>
      <c r="G178" s="36">
        <f t="shared" si="6"/>
        <v>1906566.49</v>
      </c>
      <c r="H178" s="36">
        <f t="shared" si="7"/>
        <v>1906566.49</v>
      </c>
      <c r="J178" s="16" t="s">
        <v>1421</v>
      </c>
    </row>
    <row r="179" spans="1:10" x14ac:dyDescent="0.35">
      <c r="A179" s="4" t="s">
        <v>8</v>
      </c>
      <c r="B179" s="47"/>
      <c r="C179" s="11" t="s">
        <v>156</v>
      </c>
      <c r="D179" s="9">
        <v>861.33</v>
      </c>
      <c r="E179" s="9">
        <v>861.33</v>
      </c>
      <c r="F179" s="9">
        <v>861.31</v>
      </c>
      <c r="G179" s="36">
        <f t="shared" si="6"/>
        <v>-2.0000000000095497E-2</v>
      </c>
      <c r="H179" s="36">
        <f t="shared" si="7"/>
        <v>-2.0000000000095497E-2</v>
      </c>
      <c r="J179" s="16" t="s">
        <v>1422</v>
      </c>
    </row>
    <row r="180" spans="1:10" x14ac:dyDescent="0.35">
      <c r="A180" s="4" t="s">
        <v>8</v>
      </c>
      <c r="B180" s="47"/>
      <c r="C180" s="11" t="s">
        <v>177</v>
      </c>
      <c r="D180" s="9"/>
      <c r="E180" s="9"/>
      <c r="F180" s="9">
        <v>2138.8000000000002</v>
      </c>
      <c r="G180" s="36">
        <f t="shared" si="6"/>
        <v>2138.8000000000002</v>
      </c>
      <c r="H180" s="36">
        <f t="shared" si="7"/>
        <v>2138.8000000000002</v>
      </c>
      <c r="J180" s="16" t="s">
        <v>1423</v>
      </c>
    </row>
    <row r="181" spans="1:10" x14ac:dyDescent="0.35">
      <c r="A181" s="4" t="s">
        <v>8</v>
      </c>
      <c r="B181" s="47"/>
      <c r="C181" s="11" t="s">
        <v>176</v>
      </c>
      <c r="D181" s="9"/>
      <c r="E181" s="9"/>
      <c r="F181" s="9">
        <v>3081.54</v>
      </c>
      <c r="G181" s="36">
        <f t="shared" si="6"/>
        <v>3081.54</v>
      </c>
      <c r="H181" s="36">
        <f t="shared" si="7"/>
        <v>3081.54</v>
      </c>
      <c r="J181" s="16" t="s">
        <v>1424</v>
      </c>
    </row>
    <row r="182" spans="1:10" x14ac:dyDescent="0.35">
      <c r="A182" s="4" t="s">
        <v>8</v>
      </c>
      <c r="B182" s="47"/>
      <c r="C182" s="11" t="s">
        <v>192</v>
      </c>
      <c r="D182" s="9"/>
      <c r="E182" s="9"/>
      <c r="F182" s="9">
        <v>32137.11</v>
      </c>
      <c r="G182" s="36">
        <f t="shared" si="6"/>
        <v>32137.11</v>
      </c>
      <c r="H182" s="36">
        <f t="shared" si="7"/>
        <v>32137.11</v>
      </c>
      <c r="J182" s="16" t="s">
        <v>1425</v>
      </c>
    </row>
    <row r="183" spans="1:10" x14ac:dyDescent="0.35">
      <c r="A183" s="4" t="s">
        <v>8</v>
      </c>
      <c r="B183" s="47"/>
      <c r="C183" s="11" t="s">
        <v>155</v>
      </c>
      <c r="D183" s="9">
        <v>1391.15</v>
      </c>
      <c r="E183" s="9">
        <v>1391.15</v>
      </c>
      <c r="F183" s="9">
        <v>1391.14</v>
      </c>
      <c r="G183" s="36">
        <f t="shared" si="6"/>
        <v>-9.9999999999909051E-3</v>
      </c>
      <c r="H183" s="36">
        <f t="shared" si="7"/>
        <v>-9.9999999999909051E-3</v>
      </c>
      <c r="J183" s="16" t="s">
        <v>1396</v>
      </c>
    </row>
    <row r="184" spans="1:10" x14ac:dyDescent="0.35">
      <c r="A184" s="4" t="s">
        <v>8</v>
      </c>
      <c r="B184" s="47"/>
      <c r="C184" s="11" t="s">
        <v>175</v>
      </c>
      <c r="D184" s="9"/>
      <c r="E184" s="9"/>
      <c r="F184" s="9">
        <v>2024509.18</v>
      </c>
      <c r="G184" s="36">
        <f t="shared" si="6"/>
        <v>2024509.18</v>
      </c>
      <c r="H184" s="36">
        <f t="shared" si="7"/>
        <v>2024509.18</v>
      </c>
      <c r="J184" s="16" t="s">
        <v>1426</v>
      </c>
    </row>
    <row r="185" spans="1:10" x14ac:dyDescent="0.35">
      <c r="A185" s="4" t="s">
        <v>8</v>
      </c>
      <c r="B185" s="47"/>
      <c r="C185" s="11" t="s">
        <v>174</v>
      </c>
      <c r="D185" s="9"/>
      <c r="E185" s="9"/>
      <c r="F185" s="9">
        <v>3116.47</v>
      </c>
      <c r="G185" s="36">
        <f t="shared" si="6"/>
        <v>3116.47</v>
      </c>
      <c r="H185" s="36">
        <f t="shared" si="7"/>
        <v>3116.47</v>
      </c>
      <c r="J185" s="16" t="s">
        <v>1427</v>
      </c>
    </row>
    <row r="186" spans="1:10" x14ac:dyDescent="0.35">
      <c r="A186" s="4" t="s">
        <v>8</v>
      </c>
      <c r="B186" s="47"/>
      <c r="C186" s="11" t="s">
        <v>173</v>
      </c>
      <c r="D186" s="9"/>
      <c r="E186" s="9"/>
      <c r="F186" s="9">
        <v>36675678.689999998</v>
      </c>
      <c r="G186" s="36">
        <f t="shared" si="6"/>
        <v>36675678.689999998</v>
      </c>
      <c r="H186" s="36">
        <f t="shared" si="7"/>
        <v>36675678.689999998</v>
      </c>
      <c r="J186" s="16" t="s">
        <v>1428</v>
      </c>
    </row>
    <row r="187" spans="1:10" x14ac:dyDescent="0.35">
      <c r="A187" s="4" t="s">
        <v>9</v>
      </c>
      <c r="B187" s="47" t="s">
        <v>28</v>
      </c>
      <c r="C187" s="11" t="s">
        <v>180</v>
      </c>
      <c r="D187" s="9">
        <v>106856.44</v>
      </c>
      <c r="E187" s="9">
        <v>106856.44</v>
      </c>
      <c r="F187" s="9">
        <v>106856.4</v>
      </c>
      <c r="G187" s="36">
        <f t="shared" si="6"/>
        <v>-4.0000000008149073E-2</v>
      </c>
      <c r="H187" s="36">
        <f t="shared" si="7"/>
        <v>-4.0000000008149073E-2</v>
      </c>
      <c r="J187" s="16" t="s">
        <v>1391</v>
      </c>
    </row>
    <row r="188" spans="1:10" x14ac:dyDescent="0.35">
      <c r="A188" s="4" t="s">
        <v>9</v>
      </c>
      <c r="B188" s="47"/>
      <c r="C188" s="11" t="s">
        <v>181</v>
      </c>
      <c r="D188" s="9">
        <v>3958.89</v>
      </c>
      <c r="E188" s="9">
        <v>3958.89</v>
      </c>
      <c r="F188" s="9">
        <v>3958.88</v>
      </c>
      <c r="G188" s="36">
        <f t="shared" si="6"/>
        <v>-9.9999999997635314E-3</v>
      </c>
      <c r="H188" s="36">
        <f t="shared" si="7"/>
        <v>-9.9999999997635314E-3</v>
      </c>
      <c r="J188" s="16" t="s">
        <v>1392</v>
      </c>
    </row>
    <row r="189" spans="1:10" x14ac:dyDescent="0.35">
      <c r="A189" s="4" t="s">
        <v>9</v>
      </c>
      <c r="B189" s="47"/>
      <c r="C189" s="11" t="s">
        <v>182</v>
      </c>
      <c r="D189" s="9">
        <v>102653.14</v>
      </c>
      <c r="E189" s="9">
        <v>102653.14</v>
      </c>
      <c r="F189" s="9">
        <v>102653.11</v>
      </c>
      <c r="G189" s="36">
        <f t="shared" si="6"/>
        <v>-2.9999999998835847E-2</v>
      </c>
      <c r="H189" s="36">
        <f t="shared" si="7"/>
        <v>-2.9999999998835847E-2</v>
      </c>
      <c r="J189" s="16" t="s">
        <v>1393</v>
      </c>
    </row>
    <row r="190" spans="1:10" x14ac:dyDescent="0.35">
      <c r="A190" s="4" t="s">
        <v>9</v>
      </c>
      <c r="B190" s="47"/>
      <c r="C190" s="11" t="s">
        <v>846</v>
      </c>
      <c r="D190" s="9"/>
      <c r="E190" s="9"/>
      <c r="F190" s="9">
        <v>0</v>
      </c>
      <c r="G190" s="36">
        <f t="shared" si="6"/>
        <v>0</v>
      </c>
      <c r="H190" s="36">
        <f t="shared" si="7"/>
        <v>0</v>
      </c>
      <c r="J190" s="16" t="s">
        <v>1395</v>
      </c>
    </row>
    <row r="191" spans="1:10" x14ac:dyDescent="0.35">
      <c r="A191" s="4" t="s">
        <v>9</v>
      </c>
      <c r="B191" s="47"/>
      <c r="C191" s="11" t="s">
        <v>845</v>
      </c>
      <c r="D191" s="9"/>
      <c r="E191" s="9"/>
      <c r="F191" s="9">
        <v>0</v>
      </c>
      <c r="G191" s="36">
        <f t="shared" si="6"/>
        <v>0</v>
      </c>
      <c r="H191" s="36">
        <f t="shared" si="7"/>
        <v>0</v>
      </c>
      <c r="J191" s="16" t="e">
        <v>#N/A</v>
      </c>
    </row>
    <row r="192" spans="1:10" x14ac:dyDescent="0.35">
      <c r="A192" s="4" t="s">
        <v>9</v>
      </c>
      <c r="B192" s="47"/>
      <c r="C192" s="11" t="s">
        <v>160</v>
      </c>
      <c r="D192" s="9"/>
      <c r="E192" s="9"/>
      <c r="F192" s="9">
        <v>30620.21</v>
      </c>
      <c r="G192" s="36">
        <f t="shared" si="6"/>
        <v>30620.21</v>
      </c>
      <c r="H192" s="36">
        <f t="shared" si="7"/>
        <v>30620.21</v>
      </c>
      <c r="J192" s="16" t="s">
        <v>1396</v>
      </c>
    </row>
    <row r="193" spans="1:10" x14ac:dyDescent="0.35">
      <c r="A193" s="4" t="s">
        <v>9</v>
      </c>
      <c r="B193" s="47"/>
      <c r="C193" s="11" t="s">
        <v>184</v>
      </c>
      <c r="D193" s="9">
        <v>945.1</v>
      </c>
      <c r="E193" s="9">
        <v>945.1</v>
      </c>
      <c r="F193" s="9">
        <v>945.09</v>
      </c>
      <c r="G193" s="36">
        <f t="shared" si="6"/>
        <v>-9.9999999999909051E-3</v>
      </c>
      <c r="H193" s="36">
        <f t="shared" si="7"/>
        <v>-9.9999999999909051E-3</v>
      </c>
      <c r="J193" s="16" t="s">
        <v>1397</v>
      </c>
    </row>
    <row r="194" spans="1:10" x14ac:dyDescent="0.35">
      <c r="A194" s="4" t="s">
        <v>9</v>
      </c>
      <c r="B194" s="47"/>
      <c r="C194" s="11" t="s">
        <v>153</v>
      </c>
      <c r="D194" s="9"/>
      <c r="E194" s="9"/>
      <c r="F194" s="9">
        <v>11740764.24</v>
      </c>
      <c r="G194" s="36">
        <f t="shared" si="6"/>
        <v>11740764.24</v>
      </c>
      <c r="H194" s="36">
        <f t="shared" si="7"/>
        <v>11740764.24</v>
      </c>
      <c r="J194" s="16" t="s">
        <v>1411</v>
      </c>
    </row>
    <row r="195" spans="1:10" x14ac:dyDescent="0.35">
      <c r="A195" s="4" t="s">
        <v>9</v>
      </c>
      <c r="B195" s="47"/>
      <c r="C195" s="11" t="s">
        <v>164</v>
      </c>
      <c r="D195" s="9">
        <v>108.71</v>
      </c>
      <c r="E195" s="9">
        <v>108.71</v>
      </c>
      <c r="F195" s="9">
        <v>108.7</v>
      </c>
      <c r="G195" s="36">
        <f t="shared" si="6"/>
        <v>-9.9999999999909051E-3</v>
      </c>
      <c r="H195" s="36">
        <f t="shared" si="7"/>
        <v>-9.9999999999909051E-3</v>
      </c>
      <c r="J195" s="16" t="s">
        <v>1410</v>
      </c>
    </row>
    <row r="196" spans="1:10" x14ac:dyDescent="0.35">
      <c r="A196" s="4" t="s">
        <v>9</v>
      </c>
      <c r="B196" s="47"/>
      <c r="C196" s="11" t="s">
        <v>165</v>
      </c>
      <c r="D196" s="9">
        <v>321842.34000000003</v>
      </c>
      <c r="E196" s="9">
        <v>321842.34000000003</v>
      </c>
      <c r="F196" s="9">
        <v>321841.03999999998</v>
      </c>
      <c r="G196" s="36">
        <f t="shared" si="6"/>
        <v>-1.3000000000465661</v>
      </c>
      <c r="H196" s="36">
        <f t="shared" si="7"/>
        <v>-1.3000000000465661</v>
      </c>
      <c r="J196" s="16" t="s">
        <v>1409</v>
      </c>
    </row>
    <row r="197" spans="1:10" x14ac:dyDescent="0.35">
      <c r="A197" s="4" t="s">
        <v>9</v>
      </c>
      <c r="B197" s="47"/>
      <c r="C197" s="11" t="s">
        <v>166</v>
      </c>
      <c r="D197" s="9">
        <v>1159.03</v>
      </c>
      <c r="E197" s="9">
        <v>1159.03</v>
      </c>
      <c r="F197" s="9">
        <v>1159.02</v>
      </c>
      <c r="G197" s="36">
        <f t="shared" si="6"/>
        <v>-9.9999999999909051E-3</v>
      </c>
      <c r="H197" s="36">
        <f t="shared" si="7"/>
        <v>-9.9999999999909051E-3</v>
      </c>
      <c r="J197" s="16" t="s">
        <v>1402</v>
      </c>
    </row>
    <row r="198" spans="1:10" x14ac:dyDescent="0.35">
      <c r="A198" s="4" t="s">
        <v>9</v>
      </c>
      <c r="B198" s="47"/>
      <c r="C198" s="11" t="s">
        <v>168</v>
      </c>
      <c r="D198" s="9">
        <v>3260197.41</v>
      </c>
      <c r="E198" s="9">
        <v>3260197.41</v>
      </c>
      <c r="F198" s="9">
        <v>3260197.23</v>
      </c>
      <c r="G198" s="36">
        <f t="shared" si="6"/>
        <v>-0.18000000016763806</v>
      </c>
      <c r="H198" s="36">
        <f t="shared" si="7"/>
        <v>-0.18000000016763806</v>
      </c>
      <c r="J198" s="16" t="s">
        <v>1413</v>
      </c>
    </row>
    <row r="199" spans="1:10" x14ac:dyDescent="0.35">
      <c r="A199" s="4" t="s">
        <v>9</v>
      </c>
      <c r="B199" s="47"/>
      <c r="C199" s="11" t="s">
        <v>167</v>
      </c>
      <c r="D199" s="9">
        <v>1053003.04</v>
      </c>
      <c r="E199" s="9">
        <v>1053003.04</v>
      </c>
      <c r="F199" s="9">
        <v>1053002.73</v>
      </c>
      <c r="G199" s="36">
        <f t="shared" si="6"/>
        <v>-0.31000000005587935</v>
      </c>
      <c r="H199" s="36">
        <f t="shared" si="7"/>
        <v>-0.31000000005587935</v>
      </c>
      <c r="J199" s="16" t="s">
        <v>1406</v>
      </c>
    </row>
    <row r="200" spans="1:10" x14ac:dyDescent="0.35">
      <c r="A200" s="4" t="s">
        <v>9</v>
      </c>
      <c r="B200" s="47"/>
      <c r="C200" s="11" t="s">
        <v>169</v>
      </c>
      <c r="D200" s="9">
        <v>758.4</v>
      </c>
      <c r="E200" s="9">
        <v>758.4</v>
      </c>
      <c r="F200" s="9">
        <v>758.38</v>
      </c>
      <c r="G200" s="36">
        <f t="shared" si="6"/>
        <v>-1.999999999998181E-2</v>
      </c>
      <c r="H200" s="36">
        <f t="shared" si="7"/>
        <v>-1.999999999998181E-2</v>
      </c>
      <c r="J200" s="16" t="s">
        <v>1412</v>
      </c>
    </row>
    <row r="201" spans="1:10" x14ac:dyDescent="0.35">
      <c r="A201" s="4" t="s">
        <v>9</v>
      </c>
      <c r="B201" s="47"/>
      <c r="C201" s="11" t="s">
        <v>170</v>
      </c>
      <c r="D201" s="9">
        <v>139684.92000000001</v>
      </c>
      <c r="E201" s="9">
        <v>139684.92000000001</v>
      </c>
      <c r="F201" s="9">
        <v>139684.82</v>
      </c>
      <c r="G201" s="36">
        <f t="shared" si="6"/>
        <v>-0.10000000000582077</v>
      </c>
      <c r="H201" s="36">
        <f t="shared" si="7"/>
        <v>-0.10000000000582077</v>
      </c>
      <c r="J201" s="16" t="s">
        <v>1414</v>
      </c>
    </row>
    <row r="202" spans="1:10" x14ac:dyDescent="0.35">
      <c r="A202" s="4" t="s">
        <v>9</v>
      </c>
      <c r="B202" s="47"/>
      <c r="C202" s="11" t="s">
        <v>154</v>
      </c>
      <c r="D202" s="9"/>
      <c r="E202" s="9"/>
      <c r="F202" s="9">
        <v>298237.61</v>
      </c>
      <c r="G202" s="36">
        <f t="shared" si="6"/>
        <v>298237.61</v>
      </c>
      <c r="H202" s="36">
        <f t="shared" si="7"/>
        <v>298237.61</v>
      </c>
      <c r="J202" s="16" t="s">
        <v>1415</v>
      </c>
    </row>
    <row r="203" spans="1:10" x14ac:dyDescent="0.35">
      <c r="A203" s="4" t="s">
        <v>9</v>
      </c>
      <c r="B203" s="47"/>
      <c r="C203" s="11" t="s">
        <v>159</v>
      </c>
      <c r="D203" s="9"/>
      <c r="E203" s="9"/>
      <c r="F203" s="9">
        <v>12724.39</v>
      </c>
      <c r="G203" s="36">
        <f t="shared" si="6"/>
        <v>12724.39</v>
      </c>
      <c r="H203" s="36">
        <f t="shared" si="7"/>
        <v>12724.39</v>
      </c>
      <c r="J203" s="16" t="s">
        <v>1419</v>
      </c>
    </row>
    <row r="204" spans="1:10" x14ac:dyDescent="0.35">
      <c r="A204" s="4" t="s">
        <v>9</v>
      </c>
      <c r="B204" s="47"/>
      <c r="C204" s="11" t="s">
        <v>172</v>
      </c>
      <c r="D204" s="9">
        <v>65327.49</v>
      </c>
      <c r="E204" s="9">
        <v>65327.49</v>
      </c>
      <c r="F204" s="9">
        <v>65327.48</v>
      </c>
      <c r="G204" s="36">
        <f t="shared" si="6"/>
        <v>-9.9999999947613105E-3</v>
      </c>
      <c r="H204" s="36">
        <f t="shared" si="7"/>
        <v>-9.9999999947613105E-3</v>
      </c>
      <c r="J204" s="16" t="s">
        <v>1417</v>
      </c>
    </row>
    <row r="205" spans="1:10" x14ac:dyDescent="0.35">
      <c r="A205" s="4" t="s">
        <v>9</v>
      </c>
      <c r="B205" s="47"/>
      <c r="C205" s="11" t="s">
        <v>158</v>
      </c>
      <c r="D205" s="9"/>
      <c r="E205" s="9"/>
      <c r="F205" s="9">
        <v>11.25</v>
      </c>
      <c r="G205" s="36">
        <f t="shared" si="6"/>
        <v>11.25</v>
      </c>
      <c r="H205" s="36">
        <f t="shared" si="7"/>
        <v>11.25</v>
      </c>
      <c r="J205" s="16" t="s">
        <v>1418</v>
      </c>
    </row>
    <row r="206" spans="1:10" x14ac:dyDescent="0.35">
      <c r="A206" s="4" t="s">
        <v>9</v>
      </c>
      <c r="B206" s="47"/>
      <c r="C206" s="11" t="s">
        <v>173</v>
      </c>
      <c r="D206" s="9">
        <v>36675681.119999997</v>
      </c>
      <c r="E206" s="9">
        <v>36675681.119999997</v>
      </c>
      <c r="F206" s="9">
        <v>36675678.689999998</v>
      </c>
      <c r="G206" s="36">
        <f t="shared" si="6"/>
        <v>-2.4299999997019768</v>
      </c>
      <c r="H206" s="36">
        <f t="shared" si="7"/>
        <v>-2.4299999997019768</v>
      </c>
      <c r="J206" s="16" t="s">
        <v>1428</v>
      </c>
    </row>
    <row r="207" spans="1:10" x14ac:dyDescent="0.35">
      <c r="A207" s="4" t="s">
        <v>9</v>
      </c>
      <c r="B207" s="47"/>
      <c r="C207" s="11" t="s">
        <v>174</v>
      </c>
      <c r="D207" s="9">
        <v>3116.51</v>
      </c>
      <c r="E207" s="9">
        <v>3116.51</v>
      </c>
      <c r="F207" s="9">
        <v>3116.47</v>
      </c>
      <c r="G207" s="36">
        <f t="shared" si="6"/>
        <v>-4.0000000000418368E-2</v>
      </c>
      <c r="H207" s="36">
        <f t="shared" si="7"/>
        <v>-4.0000000000418368E-2</v>
      </c>
      <c r="J207" s="16" t="s">
        <v>1427</v>
      </c>
    </row>
    <row r="208" spans="1:10" x14ac:dyDescent="0.35">
      <c r="A208" s="4" t="s">
        <v>9</v>
      </c>
      <c r="B208" s="47"/>
      <c r="C208" s="11" t="s">
        <v>175</v>
      </c>
      <c r="D208" s="9">
        <v>2024509.31</v>
      </c>
      <c r="E208" s="9">
        <v>2024509.31</v>
      </c>
      <c r="F208" s="9">
        <v>2024509.18</v>
      </c>
      <c r="G208" s="36">
        <f t="shared" si="6"/>
        <v>-0.13000000012107193</v>
      </c>
      <c r="H208" s="36">
        <f t="shared" si="7"/>
        <v>-0.13000000012107193</v>
      </c>
      <c r="J208" s="16" t="s">
        <v>1426</v>
      </c>
    </row>
    <row r="209" spans="1:10" x14ac:dyDescent="0.35">
      <c r="A209" s="4" t="s">
        <v>9</v>
      </c>
      <c r="B209" s="47"/>
      <c r="C209" s="11" t="s">
        <v>155</v>
      </c>
      <c r="D209" s="9"/>
      <c r="E209" s="9"/>
      <c r="F209" s="9">
        <v>1391.14</v>
      </c>
      <c r="G209" s="36">
        <f t="shared" si="6"/>
        <v>1391.14</v>
      </c>
      <c r="H209" s="36">
        <f t="shared" si="7"/>
        <v>1391.14</v>
      </c>
      <c r="J209" s="16" t="s">
        <v>1396</v>
      </c>
    </row>
    <row r="210" spans="1:10" x14ac:dyDescent="0.35">
      <c r="A210" s="4" t="s">
        <v>9</v>
      </c>
      <c r="B210" s="47"/>
      <c r="C210" s="11" t="s">
        <v>192</v>
      </c>
      <c r="D210" s="9">
        <v>32137.23</v>
      </c>
      <c r="E210" s="9">
        <v>32137.23</v>
      </c>
      <c r="F210" s="9">
        <v>32137.11</v>
      </c>
      <c r="G210" s="36">
        <f t="shared" si="6"/>
        <v>-0.11999999999898137</v>
      </c>
      <c r="H210" s="36">
        <f t="shared" si="7"/>
        <v>-0.11999999999898137</v>
      </c>
      <c r="J210" s="16" t="s">
        <v>1425</v>
      </c>
    </row>
    <row r="211" spans="1:10" x14ac:dyDescent="0.35">
      <c r="A211" s="4" t="s">
        <v>9</v>
      </c>
      <c r="B211" s="47"/>
      <c r="C211" s="11" t="s">
        <v>193</v>
      </c>
      <c r="D211" s="9">
        <v>5347.43</v>
      </c>
      <c r="E211" s="9">
        <v>5347.43</v>
      </c>
      <c r="F211" s="9">
        <v>5347.31</v>
      </c>
      <c r="G211" s="36">
        <f t="shared" si="6"/>
        <v>-0.11999999999989086</v>
      </c>
      <c r="H211" s="36">
        <f t="shared" si="7"/>
        <v>-0.11999999999989086</v>
      </c>
      <c r="J211" s="16" t="s">
        <v>1420</v>
      </c>
    </row>
    <row r="212" spans="1:10" x14ac:dyDescent="0.35">
      <c r="A212" s="4" t="s">
        <v>9</v>
      </c>
      <c r="B212" s="47"/>
      <c r="C212" s="11" t="s">
        <v>194</v>
      </c>
      <c r="D212" s="9">
        <v>1906566.8</v>
      </c>
      <c r="E212" s="9">
        <v>1906566.8</v>
      </c>
      <c r="F212" s="9">
        <v>1906566.49</v>
      </c>
      <c r="G212" s="36">
        <f t="shared" si="6"/>
        <v>-0.31000000005587935</v>
      </c>
      <c r="H212" s="36">
        <f t="shared" si="7"/>
        <v>-0.31000000005587935</v>
      </c>
      <c r="J212" s="16" t="s">
        <v>1421</v>
      </c>
    </row>
    <row r="213" spans="1:10" x14ac:dyDescent="0.35">
      <c r="A213" s="4" t="s">
        <v>9</v>
      </c>
      <c r="B213" s="47"/>
      <c r="C213" s="11" t="s">
        <v>156</v>
      </c>
      <c r="D213" s="9"/>
      <c r="E213" s="9"/>
      <c r="F213" s="9">
        <v>861.31</v>
      </c>
      <c r="G213" s="36">
        <f t="shared" si="6"/>
        <v>861.31</v>
      </c>
      <c r="H213" s="36">
        <f t="shared" si="7"/>
        <v>861.31</v>
      </c>
      <c r="J213" s="16" t="s">
        <v>1422</v>
      </c>
    </row>
    <row r="214" spans="1:10" x14ac:dyDescent="0.35">
      <c r="A214" s="4" t="s">
        <v>9</v>
      </c>
      <c r="B214" s="47"/>
      <c r="C214" s="11" t="s">
        <v>176</v>
      </c>
      <c r="D214" s="9">
        <v>3081.65</v>
      </c>
      <c r="E214" s="9"/>
      <c r="F214" s="9">
        <v>3081.54</v>
      </c>
      <c r="G214" s="36">
        <f t="shared" si="6"/>
        <v>3081.54</v>
      </c>
      <c r="H214" s="36">
        <f t="shared" si="7"/>
        <v>-0.11000000000012733</v>
      </c>
      <c r="J214" s="16" t="s">
        <v>1424</v>
      </c>
    </row>
    <row r="215" spans="1:10" x14ac:dyDescent="0.35">
      <c r="A215" s="4" t="s">
        <v>9</v>
      </c>
      <c r="B215" s="47"/>
      <c r="C215" s="11" t="s">
        <v>177</v>
      </c>
      <c r="D215" s="9">
        <v>2138.84</v>
      </c>
      <c r="E215" s="9">
        <v>2138.84</v>
      </c>
      <c r="F215" s="9">
        <v>2138.8000000000002</v>
      </c>
      <c r="G215" s="36">
        <f t="shared" si="6"/>
        <v>-3.999999999996362E-2</v>
      </c>
      <c r="H215" s="36">
        <f t="shared" si="7"/>
        <v>-3.999999999996362E-2</v>
      </c>
      <c r="J215" s="16" t="s">
        <v>1423</v>
      </c>
    </row>
    <row r="216" spans="1:10" x14ac:dyDescent="0.35">
      <c r="A216" s="4" t="s">
        <v>9</v>
      </c>
      <c r="B216" s="47"/>
      <c r="C216" s="11" t="s">
        <v>157</v>
      </c>
      <c r="D216" s="9"/>
      <c r="E216" s="9"/>
      <c r="F216" s="9">
        <v>4893924.28</v>
      </c>
      <c r="G216" s="36">
        <f t="shared" si="6"/>
        <v>4893924.28</v>
      </c>
      <c r="H216" s="36">
        <f t="shared" si="7"/>
        <v>4893924.28</v>
      </c>
      <c r="J216" s="16" t="s">
        <v>1390</v>
      </c>
    </row>
    <row r="217" spans="1:10" x14ac:dyDescent="0.35">
      <c r="A217" s="4" t="s">
        <v>9</v>
      </c>
      <c r="B217" s="47"/>
      <c r="C217" s="11" t="s">
        <v>178</v>
      </c>
      <c r="D217" s="9">
        <v>5674.76</v>
      </c>
      <c r="E217" s="9">
        <v>5674.76</v>
      </c>
      <c r="F217" s="9">
        <v>5674.75</v>
      </c>
      <c r="G217" s="36">
        <f t="shared" si="6"/>
        <v>-1.0000000000218279E-2</v>
      </c>
      <c r="H217" s="36">
        <f t="shared" si="7"/>
        <v>-1.0000000000218279E-2</v>
      </c>
      <c r="J217" s="16" t="s">
        <v>1389</v>
      </c>
    </row>
    <row r="218" spans="1:10" x14ac:dyDescent="0.35">
      <c r="A218" s="4" t="s">
        <v>9</v>
      </c>
      <c r="B218" s="47"/>
      <c r="C218" s="11" t="s">
        <v>179</v>
      </c>
      <c r="D218" s="9">
        <v>2337.4</v>
      </c>
      <c r="E218" s="9"/>
      <c r="F218" s="9">
        <v>2337.36</v>
      </c>
      <c r="G218" s="36">
        <f t="shared" si="6"/>
        <v>2337.36</v>
      </c>
      <c r="H218" s="36">
        <f t="shared" si="7"/>
        <v>-3.999999999996362E-2</v>
      </c>
      <c r="J218" s="16" t="s">
        <v>1388</v>
      </c>
    </row>
    <row r="219" spans="1:10" x14ac:dyDescent="0.35">
      <c r="A219" s="4" t="s">
        <v>9</v>
      </c>
      <c r="B219" s="47"/>
      <c r="C219" s="11" t="s">
        <v>183</v>
      </c>
      <c r="D219" s="9">
        <v>5372774.0199999996</v>
      </c>
      <c r="E219" s="9">
        <v>5372774.0199999996</v>
      </c>
      <c r="F219" s="9">
        <v>5372773.5700000003</v>
      </c>
      <c r="G219" s="36">
        <f t="shared" si="6"/>
        <v>-0.44999999925494194</v>
      </c>
      <c r="H219" s="36">
        <f t="shared" si="7"/>
        <v>-0.44999999925494194</v>
      </c>
      <c r="J219" s="16" t="s">
        <v>1394</v>
      </c>
    </row>
    <row r="220" spans="1:10" x14ac:dyDescent="0.35">
      <c r="A220" s="4" t="s">
        <v>9</v>
      </c>
      <c r="B220" s="47"/>
      <c r="C220" s="11" t="s">
        <v>151</v>
      </c>
      <c r="D220" s="9"/>
      <c r="E220" s="9"/>
      <c r="F220" s="9">
        <v>1148.06</v>
      </c>
      <c r="G220" s="36">
        <f t="shared" si="6"/>
        <v>1148.06</v>
      </c>
      <c r="H220" s="36">
        <f t="shared" si="7"/>
        <v>1148.06</v>
      </c>
      <c r="J220" s="16" t="s">
        <v>1400</v>
      </c>
    </row>
    <row r="221" spans="1:10" x14ac:dyDescent="0.35">
      <c r="A221" s="4" t="s">
        <v>9</v>
      </c>
      <c r="B221" s="47"/>
      <c r="C221" s="11" t="s">
        <v>185</v>
      </c>
      <c r="D221" s="9">
        <v>72514.09</v>
      </c>
      <c r="E221" s="9">
        <v>72514.09</v>
      </c>
      <c r="F221" s="9">
        <v>72514.070000000007</v>
      </c>
      <c r="G221" s="36">
        <f t="shared" si="6"/>
        <v>-1.9999999989522621E-2</v>
      </c>
      <c r="H221" s="36">
        <f t="shared" si="7"/>
        <v>-1.9999999989522621E-2</v>
      </c>
      <c r="J221" s="16" t="s">
        <v>1401</v>
      </c>
    </row>
    <row r="222" spans="1:10" x14ac:dyDescent="0.35">
      <c r="A222" s="4" t="s">
        <v>9</v>
      </c>
      <c r="B222" s="47"/>
      <c r="C222" s="11" t="s">
        <v>187</v>
      </c>
      <c r="D222" s="9">
        <v>1179.99</v>
      </c>
      <c r="E222" s="9">
        <v>1179.99</v>
      </c>
      <c r="F222" s="9">
        <v>1179.97</v>
      </c>
      <c r="G222" s="36">
        <f t="shared" si="6"/>
        <v>-1.999999999998181E-2</v>
      </c>
      <c r="H222" s="36">
        <f t="shared" si="7"/>
        <v>-1.999999999998181E-2</v>
      </c>
      <c r="J222" s="16" t="s">
        <v>1398</v>
      </c>
    </row>
    <row r="223" spans="1:10" x14ac:dyDescent="0.35">
      <c r="A223" s="4" t="s">
        <v>9</v>
      </c>
      <c r="B223" s="47"/>
      <c r="C223" s="11" t="s">
        <v>186</v>
      </c>
      <c r="D223" s="9">
        <v>245974.67</v>
      </c>
      <c r="E223" s="9">
        <v>245974.67</v>
      </c>
      <c r="F223" s="9">
        <v>245973.12</v>
      </c>
      <c r="G223" s="36">
        <f t="shared" si="6"/>
        <v>-1.5500000000174623</v>
      </c>
      <c r="H223" s="36">
        <f t="shared" si="7"/>
        <v>-1.5500000000174623</v>
      </c>
      <c r="J223" s="16" t="s">
        <v>1399</v>
      </c>
    </row>
    <row r="224" spans="1:10" x14ac:dyDescent="0.35">
      <c r="A224" s="4" t="s">
        <v>9</v>
      </c>
      <c r="B224" s="47"/>
      <c r="C224" s="11" t="s">
        <v>188</v>
      </c>
      <c r="D224" s="9">
        <v>574.88</v>
      </c>
      <c r="E224" s="9">
        <v>574.88</v>
      </c>
      <c r="F224" s="9">
        <v>574.86</v>
      </c>
      <c r="G224" s="36">
        <f t="shared" si="6"/>
        <v>-1.999999999998181E-2</v>
      </c>
      <c r="H224" s="36">
        <f t="shared" si="7"/>
        <v>-1.999999999998181E-2</v>
      </c>
      <c r="J224" s="16" t="s">
        <v>1402</v>
      </c>
    </row>
    <row r="225" spans="1:10" x14ac:dyDescent="0.35">
      <c r="A225" s="4" t="s">
        <v>9</v>
      </c>
      <c r="B225" s="47"/>
      <c r="C225" s="11" t="s">
        <v>189</v>
      </c>
      <c r="D225" s="9">
        <v>75437924.530000001</v>
      </c>
      <c r="E225" s="9">
        <v>75437924.530000001</v>
      </c>
      <c r="F225" s="9">
        <v>75437914.840000004</v>
      </c>
      <c r="G225" s="36">
        <f t="shared" si="6"/>
        <v>-9.6899999976158142</v>
      </c>
      <c r="H225" s="36">
        <f t="shared" si="7"/>
        <v>-9.6899999976158142</v>
      </c>
      <c r="J225" s="16" t="s">
        <v>1394</v>
      </c>
    </row>
    <row r="226" spans="1:10" x14ac:dyDescent="0.35">
      <c r="A226" s="4" t="s">
        <v>9</v>
      </c>
      <c r="B226" s="47"/>
      <c r="C226" s="11" t="s">
        <v>190</v>
      </c>
      <c r="D226" s="9">
        <v>609864.81000000006</v>
      </c>
      <c r="E226" s="9">
        <v>609864.81000000006</v>
      </c>
      <c r="F226" s="9">
        <v>609864.76</v>
      </c>
      <c r="G226" s="36">
        <f t="shared" si="6"/>
        <v>-5.0000000046566129E-2</v>
      </c>
      <c r="H226" s="36">
        <f t="shared" si="7"/>
        <v>-5.0000000046566129E-2</v>
      </c>
      <c r="J226" s="16" t="s">
        <v>1403</v>
      </c>
    </row>
    <row r="227" spans="1:10" x14ac:dyDescent="0.35">
      <c r="A227" s="4" t="s">
        <v>9</v>
      </c>
      <c r="B227" s="47"/>
      <c r="C227" s="11"/>
      <c r="D227" s="9">
        <v>0</v>
      </c>
      <c r="E227" s="9">
        <v>0</v>
      </c>
      <c r="F227" s="9"/>
      <c r="G227" s="36">
        <f t="shared" ref="G227:G290" si="8">F227-E227</f>
        <v>0</v>
      </c>
      <c r="H227" s="36">
        <f t="shared" ref="H227:H290" si="9">F227-D227</f>
        <v>0</v>
      </c>
      <c r="J227" s="16" t="e">
        <v>#N/A</v>
      </c>
    </row>
    <row r="228" spans="1:10" x14ac:dyDescent="0.35">
      <c r="A228" s="4" t="s">
        <v>9</v>
      </c>
      <c r="B228" s="47"/>
      <c r="C228" s="11" t="s">
        <v>152</v>
      </c>
      <c r="D228" s="9"/>
      <c r="E228" s="9"/>
      <c r="F228" s="9">
        <v>11140.35</v>
      </c>
      <c r="G228" s="36">
        <f t="shared" si="8"/>
        <v>11140.35</v>
      </c>
      <c r="H228" s="36">
        <f t="shared" si="9"/>
        <v>11140.35</v>
      </c>
      <c r="J228" s="16" t="s">
        <v>1405</v>
      </c>
    </row>
    <row r="229" spans="1:10" x14ac:dyDescent="0.35">
      <c r="A229" s="4" t="s">
        <v>9</v>
      </c>
      <c r="B229" s="47"/>
      <c r="C229" s="11" t="s">
        <v>191</v>
      </c>
      <c r="D229" s="9">
        <v>102179.99</v>
      </c>
      <c r="E229" s="9">
        <v>102179.99</v>
      </c>
      <c r="F229" s="9">
        <v>102179.93</v>
      </c>
      <c r="G229" s="36">
        <f t="shared" si="8"/>
        <v>-6.0000000012223609E-2</v>
      </c>
      <c r="H229" s="36">
        <f t="shared" si="9"/>
        <v>-6.0000000012223609E-2</v>
      </c>
      <c r="J229" s="16" t="s">
        <v>1404</v>
      </c>
    </row>
    <row r="230" spans="1:10" x14ac:dyDescent="0.35">
      <c r="A230" s="4" t="s">
        <v>9</v>
      </c>
      <c r="B230" s="47"/>
      <c r="C230" s="11" t="s">
        <v>161</v>
      </c>
      <c r="D230" s="9">
        <v>43050.06</v>
      </c>
      <c r="E230" s="9">
        <v>43050.06</v>
      </c>
      <c r="F230" s="9">
        <v>43050.04</v>
      </c>
      <c r="G230" s="36">
        <f t="shared" si="8"/>
        <v>-1.9999999996798579E-2</v>
      </c>
      <c r="H230" s="36">
        <f t="shared" si="9"/>
        <v>-1.9999999996798579E-2</v>
      </c>
      <c r="J230" s="16" t="s">
        <v>1406</v>
      </c>
    </row>
    <row r="231" spans="1:10" x14ac:dyDescent="0.35">
      <c r="A231" s="4" t="s">
        <v>9</v>
      </c>
      <c r="B231" s="47"/>
      <c r="C231" s="11" t="s">
        <v>162</v>
      </c>
      <c r="D231" s="9">
        <v>1023218.4</v>
      </c>
      <c r="E231" s="9">
        <v>1023218.4</v>
      </c>
      <c r="F231" s="9">
        <v>1023217.89</v>
      </c>
      <c r="G231" s="36">
        <f t="shared" si="8"/>
        <v>-0.51000000000931323</v>
      </c>
      <c r="H231" s="36">
        <f t="shared" si="9"/>
        <v>-0.51000000000931323</v>
      </c>
      <c r="J231" s="16" t="s">
        <v>1407</v>
      </c>
    </row>
    <row r="232" spans="1:10" x14ac:dyDescent="0.35">
      <c r="A232" s="4" t="s">
        <v>9</v>
      </c>
      <c r="B232" s="47"/>
      <c r="C232" s="11" t="s">
        <v>163</v>
      </c>
      <c r="D232" s="9">
        <v>186889.89</v>
      </c>
      <c r="E232" s="9">
        <v>186889.89</v>
      </c>
      <c r="F232" s="9">
        <v>186889.75</v>
      </c>
      <c r="G232" s="36">
        <f t="shared" si="8"/>
        <v>-0.14000000001396984</v>
      </c>
      <c r="H232" s="36">
        <f t="shared" si="9"/>
        <v>-0.14000000001396984</v>
      </c>
      <c r="J232" s="16" t="s">
        <v>1408</v>
      </c>
    </row>
    <row r="233" spans="1:10" x14ac:dyDescent="0.35">
      <c r="A233" s="4" t="s">
        <v>9</v>
      </c>
      <c r="B233" s="47"/>
      <c r="C233" s="11" t="s">
        <v>171</v>
      </c>
      <c r="D233" s="9">
        <v>475232.81</v>
      </c>
      <c r="E233" s="9">
        <v>475232.81</v>
      </c>
      <c r="F233" s="9">
        <v>475232.75</v>
      </c>
      <c r="G233" s="36">
        <f t="shared" si="8"/>
        <v>-5.9999999997671694E-2</v>
      </c>
      <c r="H233" s="36">
        <f t="shared" si="9"/>
        <v>-5.9999999997671694E-2</v>
      </c>
      <c r="J233" s="16" t="s">
        <v>1416</v>
      </c>
    </row>
    <row r="234" spans="1:10" x14ac:dyDescent="0.35">
      <c r="A234" s="4" t="s">
        <v>9</v>
      </c>
      <c r="B234" s="2"/>
      <c r="C234" s="29" t="s">
        <v>529</v>
      </c>
      <c r="D234" s="28">
        <f>SUM(D140:D233)</f>
        <v>146279288.94999999</v>
      </c>
      <c r="E234" s="28">
        <f t="shared" ref="E234" si="10">SUM(E140:E233)</f>
        <v>146273869.90000001</v>
      </c>
      <c r="F234" s="28">
        <f>SUM(F140:F233)/2</f>
        <v>146279268.97000003</v>
      </c>
      <c r="G234" s="36">
        <f>F234-E234</f>
        <v>5399.0700000226498</v>
      </c>
      <c r="H234" s="36">
        <f t="shared" si="9"/>
        <v>-19.979999959468842</v>
      </c>
      <c r="J234" s="16" t="e">
        <v>#N/A</v>
      </c>
    </row>
    <row r="235" spans="1:10" x14ac:dyDescent="0.35">
      <c r="A235" s="4" t="s">
        <v>10</v>
      </c>
      <c r="B235" s="47" t="s">
        <v>29</v>
      </c>
      <c r="C235" s="11" t="s">
        <v>891</v>
      </c>
      <c r="D235" s="9"/>
      <c r="E235" s="9"/>
      <c r="F235" s="9">
        <v>5872.42</v>
      </c>
      <c r="G235" s="36">
        <f t="shared" si="8"/>
        <v>5872.42</v>
      </c>
      <c r="H235" s="36">
        <f t="shared" si="9"/>
        <v>5872.42</v>
      </c>
      <c r="J235" s="16" t="s">
        <v>1429</v>
      </c>
    </row>
    <row r="236" spans="1:10" x14ac:dyDescent="0.35">
      <c r="A236" s="4" t="s">
        <v>10</v>
      </c>
      <c r="B236" s="47"/>
      <c r="C236" s="11" t="s">
        <v>204</v>
      </c>
      <c r="D236" s="9">
        <v>2904271.26</v>
      </c>
      <c r="E236" s="9">
        <v>2904271.26</v>
      </c>
      <c r="F236" s="9">
        <v>2904270.04</v>
      </c>
      <c r="G236" s="36">
        <f t="shared" si="8"/>
        <v>-1.2199999997392297</v>
      </c>
      <c r="H236" s="36">
        <f t="shared" si="9"/>
        <v>-1.2199999997392297</v>
      </c>
      <c r="J236" s="16" t="s">
        <v>1430</v>
      </c>
    </row>
    <row r="237" spans="1:10" x14ac:dyDescent="0.35">
      <c r="A237" s="4" t="s">
        <v>10</v>
      </c>
      <c r="B237" s="47"/>
      <c r="C237" s="11" t="s">
        <v>205</v>
      </c>
      <c r="D237" s="9">
        <v>5719.63</v>
      </c>
      <c r="E237" s="9">
        <v>5719.63</v>
      </c>
      <c r="F237" s="9">
        <v>5719.51</v>
      </c>
      <c r="G237" s="36">
        <f t="shared" si="8"/>
        <v>-0.11999999999989086</v>
      </c>
      <c r="H237" s="36">
        <f t="shared" si="9"/>
        <v>-0.11999999999989086</v>
      </c>
      <c r="J237" s="16" t="s">
        <v>1431</v>
      </c>
    </row>
    <row r="238" spans="1:10" x14ac:dyDescent="0.35">
      <c r="A238" s="4" t="s">
        <v>10</v>
      </c>
      <c r="B238" s="47"/>
      <c r="C238" s="11" t="s">
        <v>199</v>
      </c>
      <c r="D238" s="9">
        <v>7684.79</v>
      </c>
      <c r="E238" s="9">
        <v>7684.79</v>
      </c>
      <c r="F238" s="9">
        <v>7684.69</v>
      </c>
      <c r="G238" s="36">
        <f t="shared" si="8"/>
        <v>-0.1000000000003638</v>
      </c>
      <c r="H238" s="36">
        <f t="shared" si="9"/>
        <v>-0.1000000000003638</v>
      </c>
      <c r="J238" s="16" t="s">
        <v>1432</v>
      </c>
    </row>
    <row r="239" spans="1:10" x14ac:dyDescent="0.35">
      <c r="A239" s="4" t="s">
        <v>10</v>
      </c>
      <c r="B239" s="47"/>
      <c r="C239" s="11" t="s">
        <v>200</v>
      </c>
      <c r="D239" s="9">
        <v>4547267.97</v>
      </c>
      <c r="E239" s="9">
        <v>4547267.97</v>
      </c>
      <c r="F239" s="9">
        <v>4547266.41</v>
      </c>
      <c r="G239" s="36">
        <f t="shared" si="8"/>
        <v>-1.5599999995902181</v>
      </c>
      <c r="H239" s="36">
        <f t="shared" si="9"/>
        <v>-1.5599999995902181</v>
      </c>
      <c r="J239" s="16" t="s">
        <v>1433</v>
      </c>
    </row>
    <row r="240" spans="1:10" x14ac:dyDescent="0.35">
      <c r="A240" s="4" t="s">
        <v>10</v>
      </c>
      <c r="B240" s="47"/>
      <c r="C240" s="11" t="s">
        <v>527</v>
      </c>
      <c r="D240" s="9"/>
      <c r="E240" s="9"/>
      <c r="F240" s="9">
        <v>0</v>
      </c>
      <c r="G240" s="36">
        <f t="shared" si="8"/>
        <v>0</v>
      </c>
      <c r="H240" s="36">
        <f t="shared" si="9"/>
        <v>0</v>
      </c>
      <c r="J240" s="16" t="s">
        <v>1434</v>
      </c>
    </row>
    <row r="241" spans="1:10" x14ac:dyDescent="0.35">
      <c r="A241" s="4" t="s">
        <v>10</v>
      </c>
      <c r="B241" s="47"/>
      <c r="C241" s="11" t="s">
        <v>892</v>
      </c>
      <c r="D241" s="9">
        <v>204830.85</v>
      </c>
      <c r="E241" s="9">
        <v>204830.85</v>
      </c>
      <c r="F241" s="9">
        <v>204830.66</v>
      </c>
      <c r="G241" s="36">
        <f t="shared" si="8"/>
        <v>-0.19000000000232831</v>
      </c>
      <c r="H241" s="36">
        <f t="shared" si="9"/>
        <v>-0.19000000000232831</v>
      </c>
      <c r="J241" s="16" t="s">
        <v>1435</v>
      </c>
    </row>
    <row r="242" spans="1:10" x14ac:dyDescent="0.35">
      <c r="A242" s="4" t="s">
        <v>10</v>
      </c>
      <c r="B242" s="47"/>
      <c r="C242" s="11" t="s">
        <v>196</v>
      </c>
      <c r="D242" s="9">
        <v>39924305.240000002</v>
      </c>
      <c r="E242" s="9">
        <v>39924305.240000002</v>
      </c>
      <c r="F242" s="9">
        <v>39924270.920000002</v>
      </c>
      <c r="G242" s="36">
        <f t="shared" si="8"/>
        <v>-34.320000000298023</v>
      </c>
      <c r="H242" s="36">
        <f t="shared" si="9"/>
        <v>-34.320000000298023</v>
      </c>
      <c r="J242" s="16" t="s">
        <v>1436</v>
      </c>
    </row>
    <row r="243" spans="1:10" x14ac:dyDescent="0.35">
      <c r="A243" s="4" t="s">
        <v>10</v>
      </c>
      <c r="B243" s="47"/>
      <c r="C243" s="11" t="s">
        <v>201</v>
      </c>
      <c r="D243" s="9">
        <v>18967283.649999999</v>
      </c>
      <c r="E243" s="9">
        <v>18967283.649999999</v>
      </c>
      <c r="F243" s="9">
        <v>18967271.809999999</v>
      </c>
      <c r="G243" s="36">
        <f t="shared" si="8"/>
        <v>-11.839999999850988</v>
      </c>
      <c r="H243" s="36">
        <f t="shared" si="9"/>
        <v>-11.839999999850988</v>
      </c>
      <c r="J243" s="16" t="s">
        <v>1437</v>
      </c>
    </row>
    <row r="244" spans="1:10" x14ac:dyDescent="0.35">
      <c r="A244" s="4" t="s">
        <v>10</v>
      </c>
      <c r="B244" s="47"/>
      <c r="C244" s="11" t="s">
        <v>198</v>
      </c>
      <c r="D244" s="9">
        <v>13460.81</v>
      </c>
      <c r="E244" s="9">
        <v>13460.81</v>
      </c>
      <c r="F244" s="9">
        <v>13460.35</v>
      </c>
      <c r="G244" s="36">
        <f t="shared" si="8"/>
        <v>-0.45999999999912689</v>
      </c>
      <c r="H244" s="36">
        <f t="shared" si="9"/>
        <v>-0.45999999999912689</v>
      </c>
      <c r="J244" s="16" t="s">
        <v>1438</v>
      </c>
    </row>
    <row r="245" spans="1:10" x14ac:dyDescent="0.35">
      <c r="A245" s="4" t="s">
        <v>10</v>
      </c>
      <c r="B245" s="47"/>
      <c r="C245" s="11" t="s">
        <v>202</v>
      </c>
      <c r="D245" s="9">
        <v>3456762.14</v>
      </c>
      <c r="E245" s="9">
        <v>3456762.14</v>
      </c>
      <c r="F245" s="9">
        <v>3456757.18</v>
      </c>
      <c r="G245" s="36">
        <f t="shared" si="8"/>
        <v>-4.9599999999627471</v>
      </c>
      <c r="H245" s="36">
        <f t="shared" si="9"/>
        <v>-4.9599999999627471</v>
      </c>
      <c r="J245" s="16" t="s">
        <v>1439</v>
      </c>
    </row>
    <row r="246" spans="1:10" x14ac:dyDescent="0.35">
      <c r="A246" s="4" t="s">
        <v>10</v>
      </c>
      <c r="B246" s="47"/>
      <c r="C246" s="11"/>
      <c r="D246" s="9">
        <v>15696402.310000001</v>
      </c>
      <c r="E246" s="9"/>
      <c r="F246" s="9"/>
      <c r="G246" s="36">
        <f t="shared" si="8"/>
        <v>0</v>
      </c>
      <c r="H246" s="36">
        <f t="shared" si="9"/>
        <v>-15696402.310000001</v>
      </c>
      <c r="J246" s="16" t="e">
        <v>#N/A</v>
      </c>
    </row>
    <row r="247" spans="1:10" x14ac:dyDescent="0.35">
      <c r="A247" s="4" t="s">
        <v>10</v>
      </c>
      <c r="B247" s="47"/>
      <c r="C247" s="11" t="s">
        <v>848</v>
      </c>
      <c r="D247" s="9"/>
      <c r="E247" s="9"/>
      <c r="F247" s="9">
        <v>4598081.78</v>
      </c>
      <c r="G247" s="36">
        <f t="shared" si="8"/>
        <v>4598081.78</v>
      </c>
      <c r="H247" s="36">
        <f t="shared" si="9"/>
        <v>4598081.78</v>
      </c>
      <c r="J247" s="16" t="s">
        <v>1440</v>
      </c>
    </row>
    <row r="248" spans="1:10" x14ac:dyDescent="0.35">
      <c r="A248" s="4" t="s">
        <v>10</v>
      </c>
      <c r="B248" s="47"/>
      <c r="C248" s="11" t="s">
        <v>203</v>
      </c>
      <c r="D248" s="9">
        <v>24397.62</v>
      </c>
      <c r="E248" s="9">
        <v>24397.62</v>
      </c>
      <c r="F248" s="9">
        <v>24397.59</v>
      </c>
      <c r="G248" s="36">
        <f t="shared" si="8"/>
        <v>-2.9999999998835847E-2</v>
      </c>
      <c r="H248" s="36">
        <f t="shared" si="9"/>
        <v>-2.9999999998835847E-2</v>
      </c>
      <c r="J248" s="16" t="s">
        <v>1441</v>
      </c>
    </row>
    <row r="249" spans="1:10" x14ac:dyDescent="0.35">
      <c r="A249" s="4" t="s">
        <v>10</v>
      </c>
      <c r="B249" s="47"/>
      <c r="C249" s="11" t="s">
        <v>209</v>
      </c>
      <c r="D249" s="9">
        <v>1371884.79</v>
      </c>
      <c r="E249" s="9">
        <v>1371884.79</v>
      </c>
      <c r="F249" s="9">
        <v>1371881.91</v>
      </c>
      <c r="G249" s="36">
        <f t="shared" si="8"/>
        <v>-2.8800000001210719</v>
      </c>
      <c r="H249" s="36">
        <f t="shared" si="9"/>
        <v>-2.8800000001210719</v>
      </c>
      <c r="J249" s="16" t="s">
        <v>1430</v>
      </c>
    </row>
    <row r="250" spans="1:10" x14ac:dyDescent="0.35">
      <c r="A250" s="4" t="s">
        <v>10</v>
      </c>
      <c r="B250" s="47"/>
      <c r="C250" s="11" t="s">
        <v>206</v>
      </c>
      <c r="D250" s="9">
        <v>144769180.62</v>
      </c>
      <c r="E250" s="9">
        <v>144769180.62</v>
      </c>
      <c r="F250" s="9">
        <v>144769134.38</v>
      </c>
      <c r="G250" s="36">
        <f t="shared" si="8"/>
        <v>-46.240000009536743</v>
      </c>
      <c r="H250" s="36">
        <f t="shared" si="9"/>
        <v>-46.240000009536743</v>
      </c>
      <c r="J250" s="16" t="s">
        <v>1442</v>
      </c>
    </row>
    <row r="251" spans="1:10" x14ac:dyDescent="0.35">
      <c r="A251" s="4" t="s">
        <v>10</v>
      </c>
      <c r="B251" s="47"/>
      <c r="C251" s="11" t="s">
        <v>207</v>
      </c>
      <c r="D251" s="9">
        <v>6608448.4100000001</v>
      </c>
      <c r="E251" s="9">
        <v>6608448.4100000001</v>
      </c>
      <c r="F251" s="9">
        <v>6608444.4199999999</v>
      </c>
      <c r="G251" s="36">
        <f t="shared" si="8"/>
        <v>-3.9900000002235174</v>
      </c>
      <c r="H251" s="36">
        <f t="shared" si="9"/>
        <v>-3.9900000002235174</v>
      </c>
      <c r="J251" s="16" t="s">
        <v>1443</v>
      </c>
    </row>
    <row r="252" spans="1:10" x14ac:dyDescent="0.35">
      <c r="A252" s="4" t="s">
        <v>10</v>
      </c>
      <c r="B252" s="47"/>
      <c r="C252" s="11" t="s">
        <v>208</v>
      </c>
      <c r="D252" s="9">
        <v>2410742.58</v>
      </c>
      <c r="E252" s="9">
        <v>2410742.58</v>
      </c>
      <c r="F252" s="9">
        <v>2410739.9</v>
      </c>
      <c r="G252" s="36">
        <f t="shared" si="8"/>
        <v>-2.6800000001676381</v>
      </c>
      <c r="H252" s="36">
        <f t="shared" si="9"/>
        <v>-2.6800000001676381</v>
      </c>
      <c r="J252" s="16" t="s">
        <v>1444</v>
      </c>
    </row>
    <row r="253" spans="1:10" x14ac:dyDescent="0.35">
      <c r="A253" s="4" t="s">
        <v>10</v>
      </c>
      <c r="B253" s="47"/>
      <c r="C253" s="11" t="s">
        <v>850</v>
      </c>
      <c r="D253" s="9"/>
      <c r="E253" s="9"/>
      <c r="F253" s="9">
        <v>25425565.309999999</v>
      </c>
      <c r="G253" s="36">
        <f t="shared" si="8"/>
        <v>25425565.309999999</v>
      </c>
      <c r="H253" s="36">
        <f t="shared" si="9"/>
        <v>25425565.309999999</v>
      </c>
      <c r="J253" s="16" t="s">
        <v>1445</v>
      </c>
    </row>
    <row r="254" spans="1:10" x14ac:dyDescent="0.35">
      <c r="A254" s="4" t="s">
        <v>10</v>
      </c>
      <c r="B254" s="47"/>
      <c r="C254" s="11"/>
      <c r="D254" s="9">
        <v>453884154.58999997</v>
      </c>
      <c r="E254" s="9">
        <v>30029629.32</v>
      </c>
      <c r="F254" s="9"/>
      <c r="G254" s="36">
        <f t="shared" si="8"/>
        <v>-30029629.32</v>
      </c>
      <c r="H254" s="36">
        <f t="shared" si="9"/>
        <v>-453884154.58999997</v>
      </c>
      <c r="J254" s="16" t="e">
        <v>#N/A</v>
      </c>
    </row>
    <row r="255" spans="1:10" x14ac:dyDescent="0.35">
      <c r="A255" s="4" t="s">
        <v>10</v>
      </c>
      <c r="B255" s="47"/>
      <c r="C255" s="11" t="s">
        <v>197</v>
      </c>
      <c r="D255" s="9">
        <v>179761351.58000001</v>
      </c>
      <c r="E255" s="9">
        <v>179761351.58000001</v>
      </c>
      <c r="F255" s="9">
        <v>179761294.25999999</v>
      </c>
      <c r="G255" s="36">
        <f t="shared" si="8"/>
        <v>-57.320000022649765</v>
      </c>
      <c r="H255" s="36">
        <f t="shared" si="9"/>
        <v>-57.320000022649765</v>
      </c>
      <c r="J255" s="16" t="s">
        <v>1446</v>
      </c>
    </row>
    <row r="256" spans="1:10" x14ac:dyDescent="0.35">
      <c r="A256" s="4" t="s">
        <v>10</v>
      </c>
      <c r="B256" s="2"/>
      <c r="C256" s="29" t="s">
        <v>529</v>
      </c>
      <c r="D256" s="28">
        <f>SUM(D235:D255)</f>
        <v>874558148.84000003</v>
      </c>
      <c r="E256" s="28">
        <f>SUM(E235:E255)</f>
        <v>435007221.25999999</v>
      </c>
      <c r="F256" s="28">
        <f>SUM(F235:F255)</f>
        <v>435006943.53999996</v>
      </c>
      <c r="G256" s="36">
        <f t="shared" si="8"/>
        <v>-277.72000002861023</v>
      </c>
      <c r="H256" s="36">
        <f t="shared" si="9"/>
        <v>-439551205.30000007</v>
      </c>
      <c r="J256" s="16" t="e">
        <v>#N/A</v>
      </c>
    </row>
    <row r="257" spans="1:10" x14ac:dyDescent="0.35">
      <c r="A257" s="4" t="s">
        <v>11</v>
      </c>
      <c r="B257" s="47" t="s">
        <v>30</v>
      </c>
      <c r="C257" s="11" t="s">
        <v>845</v>
      </c>
      <c r="D257" s="9"/>
      <c r="E257" s="9"/>
      <c r="F257" s="9">
        <v>1676119854.6900001</v>
      </c>
      <c r="G257" s="36">
        <f t="shared" si="8"/>
        <v>1676119854.6900001</v>
      </c>
      <c r="H257" s="36">
        <f t="shared" si="9"/>
        <v>1676119854.6900001</v>
      </c>
      <c r="J257" s="16" t="e">
        <v>#N/A</v>
      </c>
    </row>
    <row r="258" spans="1:10" x14ac:dyDescent="0.35">
      <c r="A258" s="4" t="s">
        <v>11</v>
      </c>
      <c r="B258" s="47"/>
      <c r="C258" s="11"/>
      <c r="D258" s="9">
        <v>57990007.789999999</v>
      </c>
      <c r="E258" s="9">
        <v>46621252.740000002</v>
      </c>
      <c r="F258" s="9"/>
      <c r="G258" s="36">
        <f t="shared" si="8"/>
        <v>-46621252.740000002</v>
      </c>
      <c r="H258" s="36">
        <f t="shared" si="9"/>
        <v>-57990007.789999999</v>
      </c>
      <c r="J258" s="16" t="e">
        <v>#N/A</v>
      </c>
    </row>
    <row r="259" spans="1:10" x14ac:dyDescent="0.35">
      <c r="A259" s="4" t="s">
        <v>11</v>
      </c>
      <c r="B259" s="47"/>
      <c r="C259" s="11" t="s">
        <v>107</v>
      </c>
      <c r="D259" s="9">
        <v>2008463804.3299999</v>
      </c>
      <c r="E259" s="9">
        <v>1629499090.6600001</v>
      </c>
      <c r="F259" s="9"/>
      <c r="G259" s="36">
        <f t="shared" si="8"/>
        <v>-1629499090.6600001</v>
      </c>
      <c r="H259" s="36">
        <f t="shared" si="9"/>
        <v>-2008463804.3299999</v>
      </c>
      <c r="J259" s="16" t="e">
        <v>#N/A</v>
      </c>
    </row>
    <row r="260" spans="1:10" x14ac:dyDescent="0.35">
      <c r="A260" s="4" t="s">
        <v>11</v>
      </c>
      <c r="B260" s="2"/>
      <c r="C260" s="29" t="s">
        <v>529</v>
      </c>
      <c r="D260" s="28">
        <f>SUM(D257:D259)</f>
        <v>2066453812.1199999</v>
      </c>
      <c r="E260" s="28">
        <f>SUM(E257:E259)</f>
        <v>1676120343.4000001</v>
      </c>
      <c r="F260" s="28">
        <f>SUM(F257:F259)</f>
        <v>1676119854.6900001</v>
      </c>
      <c r="G260" s="36">
        <f t="shared" si="8"/>
        <v>-488.71000003814697</v>
      </c>
      <c r="H260" s="36">
        <f t="shared" si="9"/>
        <v>-390333957.42999983</v>
      </c>
      <c r="J260" s="16" t="e">
        <v>#N/A</v>
      </c>
    </row>
    <row r="261" spans="1:10" x14ac:dyDescent="0.35">
      <c r="A261" s="4" t="s">
        <v>12</v>
      </c>
      <c r="B261" s="47" t="s">
        <v>31</v>
      </c>
      <c r="C261" s="11" t="s">
        <v>218</v>
      </c>
      <c r="D261" s="9">
        <v>2329.8000000000002</v>
      </c>
      <c r="E261" s="9">
        <v>2329.8000000000002</v>
      </c>
      <c r="F261" s="9">
        <v>2329.79</v>
      </c>
      <c r="G261" s="36">
        <f t="shared" si="8"/>
        <v>-1.0000000000218279E-2</v>
      </c>
      <c r="H261" s="36">
        <f t="shared" si="9"/>
        <v>-1.0000000000218279E-2</v>
      </c>
      <c r="J261" s="16" t="s">
        <v>947</v>
      </c>
    </row>
    <row r="262" spans="1:10" x14ac:dyDescent="0.35">
      <c r="A262" s="4" t="s">
        <v>12</v>
      </c>
      <c r="B262" s="47"/>
      <c r="C262" s="11" t="s">
        <v>219</v>
      </c>
      <c r="D262" s="9">
        <v>884848.05</v>
      </c>
      <c r="E262" s="9"/>
      <c r="F262" s="9"/>
      <c r="G262" s="36">
        <f t="shared" si="8"/>
        <v>0</v>
      </c>
      <c r="H262" s="36">
        <f t="shared" si="9"/>
        <v>-884848.05</v>
      </c>
      <c r="J262" s="16" t="s">
        <v>993</v>
      </c>
    </row>
    <row r="263" spans="1:10" x14ac:dyDescent="0.35">
      <c r="A263" s="4" t="s">
        <v>12</v>
      </c>
      <c r="B263" s="47"/>
      <c r="C263" s="11" t="s">
        <v>220</v>
      </c>
      <c r="D263" s="9">
        <v>3804405.23</v>
      </c>
      <c r="E263" s="9"/>
      <c r="F263" s="9"/>
      <c r="G263" s="36">
        <f t="shared" si="8"/>
        <v>0</v>
      </c>
      <c r="H263" s="36">
        <f t="shared" si="9"/>
        <v>-3804405.23</v>
      </c>
      <c r="J263" s="16" t="e">
        <v>#N/A</v>
      </c>
    </row>
    <row r="264" spans="1:10" x14ac:dyDescent="0.35">
      <c r="A264" s="4" t="s">
        <v>12</v>
      </c>
      <c r="B264" s="47"/>
      <c r="C264" s="11" t="s">
        <v>221</v>
      </c>
      <c r="D264" s="9">
        <v>137430528.27000001</v>
      </c>
      <c r="E264" s="9">
        <v>137430528.27000001</v>
      </c>
      <c r="F264" s="9">
        <v>137430520.94</v>
      </c>
      <c r="G264" s="36">
        <f t="shared" si="8"/>
        <v>-7.3300000131130219</v>
      </c>
      <c r="H264" s="36">
        <f t="shared" si="9"/>
        <v>-7.3300000131130219</v>
      </c>
      <c r="J264" s="16" t="s">
        <v>940</v>
      </c>
    </row>
    <row r="265" spans="1:10" x14ac:dyDescent="0.35">
      <c r="A265" s="4" t="s">
        <v>12</v>
      </c>
      <c r="B265" s="47"/>
      <c r="C265" s="11" t="s">
        <v>222</v>
      </c>
      <c r="D265" s="9">
        <v>1700000</v>
      </c>
      <c r="E265" s="9">
        <v>1700000</v>
      </c>
      <c r="F265" s="9">
        <v>387500</v>
      </c>
      <c r="G265" s="36">
        <f t="shared" si="8"/>
        <v>-1312500</v>
      </c>
      <c r="H265" s="36">
        <f t="shared" si="9"/>
        <v>-1312500</v>
      </c>
      <c r="J265" s="16" t="s">
        <v>1447</v>
      </c>
    </row>
    <row r="266" spans="1:10" x14ac:dyDescent="0.35">
      <c r="A266" s="4" t="s">
        <v>12</v>
      </c>
      <c r="B266" s="47"/>
      <c r="C266" s="11" t="s">
        <v>223</v>
      </c>
      <c r="D266" s="9">
        <v>10450.32</v>
      </c>
      <c r="E266" s="9">
        <v>10450.32</v>
      </c>
      <c r="F266" s="9">
        <v>10450.290000000001</v>
      </c>
      <c r="G266" s="36">
        <f t="shared" si="8"/>
        <v>-2.9999999998835847E-2</v>
      </c>
      <c r="H266" s="36">
        <f t="shared" si="9"/>
        <v>-2.9999999998835847E-2</v>
      </c>
      <c r="J266" s="16" t="s">
        <v>1448</v>
      </c>
    </row>
    <row r="267" spans="1:10" x14ac:dyDescent="0.35">
      <c r="A267" s="4" t="s">
        <v>12</v>
      </c>
      <c r="B267" s="47"/>
      <c r="C267" s="11" t="s">
        <v>224</v>
      </c>
      <c r="D267" s="9">
        <v>5155.91</v>
      </c>
      <c r="E267" s="9">
        <v>5155.91</v>
      </c>
      <c r="F267" s="9">
        <v>5155.8999999999996</v>
      </c>
      <c r="G267" s="36">
        <f t="shared" si="8"/>
        <v>-1.0000000000218279E-2</v>
      </c>
      <c r="H267" s="36">
        <f t="shared" si="9"/>
        <v>-1.0000000000218279E-2</v>
      </c>
      <c r="J267" s="16" t="s">
        <v>1449</v>
      </c>
    </row>
    <row r="268" spans="1:10" x14ac:dyDescent="0.35">
      <c r="A268" s="4" t="s">
        <v>12</v>
      </c>
      <c r="B268" s="47"/>
      <c r="C268" s="11" t="s">
        <v>225</v>
      </c>
      <c r="D268" s="9">
        <v>1571.36</v>
      </c>
      <c r="E268" s="9">
        <v>1571.36</v>
      </c>
      <c r="F268" s="9">
        <v>1571.35</v>
      </c>
      <c r="G268" s="36">
        <f t="shared" si="8"/>
        <v>-9.9999999999909051E-3</v>
      </c>
      <c r="H268" s="36">
        <f t="shared" si="9"/>
        <v>-9.9999999999909051E-3</v>
      </c>
      <c r="J268" s="16" t="s">
        <v>1450</v>
      </c>
    </row>
    <row r="269" spans="1:10" x14ac:dyDescent="0.35">
      <c r="A269" s="4" t="s">
        <v>12</v>
      </c>
      <c r="B269" s="47"/>
      <c r="C269" s="11" t="s">
        <v>226</v>
      </c>
      <c r="D269" s="9">
        <v>248826</v>
      </c>
      <c r="E269" s="9">
        <v>248826</v>
      </c>
      <c r="F269" s="9">
        <v>248825.92</v>
      </c>
      <c r="G269" s="36">
        <f t="shared" si="8"/>
        <v>-7.9999999987194315E-2</v>
      </c>
      <c r="H269" s="36">
        <f t="shared" si="9"/>
        <v>-7.9999999987194315E-2</v>
      </c>
      <c r="J269" s="16" t="s">
        <v>953</v>
      </c>
    </row>
    <row r="270" spans="1:10" x14ac:dyDescent="0.35">
      <c r="A270" s="4" t="s">
        <v>12</v>
      </c>
      <c r="B270" s="47"/>
      <c r="C270" s="11" t="s">
        <v>227</v>
      </c>
      <c r="D270" s="9">
        <v>4510.0200000000004</v>
      </c>
      <c r="E270" s="9"/>
      <c r="F270" s="9"/>
      <c r="G270" s="36">
        <f t="shared" si="8"/>
        <v>0</v>
      </c>
      <c r="H270" s="36">
        <f t="shared" si="9"/>
        <v>-4510.0200000000004</v>
      </c>
      <c r="J270" s="16" t="s">
        <v>988</v>
      </c>
    </row>
    <row r="271" spans="1:10" x14ac:dyDescent="0.35">
      <c r="A271" s="4" t="s">
        <v>12</v>
      </c>
      <c r="B271" s="47"/>
      <c r="C271" s="11" t="s">
        <v>228</v>
      </c>
      <c r="D271" s="9">
        <v>24060.23</v>
      </c>
      <c r="E271" s="9">
        <v>24060.23</v>
      </c>
      <c r="F271" s="9">
        <v>24060.22</v>
      </c>
      <c r="G271" s="36">
        <f t="shared" si="8"/>
        <v>-9.9999999983992893E-3</v>
      </c>
      <c r="H271" s="36">
        <f t="shared" si="9"/>
        <v>-9.9999999983992893E-3</v>
      </c>
      <c r="J271" s="16" t="s">
        <v>1451</v>
      </c>
    </row>
    <row r="272" spans="1:10" x14ac:dyDescent="0.35">
      <c r="A272" s="4" t="s">
        <v>12</v>
      </c>
      <c r="B272" s="47"/>
      <c r="C272" s="11" t="s">
        <v>229</v>
      </c>
      <c r="D272" s="9">
        <v>906.15</v>
      </c>
      <c r="E272" s="9">
        <v>906.15</v>
      </c>
      <c r="F272" s="9">
        <v>906.14</v>
      </c>
      <c r="G272" s="36">
        <f t="shared" si="8"/>
        <v>-9.9999999999909051E-3</v>
      </c>
      <c r="H272" s="36">
        <f t="shared" si="9"/>
        <v>-9.9999999999909051E-3</v>
      </c>
      <c r="J272" s="16" t="s">
        <v>1452</v>
      </c>
    </row>
    <row r="273" spans="1:10" x14ac:dyDescent="0.35">
      <c r="A273" s="4" t="s">
        <v>12</v>
      </c>
      <c r="B273" s="47"/>
      <c r="C273" s="11" t="s">
        <v>230</v>
      </c>
      <c r="D273" s="9">
        <v>62648.18</v>
      </c>
      <c r="E273" s="9">
        <v>62648.18</v>
      </c>
      <c r="F273" s="9">
        <v>62648.17</v>
      </c>
      <c r="G273" s="36">
        <f t="shared" si="8"/>
        <v>-1.0000000002037268E-2</v>
      </c>
      <c r="H273" s="36">
        <f t="shared" si="9"/>
        <v>-1.0000000002037268E-2</v>
      </c>
      <c r="J273" s="16" t="s">
        <v>1453</v>
      </c>
    </row>
    <row r="274" spans="1:10" x14ac:dyDescent="0.35">
      <c r="A274" s="4" t="s">
        <v>12</v>
      </c>
      <c r="B274" s="47"/>
      <c r="C274" s="11" t="s">
        <v>231</v>
      </c>
      <c r="D274" s="9">
        <v>189.5</v>
      </c>
      <c r="E274" s="9">
        <v>189.5</v>
      </c>
      <c r="F274" s="9"/>
      <c r="G274" s="36">
        <f t="shared" si="8"/>
        <v>-189.5</v>
      </c>
      <c r="H274" s="36">
        <f t="shared" si="9"/>
        <v>-189.5</v>
      </c>
      <c r="J274" s="16" t="s">
        <v>1454</v>
      </c>
    </row>
    <row r="275" spans="1:10" x14ac:dyDescent="0.35">
      <c r="A275" s="4" t="s">
        <v>12</v>
      </c>
      <c r="B275" s="47"/>
      <c r="C275" s="11" t="s">
        <v>234</v>
      </c>
      <c r="D275" s="9">
        <v>11913.92</v>
      </c>
      <c r="E275" s="9">
        <v>11913.92</v>
      </c>
      <c r="F275" s="9">
        <v>11913.88</v>
      </c>
      <c r="G275" s="36">
        <f t="shared" si="8"/>
        <v>-4.0000000000873115E-2</v>
      </c>
      <c r="H275" s="36">
        <f t="shared" si="9"/>
        <v>-4.0000000000873115E-2</v>
      </c>
      <c r="J275" s="16" t="s">
        <v>949</v>
      </c>
    </row>
    <row r="276" spans="1:10" x14ac:dyDescent="0.35">
      <c r="A276" s="4" t="s">
        <v>12</v>
      </c>
      <c r="B276" s="47"/>
      <c r="C276" s="11" t="s">
        <v>233</v>
      </c>
      <c r="D276" s="9">
        <v>85790.5</v>
      </c>
      <c r="E276" s="9">
        <v>85790.5</v>
      </c>
      <c r="F276" s="9">
        <v>85790.47</v>
      </c>
      <c r="G276" s="36">
        <f t="shared" si="8"/>
        <v>-2.9999999998835847E-2</v>
      </c>
      <c r="H276" s="36">
        <f t="shared" si="9"/>
        <v>-2.9999999998835847E-2</v>
      </c>
      <c r="J276" s="16" t="s">
        <v>1455</v>
      </c>
    </row>
    <row r="277" spans="1:10" x14ac:dyDescent="0.35">
      <c r="A277" s="4" t="s">
        <v>12</v>
      </c>
      <c r="B277" s="47"/>
      <c r="C277" s="11" t="s">
        <v>232</v>
      </c>
      <c r="D277" s="9">
        <v>284272.15999999997</v>
      </c>
      <c r="E277" s="9">
        <v>284272.15999999997</v>
      </c>
      <c r="F277" s="9">
        <v>284270.73</v>
      </c>
      <c r="G277" s="36">
        <f t="shared" si="8"/>
        <v>-1.4299999999930151</v>
      </c>
      <c r="H277" s="36">
        <f t="shared" si="9"/>
        <v>-1.4299999999930151</v>
      </c>
      <c r="J277" s="16" t="s">
        <v>959</v>
      </c>
    </row>
    <row r="278" spans="1:10" x14ac:dyDescent="0.35">
      <c r="A278" s="4" t="s">
        <v>12</v>
      </c>
      <c r="B278" s="47"/>
      <c r="C278" s="11" t="s">
        <v>235</v>
      </c>
      <c r="D278" s="9">
        <v>98952.57</v>
      </c>
      <c r="E278" s="9">
        <v>98952.57</v>
      </c>
      <c r="F278" s="9">
        <v>98952.42</v>
      </c>
      <c r="G278" s="36">
        <f t="shared" si="8"/>
        <v>-0.15000000000873115</v>
      </c>
      <c r="H278" s="36">
        <f t="shared" si="9"/>
        <v>-0.15000000000873115</v>
      </c>
      <c r="J278" s="16" t="s">
        <v>984</v>
      </c>
    </row>
    <row r="279" spans="1:10" x14ac:dyDescent="0.35">
      <c r="A279" s="4" t="s">
        <v>12</v>
      </c>
      <c r="B279" s="47"/>
      <c r="C279" s="11" t="s">
        <v>236</v>
      </c>
      <c r="D279" s="9">
        <v>3169.93</v>
      </c>
      <c r="E279" s="9">
        <v>3169.93</v>
      </c>
      <c r="F279" s="9">
        <v>3169.92</v>
      </c>
      <c r="G279" s="36">
        <f t="shared" si="8"/>
        <v>-9.9999999997635314E-3</v>
      </c>
      <c r="H279" s="36">
        <f t="shared" si="9"/>
        <v>-9.9999999997635314E-3</v>
      </c>
      <c r="J279" s="16" t="s">
        <v>1456</v>
      </c>
    </row>
    <row r="280" spans="1:10" x14ac:dyDescent="0.35">
      <c r="A280" s="4" t="s">
        <v>12</v>
      </c>
      <c r="B280" s="47"/>
      <c r="C280" s="11" t="s">
        <v>893</v>
      </c>
      <c r="D280" s="9"/>
      <c r="E280" s="9"/>
      <c r="F280" s="9">
        <v>189.49</v>
      </c>
      <c r="G280" s="36">
        <f t="shared" si="8"/>
        <v>189.49</v>
      </c>
      <c r="H280" s="36">
        <f t="shared" si="9"/>
        <v>189.49</v>
      </c>
      <c r="J280" s="16" t="s">
        <v>1457</v>
      </c>
    </row>
    <row r="281" spans="1:10" x14ac:dyDescent="0.35">
      <c r="A281" s="4" t="s">
        <v>12</v>
      </c>
      <c r="B281" s="47"/>
      <c r="C281" s="11" t="s">
        <v>239</v>
      </c>
      <c r="D281" s="9">
        <v>366012.6</v>
      </c>
      <c r="E281" s="9">
        <v>366012.6</v>
      </c>
      <c r="F281" s="9">
        <v>161405.03</v>
      </c>
      <c r="G281" s="36">
        <f t="shared" si="8"/>
        <v>-204607.56999999998</v>
      </c>
      <c r="H281" s="36">
        <f t="shared" si="9"/>
        <v>-204607.56999999998</v>
      </c>
      <c r="J281" s="16" t="s">
        <v>1458</v>
      </c>
    </row>
    <row r="282" spans="1:10" x14ac:dyDescent="0.35">
      <c r="A282" s="4" t="s">
        <v>12</v>
      </c>
      <c r="B282" s="47"/>
      <c r="C282" s="11" t="s">
        <v>237</v>
      </c>
      <c r="D282" s="9">
        <v>116318.71</v>
      </c>
      <c r="E282" s="9">
        <v>116318.71</v>
      </c>
      <c r="F282" s="9">
        <v>116318.64</v>
      </c>
      <c r="G282" s="36">
        <f t="shared" si="8"/>
        <v>-7.0000000006984919E-2</v>
      </c>
      <c r="H282" s="36">
        <f t="shared" si="9"/>
        <v>-7.0000000006984919E-2</v>
      </c>
      <c r="J282" s="16" t="s">
        <v>1459</v>
      </c>
    </row>
    <row r="283" spans="1:10" x14ac:dyDescent="0.35">
      <c r="A283" s="4" t="s">
        <v>12</v>
      </c>
      <c r="B283" s="47"/>
      <c r="C283" s="11" t="s">
        <v>238</v>
      </c>
      <c r="D283" s="9">
        <v>95806.3</v>
      </c>
      <c r="E283" s="9">
        <v>95806.3</v>
      </c>
      <c r="F283" s="9">
        <v>95806.29</v>
      </c>
      <c r="G283" s="36">
        <f t="shared" si="8"/>
        <v>-1.0000000009313226E-2</v>
      </c>
      <c r="H283" s="36">
        <f t="shared" si="9"/>
        <v>-1.0000000009313226E-2</v>
      </c>
      <c r="J283" s="16" t="s">
        <v>1460</v>
      </c>
    </row>
    <row r="284" spans="1:10" x14ac:dyDescent="0.35">
      <c r="A284" s="4" t="s">
        <v>12</v>
      </c>
      <c r="B284" s="47"/>
      <c r="C284" s="11" t="s">
        <v>240</v>
      </c>
      <c r="D284" s="9">
        <v>14709247.550000001</v>
      </c>
      <c r="E284" s="9">
        <v>14709247.550000001</v>
      </c>
      <c r="F284" s="9">
        <v>14709235.220000001</v>
      </c>
      <c r="G284" s="36">
        <f t="shared" si="8"/>
        <v>-12.330000000074506</v>
      </c>
      <c r="H284" s="36">
        <f t="shared" si="9"/>
        <v>-12.330000000074506</v>
      </c>
      <c r="J284" s="16" t="s">
        <v>970</v>
      </c>
    </row>
    <row r="285" spans="1:10" x14ac:dyDescent="0.35">
      <c r="A285" s="4" t="s">
        <v>12</v>
      </c>
      <c r="B285" s="47"/>
      <c r="C285" s="11" t="s">
        <v>241</v>
      </c>
      <c r="D285" s="9">
        <v>153022.44</v>
      </c>
      <c r="E285" s="9"/>
      <c r="F285" s="9"/>
      <c r="G285" s="36">
        <f t="shared" si="8"/>
        <v>0</v>
      </c>
      <c r="H285" s="36">
        <f t="shared" si="9"/>
        <v>-153022.44</v>
      </c>
      <c r="J285" s="16" t="e">
        <v>#N/A</v>
      </c>
    </row>
    <row r="286" spans="1:10" x14ac:dyDescent="0.35">
      <c r="A286" s="4" t="s">
        <v>12</v>
      </c>
      <c r="B286" s="47"/>
      <c r="C286" s="11" t="s">
        <v>242</v>
      </c>
      <c r="D286" s="9">
        <v>906.15</v>
      </c>
      <c r="E286" s="9">
        <v>906.15</v>
      </c>
      <c r="F286" s="9">
        <v>906.14</v>
      </c>
      <c r="G286" s="36">
        <f t="shared" si="8"/>
        <v>-9.9999999999909051E-3</v>
      </c>
      <c r="H286" s="36">
        <f t="shared" si="9"/>
        <v>-9.9999999999909051E-3</v>
      </c>
      <c r="J286" s="16" t="s">
        <v>985</v>
      </c>
    </row>
    <row r="287" spans="1:10" x14ac:dyDescent="0.35">
      <c r="A287" s="4" t="s">
        <v>12</v>
      </c>
      <c r="B287" s="47"/>
      <c r="C287" s="11" t="s">
        <v>243</v>
      </c>
      <c r="D287" s="9">
        <v>1227751.4099999999</v>
      </c>
      <c r="E287" s="9">
        <v>1227751.4099999999</v>
      </c>
      <c r="F287" s="9">
        <v>1227750.1499999999</v>
      </c>
      <c r="G287" s="36">
        <f t="shared" si="8"/>
        <v>-1.2600000000093132</v>
      </c>
      <c r="H287" s="36">
        <f t="shared" si="9"/>
        <v>-1.2600000000093132</v>
      </c>
      <c r="J287" s="16" t="s">
        <v>1461</v>
      </c>
    </row>
    <row r="288" spans="1:10" x14ac:dyDescent="0.35">
      <c r="A288" s="4" t="s">
        <v>12</v>
      </c>
      <c r="B288" s="47"/>
      <c r="C288" s="11" t="s">
        <v>244</v>
      </c>
      <c r="D288" s="9">
        <v>13668.18</v>
      </c>
      <c r="E288" s="9"/>
      <c r="F288" s="9"/>
      <c r="G288" s="36">
        <f t="shared" si="8"/>
        <v>0</v>
      </c>
      <c r="H288" s="36">
        <f t="shared" si="9"/>
        <v>-13668.18</v>
      </c>
      <c r="J288" s="16" t="e">
        <v>#N/A</v>
      </c>
    </row>
    <row r="289" spans="1:10" x14ac:dyDescent="0.35">
      <c r="A289" s="4" t="s">
        <v>12</v>
      </c>
      <c r="B289" s="47"/>
      <c r="C289" s="11" t="s">
        <v>245</v>
      </c>
      <c r="D289" s="9">
        <v>477617.8</v>
      </c>
      <c r="E289" s="9">
        <v>477617.8</v>
      </c>
      <c r="F289" s="9">
        <v>477617.7</v>
      </c>
      <c r="G289" s="36">
        <f t="shared" si="8"/>
        <v>-9.9999999976716936E-2</v>
      </c>
      <c r="H289" s="36">
        <f t="shared" si="9"/>
        <v>-9.9999999976716936E-2</v>
      </c>
      <c r="J289" s="16" t="s">
        <v>915</v>
      </c>
    </row>
    <row r="290" spans="1:10" x14ac:dyDescent="0.35">
      <c r="A290" s="4" t="s">
        <v>12</v>
      </c>
      <c r="B290" s="47"/>
      <c r="C290" s="11" t="s">
        <v>247</v>
      </c>
      <c r="D290" s="9">
        <v>94366.53</v>
      </c>
      <c r="E290" s="9">
        <v>94366.53</v>
      </c>
      <c r="F290" s="9">
        <v>94366.03</v>
      </c>
      <c r="G290" s="36">
        <f t="shared" si="8"/>
        <v>-0.5</v>
      </c>
      <c r="H290" s="36">
        <f t="shared" si="9"/>
        <v>-0.5</v>
      </c>
      <c r="J290" s="16" t="s">
        <v>958</v>
      </c>
    </row>
    <row r="291" spans="1:10" x14ac:dyDescent="0.35">
      <c r="A291" s="4" t="s">
        <v>12</v>
      </c>
      <c r="B291" s="47"/>
      <c r="C291" s="11" t="s">
        <v>246</v>
      </c>
      <c r="D291" s="9">
        <v>23974117.559999999</v>
      </c>
      <c r="E291" s="9">
        <v>23974117.559999999</v>
      </c>
      <c r="F291" s="9">
        <v>23974113.32</v>
      </c>
      <c r="G291" s="36">
        <f t="shared" ref="G291:G354" si="11">F291-E291</f>
        <v>-4.2399999983608723</v>
      </c>
      <c r="H291" s="36">
        <f t="shared" ref="H291:H354" si="12">F291-D291</f>
        <v>-4.2399999983608723</v>
      </c>
      <c r="J291" s="16" t="s">
        <v>961</v>
      </c>
    </row>
    <row r="292" spans="1:10" x14ac:dyDescent="0.35">
      <c r="A292" s="4" t="s">
        <v>12</v>
      </c>
      <c r="B292" s="47"/>
      <c r="C292" s="11" t="s">
        <v>248</v>
      </c>
      <c r="D292" s="9">
        <v>3819032.74</v>
      </c>
      <c r="E292" s="9">
        <v>3819032.74</v>
      </c>
      <c r="F292" s="9">
        <v>361410.46</v>
      </c>
      <c r="G292" s="36">
        <f t="shared" si="11"/>
        <v>-3457622.2800000003</v>
      </c>
      <c r="H292" s="36">
        <f t="shared" si="12"/>
        <v>-3457622.2800000003</v>
      </c>
      <c r="J292" s="16" t="s">
        <v>1462</v>
      </c>
    </row>
    <row r="293" spans="1:10" x14ac:dyDescent="0.35">
      <c r="A293" s="4" t="s">
        <v>12</v>
      </c>
      <c r="B293" s="47"/>
      <c r="C293" s="11" t="s">
        <v>249</v>
      </c>
      <c r="D293" s="9">
        <v>23053.97</v>
      </c>
      <c r="E293" s="9">
        <v>23053.97</v>
      </c>
      <c r="F293" s="9">
        <v>23053.919999999998</v>
      </c>
      <c r="G293" s="36">
        <f t="shared" si="11"/>
        <v>-5.0000000002910383E-2</v>
      </c>
      <c r="H293" s="36">
        <f t="shared" si="12"/>
        <v>-5.0000000002910383E-2</v>
      </c>
      <c r="J293" s="16" t="s">
        <v>960</v>
      </c>
    </row>
    <row r="294" spans="1:10" x14ac:dyDescent="0.35">
      <c r="A294" s="4" t="s">
        <v>12</v>
      </c>
      <c r="B294" s="47"/>
      <c r="C294" s="11" t="s">
        <v>250</v>
      </c>
      <c r="D294" s="9">
        <v>10044097.18</v>
      </c>
      <c r="E294" s="9">
        <v>10044097.18</v>
      </c>
      <c r="F294" s="9">
        <v>10044095.65</v>
      </c>
      <c r="G294" s="36">
        <f t="shared" si="11"/>
        <v>-1.5299999993294477</v>
      </c>
      <c r="H294" s="36">
        <f t="shared" si="12"/>
        <v>-1.5299999993294477</v>
      </c>
      <c r="J294" s="16" t="s">
        <v>1463</v>
      </c>
    </row>
    <row r="295" spans="1:10" x14ac:dyDescent="0.35">
      <c r="A295" s="4" t="s">
        <v>12</v>
      </c>
      <c r="B295" s="47"/>
      <c r="C295" s="11" t="s">
        <v>252</v>
      </c>
      <c r="D295" s="9">
        <v>4921.58</v>
      </c>
      <c r="E295" s="9">
        <v>4921.58</v>
      </c>
      <c r="F295" s="9">
        <v>4921.5200000000004</v>
      </c>
      <c r="G295" s="36">
        <f t="shared" si="11"/>
        <v>-5.9999999999490683E-2</v>
      </c>
      <c r="H295" s="36">
        <f t="shared" si="12"/>
        <v>-5.9999999999490683E-2</v>
      </c>
      <c r="J295" s="16" t="s">
        <v>1464</v>
      </c>
    </row>
    <row r="296" spans="1:10" x14ac:dyDescent="0.35">
      <c r="A296" s="4" t="s">
        <v>12</v>
      </c>
      <c r="B296" s="47"/>
      <c r="C296" s="11" t="s">
        <v>251</v>
      </c>
      <c r="D296" s="9">
        <v>3159.23</v>
      </c>
      <c r="E296" s="9">
        <v>3159.23</v>
      </c>
      <c r="F296" s="9">
        <v>3159.21</v>
      </c>
      <c r="G296" s="36">
        <f t="shared" si="11"/>
        <v>-1.999999999998181E-2</v>
      </c>
      <c r="H296" s="36">
        <f t="shared" si="12"/>
        <v>-1.999999999998181E-2</v>
      </c>
      <c r="J296" s="16" t="s">
        <v>969</v>
      </c>
    </row>
    <row r="297" spans="1:10" x14ac:dyDescent="0.35">
      <c r="A297" s="4" t="s">
        <v>12</v>
      </c>
      <c r="B297" s="47"/>
      <c r="C297" s="11" t="s">
        <v>290</v>
      </c>
      <c r="D297" s="9">
        <v>366500</v>
      </c>
      <c r="E297" s="9">
        <v>366500</v>
      </c>
      <c r="F297" s="9">
        <v>366500</v>
      </c>
      <c r="G297" s="36">
        <f t="shared" si="11"/>
        <v>0</v>
      </c>
      <c r="H297" s="36">
        <f t="shared" si="12"/>
        <v>0</v>
      </c>
      <c r="J297" s="16" t="s">
        <v>1465</v>
      </c>
    </row>
    <row r="298" spans="1:10" x14ac:dyDescent="0.35">
      <c r="A298" s="4" t="s">
        <v>12</v>
      </c>
      <c r="B298" s="47"/>
      <c r="C298" s="11" t="s">
        <v>289</v>
      </c>
      <c r="D298" s="9">
        <v>950111.08</v>
      </c>
      <c r="E298" s="9">
        <v>950111.08</v>
      </c>
      <c r="F298" s="9">
        <v>950107.79</v>
      </c>
      <c r="G298" s="36">
        <f t="shared" si="11"/>
        <v>-3.2899999999208376</v>
      </c>
      <c r="H298" s="36">
        <f t="shared" si="12"/>
        <v>-3.2899999999208376</v>
      </c>
      <c r="J298" s="16" t="s">
        <v>942</v>
      </c>
    </row>
    <row r="299" spans="1:10" x14ac:dyDescent="0.35">
      <c r="A299" s="4" t="s">
        <v>12</v>
      </c>
      <c r="B299" s="47"/>
      <c r="C299" s="11" t="s">
        <v>293</v>
      </c>
      <c r="D299" s="9">
        <v>534.27</v>
      </c>
      <c r="E299" s="9">
        <v>534.27</v>
      </c>
      <c r="F299" s="9">
        <v>534.26</v>
      </c>
      <c r="G299" s="36">
        <f t="shared" si="11"/>
        <v>-9.9999999999909051E-3</v>
      </c>
      <c r="H299" s="36">
        <f t="shared" si="12"/>
        <v>-9.9999999999909051E-3</v>
      </c>
      <c r="J299" s="16" t="s">
        <v>1466</v>
      </c>
    </row>
    <row r="300" spans="1:10" x14ac:dyDescent="0.35">
      <c r="A300" s="4" t="s">
        <v>12</v>
      </c>
      <c r="B300" s="47"/>
      <c r="C300" s="11" t="s">
        <v>292</v>
      </c>
      <c r="D300" s="9">
        <v>25865.73</v>
      </c>
      <c r="E300" s="9">
        <v>25865.73</v>
      </c>
      <c r="F300" s="9">
        <v>25865.72</v>
      </c>
      <c r="G300" s="36">
        <f t="shared" si="11"/>
        <v>-9.9999999983992893E-3</v>
      </c>
      <c r="H300" s="36">
        <f t="shared" si="12"/>
        <v>-9.9999999983992893E-3</v>
      </c>
      <c r="J300" s="16" t="s">
        <v>950</v>
      </c>
    </row>
    <row r="301" spans="1:10" x14ac:dyDescent="0.35">
      <c r="A301" s="4" t="s">
        <v>12</v>
      </c>
      <c r="B301" s="47"/>
      <c r="C301" s="11" t="s">
        <v>291</v>
      </c>
      <c r="D301" s="9">
        <v>0</v>
      </c>
      <c r="E301" s="9">
        <v>0</v>
      </c>
      <c r="F301" s="9">
        <v>0</v>
      </c>
      <c r="G301" s="36">
        <f t="shared" si="11"/>
        <v>0</v>
      </c>
      <c r="H301" s="36">
        <f t="shared" si="12"/>
        <v>0</v>
      </c>
      <c r="J301" s="16" t="s">
        <v>1467</v>
      </c>
    </row>
    <row r="302" spans="1:10" x14ac:dyDescent="0.35">
      <c r="A302" s="4" t="s">
        <v>12</v>
      </c>
      <c r="B302" s="47"/>
      <c r="C302" s="11" t="s">
        <v>294</v>
      </c>
      <c r="D302" s="9">
        <v>11945.2</v>
      </c>
      <c r="E302" s="9">
        <v>11945.2</v>
      </c>
      <c r="F302" s="9">
        <v>11945.06</v>
      </c>
      <c r="G302" s="36">
        <f t="shared" si="11"/>
        <v>-0.14000000000123691</v>
      </c>
      <c r="H302" s="36">
        <f t="shared" si="12"/>
        <v>-0.14000000000123691</v>
      </c>
      <c r="J302" s="16" t="s">
        <v>1468</v>
      </c>
    </row>
    <row r="303" spans="1:10" x14ac:dyDescent="0.35">
      <c r="A303" s="4" t="s">
        <v>12</v>
      </c>
      <c r="B303" s="47"/>
      <c r="C303" s="11" t="s">
        <v>295</v>
      </c>
      <c r="D303" s="9">
        <v>285540.52</v>
      </c>
      <c r="E303" s="9">
        <v>285540.52</v>
      </c>
      <c r="F303" s="9">
        <v>285539.07</v>
      </c>
      <c r="G303" s="36">
        <f t="shared" si="11"/>
        <v>-1.4500000000116415</v>
      </c>
      <c r="H303" s="36">
        <f t="shared" si="12"/>
        <v>-1.4500000000116415</v>
      </c>
      <c r="J303" s="16" t="s">
        <v>916</v>
      </c>
    </row>
    <row r="304" spans="1:10" x14ac:dyDescent="0.35">
      <c r="A304" s="4" t="s">
        <v>12</v>
      </c>
      <c r="B304" s="47"/>
      <c r="C304" s="11" t="s">
        <v>253</v>
      </c>
      <c r="D304" s="9">
        <v>322719.62</v>
      </c>
      <c r="E304" s="9">
        <v>322719.62</v>
      </c>
      <c r="F304" s="9">
        <v>322719.46000000002</v>
      </c>
      <c r="G304" s="36">
        <f t="shared" si="11"/>
        <v>-0.15999999997438863</v>
      </c>
      <c r="H304" s="36">
        <f t="shared" si="12"/>
        <v>-0.15999999997438863</v>
      </c>
      <c r="J304" s="16" t="s">
        <v>963</v>
      </c>
    </row>
    <row r="305" spans="1:10" x14ac:dyDescent="0.35">
      <c r="A305" s="4" t="s">
        <v>12</v>
      </c>
      <c r="B305" s="47"/>
      <c r="C305" s="11" t="s">
        <v>254</v>
      </c>
      <c r="D305" s="9">
        <v>52821.39</v>
      </c>
      <c r="E305" s="9">
        <v>52821.39</v>
      </c>
      <c r="F305" s="9">
        <v>52821.37</v>
      </c>
      <c r="G305" s="36">
        <f t="shared" si="11"/>
        <v>-1.9999999996798579E-2</v>
      </c>
      <c r="H305" s="36">
        <f t="shared" si="12"/>
        <v>-1.9999999996798579E-2</v>
      </c>
      <c r="J305" s="16" t="s">
        <v>929</v>
      </c>
    </row>
    <row r="306" spans="1:10" x14ac:dyDescent="0.35">
      <c r="A306" s="4" t="s">
        <v>12</v>
      </c>
      <c r="B306" s="47"/>
      <c r="C306" s="11" t="s">
        <v>255</v>
      </c>
      <c r="D306" s="9">
        <v>117143.48</v>
      </c>
      <c r="E306" s="9">
        <v>117143.48</v>
      </c>
      <c r="F306" s="9">
        <v>117143.45</v>
      </c>
      <c r="G306" s="36">
        <f t="shared" si="11"/>
        <v>-2.9999999998835847E-2</v>
      </c>
      <c r="H306" s="36">
        <f t="shared" si="12"/>
        <v>-2.9999999998835847E-2</v>
      </c>
      <c r="J306" s="16" t="s">
        <v>1469</v>
      </c>
    </row>
    <row r="307" spans="1:10" x14ac:dyDescent="0.35">
      <c r="A307" s="4" t="s">
        <v>12</v>
      </c>
      <c r="B307" s="47"/>
      <c r="C307" s="11" t="s">
        <v>256</v>
      </c>
      <c r="D307" s="9">
        <v>19281</v>
      </c>
      <c r="E307" s="9"/>
      <c r="F307" s="9"/>
      <c r="G307" s="36">
        <f t="shared" si="11"/>
        <v>0</v>
      </c>
      <c r="H307" s="36">
        <f t="shared" si="12"/>
        <v>-19281</v>
      </c>
      <c r="J307" s="16" t="e">
        <v>#N/A</v>
      </c>
    </row>
    <row r="308" spans="1:10" x14ac:dyDescent="0.35">
      <c r="A308" s="4" t="s">
        <v>12</v>
      </c>
      <c r="B308" s="47"/>
      <c r="C308" s="11" t="s">
        <v>852</v>
      </c>
      <c r="D308" s="9"/>
      <c r="E308" s="9"/>
      <c r="F308" s="9">
        <v>5175557.0199999996</v>
      </c>
      <c r="G308" s="36">
        <f t="shared" si="11"/>
        <v>5175557.0199999996</v>
      </c>
      <c r="H308" s="36">
        <f t="shared" si="12"/>
        <v>5175557.0199999996</v>
      </c>
      <c r="J308" s="16" t="s">
        <v>982</v>
      </c>
    </row>
    <row r="309" spans="1:10" x14ac:dyDescent="0.35">
      <c r="A309" s="4" t="s">
        <v>12</v>
      </c>
      <c r="B309" s="47"/>
      <c r="C309" s="11" t="s">
        <v>258</v>
      </c>
      <c r="D309" s="9">
        <v>2346863.0699999998</v>
      </c>
      <c r="E309" s="9">
        <v>2346863.0699999998</v>
      </c>
      <c r="F309" s="9">
        <v>2346862.96</v>
      </c>
      <c r="G309" s="36">
        <f t="shared" si="11"/>
        <v>-0.10999999986961484</v>
      </c>
      <c r="H309" s="36">
        <f t="shared" si="12"/>
        <v>-0.10999999986961484</v>
      </c>
      <c r="J309" s="16" t="s">
        <v>926</v>
      </c>
    </row>
    <row r="310" spans="1:10" x14ac:dyDescent="0.35">
      <c r="A310" s="4" t="s">
        <v>12</v>
      </c>
      <c r="B310" s="47"/>
      <c r="C310" s="11" t="s">
        <v>259</v>
      </c>
      <c r="D310" s="9">
        <v>2875788.43</v>
      </c>
      <c r="E310" s="9">
        <v>2875788.43</v>
      </c>
      <c r="F310" s="9">
        <v>2875788.24</v>
      </c>
      <c r="G310" s="36">
        <f t="shared" si="11"/>
        <v>-0.18999999994412065</v>
      </c>
      <c r="H310" s="36">
        <f t="shared" si="12"/>
        <v>-0.18999999994412065</v>
      </c>
      <c r="J310" s="16" t="s">
        <v>1470</v>
      </c>
    </row>
    <row r="311" spans="1:10" x14ac:dyDescent="0.35">
      <c r="A311" s="4" t="s">
        <v>12</v>
      </c>
      <c r="B311" s="47"/>
      <c r="C311" s="11" t="s">
        <v>260</v>
      </c>
      <c r="D311" s="9">
        <v>106809.63</v>
      </c>
      <c r="E311" s="9">
        <v>106809.63</v>
      </c>
      <c r="F311" s="9">
        <v>106809.61</v>
      </c>
      <c r="G311" s="36">
        <f t="shared" si="11"/>
        <v>-2.0000000004074536E-2</v>
      </c>
      <c r="H311" s="36">
        <f t="shared" si="12"/>
        <v>-2.0000000004074536E-2</v>
      </c>
      <c r="J311" s="16" t="s">
        <v>934</v>
      </c>
    </row>
    <row r="312" spans="1:10" x14ac:dyDescent="0.35">
      <c r="A312" s="4" t="s">
        <v>12</v>
      </c>
      <c r="B312" s="47"/>
      <c r="C312" s="11" t="s">
        <v>261</v>
      </c>
      <c r="D312" s="9">
        <v>301654.56</v>
      </c>
      <c r="E312" s="9">
        <v>301654.56</v>
      </c>
      <c r="F312" s="9">
        <v>100827.27</v>
      </c>
      <c r="G312" s="36">
        <f t="shared" si="11"/>
        <v>-200827.28999999998</v>
      </c>
      <c r="H312" s="36">
        <f t="shared" si="12"/>
        <v>-200827.28999999998</v>
      </c>
      <c r="J312" s="16" t="s">
        <v>924</v>
      </c>
    </row>
    <row r="313" spans="1:10" x14ac:dyDescent="0.35">
      <c r="A313" s="4" t="s">
        <v>12</v>
      </c>
      <c r="B313" s="47"/>
      <c r="C313" s="11" t="s">
        <v>303</v>
      </c>
      <c r="D313" s="9">
        <v>662511.05000000005</v>
      </c>
      <c r="E313" s="9">
        <v>662511.05000000005</v>
      </c>
      <c r="F313" s="9">
        <v>662510.97</v>
      </c>
      <c r="G313" s="36">
        <f t="shared" si="11"/>
        <v>-8.0000000074505806E-2</v>
      </c>
      <c r="H313" s="36">
        <f t="shared" si="12"/>
        <v>-8.0000000074505806E-2</v>
      </c>
      <c r="J313" s="16" t="s">
        <v>1471</v>
      </c>
    </row>
    <row r="314" spans="1:10" x14ac:dyDescent="0.35">
      <c r="A314" s="4" t="s">
        <v>12</v>
      </c>
      <c r="B314" s="47"/>
      <c r="C314" s="11" t="s">
        <v>304</v>
      </c>
      <c r="D314" s="9">
        <v>22226.11</v>
      </c>
      <c r="E314" s="9">
        <v>22226.11</v>
      </c>
      <c r="F314" s="9">
        <v>22226.04</v>
      </c>
      <c r="G314" s="36">
        <f t="shared" si="11"/>
        <v>-6.9999999999708962E-2</v>
      </c>
      <c r="H314" s="36">
        <f t="shared" si="12"/>
        <v>-6.9999999999708962E-2</v>
      </c>
      <c r="J314" s="16" t="s">
        <v>959</v>
      </c>
    </row>
    <row r="315" spans="1:10" x14ac:dyDescent="0.35">
      <c r="A315" s="4" t="s">
        <v>12</v>
      </c>
      <c r="B315" s="47"/>
      <c r="C315" s="11" t="s">
        <v>306</v>
      </c>
      <c r="D315" s="9">
        <v>1000</v>
      </c>
      <c r="E315" s="9">
        <v>1000</v>
      </c>
      <c r="F315" s="9">
        <v>1000</v>
      </c>
      <c r="G315" s="36">
        <f t="shared" si="11"/>
        <v>0</v>
      </c>
      <c r="H315" s="36">
        <f t="shared" si="12"/>
        <v>0</v>
      </c>
      <c r="J315" s="16" t="s">
        <v>1472</v>
      </c>
    </row>
    <row r="316" spans="1:10" x14ac:dyDescent="0.35">
      <c r="A316" s="4" t="s">
        <v>12</v>
      </c>
      <c r="B316" s="47"/>
      <c r="C316" s="11" t="s">
        <v>305</v>
      </c>
      <c r="D316" s="9">
        <v>103529.85</v>
      </c>
      <c r="E316" s="9">
        <v>103529.85</v>
      </c>
      <c r="F316" s="9">
        <v>103529.57</v>
      </c>
      <c r="G316" s="36">
        <f t="shared" si="11"/>
        <v>-0.27999999999883585</v>
      </c>
      <c r="H316" s="36">
        <f t="shared" si="12"/>
        <v>-0.27999999999883585</v>
      </c>
      <c r="J316" s="16" t="s">
        <v>964</v>
      </c>
    </row>
    <row r="317" spans="1:10" x14ac:dyDescent="0.35">
      <c r="A317" s="4" t="s">
        <v>12</v>
      </c>
      <c r="B317" s="47"/>
      <c r="C317" s="11" t="s">
        <v>262</v>
      </c>
      <c r="D317" s="9">
        <v>77688.490000000005</v>
      </c>
      <c r="E317" s="9">
        <v>77688.490000000005</v>
      </c>
      <c r="F317" s="9">
        <v>77688.479999999996</v>
      </c>
      <c r="G317" s="36">
        <f t="shared" si="11"/>
        <v>-1.0000000009313226E-2</v>
      </c>
      <c r="H317" s="36">
        <f t="shared" si="12"/>
        <v>-1.0000000009313226E-2</v>
      </c>
      <c r="J317" s="16" t="s">
        <v>1473</v>
      </c>
    </row>
    <row r="318" spans="1:10" x14ac:dyDescent="0.35">
      <c r="A318" s="4" t="s">
        <v>12</v>
      </c>
      <c r="B318" s="47"/>
      <c r="C318" s="11" t="s">
        <v>263</v>
      </c>
      <c r="D318" s="9">
        <v>8834.06</v>
      </c>
      <c r="E318" s="9">
        <v>8834.06</v>
      </c>
      <c r="F318" s="9">
        <v>8834.01</v>
      </c>
      <c r="G318" s="36">
        <f t="shared" si="11"/>
        <v>-4.9999999999272404E-2</v>
      </c>
      <c r="H318" s="36">
        <f t="shared" si="12"/>
        <v>-4.9999999999272404E-2</v>
      </c>
      <c r="J318" s="16" t="s">
        <v>944</v>
      </c>
    </row>
    <row r="319" spans="1:10" x14ac:dyDescent="0.35">
      <c r="A319" s="4" t="s">
        <v>12</v>
      </c>
      <c r="B319" s="47"/>
      <c r="C319" s="11" t="s">
        <v>264</v>
      </c>
      <c r="D319" s="9">
        <v>148370.9</v>
      </c>
      <c r="E319" s="9">
        <v>148370.9</v>
      </c>
      <c r="F319" s="9">
        <v>148370.84</v>
      </c>
      <c r="G319" s="36">
        <f t="shared" si="11"/>
        <v>-5.9999999997671694E-2</v>
      </c>
      <c r="H319" s="36">
        <f t="shared" si="12"/>
        <v>-5.9999999997671694E-2</v>
      </c>
      <c r="J319" s="16" t="s">
        <v>976</v>
      </c>
    </row>
    <row r="320" spans="1:10" x14ac:dyDescent="0.35">
      <c r="A320" s="4" t="s">
        <v>12</v>
      </c>
      <c r="B320" s="47"/>
      <c r="C320" s="11" t="s">
        <v>265</v>
      </c>
      <c r="D320" s="9">
        <v>0</v>
      </c>
      <c r="E320" s="9">
        <v>0</v>
      </c>
      <c r="F320" s="9">
        <v>0</v>
      </c>
      <c r="G320" s="36">
        <f t="shared" si="11"/>
        <v>0</v>
      </c>
      <c r="H320" s="36">
        <f t="shared" si="12"/>
        <v>0</v>
      </c>
      <c r="J320" s="16" t="s">
        <v>1474</v>
      </c>
    </row>
    <row r="321" spans="1:10" x14ac:dyDescent="0.35">
      <c r="A321" s="4" t="s">
        <v>12</v>
      </c>
      <c r="B321" s="47"/>
      <c r="C321" s="11" t="s">
        <v>266</v>
      </c>
      <c r="D321" s="9">
        <v>14440227.84</v>
      </c>
      <c r="E321" s="9">
        <v>14440227.84</v>
      </c>
      <c r="F321" s="9">
        <v>14440225.890000001</v>
      </c>
      <c r="G321" s="36">
        <f t="shared" si="11"/>
        <v>-1.9499999992549419</v>
      </c>
      <c r="H321" s="36">
        <f t="shared" si="12"/>
        <v>-1.9499999992549419</v>
      </c>
      <c r="J321" s="16" t="s">
        <v>971</v>
      </c>
    </row>
    <row r="322" spans="1:10" x14ac:dyDescent="0.35">
      <c r="A322" s="4" t="s">
        <v>12</v>
      </c>
      <c r="B322" s="47"/>
      <c r="C322" s="11" t="s">
        <v>267</v>
      </c>
      <c r="D322" s="9">
        <v>254239.77</v>
      </c>
      <c r="E322" s="9">
        <v>254239.77</v>
      </c>
      <c r="F322" s="9">
        <v>254239.73</v>
      </c>
      <c r="G322" s="36">
        <f t="shared" si="11"/>
        <v>-3.9999999979045242E-2</v>
      </c>
      <c r="H322" s="36">
        <f t="shared" si="12"/>
        <v>-3.9999999979045242E-2</v>
      </c>
      <c r="J322" s="16" t="s">
        <v>965</v>
      </c>
    </row>
    <row r="323" spans="1:10" x14ac:dyDescent="0.35">
      <c r="A323" s="4" t="s">
        <v>12</v>
      </c>
      <c r="B323" s="47"/>
      <c r="C323" s="11" t="s">
        <v>268</v>
      </c>
      <c r="D323" s="9">
        <v>193732.3</v>
      </c>
      <c r="E323" s="9">
        <v>193732.3</v>
      </c>
      <c r="F323" s="9">
        <v>193731.98</v>
      </c>
      <c r="G323" s="36">
        <f t="shared" si="11"/>
        <v>-0.31999999997788109</v>
      </c>
      <c r="H323" s="36">
        <f t="shared" si="12"/>
        <v>-0.31999999997788109</v>
      </c>
      <c r="J323" s="16" t="s">
        <v>994</v>
      </c>
    </row>
    <row r="324" spans="1:10" x14ac:dyDescent="0.35">
      <c r="A324" s="4" t="s">
        <v>12</v>
      </c>
      <c r="B324" s="47"/>
      <c r="C324" s="11" t="s">
        <v>269</v>
      </c>
      <c r="D324" s="9">
        <v>535500</v>
      </c>
      <c r="E324" s="9">
        <v>535500</v>
      </c>
      <c r="F324" s="9">
        <v>535500</v>
      </c>
      <c r="G324" s="36">
        <f t="shared" si="11"/>
        <v>0</v>
      </c>
      <c r="H324" s="36">
        <f t="shared" si="12"/>
        <v>0</v>
      </c>
      <c r="J324" s="16" t="s">
        <v>1475</v>
      </c>
    </row>
    <row r="325" spans="1:10" x14ac:dyDescent="0.35">
      <c r="A325" s="4" t="s">
        <v>12</v>
      </c>
      <c r="B325" s="47"/>
      <c r="C325" s="11" t="s">
        <v>270</v>
      </c>
      <c r="D325" s="9">
        <v>1134510.98</v>
      </c>
      <c r="E325" s="9">
        <v>969458.09</v>
      </c>
      <c r="F325" s="9">
        <v>969453.2</v>
      </c>
      <c r="G325" s="36">
        <f t="shared" si="11"/>
        <v>-4.8900000000139698</v>
      </c>
      <c r="H325" s="36">
        <f t="shared" si="12"/>
        <v>-165057.78000000003</v>
      </c>
      <c r="J325" s="16" t="s">
        <v>952</v>
      </c>
    </row>
    <row r="326" spans="1:10" x14ac:dyDescent="0.35">
      <c r="A326" s="4" t="s">
        <v>12</v>
      </c>
      <c r="B326" s="47"/>
      <c r="C326" s="11" t="s">
        <v>271</v>
      </c>
      <c r="D326" s="9">
        <v>30892421</v>
      </c>
      <c r="E326" s="9"/>
      <c r="F326" s="9"/>
      <c r="G326" s="36">
        <f t="shared" si="11"/>
        <v>0</v>
      </c>
      <c r="H326" s="36">
        <f t="shared" si="12"/>
        <v>-30892421</v>
      </c>
      <c r="J326" s="16" t="s">
        <v>954</v>
      </c>
    </row>
    <row r="327" spans="1:10" x14ac:dyDescent="0.35">
      <c r="A327" s="4" t="s">
        <v>12</v>
      </c>
      <c r="B327" s="47"/>
      <c r="C327" s="11" t="s">
        <v>272</v>
      </c>
      <c r="D327" s="9">
        <v>28061.29</v>
      </c>
      <c r="E327" s="9">
        <v>28061.29</v>
      </c>
      <c r="F327" s="9">
        <v>28061.25</v>
      </c>
      <c r="G327" s="36">
        <f t="shared" si="11"/>
        <v>-4.0000000000873115E-2</v>
      </c>
      <c r="H327" s="36">
        <f t="shared" si="12"/>
        <v>-4.0000000000873115E-2</v>
      </c>
      <c r="J327" s="16" t="s">
        <v>1476</v>
      </c>
    </row>
    <row r="328" spans="1:10" x14ac:dyDescent="0.35">
      <c r="A328" s="4" t="s">
        <v>12</v>
      </c>
      <c r="B328" s="47"/>
      <c r="C328" s="11" t="s">
        <v>273</v>
      </c>
      <c r="D328" s="9">
        <v>4505073.42</v>
      </c>
      <c r="E328" s="9"/>
      <c r="F328" s="9"/>
      <c r="G328" s="36">
        <f t="shared" si="11"/>
        <v>0</v>
      </c>
      <c r="H328" s="36">
        <f t="shared" si="12"/>
        <v>-4505073.42</v>
      </c>
      <c r="J328" s="16" t="s">
        <v>987</v>
      </c>
    </row>
    <row r="329" spans="1:10" x14ac:dyDescent="0.35">
      <c r="A329" s="4" t="s">
        <v>12</v>
      </c>
      <c r="B329" s="47"/>
      <c r="C329" s="11" t="s">
        <v>296</v>
      </c>
      <c r="D329" s="9">
        <v>5880.93</v>
      </c>
      <c r="E329" s="9">
        <v>5880.93</v>
      </c>
      <c r="F329" s="9">
        <v>5880.92</v>
      </c>
      <c r="G329" s="36">
        <f t="shared" si="11"/>
        <v>-1.0000000000218279E-2</v>
      </c>
      <c r="H329" s="36">
        <f t="shared" si="12"/>
        <v>-1.0000000000218279E-2</v>
      </c>
      <c r="J329" s="16" t="s">
        <v>1477</v>
      </c>
    </row>
    <row r="330" spans="1:10" x14ac:dyDescent="0.35">
      <c r="A330" s="4" t="s">
        <v>12</v>
      </c>
      <c r="B330" s="47"/>
      <c r="C330" s="11" t="s">
        <v>851</v>
      </c>
      <c r="D330" s="9"/>
      <c r="E330" s="9"/>
      <c r="F330" s="9">
        <v>2299.63</v>
      </c>
      <c r="G330" s="36">
        <f t="shared" si="11"/>
        <v>2299.63</v>
      </c>
      <c r="H330" s="36">
        <f t="shared" si="12"/>
        <v>2299.63</v>
      </c>
      <c r="J330" s="16" t="s">
        <v>1478</v>
      </c>
    </row>
    <row r="331" spans="1:10" x14ac:dyDescent="0.35">
      <c r="A331" s="4" t="s">
        <v>12</v>
      </c>
      <c r="B331" s="47"/>
      <c r="C331" s="11" t="s">
        <v>297</v>
      </c>
      <c r="D331" s="9">
        <v>12104421.140000001</v>
      </c>
      <c r="E331" s="9">
        <v>12104421.140000001</v>
      </c>
      <c r="F331" s="9">
        <v>12104420.74</v>
      </c>
      <c r="G331" s="36">
        <f t="shared" si="11"/>
        <v>-0.40000000037252903</v>
      </c>
      <c r="H331" s="36">
        <f t="shared" si="12"/>
        <v>-0.40000000037252903</v>
      </c>
      <c r="J331" s="16" t="s">
        <v>921</v>
      </c>
    </row>
    <row r="332" spans="1:10" x14ac:dyDescent="0.35">
      <c r="A332" s="4" t="s">
        <v>12</v>
      </c>
      <c r="B332" s="47"/>
      <c r="C332" s="11" t="s">
        <v>298</v>
      </c>
      <c r="D332" s="9">
        <v>0</v>
      </c>
      <c r="E332" s="9">
        <v>0</v>
      </c>
      <c r="F332" s="9">
        <v>0</v>
      </c>
      <c r="G332" s="36">
        <f t="shared" si="11"/>
        <v>0</v>
      </c>
      <c r="H332" s="36">
        <f t="shared" si="12"/>
        <v>0</v>
      </c>
      <c r="J332" s="16" t="s">
        <v>1479</v>
      </c>
    </row>
    <row r="333" spans="1:10" x14ac:dyDescent="0.35">
      <c r="A333" s="4" t="s">
        <v>12</v>
      </c>
      <c r="B333" s="47"/>
      <c r="C333" s="11" t="s">
        <v>845</v>
      </c>
      <c r="D333" s="9"/>
      <c r="E333" s="9"/>
      <c r="F333" s="9">
        <v>129510.71</v>
      </c>
      <c r="G333" s="36">
        <f t="shared" si="11"/>
        <v>129510.71</v>
      </c>
      <c r="H333" s="36">
        <f t="shared" si="12"/>
        <v>129510.71</v>
      </c>
      <c r="J333" s="16" t="e">
        <v>#N/A</v>
      </c>
    </row>
    <row r="334" spans="1:10" x14ac:dyDescent="0.35">
      <c r="A334" s="4" t="s">
        <v>12</v>
      </c>
      <c r="B334" s="47"/>
      <c r="C334" s="11" t="s">
        <v>307</v>
      </c>
      <c r="D334" s="9">
        <v>2758078.96</v>
      </c>
      <c r="E334" s="9">
        <v>2758078.96</v>
      </c>
      <c r="F334" s="9">
        <v>2758078.73</v>
      </c>
      <c r="G334" s="36">
        <f t="shared" si="11"/>
        <v>-0.22999999998137355</v>
      </c>
      <c r="H334" s="36">
        <f t="shared" si="12"/>
        <v>-0.22999999998137355</v>
      </c>
      <c r="J334" s="16" t="s">
        <v>1480</v>
      </c>
    </row>
    <row r="335" spans="1:10" x14ac:dyDescent="0.35">
      <c r="A335" s="4" t="s">
        <v>12</v>
      </c>
      <c r="B335" s="47"/>
      <c r="C335" s="11" t="s">
        <v>279</v>
      </c>
      <c r="D335" s="9">
        <v>28335.26</v>
      </c>
      <c r="E335" s="9">
        <v>28335.26</v>
      </c>
      <c r="F335" s="9">
        <v>28331.71</v>
      </c>
      <c r="G335" s="36">
        <f t="shared" si="11"/>
        <v>-3.5499999999992724</v>
      </c>
      <c r="H335" s="36">
        <f t="shared" si="12"/>
        <v>-3.5499999999992724</v>
      </c>
      <c r="J335" s="16" t="s">
        <v>980</v>
      </c>
    </row>
    <row r="336" spans="1:10" x14ac:dyDescent="0.35">
      <c r="A336" s="4" t="s">
        <v>12</v>
      </c>
      <c r="B336" s="47"/>
      <c r="C336" s="11" t="s">
        <v>280</v>
      </c>
      <c r="D336" s="9">
        <v>33783.160000000003</v>
      </c>
      <c r="E336" s="9">
        <v>33783.160000000003</v>
      </c>
      <c r="F336" s="9">
        <v>33783.15</v>
      </c>
      <c r="G336" s="36">
        <f t="shared" si="11"/>
        <v>-1.0000000002037268E-2</v>
      </c>
      <c r="H336" s="36">
        <f t="shared" si="12"/>
        <v>-1.0000000002037268E-2</v>
      </c>
      <c r="J336" s="16" t="s">
        <v>933</v>
      </c>
    </row>
    <row r="337" spans="1:10" x14ac:dyDescent="0.35">
      <c r="A337" s="4" t="s">
        <v>12</v>
      </c>
      <c r="B337" s="47"/>
      <c r="C337" s="11" t="s">
        <v>281</v>
      </c>
      <c r="D337" s="9">
        <v>3615671.05</v>
      </c>
      <c r="E337" s="9"/>
      <c r="F337" s="9"/>
      <c r="G337" s="36">
        <f t="shared" si="11"/>
        <v>0</v>
      </c>
      <c r="H337" s="36">
        <f t="shared" si="12"/>
        <v>-3615671.05</v>
      </c>
      <c r="J337" s="16" t="e">
        <v>#N/A</v>
      </c>
    </row>
    <row r="338" spans="1:10" x14ac:dyDescent="0.35">
      <c r="A338" s="4" t="s">
        <v>12</v>
      </c>
      <c r="B338" s="47"/>
      <c r="C338" s="11" t="s">
        <v>282</v>
      </c>
      <c r="D338" s="9">
        <v>2057.9499999999998</v>
      </c>
      <c r="E338" s="9">
        <v>2057.9499999999998</v>
      </c>
      <c r="F338" s="9">
        <v>2057.94</v>
      </c>
      <c r="G338" s="36">
        <f t="shared" si="11"/>
        <v>-9.9999999997635314E-3</v>
      </c>
      <c r="H338" s="36">
        <f t="shared" si="12"/>
        <v>-9.9999999997635314E-3</v>
      </c>
      <c r="J338" s="16" t="s">
        <v>968</v>
      </c>
    </row>
    <row r="339" spans="1:10" x14ac:dyDescent="0.35">
      <c r="A339" s="4" t="s">
        <v>12</v>
      </c>
      <c r="B339" s="47"/>
      <c r="C339" s="11" t="s">
        <v>283</v>
      </c>
      <c r="D339" s="9">
        <v>59148.89</v>
      </c>
      <c r="E339" s="9">
        <v>59148.89</v>
      </c>
      <c r="F339" s="9">
        <v>59148.72</v>
      </c>
      <c r="G339" s="36">
        <f t="shared" si="11"/>
        <v>-0.16999999999825377</v>
      </c>
      <c r="H339" s="36">
        <f t="shared" si="12"/>
        <v>-0.16999999999825377</v>
      </c>
      <c r="J339" s="16" t="s">
        <v>945</v>
      </c>
    </row>
    <row r="340" spans="1:10" x14ac:dyDescent="0.35">
      <c r="A340" s="4" t="s">
        <v>12</v>
      </c>
      <c r="B340" s="47"/>
      <c r="C340" s="11" t="s">
        <v>284</v>
      </c>
      <c r="D340" s="9">
        <v>36250.089999999997</v>
      </c>
      <c r="E340" s="9">
        <v>36250.089999999997</v>
      </c>
      <c r="F340" s="9">
        <v>36250.080000000002</v>
      </c>
      <c r="G340" s="36">
        <f t="shared" si="11"/>
        <v>-9.9999999947613105E-3</v>
      </c>
      <c r="H340" s="36">
        <f t="shared" si="12"/>
        <v>-9.9999999947613105E-3</v>
      </c>
      <c r="J340" s="16" t="s">
        <v>932</v>
      </c>
    </row>
    <row r="341" spans="1:10" x14ac:dyDescent="0.35">
      <c r="A341" s="4" t="s">
        <v>12</v>
      </c>
      <c r="B341" s="47"/>
      <c r="C341" s="11" t="s">
        <v>285</v>
      </c>
      <c r="D341" s="9">
        <v>5480</v>
      </c>
      <c r="E341" s="9">
        <v>5480</v>
      </c>
      <c r="F341" s="9">
        <v>5479.94</v>
      </c>
      <c r="G341" s="36">
        <f t="shared" si="11"/>
        <v>-6.0000000000400178E-2</v>
      </c>
      <c r="H341" s="36">
        <f t="shared" si="12"/>
        <v>-6.0000000000400178E-2</v>
      </c>
      <c r="J341" s="16" t="s">
        <v>1481</v>
      </c>
    </row>
    <row r="342" spans="1:10" x14ac:dyDescent="0.35">
      <c r="A342" s="4" t="s">
        <v>12</v>
      </c>
      <c r="B342" s="47"/>
      <c r="C342" s="11"/>
      <c r="D342" s="9">
        <v>129511.05</v>
      </c>
      <c r="E342" s="9">
        <v>129511.05</v>
      </c>
      <c r="F342" s="9"/>
      <c r="G342" s="36">
        <f t="shared" si="11"/>
        <v>-129511.05</v>
      </c>
      <c r="H342" s="36">
        <f t="shared" si="12"/>
        <v>-129511.05</v>
      </c>
      <c r="J342" s="16" t="e">
        <v>#N/A</v>
      </c>
    </row>
    <row r="343" spans="1:10" x14ac:dyDescent="0.35">
      <c r="A343" s="4" t="s">
        <v>12</v>
      </c>
      <c r="B343" s="47"/>
      <c r="C343" s="11" t="s">
        <v>286</v>
      </c>
      <c r="D343" s="9">
        <v>0</v>
      </c>
      <c r="E343" s="9">
        <v>0</v>
      </c>
      <c r="F343" s="9">
        <v>0</v>
      </c>
      <c r="G343" s="36">
        <f t="shared" si="11"/>
        <v>0</v>
      </c>
      <c r="H343" s="36">
        <f t="shared" si="12"/>
        <v>0</v>
      </c>
      <c r="J343" s="16" t="s">
        <v>1482</v>
      </c>
    </row>
    <row r="344" spans="1:10" x14ac:dyDescent="0.35">
      <c r="A344" s="4" t="s">
        <v>12</v>
      </c>
      <c r="B344" s="47"/>
      <c r="C344" s="11" t="s">
        <v>287</v>
      </c>
      <c r="D344" s="9">
        <v>7479.07</v>
      </c>
      <c r="E344" s="9">
        <v>7479.07</v>
      </c>
      <c r="F344" s="9">
        <v>7479.05</v>
      </c>
      <c r="G344" s="36">
        <f t="shared" si="11"/>
        <v>-1.9999999999527063E-2</v>
      </c>
      <c r="H344" s="36">
        <f t="shared" si="12"/>
        <v>-1.9999999999527063E-2</v>
      </c>
      <c r="J344" s="16" t="s">
        <v>1483</v>
      </c>
    </row>
    <row r="345" spans="1:10" x14ac:dyDescent="0.35">
      <c r="A345" s="4" t="s">
        <v>12</v>
      </c>
      <c r="B345" s="47"/>
      <c r="C345" s="11" t="s">
        <v>288</v>
      </c>
      <c r="D345" s="9">
        <v>6589827.1900000004</v>
      </c>
      <c r="E345" s="9">
        <v>6589827.1900000004</v>
      </c>
      <c r="F345" s="9">
        <v>6589820.79</v>
      </c>
      <c r="G345" s="36">
        <f t="shared" si="11"/>
        <v>-6.400000000372529</v>
      </c>
      <c r="H345" s="36">
        <f t="shared" si="12"/>
        <v>-6.400000000372529</v>
      </c>
      <c r="J345" s="16" t="s">
        <v>962</v>
      </c>
    </row>
    <row r="346" spans="1:10" x14ac:dyDescent="0.35">
      <c r="A346" s="4" t="s">
        <v>12</v>
      </c>
      <c r="B346" s="47"/>
      <c r="C346" s="11" t="s">
        <v>210</v>
      </c>
      <c r="D346" s="9">
        <v>0</v>
      </c>
      <c r="E346" s="9">
        <v>0</v>
      </c>
      <c r="F346" s="9">
        <v>0</v>
      </c>
      <c r="G346" s="36">
        <f t="shared" si="11"/>
        <v>0</v>
      </c>
      <c r="H346" s="36">
        <f t="shared" si="12"/>
        <v>0</v>
      </c>
      <c r="J346" s="16" t="s">
        <v>1484</v>
      </c>
    </row>
    <row r="347" spans="1:10" x14ac:dyDescent="0.35">
      <c r="A347" s="4" t="s">
        <v>12</v>
      </c>
      <c r="B347" s="47"/>
      <c r="C347" s="11" t="s">
        <v>211</v>
      </c>
      <c r="D347" s="9">
        <v>0</v>
      </c>
      <c r="E347" s="9">
        <v>0</v>
      </c>
      <c r="F347" s="9">
        <v>0</v>
      </c>
      <c r="G347" s="36">
        <f t="shared" si="11"/>
        <v>0</v>
      </c>
      <c r="H347" s="36">
        <f t="shared" si="12"/>
        <v>0</v>
      </c>
      <c r="J347" s="16" t="s">
        <v>1460</v>
      </c>
    </row>
    <row r="348" spans="1:10" x14ac:dyDescent="0.35">
      <c r="A348" s="4" t="s">
        <v>12</v>
      </c>
      <c r="B348" s="47"/>
      <c r="C348" s="11" t="s">
        <v>212</v>
      </c>
      <c r="D348" s="9">
        <v>202268.03</v>
      </c>
      <c r="E348" s="9">
        <v>202268.03</v>
      </c>
      <c r="F348" s="9">
        <v>202267.67</v>
      </c>
      <c r="G348" s="36">
        <f t="shared" si="11"/>
        <v>-0.35999999998603016</v>
      </c>
      <c r="H348" s="36">
        <f t="shared" si="12"/>
        <v>-0.35999999998603016</v>
      </c>
      <c r="J348" s="16" t="s">
        <v>973</v>
      </c>
    </row>
    <row r="349" spans="1:10" x14ac:dyDescent="0.35">
      <c r="A349" s="4" t="s">
        <v>12</v>
      </c>
      <c r="B349" s="47"/>
      <c r="C349" s="11" t="s">
        <v>213</v>
      </c>
      <c r="D349" s="9">
        <v>1038075.31</v>
      </c>
      <c r="E349" s="9">
        <v>1038075.31</v>
      </c>
      <c r="F349" s="9">
        <v>1038071.48</v>
      </c>
      <c r="G349" s="36">
        <f t="shared" si="11"/>
        <v>-3.8300000000745058</v>
      </c>
      <c r="H349" s="36">
        <f t="shared" si="12"/>
        <v>-3.8300000000745058</v>
      </c>
      <c r="J349" s="16" t="s">
        <v>954</v>
      </c>
    </row>
    <row r="350" spans="1:10" x14ac:dyDescent="0.35">
      <c r="A350" s="4" t="s">
        <v>12</v>
      </c>
      <c r="B350" s="47"/>
      <c r="C350" s="11" t="s">
        <v>214</v>
      </c>
      <c r="D350" s="9">
        <v>3194523.8</v>
      </c>
      <c r="E350" s="9">
        <v>3194523.8</v>
      </c>
      <c r="F350" s="9">
        <v>3194519.65</v>
      </c>
      <c r="G350" s="36">
        <f t="shared" si="11"/>
        <v>-4.1499999999068677</v>
      </c>
      <c r="H350" s="36">
        <f t="shared" si="12"/>
        <v>-4.1499999999068677</v>
      </c>
      <c r="J350" s="16" t="s">
        <v>943</v>
      </c>
    </row>
    <row r="351" spans="1:10" x14ac:dyDescent="0.35">
      <c r="A351" s="4" t="s">
        <v>12</v>
      </c>
      <c r="B351" s="47"/>
      <c r="C351" s="11" t="s">
        <v>215</v>
      </c>
      <c r="D351" s="9">
        <v>53854.6</v>
      </c>
      <c r="E351" s="9"/>
      <c r="F351" s="9"/>
      <c r="G351" s="36">
        <f t="shared" si="11"/>
        <v>0</v>
      </c>
      <c r="H351" s="36">
        <f t="shared" si="12"/>
        <v>-53854.6</v>
      </c>
      <c r="J351" s="16" t="e">
        <v>#N/A</v>
      </c>
    </row>
    <row r="352" spans="1:10" x14ac:dyDescent="0.35">
      <c r="A352" s="4" t="s">
        <v>12</v>
      </c>
      <c r="B352" s="47"/>
      <c r="C352" s="11" t="s">
        <v>216</v>
      </c>
      <c r="D352" s="9">
        <v>8770227.3399999999</v>
      </c>
      <c r="E352" s="9">
        <v>8770227.3399999999</v>
      </c>
      <c r="F352" s="9">
        <v>8770227.2699999996</v>
      </c>
      <c r="G352" s="36">
        <f t="shared" si="11"/>
        <v>-7.0000000298023224E-2</v>
      </c>
      <c r="H352" s="36">
        <f t="shared" si="12"/>
        <v>-7.0000000298023224E-2</v>
      </c>
      <c r="J352" s="16" t="s">
        <v>909</v>
      </c>
    </row>
    <row r="353" spans="1:10" x14ac:dyDescent="0.35">
      <c r="A353" s="4" t="s">
        <v>12</v>
      </c>
      <c r="B353" s="47"/>
      <c r="C353" s="11" t="s">
        <v>217</v>
      </c>
      <c r="D353" s="9">
        <v>377482.36</v>
      </c>
      <c r="E353" s="9"/>
      <c r="F353" s="9"/>
      <c r="G353" s="36">
        <f t="shared" si="11"/>
        <v>0</v>
      </c>
      <c r="H353" s="36">
        <f t="shared" si="12"/>
        <v>-377482.36</v>
      </c>
      <c r="J353" s="16" t="s">
        <v>990</v>
      </c>
    </row>
    <row r="354" spans="1:10" x14ac:dyDescent="0.35">
      <c r="A354" s="4" t="s">
        <v>12</v>
      </c>
      <c r="B354" s="47"/>
      <c r="C354" s="11" t="s">
        <v>299</v>
      </c>
      <c r="D354" s="9">
        <v>1054.0899999999999</v>
      </c>
      <c r="E354" s="9">
        <v>1054.0899999999999</v>
      </c>
      <c r="F354" s="9">
        <v>1054.08</v>
      </c>
      <c r="G354" s="36">
        <f t="shared" si="11"/>
        <v>-9.9999999999909051E-3</v>
      </c>
      <c r="H354" s="36">
        <f t="shared" si="12"/>
        <v>-9.9999999999909051E-3</v>
      </c>
      <c r="J354" s="16" t="s">
        <v>984</v>
      </c>
    </row>
    <row r="355" spans="1:10" x14ac:dyDescent="0.35">
      <c r="A355" s="4" t="s">
        <v>12</v>
      </c>
      <c r="B355" s="47"/>
      <c r="C355" s="11" t="s">
        <v>300</v>
      </c>
      <c r="D355" s="9">
        <v>1189091.4099999999</v>
      </c>
      <c r="E355" s="9">
        <v>1189091.4099999999</v>
      </c>
      <c r="F355" s="9">
        <v>1189091.1000000001</v>
      </c>
      <c r="G355" s="36">
        <f t="shared" ref="G355:G418" si="13">F355-E355</f>
        <v>-0.30999999982304871</v>
      </c>
      <c r="H355" s="36">
        <f t="shared" ref="H355:H418" si="14">F355-D355</f>
        <v>-0.30999999982304871</v>
      </c>
      <c r="J355" s="16" t="s">
        <v>977</v>
      </c>
    </row>
    <row r="356" spans="1:10" x14ac:dyDescent="0.35">
      <c r="A356" s="4" t="s">
        <v>12</v>
      </c>
      <c r="B356" s="47"/>
      <c r="C356" s="11" t="s">
        <v>301</v>
      </c>
      <c r="D356" s="9">
        <v>2584684.4500000002</v>
      </c>
      <c r="E356" s="9">
        <v>2584684.4500000002</v>
      </c>
      <c r="F356" s="9">
        <v>2584684.11</v>
      </c>
      <c r="G356" s="36">
        <f t="shared" si="13"/>
        <v>-0.34000000031664968</v>
      </c>
      <c r="H356" s="36">
        <f t="shared" si="14"/>
        <v>-0.34000000031664968</v>
      </c>
      <c r="J356" s="16" t="s">
        <v>1485</v>
      </c>
    </row>
    <row r="357" spans="1:10" x14ac:dyDescent="0.35">
      <c r="A357" s="4" t="s">
        <v>12</v>
      </c>
      <c r="B357" s="47"/>
      <c r="C357" s="11" t="s">
        <v>302</v>
      </c>
      <c r="D357" s="9">
        <v>2299.7199999999998</v>
      </c>
      <c r="E357" s="9">
        <v>2299.7199999999998</v>
      </c>
      <c r="F357" s="9"/>
      <c r="G357" s="36">
        <f t="shared" si="13"/>
        <v>-2299.7199999999998</v>
      </c>
      <c r="H357" s="36">
        <f t="shared" si="14"/>
        <v>-2299.7199999999998</v>
      </c>
      <c r="J357" s="16" t="s">
        <v>1486</v>
      </c>
    </row>
    <row r="358" spans="1:10" x14ac:dyDescent="0.35">
      <c r="A358" s="4" t="s">
        <v>12</v>
      </c>
      <c r="B358" s="47"/>
      <c r="C358" s="11" t="s">
        <v>257</v>
      </c>
      <c r="D358" s="9">
        <v>45126.36</v>
      </c>
      <c r="E358" s="9">
        <v>45126.36</v>
      </c>
      <c r="F358" s="9">
        <v>45126.3</v>
      </c>
      <c r="G358" s="36">
        <f t="shared" si="13"/>
        <v>-5.9999999997671694E-2</v>
      </c>
      <c r="H358" s="36">
        <f t="shared" si="14"/>
        <v>-5.9999999997671694E-2</v>
      </c>
      <c r="J358" s="16" t="s">
        <v>966</v>
      </c>
    </row>
    <row r="359" spans="1:10" x14ac:dyDescent="0.35">
      <c r="A359" s="4" t="s">
        <v>12</v>
      </c>
      <c r="B359" s="47"/>
      <c r="C359" s="11" t="s">
        <v>274</v>
      </c>
      <c r="D359" s="9">
        <v>15362.92</v>
      </c>
      <c r="E359" s="9">
        <v>15362.92</v>
      </c>
      <c r="F359" s="9">
        <v>15362.9</v>
      </c>
      <c r="G359" s="36">
        <f t="shared" si="13"/>
        <v>-2.0000000000436557E-2</v>
      </c>
      <c r="H359" s="36">
        <f t="shared" si="14"/>
        <v>-2.0000000000436557E-2</v>
      </c>
      <c r="J359" s="16" t="s">
        <v>1487</v>
      </c>
    </row>
    <row r="360" spans="1:10" x14ac:dyDescent="0.35">
      <c r="A360" s="4" t="s">
        <v>12</v>
      </c>
      <c r="B360" s="47"/>
      <c r="C360" s="11" t="s">
        <v>275</v>
      </c>
      <c r="D360" s="9">
        <v>96790.02</v>
      </c>
      <c r="E360" s="9">
        <v>96790.02</v>
      </c>
      <c r="F360" s="9">
        <v>96789.98</v>
      </c>
      <c r="G360" s="36">
        <f t="shared" si="13"/>
        <v>-4.0000000008149073E-2</v>
      </c>
      <c r="H360" s="36">
        <f t="shared" si="14"/>
        <v>-4.0000000008149073E-2</v>
      </c>
      <c r="J360" s="16" t="s">
        <v>1488</v>
      </c>
    </row>
    <row r="361" spans="1:10" x14ac:dyDescent="0.35">
      <c r="A361" s="4" t="s">
        <v>12</v>
      </c>
      <c r="B361" s="47"/>
      <c r="C361" s="11" t="s">
        <v>276</v>
      </c>
      <c r="D361" s="9">
        <v>2886107.7</v>
      </c>
      <c r="E361" s="9">
        <v>2886107.7</v>
      </c>
      <c r="F361" s="9">
        <v>2886106.51</v>
      </c>
      <c r="G361" s="36">
        <f t="shared" si="13"/>
        <v>-1.1900000004097819</v>
      </c>
      <c r="H361" s="36">
        <f t="shared" si="14"/>
        <v>-1.1900000004097819</v>
      </c>
      <c r="J361" s="16" t="s">
        <v>941</v>
      </c>
    </row>
    <row r="362" spans="1:10" x14ac:dyDescent="0.35">
      <c r="A362" s="4" t="s">
        <v>12</v>
      </c>
      <c r="B362" s="47"/>
      <c r="C362" s="11" t="s">
        <v>277</v>
      </c>
      <c r="D362" s="9">
        <v>185219.73</v>
      </c>
      <c r="E362" s="9"/>
      <c r="F362" s="9"/>
      <c r="G362" s="36">
        <f t="shared" si="13"/>
        <v>0</v>
      </c>
      <c r="H362" s="36">
        <f t="shared" si="14"/>
        <v>-185219.73</v>
      </c>
      <c r="J362" s="16" t="s">
        <v>991</v>
      </c>
    </row>
    <row r="363" spans="1:10" x14ac:dyDescent="0.35">
      <c r="A363" s="4" t="s">
        <v>12</v>
      </c>
      <c r="B363" s="47"/>
      <c r="C363" s="11" t="s">
        <v>278</v>
      </c>
      <c r="D363" s="9">
        <v>4568548.13</v>
      </c>
      <c r="E363" s="9"/>
      <c r="F363" s="9"/>
      <c r="G363" s="36">
        <f t="shared" si="13"/>
        <v>0</v>
      </c>
      <c r="H363" s="36">
        <f t="shared" si="14"/>
        <v>-4568548.13</v>
      </c>
      <c r="J363" s="16" t="e">
        <v>#N/A</v>
      </c>
    </row>
    <row r="364" spans="1:10" x14ac:dyDescent="0.35">
      <c r="A364" s="4" t="s">
        <v>12</v>
      </c>
      <c r="B364" s="2"/>
      <c r="C364" s="29" t="s">
        <v>529</v>
      </c>
      <c r="D364" s="28">
        <f>SUM(D261:D363)</f>
        <v>311165773.78000009</v>
      </c>
      <c r="E364" s="28">
        <f>SUM(E261:E363)</f>
        <v>261922715.68000013</v>
      </c>
      <c r="F364" s="28">
        <f>SUM(F261:F363)</f>
        <v>261922651.30999988</v>
      </c>
      <c r="G364" s="36">
        <f t="shared" si="13"/>
        <v>-64.370000243186951</v>
      </c>
      <c r="H364" s="36">
        <f t="shared" si="14"/>
        <v>-49243122.470000207</v>
      </c>
      <c r="J364" s="16" t="e">
        <v>#N/A</v>
      </c>
    </row>
    <row r="365" spans="1:10" ht="29" x14ac:dyDescent="0.35">
      <c r="A365" s="2" t="s">
        <v>13</v>
      </c>
      <c r="B365" s="5" t="s">
        <v>308</v>
      </c>
      <c r="C365" s="11"/>
      <c r="D365" s="9"/>
      <c r="E365" s="9"/>
      <c r="F365" s="9"/>
      <c r="G365" s="36">
        <f t="shared" si="13"/>
        <v>0</v>
      </c>
      <c r="H365" s="36">
        <f t="shared" si="14"/>
        <v>0</v>
      </c>
      <c r="J365" s="16" t="e">
        <v>#N/A</v>
      </c>
    </row>
    <row r="366" spans="1:10" ht="29" x14ac:dyDescent="0.35">
      <c r="A366" s="2" t="s">
        <v>14</v>
      </c>
      <c r="B366" s="5" t="s">
        <v>308</v>
      </c>
      <c r="C366" s="11"/>
      <c r="D366" s="9"/>
      <c r="E366" s="9"/>
      <c r="F366" s="9"/>
      <c r="G366" s="36">
        <f t="shared" si="13"/>
        <v>0</v>
      </c>
      <c r="H366" s="36">
        <f t="shared" si="14"/>
        <v>0</v>
      </c>
      <c r="J366" s="16" t="e">
        <v>#N/A</v>
      </c>
    </row>
    <row r="367" spans="1:10" x14ac:dyDescent="0.35">
      <c r="A367" s="4" t="s">
        <v>15</v>
      </c>
      <c r="B367" s="47" t="s">
        <v>33</v>
      </c>
      <c r="C367" s="11" t="s">
        <v>382</v>
      </c>
      <c r="D367" s="9">
        <v>1056487.57</v>
      </c>
      <c r="E367" s="9">
        <v>1056487.57</v>
      </c>
      <c r="F367" s="9">
        <v>1056487.56</v>
      </c>
      <c r="G367" s="36">
        <f t="shared" si="13"/>
        <v>-1.0000000009313226E-2</v>
      </c>
      <c r="H367" s="36">
        <f t="shared" si="14"/>
        <v>-1.0000000009313226E-2</v>
      </c>
      <c r="J367" s="16" t="s">
        <v>1037</v>
      </c>
    </row>
    <row r="368" spans="1:10" x14ac:dyDescent="0.35">
      <c r="A368" s="4" t="s">
        <v>15</v>
      </c>
      <c r="B368" s="47"/>
      <c r="C368" s="11" t="s">
        <v>383</v>
      </c>
      <c r="D368" s="9">
        <v>100000</v>
      </c>
      <c r="E368" s="9">
        <v>100000</v>
      </c>
      <c r="F368" s="9">
        <v>100000</v>
      </c>
      <c r="G368" s="36">
        <f t="shared" si="13"/>
        <v>0</v>
      </c>
      <c r="H368" s="36">
        <f t="shared" si="14"/>
        <v>0</v>
      </c>
      <c r="J368" s="16" t="s">
        <v>1489</v>
      </c>
    </row>
    <row r="369" spans="1:10" x14ac:dyDescent="0.35">
      <c r="A369" s="4" t="s">
        <v>15</v>
      </c>
      <c r="B369" s="47"/>
      <c r="C369" s="11" t="s">
        <v>384</v>
      </c>
      <c r="D369" s="9">
        <v>24621750.640000001</v>
      </c>
      <c r="E369" s="9">
        <v>24621750.640000001</v>
      </c>
      <c r="F369" s="9">
        <v>24621750.390000001</v>
      </c>
      <c r="G369" s="36">
        <f t="shared" si="13"/>
        <v>-0.25</v>
      </c>
      <c r="H369" s="36">
        <f t="shared" si="14"/>
        <v>-0.25</v>
      </c>
      <c r="J369" s="16" t="s">
        <v>1032</v>
      </c>
    </row>
    <row r="370" spans="1:10" x14ac:dyDescent="0.35">
      <c r="A370" s="4" t="s">
        <v>15</v>
      </c>
      <c r="B370" s="47"/>
      <c r="C370" s="11" t="s">
        <v>385</v>
      </c>
      <c r="D370" s="9">
        <v>11839072.83</v>
      </c>
      <c r="E370" s="9">
        <v>11839072.83</v>
      </c>
      <c r="F370" s="9">
        <v>11839072.699999999</v>
      </c>
      <c r="G370" s="36">
        <f t="shared" si="13"/>
        <v>-0.13000000081956387</v>
      </c>
      <c r="H370" s="36">
        <f t="shared" si="14"/>
        <v>-0.13000000081956387</v>
      </c>
      <c r="J370" s="16" t="s">
        <v>1042</v>
      </c>
    </row>
    <row r="371" spans="1:10" x14ac:dyDescent="0.35">
      <c r="A371" s="4" t="s">
        <v>15</v>
      </c>
      <c r="B371" s="47"/>
      <c r="C371" s="11" t="s">
        <v>388</v>
      </c>
      <c r="D371" s="9">
        <v>1197550.4099999999</v>
      </c>
      <c r="E371" s="9">
        <v>1197550.4099999999</v>
      </c>
      <c r="F371" s="9">
        <v>1197550.3500000001</v>
      </c>
      <c r="G371" s="36">
        <f t="shared" si="13"/>
        <v>-5.9999999823048711E-2</v>
      </c>
      <c r="H371" s="36">
        <f t="shared" si="14"/>
        <v>-5.9999999823048711E-2</v>
      </c>
      <c r="J371" s="16" t="s">
        <v>1053</v>
      </c>
    </row>
    <row r="372" spans="1:10" x14ac:dyDescent="0.35">
      <c r="A372" s="4" t="s">
        <v>15</v>
      </c>
      <c r="B372" s="47"/>
      <c r="C372" s="11" t="s">
        <v>389</v>
      </c>
      <c r="D372" s="9">
        <v>2500000</v>
      </c>
      <c r="E372" s="9">
        <v>2500000</v>
      </c>
      <c r="F372" s="9">
        <v>2500000</v>
      </c>
      <c r="G372" s="36">
        <f t="shared" si="13"/>
        <v>0</v>
      </c>
      <c r="H372" s="36">
        <f t="shared" si="14"/>
        <v>0</v>
      </c>
      <c r="J372" s="16" t="s">
        <v>1490</v>
      </c>
    </row>
    <row r="373" spans="1:10" x14ac:dyDescent="0.35">
      <c r="A373" s="4" t="s">
        <v>15</v>
      </c>
      <c r="B373" s="47"/>
      <c r="C373" s="11" t="s">
        <v>390</v>
      </c>
      <c r="D373" s="9">
        <v>8275.18</v>
      </c>
      <c r="E373" s="9">
        <v>8275.18</v>
      </c>
      <c r="F373" s="9">
        <v>934989.68</v>
      </c>
      <c r="G373" s="36">
        <f t="shared" si="13"/>
        <v>926714.5</v>
      </c>
      <c r="H373" s="36">
        <f t="shared" si="14"/>
        <v>926714.5</v>
      </c>
      <c r="J373" s="16" t="s">
        <v>1491</v>
      </c>
    </row>
    <row r="374" spans="1:10" x14ac:dyDescent="0.35">
      <c r="A374" s="4" t="s">
        <v>15</v>
      </c>
      <c r="B374" s="47"/>
      <c r="C374" s="11" t="s">
        <v>329</v>
      </c>
      <c r="D374" s="9">
        <v>636091.01</v>
      </c>
      <c r="E374" s="9">
        <v>636091.01</v>
      </c>
      <c r="F374" s="9">
        <v>636091</v>
      </c>
      <c r="G374" s="36">
        <f t="shared" si="13"/>
        <v>-1.0000000009313226E-2</v>
      </c>
      <c r="H374" s="36">
        <f t="shared" si="14"/>
        <v>-1.0000000009313226E-2</v>
      </c>
      <c r="J374" s="16" t="s">
        <v>1007</v>
      </c>
    </row>
    <row r="375" spans="1:10" x14ac:dyDescent="0.35">
      <c r="A375" s="4" t="s">
        <v>15</v>
      </c>
      <c r="B375" s="47"/>
      <c r="C375" s="11" t="s">
        <v>330</v>
      </c>
      <c r="D375" s="9">
        <v>8125300</v>
      </c>
      <c r="E375" s="9">
        <v>8125300</v>
      </c>
      <c r="F375" s="9">
        <v>8125300</v>
      </c>
      <c r="G375" s="36">
        <f t="shared" si="13"/>
        <v>0</v>
      </c>
      <c r="H375" s="36">
        <f t="shared" si="14"/>
        <v>0</v>
      </c>
      <c r="J375" s="16" t="s">
        <v>1064</v>
      </c>
    </row>
    <row r="376" spans="1:10" x14ac:dyDescent="0.35">
      <c r="A376" s="4" t="s">
        <v>15</v>
      </c>
      <c r="B376" s="47"/>
      <c r="C376" s="11" t="s">
        <v>331</v>
      </c>
      <c r="D376" s="9">
        <v>417852.93</v>
      </c>
      <c r="E376" s="9">
        <v>417852.93</v>
      </c>
      <c r="F376" s="9">
        <v>417852.92</v>
      </c>
      <c r="G376" s="36">
        <f t="shared" si="13"/>
        <v>-1.0000000009313226E-2</v>
      </c>
      <c r="H376" s="36">
        <f t="shared" si="14"/>
        <v>-1.0000000009313226E-2</v>
      </c>
      <c r="J376" s="16" t="s">
        <v>1095</v>
      </c>
    </row>
    <row r="377" spans="1:10" x14ac:dyDescent="0.35">
      <c r="A377" s="4" t="s">
        <v>15</v>
      </c>
      <c r="B377" s="47"/>
      <c r="C377" s="11" t="s">
        <v>332</v>
      </c>
      <c r="D377" s="9">
        <v>442580.53</v>
      </c>
      <c r="E377" s="9">
        <v>442580.53</v>
      </c>
      <c r="F377" s="9">
        <v>433895.53</v>
      </c>
      <c r="G377" s="36">
        <f t="shared" si="13"/>
        <v>-8685</v>
      </c>
      <c r="H377" s="36">
        <f t="shared" si="14"/>
        <v>-8685</v>
      </c>
      <c r="J377" s="16" t="s">
        <v>1041</v>
      </c>
    </row>
    <row r="378" spans="1:10" x14ac:dyDescent="0.35">
      <c r="A378" s="4" t="s">
        <v>15</v>
      </c>
      <c r="B378" s="47"/>
      <c r="C378" s="11" t="s">
        <v>333</v>
      </c>
      <c r="D378" s="9">
        <v>1</v>
      </c>
      <c r="E378" s="9">
        <v>1</v>
      </c>
      <c r="F378" s="9">
        <v>0.99</v>
      </c>
      <c r="G378" s="36">
        <f t="shared" si="13"/>
        <v>-1.0000000000000009E-2</v>
      </c>
      <c r="H378" s="36">
        <f t="shared" si="14"/>
        <v>-1.0000000000000009E-2</v>
      </c>
      <c r="J378" s="16" t="s">
        <v>1492</v>
      </c>
    </row>
    <row r="379" spans="1:10" x14ac:dyDescent="0.35">
      <c r="A379" s="4" t="s">
        <v>15</v>
      </c>
      <c r="B379" s="47"/>
      <c r="C379" s="11" t="s">
        <v>334</v>
      </c>
      <c r="D379" s="9">
        <v>14180000</v>
      </c>
      <c r="E379" s="9">
        <v>14180000</v>
      </c>
      <c r="F379" s="9">
        <v>14180000</v>
      </c>
      <c r="G379" s="36">
        <f t="shared" si="13"/>
        <v>0</v>
      </c>
      <c r="H379" s="36">
        <f t="shared" si="14"/>
        <v>0</v>
      </c>
      <c r="J379" s="16" t="s">
        <v>1047</v>
      </c>
    </row>
    <row r="380" spans="1:10" x14ac:dyDescent="0.35">
      <c r="A380" s="4" t="s">
        <v>15</v>
      </c>
      <c r="B380" s="47"/>
      <c r="C380" s="11" t="s">
        <v>335</v>
      </c>
      <c r="D380" s="9">
        <v>263774</v>
      </c>
      <c r="E380" s="9">
        <v>263774</v>
      </c>
      <c r="F380" s="9">
        <v>263773.98</v>
      </c>
      <c r="G380" s="36">
        <f t="shared" si="13"/>
        <v>-2.0000000018626451E-2</v>
      </c>
      <c r="H380" s="36">
        <f t="shared" si="14"/>
        <v>-2.0000000018626451E-2</v>
      </c>
      <c r="J380" s="16" t="s">
        <v>1073</v>
      </c>
    </row>
    <row r="381" spans="1:10" x14ac:dyDescent="0.35">
      <c r="A381" s="4" t="s">
        <v>15</v>
      </c>
      <c r="B381" s="47"/>
      <c r="C381" s="11" t="s">
        <v>336</v>
      </c>
      <c r="D381" s="9">
        <v>10667655.83</v>
      </c>
      <c r="E381" s="9">
        <v>10667655.83</v>
      </c>
      <c r="F381" s="9">
        <v>10667655.67</v>
      </c>
      <c r="G381" s="36">
        <f t="shared" si="13"/>
        <v>-0.16000000014901161</v>
      </c>
      <c r="H381" s="36">
        <f t="shared" si="14"/>
        <v>-0.16000000014901161</v>
      </c>
      <c r="J381" s="16" t="s">
        <v>1011</v>
      </c>
    </row>
    <row r="382" spans="1:10" x14ac:dyDescent="0.35">
      <c r="A382" s="4" t="s">
        <v>15</v>
      </c>
      <c r="B382" s="47"/>
      <c r="C382" s="11" t="s">
        <v>337</v>
      </c>
      <c r="D382" s="9">
        <v>2992.77</v>
      </c>
      <c r="E382" s="9">
        <v>2992.77</v>
      </c>
      <c r="F382" s="9">
        <v>127060.89</v>
      </c>
      <c r="G382" s="36">
        <f t="shared" si="13"/>
        <v>124068.12</v>
      </c>
      <c r="H382" s="36">
        <f t="shared" si="14"/>
        <v>124068.12</v>
      </c>
      <c r="J382" s="16" t="s">
        <v>1075</v>
      </c>
    </row>
    <row r="383" spans="1:10" x14ac:dyDescent="0.35">
      <c r="A383" s="4" t="s">
        <v>15</v>
      </c>
      <c r="B383" s="47"/>
      <c r="C383" s="11" t="s">
        <v>338</v>
      </c>
      <c r="D383" s="9">
        <v>63238603.460000001</v>
      </c>
      <c r="E383" s="9">
        <v>63238603.460000001</v>
      </c>
      <c r="F383" s="9">
        <v>63238603.32</v>
      </c>
      <c r="G383" s="36">
        <f t="shared" si="13"/>
        <v>-0.14000000059604645</v>
      </c>
      <c r="H383" s="36">
        <f t="shared" si="14"/>
        <v>-0.14000000059604645</v>
      </c>
      <c r="J383" s="16" t="s">
        <v>1020</v>
      </c>
    </row>
    <row r="384" spans="1:10" x14ac:dyDescent="0.35">
      <c r="A384" s="4" t="s">
        <v>15</v>
      </c>
      <c r="B384" s="47"/>
      <c r="C384" s="11" t="s">
        <v>340</v>
      </c>
      <c r="D384" s="9">
        <v>0</v>
      </c>
      <c r="E384" s="9">
        <v>0</v>
      </c>
      <c r="F384" s="9">
        <v>4031963.08</v>
      </c>
      <c r="G384" s="36">
        <f t="shared" si="13"/>
        <v>4031963.08</v>
      </c>
      <c r="H384" s="36">
        <f t="shared" si="14"/>
        <v>4031963.08</v>
      </c>
      <c r="J384" s="16" t="s">
        <v>1021</v>
      </c>
    </row>
    <row r="385" spans="1:10" x14ac:dyDescent="0.35">
      <c r="A385" s="4" t="s">
        <v>15</v>
      </c>
      <c r="B385" s="47"/>
      <c r="C385" s="11" t="s">
        <v>339</v>
      </c>
      <c r="D385" s="9">
        <v>321810.75</v>
      </c>
      <c r="E385" s="9">
        <v>321810.75</v>
      </c>
      <c r="F385" s="9">
        <v>321810.74</v>
      </c>
      <c r="G385" s="36">
        <f t="shared" si="13"/>
        <v>-1.0000000009313226E-2</v>
      </c>
      <c r="H385" s="36">
        <f t="shared" si="14"/>
        <v>-1.0000000009313226E-2</v>
      </c>
      <c r="J385" s="16" t="s">
        <v>1085</v>
      </c>
    </row>
    <row r="386" spans="1:10" x14ac:dyDescent="0.35">
      <c r="A386" s="4" t="s">
        <v>15</v>
      </c>
      <c r="B386" s="47"/>
      <c r="C386" s="11" t="s">
        <v>341</v>
      </c>
      <c r="D386" s="9">
        <v>10308219.99</v>
      </c>
      <c r="E386" s="9">
        <v>10308219.99</v>
      </c>
      <c r="F386" s="9">
        <v>10308219.91</v>
      </c>
      <c r="G386" s="36">
        <f t="shared" si="13"/>
        <v>-8.0000000074505806E-2</v>
      </c>
      <c r="H386" s="36">
        <f t="shared" si="14"/>
        <v>-8.0000000074505806E-2</v>
      </c>
      <c r="J386" s="16" t="s">
        <v>1011</v>
      </c>
    </row>
    <row r="387" spans="1:10" x14ac:dyDescent="0.35">
      <c r="A387" s="4" t="s">
        <v>15</v>
      </c>
      <c r="B387" s="47"/>
      <c r="C387" s="11" t="s">
        <v>342</v>
      </c>
      <c r="D387" s="9">
        <v>220000</v>
      </c>
      <c r="E387" s="9">
        <v>220000</v>
      </c>
      <c r="F387" s="9">
        <v>220000</v>
      </c>
      <c r="G387" s="36">
        <f t="shared" si="13"/>
        <v>0</v>
      </c>
      <c r="H387" s="36">
        <f t="shared" si="14"/>
        <v>0</v>
      </c>
      <c r="J387" s="16" t="s">
        <v>1064</v>
      </c>
    </row>
    <row r="388" spans="1:10" x14ac:dyDescent="0.35">
      <c r="A388" s="4" t="s">
        <v>15</v>
      </c>
      <c r="B388" s="47"/>
      <c r="C388" s="11" t="s">
        <v>343</v>
      </c>
      <c r="D388" s="9">
        <v>14705448.310000001</v>
      </c>
      <c r="E388" s="9">
        <v>14705448.310000001</v>
      </c>
      <c r="F388" s="9">
        <v>14705448.279999999</v>
      </c>
      <c r="G388" s="36">
        <f t="shared" si="13"/>
        <v>-3.0000001192092896E-2</v>
      </c>
      <c r="H388" s="36">
        <f t="shared" si="14"/>
        <v>-3.0000001192092896E-2</v>
      </c>
      <c r="J388" s="16" t="s">
        <v>1493</v>
      </c>
    </row>
    <row r="389" spans="1:10" x14ac:dyDescent="0.35">
      <c r="A389" s="4" t="s">
        <v>15</v>
      </c>
      <c r="B389" s="47"/>
      <c r="C389" s="11" t="s">
        <v>344</v>
      </c>
      <c r="D389" s="9">
        <v>4803102.76</v>
      </c>
      <c r="E389" s="9">
        <v>4803102.76</v>
      </c>
      <c r="F389" s="9">
        <v>4803102.75</v>
      </c>
      <c r="G389" s="36">
        <f t="shared" si="13"/>
        <v>-9.9999997764825821E-3</v>
      </c>
      <c r="H389" s="36">
        <f t="shared" si="14"/>
        <v>-9.9999997764825821E-3</v>
      </c>
      <c r="J389" s="16" t="e">
        <v>#N/A</v>
      </c>
    </row>
    <row r="390" spans="1:10" x14ac:dyDescent="0.35">
      <c r="A390" s="4" t="s">
        <v>15</v>
      </c>
      <c r="B390" s="47"/>
      <c r="C390" s="11" t="s">
        <v>345</v>
      </c>
      <c r="D390" s="9">
        <v>3777208.7</v>
      </c>
      <c r="E390" s="9">
        <v>3777208.7</v>
      </c>
      <c r="F390" s="9">
        <v>3777208.68</v>
      </c>
      <c r="G390" s="36">
        <f t="shared" si="13"/>
        <v>-2.0000000018626451E-2</v>
      </c>
      <c r="H390" s="36">
        <f t="shared" si="14"/>
        <v>-2.0000000018626451E-2</v>
      </c>
      <c r="J390" s="16" t="s">
        <v>1091</v>
      </c>
    </row>
    <row r="391" spans="1:10" x14ac:dyDescent="0.35">
      <c r="A391" s="4" t="s">
        <v>15</v>
      </c>
      <c r="B391" s="47"/>
      <c r="C391" s="11" t="s">
        <v>365</v>
      </c>
      <c r="D391" s="9">
        <v>0</v>
      </c>
      <c r="E391" s="9">
        <v>0</v>
      </c>
      <c r="F391" s="9">
        <v>85711842.560000002</v>
      </c>
      <c r="G391" s="36">
        <f t="shared" si="13"/>
        <v>85711842.560000002</v>
      </c>
      <c r="H391" s="36">
        <f t="shared" si="14"/>
        <v>85711842.560000002</v>
      </c>
      <c r="J391" s="16" t="s">
        <v>1018</v>
      </c>
    </row>
    <row r="392" spans="1:10" x14ac:dyDescent="0.35">
      <c r="A392" s="4" t="s">
        <v>15</v>
      </c>
      <c r="B392" s="47"/>
      <c r="C392" s="11" t="s">
        <v>366</v>
      </c>
      <c r="D392" s="9">
        <v>1085000</v>
      </c>
      <c r="E392" s="9">
        <v>1085000</v>
      </c>
      <c r="F392" s="9">
        <v>1085000</v>
      </c>
      <c r="G392" s="36">
        <f t="shared" si="13"/>
        <v>0</v>
      </c>
      <c r="H392" s="36">
        <f t="shared" si="14"/>
        <v>0</v>
      </c>
      <c r="J392" s="16" t="s">
        <v>1494</v>
      </c>
    </row>
    <row r="393" spans="1:10" x14ac:dyDescent="0.35">
      <c r="A393" s="4" t="s">
        <v>15</v>
      </c>
      <c r="B393" s="47"/>
      <c r="C393" s="11" t="s">
        <v>369</v>
      </c>
      <c r="D393" s="9">
        <v>500000</v>
      </c>
      <c r="E393" s="9">
        <v>500000</v>
      </c>
      <c r="F393" s="9">
        <v>500000</v>
      </c>
      <c r="G393" s="36">
        <f t="shared" si="13"/>
        <v>0</v>
      </c>
      <c r="H393" s="36">
        <f t="shared" si="14"/>
        <v>0</v>
      </c>
      <c r="J393" s="16" t="s">
        <v>1495</v>
      </c>
    </row>
    <row r="394" spans="1:10" x14ac:dyDescent="0.35">
      <c r="A394" s="4" t="s">
        <v>15</v>
      </c>
      <c r="B394" s="47"/>
      <c r="C394" s="11" t="s">
        <v>371</v>
      </c>
      <c r="D394" s="9">
        <v>2260000</v>
      </c>
      <c r="E394" s="9">
        <v>2260000</v>
      </c>
      <c r="F394" s="9">
        <v>2260000</v>
      </c>
      <c r="G394" s="36">
        <f t="shared" si="13"/>
        <v>0</v>
      </c>
      <c r="H394" s="36">
        <f t="shared" si="14"/>
        <v>0</v>
      </c>
      <c r="J394" s="16" t="s">
        <v>1496</v>
      </c>
    </row>
    <row r="395" spans="1:10" x14ac:dyDescent="0.35">
      <c r="A395" s="4" t="s">
        <v>15</v>
      </c>
      <c r="B395" s="47"/>
      <c r="C395" s="11" t="s">
        <v>370</v>
      </c>
      <c r="D395" s="9">
        <v>60250000</v>
      </c>
      <c r="E395" s="9">
        <v>60250000</v>
      </c>
      <c r="F395" s="9">
        <v>60250000</v>
      </c>
      <c r="G395" s="36">
        <f t="shared" si="13"/>
        <v>0</v>
      </c>
      <c r="H395" s="36">
        <f t="shared" si="14"/>
        <v>0</v>
      </c>
      <c r="J395" s="16" t="s">
        <v>1024</v>
      </c>
    </row>
    <row r="396" spans="1:10" x14ac:dyDescent="0.35">
      <c r="A396" s="4" t="s">
        <v>15</v>
      </c>
      <c r="B396" s="47"/>
      <c r="C396" s="11" t="s">
        <v>372</v>
      </c>
      <c r="D396" s="9">
        <v>1350000</v>
      </c>
      <c r="E396" s="9">
        <v>1350000</v>
      </c>
      <c r="F396" s="9">
        <v>1350000</v>
      </c>
      <c r="G396" s="36">
        <f t="shared" si="13"/>
        <v>0</v>
      </c>
      <c r="H396" s="36">
        <f t="shared" si="14"/>
        <v>0</v>
      </c>
      <c r="J396" s="16" t="s">
        <v>1047</v>
      </c>
    </row>
    <row r="397" spans="1:10" x14ac:dyDescent="0.35">
      <c r="A397" s="4" t="s">
        <v>15</v>
      </c>
      <c r="B397" s="47"/>
      <c r="C397" s="11" t="s">
        <v>376</v>
      </c>
      <c r="D397" s="9">
        <v>195000000</v>
      </c>
      <c r="E397" s="9">
        <v>195000000</v>
      </c>
      <c r="F397" s="9">
        <v>195000000</v>
      </c>
      <c r="G397" s="36">
        <f t="shared" si="13"/>
        <v>0</v>
      </c>
      <c r="H397" s="36">
        <f t="shared" si="14"/>
        <v>0</v>
      </c>
      <c r="J397" s="16" t="s">
        <v>1497</v>
      </c>
    </row>
    <row r="398" spans="1:10" x14ac:dyDescent="0.35">
      <c r="A398" s="4" t="s">
        <v>15</v>
      </c>
      <c r="B398" s="47"/>
      <c r="C398" s="11" t="s">
        <v>377</v>
      </c>
      <c r="D398" s="9">
        <v>7025434.6900000004</v>
      </c>
      <c r="E398" s="9">
        <v>7025434.6900000004</v>
      </c>
      <c r="F398" s="9">
        <v>7025434.6799999997</v>
      </c>
      <c r="G398" s="36">
        <f t="shared" si="13"/>
        <v>-1.0000000707805157E-2</v>
      </c>
      <c r="H398" s="36">
        <f t="shared" si="14"/>
        <v>-1.0000000707805157E-2</v>
      </c>
      <c r="J398" s="16" t="s">
        <v>1070</v>
      </c>
    </row>
    <row r="399" spans="1:10" x14ac:dyDescent="0.35">
      <c r="A399" s="4" t="s">
        <v>15</v>
      </c>
      <c r="B399" s="47"/>
      <c r="C399" s="11"/>
      <c r="D399" s="9">
        <v>19203523.550000001</v>
      </c>
      <c r="E399" s="9"/>
      <c r="F399" s="9"/>
      <c r="G399" s="36">
        <f t="shared" si="13"/>
        <v>0</v>
      </c>
      <c r="H399" s="36">
        <f t="shared" si="14"/>
        <v>-19203523.550000001</v>
      </c>
      <c r="J399" s="16" t="e">
        <v>#N/A</v>
      </c>
    </row>
    <row r="400" spans="1:10" x14ac:dyDescent="0.35">
      <c r="A400" s="4" t="s">
        <v>15</v>
      </c>
      <c r="B400" s="47"/>
      <c r="C400" s="11" t="s">
        <v>318</v>
      </c>
      <c r="D400" s="9">
        <v>355750</v>
      </c>
      <c r="E400" s="9">
        <v>355750</v>
      </c>
      <c r="F400" s="9">
        <v>355750</v>
      </c>
      <c r="G400" s="36">
        <f t="shared" si="13"/>
        <v>0</v>
      </c>
      <c r="H400" s="36">
        <f t="shared" si="14"/>
        <v>0</v>
      </c>
      <c r="J400" s="16" t="s">
        <v>1498</v>
      </c>
    </row>
    <row r="401" spans="1:10" x14ac:dyDescent="0.35">
      <c r="A401" s="4" t="s">
        <v>15</v>
      </c>
      <c r="B401" s="47"/>
      <c r="C401" s="11" t="s">
        <v>319</v>
      </c>
      <c r="D401" s="9">
        <v>8247213.4000000004</v>
      </c>
      <c r="E401" s="9">
        <v>8247213.4000000004</v>
      </c>
      <c r="F401" s="9">
        <v>8247213.3899999997</v>
      </c>
      <c r="G401" s="36">
        <f t="shared" si="13"/>
        <v>-1.0000000707805157E-2</v>
      </c>
      <c r="H401" s="36">
        <f t="shared" si="14"/>
        <v>-1.0000000707805157E-2</v>
      </c>
      <c r="J401" s="16" t="e">
        <v>#N/A</v>
      </c>
    </row>
    <row r="402" spans="1:10" x14ac:dyDescent="0.35">
      <c r="A402" s="4" t="s">
        <v>15</v>
      </c>
      <c r="B402" s="47"/>
      <c r="C402" s="11" t="s">
        <v>367</v>
      </c>
      <c r="D402" s="9">
        <v>173869.03</v>
      </c>
      <c r="E402" s="9">
        <v>173869.03</v>
      </c>
      <c r="F402" s="9">
        <v>173869.02</v>
      </c>
      <c r="G402" s="36">
        <f t="shared" si="13"/>
        <v>-1.0000000009313226E-2</v>
      </c>
      <c r="H402" s="36">
        <f t="shared" si="14"/>
        <v>-1.0000000009313226E-2</v>
      </c>
      <c r="J402" s="16" t="s">
        <v>1499</v>
      </c>
    </row>
    <row r="403" spans="1:10" x14ac:dyDescent="0.35">
      <c r="A403" s="4" t="s">
        <v>15</v>
      </c>
      <c r="B403" s="47"/>
      <c r="C403" s="11" t="s">
        <v>368</v>
      </c>
      <c r="D403" s="9">
        <v>11046389.189999999</v>
      </c>
      <c r="E403" s="9">
        <v>11046389.189999999</v>
      </c>
      <c r="F403" s="9">
        <v>11046389.18</v>
      </c>
      <c r="G403" s="36">
        <f t="shared" si="13"/>
        <v>-9.9999997764825821E-3</v>
      </c>
      <c r="H403" s="36">
        <f t="shared" si="14"/>
        <v>-9.9999997764825821E-3</v>
      </c>
      <c r="J403" s="16" t="e">
        <v>#N/A</v>
      </c>
    </row>
    <row r="404" spans="1:10" x14ac:dyDescent="0.35">
      <c r="A404" s="4" t="s">
        <v>15</v>
      </c>
      <c r="B404" s="47"/>
      <c r="C404" s="11" t="s">
        <v>373</v>
      </c>
      <c r="D404" s="9">
        <v>232289.46</v>
      </c>
      <c r="E404" s="9">
        <v>232289.46</v>
      </c>
      <c r="F404" s="9">
        <v>118695.42</v>
      </c>
      <c r="G404" s="36">
        <f t="shared" si="13"/>
        <v>-113594.04</v>
      </c>
      <c r="H404" s="36">
        <f t="shared" si="14"/>
        <v>-113594.04</v>
      </c>
      <c r="J404" s="16" t="s">
        <v>1090</v>
      </c>
    </row>
    <row r="405" spans="1:10" x14ac:dyDescent="0.35">
      <c r="A405" s="4" t="s">
        <v>15</v>
      </c>
      <c r="B405" s="47"/>
      <c r="C405" s="11" t="s">
        <v>375</v>
      </c>
      <c r="D405" s="9">
        <v>7188781.7800000003</v>
      </c>
      <c r="E405" s="9">
        <v>7188781.7800000003</v>
      </c>
      <c r="F405" s="9">
        <v>3404908.16</v>
      </c>
      <c r="G405" s="36">
        <f t="shared" si="13"/>
        <v>-3783873.62</v>
      </c>
      <c r="H405" s="36">
        <f t="shared" si="14"/>
        <v>-3783873.62</v>
      </c>
      <c r="J405" s="16" t="s">
        <v>1056</v>
      </c>
    </row>
    <row r="406" spans="1:10" x14ac:dyDescent="0.35">
      <c r="A406" s="4" t="s">
        <v>15</v>
      </c>
      <c r="B406" s="47"/>
      <c r="C406" s="11" t="s">
        <v>374</v>
      </c>
      <c r="D406" s="9">
        <v>249087763.31999999</v>
      </c>
      <c r="E406" s="9">
        <v>249087763.31999999</v>
      </c>
      <c r="F406" s="9">
        <v>249087762.28999999</v>
      </c>
      <c r="G406" s="36">
        <f t="shared" si="13"/>
        <v>-1.0300000011920929</v>
      </c>
      <c r="H406" s="36">
        <f t="shared" si="14"/>
        <v>-1.0300000011920929</v>
      </c>
      <c r="J406" s="16" t="s">
        <v>1014</v>
      </c>
    </row>
    <row r="407" spans="1:10" x14ac:dyDescent="0.35">
      <c r="A407" s="4" t="s">
        <v>15</v>
      </c>
      <c r="B407" s="47"/>
      <c r="C407" s="11" t="s">
        <v>378</v>
      </c>
      <c r="D407" s="9">
        <v>220537</v>
      </c>
      <c r="E407" s="9">
        <v>220537</v>
      </c>
      <c r="F407" s="9">
        <v>209441.3</v>
      </c>
      <c r="G407" s="36">
        <f t="shared" si="13"/>
        <v>-11095.700000000012</v>
      </c>
      <c r="H407" s="36">
        <f t="shared" si="14"/>
        <v>-11095.700000000012</v>
      </c>
      <c r="J407" s="16" t="s">
        <v>1100</v>
      </c>
    </row>
    <row r="408" spans="1:10" x14ac:dyDescent="0.35">
      <c r="A408" s="4" t="s">
        <v>15</v>
      </c>
      <c r="B408" s="47"/>
      <c r="C408" s="11" t="s">
        <v>379</v>
      </c>
      <c r="D408" s="9">
        <v>41187.18</v>
      </c>
      <c r="E408" s="9">
        <v>41187.18</v>
      </c>
      <c r="F408" s="9">
        <v>19321823.870000001</v>
      </c>
      <c r="G408" s="36">
        <f t="shared" si="13"/>
        <v>19280636.690000001</v>
      </c>
      <c r="H408" s="36">
        <f t="shared" si="14"/>
        <v>19280636.690000001</v>
      </c>
      <c r="J408" s="16" t="s">
        <v>1038</v>
      </c>
    </row>
    <row r="409" spans="1:10" x14ac:dyDescent="0.35">
      <c r="A409" s="4" t="s">
        <v>15</v>
      </c>
      <c r="B409" s="47"/>
      <c r="C409" s="11" t="s">
        <v>380</v>
      </c>
      <c r="D409" s="9">
        <v>235133261.03</v>
      </c>
      <c r="E409" s="9">
        <v>235133261.03</v>
      </c>
      <c r="F409" s="9">
        <v>235133261</v>
      </c>
      <c r="G409" s="36">
        <f t="shared" si="13"/>
        <v>-3.0000001192092896E-2</v>
      </c>
      <c r="H409" s="36">
        <f t="shared" si="14"/>
        <v>-3.0000001192092896E-2</v>
      </c>
      <c r="J409" s="16" t="s">
        <v>1010</v>
      </c>
    </row>
    <row r="410" spans="1:10" x14ac:dyDescent="0.35">
      <c r="A410" s="4" t="s">
        <v>15</v>
      </c>
      <c r="B410" s="47"/>
      <c r="C410" s="11" t="s">
        <v>381</v>
      </c>
      <c r="D410" s="9">
        <v>1026071773.62</v>
      </c>
      <c r="E410" s="9">
        <v>1026071773.62</v>
      </c>
      <c r="F410" s="9">
        <v>1026071772.72</v>
      </c>
      <c r="G410" s="36">
        <f t="shared" si="13"/>
        <v>-0.89999997615814209</v>
      </c>
      <c r="H410" s="36">
        <f t="shared" si="14"/>
        <v>-0.89999997615814209</v>
      </c>
      <c r="J410" s="16" t="s">
        <v>1016</v>
      </c>
    </row>
    <row r="411" spans="1:10" x14ac:dyDescent="0.35">
      <c r="A411" s="4" t="s">
        <v>15</v>
      </c>
      <c r="B411" s="47"/>
      <c r="C411" s="11" t="s">
        <v>320</v>
      </c>
      <c r="D411" s="9">
        <v>16472224.880000001</v>
      </c>
      <c r="E411" s="9">
        <v>16472224.880000001</v>
      </c>
      <c r="F411" s="9">
        <v>12440261.689999999</v>
      </c>
      <c r="G411" s="36">
        <f t="shared" si="13"/>
        <v>-4031963.1900000013</v>
      </c>
      <c r="H411" s="36">
        <f t="shared" si="14"/>
        <v>-4031963.1900000013</v>
      </c>
      <c r="J411" s="16" t="s">
        <v>1022</v>
      </c>
    </row>
    <row r="412" spans="1:10" x14ac:dyDescent="0.35">
      <c r="A412" s="4" t="s">
        <v>15</v>
      </c>
      <c r="B412" s="47"/>
      <c r="C412" s="11" t="s">
        <v>322</v>
      </c>
      <c r="D412" s="9">
        <v>4058173.35</v>
      </c>
      <c r="E412" s="9">
        <v>4058173.35</v>
      </c>
      <c r="F412" s="9">
        <v>4058173.34</v>
      </c>
      <c r="G412" s="36">
        <f t="shared" si="13"/>
        <v>-1.0000000242143869E-2</v>
      </c>
      <c r="H412" s="36">
        <f t="shared" si="14"/>
        <v>-1.0000000242143869E-2</v>
      </c>
      <c r="J412" s="16" t="s">
        <v>1500</v>
      </c>
    </row>
    <row r="413" spans="1:10" x14ac:dyDescent="0.35">
      <c r="A413" s="4" t="s">
        <v>15</v>
      </c>
      <c r="B413" s="47"/>
      <c r="C413" s="11" t="s">
        <v>323</v>
      </c>
      <c r="D413" s="9">
        <v>0</v>
      </c>
      <c r="E413" s="9">
        <v>0</v>
      </c>
      <c r="F413" s="9">
        <v>2977092.04</v>
      </c>
      <c r="G413" s="36">
        <f t="shared" si="13"/>
        <v>2977092.04</v>
      </c>
      <c r="H413" s="36">
        <f t="shared" si="14"/>
        <v>2977092.04</v>
      </c>
      <c r="J413" s="16" t="s">
        <v>1043</v>
      </c>
    </row>
    <row r="414" spans="1:10" x14ac:dyDescent="0.35">
      <c r="A414" s="4" t="s">
        <v>15</v>
      </c>
      <c r="B414" s="47"/>
      <c r="C414" s="11" t="s">
        <v>321</v>
      </c>
      <c r="D414" s="9">
        <v>200000</v>
      </c>
      <c r="E414" s="9">
        <v>200000</v>
      </c>
      <c r="F414" s="9">
        <v>200000</v>
      </c>
      <c r="G414" s="36">
        <f t="shared" si="13"/>
        <v>0</v>
      </c>
      <c r="H414" s="36">
        <f t="shared" si="14"/>
        <v>0</v>
      </c>
      <c r="J414" s="16" t="e">
        <v>#N/A</v>
      </c>
    </row>
    <row r="415" spans="1:10" x14ac:dyDescent="0.35">
      <c r="A415" s="4" t="s">
        <v>15</v>
      </c>
      <c r="B415" s="47"/>
      <c r="C415" s="11" t="s">
        <v>324</v>
      </c>
      <c r="D415" s="9">
        <v>3105748.18</v>
      </c>
      <c r="E415" s="9">
        <v>3105748.18</v>
      </c>
      <c r="F415" s="9">
        <v>3105748.16</v>
      </c>
      <c r="G415" s="36">
        <f t="shared" si="13"/>
        <v>-2.0000000018626451E-2</v>
      </c>
      <c r="H415" s="36">
        <f t="shared" si="14"/>
        <v>-2.0000000018626451E-2</v>
      </c>
      <c r="J415" s="16" t="s">
        <v>1094</v>
      </c>
    </row>
    <row r="416" spans="1:10" x14ac:dyDescent="0.35">
      <c r="A416" s="4" t="s">
        <v>15</v>
      </c>
      <c r="B416" s="47"/>
      <c r="C416" s="11" t="s">
        <v>325</v>
      </c>
      <c r="D416" s="9">
        <v>10669833.720000001</v>
      </c>
      <c r="E416" s="9">
        <v>10669833.720000001</v>
      </c>
      <c r="F416" s="9">
        <v>10669833.699999999</v>
      </c>
      <c r="G416" s="36">
        <f t="shared" si="13"/>
        <v>-2.0000001415610313E-2</v>
      </c>
      <c r="H416" s="36">
        <f t="shared" si="14"/>
        <v>-2.0000001415610313E-2</v>
      </c>
      <c r="J416" s="16" t="s">
        <v>1070</v>
      </c>
    </row>
    <row r="417" spans="1:10" x14ac:dyDescent="0.35">
      <c r="A417" s="4" t="s">
        <v>15</v>
      </c>
      <c r="B417" s="47"/>
      <c r="C417" s="11" t="s">
        <v>407</v>
      </c>
      <c r="D417" s="9">
        <v>467603.53</v>
      </c>
      <c r="E417" s="9">
        <v>467603.53</v>
      </c>
      <c r="F417" s="9">
        <v>467603.51</v>
      </c>
      <c r="G417" s="36">
        <f t="shared" si="13"/>
        <v>-2.0000000018626451E-2</v>
      </c>
      <c r="H417" s="36">
        <f t="shared" si="14"/>
        <v>-2.0000000018626451E-2</v>
      </c>
      <c r="J417" s="16" t="s">
        <v>1034</v>
      </c>
    </row>
    <row r="418" spans="1:10" x14ac:dyDescent="0.35">
      <c r="A418" s="4" t="s">
        <v>15</v>
      </c>
      <c r="B418" s="47"/>
      <c r="C418" s="11" t="s">
        <v>408</v>
      </c>
      <c r="D418" s="9">
        <v>94168.92</v>
      </c>
      <c r="E418" s="9">
        <v>94168.92</v>
      </c>
      <c r="F418" s="9">
        <v>94168.9</v>
      </c>
      <c r="G418" s="36">
        <f t="shared" si="13"/>
        <v>-2.0000000004074536E-2</v>
      </c>
      <c r="H418" s="36">
        <f t="shared" si="14"/>
        <v>-2.0000000004074536E-2</v>
      </c>
      <c r="J418" s="16" t="s">
        <v>1501</v>
      </c>
    </row>
    <row r="419" spans="1:10" x14ac:dyDescent="0.35">
      <c r="A419" s="4" t="s">
        <v>15</v>
      </c>
      <c r="B419" s="47"/>
      <c r="C419" s="11" t="s">
        <v>409</v>
      </c>
      <c r="D419" s="9">
        <v>126707425.48999999</v>
      </c>
      <c r="E419" s="9">
        <v>126707425.48999999</v>
      </c>
      <c r="F419" s="9">
        <v>126707425.16</v>
      </c>
      <c r="G419" s="36">
        <f t="shared" ref="G419:G482" si="15">F419-E419</f>
        <v>-0.32999999821186066</v>
      </c>
      <c r="H419" s="36">
        <f t="shared" ref="H419:H482" si="16">F419-D419</f>
        <v>-0.32999999821186066</v>
      </c>
      <c r="J419" s="16" t="s">
        <v>1025</v>
      </c>
    </row>
    <row r="420" spans="1:10" x14ac:dyDescent="0.35">
      <c r="A420" s="4" t="s">
        <v>15</v>
      </c>
      <c r="B420" s="47"/>
      <c r="C420" s="11" t="s">
        <v>677</v>
      </c>
      <c r="D420" s="9"/>
      <c r="E420" s="9"/>
      <c r="F420" s="9">
        <v>0</v>
      </c>
      <c r="G420" s="36">
        <f t="shared" si="15"/>
        <v>0</v>
      </c>
      <c r="H420" s="36">
        <f t="shared" si="16"/>
        <v>0</v>
      </c>
      <c r="J420" s="16" t="s">
        <v>1088</v>
      </c>
    </row>
    <row r="421" spans="1:10" x14ac:dyDescent="0.35">
      <c r="A421" s="4" t="s">
        <v>15</v>
      </c>
      <c r="B421" s="47"/>
      <c r="C421" s="11" t="s">
        <v>346</v>
      </c>
      <c r="D421" s="9">
        <v>23343452.710000001</v>
      </c>
      <c r="E421" s="9">
        <v>23343452.710000001</v>
      </c>
      <c r="F421" s="9">
        <v>23343452.68</v>
      </c>
      <c r="G421" s="36">
        <f t="shared" si="15"/>
        <v>-3.0000001192092896E-2</v>
      </c>
      <c r="H421" s="36">
        <f t="shared" si="16"/>
        <v>-3.0000001192092896E-2</v>
      </c>
      <c r="J421" s="16" t="s">
        <v>1502</v>
      </c>
    </row>
    <row r="422" spans="1:10" x14ac:dyDescent="0.35">
      <c r="A422" s="4" t="s">
        <v>15</v>
      </c>
      <c r="B422" s="47"/>
      <c r="C422" s="11" t="s">
        <v>347</v>
      </c>
      <c r="D422" s="9">
        <v>420278.62</v>
      </c>
      <c r="E422" s="9">
        <v>420278.62</v>
      </c>
      <c r="F422" s="9">
        <v>420278.59</v>
      </c>
      <c r="G422" s="36">
        <f t="shared" si="15"/>
        <v>-2.9999999969732016E-2</v>
      </c>
      <c r="H422" s="36">
        <f t="shared" si="16"/>
        <v>-2.9999999969732016E-2</v>
      </c>
      <c r="J422" s="16" t="s">
        <v>1059</v>
      </c>
    </row>
    <row r="423" spans="1:10" x14ac:dyDescent="0.35">
      <c r="A423" s="4" t="s">
        <v>15</v>
      </c>
      <c r="B423" s="47"/>
      <c r="C423" s="11" t="s">
        <v>349</v>
      </c>
      <c r="D423" s="9">
        <v>45797959.950000003</v>
      </c>
      <c r="E423" s="9">
        <v>45797959.950000003</v>
      </c>
      <c r="F423" s="9">
        <v>45797959.380000003</v>
      </c>
      <c r="G423" s="36">
        <f t="shared" si="15"/>
        <v>-0.57000000029802322</v>
      </c>
      <c r="H423" s="36">
        <f t="shared" si="16"/>
        <v>-0.57000000029802322</v>
      </c>
      <c r="J423" s="16" t="s">
        <v>1029</v>
      </c>
    </row>
    <row r="424" spans="1:10" x14ac:dyDescent="0.35">
      <c r="A424" s="4" t="s">
        <v>15</v>
      </c>
      <c r="B424" s="47"/>
      <c r="C424" s="11" t="s">
        <v>348</v>
      </c>
      <c r="D424" s="9">
        <v>20634.77</v>
      </c>
      <c r="E424" s="9">
        <v>20634.77</v>
      </c>
      <c r="F424" s="9">
        <v>170369.25</v>
      </c>
      <c r="G424" s="36">
        <f t="shared" si="15"/>
        <v>149734.48000000001</v>
      </c>
      <c r="H424" s="36">
        <f t="shared" si="16"/>
        <v>149734.48000000001</v>
      </c>
      <c r="J424" s="16" t="s">
        <v>1060</v>
      </c>
    </row>
    <row r="425" spans="1:10" x14ac:dyDescent="0.35">
      <c r="A425" s="4" t="s">
        <v>15</v>
      </c>
      <c r="B425" s="47"/>
      <c r="C425" s="11" t="s">
        <v>350</v>
      </c>
      <c r="D425" s="9">
        <v>1000000</v>
      </c>
      <c r="E425" s="9">
        <v>1000000</v>
      </c>
      <c r="F425" s="9">
        <v>1000000</v>
      </c>
      <c r="G425" s="36">
        <f t="shared" si="15"/>
        <v>0</v>
      </c>
      <c r="H425" s="36">
        <f t="shared" si="16"/>
        <v>0</v>
      </c>
      <c r="J425" s="16" t="s">
        <v>1009</v>
      </c>
    </row>
    <row r="426" spans="1:10" x14ac:dyDescent="0.35">
      <c r="A426" s="4" t="s">
        <v>15</v>
      </c>
      <c r="B426" s="47"/>
      <c r="C426" s="11" t="s">
        <v>351</v>
      </c>
      <c r="D426" s="9">
        <v>422000</v>
      </c>
      <c r="E426" s="9">
        <v>422000</v>
      </c>
      <c r="F426" s="9">
        <v>422000</v>
      </c>
      <c r="G426" s="36">
        <f t="shared" si="15"/>
        <v>0</v>
      </c>
      <c r="H426" s="36">
        <f t="shared" si="16"/>
        <v>0</v>
      </c>
      <c r="J426" s="16" t="s">
        <v>1092</v>
      </c>
    </row>
    <row r="427" spans="1:10" x14ac:dyDescent="0.35">
      <c r="A427" s="4" t="s">
        <v>15</v>
      </c>
      <c r="B427" s="47"/>
      <c r="C427" s="11" t="s">
        <v>352</v>
      </c>
      <c r="D427" s="9">
        <v>358188.9</v>
      </c>
      <c r="E427" s="9">
        <v>358188.9</v>
      </c>
      <c r="F427" s="9">
        <v>234120.64</v>
      </c>
      <c r="G427" s="36">
        <f t="shared" si="15"/>
        <v>-124068.26000000001</v>
      </c>
      <c r="H427" s="36">
        <f t="shared" si="16"/>
        <v>-124068.26000000001</v>
      </c>
      <c r="J427" s="16" t="s">
        <v>1076</v>
      </c>
    </row>
    <row r="428" spans="1:10" x14ac:dyDescent="0.35">
      <c r="A428" s="4" t="s">
        <v>15</v>
      </c>
      <c r="B428" s="47"/>
      <c r="C428" s="11" t="s">
        <v>353</v>
      </c>
      <c r="D428" s="9">
        <v>2000000</v>
      </c>
      <c r="E428" s="9">
        <v>2000000</v>
      </c>
      <c r="F428" s="9">
        <v>2000000</v>
      </c>
      <c r="G428" s="36">
        <f t="shared" si="15"/>
        <v>0</v>
      </c>
      <c r="H428" s="36">
        <f t="shared" si="16"/>
        <v>0</v>
      </c>
      <c r="J428" s="16" t="s">
        <v>1503</v>
      </c>
    </row>
    <row r="429" spans="1:10" x14ac:dyDescent="0.35">
      <c r="A429" s="4" t="s">
        <v>15</v>
      </c>
      <c r="B429" s="47"/>
      <c r="C429" s="11" t="s">
        <v>354</v>
      </c>
      <c r="D429" s="9">
        <v>1836006.25</v>
      </c>
      <c r="E429" s="9">
        <v>1836006.25</v>
      </c>
      <c r="F429" s="9">
        <v>1836005.94</v>
      </c>
      <c r="G429" s="36">
        <f t="shared" si="15"/>
        <v>-0.31000000005587935</v>
      </c>
      <c r="H429" s="36">
        <f t="shared" si="16"/>
        <v>-0.31000000005587935</v>
      </c>
      <c r="J429" s="16" t="s">
        <v>1067</v>
      </c>
    </row>
    <row r="430" spans="1:10" x14ac:dyDescent="0.35">
      <c r="A430" s="4" t="s">
        <v>15</v>
      </c>
      <c r="B430" s="47"/>
      <c r="C430" s="11" t="s">
        <v>391</v>
      </c>
      <c r="D430" s="9">
        <v>6476647.5899999999</v>
      </c>
      <c r="E430" s="9">
        <v>6476647.5899999999</v>
      </c>
      <c r="F430" s="9">
        <v>6476647.4800000004</v>
      </c>
      <c r="G430" s="36">
        <f t="shared" si="15"/>
        <v>-0.10999999940395355</v>
      </c>
      <c r="H430" s="36">
        <f t="shared" si="16"/>
        <v>-0.10999999940395355</v>
      </c>
      <c r="J430" s="16" t="e">
        <v>#N/A</v>
      </c>
    </row>
    <row r="431" spans="1:10" x14ac:dyDescent="0.35">
      <c r="A431" s="4" t="s">
        <v>15</v>
      </c>
      <c r="B431" s="47"/>
      <c r="C431" s="11" t="s">
        <v>392</v>
      </c>
      <c r="D431" s="9">
        <v>6326865</v>
      </c>
      <c r="E431" s="9">
        <v>6326865</v>
      </c>
      <c r="F431" s="9">
        <v>6326864.9800000004</v>
      </c>
      <c r="G431" s="36">
        <f t="shared" si="15"/>
        <v>-1.9999999552965164E-2</v>
      </c>
      <c r="H431" s="36">
        <f t="shared" si="16"/>
        <v>-1.9999999552965164E-2</v>
      </c>
      <c r="J431" s="16" t="s">
        <v>1048</v>
      </c>
    </row>
    <row r="432" spans="1:10" x14ac:dyDescent="0.35">
      <c r="A432" s="4" t="s">
        <v>15</v>
      </c>
      <c r="B432" s="47"/>
      <c r="C432" s="11" t="s">
        <v>393</v>
      </c>
      <c r="D432" s="9">
        <v>1840171.97</v>
      </c>
      <c r="E432" s="9">
        <v>1840171.97</v>
      </c>
      <c r="F432" s="9">
        <v>1840171.94</v>
      </c>
      <c r="G432" s="36">
        <f t="shared" si="15"/>
        <v>-3.0000000027939677E-2</v>
      </c>
      <c r="H432" s="36">
        <f t="shared" si="16"/>
        <v>-3.0000000027939677E-2</v>
      </c>
      <c r="J432" s="16" t="s">
        <v>1504</v>
      </c>
    </row>
    <row r="433" spans="1:10" x14ac:dyDescent="0.35">
      <c r="A433" s="4" t="s">
        <v>15</v>
      </c>
      <c r="B433" s="47"/>
      <c r="C433" s="11" t="s">
        <v>398</v>
      </c>
      <c r="D433" s="9">
        <v>23497.89</v>
      </c>
      <c r="E433" s="9"/>
      <c r="F433" s="9"/>
      <c r="G433" s="36">
        <f t="shared" si="15"/>
        <v>0</v>
      </c>
      <c r="H433" s="36">
        <f t="shared" si="16"/>
        <v>-23497.89</v>
      </c>
      <c r="J433" s="16" t="s">
        <v>1108</v>
      </c>
    </row>
    <row r="434" spans="1:10" x14ac:dyDescent="0.35">
      <c r="A434" s="4" t="s">
        <v>15</v>
      </c>
      <c r="B434" s="47"/>
      <c r="C434" s="11" t="s">
        <v>395</v>
      </c>
      <c r="D434" s="9">
        <v>20000</v>
      </c>
      <c r="E434" s="9">
        <v>20000</v>
      </c>
      <c r="F434" s="9">
        <v>20000</v>
      </c>
      <c r="G434" s="36">
        <f t="shared" si="15"/>
        <v>0</v>
      </c>
      <c r="H434" s="36">
        <f t="shared" si="16"/>
        <v>0</v>
      </c>
      <c r="J434" s="16" t="s">
        <v>1505</v>
      </c>
    </row>
    <row r="435" spans="1:10" x14ac:dyDescent="0.35">
      <c r="A435" s="4" t="s">
        <v>15</v>
      </c>
      <c r="B435" s="47"/>
      <c r="C435" s="11" t="s">
        <v>394</v>
      </c>
      <c r="D435" s="9">
        <v>44201340.289999999</v>
      </c>
      <c r="E435" s="9">
        <v>44201340.289999999</v>
      </c>
      <c r="F435" s="9">
        <v>24920700.379999999</v>
      </c>
      <c r="G435" s="36">
        <f t="shared" si="15"/>
        <v>-19280639.91</v>
      </c>
      <c r="H435" s="36">
        <f t="shared" si="16"/>
        <v>-19280639.91</v>
      </c>
      <c r="J435" s="16" t="s">
        <v>1039</v>
      </c>
    </row>
    <row r="436" spans="1:10" x14ac:dyDescent="0.35">
      <c r="A436" s="4" t="s">
        <v>15</v>
      </c>
      <c r="B436" s="47"/>
      <c r="C436" s="11" t="s">
        <v>396</v>
      </c>
      <c r="D436" s="9">
        <v>1512000</v>
      </c>
      <c r="E436" s="9">
        <v>1512000</v>
      </c>
      <c r="F436" s="9">
        <v>1512000</v>
      </c>
      <c r="G436" s="36">
        <f t="shared" si="15"/>
        <v>0</v>
      </c>
      <c r="H436" s="36">
        <f t="shared" si="16"/>
        <v>0</v>
      </c>
      <c r="J436" s="16" t="s">
        <v>1008</v>
      </c>
    </row>
    <row r="437" spans="1:10" x14ac:dyDescent="0.35">
      <c r="A437" s="4" t="s">
        <v>15</v>
      </c>
      <c r="B437" s="47"/>
      <c r="C437" s="11" t="s">
        <v>397</v>
      </c>
      <c r="D437" s="9">
        <v>60000</v>
      </c>
      <c r="E437" s="9">
        <v>60000</v>
      </c>
      <c r="F437" s="9">
        <v>60000</v>
      </c>
      <c r="G437" s="36">
        <f t="shared" si="15"/>
        <v>0</v>
      </c>
      <c r="H437" s="36">
        <f t="shared" si="16"/>
        <v>0</v>
      </c>
      <c r="J437" s="16" t="s">
        <v>1093</v>
      </c>
    </row>
    <row r="438" spans="1:10" x14ac:dyDescent="0.35">
      <c r="A438" s="4" t="s">
        <v>15</v>
      </c>
      <c r="B438" s="47"/>
      <c r="C438" s="11" t="s">
        <v>399</v>
      </c>
      <c r="D438" s="9">
        <v>185008496.65000001</v>
      </c>
      <c r="E438" s="9">
        <v>185008496.65000001</v>
      </c>
      <c r="F438" s="9">
        <v>185008496.59999999</v>
      </c>
      <c r="G438" s="36">
        <f t="shared" si="15"/>
        <v>-5.0000011920928955E-2</v>
      </c>
      <c r="H438" s="36">
        <f t="shared" si="16"/>
        <v>-5.0000011920928955E-2</v>
      </c>
      <c r="J438" s="16" t="s">
        <v>1023</v>
      </c>
    </row>
    <row r="439" spans="1:10" x14ac:dyDescent="0.35">
      <c r="A439" s="4" t="s">
        <v>15</v>
      </c>
      <c r="B439" s="47"/>
      <c r="C439" s="11" t="s">
        <v>400</v>
      </c>
      <c r="D439" s="9">
        <v>12547000</v>
      </c>
      <c r="E439" s="9">
        <v>12547000</v>
      </c>
      <c r="F439" s="9">
        <v>12547000</v>
      </c>
      <c r="G439" s="36">
        <f t="shared" si="15"/>
        <v>0</v>
      </c>
      <c r="H439" s="36">
        <f t="shared" si="16"/>
        <v>0</v>
      </c>
      <c r="J439" s="16" t="s">
        <v>1062</v>
      </c>
    </row>
    <row r="440" spans="1:10" x14ac:dyDescent="0.35">
      <c r="A440" s="4" t="s">
        <v>15</v>
      </c>
      <c r="B440" s="47"/>
      <c r="C440" s="11" t="s">
        <v>355</v>
      </c>
      <c r="D440" s="9">
        <v>82729618.400000006</v>
      </c>
      <c r="E440" s="9">
        <v>82729618.400000006</v>
      </c>
      <c r="F440" s="9">
        <v>82729616.409999996</v>
      </c>
      <c r="G440" s="36">
        <f t="shared" si="15"/>
        <v>-1.9900000095367432</v>
      </c>
      <c r="H440" s="36">
        <f t="shared" si="16"/>
        <v>-1.9900000095367432</v>
      </c>
      <c r="J440" s="16" t="s">
        <v>1046</v>
      </c>
    </row>
    <row r="441" spans="1:10" x14ac:dyDescent="0.35">
      <c r="A441" s="4" t="s">
        <v>15</v>
      </c>
      <c r="B441" s="47"/>
      <c r="C441" s="11" t="s">
        <v>356</v>
      </c>
      <c r="D441" s="9">
        <v>0</v>
      </c>
      <c r="E441" s="9">
        <v>0</v>
      </c>
      <c r="F441" s="9">
        <v>8684.94</v>
      </c>
      <c r="G441" s="36">
        <f t="shared" si="15"/>
        <v>8684.94</v>
      </c>
      <c r="H441" s="36">
        <f t="shared" si="16"/>
        <v>8684.94</v>
      </c>
      <c r="J441" s="16" t="s">
        <v>1040</v>
      </c>
    </row>
    <row r="442" spans="1:10" x14ac:dyDescent="0.35">
      <c r="A442" s="4" t="s">
        <v>15</v>
      </c>
      <c r="B442" s="47"/>
      <c r="C442" s="11" t="s">
        <v>401</v>
      </c>
      <c r="D442" s="9">
        <v>16372169.539999999</v>
      </c>
      <c r="E442" s="9">
        <v>16372169.539999999</v>
      </c>
      <c r="F442" s="9">
        <v>16372168.880000001</v>
      </c>
      <c r="G442" s="36">
        <f t="shared" si="15"/>
        <v>-0.65999999828636646</v>
      </c>
      <c r="H442" s="36">
        <f t="shared" si="16"/>
        <v>-0.65999999828636646</v>
      </c>
      <c r="J442" s="16" t="s">
        <v>1063</v>
      </c>
    </row>
    <row r="443" spans="1:10" x14ac:dyDescent="0.35">
      <c r="A443" s="4" t="s">
        <v>15</v>
      </c>
      <c r="B443" s="47"/>
      <c r="C443" s="11" t="s">
        <v>402</v>
      </c>
      <c r="D443" s="9">
        <v>194160.92</v>
      </c>
      <c r="E443" s="9">
        <v>194160.92</v>
      </c>
      <c r="F443" s="9">
        <v>3978033.51</v>
      </c>
      <c r="G443" s="36">
        <f t="shared" si="15"/>
        <v>3783872.59</v>
      </c>
      <c r="H443" s="36">
        <f t="shared" si="16"/>
        <v>3783872.59</v>
      </c>
      <c r="J443" s="16" t="s">
        <v>1055</v>
      </c>
    </row>
    <row r="444" spans="1:10" x14ac:dyDescent="0.35">
      <c r="A444" s="4" t="s">
        <v>15</v>
      </c>
      <c r="B444" s="47"/>
      <c r="C444" s="11" t="s">
        <v>405</v>
      </c>
      <c r="D444" s="9">
        <v>926714.54</v>
      </c>
      <c r="E444" s="9">
        <v>926714.54</v>
      </c>
      <c r="F444" s="9"/>
      <c r="G444" s="36">
        <f t="shared" si="15"/>
        <v>-926714.54</v>
      </c>
      <c r="H444" s="36">
        <f t="shared" si="16"/>
        <v>-926714.54</v>
      </c>
      <c r="J444" s="16" t="s">
        <v>1506</v>
      </c>
    </row>
    <row r="445" spans="1:10" x14ac:dyDescent="0.35">
      <c r="A445" s="4" t="s">
        <v>15</v>
      </c>
      <c r="B445" s="47"/>
      <c r="C445" s="11" t="s">
        <v>403</v>
      </c>
      <c r="D445" s="9">
        <v>100000</v>
      </c>
      <c r="E445" s="9">
        <v>100000</v>
      </c>
      <c r="F445" s="9">
        <v>100000</v>
      </c>
      <c r="G445" s="36">
        <f t="shared" si="15"/>
        <v>0</v>
      </c>
      <c r="H445" s="36">
        <f t="shared" si="16"/>
        <v>0</v>
      </c>
      <c r="J445" s="16" t="s">
        <v>1507</v>
      </c>
    </row>
    <row r="446" spans="1:10" x14ac:dyDescent="0.35">
      <c r="A446" s="4" t="s">
        <v>15</v>
      </c>
      <c r="B446" s="47"/>
      <c r="C446" s="11" t="s">
        <v>404</v>
      </c>
      <c r="D446" s="9">
        <v>25748876.199999999</v>
      </c>
      <c r="E446" s="9">
        <v>25748876.199999999</v>
      </c>
      <c r="F446" s="9">
        <v>25748876.190000001</v>
      </c>
      <c r="G446" s="36">
        <f t="shared" si="15"/>
        <v>-9.9999979138374329E-3</v>
      </c>
      <c r="H446" s="36">
        <f t="shared" si="16"/>
        <v>-9.9999979138374329E-3</v>
      </c>
      <c r="J446" s="16" t="s">
        <v>1045</v>
      </c>
    </row>
    <row r="447" spans="1:10" x14ac:dyDescent="0.35">
      <c r="A447" s="4" t="s">
        <v>15</v>
      </c>
      <c r="B447" s="47"/>
      <c r="C447" s="11" t="s">
        <v>357</v>
      </c>
      <c r="D447" s="9">
        <v>27175</v>
      </c>
      <c r="E447" s="9">
        <v>27175</v>
      </c>
      <c r="F447" s="9">
        <v>27175</v>
      </c>
      <c r="G447" s="36">
        <f t="shared" si="15"/>
        <v>0</v>
      </c>
      <c r="H447" s="36">
        <f t="shared" si="16"/>
        <v>0</v>
      </c>
      <c r="J447" s="16" t="s">
        <v>1077</v>
      </c>
    </row>
    <row r="448" spans="1:10" x14ac:dyDescent="0.35">
      <c r="A448" s="4" t="s">
        <v>15</v>
      </c>
      <c r="B448" s="47"/>
      <c r="C448" s="11" t="s">
        <v>358</v>
      </c>
      <c r="D448" s="9">
        <v>18967.71</v>
      </c>
      <c r="E448" s="9">
        <v>18967.71</v>
      </c>
      <c r="F448" s="9">
        <v>21139.33</v>
      </c>
      <c r="G448" s="36">
        <f t="shared" si="15"/>
        <v>2171.6200000000026</v>
      </c>
      <c r="H448" s="36">
        <f t="shared" si="16"/>
        <v>2171.6200000000026</v>
      </c>
      <c r="J448" s="16" t="s">
        <v>1508</v>
      </c>
    </row>
    <row r="449" spans="1:10" x14ac:dyDescent="0.35">
      <c r="A449" s="4" t="s">
        <v>15</v>
      </c>
      <c r="B449" s="47"/>
      <c r="C449" s="11" t="s">
        <v>361</v>
      </c>
      <c r="D449" s="9">
        <v>73345.25</v>
      </c>
      <c r="E449" s="9"/>
      <c r="F449" s="9"/>
      <c r="G449" s="36">
        <f t="shared" si="15"/>
        <v>0</v>
      </c>
      <c r="H449" s="36">
        <f t="shared" si="16"/>
        <v>-73345.25</v>
      </c>
      <c r="J449" s="16" t="s">
        <v>1109</v>
      </c>
    </row>
    <row r="450" spans="1:10" x14ac:dyDescent="0.35">
      <c r="A450" s="4" t="s">
        <v>15</v>
      </c>
      <c r="B450" s="47"/>
      <c r="C450" s="11" t="s">
        <v>359</v>
      </c>
      <c r="D450" s="9">
        <v>245370</v>
      </c>
      <c r="E450" s="9">
        <v>245370</v>
      </c>
      <c r="F450" s="9">
        <v>245370</v>
      </c>
      <c r="G450" s="36">
        <f t="shared" si="15"/>
        <v>0</v>
      </c>
      <c r="H450" s="36">
        <f t="shared" si="16"/>
        <v>0</v>
      </c>
      <c r="J450" s="16" t="s">
        <v>1086</v>
      </c>
    </row>
    <row r="451" spans="1:10" x14ac:dyDescent="0.35">
      <c r="A451" s="4" t="s">
        <v>15</v>
      </c>
      <c r="B451" s="47"/>
      <c r="C451" s="11" t="s">
        <v>360</v>
      </c>
      <c r="D451" s="9">
        <v>5631647.0999999996</v>
      </c>
      <c r="E451" s="9">
        <v>5631647.0999999996</v>
      </c>
      <c r="F451" s="9">
        <v>2654554.63</v>
      </c>
      <c r="G451" s="36">
        <f t="shared" si="15"/>
        <v>-2977092.4699999997</v>
      </c>
      <c r="H451" s="36">
        <f t="shared" si="16"/>
        <v>-2977092.4699999997</v>
      </c>
      <c r="J451" s="16" t="s">
        <v>1044</v>
      </c>
    </row>
    <row r="452" spans="1:10" x14ac:dyDescent="0.35">
      <c r="A452" s="4" t="s">
        <v>15</v>
      </c>
      <c r="B452" s="47"/>
      <c r="C452" s="11" t="s">
        <v>406</v>
      </c>
      <c r="D452" s="9">
        <v>204314223.43000001</v>
      </c>
      <c r="E452" s="9">
        <v>204314223.43000001</v>
      </c>
      <c r="F452" s="9">
        <v>204314223.38999999</v>
      </c>
      <c r="G452" s="36">
        <f t="shared" si="15"/>
        <v>-4.0000021457672119E-2</v>
      </c>
      <c r="H452" s="36">
        <f t="shared" si="16"/>
        <v>-4.0000021457672119E-2</v>
      </c>
      <c r="J452" s="16" t="s">
        <v>1014</v>
      </c>
    </row>
    <row r="453" spans="1:10" x14ac:dyDescent="0.35">
      <c r="A453" s="4" t="s">
        <v>15</v>
      </c>
      <c r="B453" s="47"/>
      <c r="C453" s="11" t="s">
        <v>362</v>
      </c>
      <c r="D453" s="9">
        <v>27526.05</v>
      </c>
      <c r="E453" s="9">
        <v>27526.05</v>
      </c>
      <c r="F453" s="9">
        <v>27526.04</v>
      </c>
      <c r="G453" s="36">
        <f t="shared" si="15"/>
        <v>-9.9999999983992893E-3</v>
      </c>
      <c r="H453" s="36">
        <f t="shared" si="16"/>
        <v>-9.9999999983992893E-3</v>
      </c>
      <c r="J453" s="16" t="s">
        <v>1074</v>
      </c>
    </row>
    <row r="454" spans="1:10" x14ac:dyDescent="0.35">
      <c r="A454" s="4" t="s">
        <v>15</v>
      </c>
      <c r="B454" s="47"/>
      <c r="C454" s="11" t="s">
        <v>363</v>
      </c>
      <c r="D454" s="9">
        <v>47781259.289999999</v>
      </c>
      <c r="E454" s="9">
        <v>47781259.289999999</v>
      </c>
      <c r="F454" s="9">
        <v>47781258.689999998</v>
      </c>
      <c r="G454" s="36">
        <f t="shared" si="15"/>
        <v>-0.60000000149011612</v>
      </c>
      <c r="H454" s="36">
        <f t="shared" si="16"/>
        <v>-0.60000000149011612</v>
      </c>
      <c r="J454" s="16" t="s">
        <v>1014</v>
      </c>
    </row>
    <row r="455" spans="1:10" x14ac:dyDescent="0.35">
      <c r="A455" s="4" t="s">
        <v>15</v>
      </c>
      <c r="B455" s="47"/>
      <c r="C455" s="11" t="s">
        <v>364</v>
      </c>
      <c r="D455" s="9">
        <v>11443000</v>
      </c>
      <c r="E455" s="9">
        <v>11443000</v>
      </c>
      <c r="F455" s="9">
        <v>11443000</v>
      </c>
      <c r="G455" s="36">
        <f t="shared" si="15"/>
        <v>0</v>
      </c>
      <c r="H455" s="36">
        <f t="shared" si="16"/>
        <v>0</v>
      </c>
      <c r="J455" s="16" t="s">
        <v>1509</v>
      </c>
    </row>
    <row r="456" spans="1:10" x14ac:dyDescent="0.35">
      <c r="A456" s="4" t="s">
        <v>15</v>
      </c>
      <c r="B456" s="47"/>
      <c r="C456" s="11" t="s">
        <v>386</v>
      </c>
      <c r="D456" s="9">
        <v>0</v>
      </c>
      <c r="E456" s="9">
        <v>0</v>
      </c>
      <c r="F456" s="9">
        <v>11095.67</v>
      </c>
      <c r="G456" s="36">
        <f t="shared" si="15"/>
        <v>11095.67</v>
      </c>
      <c r="H456" s="36">
        <f t="shared" si="16"/>
        <v>11095.67</v>
      </c>
      <c r="J456" s="16" t="s">
        <v>1099</v>
      </c>
    </row>
    <row r="457" spans="1:10" x14ac:dyDescent="0.35">
      <c r="A457" s="4" t="s">
        <v>15</v>
      </c>
      <c r="B457" s="47"/>
      <c r="C457" s="11" t="s">
        <v>387</v>
      </c>
      <c r="D457" s="9">
        <v>19501545.800000001</v>
      </c>
      <c r="E457" s="9">
        <v>19501545.800000001</v>
      </c>
      <c r="F457" s="9">
        <v>19501545.199999999</v>
      </c>
      <c r="G457" s="36">
        <f t="shared" si="15"/>
        <v>-0.60000000149011612</v>
      </c>
      <c r="H457" s="36">
        <f t="shared" si="16"/>
        <v>-0.60000000149011612</v>
      </c>
      <c r="J457" s="16" t="s">
        <v>1049</v>
      </c>
    </row>
    <row r="458" spans="1:10" x14ac:dyDescent="0.35">
      <c r="A458" s="4" t="s">
        <v>15</v>
      </c>
      <c r="B458" s="47"/>
      <c r="C458" s="11" t="s">
        <v>309</v>
      </c>
      <c r="D458" s="9">
        <v>73121390.450000003</v>
      </c>
      <c r="E458" s="9">
        <v>73121390.450000003</v>
      </c>
      <c r="F458" s="9">
        <v>73121390.319999993</v>
      </c>
      <c r="G458" s="36">
        <f t="shared" si="15"/>
        <v>-0.13000001013278961</v>
      </c>
      <c r="H458" s="36">
        <f t="shared" si="16"/>
        <v>-0.13000001013278961</v>
      </c>
      <c r="J458" s="16" t="s">
        <v>1068</v>
      </c>
    </row>
    <row r="459" spans="1:10" x14ac:dyDescent="0.35">
      <c r="A459" s="4" t="s">
        <v>15</v>
      </c>
      <c r="B459" s="47"/>
      <c r="C459" s="11" t="s">
        <v>311</v>
      </c>
      <c r="D459" s="9">
        <v>12887017.43</v>
      </c>
      <c r="E459" s="9">
        <v>12887017.43</v>
      </c>
      <c r="F459" s="9">
        <v>12887017.33</v>
      </c>
      <c r="G459" s="36">
        <f t="shared" si="15"/>
        <v>-9.999999962747097E-2</v>
      </c>
      <c r="H459" s="36">
        <f t="shared" si="16"/>
        <v>-9.999999962747097E-2</v>
      </c>
      <c r="J459" s="16" t="s">
        <v>1065</v>
      </c>
    </row>
    <row r="460" spans="1:10" x14ac:dyDescent="0.35">
      <c r="A460" s="4" t="s">
        <v>15</v>
      </c>
      <c r="B460" s="47"/>
      <c r="C460" s="11" t="s">
        <v>310</v>
      </c>
      <c r="D460" s="9">
        <v>567802.86</v>
      </c>
      <c r="E460" s="9">
        <v>567802.86</v>
      </c>
      <c r="F460" s="9">
        <v>418068.35</v>
      </c>
      <c r="G460" s="36">
        <f t="shared" si="15"/>
        <v>-149734.51</v>
      </c>
      <c r="H460" s="36">
        <f t="shared" si="16"/>
        <v>-149734.51</v>
      </c>
      <c r="J460" s="16" t="s">
        <v>1061</v>
      </c>
    </row>
    <row r="461" spans="1:10" x14ac:dyDescent="0.35">
      <c r="A461" s="4" t="s">
        <v>15</v>
      </c>
      <c r="B461" s="47"/>
      <c r="C461" s="11" t="s">
        <v>312</v>
      </c>
      <c r="D461" s="9">
        <v>3170518.61</v>
      </c>
      <c r="E461" s="9">
        <v>3170518.61</v>
      </c>
      <c r="F461" s="9">
        <v>3170518.6</v>
      </c>
      <c r="G461" s="36">
        <f t="shared" si="15"/>
        <v>-9.9999997764825821E-3</v>
      </c>
      <c r="H461" s="36">
        <f t="shared" si="16"/>
        <v>-9.9999997764825821E-3</v>
      </c>
      <c r="J461" s="16" t="s">
        <v>1078</v>
      </c>
    </row>
    <row r="462" spans="1:10" x14ac:dyDescent="0.35">
      <c r="A462" s="4" t="s">
        <v>15</v>
      </c>
      <c r="B462" s="47"/>
      <c r="C462" s="11" t="s">
        <v>317</v>
      </c>
      <c r="D462" s="9">
        <v>2171.64</v>
      </c>
      <c r="E462" s="9">
        <v>2171.64</v>
      </c>
      <c r="F462" s="9"/>
      <c r="G462" s="36">
        <f t="shared" si="15"/>
        <v>-2171.64</v>
      </c>
      <c r="H462" s="36">
        <f t="shared" si="16"/>
        <v>-2171.64</v>
      </c>
      <c r="J462" s="16" t="s">
        <v>1510</v>
      </c>
    </row>
    <row r="463" spans="1:10" x14ac:dyDescent="0.35">
      <c r="A463" s="4" t="s">
        <v>15</v>
      </c>
      <c r="B463" s="47"/>
      <c r="C463" s="11" t="s">
        <v>313</v>
      </c>
      <c r="D463" s="9">
        <v>7109647.46</v>
      </c>
      <c r="E463" s="9">
        <v>7109647.46</v>
      </c>
      <c r="F463" s="9">
        <v>7109647.2999999998</v>
      </c>
      <c r="G463" s="36">
        <f t="shared" si="15"/>
        <v>-0.16000000014901161</v>
      </c>
      <c r="H463" s="36">
        <f t="shared" si="16"/>
        <v>-0.16000000014901161</v>
      </c>
      <c r="J463" s="16" t="s">
        <v>1052</v>
      </c>
    </row>
    <row r="464" spans="1:10" x14ac:dyDescent="0.35">
      <c r="A464" s="4" t="s">
        <v>15</v>
      </c>
      <c r="B464" s="47"/>
      <c r="C464" s="11" t="s">
        <v>314</v>
      </c>
      <c r="D464" s="9">
        <v>7805.36</v>
      </c>
      <c r="E464" s="9">
        <v>7805.36</v>
      </c>
      <c r="F464" s="9">
        <v>121399.32</v>
      </c>
      <c r="G464" s="36">
        <f t="shared" si="15"/>
        <v>113593.96</v>
      </c>
      <c r="H464" s="36">
        <f t="shared" si="16"/>
        <v>113593.96</v>
      </c>
      <c r="J464" s="16" t="s">
        <v>1089</v>
      </c>
    </row>
    <row r="465" spans="1:10" x14ac:dyDescent="0.35">
      <c r="A465" s="4" t="s">
        <v>15</v>
      </c>
      <c r="B465" s="47"/>
      <c r="C465" s="11" t="s">
        <v>315</v>
      </c>
      <c r="D465" s="9">
        <v>1096338.55</v>
      </c>
      <c r="E465" s="9">
        <v>1096338.55</v>
      </c>
      <c r="F465" s="9">
        <v>1096338.52</v>
      </c>
      <c r="G465" s="36">
        <f t="shared" si="15"/>
        <v>-3.0000000027939677E-2</v>
      </c>
      <c r="H465" s="36">
        <f t="shared" si="16"/>
        <v>-3.0000000027939677E-2</v>
      </c>
      <c r="J465" s="16" t="s">
        <v>1072</v>
      </c>
    </row>
    <row r="466" spans="1:10" x14ac:dyDescent="0.35">
      <c r="A466" s="4" t="s">
        <v>15</v>
      </c>
      <c r="B466" s="47"/>
      <c r="C466" s="11" t="s">
        <v>316</v>
      </c>
      <c r="D466" s="9">
        <v>31000000</v>
      </c>
      <c r="E466" s="9">
        <v>31000000</v>
      </c>
      <c r="F466" s="9">
        <v>31000000</v>
      </c>
      <c r="G466" s="36">
        <f t="shared" si="15"/>
        <v>0</v>
      </c>
      <c r="H466" s="36">
        <f t="shared" si="16"/>
        <v>0</v>
      </c>
      <c r="J466" s="16" t="s">
        <v>1011</v>
      </c>
    </row>
    <row r="467" spans="1:10" x14ac:dyDescent="0.35">
      <c r="A467" s="4" t="s">
        <v>15</v>
      </c>
      <c r="B467" s="47"/>
      <c r="C467" s="11" t="s">
        <v>327</v>
      </c>
      <c r="D467" s="9">
        <v>155713403.74000001</v>
      </c>
      <c r="E467" s="9">
        <v>155713403.74000001</v>
      </c>
      <c r="F467" s="9">
        <v>70001558.659999996</v>
      </c>
      <c r="G467" s="36">
        <f t="shared" si="15"/>
        <v>-85711845.080000013</v>
      </c>
      <c r="H467" s="36">
        <f t="shared" si="16"/>
        <v>-85711845.080000013</v>
      </c>
      <c r="J467" s="16" t="s">
        <v>1019</v>
      </c>
    </row>
    <row r="468" spans="1:10" x14ac:dyDescent="0.35">
      <c r="A468" s="4" t="s">
        <v>15</v>
      </c>
      <c r="B468" s="47"/>
      <c r="C468" s="11" t="s">
        <v>326</v>
      </c>
      <c r="D468" s="9">
        <v>29609415.41</v>
      </c>
      <c r="E468" s="9"/>
      <c r="F468" s="9">
        <v>29609415.359999999</v>
      </c>
      <c r="G468" s="36">
        <f t="shared" si="15"/>
        <v>29609415.359999999</v>
      </c>
      <c r="H468" s="36">
        <f t="shared" si="16"/>
        <v>-5.000000074505806E-2</v>
      </c>
      <c r="J468" s="16" t="s">
        <v>1511</v>
      </c>
    </row>
    <row r="469" spans="1:10" x14ac:dyDescent="0.35">
      <c r="A469" s="4" t="s">
        <v>15</v>
      </c>
      <c r="B469" s="47"/>
      <c r="C469" s="11" t="s">
        <v>328</v>
      </c>
      <c r="D469" s="9">
        <v>18939581.890000001</v>
      </c>
      <c r="E469" s="9">
        <v>18939581.890000001</v>
      </c>
      <c r="F469" s="9">
        <v>18939581.82</v>
      </c>
      <c r="G469" s="36">
        <f t="shared" si="15"/>
        <v>-7.0000000298023224E-2</v>
      </c>
      <c r="H469" s="36">
        <f t="shared" si="16"/>
        <v>-7.0000000298023224E-2</v>
      </c>
      <c r="J469" s="16" t="s">
        <v>1512</v>
      </c>
    </row>
    <row r="470" spans="1:10" x14ac:dyDescent="0.35">
      <c r="A470" s="4" t="s">
        <v>15</v>
      </c>
      <c r="B470" s="2"/>
      <c r="C470" s="29" t="s">
        <v>529</v>
      </c>
      <c r="D470" s="28">
        <f>SUM(D367:D469)</f>
        <v>3241256963.2099996</v>
      </c>
      <c r="E470" s="28">
        <f>SUM(E367:E469)</f>
        <v>3192347181.1100001</v>
      </c>
      <c r="F470" s="28">
        <f>SUM(F367:F469)</f>
        <v>3221956579.8300004</v>
      </c>
      <c r="G470" s="36">
        <f t="shared" si="15"/>
        <v>29609398.720000267</v>
      </c>
      <c r="H470" s="36">
        <f t="shared" si="16"/>
        <v>-19300383.379999161</v>
      </c>
      <c r="J470" s="16" t="e">
        <v>#N/A</v>
      </c>
    </row>
    <row r="471" spans="1:10" x14ac:dyDescent="0.35">
      <c r="A471" s="4" t="s">
        <v>16</v>
      </c>
      <c r="B471" s="47" t="s">
        <v>34</v>
      </c>
      <c r="C471" s="11" t="s">
        <v>412</v>
      </c>
      <c r="D471" s="9">
        <v>19353.59</v>
      </c>
      <c r="E471" s="9">
        <v>19353.59</v>
      </c>
      <c r="F471" s="9">
        <v>19353.580000000002</v>
      </c>
      <c r="G471" s="36">
        <f t="shared" si="15"/>
        <v>-9.9999999983992893E-3</v>
      </c>
      <c r="H471" s="36">
        <f t="shared" si="16"/>
        <v>-9.9999999983992893E-3</v>
      </c>
      <c r="J471" s="16" t="s">
        <v>1147</v>
      </c>
    </row>
    <row r="472" spans="1:10" x14ac:dyDescent="0.35">
      <c r="A472" s="4" t="s">
        <v>16</v>
      </c>
      <c r="B472" s="47"/>
      <c r="C472" s="11" t="s">
        <v>414</v>
      </c>
      <c r="D472" s="9">
        <v>13034.46</v>
      </c>
      <c r="E472" s="9">
        <v>13034.46</v>
      </c>
      <c r="F472" s="9">
        <v>13034.45</v>
      </c>
      <c r="G472" s="36">
        <f t="shared" si="15"/>
        <v>-9.9999999983992893E-3</v>
      </c>
      <c r="H472" s="36">
        <f t="shared" si="16"/>
        <v>-9.9999999983992893E-3</v>
      </c>
      <c r="J472" s="16" t="s">
        <v>1140</v>
      </c>
    </row>
    <row r="473" spans="1:10" x14ac:dyDescent="0.35">
      <c r="A473" s="4" t="s">
        <v>16</v>
      </c>
      <c r="B473" s="47"/>
      <c r="C473" s="11" t="s">
        <v>415</v>
      </c>
      <c r="D473" s="9">
        <v>1534570.56</v>
      </c>
      <c r="E473" s="9">
        <v>1534570.56</v>
      </c>
      <c r="F473" s="9">
        <v>1534570.5</v>
      </c>
      <c r="G473" s="36">
        <f t="shared" si="15"/>
        <v>-6.0000000055879354E-2</v>
      </c>
      <c r="H473" s="36">
        <f t="shared" si="16"/>
        <v>-6.0000000055879354E-2</v>
      </c>
      <c r="J473" s="16" t="s">
        <v>1142</v>
      </c>
    </row>
    <row r="474" spans="1:10" x14ac:dyDescent="0.35">
      <c r="A474" s="4" t="s">
        <v>16</v>
      </c>
      <c r="B474" s="47"/>
      <c r="C474" s="11" t="s">
        <v>410</v>
      </c>
      <c r="D474" s="9">
        <v>71818.070000000007</v>
      </c>
      <c r="E474" s="9">
        <v>71818.070000000007</v>
      </c>
      <c r="F474" s="9">
        <v>71818.039999999994</v>
      </c>
      <c r="G474" s="36">
        <f t="shared" si="15"/>
        <v>-3.0000000013387762E-2</v>
      </c>
      <c r="H474" s="36">
        <f t="shared" si="16"/>
        <v>-3.0000000013387762E-2</v>
      </c>
      <c r="J474" s="16" t="s">
        <v>1138</v>
      </c>
    </row>
    <row r="475" spans="1:10" x14ac:dyDescent="0.35">
      <c r="A475" s="4" t="s">
        <v>16</v>
      </c>
      <c r="B475" s="47"/>
      <c r="C475" s="11" t="s">
        <v>411</v>
      </c>
      <c r="D475" s="9">
        <v>50914.63</v>
      </c>
      <c r="E475" s="9"/>
      <c r="F475" s="9"/>
      <c r="G475" s="36">
        <f t="shared" si="15"/>
        <v>0</v>
      </c>
      <c r="H475" s="36">
        <f t="shared" si="16"/>
        <v>-50914.63</v>
      </c>
      <c r="J475" s="16" t="s">
        <v>1201</v>
      </c>
    </row>
    <row r="476" spans="1:10" x14ac:dyDescent="0.35">
      <c r="A476" s="4" t="s">
        <v>16</v>
      </c>
      <c r="B476" s="47"/>
      <c r="C476" s="11" t="s">
        <v>413</v>
      </c>
      <c r="D476" s="9">
        <v>44443.59</v>
      </c>
      <c r="E476" s="9">
        <v>44443.59</v>
      </c>
      <c r="F476" s="9">
        <v>44443.58</v>
      </c>
      <c r="G476" s="36">
        <f t="shared" si="15"/>
        <v>-9.9999999947613105E-3</v>
      </c>
      <c r="H476" s="36">
        <f t="shared" si="16"/>
        <v>-9.9999999947613105E-3</v>
      </c>
      <c r="J476" s="16" t="s">
        <v>1182</v>
      </c>
    </row>
    <row r="477" spans="1:10" x14ac:dyDescent="0.35">
      <c r="A477" s="4" t="s">
        <v>16</v>
      </c>
      <c r="B477" s="2"/>
      <c r="C477" s="29" t="s">
        <v>529</v>
      </c>
      <c r="D477" s="28">
        <f>SUM(D471:D476)</f>
        <v>1734134.9000000001</v>
      </c>
      <c r="E477" s="28">
        <f>SUM(E471:E476)</f>
        <v>1683220.2700000003</v>
      </c>
      <c r="F477" s="28">
        <f>SUM(F471:F476)</f>
        <v>1683220.1500000001</v>
      </c>
      <c r="G477" s="36">
        <f t="shared" si="15"/>
        <v>-0.12000000011175871</v>
      </c>
      <c r="H477" s="36">
        <f t="shared" si="16"/>
        <v>-50914.75</v>
      </c>
      <c r="J477" s="16" t="e">
        <v>#N/A</v>
      </c>
    </row>
    <row r="478" spans="1:10" x14ac:dyDescent="0.35">
      <c r="A478" s="4" t="s">
        <v>17</v>
      </c>
      <c r="B478" s="14" t="s">
        <v>35</v>
      </c>
      <c r="C478" s="11"/>
      <c r="D478" s="9"/>
      <c r="E478" s="9"/>
      <c r="F478" s="9"/>
      <c r="G478" s="36">
        <f t="shared" si="15"/>
        <v>0</v>
      </c>
      <c r="H478" s="36">
        <f t="shared" si="16"/>
        <v>0</v>
      </c>
      <c r="J478" s="16" t="e">
        <v>#N/A</v>
      </c>
    </row>
    <row r="479" spans="1:10" x14ac:dyDescent="0.35">
      <c r="A479" s="4" t="s">
        <v>18</v>
      </c>
      <c r="B479" s="14" t="s">
        <v>36</v>
      </c>
      <c r="C479" s="11"/>
      <c r="D479" s="9"/>
      <c r="E479" s="9"/>
      <c r="F479" s="9"/>
      <c r="G479" s="36">
        <f t="shared" si="15"/>
        <v>0</v>
      </c>
      <c r="H479" s="36">
        <f t="shared" si="16"/>
        <v>0</v>
      </c>
      <c r="J479" s="16" t="e">
        <v>#N/A</v>
      </c>
    </row>
    <row r="480" spans="1:10" x14ac:dyDescent="0.35">
      <c r="A480" s="4" t="s">
        <v>19</v>
      </c>
      <c r="B480" s="47" t="s">
        <v>37</v>
      </c>
      <c r="C480" s="11" t="s">
        <v>427</v>
      </c>
      <c r="D480" s="9">
        <v>800538335.03999996</v>
      </c>
      <c r="E480" s="9">
        <v>800538335.03999996</v>
      </c>
      <c r="F480" s="9">
        <v>800538328.75</v>
      </c>
      <c r="G480" s="36">
        <f t="shared" si="15"/>
        <v>-6.2899999618530273</v>
      </c>
      <c r="H480" s="36">
        <f t="shared" si="16"/>
        <v>-6.2899999618530273</v>
      </c>
      <c r="J480" s="16" t="s">
        <v>1205</v>
      </c>
    </row>
    <row r="481" spans="1:10" x14ac:dyDescent="0.35">
      <c r="A481" s="4" t="s">
        <v>19</v>
      </c>
      <c r="B481" s="47"/>
      <c r="C481" s="11" t="s">
        <v>428</v>
      </c>
      <c r="D481" s="9">
        <v>61165036.600000001</v>
      </c>
      <c r="E481" s="9">
        <v>61165036.600000001</v>
      </c>
      <c r="F481" s="9">
        <v>61165036.479999997</v>
      </c>
      <c r="G481" s="36">
        <f t="shared" si="15"/>
        <v>-0.12000000476837158</v>
      </c>
      <c r="H481" s="36">
        <f t="shared" si="16"/>
        <v>-0.12000000476837158</v>
      </c>
      <c r="J481" s="16" t="s">
        <v>1513</v>
      </c>
    </row>
    <row r="482" spans="1:10" x14ac:dyDescent="0.35">
      <c r="A482" s="4" t="s">
        <v>19</v>
      </c>
      <c r="B482" s="47"/>
      <c r="C482" s="11" t="s">
        <v>430</v>
      </c>
      <c r="D482" s="9">
        <v>21718271.920000002</v>
      </c>
      <c r="E482" s="9">
        <v>21718271.920000002</v>
      </c>
      <c r="F482" s="9">
        <v>21718271.609999999</v>
      </c>
      <c r="G482" s="36">
        <f t="shared" si="15"/>
        <v>-0.31000000238418579</v>
      </c>
      <c r="H482" s="36">
        <f t="shared" si="16"/>
        <v>-0.31000000238418579</v>
      </c>
      <c r="J482" s="16" t="s">
        <v>1203</v>
      </c>
    </row>
    <row r="483" spans="1:10" x14ac:dyDescent="0.35">
      <c r="A483" s="4" t="s">
        <v>19</v>
      </c>
      <c r="B483" s="47"/>
      <c r="C483" s="11" t="s">
        <v>429</v>
      </c>
      <c r="D483" s="9">
        <v>125462.19</v>
      </c>
      <c r="E483" s="9">
        <v>125462.19</v>
      </c>
      <c r="F483" s="9">
        <v>125462.13</v>
      </c>
      <c r="G483" s="36">
        <f t="shared" ref="G483:G536" si="17">F483-E483</f>
        <v>-5.9999999997671694E-2</v>
      </c>
      <c r="H483" s="36">
        <f t="shared" ref="H483:H536" si="18">F483-D483</f>
        <v>-5.9999999997671694E-2</v>
      </c>
      <c r="J483" s="16" t="s">
        <v>1206</v>
      </c>
    </row>
    <row r="484" spans="1:10" x14ac:dyDescent="0.35">
      <c r="A484" s="4" t="s">
        <v>19</v>
      </c>
      <c r="B484" s="47"/>
      <c r="C484" s="11" t="s">
        <v>431</v>
      </c>
      <c r="D484" s="9">
        <v>3241517.92</v>
      </c>
      <c r="E484" s="9">
        <v>3241517.92</v>
      </c>
      <c r="F484" s="9">
        <v>3241517.89</v>
      </c>
      <c r="G484" s="36">
        <f t="shared" si="17"/>
        <v>-2.9999999795109034E-2</v>
      </c>
      <c r="H484" s="36">
        <f t="shared" si="18"/>
        <v>-2.9999999795109034E-2</v>
      </c>
      <c r="J484" s="16" t="s">
        <v>1207</v>
      </c>
    </row>
    <row r="485" spans="1:10" x14ac:dyDescent="0.35">
      <c r="A485" s="4" t="s">
        <v>19</v>
      </c>
      <c r="B485" s="47"/>
      <c r="C485" s="11" t="s">
        <v>432</v>
      </c>
      <c r="D485" s="9">
        <v>4907295.72</v>
      </c>
      <c r="E485" s="9">
        <v>4907295.72</v>
      </c>
      <c r="F485" s="9">
        <v>4907295.63</v>
      </c>
      <c r="G485" s="36">
        <f t="shared" si="17"/>
        <v>-8.9999999850988388E-2</v>
      </c>
      <c r="H485" s="36">
        <f t="shared" si="18"/>
        <v>-8.9999999850988388E-2</v>
      </c>
      <c r="J485" s="16" t="s">
        <v>1204</v>
      </c>
    </row>
    <row r="486" spans="1:10" x14ac:dyDescent="0.35">
      <c r="A486" s="4" t="s">
        <v>19</v>
      </c>
      <c r="B486" s="2"/>
      <c r="C486" s="29" t="s">
        <v>529</v>
      </c>
      <c r="D486" s="28">
        <f>SUM(D480:D485)</f>
        <v>891695919.38999999</v>
      </c>
      <c r="E486" s="28">
        <f>SUM(E480:E485)</f>
        <v>891695919.38999999</v>
      </c>
      <c r="F486" s="28">
        <f>SUM(F480:F485)</f>
        <v>891695912.49000001</v>
      </c>
      <c r="G486" s="36">
        <f t="shared" si="17"/>
        <v>-6.8999999761581421</v>
      </c>
      <c r="H486" s="36">
        <f t="shared" si="18"/>
        <v>-6.8999999761581421</v>
      </c>
      <c r="J486" s="16" t="e">
        <v>#N/A</v>
      </c>
    </row>
    <row r="487" spans="1:10" x14ac:dyDescent="0.35">
      <c r="A487" s="4" t="s">
        <v>20</v>
      </c>
      <c r="B487" s="14" t="s">
        <v>38</v>
      </c>
      <c r="C487" s="11"/>
      <c r="D487" s="9"/>
      <c r="E487" s="9"/>
      <c r="F487" s="9"/>
      <c r="G487" s="36">
        <f t="shared" si="17"/>
        <v>0</v>
      </c>
      <c r="H487" s="36">
        <f t="shared" si="18"/>
        <v>0</v>
      </c>
      <c r="J487" s="16" t="e">
        <v>#N/A</v>
      </c>
    </row>
    <row r="488" spans="1:10" x14ac:dyDescent="0.35">
      <c r="A488" s="4" t="s">
        <v>21</v>
      </c>
      <c r="B488" s="47" t="s">
        <v>39</v>
      </c>
      <c r="C488" s="11" t="s">
        <v>449</v>
      </c>
      <c r="D488" s="9">
        <v>142889984.74000001</v>
      </c>
      <c r="E488" s="9"/>
      <c r="F488" s="9">
        <v>142889984.65000001</v>
      </c>
      <c r="G488" s="36">
        <f t="shared" si="17"/>
        <v>142889984.65000001</v>
      </c>
      <c r="H488" s="36">
        <f t="shared" si="18"/>
        <v>-9.0000003576278687E-2</v>
      </c>
      <c r="J488" s="16" t="s">
        <v>1514</v>
      </c>
    </row>
    <row r="489" spans="1:10" x14ac:dyDescent="0.35">
      <c r="A489" s="4" t="s">
        <v>21</v>
      </c>
      <c r="B489" s="47"/>
      <c r="C489" s="11" t="s">
        <v>453</v>
      </c>
      <c r="D489" s="9">
        <v>2954531.25</v>
      </c>
      <c r="E489" s="9"/>
      <c r="F489" s="9"/>
      <c r="G489" s="36">
        <f t="shared" si="17"/>
        <v>0</v>
      </c>
      <c r="H489" s="36">
        <f t="shared" si="18"/>
        <v>-2954531.25</v>
      </c>
      <c r="J489" s="16" t="s">
        <v>1515</v>
      </c>
    </row>
    <row r="490" spans="1:10" x14ac:dyDescent="0.35">
      <c r="A490" s="4" t="s">
        <v>21</v>
      </c>
      <c r="B490" s="47"/>
      <c r="C490" s="11" t="s">
        <v>455</v>
      </c>
      <c r="D490" s="9">
        <v>4781132.84</v>
      </c>
      <c r="E490" s="9"/>
      <c r="F490" s="9"/>
      <c r="G490" s="36">
        <f t="shared" si="17"/>
        <v>0</v>
      </c>
      <c r="H490" s="36">
        <f t="shared" si="18"/>
        <v>-4781132.84</v>
      </c>
      <c r="J490" s="16" t="s">
        <v>1516</v>
      </c>
    </row>
    <row r="491" spans="1:10" x14ac:dyDescent="0.35">
      <c r="A491" s="4" t="s">
        <v>21</v>
      </c>
      <c r="B491" s="47"/>
      <c r="C491" s="11" t="s">
        <v>454</v>
      </c>
      <c r="D491" s="9">
        <v>121917882.88</v>
      </c>
      <c r="E491" s="9"/>
      <c r="F491" s="9"/>
      <c r="G491" s="36">
        <f t="shared" si="17"/>
        <v>0</v>
      </c>
      <c r="H491" s="36">
        <f t="shared" si="18"/>
        <v>-121917882.88</v>
      </c>
      <c r="J491" s="16" t="s">
        <v>1517</v>
      </c>
    </row>
    <row r="492" spans="1:10" x14ac:dyDescent="0.35">
      <c r="A492" s="4" t="s">
        <v>21</v>
      </c>
      <c r="B492" s="47"/>
      <c r="C492" s="11" t="s">
        <v>894</v>
      </c>
      <c r="D492" s="9"/>
      <c r="E492" s="9"/>
      <c r="F492" s="9">
        <v>400000000</v>
      </c>
      <c r="G492" s="36">
        <f t="shared" si="17"/>
        <v>400000000</v>
      </c>
      <c r="H492" s="36">
        <f t="shared" si="18"/>
        <v>400000000</v>
      </c>
      <c r="J492" s="16" t="s">
        <v>1518</v>
      </c>
    </row>
    <row r="493" spans="1:10" x14ac:dyDescent="0.35">
      <c r="A493" s="4" t="s">
        <v>21</v>
      </c>
      <c r="B493" s="47"/>
      <c r="C493" s="11" t="s">
        <v>457</v>
      </c>
      <c r="D493" s="9">
        <v>12600</v>
      </c>
      <c r="E493" s="9">
        <v>12600</v>
      </c>
      <c r="F493" s="9">
        <v>20028564.539999999</v>
      </c>
      <c r="G493" s="36">
        <f t="shared" si="17"/>
        <v>20015964.539999999</v>
      </c>
      <c r="H493" s="36">
        <f t="shared" si="18"/>
        <v>20015964.539999999</v>
      </c>
      <c r="J493" s="16" t="s">
        <v>1221</v>
      </c>
    </row>
    <row r="494" spans="1:10" x14ac:dyDescent="0.35">
      <c r="A494" s="4" t="s">
        <v>21</v>
      </c>
      <c r="B494" s="47"/>
      <c r="C494" s="11" t="s">
        <v>456</v>
      </c>
      <c r="D494" s="9">
        <v>330000000</v>
      </c>
      <c r="E494" s="9"/>
      <c r="F494" s="9">
        <v>280000000</v>
      </c>
      <c r="G494" s="36">
        <f t="shared" si="17"/>
        <v>280000000</v>
      </c>
      <c r="H494" s="36">
        <f t="shared" si="18"/>
        <v>-50000000</v>
      </c>
      <c r="J494" s="16" t="s">
        <v>1519</v>
      </c>
    </row>
    <row r="495" spans="1:10" x14ac:dyDescent="0.35">
      <c r="A495" s="4" t="s">
        <v>21</v>
      </c>
      <c r="B495" s="47"/>
      <c r="C495" s="11" t="s">
        <v>458</v>
      </c>
      <c r="D495" s="9">
        <v>0</v>
      </c>
      <c r="E495" s="9"/>
      <c r="F495" s="9"/>
      <c r="G495" s="36">
        <f t="shared" si="17"/>
        <v>0</v>
      </c>
      <c r="H495" s="36">
        <f t="shared" si="18"/>
        <v>0</v>
      </c>
      <c r="J495" s="16" t="s">
        <v>1520</v>
      </c>
    </row>
    <row r="496" spans="1:10" x14ac:dyDescent="0.35">
      <c r="A496" s="4" t="s">
        <v>21</v>
      </c>
      <c r="B496" s="47"/>
      <c r="C496" s="11" t="s">
        <v>459</v>
      </c>
      <c r="D496" s="9">
        <v>0</v>
      </c>
      <c r="E496" s="9"/>
      <c r="F496" s="9">
        <v>0</v>
      </c>
      <c r="G496" s="36">
        <f t="shared" si="17"/>
        <v>0</v>
      </c>
      <c r="H496" s="36">
        <f t="shared" si="18"/>
        <v>0</v>
      </c>
      <c r="J496" s="16" t="s">
        <v>1216</v>
      </c>
    </row>
    <row r="497" spans="1:10" x14ac:dyDescent="0.35">
      <c r="A497" s="4" t="s">
        <v>21</v>
      </c>
      <c r="B497" s="47"/>
      <c r="C497" s="11" t="s">
        <v>460</v>
      </c>
      <c r="D497" s="9">
        <v>425000000</v>
      </c>
      <c r="E497" s="9"/>
      <c r="F497" s="9">
        <v>425000000</v>
      </c>
      <c r="G497" s="36">
        <f t="shared" si="17"/>
        <v>425000000</v>
      </c>
      <c r="H497" s="36">
        <f t="shared" si="18"/>
        <v>0</v>
      </c>
      <c r="J497" s="16" t="s">
        <v>1521</v>
      </c>
    </row>
    <row r="498" spans="1:10" x14ac:dyDescent="0.35">
      <c r="A498" s="4" t="s">
        <v>21</v>
      </c>
      <c r="B498" s="47"/>
      <c r="C498" s="11" t="s">
        <v>461</v>
      </c>
      <c r="D498" s="9">
        <v>0</v>
      </c>
      <c r="E498" s="9"/>
      <c r="F498" s="9">
        <v>0</v>
      </c>
      <c r="G498" s="36">
        <f t="shared" si="17"/>
        <v>0</v>
      </c>
      <c r="H498" s="36">
        <f t="shared" si="18"/>
        <v>0</v>
      </c>
      <c r="J498" s="16" t="s">
        <v>1522</v>
      </c>
    </row>
    <row r="499" spans="1:10" x14ac:dyDescent="0.35">
      <c r="A499" s="4" t="s">
        <v>21</v>
      </c>
      <c r="B499" s="47"/>
      <c r="C499" s="11" t="s">
        <v>462</v>
      </c>
      <c r="D499" s="9">
        <v>28442318.100000001</v>
      </c>
      <c r="E499" s="9"/>
      <c r="F499" s="9"/>
      <c r="G499" s="36">
        <f t="shared" si="17"/>
        <v>0</v>
      </c>
      <c r="H499" s="36">
        <f t="shared" si="18"/>
        <v>-28442318.100000001</v>
      </c>
      <c r="J499" s="16" t="s">
        <v>1253</v>
      </c>
    </row>
    <row r="500" spans="1:10" x14ac:dyDescent="0.35">
      <c r="A500" s="4" t="s">
        <v>21</v>
      </c>
      <c r="B500" s="47"/>
      <c r="C500" s="11" t="s">
        <v>463</v>
      </c>
      <c r="D500" s="9">
        <v>50058314.57</v>
      </c>
      <c r="E500" s="9"/>
      <c r="F500" s="9">
        <v>50058314.469999999</v>
      </c>
      <c r="G500" s="36">
        <f t="shared" si="17"/>
        <v>50058314.469999999</v>
      </c>
      <c r="H500" s="36">
        <f t="shared" si="18"/>
        <v>-0.10000000149011612</v>
      </c>
      <c r="J500" s="16" t="s">
        <v>1523</v>
      </c>
    </row>
    <row r="501" spans="1:10" x14ac:dyDescent="0.35">
      <c r="A501" s="4" t="s">
        <v>21</v>
      </c>
      <c r="B501" s="47"/>
      <c r="C501" s="11" t="s">
        <v>464</v>
      </c>
      <c r="D501" s="9">
        <v>300000000</v>
      </c>
      <c r="E501" s="9"/>
      <c r="F501" s="9">
        <v>300000000</v>
      </c>
      <c r="G501" s="36">
        <f t="shared" si="17"/>
        <v>300000000</v>
      </c>
      <c r="H501" s="36">
        <f t="shared" si="18"/>
        <v>0</v>
      </c>
      <c r="J501" s="16" t="s">
        <v>1524</v>
      </c>
    </row>
    <row r="502" spans="1:10" x14ac:dyDescent="0.35">
      <c r="A502" s="4" t="s">
        <v>21</v>
      </c>
      <c r="B502" s="47"/>
      <c r="C502" s="11" t="s">
        <v>439</v>
      </c>
      <c r="D502" s="9">
        <v>100000000</v>
      </c>
      <c r="E502" s="9"/>
      <c r="F502" s="9">
        <v>100000000</v>
      </c>
      <c r="G502" s="36">
        <f t="shared" si="17"/>
        <v>100000000</v>
      </c>
      <c r="H502" s="36">
        <f t="shared" si="18"/>
        <v>0</v>
      </c>
      <c r="J502" s="16" t="s">
        <v>1525</v>
      </c>
    </row>
    <row r="503" spans="1:10" x14ac:dyDescent="0.35">
      <c r="A503" s="4" t="s">
        <v>21</v>
      </c>
      <c r="B503" s="47"/>
      <c r="C503" s="11" t="s">
        <v>450</v>
      </c>
      <c r="D503" s="9">
        <v>7401572.5</v>
      </c>
      <c r="E503" s="9"/>
      <c r="F503" s="9"/>
      <c r="G503" s="36">
        <f t="shared" si="17"/>
        <v>0</v>
      </c>
      <c r="H503" s="36">
        <f t="shared" si="18"/>
        <v>-7401572.5</v>
      </c>
      <c r="J503" s="16" t="s">
        <v>1526</v>
      </c>
    </row>
    <row r="504" spans="1:10" x14ac:dyDescent="0.35">
      <c r="A504" s="4" t="s">
        <v>21</v>
      </c>
      <c r="B504" s="47"/>
      <c r="C504" s="11" t="s">
        <v>465</v>
      </c>
      <c r="D504" s="9">
        <v>0</v>
      </c>
      <c r="E504" s="9"/>
      <c r="F504" s="9">
        <v>0</v>
      </c>
      <c r="G504" s="36">
        <f t="shared" si="17"/>
        <v>0</v>
      </c>
      <c r="H504" s="36">
        <f t="shared" si="18"/>
        <v>0</v>
      </c>
      <c r="J504" s="16" t="s">
        <v>1218</v>
      </c>
    </row>
    <row r="505" spans="1:10" x14ac:dyDescent="0.35">
      <c r="A505" s="4" t="s">
        <v>21</v>
      </c>
      <c r="B505" s="47"/>
      <c r="C505" s="11" t="s">
        <v>435</v>
      </c>
      <c r="D505" s="9">
        <v>375242195.88999999</v>
      </c>
      <c r="E505" s="9"/>
      <c r="F505" s="9">
        <v>375242195.81</v>
      </c>
      <c r="G505" s="36">
        <f t="shared" si="17"/>
        <v>375242195.81</v>
      </c>
      <c r="H505" s="36">
        <f t="shared" si="18"/>
        <v>-7.9999983310699463E-2</v>
      </c>
      <c r="J505" s="16" t="s">
        <v>1527</v>
      </c>
    </row>
    <row r="506" spans="1:10" x14ac:dyDescent="0.35">
      <c r="A506" s="4" t="s">
        <v>21</v>
      </c>
      <c r="B506" s="47"/>
      <c r="C506" s="11" t="s">
        <v>434</v>
      </c>
      <c r="D506" s="9">
        <v>0</v>
      </c>
      <c r="E506" s="9"/>
      <c r="F506" s="9">
        <v>0</v>
      </c>
      <c r="G506" s="36">
        <f t="shared" si="17"/>
        <v>0</v>
      </c>
      <c r="H506" s="36">
        <f t="shared" si="18"/>
        <v>0</v>
      </c>
      <c r="J506" s="16" t="s">
        <v>1528</v>
      </c>
    </row>
    <row r="507" spans="1:10" x14ac:dyDescent="0.35">
      <c r="A507" s="4" t="s">
        <v>21</v>
      </c>
      <c r="B507" s="47"/>
      <c r="C507" s="11" t="s">
        <v>433</v>
      </c>
      <c r="D507" s="9">
        <v>125000000</v>
      </c>
      <c r="E507" s="9"/>
      <c r="F507" s="9">
        <v>125000000</v>
      </c>
      <c r="G507" s="36">
        <f t="shared" si="17"/>
        <v>125000000</v>
      </c>
      <c r="H507" s="36">
        <f t="shared" si="18"/>
        <v>0</v>
      </c>
      <c r="J507" s="16" t="s">
        <v>1529</v>
      </c>
    </row>
    <row r="508" spans="1:10" x14ac:dyDescent="0.35">
      <c r="A508" s="4" t="s">
        <v>21</v>
      </c>
      <c r="B508" s="47"/>
      <c r="C508" s="11" t="s">
        <v>440</v>
      </c>
      <c r="D508" s="9">
        <v>54741824.899999999</v>
      </c>
      <c r="E508" s="9"/>
      <c r="F508" s="9">
        <v>54741824.659999996</v>
      </c>
      <c r="G508" s="36">
        <f t="shared" si="17"/>
        <v>54741824.659999996</v>
      </c>
      <c r="H508" s="36">
        <f t="shared" si="18"/>
        <v>-0.24000000208616257</v>
      </c>
      <c r="J508" s="16" t="s">
        <v>1530</v>
      </c>
    </row>
    <row r="509" spans="1:10" x14ac:dyDescent="0.35">
      <c r="A509" s="4" t="s">
        <v>21</v>
      </c>
      <c r="B509" s="47"/>
      <c r="C509" s="11" t="s">
        <v>895</v>
      </c>
      <c r="D509" s="9"/>
      <c r="E509" s="9"/>
      <c r="F509" s="9">
        <v>1600000000</v>
      </c>
      <c r="G509" s="36">
        <f t="shared" si="17"/>
        <v>1600000000</v>
      </c>
      <c r="H509" s="36">
        <f t="shared" si="18"/>
        <v>1600000000</v>
      </c>
      <c r="J509" s="16" t="s">
        <v>1531</v>
      </c>
    </row>
    <row r="510" spans="1:10" x14ac:dyDescent="0.35">
      <c r="A510" s="4" t="s">
        <v>21</v>
      </c>
      <c r="B510" s="47"/>
      <c r="C510" s="11" t="s">
        <v>436</v>
      </c>
      <c r="D510" s="9">
        <v>4306650</v>
      </c>
      <c r="E510" s="9"/>
      <c r="F510" s="9"/>
      <c r="G510" s="36">
        <f t="shared" si="17"/>
        <v>0</v>
      </c>
      <c r="H510" s="36">
        <f t="shared" si="18"/>
        <v>-4306650</v>
      </c>
      <c r="J510" s="16" t="s">
        <v>1532</v>
      </c>
    </row>
    <row r="511" spans="1:10" x14ac:dyDescent="0.35">
      <c r="A511" s="4" t="s">
        <v>21</v>
      </c>
      <c r="B511" s="47"/>
      <c r="C511" s="11" t="s">
        <v>438</v>
      </c>
      <c r="D511" s="9">
        <v>15000000</v>
      </c>
      <c r="E511" s="9"/>
      <c r="F511" s="9">
        <v>15000000</v>
      </c>
      <c r="G511" s="36">
        <f t="shared" si="17"/>
        <v>15000000</v>
      </c>
      <c r="H511" s="36">
        <f t="shared" si="18"/>
        <v>0</v>
      </c>
      <c r="J511" s="16" t="s">
        <v>1533</v>
      </c>
    </row>
    <row r="512" spans="1:10" x14ac:dyDescent="0.35">
      <c r="A512" s="4" t="s">
        <v>21</v>
      </c>
      <c r="B512" s="47"/>
      <c r="C512" s="11" t="s">
        <v>437</v>
      </c>
      <c r="D512" s="9">
        <v>50000000</v>
      </c>
      <c r="E512" s="9"/>
      <c r="F512" s="9">
        <v>130000000</v>
      </c>
      <c r="G512" s="36">
        <f t="shared" si="17"/>
        <v>130000000</v>
      </c>
      <c r="H512" s="36">
        <f t="shared" si="18"/>
        <v>80000000</v>
      </c>
      <c r="J512" s="16" t="s">
        <v>1534</v>
      </c>
    </row>
    <row r="513" spans="1:10" x14ac:dyDescent="0.35">
      <c r="A513" s="4" t="s">
        <v>21</v>
      </c>
      <c r="B513" s="47"/>
      <c r="C513" s="11" t="s">
        <v>443</v>
      </c>
      <c r="D513" s="9">
        <v>2096920</v>
      </c>
      <c r="E513" s="9"/>
      <c r="F513" s="9"/>
      <c r="G513" s="36">
        <f t="shared" si="17"/>
        <v>0</v>
      </c>
      <c r="H513" s="36">
        <f t="shared" si="18"/>
        <v>-2096920</v>
      </c>
      <c r="J513" s="16" t="s">
        <v>1262</v>
      </c>
    </row>
    <row r="514" spans="1:10" x14ac:dyDescent="0.35">
      <c r="A514" s="4" t="s">
        <v>21</v>
      </c>
      <c r="B514" s="47"/>
      <c r="C514" s="11" t="s">
        <v>442</v>
      </c>
      <c r="D514" s="9">
        <v>1736507.5</v>
      </c>
      <c r="E514" s="9"/>
      <c r="F514" s="9"/>
      <c r="G514" s="36">
        <f t="shared" si="17"/>
        <v>0</v>
      </c>
      <c r="H514" s="36">
        <f t="shared" si="18"/>
        <v>-1736507.5</v>
      </c>
      <c r="J514" s="16" t="s">
        <v>1535</v>
      </c>
    </row>
    <row r="515" spans="1:10" x14ac:dyDescent="0.35">
      <c r="A515" s="4" t="s">
        <v>21</v>
      </c>
      <c r="B515" s="47"/>
      <c r="C515" s="11" t="s">
        <v>444</v>
      </c>
      <c r="D515" s="9">
        <v>88208915.900000006</v>
      </c>
      <c r="E515" s="9"/>
      <c r="F515" s="9">
        <v>88208915.799999997</v>
      </c>
      <c r="G515" s="36">
        <f t="shared" si="17"/>
        <v>88208915.799999997</v>
      </c>
      <c r="H515" s="36">
        <f t="shared" si="18"/>
        <v>-0.10000000894069672</v>
      </c>
      <c r="J515" s="16" t="s">
        <v>1536</v>
      </c>
    </row>
    <row r="516" spans="1:10" x14ac:dyDescent="0.35">
      <c r="A516" s="4" t="s">
        <v>21</v>
      </c>
      <c r="B516" s="47"/>
      <c r="C516" s="11" t="s">
        <v>792</v>
      </c>
      <c r="D516" s="9"/>
      <c r="E516" s="9"/>
      <c r="F516" s="9">
        <v>0</v>
      </c>
      <c r="G516" s="36">
        <f t="shared" si="17"/>
        <v>0</v>
      </c>
      <c r="H516" s="36">
        <f t="shared" si="18"/>
        <v>0</v>
      </c>
      <c r="J516" s="16" t="s">
        <v>1217</v>
      </c>
    </row>
    <row r="517" spans="1:10" x14ac:dyDescent="0.35">
      <c r="A517" s="4" t="s">
        <v>21</v>
      </c>
      <c r="B517" s="47"/>
      <c r="C517" s="11"/>
      <c r="D517" s="9">
        <v>2432310140.8499999</v>
      </c>
      <c r="E517" s="9">
        <v>1620015964.6199999</v>
      </c>
      <c r="F517" s="9"/>
      <c r="G517" s="36">
        <f t="shared" si="17"/>
        <v>-1620015964.6199999</v>
      </c>
      <c r="H517" s="36">
        <f t="shared" si="18"/>
        <v>-2432310140.8499999</v>
      </c>
      <c r="J517" s="16" t="e">
        <v>#N/A</v>
      </c>
    </row>
    <row r="518" spans="1:10" x14ac:dyDescent="0.35">
      <c r="A518" s="4" t="s">
        <v>21</v>
      </c>
      <c r="B518" s="47"/>
      <c r="C518" s="11" t="s">
        <v>896</v>
      </c>
      <c r="D518" s="9"/>
      <c r="E518" s="9"/>
      <c r="F518" s="9">
        <v>0</v>
      </c>
      <c r="G518" s="36">
        <f t="shared" si="17"/>
        <v>0</v>
      </c>
      <c r="H518" s="36">
        <f t="shared" si="18"/>
        <v>0</v>
      </c>
      <c r="J518" s="16" t="s">
        <v>1537</v>
      </c>
    </row>
    <row r="519" spans="1:10" x14ac:dyDescent="0.35">
      <c r="A519" s="4" t="s">
        <v>21</v>
      </c>
      <c r="B519" s="47"/>
      <c r="C519" s="11" t="s">
        <v>897</v>
      </c>
      <c r="D519" s="9"/>
      <c r="E519" s="9"/>
      <c r="F519" s="9">
        <v>0</v>
      </c>
      <c r="G519" s="36">
        <f t="shared" si="17"/>
        <v>0</v>
      </c>
      <c r="H519" s="36">
        <f t="shared" si="18"/>
        <v>0</v>
      </c>
      <c r="J519" s="16" t="s">
        <v>1538</v>
      </c>
    </row>
    <row r="520" spans="1:10" x14ac:dyDescent="0.35">
      <c r="A520" s="4" t="s">
        <v>21</v>
      </c>
      <c r="B520" s="47"/>
      <c r="C520" s="11" t="s">
        <v>898</v>
      </c>
      <c r="D520" s="9"/>
      <c r="E520" s="9"/>
      <c r="F520" s="9">
        <v>0</v>
      </c>
      <c r="G520" s="36">
        <f t="shared" si="17"/>
        <v>0</v>
      </c>
      <c r="H520" s="36">
        <f t="shared" si="18"/>
        <v>0</v>
      </c>
      <c r="J520" s="16" t="s">
        <v>1539</v>
      </c>
    </row>
    <row r="521" spans="1:10" x14ac:dyDescent="0.35">
      <c r="A521" s="4" t="s">
        <v>21</v>
      </c>
      <c r="B521" s="47"/>
      <c r="C521" s="11" t="s">
        <v>452</v>
      </c>
      <c r="D521" s="9">
        <v>45000000</v>
      </c>
      <c r="E521" s="9"/>
      <c r="F521" s="9">
        <v>45000000</v>
      </c>
      <c r="G521" s="36">
        <f t="shared" si="17"/>
        <v>45000000</v>
      </c>
      <c r="H521" s="36">
        <f t="shared" si="18"/>
        <v>0</v>
      </c>
      <c r="J521" s="16" t="s">
        <v>1540</v>
      </c>
    </row>
    <row r="522" spans="1:10" x14ac:dyDescent="0.35">
      <c r="A522" s="4" t="s">
        <v>21</v>
      </c>
      <c r="B522" s="47"/>
      <c r="C522" s="11" t="s">
        <v>447</v>
      </c>
      <c r="D522" s="9">
        <v>111000</v>
      </c>
      <c r="E522" s="9"/>
      <c r="F522" s="9">
        <v>111000</v>
      </c>
      <c r="G522" s="36">
        <f t="shared" si="17"/>
        <v>111000</v>
      </c>
      <c r="H522" s="36">
        <f t="shared" si="18"/>
        <v>0</v>
      </c>
      <c r="J522" s="16" t="s">
        <v>1541</v>
      </c>
    </row>
    <row r="523" spans="1:10" x14ac:dyDescent="0.35">
      <c r="A523" s="4" t="s">
        <v>21</v>
      </c>
      <c r="B523" s="47"/>
      <c r="C523" s="11" t="s">
        <v>446</v>
      </c>
      <c r="D523" s="9">
        <v>896601863.15999997</v>
      </c>
      <c r="E523" s="9"/>
      <c r="F523" s="9">
        <v>15235338457.84</v>
      </c>
      <c r="G523" s="36">
        <f t="shared" si="17"/>
        <v>15235338457.84</v>
      </c>
      <c r="H523" s="36">
        <f t="shared" si="18"/>
        <v>14338736594.68</v>
      </c>
      <c r="J523" s="16" t="s">
        <v>1542</v>
      </c>
    </row>
    <row r="524" spans="1:10" x14ac:dyDescent="0.35">
      <c r="A524" s="4" t="s">
        <v>21</v>
      </c>
      <c r="B524" s="47"/>
      <c r="C524" s="11" t="s">
        <v>445</v>
      </c>
      <c r="D524" s="9">
        <v>1920157959.8099999</v>
      </c>
      <c r="E524" s="9"/>
      <c r="F524" s="9">
        <v>22280001057.060001</v>
      </c>
      <c r="G524" s="36">
        <f t="shared" si="17"/>
        <v>22280001057.060001</v>
      </c>
      <c r="H524" s="36">
        <f t="shared" si="18"/>
        <v>20359843097.25</v>
      </c>
      <c r="J524" s="16" t="s">
        <v>1543</v>
      </c>
    </row>
    <row r="525" spans="1:10" x14ac:dyDescent="0.35">
      <c r="A525" s="4" t="s">
        <v>21</v>
      </c>
      <c r="B525" s="47"/>
      <c r="C525" s="11" t="s">
        <v>448</v>
      </c>
      <c r="D525" s="9">
        <v>353636864.44</v>
      </c>
      <c r="E525" s="9">
        <v>353636864.44</v>
      </c>
      <c r="F525" s="9">
        <v>356350379.75999999</v>
      </c>
      <c r="G525" s="36">
        <f t="shared" si="17"/>
        <v>2713515.3199999928</v>
      </c>
      <c r="H525" s="36">
        <f t="shared" si="18"/>
        <v>2713515.3199999928</v>
      </c>
      <c r="J525" s="16" t="s">
        <v>1222</v>
      </c>
    </row>
    <row r="526" spans="1:10" x14ac:dyDescent="0.35">
      <c r="A526" s="4" t="s">
        <v>21</v>
      </c>
      <c r="B526" s="47"/>
      <c r="C526" s="11" t="s">
        <v>467</v>
      </c>
      <c r="D526" s="9">
        <v>0</v>
      </c>
      <c r="E526" s="9"/>
      <c r="F526" s="9">
        <v>0</v>
      </c>
      <c r="G526" s="36">
        <f t="shared" si="17"/>
        <v>0</v>
      </c>
      <c r="H526" s="36">
        <f t="shared" si="18"/>
        <v>0</v>
      </c>
      <c r="J526" s="16" t="s">
        <v>1213</v>
      </c>
    </row>
    <row r="527" spans="1:10" x14ac:dyDescent="0.35">
      <c r="A527" s="4" t="s">
        <v>21</v>
      </c>
      <c r="B527" s="47"/>
      <c r="C527" s="11" t="s">
        <v>899</v>
      </c>
      <c r="D527" s="9"/>
      <c r="E527" s="9"/>
      <c r="F527" s="9">
        <v>0</v>
      </c>
      <c r="G527" s="36">
        <f t="shared" si="17"/>
        <v>0</v>
      </c>
      <c r="H527" s="36">
        <f t="shared" si="18"/>
        <v>0</v>
      </c>
      <c r="J527" s="16" t="s">
        <v>1544</v>
      </c>
    </row>
    <row r="528" spans="1:10" x14ac:dyDescent="0.35">
      <c r="A528" s="4" t="s">
        <v>21</v>
      </c>
      <c r="B528" s="47"/>
      <c r="C528" s="11" t="s">
        <v>441</v>
      </c>
      <c r="D528" s="9">
        <v>500000000</v>
      </c>
      <c r="E528" s="9"/>
      <c r="F528" s="9">
        <v>500000000</v>
      </c>
      <c r="G528" s="36">
        <f t="shared" si="17"/>
        <v>500000000</v>
      </c>
      <c r="H528" s="36">
        <f t="shared" si="18"/>
        <v>0</v>
      </c>
      <c r="J528" s="16" t="s">
        <v>1545</v>
      </c>
    </row>
    <row r="529" spans="1:10" x14ac:dyDescent="0.35">
      <c r="A529" s="4" t="s">
        <v>21</v>
      </c>
      <c r="B529" s="47"/>
      <c r="C529" s="11" t="s">
        <v>845</v>
      </c>
      <c r="D529" s="9"/>
      <c r="E529" s="9"/>
      <c r="F529" s="9">
        <v>582754428.80999994</v>
      </c>
      <c r="G529" s="36">
        <f t="shared" si="17"/>
        <v>582754428.80999994</v>
      </c>
      <c r="H529" s="36">
        <f t="shared" si="18"/>
        <v>582754428.80999994</v>
      </c>
      <c r="J529" s="16" t="e">
        <v>#N/A</v>
      </c>
    </row>
    <row r="530" spans="1:10" x14ac:dyDescent="0.35">
      <c r="A530" s="4" t="s">
        <v>21</v>
      </c>
      <c r="B530" s="47"/>
      <c r="C530" s="11" t="s">
        <v>900</v>
      </c>
      <c r="D530" s="9"/>
      <c r="E530" s="9"/>
      <c r="F530" s="9">
        <v>0</v>
      </c>
      <c r="G530" s="36">
        <f t="shared" si="17"/>
        <v>0</v>
      </c>
      <c r="H530" s="36">
        <f t="shared" si="18"/>
        <v>0</v>
      </c>
      <c r="J530" s="16" t="s">
        <v>1546</v>
      </c>
    </row>
    <row r="531" spans="1:10" x14ac:dyDescent="0.35">
      <c r="A531" s="4" t="s">
        <v>21</v>
      </c>
      <c r="B531" s="47"/>
      <c r="C531" s="11" t="s">
        <v>107</v>
      </c>
      <c r="D531" s="9">
        <v>514391706.98000002</v>
      </c>
      <c r="E531" s="9"/>
      <c r="F531" s="9"/>
      <c r="G531" s="36">
        <f t="shared" si="17"/>
        <v>0</v>
      </c>
      <c r="H531" s="36">
        <f t="shared" si="18"/>
        <v>-514391706.98000002</v>
      </c>
      <c r="J531" s="16" t="e">
        <v>#N/A</v>
      </c>
    </row>
    <row r="532" spans="1:10" x14ac:dyDescent="0.35">
      <c r="A532" s="4" t="s">
        <v>21</v>
      </c>
      <c r="B532" s="47"/>
      <c r="C532" s="11" t="s">
        <v>451</v>
      </c>
      <c r="D532" s="9">
        <v>350000000</v>
      </c>
      <c r="E532" s="9"/>
      <c r="F532" s="9">
        <v>350000000</v>
      </c>
      <c r="G532" s="36">
        <f t="shared" si="17"/>
        <v>350000000</v>
      </c>
      <c r="H532" s="36">
        <f t="shared" si="18"/>
        <v>0</v>
      </c>
      <c r="J532" s="16" t="s">
        <v>1547</v>
      </c>
    </row>
    <row r="533" spans="1:10" x14ac:dyDescent="0.35">
      <c r="A533" s="4" t="s">
        <v>21</v>
      </c>
      <c r="B533" s="47"/>
      <c r="C533" s="11" t="s">
        <v>466</v>
      </c>
      <c r="D533" s="9">
        <v>0</v>
      </c>
      <c r="E533" s="9"/>
      <c r="F533" s="9"/>
      <c r="G533" s="36">
        <f t="shared" si="17"/>
        <v>0</v>
      </c>
      <c r="H533" s="36">
        <f t="shared" si="18"/>
        <v>0</v>
      </c>
      <c r="J533" s="16" t="s">
        <v>1548</v>
      </c>
    </row>
    <row r="534" spans="1:10" x14ac:dyDescent="0.35">
      <c r="A534" s="4" t="s">
        <v>21</v>
      </c>
      <c r="B534" s="47"/>
      <c r="C534" s="12" t="s">
        <v>901</v>
      </c>
      <c r="D534" s="9"/>
      <c r="E534" s="9"/>
      <c r="F534" s="9">
        <v>0</v>
      </c>
      <c r="G534" s="36">
        <f t="shared" si="17"/>
        <v>0</v>
      </c>
      <c r="H534" s="36">
        <f t="shared" si="18"/>
        <v>0</v>
      </c>
      <c r="J534" s="16" t="s">
        <v>1549</v>
      </c>
    </row>
    <row r="535" spans="1:10" x14ac:dyDescent="0.35">
      <c r="A535" s="4" t="s">
        <v>21</v>
      </c>
      <c r="B535" s="2"/>
      <c r="C535" s="29" t="s">
        <v>529</v>
      </c>
      <c r="D535" s="28">
        <f>SUM(D488:D534)</f>
        <v>9242000886.3099995</v>
      </c>
      <c r="E535" s="28">
        <f>SUM(E488:E534)</f>
        <v>1973665429.0599999</v>
      </c>
      <c r="F535" s="28">
        <f>SUM(F488:F534)</f>
        <v>43455725123.400002</v>
      </c>
      <c r="G535" s="36">
        <f t="shared" si="17"/>
        <v>41482059694.340004</v>
      </c>
      <c r="H535" s="36">
        <f t="shared" si="18"/>
        <v>34213724237.090004</v>
      </c>
      <c r="J535" s="16" t="e">
        <v>#N/A</v>
      </c>
    </row>
    <row r="536" spans="1:10" x14ac:dyDescent="0.35">
      <c r="A536" s="4" t="s">
        <v>22</v>
      </c>
      <c r="B536" s="14" t="s">
        <v>40</v>
      </c>
      <c r="C536" s="11"/>
      <c r="D536" s="9"/>
      <c r="E536" s="9"/>
      <c r="F536" s="9"/>
      <c r="G536" s="36">
        <f t="shared" si="17"/>
        <v>0</v>
      </c>
      <c r="H536" s="36">
        <f t="shared" si="18"/>
        <v>0</v>
      </c>
      <c r="J536" s="16" t="e">
        <v>#N/A</v>
      </c>
    </row>
  </sheetData>
  <autoFilter ref="A1:J536" xr:uid="{B62AA1C5-6009-4A20-8EC5-CD437D1451E1}"/>
  <mergeCells count="13">
    <mergeCell ref="B488:B534"/>
    <mergeCell ref="B36:B74"/>
    <mergeCell ref="B261:B363"/>
    <mergeCell ref="B367:B469"/>
    <mergeCell ref="B471:B476"/>
    <mergeCell ref="B2:B34"/>
    <mergeCell ref="B480:B485"/>
    <mergeCell ref="B235:B255"/>
    <mergeCell ref="B257:B259"/>
    <mergeCell ref="B76:B93"/>
    <mergeCell ref="B95:B136"/>
    <mergeCell ref="B140:B186"/>
    <mergeCell ref="B187:B233"/>
  </mergeCells>
  <conditionalFormatting sqref="F140:F233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5A57-D331-4F85-A722-5D98444E92B0}">
  <dimension ref="A1:J7"/>
  <sheetViews>
    <sheetView workbookViewId="0">
      <selection activeCell="G11" sqref="G11"/>
    </sheetView>
  </sheetViews>
  <sheetFormatPr baseColWidth="10" defaultRowHeight="14.5" x14ac:dyDescent="0.35"/>
  <cols>
    <col min="3" max="3" width="14.81640625" bestFit="1" customWidth="1"/>
    <col min="4" max="6" width="16.36328125" bestFit="1" customWidth="1"/>
    <col min="7" max="8" width="16.7265625" bestFit="1" customWidth="1"/>
  </cols>
  <sheetData>
    <row r="1" spans="1:10" ht="58" x14ac:dyDescent="0.35">
      <c r="A1" s="30" t="s">
        <v>0</v>
      </c>
      <c r="B1" s="30" t="s">
        <v>1</v>
      </c>
      <c r="C1" s="31" t="s">
        <v>2</v>
      </c>
      <c r="D1" s="32" t="s">
        <v>816</v>
      </c>
      <c r="E1" s="32" t="s">
        <v>815</v>
      </c>
      <c r="F1" s="32" t="s">
        <v>817</v>
      </c>
      <c r="G1" s="32" t="s">
        <v>889</v>
      </c>
      <c r="H1" s="32" t="s">
        <v>890</v>
      </c>
      <c r="I1" s="30" t="s">
        <v>3</v>
      </c>
      <c r="J1" s="30" t="s">
        <v>195</v>
      </c>
    </row>
    <row r="2" spans="1:10" x14ac:dyDescent="0.35">
      <c r="A2" s="2" t="s">
        <v>5</v>
      </c>
      <c r="B2" s="44" t="s">
        <v>101</v>
      </c>
      <c r="C2" s="11" t="s">
        <v>93</v>
      </c>
      <c r="D2" s="9">
        <v>9164.74</v>
      </c>
      <c r="E2" s="9">
        <v>8935.0400000000009</v>
      </c>
      <c r="F2" s="9">
        <f>VLOOKUP(C2,USD!C36:F74,4,0)</f>
        <v>410617.61</v>
      </c>
      <c r="G2" s="36">
        <f t="shared" ref="G2:G7" si="0">F2-E2</f>
        <v>401682.57</v>
      </c>
      <c r="H2" s="36">
        <f t="shared" ref="H2:H7" si="1">F2-D2</f>
        <v>401452.87</v>
      </c>
    </row>
    <row r="3" spans="1:10" x14ac:dyDescent="0.35">
      <c r="A3" s="2" t="s">
        <v>5</v>
      </c>
      <c r="B3" s="45"/>
      <c r="C3" s="11"/>
      <c r="D3" s="9">
        <v>154522580.58000001</v>
      </c>
      <c r="E3" s="9">
        <v>133621825.70999999</v>
      </c>
      <c r="F3" s="9"/>
      <c r="G3" s="36">
        <f>F3-E3</f>
        <v>-133621825.70999999</v>
      </c>
      <c r="H3" s="36">
        <f>F3-D3</f>
        <v>-154522580.58000001</v>
      </c>
    </row>
    <row r="4" spans="1:10" x14ac:dyDescent="0.35">
      <c r="A4" s="2" t="s">
        <v>5</v>
      </c>
      <c r="B4" s="4"/>
      <c r="C4" s="27" t="s">
        <v>529</v>
      </c>
      <c r="D4" s="28">
        <f>SUM(D2:D3)</f>
        <v>154531745.32000002</v>
      </c>
      <c r="E4" s="28">
        <f>SUM(E2:E3)</f>
        <v>133630760.75</v>
      </c>
      <c r="F4" s="28">
        <f>SUM(F2:F3)</f>
        <v>410617.61</v>
      </c>
      <c r="G4" s="36">
        <f t="shared" si="0"/>
        <v>-133220143.14</v>
      </c>
      <c r="H4" s="36">
        <f t="shared" si="1"/>
        <v>-154121127.71000001</v>
      </c>
    </row>
    <row r="5" spans="1:10" x14ac:dyDescent="0.35">
      <c r="A5" s="4" t="s">
        <v>6</v>
      </c>
      <c r="B5" s="46" t="s">
        <v>499</v>
      </c>
      <c r="C5" s="11" t="s">
        <v>105</v>
      </c>
      <c r="D5" s="9">
        <v>200000</v>
      </c>
      <c r="E5" s="9">
        <v>200000</v>
      </c>
      <c r="F5" s="9">
        <f>VLOOKUP(C5,USD!C76:F93,4,0)</f>
        <v>94152343.939999998</v>
      </c>
      <c r="G5" s="36">
        <f t="shared" si="0"/>
        <v>93952343.939999998</v>
      </c>
      <c r="H5" s="36">
        <f t="shared" si="1"/>
        <v>93952343.939999998</v>
      </c>
    </row>
    <row r="6" spans="1:10" x14ac:dyDescent="0.35">
      <c r="A6" s="4" t="s">
        <v>6</v>
      </c>
      <c r="B6" s="46"/>
      <c r="C6" s="11"/>
      <c r="D6" s="9">
        <v>294557.13</v>
      </c>
      <c r="E6" s="9">
        <v>294557.13</v>
      </c>
      <c r="F6" s="9"/>
      <c r="G6" s="36">
        <f t="shared" si="0"/>
        <v>-294557.13</v>
      </c>
      <c r="H6" s="36">
        <f t="shared" si="1"/>
        <v>-294557.13</v>
      </c>
    </row>
    <row r="7" spans="1:10" x14ac:dyDescent="0.35">
      <c r="A7" s="4" t="s">
        <v>6</v>
      </c>
      <c r="B7" s="4"/>
      <c r="C7" s="27" t="s">
        <v>529</v>
      </c>
      <c r="D7" s="28">
        <f>SUM(D5:D6)</f>
        <v>494557.13</v>
      </c>
      <c r="E7" s="28">
        <f>SUM(E5:E6)</f>
        <v>494557.13</v>
      </c>
      <c r="F7" s="28">
        <f>SUM(F5:F6)</f>
        <v>94152343.939999998</v>
      </c>
      <c r="G7" s="36">
        <f t="shared" si="0"/>
        <v>93657786.810000002</v>
      </c>
      <c r="H7" s="36">
        <f t="shared" si="1"/>
        <v>93657786.810000002</v>
      </c>
    </row>
  </sheetData>
  <mergeCells count="2">
    <mergeCell ref="B2:B3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D970-6750-4172-BDB0-1B93BEEF2C1F}">
  <dimension ref="A1:H44"/>
  <sheetViews>
    <sheetView workbookViewId="0">
      <selection activeCell="G7" sqref="G7"/>
    </sheetView>
  </sheetViews>
  <sheetFormatPr baseColWidth="10" defaultRowHeight="14.5" x14ac:dyDescent="0.35"/>
  <cols>
    <col min="1" max="1" width="10.90625" style="1"/>
    <col min="2" max="2" width="44.90625" style="1" customWidth="1"/>
    <col min="3" max="3" width="11.453125" style="1" customWidth="1"/>
    <col min="4" max="4" width="23.1796875" style="1" customWidth="1"/>
    <col min="5" max="5" width="24" style="1" customWidth="1"/>
    <col min="6" max="6" width="21.7265625" style="1" customWidth="1"/>
    <col min="7" max="7" width="21.81640625" style="1" customWidth="1"/>
    <col min="8" max="8" width="17.81640625" style="1" customWidth="1"/>
    <col min="9" max="16381" width="10.90625" style="1"/>
    <col min="16382" max="16382" width="10.90625" style="1" bestFit="1"/>
    <col min="16383" max="16384" width="10.90625" style="1"/>
  </cols>
  <sheetData>
    <row r="1" spans="1:8" ht="29" x14ac:dyDescent="0.35">
      <c r="A1" s="30" t="s">
        <v>0</v>
      </c>
      <c r="B1" s="30" t="s">
        <v>1</v>
      </c>
      <c r="C1" s="30" t="s">
        <v>902</v>
      </c>
      <c r="D1" s="32" t="s">
        <v>816</v>
      </c>
      <c r="E1" s="32" t="s">
        <v>815</v>
      </c>
      <c r="F1" s="32" t="s">
        <v>817</v>
      </c>
      <c r="G1" s="32" t="s">
        <v>889</v>
      </c>
      <c r="H1" s="32" t="s">
        <v>890</v>
      </c>
    </row>
    <row r="2" spans="1:8" x14ac:dyDescent="0.35">
      <c r="A2" s="2" t="s">
        <v>4</v>
      </c>
      <c r="B2" s="44" t="s">
        <v>23</v>
      </c>
      <c r="C2" s="5" t="s">
        <v>903</v>
      </c>
      <c r="D2" s="37">
        <f>PSS!D46</f>
        <v>10127072209.150002</v>
      </c>
      <c r="E2" s="37">
        <f>PSS!E46</f>
        <v>9406227663.7800007</v>
      </c>
      <c r="F2" s="37">
        <f>PSS!F46</f>
        <v>9406227663.7799988</v>
      </c>
      <c r="G2" s="38">
        <f>F2-E2</f>
        <v>0</v>
      </c>
      <c r="H2" s="38">
        <f>F2-D2</f>
        <v>-720844545.37000275</v>
      </c>
    </row>
    <row r="3" spans="1:8" s="3" customFormat="1" x14ac:dyDescent="0.35">
      <c r="A3" s="2" t="s">
        <v>4</v>
      </c>
      <c r="B3" s="44"/>
      <c r="C3" s="5" t="s">
        <v>904</v>
      </c>
      <c r="D3" s="8">
        <v>1600916488.9199998</v>
      </c>
      <c r="E3" s="8">
        <v>1548224311.0699997</v>
      </c>
      <c r="F3" s="8">
        <v>1548223846.2800002</v>
      </c>
      <c r="G3" s="39">
        <v>-464.78999948501587</v>
      </c>
      <c r="H3" s="39">
        <v>-52692642.639999628</v>
      </c>
    </row>
    <row r="4" spans="1:8" s="3" customFormat="1" x14ac:dyDescent="0.35">
      <c r="A4" s="2" t="s">
        <v>5</v>
      </c>
      <c r="B4" s="44" t="s">
        <v>24</v>
      </c>
      <c r="C4" s="5" t="s">
        <v>903</v>
      </c>
      <c r="D4" s="8">
        <f>PSS!D87</f>
        <v>22869628749.940002</v>
      </c>
      <c r="E4" s="8">
        <f>PSS!E87</f>
        <v>21183805757.020004</v>
      </c>
      <c r="F4" s="8">
        <f>PSS!F87</f>
        <v>21183805757.019989</v>
      </c>
      <c r="G4" s="38">
        <f>F4-E4</f>
        <v>0</v>
      </c>
      <c r="H4" s="38">
        <f>F4-D4</f>
        <v>-1685822992.9200134</v>
      </c>
    </row>
    <row r="5" spans="1:8" s="3" customFormat="1" x14ac:dyDescent="0.35">
      <c r="A5" s="2" t="s">
        <v>5</v>
      </c>
      <c r="B5" s="44"/>
      <c r="C5" s="5" t="s">
        <v>904</v>
      </c>
      <c r="D5" s="8">
        <v>3134085678.3499999</v>
      </c>
      <c r="E5" s="8">
        <v>2760701588.3300004</v>
      </c>
      <c r="F5" s="8">
        <v>2918049162</v>
      </c>
      <c r="G5" s="39">
        <v>157347573.6699996</v>
      </c>
      <c r="H5" s="39">
        <v>-216036516.3499999</v>
      </c>
    </row>
    <row r="6" spans="1:8" s="3" customFormat="1" x14ac:dyDescent="0.35">
      <c r="A6" s="4" t="s">
        <v>6</v>
      </c>
      <c r="B6" s="44" t="s">
        <v>905</v>
      </c>
      <c r="C6" s="5" t="s">
        <v>903</v>
      </c>
      <c r="D6" s="8">
        <f>PSS!D89</f>
        <v>9359451.5800000001</v>
      </c>
      <c r="E6" s="8">
        <f>PSS!E89</f>
        <v>9359451.5800000001</v>
      </c>
      <c r="F6" s="8">
        <f>PSS!F89</f>
        <v>9359451.5800000001</v>
      </c>
      <c r="G6" s="38">
        <f>F6-E6</f>
        <v>0</v>
      </c>
      <c r="H6" s="38">
        <f>F6-D6</f>
        <v>0</v>
      </c>
    </row>
    <row r="7" spans="1:8" x14ac:dyDescent="0.35">
      <c r="A7" s="4" t="s">
        <v>6</v>
      </c>
      <c r="B7" s="44"/>
      <c r="C7" s="5" t="s">
        <v>904</v>
      </c>
      <c r="D7" s="8">
        <v>219250365.84</v>
      </c>
      <c r="E7" s="8">
        <v>212767857.88</v>
      </c>
      <c r="F7" s="8">
        <v>213350236.56</v>
      </c>
      <c r="G7" s="39">
        <v>582378.68000000715</v>
      </c>
      <c r="H7" s="39">
        <v>-5900129.2800000012</v>
      </c>
    </row>
    <row r="8" spans="1:8" x14ac:dyDescent="0.35">
      <c r="A8" s="1" t="s">
        <v>7</v>
      </c>
      <c r="B8" s="50" t="s">
        <v>26</v>
      </c>
      <c r="C8" s="5" t="s">
        <v>903</v>
      </c>
      <c r="D8" s="9">
        <f>PSS!D142</f>
        <v>4953296397.1100006</v>
      </c>
      <c r="E8" s="9">
        <f>PSS!E142</f>
        <v>4953296397.1100006</v>
      </c>
      <c r="F8" s="9">
        <f>PSS!F142</f>
        <v>4953296397.1100006</v>
      </c>
      <c r="G8" s="38">
        <f>F8-E8</f>
        <v>0</v>
      </c>
      <c r="H8" s="38">
        <f>F8-D8</f>
        <v>0</v>
      </c>
    </row>
    <row r="9" spans="1:8" x14ac:dyDescent="0.35">
      <c r="A9" s="1" t="s">
        <v>7</v>
      </c>
      <c r="B9" s="50"/>
      <c r="C9" s="5" t="s">
        <v>904</v>
      </c>
      <c r="D9" s="8">
        <v>124165293.23</v>
      </c>
      <c r="E9" s="8">
        <v>124165293.23</v>
      </c>
      <c r="F9" s="8">
        <v>124164215.17000002</v>
      </c>
      <c r="G9" s="39">
        <v>-1078.059999987483</v>
      </c>
      <c r="H9" s="39">
        <v>-1078.059999987483</v>
      </c>
    </row>
    <row r="10" spans="1:8" x14ac:dyDescent="0.35">
      <c r="A10" s="4" t="s">
        <v>8</v>
      </c>
      <c r="B10" s="19" t="s">
        <v>27</v>
      </c>
      <c r="C10" s="5" t="s">
        <v>903</v>
      </c>
      <c r="D10" s="9">
        <f>PSS!D335</f>
        <v>17891351414.810001</v>
      </c>
      <c r="E10" s="9">
        <f>PSS!E335</f>
        <v>15153944125.49</v>
      </c>
      <c r="F10" s="9">
        <f>PSS!F335</f>
        <v>16927631919.739998</v>
      </c>
      <c r="G10" s="38">
        <f>F10-E10</f>
        <v>1773687794.2499981</v>
      </c>
      <c r="H10" s="38">
        <f>F10-D10</f>
        <v>-963719495.07000351</v>
      </c>
    </row>
    <row r="11" spans="1:8" s="3" customFormat="1" x14ac:dyDescent="0.35">
      <c r="A11" s="2" t="s">
        <v>9</v>
      </c>
      <c r="B11" s="19" t="s">
        <v>28</v>
      </c>
      <c r="C11" s="5" t="s">
        <v>904</v>
      </c>
      <c r="D11" s="8">
        <v>146279288.94999999</v>
      </c>
      <c r="E11" s="8">
        <v>146273869.90000001</v>
      </c>
      <c r="F11" s="8">
        <v>146279268.97000003</v>
      </c>
      <c r="G11" s="39">
        <v>5399.0700000226498</v>
      </c>
      <c r="H11" s="39">
        <v>16990804.86999996</v>
      </c>
    </row>
    <row r="12" spans="1:8" x14ac:dyDescent="0.35">
      <c r="A12" s="4" t="s">
        <v>10</v>
      </c>
      <c r="B12" s="50" t="s">
        <v>29</v>
      </c>
      <c r="C12" s="5" t="s">
        <v>903</v>
      </c>
      <c r="D12" s="9">
        <f>PSS!D361</f>
        <v>2385459630.1199999</v>
      </c>
      <c r="E12" s="9">
        <f>PSS!E361</f>
        <v>1192407641.8799996</v>
      </c>
      <c r="F12" s="9">
        <f>PSS!F361</f>
        <v>1192407641.8799996</v>
      </c>
      <c r="G12" s="38">
        <f>F12-E12</f>
        <v>0</v>
      </c>
      <c r="H12" s="38">
        <f>F12-D12</f>
        <v>-1193051988.2400002</v>
      </c>
    </row>
    <row r="13" spans="1:8" x14ac:dyDescent="0.35">
      <c r="A13" s="4" t="s">
        <v>10</v>
      </c>
      <c r="B13" s="52"/>
      <c r="C13" s="5" t="s">
        <v>904</v>
      </c>
      <c r="D13" s="8">
        <v>874558148.84000003</v>
      </c>
      <c r="E13" s="8">
        <v>435007221.25999999</v>
      </c>
      <c r="F13" s="8">
        <v>435006943.53999996</v>
      </c>
      <c r="G13" s="39">
        <v>-277.72000002861023</v>
      </c>
      <c r="H13" s="39">
        <v>-439551205.30000007</v>
      </c>
    </row>
    <row r="14" spans="1:8" x14ac:dyDescent="0.35">
      <c r="A14" s="4" t="s">
        <v>11</v>
      </c>
      <c r="B14" s="50" t="s">
        <v>30</v>
      </c>
      <c r="C14" s="5" t="s">
        <v>903</v>
      </c>
      <c r="D14" s="9">
        <f>PSS!D365</f>
        <v>4434804635.6899996</v>
      </c>
      <c r="E14" s="9">
        <f>PSS!E365</f>
        <v>3954987190.3699999</v>
      </c>
      <c r="F14" s="9">
        <f>PSS!F365</f>
        <v>3954987190.3699999</v>
      </c>
      <c r="G14" s="38">
        <f>F14-E14</f>
        <v>0</v>
      </c>
      <c r="H14" s="38">
        <f>F14-D14</f>
        <v>-479817445.31999969</v>
      </c>
    </row>
    <row r="15" spans="1:8" x14ac:dyDescent="0.35">
      <c r="A15" s="4" t="s">
        <v>11</v>
      </c>
      <c r="B15" s="52"/>
      <c r="C15" s="5" t="s">
        <v>904</v>
      </c>
      <c r="D15" s="8">
        <v>2066453812.1199999</v>
      </c>
      <c r="E15" s="8">
        <v>1676120343.4000001</v>
      </c>
      <c r="F15" s="8">
        <v>1676119854.6900001</v>
      </c>
      <c r="G15" s="39">
        <v>-488.71000003814697</v>
      </c>
      <c r="H15" s="39">
        <v>-2066453812.1199999</v>
      </c>
    </row>
    <row r="16" spans="1:8" x14ac:dyDescent="0.35">
      <c r="A16" s="4" t="s">
        <v>12</v>
      </c>
      <c r="B16" s="50" t="s">
        <v>31</v>
      </c>
      <c r="C16" s="5" t="s">
        <v>903</v>
      </c>
      <c r="D16" s="9">
        <f>PSS!D549</f>
        <v>3095107712.3599973</v>
      </c>
      <c r="E16" s="9">
        <f>PSS!E549</f>
        <v>2962535503.8199983</v>
      </c>
      <c r="F16" s="9">
        <f>PSS!F549</f>
        <v>2962535503.8199983</v>
      </c>
      <c r="G16" s="38">
        <f>F16-E16</f>
        <v>0</v>
      </c>
      <c r="H16" s="38">
        <f>F16-D16</f>
        <v>-132572208.53999901</v>
      </c>
    </row>
    <row r="17" spans="1:8" x14ac:dyDescent="0.35">
      <c r="A17" s="4" t="s">
        <v>12</v>
      </c>
      <c r="B17" s="52"/>
      <c r="C17" s="5" t="s">
        <v>904</v>
      </c>
      <c r="D17" s="8">
        <v>311165773.78000009</v>
      </c>
      <c r="E17" s="8">
        <v>261922715.68000013</v>
      </c>
      <c r="F17" s="8">
        <v>261922651.30999988</v>
      </c>
      <c r="G17" s="39">
        <v>-64.370000243186951</v>
      </c>
      <c r="H17" s="39">
        <v>-49243122.470000207</v>
      </c>
    </row>
    <row r="18" spans="1:8" ht="14.5" customHeight="1" x14ac:dyDescent="0.35">
      <c r="A18" s="4" t="s">
        <v>13</v>
      </c>
      <c r="B18" s="50" t="s">
        <v>32</v>
      </c>
      <c r="C18" s="5" t="s">
        <v>903</v>
      </c>
      <c r="D18" s="9">
        <f>PSS!D570</f>
        <v>11089621693.98</v>
      </c>
      <c r="E18" s="9">
        <f>PSS!E570</f>
        <v>5460458541.7099991</v>
      </c>
      <c r="F18" s="9">
        <f>PSS!F570</f>
        <v>5460458541.7099991</v>
      </c>
      <c r="G18" s="38">
        <f>F18-E18</f>
        <v>0</v>
      </c>
      <c r="H18" s="38">
        <f>F18-D18</f>
        <v>-5629163152.2700005</v>
      </c>
    </row>
    <row r="19" spans="1:8" x14ac:dyDescent="0.35">
      <c r="A19" s="4" t="s">
        <v>14</v>
      </c>
      <c r="B19" s="52"/>
      <c r="C19" s="5" t="s">
        <v>904</v>
      </c>
      <c r="D19" s="9">
        <v>0</v>
      </c>
      <c r="E19" s="9">
        <v>0</v>
      </c>
      <c r="F19" s="9">
        <v>0</v>
      </c>
      <c r="G19" s="40">
        <v>0</v>
      </c>
      <c r="H19" s="40">
        <v>0</v>
      </c>
    </row>
    <row r="20" spans="1:8" x14ac:dyDescent="0.35">
      <c r="A20" s="4" t="s">
        <v>15</v>
      </c>
      <c r="B20" s="50" t="s">
        <v>33</v>
      </c>
      <c r="C20" s="5" t="s">
        <v>903</v>
      </c>
      <c r="D20" s="9">
        <f>PSS!D694</f>
        <v>8587097167.2699995</v>
      </c>
      <c r="E20" s="9">
        <f>PSS!E694</f>
        <v>8539505728.5299988</v>
      </c>
      <c r="F20" s="9">
        <f>PSS!F694</f>
        <v>8539505728.529995</v>
      </c>
      <c r="G20" s="38">
        <f>F20-E20</f>
        <v>0</v>
      </c>
      <c r="H20" s="38">
        <f>F20-D20</f>
        <v>-47591438.740004539</v>
      </c>
    </row>
    <row r="21" spans="1:8" x14ac:dyDescent="0.35">
      <c r="A21" s="4" t="s">
        <v>15</v>
      </c>
      <c r="B21" s="52"/>
      <c r="C21" s="5" t="s">
        <v>904</v>
      </c>
      <c r="D21" s="8">
        <v>3241256963.2099996</v>
      </c>
      <c r="E21" s="8">
        <v>3192347181.1100001</v>
      </c>
      <c r="F21" s="8">
        <v>3221956579.8300004</v>
      </c>
      <c r="G21" s="39">
        <v>29609398.720000267</v>
      </c>
      <c r="H21" s="39">
        <v>-19300383.379999161</v>
      </c>
    </row>
    <row r="22" spans="1:8" x14ac:dyDescent="0.35">
      <c r="A22" s="4" t="s">
        <v>16</v>
      </c>
      <c r="B22" s="50" t="s">
        <v>34</v>
      </c>
      <c r="C22" s="5" t="s">
        <v>903</v>
      </c>
      <c r="D22" s="9">
        <f>PSS!D796</f>
        <v>1806289466.6799996</v>
      </c>
      <c r="E22" s="9">
        <f>PSS!E796</f>
        <v>1766345812.0999994</v>
      </c>
      <c r="F22" s="9">
        <f>PSS!F796</f>
        <v>1766345812.0999997</v>
      </c>
      <c r="G22" s="38">
        <f>F22-E22</f>
        <v>0</v>
      </c>
      <c r="H22" s="38">
        <f>F22-D22</f>
        <v>-39943654.579999924</v>
      </c>
    </row>
    <row r="23" spans="1:8" x14ac:dyDescent="0.35">
      <c r="A23" s="4" t="s">
        <v>16</v>
      </c>
      <c r="B23" s="52"/>
      <c r="C23" s="5" t="s">
        <v>904</v>
      </c>
      <c r="D23" s="8">
        <v>1734134.9000000001</v>
      </c>
      <c r="E23" s="8">
        <v>1683220.27</v>
      </c>
      <c r="F23" s="8">
        <v>1683220.1500000001</v>
      </c>
      <c r="G23" s="39">
        <v>-0.11999999987892807</v>
      </c>
      <c r="H23" s="39">
        <v>-1734134.9000000001</v>
      </c>
    </row>
    <row r="24" spans="1:8" x14ac:dyDescent="0.35">
      <c r="A24" s="4" t="s">
        <v>17</v>
      </c>
      <c r="B24" s="50" t="s">
        <v>35</v>
      </c>
      <c r="C24" s="5" t="s">
        <v>903</v>
      </c>
      <c r="D24" s="9">
        <v>0</v>
      </c>
      <c r="E24" s="9">
        <v>0</v>
      </c>
      <c r="F24" s="9">
        <v>0</v>
      </c>
      <c r="G24" s="38">
        <f>F24-E24</f>
        <v>0</v>
      </c>
      <c r="H24" s="38">
        <f>F24-D24</f>
        <v>0</v>
      </c>
    </row>
    <row r="25" spans="1:8" x14ac:dyDescent="0.35">
      <c r="A25" s="4" t="s">
        <v>17</v>
      </c>
      <c r="B25" s="52"/>
      <c r="C25" s="5" t="s">
        <v>904</v>
      </c>
      <c r="D25" s="9">
        <v>0</v>
      </c>
      <c r="E25" s="9">
        <v>0</v>
      </c>
      <c r="F25" s="9">
        <v>0</v>
      </c>
      <c r="G25" s="39">
        <f>F25-E25</f>
        <v>0</v>
      </c>
      <c r="H25" s="39">
        <f>F25-D25</f>
        <v>0</v>
      </c>
    </row>
    <row r="26" spans="1:8" x14ac:dyDescent="0.35">
      <c r="A26" s="4" t="s">
        <v>18</v>
      </c>
      <c r="B26" s="50" t="s">
        <v>36</v>
      </c>
      <c r="C26" s="5" t="s">
        <v>903</v>
      </c>
      <c r="D26" s="9">
        <v>0</v>
      </c>
      <c r="E26" s="9">
        <v>0</v>
      </c>
      <c r="F26" s="9">
        <v>0</v>
      </c>
      <c r="G26" s="38">
        <f>F26-E26</f>
        <v>0</v>
      </c>
      <c r="H26" s="38">
        <f>F26-D26</f>
        <v>0</v>
      </c>
    </row>
    <row r="27" spans="1:8" x14ac:dyDescent="0.35">
      <c r="A27" s="4" t="s">
        <v>18</v>
      </c>
      <c r="B27" s="52"/>
      <c r="C27" s="5" t="s">
        <v>904</v>
      </c>
      <c r="D27" s="9">
        <v>0</v>
      </c>
      <c r="E27" s="9">
        <v>0</v>
      </c>
      <c r="F27" s="9">
        <v>0</v>
      </c>
      <c r="G27" s="39">
        <f>F27-E27</f>
        <v>0</v>
      </c>
      <c r="H27" s="39">
        <f>F27-D27</f>
        <v>0</v>
      </c>
    </row>
    <row r="28" spans="1:8" x14ac:dyDescent="0.35">
      <c r="A28" s="4" t="s">
        <v>19</v>
      </c>
      <c r="B28" s="50" t="s">
        <v>37</v>
      </c>
      <c r="C28" s="5" t="s">
        <v>903</v>
      </c>
      <c r="D28" s="9">
        <f>PSS!D804</f>
        <v>1966618618.0600002</v>
      </c>
      <c r="E28" s="9">
        <f>PSS!E804</f>
        <v>1966618618.0600002</v>
      </c>
      <c r="F28" s="9">
        <f>PSS!F804</f>
        <v>1966618618.0600002</v>
      </c>
      <c r="G28" s="38">
        <f>F28-E28</f>
        <v>0</v>
      </c>
      <c r="H28" s="38">
        <f>F28-D28</f>
        <v>0</v>
      </c>
    </row>
    <row r="29" spans="1:8" x14ac:dyDescent="0.35">
      <c r="A29" s="4" t="s">
        <v>19</v>
      </c>
      <c r="B29" s="52"/>
      <c r="C29" s="5" t="s">
        <v>904</v>
      </c>
      <c r="D29" s="8">
        <v>891695919.38999999</v>
      </c>
      <c r="E29" s="8">
        <v>891695919.38999999</v>
      </c>
      <c r="F29" s="8">
        <v>891695912.49000001</v>
      </c>
      <c r="G29" s="39">
        <v>-6.8999999761581421</v>
      </c>
      <c r="H29" s="39">
        <v>-891695919.38999999</v>
      </c>
    </row>
    <row r="30" spans="1:8" x14ac:dyDescent="0.35">
      <c r="A30" s="4" t="s">
        <v>20</v>
      </c>
      <c r="B30" s="50" t="s">
        <v>38</v>
      </c>
      <c r="C30" s="5" t="s">
        <v>903</v>
      </c>
      <c r="D30" s="9">
        <v>0</v>
      </c>
      <c r="E30" s="9">
        <v>0</v>
      </c>
      <c r="F30" s="9">
        <v>0</v>
      </c>
      <c r="G30" s="38">
        <f>F30-E30</f>
        <v>0</v>
      </c>
      <c r="H30" s="38">
        <f>F30-D30</f>
        <v>0</v>
      </c>
    </row>
    <row r="31" spans="1:8" x14ac:dyDescent="0.35">
      <c r="A31" s="4" t="s">
        <v>20</v>
      </c>
      <c r="B31" s="52"/>
      <c r="C31" s="5" t="s">
        <v>904</v>
      </c>
      <c r="D31" s="9">
        <v>0</v>
      </c>
      <c r="E31" s="9">
        <v>0</v>
      </c>
      <c r="F31" s="9">
        <v>0</v>
      </c>
      <c r="G31" s="39">
        <f>F31-E31</f>
        <v>0</v>
      </c>
      <c r="H31" s="39">
        <f>F31-D31</f>
        <v>0</v>
      </c>
    </row>
    <row r="32" spans="1:8" x14ac:dyDescent="0.35">
      <c r="A32" s="4" t="s">
        <v>21</v>
      </c>
      <c r="B32" s="50" t="s">
        <v>39</v>
      </c>
      <c r="C32" s="5" t="s">
        <v>903</v>
      </c>
      <c r="D32" s="9">
        <f>PSS!D868</f>
        <v>36975685537.959999</v>
      </c>
      <c r="E32" s="9">
        <f>PSS!E868</f>
        <v>7934437505.54</v>
      </c>
      <c r="F32" s="9">
        <f>PSS!F868</f>
        <v>25144302563.299999</v>
      </c>
      <c r="G32" s="38">
        <f>F32-E32</f>
        <v>17209865057.759998</v>
      </c>
      <c r="H32" s="38">
        <f>F32-D32</f>
        <v>-11831382974.66</v>
      </c>
    </row>
    <row r="33" spans="1:8" x14ac:dyDescent="0.35">
      <c r="A33" s="4" t="s">
        <v>21</v>
      </c>
      <c r="B33" s="52"/>
      <c r="C33" s="5" t="s">
        <v>904</v>
      </c>
      <c r="D33" s="8">
        <v>9242000886.3099995</v>
      </c>
      <c r="E33" s="8">
        <v>1973665429.0599999</v>
      </c>
      <c r="F33" s="8">
        <v>43455725123.400002</v>
      </c>
      <c r="G33" s="39">
        <v>41482059694.340004</v>
      </c>
      <c r="H33" s="39">
        <v>34213724237.090004</v>
      </c>
    </row>
    <row r="34" spans="1:8" x14ac:dyDescent="0.35">
      <c r="A34" s="4" t="s">
        <v>22</v>
      </c>
      <c r="B34" s="53" t="s">
        <v>40</v>
      </c>
      <c r="C34" s="5" t="s">
        <v>903</v>
      </c>
      <c r="D34" s="9">
        <v>0</v>
      </c>
      <c r="E34" s="9">
        <v>0</v>
      </c>
      <c r="F34" s="9">
        <v>0</v>
      </c>
      <c r="G34" s="38">
        <f>F34-E34</f>
        <v>0</v>
      </c>
      <c r="H34" s="38">
        <f>F34-D34</f>
        <v>0</v>
      </c>
    </row>
    <row r="35" spans="1:8" x14ac:dyDescent="0.35">
      <c r="A35" s="4" t="s">
        <v>22</v>
      </c>
      <c r="B35" s="54"/>
      <c r="C35" s="5" t="s">
        <v>904</v>
      </c>
      <c r="D35" s="9">
        <v>0</v>
      </c>
      <c r="E35" s="9">
        <v>0</v>
      </c>
      <c r="F35" s="9">
        <v>0</v>
      </c>
      <c r="G35" s="39">
        <f>F35-E35</f>
        <v>0</v>
      </c>
      <c r="H35" s="39">
        <f>F35-D35</f>
        <v>0</v>
      </c>
    </row>
    <row r="37" spans="1:8" x14ac:dyDescent="0.35">
      <c r="B37" s="47" t="s">
        <v>906</v>
      </c>
      <c r="C37" s="7" t="s">
        <v>903</v>
      </c>
      <c r="D37" s="9">
        <f>SUMIF($C$2:$C$35,"PSS",D2:D35)</f>
        <v>126191392684.71002</v>
      </c>
      <c r="E37" s="9">
        <f>SUMIF($C$2:$C$35,"PSS",E2:E35)</f>
        <v>84483929936.990005</v>
      </c>
      <c r="F37" s="9">
        <f>SUMIF($C$2:$C$35,"PSS",F2:F35)</f>
        <v>103467482788.99998</v>
      </c>
      <c r="G37" s="9">
        <f>SUMIF($C$2:$C$35,"PSS",G2:G35)</f>
        <v>18983552852.009995</v>
      </c>
      <c r="H37" s="9">
        <f>SUMIF($C$2:$C$35,"PSS",H2:H35)</f>
        <v>-22723909895.710022</v>
      </c>
    </row>
    <row r="38" spans="1:8" x14ac:dyDescent="0.35">
      <c r="B38" s="47"/>
      <c r="C38" s="7" t="s">
        <v>904</v>
      </c>
      <c r="D38" s="9">
        <f>SUMIF($C$3:$C$36,"USD",D3:D36)</f>
        <v>21853562753.839996</v>
      </c>
      <c r="E38" s="9">
        <f>SUMIF($C$3:$C$36,"USD",E3:E36)</f>
        <v>13224574950.58</v>
      </c>
      <c r="F38" s="9">
        <f>SUMIF($C$3:$C$36,"USD",F3:F36)</f>
        <v>54894177014.389999</v>
      </c>
      <c r="G38" s="9">
        <f>SUMIF($C$3:$C$36,"USD",G3:G36)</f>
        <v>41669602063.810005</v>
      </c>
      <c r="H38" s="9">
        <f>SUMIF($C$3:$C$36,"USD",H3:H36)</f>
        <v>30488106098.070004</v>
      </c>
    </row>
    <row r="40" spans="1:8" x14ac:dyDescent="0.35">
      <c r="B40" s="47" t="s">
        <v>907</v>
      </c>
      <c r="C40" s="7" t="s">
        <v>903</v>
      </c>
      <c r="D40" s="9">
        <f t="shared" ref="D40:H41" si="0">D37-D32</f>
        <v>89215707146.750031</v>
      </c>
      <c r="E40" s="9">
        <f t="shared" si="0"/>
        <v>76549492431.450012</v>
      </c>
      <c r="F40" s="9">
        <f t="shared" si="0"/>
        <v>78323180225.699982</v>
      </c>
      <c r="G40" s="9">
        <f t="shared" si="0"/>
        <v>1773687794.2499962</v>
      </c>
      <c r="H40" s="9">
        <f t="shared" si="0"/>
        <v>-10892526921.050022</v>
      </c>
    </row>
    <row r="41" spans="1:8" x14ac:dyDescent="0.35">
      <c r="B41" s="47"/>
      <c r="C41" s="7" t="s">
        <v>904</v>
      </c>
      <c r="D41" s="9">
        <f t="shared" si="0"/>
        <v>12611561867.529997</v>
      </c>
      <c r="E41" s="9">
        <f t="shared" si="0"/>
        <v>11250909521.52</v>
      </c>
      <c r="F41" s="9">
        <f t="shared" si="0"/>
        <v>11438451890.989998</v>
      </c>
      <c r="G41" s="9">
        <f t="shared" si="0"/>
        <v>187542369.47000122</v>
      </c>
      <c r="H41" s="9">
        <f t="shared" si="0"/>
        <v>-3725618139.0200005</v>
      </c>
    </row>
    <row r="43" spans="1:8" x14ac:dyDescent="0.35">
      <c r="B43" s="47" t="s">
        <v>908</v>
      </c>
      <c r="C43" s="7" t="s">
        <v>903</v>
      </c>
      <c r="D43" s="41">
        <f t="shared" ref="D43:H44" si="1">D40-D10</f>
        <v>71324355731.940033</v>
      </c>
      <c r="E43" s="41">
        <f t="shared" si="1"/>
        <v>61395548305.960014</v>
      </c>
      <c r="F43" s="41">
        <f t="shared" si="1"/>
        <v>61395548305.959984</v>
      </c>
      <c r="G43" s="42">
        <f t="shared" si="1"/>
        <v>-1.9073486328125E-6</v>
      </c>
      <c r="H43" s="41">
        <f t="shared" si="1"/>
        <v>-9928807425.9800186</v>
      </c>
    </row>
    <row r="44" spans="1:8" x14ac:dyDescent="0.35">
      <c r="B44" s="47"/>
      <c r="C44" s="7" t="s">
        <v>904</v>
      </c>
      <c r="D44" s="41">
        <f t="shared" si="1"/>
        <v>12465282578.579996</v>
      </c>
      <c r="E44" s="41">
        <f t="shared" si="1"/>
        <v>11104635651.620001</v>
      </c>
      <c r="F44" s="41">
        <f t="shared" si="1"/>
        <v>11292172622.019999</v>
      </c>
      <c r="G44" s="41">
        <f t="shared" si="1"/>
        <v>187536970.4000012</v>
      </c>
      <c r="H44" s="41">
        <f t="shared" si="1"/>
        <v>-3742608943.8900003</v>
      </c>
    </row>
  </sheetData>
  <autoFilter ref="A1:H35" xr:uid="{2452D970-6750-4172-BDB0-1B93BEEF2C1F}"/>
  <mergeCells count="19">
    <mergeCell ref="B2:B3"/>
    <mergeCell ref="B4:B5"/>
    <mergeCell ref="B6:B7"/>
    <mergeCell ref="B8:B9"/>
    <mergeCell ref="B37:B38"/>
    <mergeCell ref="B34:B35"/>
    <mergeCell ref="B12:B13"/>
    <mergeCell ref="B14:B15"/>
    <mergeCell ref="B16:B17"/>
    <mergeCell ref="B18:B19"/>
    <mergeCell ref="B20:B21"/>
    <mergeCell ref="B22:B23"/>
    <mergeCell ref="B24:B25"/>
    <mergeCell ref="B40:B41"/>
    <mergeCell ref="B43:B44"/>
    <mergeCell ref="B26:B27"/>
    <mergeCell ref="B28:B29"/>
    <mergeCell ref="B30:B31"/>
    <mergeCell ref="B32:B33"/>
  </mergeCells>
  <conditionalFormatting sqref="G2:H35">
    <cfRule type="cellIs" dxfId="8" priority="7" operator="lessThan">
      <formula>0</formula>
    </cfRule>
    <cfRule type="cellIs" dxfId="7" priority="8" operator="greaterThan">
      <formula>0</formula>
    </cfRule>
    <cfRule type="cellIs" dxfId="6" priority="9" operator="equal">
      <formula>0</formula>
    </cfRule>
  </conditionalFormatting>
  <conditionalFormatting sqref="G37:H3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40:H4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H43 G44:H4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F4724-D075-4D02-9643-02E74D9961F4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327bade-6e9b-4e0f-a44d-50f3f208516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8DC42D-43F3-4063-94DA-78668E62F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B4F182-3716-439C-BB77-960ED69D20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PSS</vt:lpstr>
      <vt:lpstr>USD</vt:lpstr>
      <vt:lpstr>EUR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2026-06-18T14:44:28Z</dcterms:created>
  <dcterms:modified xsi:type="dcterms:W3CDTF">2026-06-18T22:55:10Z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