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spachasn_proveedor_intercorp_com_pe/Documents/1. IBK/9. Modelo de Datos/"/>
    </mc:Choice>
  </mc:AlternateContent>
  <xr:revisionPtr revIDLastSave="935" documentId="8_{24A603A0-C53B-4B2C-A542-EB2752778485}" xr6:coauthVersionLast="47" xr6:coauthVersionMax="47" xr10:uidLastSave="{7B21450B-85F9-407E-A830-BB5AA9F9454D}"/>
  <bookViews>
    <workbookView xWindow="-110" yWindow="-110" windowWidth="19420" windowHeight="11500" tabRatio="708" xr2:uid="{E781E287-5D13-4BD9-BF6A-910B21DB4CBA}"/>
  </bookViews>
  <sheets>
    <sheet name="INDICE" sheetId="2" r:id="rId1"/>
    <sheet name="COMPARATIVA" sheetId="5" r:id="rId2"/>
    <sheet name="Cantidad_registros" sheetId="4" state="hidden" r:id="rId3"/>
  </sheets>
  <definedNames>
    <definedName name="_xlnm._FilterDatabase" localSheetId="0" hidden="1">INDICE!$A$1:$D$1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5" l="1"/>
  <c r="I11" i="5" l="1"/>
  <c r="G11" i="5"/>
  <c r="I14" i="5"/>
  <c r="I5" i="5"/>
  <c r="I6" i="5"/>
  <c r="I7" i="5"/>
  <c r="I8" i="5"/>
  <c r="I9" i="5"/>
  <c r="I3" i="5"/>
  <c r="I16" i="5"/>
  <c r="G4" i="5"/>
  <c r="I4" i="5" s="1"/>
  <c r="I15" i="5"/>
  <c r="I12" i="5"/>
  <c r="J4" i="5"/>
  <c r="J5" i="5"/>
  <c r="J6" i="5"/>
  <c r="J7" i="5"/>
  <c r="J8" i="5"/>
  <c r="J9" i="5"/>
  <c r="J11" i="5"/>
  <c r="J12" i="5"/>
  <c r="J14" i="5"/>
  <c r="J15" i="5"/>
  <c r="J16" i="5"/>
  <c r="J3" i="5"/>
  <c r="F4" i="4"/>
  <c r="F5" i="4"/>
  <c r="F6" i="4"/>
  <c r="F7" i="4"/>
  <c r="F8" i="4"/>
  <c r="F9" i="4"/>
  <c r="F11" i="4"/>
  <c r="F12" i="4"/>
  <c r="F14" i="4"/>
  <c r="F15" i="4"/>
  <c r="F16" i="4"/>
  <c r="F3" i="4"/>
</calcChain>
</file>

<file path=xl/sharedStrings.xml><?xml version="1.0" encoding="utf-8"?>
<sst xmlns="http://schemas.openxmlformats.org/spreadsheetml/2006/main" count="397" uniqueCount="145">
  <si>
    <t>APLICATIVO</t>
  </si>
  <si>
    <t>TABLA</t>
  </si>
  <si>
    <t>SCF</t>
  </si>
  <si>
    <t>RNT.T_APRRINT_SCF_TMP</t>
  </si>
  <si>
    <t>Cartas fianza</t>
  </si>
  <si>
    <t>LIC</t>
  </si>
  <si>
    <t>TLD</t>
  </si>
  <si>
    <t>JCC</t>
  </si>
  <si>
    <t>$IT</t>
  </si>
  <si>
    <t>REJ</t>
  </si>
  <si>
    <t>EDP</t>
  </si>
  <si>
    <t>RNC</t>
  </si>
  <si>
    <t>BKD</t>
  </si>
  <si>
    <t>AR</t>
  </si>
  <si>
    <t>GAC</t>
  </si>
  <si>
    <t>DEP</t>
  </si>
  <si>
    <t>PPA</t>
  </si>
  <si>
    <t>SAT</t>
  </si>
  <si>
    <t>CCD</t>
  </si>
  <si>
    <t>BSE</t>
  </si>
  <si>
    <t>ITB</t>
  </si>
  <si>
    <t>FCD</t>
  </si>
  <si>
    <t>INC</t>
  </si>
  <si>
    <t>PAG</t>
  </si>
  <si>
    <t>$ST</t>
  </si>
  <si>
    <t>BKT</t>
  </si>
  <si>
    <t>ITF</t>
  </si>
  <si>
    <t>HPC</t>
  </si>
  <si>
    <t>MDC</t>
  </si>
  <si>
    <t>$IM</t>
  </si>
  <si>
    <t>EBS</t>
  </si>
  <si>
    <t>LBC</t>
  </si>
  <si>
    <t>TMF</t>
  </si>
  <si>
    <t>CJE</t>
  </si>
  <si>
    <t>CBA</t>
  </si>
  <si>
    <t>IPG</t>
  </si>
  <si>
    <t>CDO</t>
  </si>
  <si>
    <t>MYP</t>
  </si>
  <si>
    <t>LPC</t>
  </si>
  <si>
    <t>REV</t>
  </si>
  <si>
    <t>WHP</t>
  </si>
  <si>
    <t>RNT.T_APRRINT_WBC_TMP</t>
  </si>
  <si>
    <t>RNT.T_APRRINT_TLD_TMP</t>
  </si>
  <si>
    <t>RNT.T_APRRINT_$ST_TMP</t>
  </si>
  <si>
    <t>RNT.T_APRRINT_$IM_TMP</t>
  </si>
  <si>
    <t>RNT.T_APRRINT_PRO_TMP</t>
  </si>
  <si>
    <t>RNT.T_APRRINT_PPA_TMP</t>
  </si>
  <si>
    <t>RNT.T_APRRINT_MYP_TMP</t>
  </si>
  <si>
    <t>RNT.T_APRRINT_MDC_TMP</t>
  </si>
  <si>
    <t>RNT.T_APRRINT_LPC_TMP</t>
  </si>
  <si>
    <t>RNT.T_APRRINT_LID_TMP</t>
  </si>
  <si>
    <t>RNT.T_APRRINT_LIC_TMP</t>
  </si>
  <si>
    <t>RNT.T_APRRINT_JCC_TMP</t>
  </si>
  <si>
    <t>RNT.T_APRRINT_HIP_TMP</t>
  </si>
  <si>
    <t>RNT.T_APRRINT_GAC_TMP</t>
  </si>
  <si>
    <t>RNT.T_APRRINT_FMU_TMP</t>
  </si>
  <si>
    <t>RNT.T_APRRINT_FCD_TMP</t>
  </si>
  <si>
    <t>Pendiente</t>
  </si>
  <si>
    <t>RNT.T_APRRINT_CNS_TMP</t>
  </si>
  <si>
    <t>RNT.T_APRRINT_CDO_TMP</t>
  </si>
  <si>
    <t>RNT.T_APRRINT_BKT_TMP</t>
  </si>
  <si>
    <t>RNT.T_APRRINT_ADJ_TMP</t>
  </si>
  <si>
    <t>P01_NU_DOCU</t>
  </si>
  <si>
    <t>P01_ID_DOCU</t>
  </si>
  <si>
    <t>WBC</t>
  </si>
  <si>
    <t>PRO</t>
  </si>
  <si>
    <t>LID</t>
  </si>
  <si>
    <t>HIP</t>
  </si>
  <si>
    <t>FMU</t>
  </si>
  <si>
    <t>CNS</t>
  </si>
  <si>
    <t>ADJ</t>
  </si>
  <si>
    <t>PRODUCTO</t>
  </si>
  <si>
    <t>-</t>
  </si>
  <si>
    <t>RESPONSABLE</t>
  </si>
  <si>
    <t>Sebastian</t>
  </si>
  <si>
    <t>Si</t>
  </si>
  <si>
    <t>No</t>
  </si>
  <si>
    <t>Mariano</t>
  </si>
  <si>
    <t>Cuentas Corrientes</t>
  </si>
  <si>
    <t>Ahorros, Plazo fijo, Certificados bancarios, Etc</t>
  </si>
  <si>
    <t>Tarejtas de Credito</t>
  </si>
  <si>
    <t>Creditos Hipotecarios</t>
  </si>
  <si>
    <t>Creditos (Consumo, Vehicular, etc)</t>
  </si>
  <si>
    <t>Financiamiento y Cobranza de documentos</t>
  </si>
  <si>
    <t>Fondos Mutuos de Inversión</t>
  </si>
  <si>
    <t>Judicial Condonación o Castigo</t>
  </si>
  <si>
    <t>Créditos de consumo por convenio</t>
  </si>
  <si>
    <t>Leasing y pagares en cuotas</t>
  </si>
  <si>
    <t>Micro pequeña empresa</t>
  </si>
  <si>
    <t>Tesorería</t>
  </si>
  <si>
    <t>Carta de Crédito de Exportaciones/Importaciones
Cobranza de Exportaciones/Importaciones</t>
  </si>
  <si>
    <t>CANTIDAD DE REGISTROS MOVCON</t>
  </si>
  <si>
    <t>CANTIDAD DE REGISTROS APR</t>
  </si>
  <si>
    <t xml:space="preserve">RNT.T_APRRINT_HIST_20260430 </t>
  </si>
  <si>
    <t>TABLA----&gt;</t>
  </si>
  <si>
    <t>QUERY</t>
  </si>
  <si>
    <t>select sum(count(*))
FROM RNT.T_APRRINT_HIST_20260430 
WHERE P01_ID_APLI = 'SCF' --and p01_ctrl02='0010'
group by P01_ID_CAMP_01,P01_CTRL03,	APRRMTX_ID_CLAV_01,	APRRMTX_ID_CLAV_02,P01_NU_DOCU,	APRRMTX_CO_FAMILIA,	P01_ID_DOCU;</t>
  </si>
  <si>
    <t>SUN</t>
  </si>
  <si>
    <t>select sum(count(*))
FROM RNT.T_APRRINT_HIST_20260430 
WHERE P01_ID_APLI = 'HPC' --and p01_ctrl02='0010'
group by P01_ID_CAMP_01,P01_NU_DOCU,P01_ID_CAMP_06,P01_ID_CAMP_02,P01_ID_CAMP_03,P01_OF_ADMIN,P01_ID_APLI;</t>
  </si>
  <si>
    <t>select sum(count(*))
FROM RNT.T_APRRINT_HIST_20260430 
WHERE P01_ID_APLI = 'FCD' --and p01_ctrl02='0010'
group by P01_NU_DOCU,P01_CTRL02,P01_CTRL02, APRRMTX_ID_CLAV_02, P01_ID_CAMP_03,	APRRMTX_SUB_CTA_ANALITICA,	DWHRR_ACCRUAL_BASIS_CD,	P01_TI_TASA, APRFCRO_TIPO_EXPOS, P01_CL_TASA, P01_ID_CAMP_01, P01_NU_DOCU;</t>
  </si>
  <si>
    <t>select sum(count(*))
FROM RNT.T_APRRINT_HIST_20260430 
WHERE P01_ID_APLI = 'CDO' --and p01_ctrl02='0010'
group by P01_ID_DOCU,	P01_CO_PROD_ORIG,	P01_ID_CAMP_03,	P01_ID_CAMP_05,	P01_ID_CAMP_06;</t>
  </si>
  <si>
    <t>select count(*)
FROM RNT.T_APRRINT_HIST_20260430 
WHERE P01_ID_APLI = 'BKT';</t>
  </si>
  <si>
    <t>ACCESO A LA TABLA APR</t>
  </si>
  <si>
    <t>ACCESO EN TABLA MOVCON</t>
  </si>
  <si>
    <t>ESTADO</t>
  </si>
  <si>
    <t>Validado</t>
  </si>
  <si>
    <t>DIFERENCIA</t>
  </si>
  <si>
    <t>select sum(count(*))
FROM RNT.T_APRRINT_HIST_20260430 
WHERE P01_ID_APLI = 'LIC' --and p01_ctrl02='0010'
group by P01_OF_ADMIN,	P01_NU_DOCU,P01_CO_PROD_ORIG,	P01_CTRL02,	P01_CTRL04,	P01_CTRL12,	P01_CO_TIENDA_IC,	APRFCRO_DIAS_ATRA_MES,	P01_ID_CAMP_03;</t>
  </si>
  <si>
    <t>select sum(count(*))
FROM RNT.T_APRRINT_HIST_20260430 
WHERE P01_ID_APLI = 'LPC' --and p01_ctrl02='0010'
group by APRRMTX_CO_FAMILIA	,P01_OF_ADMIN	,P01_ID_CAMP_02	,P01_ID_CAMP_03,	P01_CO_PROD_ORIG,	P01_NU_DOCU;</t>
  </si>
  <si>
    <t>NINGUN CAMPO FUE ENCONTRADO</t>
  </si>
  <si>
    <t>select sum(count(*))
FROM RNT.T_APRRINT_HIST_20260430 
WHERE P01_ID_APLI = 'MYP' --and p01_ctrl02='0010'
group by P01_ID_CAMP_01	,APRRMTX_CO_FAMILIA,	P01_OF_ADMIN,	P01_ID_CAMP_02,	P01_ID_CAMP_03,	P01_ID_CAMP_04	,P01_NU_DOCU	,	APRRMTX_CO_SUB_FAMILIA	,P01_ID_DOCU
;</t>
  </si>
  <si>
    <t>select *
from(
        select FM_CLAVE_CUENTA
        from rnt.t_inc_fmovcon_TMP
        where FM_APLICACION ='SCF' --and FM_CIA='1210'
        --group by FM_CLAVE_CUENTA
) 
full join (
        select P01_ID_CAMP_01,P01_CTRL03,	APRRMTX_ID_CLAV_01,	APRRMTX_ID_CLAV_02,substr(P01_NU_DOCU,3,8) as p01_nu_docu,	substr(p01_ctrl02,2,3) as moneda,	P01_ID_DOCU
        FROM RNT.T_APRRINT_HIST_20260430 
        WHERE P01_ID_APLI = 'SCF'  --and p01_ctrl02='0010'
        --group by P01_ID_CAMP_01,P01_CTRL03,	APRRMTX_ID_CLAV_01,	APRRMTX_ID_CLAV_02,P01_NU_DOCU,	APRRMTX_CO_FAMILIA,	P01_ID_DOCU
) on FM_CLAVE_CUENTA= P01_ID_CAMP_01
|| ' '
|| P01_CTRL03
|| APRRMTX_ID_CLAV_01
|| ' '
|| APRRMTX_ID_CLAV_02
|| ' '
|| P01_NU_DOCU
|| moneda
|| P01_ID_DOCU;</t>
  </si>
  <si>
    <t>CANTIDAD DE REGISTROS QUE CUADRAN</t>
  </si>
  <si>
    <t>CONCILIACION POR FM_CLAVE_CUENTA</t>
  </si>
  <si>
    <t>% CUADRA</t>
  </si>
  <si>
    <t>% NO CUADRA</t>
  </si>
  <si>
    <t>select sum(count(*))
FROM RNT.T_APRRINT_HIST_20260430 
WHERE P01_ID_APLI = '$ST' --and p01_ctrl02='0010'
group by P01_RUBRO, P01_OF_ADMIN,	APRRMTX_PRODUCTO_CRM,P01_NU_DOCU,	p01_ctrl02;</t>
  </si>
  <si>
    <t>select count(*)
FROM RNT.T_APRRINT_HIST_20260430 
WHERE P01_ID_APLI = '$IM';</t>
  </si>
  <si>
    <t>select *
from(
        select REPLACE(FM_CLAVE_CUENTA, ' ', '') AS FM_CLAVE_CUENTA
        from rnt.t_inc_fmovcon_TMP
        where FM_APLICACION ='CDO' --and FM_CIA='1210'
        group by REPLACE(FM_CLAVE_CUENTA, ' ', '')
) 
 join (
        select P01_ID_DOCU,	P01_CO_PROD_ORIG,	P01_ID_CAMP_03,	P01_ID_CAMP_05,	P01_ID_CAMP_06
        FROM RNT.T_APRRINT_HIST_20260430 
        WHERE P01_ID_APLI = 'CDO'  --and p01_ctrl02='0010'
        group by P01_ID_DOCU,P01_CO_PROD_ORIG,	P01_ID_CAMP_03,	P01_ID_CAMP_05,	P01_ID_CAMP_06
) on FM_CLAVE_CUENTA= P01_ID_DOCU
|| P01_CO_PROD_ORIG
|| P01_ID_CAMP_03
|| P01_ID_CAMP_05
|| P01_ID_CAMP_06;</t>
  </si>
  <si>
    <t>ORIGEN</t>
  </si>
  <si>
    <t>CAMPOS A CRUZAR</t>
  </si>
  <si>
    <t>CANTIDAD DE REGISTROS DE MOVCON QUE NO CUADRAN</t>
  </si>
  <si>
    <t>CANTIDAD DE REGISTROS DEL APR QUE NO CUADRAN</t>
  </si>
  <si>
    <t>TOTAL</t>
  </si>
  <si>
    <t>select *
from(
        select '00'||substr(FM_CLAVE_CUENTA,5,8) AS FM_CLAVE_CUENTA
        from rnt.t_inc_fmovcon_TMP
        where FM_APLICACION ='HPC' --and FM_CIA='1210'
        group by '00'||substr(FM_CLAVE_CUENTA,5,8)
) 
FULL join (
        select P01_NU_DOCU
        FROM; RNT.T_APRRINT_HIST_20260430 
        WHERE P01_ID_APLI = 'HPC'  --and p01_ctrl02='0010'
        group by P01_NU_DOCU
) on FM_CLAVE_CUENTA= P01_NU_DOCU</t>
  </si>
  <si>
    <t>SELECT  COUNT(*) FROM (
select *
from (
 select FM_CLAVE_CUENTA
        from rnt.t_inc_fmovcon_TMP
        where FM_APLICACION ='$ST' --and FM_CIA='1210'
        group by FM_CLAVE_CUENTA 
        )
FULL JOIN (
        SELECT P01_ID_DOCU
        FROM RNT.T_APRRINT_HIST_20260430 
        WHERE P01_ID_APLI = '$ST'  --and p01_ctrl02='0010'
       group by P01_ID_DOCU
) on FM_CLAVE_CUENTA=  P01_ID_DOCU
) WHERE P01_ID_DOCU IS NULL  ;</t>
  </si>
  <si>
    <t>select *
from(
        select substr(FM_CLAVE_CUENTA,1,10) AS FM_CLAVE_CUENTA
        from rnt.t_inc_fmovcon_TMP
        where FM_APLICACION ='FCD' --and FM_CIA='1210'
        group by substr(FM_CLAVE_CUENTA,1,10)
) 
FULL join (
        select P01_NU_DOCU
        FROM RNT.T_APRRINT_HIST_20260430 
        WHERE P01_ID_APLI = 'FCD'  --and p01_ctrl02='0010'
        group by P01_NU_DOCU
) on FM_CLAVE_CUENTA= P01_NU_DOCU;</t>
  </si>
  <si>
    <t>PRODUCTO DESFASADO</t>
  </si>
  <si>
    <t>PENDIENTE DE VALIDACION DE STEPHANIE SI SE USARA ESTE APLICATIVO</t>
  </si>
  <si>
    <t>PENDIENTE ACCESO A ESTA TABLA POR PARTE DE IBK</t>
  </si>
  <si>
    <t>P01_ID_CAMP_01,P01_CTRL03,	APRRMTX_ID_CLAV_01,	APRRMTX_ID_CLAV_02,BP01_NU_DOCU, p01_ctrl02, P01_ID_DOCU</t>
  </si>
  <si>
    <t>P01_ID_DOCU,	P01_CO_PROD_ORIG,	P01_ID_CAMP_03,	P01_ID_CAMP_05,	P01_ID_CAMP_06</t>
  </si>
  <si>
    <t>En Proceso</t>
  </si>
  <si>
    <t>P01_ID_APLI_DCMNTO AS P01_ID_APLI_DCMNTO1, SUBSTR(P01_NU_DOCU,3,8)as P01_NU_DOCU,	P01_ID_CAMP_01,	P01_ID_CAMP_02,	P01_ID_CAMP_03	,P01_ID_CAMP_04	,P01_ID_CAMP_05	,P01_ID_CAMP_06,	P01_ID_CAMP_07, DWHRR_LAST_PAYMENT_DATE</t>
  </si>
  <si>
    <t>select *
from(
        select REPLACE(FM_CLAVE_CUENTA, ' ', '') AS FM_CLAVE_CUENTA
        from rnt.t_inc_fmovcon_TMP
        where FM_APLICACION ='JCC' --and FM_CIA='1210'
        group by REPLACE(FM_CLAVE_CUENTA, ' ', '')
) 
full join (
        select P01_ID_APLI_DCMNTO AS P01_ID_APLI_DCMNTO1, SUBSTR(P01_NU_DOCU,3,8)as P01_NU_DOCU,	P01_ID_CAMP_01,	P01_ID_CAMP_02,	P01_ID_CAMP_03	,P01_ID_CAMP_04	,P01_ID_CAMP_05	,P01_ID_CAMP_06,	P01_ID_CAMP_07,	'CJ', '260429000' AS DATE_FCD
        FROM RNT.T_APRRINT_HIST_20260430 
        WHERE P01_ID_APLI = 'JCC' AND TO_DATE(DWHRR_LAST_PAYMENT_DATE, 'YYYYMMDD') = DATE '2026-04-29'
        group by P01_ID_APLI_DCMNTO,SUBSTR(P01_NU_DOCU,3,8),	P01_ID_CAMP_01,	P01_ID_CAMP_02,	P01_ID_CAMP_03	,P01_ID_CAMP_04	,P01_ID_CAMP_05	,P01_ID_CAMP_06,	P01_ID_CAMP_07,	'CJ', '260429000'
) on FM_CLAVE_CUENTA= P01_ID_APLI_DCMNTO1||P01_NU_DOCU||P01_ID_CAMP_01||	P01_ID_CAMP_02||P01_ID_CAMP_03	
||P01_ID_CAMP_04||P01_ID_CAMP_05||P01_ID_CAMP_06||P01_ID_CAMP_07||'CJ'||DATE_FCD</t>
  </si>
  <si>
    <t xml:space="preserve">P01_OF_ADMIN,	SUBSTR(P01_NU_DOCU,3,8),	P01_CO_PROD_ORIG,	SUBSTR(P01_CTRL02,2,3),	P01_CTRL04,	SUBSTR(P01_CTRL12,2,3)	,P01_CO_TIENDA_IC	,APRFCRO_DIAS_ATRA_MES,	SUBSTR(P01_ID_CAMP_03,2,3), APRFCRO_DIAS_ATRA_MES, SUBSTR(P01_NU_DOCU,4,4) </t>
  </si>
  <si>
    <t>select *
from(
        select REPLACE(FM_CLAVE_CUENTA, ' ', '') AS FM_CLAVE_CUENTA
        from rnt.t_inc_fmovcon_TMP
        where FM_APLICACION ='LIC' --and FM_CIA='1210'
        group by REPLACE(FM_CLAVE_CUENTA, ' ', '')
) 
FULL join (
        select P01_OF_ADMIN,	SUBSTR(P01_NU_DOCU,3,8) as p01_nu_docu1,	P01_CO_PROD_ORIG,	SUBSTR(P01_CTRL02,2,3) as p01_ctrl02,	P01_CTRL04,	SUBSTR(P01_CTRL12,2,3)	as P01_CTRL12,P01_CO_TIENDA_IC	,APRFCRO_DIAS_ATRA_MES as APRFCRO_DIAS_ATRA_MES1,	SUBSTR(P01_ID_CAMP_03,2,3) as p01_id_camp_03, APRFCRO_DIAS_ATRA_MES, SUBSTR(P01_NU_DOCU,4,4) as p01_nu_docu  
        FROM RNT.T_APRRINT_HIST_20260430 
        WHERE P01_ID_APLI = 'LIC'
        group by P01_OF_ADMIN,	SUBSTR(P01_NU_DOCU,3,8),	P01_CO_PROD_ORIG,	SUBSTR(P01_CTRL02,2,3),	P01_CTRL04,	SUBSTR(P01_CTRL12,2,3)	,P01_CO_TIENDA_IC	,APRFCRO_DIAS_ATRA_MES,	SUBSTR(P01_ID_CAMP_03,2,3), APRFCRO_DIAS_ATRA_MES, SUBSTR(P01_NU_DOCU,4,4) 
) 
on FM_CLAVE_CUENTA= P01_OF_ADMIN||P01_NU_DOCU1||P01_CO_PROD_ORIG||P01_CTRL02||P01_CTRL04	
||P01_CTRL12||P01_CO_TIENDA_IC||APRFCRO_DIAS_ATRA_MES1||P01_ID_CAMP_03||APRFCRO_DIAS_ATRA_MES||P01_NU_DOCU</t>
  </si>
  <si>
    <t>SELECT COUNT(*)
FROM
(select * from( SELECT SUBSTR(FM_CLAVE_CUENTA, 1, 22) AS FM_CLAVE_CUENTA_NUEVO
        FROM rnt.t_inc_fmovcon_TMP
        WHERE FM_APLICACION ='$IM' --and FM_CIA='1210'
        GROUP BY SUBSTR(FM_CLAVE_CUENTA, 1, 22)  ) MOV
INNER join (
        select P01_ID_DOCU
        FROM RNT.T_APRRINT_HIST_20260430 
        WHERE P01_ID_APLI = '$IM'
        group by P01_ID_DOCU ) APR
on MOV.FM_CLAVE_CUENTA_NUEVO= APR.P01_ID_DOCU );</t>
  </si>
  <si>
    <t>select *
from(
        select substr(REPLACE(FM_CLAVE_CUENTA, ' ', ''),1,28) AS FM_CLAVE_CUENTA
        from rnt.t_inc_fmovcon_TMP
        where FM_APLICACION ='LPC' --and FM_CIA='1210'
        group by substr(REPLACE(FM_CLAVE_CUENTA, ' ', ''),1,28)
) 
 full join (
        select P01_ID_CAMP_01,substr(P01_CTRL02,2,3) as p01_ctrl02,	substr(p01_ctrl03,2,3) as p01_ctrl03	,P01_ID_CAMP_02,	P01_ID_CAMP_03	,P01_CO_PROD_ORIG,	substr(P01_NU_DOCU,3,8) as p01_nu_docu
        FROM RNT.T_APRRINT_HIST_20260430 
        WHERE P01_ID_APLI = 'LPC'
        group by P01_ID_CAMP_01,substr(P01_CTRL02,2,3),	substr(p01_ctrl03,2,3)	,P01_ID_CAMP_02,	P01_ID_CAMP_03	,P01_CO_PROD_ORIG,	substr(P01_NU_DOCU,3,8)
) 
on FM_CLAVE_CUENTA= P01_ID_CAMP_01||p01_ctrl02||p01_ctrl03||P01_ID_CAMP_02||P01_ID_CAMP_03	
||P01_CO_PROD_ORIG||p01_nu_docu</t>
  </si>
  <si>
    <t>P01_ID_CAMP_01,substr(P01_CTRL02,2,3),	substr(p01_ctrl03,2,3)	,P01_ID_CAMP_02,	P01_ID_CAMP_03	,P01_CO_PROD_ORIG,	substr(P01_NU_DOCU,3,8)</t>
  </si>
  <si>
    <t xml:space="preserve">DWHRR_ESP_DISPONIBLE, REGEXP_REPLACE(P01_NU_DOCU, '1', '0', 1, 1) ,REGEXP_REPLACE(P01_NU_CNTA, '1', '0', 1, 1)       </t>
  </si>
  <si>
    <t>select *
from(
        select REPLACE(FM_CLAVE_CUENTA, ' ', '') AS FM_CLAVE_CUENTA
        from rnt.t_inc_fmovcon_TMP
        where FM_APLICACION ='MDC' --and FM_CIA='1210'
        group by REPLACE(FM_CLAVE_CUENTA, ' ', '')
) 
LEFT join (
        select DWHRR_ESP_DISPONIBLE, REGEXP_REPLACE(P01_NU_DOCU, '1', '0', 1, 1) AS P01_NU_DOCU,REGEXP_REPLACE(P01_NU_CNTA, '1', '0', 1, 1) AS P01_NU_CNTA       
        FROM RNT.T_APRRINT_HIST_20260430 
        WHERE P01_ID_APLI = 'MDC'
        group by DWHRR_ESP_DISPONIBLE, REGEXP_REPLACE(P01_NU_DOCU, '1', '0', 1, 1) ,REGEXP_REPLACE(P01_NU_CNTA, '1', '0', 1, 1)       
) 
on FM_CLAVE_CUENTA= DWHRR_ESP_DISPONIBLE||P01_NU_DOCU||P01_NU_CNTA</t>
  </si>
  <si>
    <t>Comentarios</t>
  </si>
  <si>
    <t>No existe nigun campo en la tabla de MOVCON para poder relacionarlo con el aplicativo</t>
  </si>
  <si>
    <t xml:space="preserve">select * 
from( SELECT ( SUBSTR(FM_CLAVE_CUENTA, 24,8)) AS FM_CONCATENADO
FROM RNT.T_INC_FMOVCON_TMP WHERE FM_APLICACION='MYP'  
GROUP BY SUBSTR(FM_CLAVE_CUENTA, 24,8)
) MOV
RIGHT join (
    SELECT (SUBSTR(P01_NU_DOCU,3,8)) AS P01_CONCATENADO
FROM RNT.T_APRRINT_HIST_20260430 WHERE P01_ID_APLI = 'MYP' 
GROUP BY SUBSTR(P01_NU_DOCU,3,8)
) APR
on MOV.FM_CONCATENADO = APR.P01_CONCATENADO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</si>
</sst>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69" fontId="0" fillId="0" borderId="0" xfId="1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center" vertical="center"/>
    </xf>
    <xf numFmtId="169" fontId="0" fillId="0" borderId="0" xfId="0" applyNumberFormat="1"/>
    <xf numFmtId="0" fontId="6" fillId="0" borderId="2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0" fontId="6" fillId="0" borderId="1" xfId="0" applyFont="1" applyBorder="1" applyAlignment="1">
      <alignment horizontal="left" vertical="center"/>
    </xf>
    <xf numFmtId="169" fontId="0" fillId="0" borderId="1" xfId="1" applyNumberFormat="1" applyFont="1" applyBorder="1"/>
    <xf numFmtId="169" fontId="0" fillId="0" borderId="1" xfId="0" applyNumberFormat="1" applyBorder="1"/>
    <xf numFmtId="0" fontId="6" fillId="0" borderId="1" xfId="0" applyFont="1" applyFill="1" applyBorder="1" applyAlignment="1">
      <alignment horizontal="left" vertical="center"/>
    </xf>
    <xf numFmtId="169" fontId="0" fillId="0" borderId="1" xfId="1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right" vertical="center"/>
    </xf>
    <xf numFmtId="169" fontId="0" fillId="0" borderId="0" xfId="1" applyNumberFormat="1" applyFont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9" fillId="5" borderId="1" xfId="0" quotePrefix="1" applyFont="1" applyFill="1" applyBorder="1"/>
    <xf numFmtId="0" fontId="10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169" fontId="0" fillId="0" borderId="0" xfId="1" applyNumberFormat="1" applyFont="1" applyAlignment="1">
      <alignment horizontal="left" vertical="center" wrapText="1"/>
    </xf>
    <xf numFmtId="169" fontId="0" fillId="0" borderId="0" xfId="1" applyNumberFormat="1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6" fillId="0" borderId="2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top"/>
    </xf>
    <xf numFmtId="169" fontId="0" fillId="0" borderId="0" xfId="1" applyNumberFormat="1" applyFont="1" applyFill="1" applyBorder="1"/>
    <xf numFmtId="169" fontId="0" fillId="0" borderId="0" xfId="1" applyNumberFormat="1" applyFont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1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7ECD-1EEF-47C7-945B-D6D81701C4CE}">
  <dimension ref="A1:I44"/>
  <sheetViews>
    <sheetView tabSelected="1" zoomScale="86" workbookViewId="0">
      <pane ySplit="1" topLeftCell="A2" activePane="bottomLeft" state="frozen"/>
      <selection pane="bottomLeft" activeCell="G6" sqref="G6"/>
    </sheetView>
  </sheetViews>
  <sheetFormatPr baseColWidth="10" defaultRowHeight="14.5" x14ac:dyDescent="0.35"/>
  <cols>
    <col min="1" max="1" width="23.453125" style="10" bestFit="1" customWidth="1"/>
    <col min="2" max="2" width="16.26953125" bestFit="1" customWidth="1"/>
    <col min="3" max="3" width="12.90625" customWidth="1"/>
    <col min="4" max="4" width="62.54296875" bestFit="1" customWidth="1"/>
    <col min="5" max="5" width="12" bestFit="1" customWidth="1"/>
    <col min="6" max="6" width="14.453125" bestFit="1" customWidth="1"/>
    <col min="7" max="7" width="13.26953125" bestFit="1" customWidth="1"/>
    <col min="8" max="8" width="10" bestFit="1" customWidth="1"/>
    <col min="9" max="9" width="21.90625" style="68" bestFit="1" customWidth="1"/>
  </cols>
  <sheetData>
    <row r="1" spans="1:9" ht="29" x14ac:dyDescent="0.35">
      <c r="A1" s="11" t="s">
        <v>1</v>
      </c>
      <c r="B1" s="11" t="s">
        <v>0</v>
      </c>
      <c r="C1" s="11" t="s">
        <v>119</v>
      </c>
      <c r="D1" s="11" t="s">
        <v>71</v>
      </c>
      <c r="E1" s="61" t="s">
        <v>102</v>
      </c>
      <c r="F1" s="61" t="s">
        <v>103</v>
      </c>
      <c r="G1" s="7" t="s">
        <v>73</v>
      </c>
      <c r="H1" s="7" t="s">
        <v>104</v>
      </c>
      <c r="I1" s="61" t="s">
        <v>142</v>
      </c>
    </row>
    <row r="2" spans="1:9" x14ac:dyDescent="0.35">
      <c r="A2" s="4" t="s">
        <v>3</v>
      </c>
      <c r="B2" s="3" t="s">
        <v>2</v>
      </c>
      <c r="C2" s="3" t="s">
        <v>2</v>
      </c>
      <c r="D2" s="8" t="s">
        <v>4</v>
      </c>
      <c r="E2" s="9" t="s">
        <v>75</v>
      </c>
      <c r="F2" s="9" t="s">
        <v>75</v>
      </c>
      <c r="G2" s="12" t="s">
        <v>77</v>
      </c>
      <c r="H2" s="17" t="s">
        <v>105</v>
      </c>
    </row>
    <row r="3" spans="1:9" x14ac:dyDescent="0.35">
      <c r="A3" s="13" t="s">
        <v>43</v>
      </c>
      <c r="B3" s="3" t="s">
        <v>24</v>
      </c>
      <c r="C3" s="3" t="s">
        <v>24</v>
      </c>
      <c r="D3" s="14" t="s">
        <v>79</v>
      </c>
      <c r="E3" s="9" t="s">
        <v>75</v>
      </c>
      <c r="F3" s="9" t="s">
        <v>75</v>
      </c>
      <c r="G3" s="12" t="s">
        <v>74</v>
      </c>
      <c r="H3" s="17" t="s">
        <v>132</v>
      </c>
    </row>
    <row r="4" spans="1:9" x14ac:dyDescent="0.35">
      <c r="A4" s="13" t="s">
        <v>44</v>
      </c>
      <c r="B4" s="3" t="s">
        <v>29</v>
      </c>
      <c r="C4" s="3" t="s">
        <v>29</v>
      </c>
      <c r="D4" s="14" t="s">
        <v>78</v>
      </c>
      <c r="E4" s="9" t="s">
        <v>75</v>
      </c>
      <c r="F4" s="9" t="s">
        <v>75</v>
      </c>
      <c r="G4" s="12" t="s">
        <v>74</v>
      </c>
      <c r="H4" s="17" t="s">
        <v>132</v>
      </c>
    </row>
    <row r="5" spans="1:9" x14ac:dyDescent="0.35">
      <c r="A5" s="13" t="s">
        <v>47</v>
      </c>
      <c r="B5" s="3" t="s">
        <v>37</v>
      </c>
      <c r="C5" s="3" t="s">
        <v>37</v>
      </c>
      <c r="D5" s="14" t="s">
        <v>88</v>
      </c>
      <c r="E5" s="9" t="s">
        <v>75</v>
      </c>
      <c r="F5" s="9" t="s">
        <v>75</v>
      </c>
      <c r="G5" s="12" t="s">
        <v>74</v>
      </c>
      <c r="H5" s="17" t="s">
        <v>105</v>
      </c>
    </row>
    <row r="6" spans="1:9" x14ac:dyDescent="0.35">
      <c r="A6" s="13" t="s">
        <v>48</v>
      </c>
      <c r="B6" s="3" t="s">
        <v>28</v>
      </c>
      <c r="C6" s="3" t="s">
        <v>28</v>
      </c>
      <c r="D6" s="14" t="s">
        <v>89</v>
      </c>
      <c r="E6" s="9" t="s">
        <v>75</v>
      </c>
      <c r="F6" s="9" t="s">
        <v>75</v>
      </c>
      <c r="G6" s="12" t="s">
        <v>77</v>
      </c>
      <c r="H6" s="17" t="s">
        <v>132</v>
      </c>
    </row>
    <row r="7" spans="1:9" x14ac:dyDescent="0.35">
      <c r="A7" s="13" t="s">
        <v>49</v>
      </c>
      <c r="B7" s="3" t="s">
        <v>38</v>
      </c>
      <c r="C7" s="3" t="s">
        <v>38</v>
      </c>
      <c r="D7" s="14" t="s">
        <v>87</v>
      </c>
      <c r="E7" s="9" t="s">
        <v>75</v>
      </c>
      <c r="F7" s="9" t="s">
        <v>75</v>
      </c>
      <c r="G7" s="12" t="s">
        <v>77</v>
      </c>
      <c r="H7" s="17" t="s">
        <v>105</v>
      </c>
    </row>
    <row r="8" spans="1:9" x14ac:dyDescent="0.35">
      <c r="A8" s="13" t="s">
        <v>50</v>
      </c>
      <c r="B8" s="3" t="s">
        <v>66</v>
      </c>
      <c r="C8" s="46" t="s">
        <v>5</v>
      </c>
      <c r="D8" s="14" t="s">
        <v>86</v>
      </c>
      <c r="E8" s="9" t="s">
        <v>75</v>
      </c>
      <c r="F8" s="9" t="s">
        <v>75</v>
      </c>
      <c r="G8" s="12" t="s">
        <v>77</v>
      </c>
      <c r="H8" s="66" t="s">
        <v>132</v>
      </c>
    </row>
    <row r="9" spans="1:9" x14ac:dyDescent="0.35">
      <c r="A9" s="13" t="s">
        <v>51</v>
      </c>
      <c r="B9" s="3" t="s">
        <v>5</v>
      </c>
      <c r="C9" s="47"/>
      <c r="D9" s="14" t="s">
        <v>86</v>
      </c>
      <c r="E9" s="9" t="s">
        <v>75</v>
      </c>
      <c r="F9" s="9" t="s">
        <v>75</v>
      </c>
      <c r="G9" s="12" t="s">
        <v>77</v>
      </c>
      <c r="H9" s="67"/>
    </row>
    <row r="10" spans="1:9" x14ac:dyDescent="0.35">
      <c r="A10" s="15" t="s">
        <v>52</v>
      </c>
      <c r="B10" s="3" t="s">
        <v>7</v>
      </c>
      <c r="C10" s="3" t="s">
        <v>7</v>
      </c>
      <c r="D10" s="14" t="s">
        <v>85</v>
      </c>
      <c r="E10" s="9" t="s">
        <v>75</v>
      </c>
      <c r="F10" s="9" t="s">
        <v>75</v>
      </c>
      <c r="G10" s="12" t="s">
        <v>77</v>
      </c>
      <c r="H10" s="17" t="s">
        <v>105</v>
      </c>
    </row>
    <row r="11" spans="1:9" x14ac:dyDescent="0.35">
      <c r="A11" s="15" t="s">
        <v>53</v>
      </c>
      <c r="B11" s="3" t="s">
        <v>67</v>
      </c>
      <c r="C11" s="22" t="s">
        <v>27</v>
      </c>
      <c r="D11" s="14" t="s">
        <v>81</v>
      </c>
      <c r="E11" s="9" t="s">
        <v>75</v>
      </c>
      <c r="F11" s="9" t="s">
        <v>75</v>
      </c>
      <c r="G11" s="12" t="s">
        <v>77</v>
      </c>
      <c r="H11" s="66" t="s">
        <v>105</v>
      </c>
    </row>
    <row r="12" spans="1:9" x14ac:dyDescent="0.35">
      <c r="A12" s="13" t="s">
        <v>58</v>
      </c>
      <c r="B12" s="3" t="s">
        <v>69</v>
      </c>
      <c r="C12" s="23"/>
      <c r="D12" s="14" t="s">
        <v>82</v>
      </c>
      <c r="E12" s="9" t="s">
        <v>75</v>
      </c>
      <c r="F12" s="9" t="s">
        <v>75</v>
      </c>
      <c r="G12" s="12" t="s">
        <v>77</v>
      </c>
      <c r="H12" s="67"/>
    </row>
    <row r="13" spans="1:9" x14ac:dyDescent="0.35">
      <c r="A13" s="13" t="s">
        <v>55</v>
      </c>
      <c r="B13" s="3" t="s">
        <v>68</v>
      </c>
      <c r="C13" s="3" t="s">
        <v>68</v>
      </c>
      <c r="D13" s="14" t="s">
        <v>84</v>
      </c>
      <c r="E13" s="9" t="s">
        <v>75</v>
      </c>
      <c r="F13" s="9" t="s">
        <v>76</v>
      </c>
      <c r="G13" s="12"/>
      <c r="H13" s="17" t="s">
        <v>72</v>
      </c>
    </row>
    <row r="14" spans="1:9" x14ac:dyDescent="0.35">
      <c r="A14" s="13" t="s">
        <v>56</v>
      </c>
      <c r="B14" s="3" t="s">
        <v>21</v>
      </c>
      <c r="C14" s="3" t="s">
        <v>21</v>
      </c>
      <c r="D14" s="14" t="s">
        <v>83</v>
      </c>
      <c r="E14" s="9" t="s">
        <v>75</v>
      </c>
      <c r="F14" s="9" t="s">
        <v>75</v>
      </c>
      <c r="G14" s="12" t="s">
        <v>77</v>
      </c>
      <c r="H14" s="17" t="s">
        <v>105</v>
      </c>
    </row>
    <row r="15" spans="1:9" x14ac:dyDescent="0.35">
      <c r="A15" s="13" t="s">
        <v>59</v>
      </c>
      <c r="B15" s="3" t="s">
        <v>36</v>
      </c>
      <c r="C15" s="3" t="s">
        <v>36</v>
      </c>
      <c r="D15" s="14" t="s">
        <v>80</v>
      </c>
      <c r="E15" s="9" t="s">
        <v>75</v>
      </c>
      <c r="F15" s="9" t="s">
        <v>75</v>
      </c>
      <c r="G15" s="12" t="s">
        <v>77</v>
      </c>
      <c r="H15" s="17" t="s">
        <v>132</v>
      </c>
    </row>
    <row r="16" spans="1:9" s="18" customFormat="1" ht="58" x14ac:dyDescent="0.35">
      <c r="A16" s="4" t="s">
        <v>60</v>
      </c>
      <c r="B16" s="3" t="s">
        <v>25</v>
      </c>
      <c r="C16" s="3" t="s">
        <v>25</v>
      </c>
      <c r="D16" s="16" t="s">
        <v>90</v>
      </c>
      <c r="E16" s="9" t="s">
        <v>75</v>
      </c>
      <c r="F16" s="9" t="s">
        <v>75</v>
      </c>
      <c r="G16" s="17" t="s">
        <v>77</v>
      </c>
      <c r="H16" s="17" t="s">
        <v>57</v>
      </c>
      <c r="I16" s="5" t="s">
        <v>143</v>
      </c>
    </row>
    <row r="17" spans="1:8" x14ac:dyDescent="0.35">
      <c r="A17" s="13" t="s">
        <v>72</v>
      </c>
      <c r="B17" s="3" t="s">
        <v>18</v>
      </c>
      <c r="C17" s="3" t="s">
        <v>18</v>
      </c>
      <c r="D17" s="62" t="s">
        <v>129</v>
      </c>
      <c r="E17" s="9" t="s">
        <v>76</v>
      </c>
      <c r="F17" s="9" t="s">
        <v>75</v>
      </c>
      <c r="G17" s="1"/>
      <c r="H17" s="17" t="s">
        <v>72</v>
      </c>
    </row>
    <row r="18" spans="1:8" x14ac:dyDescent="0.35">
      <c r="A18" s="56" t="s">
        <v>41</v>
      </c>
      <c r="B18" s="55" t="s">
        <v>64</v>
      </c>
      <c r="C18" s="55" t="s">
        <v>64</v>
      </c>
      <c r="D18" s="57" t="s">
        <v>128</v>
      </c>
      <c r="E18" s="58"/>
      <c r="F18" s="58"/>
      <c r="G18" s="59" t="s">
        <v>72</v>
      </c>
      <c r="H18" s="60" t="s">
        <v>72</v>
      </c>
    </row>
    <row r="19" spans="1:8" x14ac:dyDescent="0.35">
      <c r="A19" s="56" t="s">
        <v>45</v>
      </c>
      <c r="B19" s="55" t="s">
        <v>65</v>
      </c>
      <c r="C19" s="55" t="s">
        <v>65</v>
      </c>
      <c r="D19" s="57" t="s">
        <v>128</v>
      </c>
      <c r="E19" s="58"/>
      <c r="F19" s="58"/>
      <c r="G19" s="59" t="s">
        <v>72</v>
      </c>
      <c r="H19" s="60" t="s">
        <v>72</v>
      </c>
    </row>
    <row r="20" spans="1:8" x14ac:dyDescent="0.35">
      <c r="A20" s="56" t="s">
        <v>46</v>
      </c>
      <c r="B20" s="55" t="s">
        <v>16</v>
      </c>
      <c r="C20" s="55" t="s">
        <v>16</v>
      </c>
      <c r="D20" s="57" t="s">
        <v>128</v>
      </c>
      <c r="E20" s="58"/>
      <c r="F20" s="58"/>
      <c r="G20" s="59" t="s">
        <v>72</v>
      </c>
      <c r="H20" s="60" t="s">
        <v>72</v>
      </c>
    </row>
    <row r="21" spans="1:8" x14ac:dyDescent="0.35">
      <c r="A21" s="56" t="s">
        <v>54</v>
      </c>
      <c r="B21" s="55" t="s">
        <v>14</v>
      </c>
      <c r="C21" s="55" t="s">
        <v>14</v>
      </c>
      <c r="D21" s="57" t="s">
        <v>128</v>
      </c>
      <c r="E21" s="58"/>
      <c r="F21" s="58"/>
      <c r="G21" s="59"/>
      <c r="H21" s="60" t="s">
        <v>72</v>
      </c>
    </row>
    <row r="22" spans="1:8" x14ac:dyDescent="0.35">
      <c r="A22" s="52" t="s">
        <v>42</v>
      </c>
      <c r="B22" s="51" t="s">
        <v>6</v>
      </c>
      <c r="C22" s="51" t="s">
        <v>6</v>
      </c>
      <c r="D22" s="53" t="s">
        <v>127</v>
      </c>
      <c r="E22" s="54"/>
      <c r="F22" s="54"/>
      <c r="G22" s="52" t="s">
        <v>72</v>
      </c>
      <c r="H22" s="51" t="s">
        <v>72</v>
      </c>
    </row>
    <row r="23" spans="1:8" x14ac:dyDescent="0.35">
      <c r="A23" s="52" t="s">
        <v>61</v>
      </c>
      <c r="B23" s="51" t="s">
        <v>70</v>
      </c>
      <c r="C23" s="51" t="s">
        <v>70</v>
      </c>
      <c r="D23" s="53" t="s">
        <v>127</v>
      </c>
      <c r="E23" s="54"/>
      <c r="F23" s="54"/>
      <c r="G23" s="52" t="s">
        <v>72</v>
      </c>
      <c r="H23" s="51" t="s">
        <v>72</v>
      </c>
    </row>
    <row r="24" spans="1:8" x14ac:dyDescent="0.35">
      <c r="A24" s="13" t="s">
        <v>72</v>
      </c>
      <c r="B24" s="3" t="s">
        <v>8</v>
      </c>
      <c r="C24" s="3" t="s">
        <v>8</v>
      </c>
      <c r="D24" s="14"/>
      <c r="E24" s="9" t="s">
        <v>76</v>
      </c>
      <c r="F24" s="9" t="s">
        <v>75</v>
      </c>
      <c r="G24" s="1"/>
      <c r="H24" s="17" t="s">
        <v>72</v>
      </c>
    </row>
    <row r="25" spans="1:8" x14ac:dyDescent="0.35">
      <c r="A25" s="13" t="s">
        <v>72</v>
      </c>
      <c r="B25" s="3" t="s">
        <v>9</v>
      </c>
      <c r="C25" s="3" t="s">
        <v>9</v>
      </c>
      <c r="D25" s="14"/>
      <c r="E25" s="9" t="s">
        <v>76</v>
      </c>
      <c r="F25" s="9" t="s">
        <v>75</v>
      </c>
      <c r="G25" s="1"/>
      <c r="H25" s="17" t="s">
        <v>72</v>
      </c>
    </row>
    <row r="26" spans="1:8" x14ac:dyDescent="0.35">
      <c r="A26" s="13" t="s">
        <v>72</v>
      </c>
      <c r="B26" s="3" t="s">
        <v>10</v>
      </c>
      <c r="C26" s="3" t="s">
        <v>10</v>
      </c>
      <c r="D26" s="14"/>
      <c r="E26" s="9" t="s">
        <v>76</v>
      </c>
      <c r="F26" s="9" t="s">
        <v>75</v>
      </c>
      <c r="G26" s="1"/>
      <c r="H26" s="17" t="s">
        <v>72</v>
      </c>
    </row>
    <row r="27" spans="1:8" x14ac:dyDescent="0.35">
      <c r="A27" s="13" t="s">
        <v>72</v>
      </c>
      <c r="B27" s="3" t="s">
        <v>11</v>
      </c>
      <c r="C27" s="3" t="s">
        <v>11</v>
      </c>
      <c r="D27" s="14"/>
      <c r="E27" s="9" t="s">
        <v>76</v>
      </c>
      <c r="F27" s="9" t="s">
        <v>75</v>
      </c>
      <c r="G27" s="1"/>
      <c r="H27" s="17" t="s">
        <v>72</v>
      </c>
    </row>
    <row r="28" spans="1:8" x14ac:dyDescent="0.35">
      <c r="A28" s="13" t="s">
        <v>72</v>
      </c>
      <c r="B28" s="3" t="s">
        <v>12</v>
      </c>
      <c r="C28" s="3" t="s">
        <v>12</v>
      </c>
      <c r="D28" s="14"/>
      <c r="E28" s="9" t="s">
        <v>76</v>
      </c>
      <c r="F28" s="9" t="s">
        <v>75</v>
      </c>
      <c r="G28" s="1"/>
      <c r="H28" s="17" t="s">
        <v>72</v>
      </c>
    </row>
    <row r="29" spans="1:8" x14ac:dyDescent="0.35">
      <c r="A29" s="13" t="s">
        <v>72</v>
      </c>
      <c r="B29" s="3" t="s">
        <v>13</v>
      </c>
      <c r="C29" s="3" t="s">
        <v>13</v>
      </c>
      <c r="D29" s="14"/>
      <c r="E29" s="9" t="s">
        <v>76</v>
      </c>
      <c r="F29" s="9" t="s">
        <v>75</v>
      </c>
      <c r="G29" s="1"/>
      <c r="H29" s="17" t="s">
        <v>72</v>
      </c>
    </row>
    <row r="30" spans="1:8" x14ac:dyDescent="0.35">
      <c r="A30" s="13" t="s">
        <v>72</v>
      </c>
      <c r="B30" s="3" t="s">
        <v>15</v>
      </c>
      <c r="C30" s="3" t="s">
        <v>15</v>
      </c>
      <c r="D30" s="14"/>
      <c r="E30" s="9" t="s">
        <v>76</v>
      </c>
      <c r="F30" s="9" t="s">
        <v>75</v>
      </c>
      <c r="G30" s="1"/>
      <c r="H30" s="17" t="s">
        <v>72</v>
      </c>
    </row>
    <row r="31" spans="1:8" x14ac:dyDescent="0.35">
      <c r="A31" s="13" t="s">
        <v>72</v>
      </c>
      <c r="B31" s="3" t="s">
        <v>17</v>
      </c>
      <c r="C31" s="3" t="s">
        <v>97</v>
      </c>
      <c r="D31" s="14"/>
      <c r="E31" s="9" t="s">
        <v>76</v>
      </c>
      <c r="F31" s="9" t="s">
        <v>75</v>
      </c>
      <c r="G31" s="1"/>
      <c r="H31" s="17" t="s">
        <v>72</v>
      </c>
    </row>
    <row r="32" spans="1:8" x14ac:dyDescent="0.35">
      <c r="A32" s="13" t="s">
        <v>72</v>
      </c>
      <c r="B32" s="3" t="s">
        <v>19</v>
      </c>
      <c r="C32" s="3" t="s">
        <v>19</v>
      </c>
      <c r="D32" s="14"/>
      <c r="E32" s="9" t="s">
        <v>76</v>
      </c>
      <c r="F32" s="9" t="s">
        <v>75</v>
      </c>
      <c r="G32" s="1"/>
      <c r="H32" s="17" t="s">
        <v>72</v>
      </c>
    </row>
    <row r="33" spans="1:8" x14ac:dyDescent="0.35">
      <c r="A33" s="13" t="s">
        <v>72</v>
      </c>
      <c r="B33" s="3" t="s">
        <v>20</v>
      </c>
      <c r="C33" s="3" t="s">
        <v>20</v>
      </c>
      <c r="D33" s="14"/>
      <c r="E33" s="9" t="s">
        <v>76</v>
      </c>
      <c r="F33" s="9" t="s">
        <v>75</v>
      </c>
      <c r="G33" s="1"/>
      <c r="H33" s="17" t="s">
        <v>72</v>
      </c>
    </row>
    <row r="34" spans="1:8" x14ac:dyDescent="0.35">
      <c r="A34" s="13" t="s">
        <v>72</v>
      </c>
      <c r="B34" s="3" t="s">
        <v>22</v>
      </c>
      <c r="C34" s="3" t="s">
        <v>22</v>
      </c>
      <c r="D34" s="14"/>
      <c r="E34" s="9" t="s">
        <v>76</v>
      </c>
      <c r="F34" s="9" t="s">
        <v>75</v>
      </c>
      <c r="G34" s="1"/>
      <c r="H34" s="17" t="s">
        <v>72</v>
      </c>
    </row>
    <row r="35" spans="1:8" x14ac:dyDescent="0.35">
      <c r="A35" s="13" t="s">
        <v>72</v>
      </c>
      <c r="B35" s="3" t="s">
        <v>23</v>
      </c>
      <c r="C35" s="3" t="s">
        <v>23</v>
      </c>
      <c r="D35" s="14"/>
      <c r="E35" s="9" t="s">
        <v>76</v>
      </c>
      <c r="F35" s="9" t="s">
        <v>75</v>
      </c>
      <c r="G35" s="1"/>
      <c r="H35" s="17" t="s">
        <v>72</v>
      </c>
    </row>
    <row r="36" spans="1:8" x14ac:dyDescent="0.35">
      <c r="A36" s="13" t="s">
        <v>72</v>
      </c>
      <c r="B36" s="3" t="s">
        <v>26</v>
      </c>
      <c r="C36" s="3" t="s">
        <v>26</v>
      </c>
      <c r="D36" s="14"/>
      <c r="E36" s="9" t="s">
        <v>76</v>
      </c>
      <c r="F36" s="9" t="s">
        <v>75</v>
      </c>
      <c r="G36" s="1"/>
      <c r="H36" s="17" t="s">
        <v>72</v>
      </c>
    </row>
    <row r="37" spans="1:8" x14ac:dyDescent="0.35">
      <c r="A37" s="13" t="s">
        <v>72</v>
      </c>
      <c r="B37" s="3" t="s">
        <v>30</v>
      </c>
      <c r="C37" s="3" t="s">
        <v>30</v>
      </c>
      <c r="D37" s="14"/>
      <c r="E37" s="9" t="s">
        <v>76</v>
      </c>
      <c r="F37" s="9" t="s">
        <v>75</v>
      </c>
      <c r="G37" s="1"/>
      <c r="H37" s="17" t="s">
        <v>72</v>
      </c>
    </row>
    <row r="38" spans="1:8" x14ac:dyDescent="0.35">
      <c r="A38" s="13" t="s">
        <v>72</v>
      </c>
      <c r="B38" s="3" t="s">
        <v>31</v>
      </c>
      <c r="C38" s="3" t="s">
        <v>31</v>
      </c>
      <c r="D38" s="14"/>
      <c r="E38" s="9" t="s">
        <v>76</v>
      </c>
      <c r="F38" s="9" t="s">
        <v>75</v>
      </c>
      <c r="G38" s="1"/>
      <c r="H38" s="17" t="s">
        <v>72</v>
      </c>
    </row>
    <row r="39" spans="1:8" x14ac:dyDescent="0.35">
      <c r="A39" s="13" t="s">
        <v>72</v>
      </c>
      <c r="B39" s="3" t="s">
        <v>32</v>
      </c>
      <c r="C39" s="3" t="s">
        <v>32</v>
      </c>
      <c r="D39" s="14"/>
      <c r="E39" s="9" t="s">
        <v>76</v>
      </c>
      <c r="F39" s="9" t="s">
        <v>75</v>
      </c>
      <c r="G39" s="1"/>
      <c r="H39" s="17" t="s">
        <v>72</v>
      </c>
    </row>
    <row r="40" spans="1:8" x14ac:dyDescent="0.35">
      <c r="A40" s="13" t="s">
        <v>72</v>
      </c>
      <c r="B40" s="3" t="s">
        <v>33</v>
      </c>
      <c r="C40" s="3" t="s">
        <v>33</v>
      </c>
      <c r="D40" s="14"/>
      <c r="E40" s="9" t="s">
        <v>76</v>
      </c>
      <c r="F40" s="9" t="s">
        <v>75</v>
      </c>
      <c r="G40" s="2"/>
      <c r="H40" s="17" t="s">
        <v>72</v>
      </c>
    </row>
    <row r="41" spans="1:8" x14ac:dyDescent="0.35">
      <c r="A41" s="13" t="s">
        <v>72</v>
      </c>
      <c r="B41" s="3" t="s">
        <v>34</v>
      </c>
      <c r="C41" s="3" t="s">
        <v>34</v>
      </c>
      <c r="D41" s="14"/>
      <c r="E41" s="9" t="s">
        <v>76</v>
      </c>
      <c r="F41" s="9" t="s">
        <v>75</v>
      </c>
      <c r="G41" s="1"/>
      <c r="H41" s="17" t="s">
        <v>72</v>
      </c>
    </row>
    <row r="42" spans="1:8" x14ac:dyDescent="0.35">
      <c r="A42" s="13" t="s">
        <v>72</v>
      </c>
      <c r="B42" s="3" t="s">
        <v>35</v>
      </c>
      <c r="C42" s="3" t="s">
        <v>35</v>
      </c>
      <c r="D42" s="14"/>
      <c r="E42" s="9" t="s">
        <v>76</v>
      </c>
      <c r="F42" s="9" t="s">
        <v>75</v>
      </c>
      <c r="G42" s="1"/>
      <c r="H42" s="17" t="s">
        <v>72</v>
      </c>
    </row>
    <row r="43" spans="1:8" x14ac:dyDescent="0.35">
      <c r="A43" s="13" t="s">
        <v>72</v>
      </c>
      <c r="B43" s="3" t="s">
        <v>39</v>
      </c>
      <c r="C43" s="3" t="s">
        <v>39</v>
      </c>
      <c r="D43" s="14"/>
      <c r="E43" s="9" t="s">
        <v>76</v>
      </c>
      <c r="F43" s="9" t="s">
        <v>75</v>
      </c>
      <c r="G43" s="1"/>
      <c r="H43" s="17" t="s">
        <v>72</v>
      </c>
    </row>
    <row r="44" spans="1:8" x14ac:dyDescent="0.35">
      <c r="A44" s="13" t="s">
        <v>72</v>
      </c>
      <c r="B44" s="3" t="s">
        <v>40</v>
      </c>
      <c r="C44" s="3" t="s">
        <v>40</v>
      </c>
      <c r="D44" s="14"/>
      <c r="E44" s="9" t="s">
        <v>76</v>
      </c>
      <c r="F44" s="9" t="s">
        <v>75</v>
      </c>
      <c r="G44" s="1"/>
      <c r="H44" s="17" t="s">
        <v>72</v>
      </c>
    </row>
  </sheetData>
  <autoFilter ref="A1:D1" xr:uid="{7F797ECD-1EEF-47C7-945B-D6D81701C4CE}"/>
  <mergeCells count="4">
    <mergeCell ref="C11:C12"/>
    <mergeCell ref="C8:C9"/>
    <mergeCell ref="H11:H12"/>
    <mergeCell ref="H8:H9"/>
  </mergeCells>
  <phoneticPr fontId="8" type="noConversion"/>
  <conditionalFormatting sqref="L1:L1048576">
    <cfRule type="duplicateValues" dxfId="12" priority="14"/>
  </conditionalFormatting>
  <conditionalFormatting sqref="M1:M1048576">
    <cfRule type="duplicateValues" dxfId="11" priority="13"/>
  </conditionalFormatting>
  <conditionalFormatting sqref="E2:F44">
    <cfRule type="cellIs" dxfId="10" priority="4" operator="equal">
      <formula>"si"</formula>
    </cfRule>
    <cfRule type="cellIs" dxfId="9" priority="5" operator="equal">
      <formula>"si"</formula>
    </cfRule>
    <cfRule type="cellIs" dxfId="8" priority="6" operator="equal">
      <formula>"no"</formula>
    </cfRule>
    <cfRule type="cellIs" dxfId="7" priority="7" operator="equal">
      <formula>"No"</formula>
    </cfRule>
    <cfRule type="cellIs" dxfId="6" priority="8" operator="equal">
      <formula>"Si"</formula>
    </cfRule>
    <cfRule type="containsText" dxfId="5" priority="9" operator="containsText" text="Incidencia">
      <formula>NOT(ISERROR(SEARCH("Incidencia",E2)))</formula>
    </cfRule>
    <cfRule type="containsText" dxfId="4" priority="10" operator="containsText" text="Validado">
      <formula>NOT(ISERROR(SEARCH("Validado",E2)))</formula>
    </cfRule>
    <cfRule type="containsText" dxfId="3" priority="11" operator="containsText" text="Pendiente">
      <formula>NOT(ISERROR(SEARCH("Pendiente",E2)))</formula>
    </cfRule>
  </conditionalFormatting>
  <conditionalFormatting sqref="H2:H8 H13:H44 H10:H11">
    <cfRule type="containsText" dxfId="2" priority="2" operator="containsText" text="Validado">
      <formula>NOT(ISERROR(SEARCH("Validado",H2)))</formula>
    </cfRule>
    <cfRule type="containsText" dxfId="1" priority="3" operator="containsText" text="Pendiente">
      <formula>NOT(ISERROR(SEARCH("Pendiente",H2)))</formula>
    </cfRule>
  </conditionalFormatting>
  <conditionalFormatting sqref="H2:H8 H13:H44 H10:H11">
    <cfRule type="containsText" dxfId="0" priority="1" operator="containsText" text="En Proceso">
      <formula>NOT(ISERROR(SEARCH("En Proceso",H2)))</formula>
    </cfRule>
  </conditionalFormatting>
  <dataValidations count="3">
    <dataValidation type="list" allowBlank="1" showInputMessage="1" showErrorMessage="1" sqref="E2:F44" xr:uid="{6213ED68-F7EE-4E61-BE52-FED917530AE8}">
      <formula1>"Si, No"</formula1>
    </dataValidation>
    <dataValidation type="list" allowBlank="1" showInputMessage="1" showErrorMessage="1" sqref="H18:H44" xr:uid="{9729A518-218B-42F0-8B33-05C522CB8837}">
      <formula1>"Validado, Incidencia, Pendiente, -"</formula1>
    </dataValidation>
    <dataValidation type="list" allowBlank="1" showInputMessage="1" showErrorMessage="1" sqref="H13:H17 H2:H8 H10:H11" xr:uid="{6AAF00AE-AC21-472D-A9A7-72A42448EE88}">
      <formula1>"Validado, En Proceso, Pendiente, 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F8C7-80D5-4680-8632-11F7E9D2B088}">
  <dimension ref="A1:L17"/>
  <sheetViews>
    <sheetView workbookViewId="0">
      <selection activeCell="G9" sqref="G9:G10"/>
    </sheetView>
  </sheetViews>
  <sheetFormatPr baseColWidth="10" defaultRowHeight="14.5" x14ac:dyDescent="0.35"/>
  <cols>
    <col min="3" max="3" width="12.1796875" customWidth="1"/>
    <col min="4" max="4" width="22.08984375" customWidth="1"/>
    <col min="5" max="5" width="24.54296875" customWidth="1"/>
    <col min="6" max="6" width="26.7265625" customWidth="1"/>
    <col min="7" max="7" width="17.7265625" customWidth="1"/>
    <col min="8" max="8" width="17.26953125" customWidth="1"/>
    <col min="9" max="10" width="12.6328125" customWidth="1"/>
  </cols>
  <sheetData>
    <row r="1" spans="1:12" x14ac:dyDescent="0.35">
      <c r="A1" s="30" t="s">
        <v>113</v>
      </c>
      <c r="B1" s="31"/>
      <c r="C1" s="31"/>
      <c r="D1" s="31"/>
      <c r="E1" s="31"/>
      <c r="F1" s="31"/>
      <c r="G1" s="31"/>
      <c r="H1" s="31"/>
      <c r="I1" s="32"/>
      <c r="J1" s="7"/>
    </row>
    <row r="2" spans="1:12" ht="33.5" customHeight="1" x14ac:dyDescent="0.35">
      <c r="A2" s="33" t="s">
        <v>0</v>
      </c>
      <c r="B2" s="33" t="s">
        <v>0</v>
      </c>
      <c r="C2" s="33" t="s">
        <v>95</v>
      </c>
      <c r="D2" s="34" t="s">
        <v>112</v>
      </c>
      <c r="E2" s="34" t="s">
        <v>122</v>
      </c>
      <c r="F2" s="34" t="s">
        <v>121</v>
      </c>
      <c r="G2" s="48" t="s">
        <v>123</v>
      </c>
      <c r="H2" s="48" t="s">
        <v>120</v>
      </c>
      <c r="I2" s="35" t="s">
        <v>114</v>
      </c>
      <c r="J2" s="6" t="s">
        <v>115</v>
      </c>
    </row>
    <row r="3" spans="1:12" x14ac:dyDescent="0.35">
      <c r="A3" s="3" t="s">
        <v>2</v>
      </c>
      <c r="B3" s="3" t="s">
        <v>2</v>
      </c>
      <c r="C3" s="20" t="s">
        <v>111</v>
      </c>
      <c r="D3" s="19">
        <v>5154</v>
      </c>
      <c r="E3" s="19">
        <v>162</v>
      </c>
      <c r="F3" s="19">
        <v>16</v>
      </c>
      <c r="G3" s="19">
        <v>5332</v>
      </c>
      <c r="H3" s="19" t="s">
        <v>130</v>
      </c>
      <c r="I3" s="37">
        <f>IFERROR(D3/G3,"-")</f>
        <v>0.96661665416354092</v>
      </c>
      <c r="J3" s="37">
        <f>IFERROR(SUM(E3:F3)/SUM(D3:F3),"-")</f>
        <v>3.3383345836459112E-2</v>
      </c>
      <c r="L3" s="28"/>
    </row>
    <row r="4" spans="1:12" x14ac:dyDescent="0.35">
      <c r="A4" s="3" t="s">
        <v>24</v>
      </c>
      <c r="B4" s="3" t="s">
        <v>24</v>
      </c>
      <c r="C4" s="21" t="s">
        <v>125</v>
      </c>
      <c r="D4" s="19">
        <v>37580</v>
      </c>
      <c r="E4" s="19">
        <v>489416</v>
      </c>
      <c r="F4" s="19">
        <v>659248</v>
      </c>
      <c r="G4" s="19">
        <f>SUM(D4:F4)</f>
        <v>1186244</v>
      </c>
      <c r="H4" s="19" t="s">
        <v>63</v>
      </c>
      <c r="I4" s="37">
        <f t="shared" ref="I4:I11" si="0">IFERROR(D4/G4,"-")</f>
        <v>3.1679823038093344E-2</v>
      </c>
      <c r="J4" s="37">
        <f t="shared" ref="J4:J16" si="1">IFERROR(SUM(E4:F4)/SUM(D4:F4),"-")</f>
        <v>0.96832017696190664</v>
      </c>
      <c r="L4" s="36"/>
    </row>
    <row r="5" spans="1:12" x14ac:dyDescent="0.35">
      <c r="A5" s="3" t="s">
        <v>29</v>
      </c>
      <c r="B5" s="3" t="s">
        <v>29</v>
      </c>
      <c r="C5" s="21" t="s">
        <v>137</v>
      </c>
      <c r="D5" s="19">
        <v>2965</v>
      </c>
      <c r="E5" s="19">
        <v>257826</v>
      </c>
      <c r="F5" s="19">
        <v>2966</v>
      </c>
      <c r="G5" s="19">
        <v>257827</v>
      </c>
      <c r="H5" s="19" t="s">
        <v>63</v>
      </c>
      <c r="I5" s="37">
        <f t="shared" si="0"/>
        <v>1.1499959275017745E-2</v>
      </c>
      <c r="J5" s="37">
        <f t="shared" si="1"/>
        <v>0.98875859218902251</v>
      </c>
    </row>
    <row r="6" spans="1:12" x14ac:dyDescent="0.35">
      <c r="A6" s="3" t="s">
        <v>37</v>
      </c>
      <c r="B6" s="3" t="s">
        <v>37</v>
      </c>
      <c r="C6" s="21" t="s">
        <v>144</v>
      </c>
      <c r="D6" s="19">
        <v>21444</v>
      </c>
      <c r="E6" s="19">
        <v>1890</v>
      </c>
      <c r="F6" s="19">
        <v>109</v>
      </c>
      <c r="G6" s="19">
        <f>SUM(D6:F6)</f>
        <v>23443</v>
      </c>
      <c r="H6" s="19" t="s">
        <v>62</v>
      </c>
      <c r="I6" s="37">
        <f t="shared" si="0"/>
        <v>0.91472934351405533</v>
      </c>
      <c r="J6" s="37">
        <f t="shared" si="1"/>
        <v>8.5270656485944632E-2</v>
      </c>
    </row>
    <row r="7" spans="1:12" x14ac:dyDescent="0.35">
      <c r="A7" s="3" t="s">
        <v>28</v>
      </c>
      <c r="B7" s="3" t="s">
        <v>28</v>
      </c>
      <c r="C7" s="21" t="s">
        <v>141</v>
      </c>
      <c r="D7" s="19">
        <v>1390</v>
      </c>
      <c r="E7" s="19">
        <v>794</v>
      </c>
      <c r="F7" s="72">
        <v>1099</v>
      </c>
      <c r="G7" s="19">
        <v>3283</v>
      </c>
      <c r="H7" s="73" t="s">
        <v>140</v>
      </c>
      <c r="I7" s="37">
        <f t="shared" si="0"/>
        <v>0.42339323789217181</v>
      </c>
      <c r="J7" s="37">
        <f>IFERROR(SUM(E7:E7)/SUM(D7:E7),"-")</f>
        <v>0.36355311355311354</v>
      </c>
    </row>
    <row r="8" spans="1:12" x14ac:dyDescent="0.35">
      <c r="A8" s="3" t="s">
        <v>38</v>
      </c>
      <c r="B8" s="3" t="s">
        <v>38</v>
      </c>
      <c r="C8" s="71" t="s">
        <v>138</v>
      </c>
      <c r="D8" s="19">
        <v>6302</v>
      </c>
      <c r="E8" s="19">
        <v>318</v>
      </c>
      <c r="F8" s="19">
        <v>109</v>
      </c>
      <c r="G8" s="19">
        <v>6729</v>
      </c>
      <c r="H8" s="19" t="s">
        <v>139</v>
      </c>
      <c r="I8" s="37">
        <f t="shared" si="0"/>
        <v>0.93654331995838902</v>
      </c>
      <c r="J8" s="37">
        <f t="shared" si="1"/>
        <v>6.3456680041610938E-2</v>
      </c>
    </row>
    <row r="9" spans="1:12" x14ac:dyDescent="0.35">
      <c r="A9" s="3" t="s">
        <v>66</v>
      </c>
      <c r="B9" s="46" t="s">
        <v>5</v>
      </c>
      <c r="C9" s="70" t="s">
        <v>136</v>
      </c>
      <c r="D9" s="24">
        <v>115630</v>
      </c>
      <c r="E9" s="24">
        <v>441111</v>
      </c>
      <c r="F9" s="24">
        <v>931</v>
      </c>
      <c r="G9" s="24">
        <v>557672</v>
      </c>
      <c r="H9" s="65" t="s">
        <v>135</v>
      </c>
      <c r="I9" s="49">
        <f t="shared" si="0"/>
        <v>0.20734410190936609</v>
      </c>
      <c r="J9" s="49">
        <f t="shared" si="1"/>
        <v>0.79265589809063397</v>
      </c>
    </row>
    <row r="10" spans="1:12" x14ac:dyDescent="0.35">
      <c r="A10" s="3" t="s">
        <v>5</v>
      </c>
      <c r="B10" s="47"/>
      <c r="C10" s="29"/>
      <c r="D10" s="24"/>
      <c r="E10" s="24"/>
      <c r="F10" s="24"/>
      <c r="G10" s="24"/>
      <c r="H10" s="65"/>
      <c r="I10" s="49"/>
      <c r="J10" s="49"/>
    </row>
    <row r="11" spans="1:12" x14ac:dyDescent="0.35">
      <c r="A11" s="3" t="s">
        <v>7</v>
      </c>
      <c r="B11" s="3" t="s">
        <v>7</v>
      </c>
      <c r="C11" s="69" t="s">
        <v>134</v>
      </c>
      <c r="D11" s="19">
        <v>612</v>
      </c>
      <c r="E11" s="19">
        <v>59</v>
      </c>
      <c r="F11" s="19">
        <v>44</v>
      </c>
      <c r="G11" s="19">
        <f>SUM(D11:F11)</f>
        <v>715</v>
      </c>
      <c r="H11" s="19" t="s">
        <v>133</v>
      </c>
      <c r="I11" s="37">
        <f>IFERROR(D11/G11,"-")</f>
        <v>0.85594405594405598</v>
      </c>
      <c r="J11" s="37">
        <f>IFERROR(SUM(E11:F11)/SUM(D11:F11),"-")</f>
        <v>0.14405594405594405</v>
      </c>
    </row>
    <row r="12" spans="1:12" x14ac:dyDescent="0.35">
      <c r="A12" s="3" t="s">
        <v>67</v>
      </c>
      <c r="B12" s="22" t="s">
        <v>27</v>
      </c>
      <c r="C12" s="25" t="s">
        <v>124</v>
      </c>
      <c r="D12" s="24">
        <v>181808</v>
      </c>
      <c r="E12" s="24">
        <v>12703</v>
      </c>
      <c r="F12" s="24">
        <v>1306</v>
      </c>
      <c r="G12" s="50">
        <v>195817</v>
      </c>
      <c r="H12" s="64" t="s">
        <v>62</v>
      </c>
      <c r="I12" s="49">
        <f t="shared" ref="I12" si="2">IFERROR(D12/SUM(D12:F12),"-")</f>
        <v>0.92845871400338076</v>
      </c>
      <c r="J12" s="49">
        <f t="shared" si="1"/>
        <v>7.1541285996619297E-2</v>
      </c>
    </row>
    <row r="13" spans="1:12" x14ac:dyDescent="0.35">
      <c r="A13" s="3" t="s">
        <v>69</v>
      </c>
      <c r="B13" s="23"/>
      <c r="C13" s="26"/>
      <c r="D13" s="24"/>
      <c r="E13" s="24"/>
      <c r="F13" s="24"/>
      <c r="G13" s="50"/>
      <c r="H13" s="65"/>
      <c r="I13" s="49"/>
      <c r="J13" s="49"/>
    </row>
    <row r="14" spans="1:12" x14ac:dyDescent="0.35">
      <c r="A14" s="3" t="s">
        <v>21</v>
      </c>
      <c r="B14" s="3" t="s">
        <v>21</v>
      </c>
      <c r="C14" s="21" t="s">
        <v>126</v>
      </c>
      <c r="D14" s="19">
        <v>97862</v>
      </c>
      <c r="E14" s="19">
        <v>25793</v>
      </c>
      <c r="F14" s="19">
        <v>8382</v>
      </c>
      <c r="G14" s="19">
        <v>132037</v>
      </c>
      <c r="H14" s="19" t="s">
        <v>62</v>
      </c>
      <c r="I14" s="37">
        <f>IFERROR(D14/G14,"-")</f>
        <v>0.74117103539159479</v>
      </c>
      <c r="J14" s="37">
        <f t="shared" si="1"/>
        <v>0.25882896460840521</v>
      </c>
    </row>
    <row r="15" spans="1:12" x14ac:dyDescent="0.35">
      <c r="A15" s="3" t="s">
        <v>36</v>
      </c>
      <c r="B15" s="3" t="s">
        <v>36</v>
      </c>
      <c r="C15" s="21" t="s">
        <v>118</v>
      </c>
      <c r="D15" s="19">
        <v>742488</v>
      </c>
      <c r="E15" s="19">
        <v>4433895</v>
      </c>
      <c r="F15" s="19">
        <v>101025</v>
      </c>
      <c r="G15" s="19">
        <v>5277408</v>
      </c>
      <c r="H15" s="19" t="s">
        <v>131</v>
      </c>
      <c r="I15" s="37">
        <f>IFERROR(D15/G15,"-")</f>
        <v>0.14069179415349353</v>
      </c>
      <c r="J15" s="37">
        <f t="shared" si="1"/>
        <v>0.85930820584650647</v>
      </c>
    </row>
    <row r="16" spans="1:12" x14ac:dyDescent="0.35">
      <c r="A16" s="3" t="s">
        <v>25</v>
      </c>
      <c r="B16" s="3" t="s">
        <v>25</v>
      </c>
      <c r="C16" s="21"/>
      <c r="D16" s="19"/>
      <c r="E16" s="19"/>
      <c r="F16" s="19"/>
      <c r="G16" s="19"/>
      <c r="H16" s="19"/>
      <c r="I16" s="37" t="str">
        <f>IFERROR(D16/G16,"-")</f>
        <v>-</v>
      </c>
      <c r="J16" s="37" t="str">
        <f t="shared" si="1"/>
        <v>-</v>
      </c>
    </row>
    <row r="17" spans="5:5" x14ac:dyDescent="0.35">
      <c r="E17" s="28"/>
    </row>
  </sheetData>
  <mergeCells count="19">
    <mergeCell ref="H9:H10"/>
    <mergeCell ref="G9:G10"/>
    <mergeCell ref="D9:D10"/>
    <mergeCell ref="A1:I1"/>
    <mergeCell ref="D12:D13"/>
    <mergeCell ref="I12:I13"/>
    <mergeCell ref="J12:J13"/>
    <mergeCell ref="G12:G13"/>
    <mergeCell ref="H12:H13"/>
    <mergeCell ref="B9:B10"/>
    <mergeCell ref="J9:J10"/>
    <mergeCell ref="I9:I10"/>
    <mergeCell ref="C9:C10"/>
    <mergeCell ref="E9:E10"/>
    <mergeCell ref="F9:F10"/>
    <mergeCell ref="B12:B13"/>
    <mergeCell ref="C12:C13"/>
    <mergeCell ref="E12:E13"/>
    <mergeCell ref="F12:F13"/>
  </mergeCells>
  <conditionalFormatting sqref="I14:J16 I3:J9 I11:J12">
    <cfRule type="colorScale" priority="15">
      <colorScale>
        <cfvo type="percent" val="0"/>
        <cfvo type="percent" val="97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D0C-D587-4E9B-A2E3-4DCE6D85EA31}">
  <dimension ref="A1:F16"/>
  <sheetViews>
    <sheetView topLeftCell="A8" workbookViewId="0">
      <selection activeCell="C16" sqref="C16"/>
    </sheetView>
  </sheetViews>
  <sheetFormatPr baseColWidth="10" defaultRowHeight="14.5" x14ac:dyDescent="0.35"/>
  <cols>
    <col min="1" max="2" width="12.90625" customWidth="1"/>
    <col min="3" max="3" width="32" customWidth="1"/>
    <col min="4" max="4" width="30.36328125" bestFit="1" customWidth="1"/>
    <col min="5" max="5" width="26.08984375" bestFit="1" customWidth="1"/>
    <col min="6" max="6" width="18.6328125" customWidth="1"/>
  </cols>
  <sheetData>
    <row r="1" spans="1:6" x14ac:dyDescent="0.35">
      <c r="A1" s="11" t="s">
        <v>94</v>
      </c>
      <c r="B1" s="11"/>
      <c r="C1" s="11"/>
      <c r="D1" s="11" t="s">
        <v>93</v>
      </c>
      <c r="E1" s="11"/>
      <c r="F1" s="11"/>
    </row>
    <row r="2" spans="1:6" x14ac:dyDescent="0.35">
      <c r="A2" s="11"/>
      <c r="B2" s="11" t="s">
        <v>0</v>
      </c>
      <c r="C2" s="11" t="s">
        <v>95</v>
      </c>
      <c r="D2" s="11" t="s">
        <v>91</v>
      </c>
      <c r="E2" s="11" t="s">
        <v>92</v>
      </c>
      <c r="F2" s="27" t="s">
        <v>106</v>
      </c>
    </row>
    <row r="3" spans="1:6" x14ac:dyDescent="0.35">
      <c r="A3" s="3" t="s">
        <v>2</v>
      </c>
      <c r="B3" s="3" t="s">
        <v>2</v>
      </c>
      <c r="C3" s="38" t="s">
        <v>96</v>
      </c>
      <c r="D3" s="39">
        <v>5319</v>
      </c>
      <c r="E3" s="39">
        <v>5316</v>
      </c>
      <c r="F3" s="40">
        <f>E3-D3</f>
        <v>-3</v>
      </c>
    </row>
    <row r="4" spans="1:6" x14ac:dyDescent="0.35">
      <c r="A4" s="3" t="s">
        <v>24</v>
      </c>
      <c r="B4" s="3" t="s">
        <v>24</v>
      </c>
      <c r="C4" s="8" t="s">
        <v>116</v>
      </c>
      <c r="D4" s="39">
        <v>700211</v>
      </c>
      <c r="E4" s="39">
        <v>24047314</v>
      </c>
      <c r="F4" s="40">
        <f t="shared" ref="F4:F16" si="0">E4-D4</f>
        <v>23347103</v>
      </c>
    </row>
    <row r="5" spans="1:6" x14ac:dyDescent="0.35">
      <c r="A5" s="3" t="s">
        <v>29</v>
      </c>
      <c r="B5" s="3" t="s">
        <v>29</v>
      </c>
      <c r="C5" s="8" t="s">
        <v>117</v>
      </c>
      <c r="D5" s="39">
        <v>3383</v>
      </c>
      <c r="E5" s="39">
        <v>258763</v>
      </c>
      <c r="F5" s="40">
        <f t="shared" si="0"/>
        <v>255380</v>
      </c>
    </row>
    <row r="6" spans="1:6" x14ac:dyDescent="0.35">
      <c r="A6" s="3" t="s">
        <v>37</v>
      </c>
      <c r="B6" s="3" t="s">
        <v>37</v>
      </c>
      <c r="C6" s="8" t="s">
        <v>110</v>
      </c>
      <c r="D6" s="39">
        <v>22355</v>
      </c>
      <c r="E6" s="39">
        <v>24012</v>
      </c>
      <c r="F6" s="40">
        <f t="shared" si="0"/>
        <v>1657</v>
      </c>
    </row>
    <row r="7" spans="1:6" x14ac:dyDescent="0.35">
      <c r="A7" s="3" t="s">
        <v>28</v>
      </c>
      <c r="B7" s="3" t="s">
        <v>28</v>
      </c>
      <c r="C7" s="63" t="s">
        <v>109</v>
      </c>
      <c r="D7" s="39"/>
      <c r="E7" s="39"/>
      <c r="F7" s="40">
        <f t="shared" si="0"/>
        <v>0</v>
      </c>
    </row>
    <row r="8" spans="1:6" x14ac:dyDescent="0.35">
      <c r="A8" s="3" t="s">
        <v>38</v>
      </c>
      <c r="B8" s="3" t="s">
        <v>38</v>
      </c>
      <c r="C8" s="8" t="s">
        <v>108</v>
      </c>
      <c r="D8" s="39">
        <v>6963</v>
      </c>
      <c r="E8" s="39">
        <v>11113</v>
      </c>
      <c r="F8" s="40">
        <f t="shared" si="0"/>
        <v>4150</v>
      </c>
    </row>
    <row r="9" spans="1:6" x14ac:dyDescent="0.35">
      <c r="A9" s="3" t="s">
        <v>66</v>
      </c>
      <c r="B9" s="22" t="s">
        <v>5</v>
      </c>
      <c r="C9" s="41" t="s">
        <v>107</v>
      </c>
      <c r="D9" s="42">
        <v>117263</v>
      </c>
      <c r="E9" s="42">
        <v>903497</v>
      </c>
      <c r="F9" s="43">
        <f t="shared" si="0"/>
        <v>786234</v>
      </c>
    </row>
    <row r="10" spans="1:6" x14ac:dyDescent="0.35">
      <c r="A10" s="3" t="s">
        <v>5</v>
      </c>
      <c r="B10" s="23"/>
      <c r="C10" s="41"/>
      <c r="D10" s="42"/>
      <c r="E10" s="42"/>
      <c r="F10" s="43"/>
    </row>
    <row r="11" spans="1:6" x14ac:dyDescent="0.35">
      <c r="A11" s="3" t="s">
        <v>7</v>
      </c>
      <c r="B11" s="3" t="s">
        <v>7</v>
      </c>
      <c r="C11" s="8" t="s">
        <v>96</v>
      </c>
      <c r="D11" s="39">
        <v>760</v>
      </c>
      <c r="E11" s="39">
        <v>261245</v>
      </c>
      <c r="F11" s="40">
        <f t="shared" si="0"/>
        <v>260485</v>
      </c>
    </row>
    <row r="12" spans="1:6" x14ac:dyDescent="0.35">
      <c r="A12" s="3" t="s">
        <v>67</v>
      </c>
      <c r="B12" s="22" t="s">
        <v>27</v>
      </c>
      <c r="C12" s="44" t="s">
        <v>98</v>
      </c>
      <c r="D12" s="42">
        <v>272609</v>
      </c>
      <c r="E12" s="42">
        <v>276385</v>
      </c>
      <c r="F12" s="43">
        <f t="shared" si="0"/>
        <v>3776</v>
      </c>
    </row>
    <row r="13" spans="1:6" x14ac:dyDescent="0.35">
      <c r="A13" s="3" t="s">
        <v>69</v>
      </c>
      <c r="B13" s="23"/>
      <c r="C13" s="45"/>
      <c r="D13" s="42"/>
      <c r="E13" s="42"/>
      <c r="F13" s="43"/>
    </row>
    <row r="14" spans="1:6" x14ac:dyDescent="0.35">
      <c r="A14" s="3" t="s">
        <v>21</v>
      </c>
      <c r="B14" s="3" t="s">
        <v>21</v>
      </c>
      <c r="C14" s="8" t="s">
        <v>99</v>
      </c>
      <c r="D14" s="39">
        <v>107714</v>
      </c>
      <c r="E14" s="39">
        <v>247295</v>
      </c>
      <c r="F14" s="40">
        <f t="shared" si="0"/>
        <v>139581</v>
      </c>
    </row>
    <row r="15" spans="1:6" x14ac:dyDescent="0.35">
      <c r="A15" s="3" t="s">
        <v>36</v>
      </c>
      <c r="B15" s="3" t="s">
        <v>36</v>
      </c>
      <c r="C15" s="8" t="s">
        <v>100</v>
      </c>
      <c r="D15" s="39">
        <v>4329319</v>
      </c>
      <c r="E15" s="39">
        <v>5580515</v>
      </c>
      <c r="F15" s="40">
        <f t="shared" si="0"/>
        <v>1251196</v>
      </c>
    </row>
    <row r="16" spans="1:6" x14ac:dyDescent="0.35">
      <c r="A16" s="3" t="s">
        <v>25</v>
      </c>
      <c r="B16" s="3" t="s">
        <v>25</v>
      </c>
      <c r="C16" s="8" t="s">
        <v>101</v>
      </c>
      <c r="D16" s="39">
        <v>579</v>
      </c>
      <c r="E16" s="39">
        <v>287</v>
      </c>
      <c r="F16" s="40">
        <f t="shared" si="0"/>
        <v>-292</v>
      </c>
    </row>
  </sheetData>
  <mergeCells count="10">
    <mergeCell ref="B12:B13"/>
    <mergeCell ref="E12:E13"/>
    <mergeCell ref="D12:D13"/>
    <mergeCell ref="C12:C13"/>
    <mergeCell ref="F12:F13"/>
    <mergeCell ref="D9:D10"/>
    <mergeCell ref="E9:E10"/>
    <mergeCell ref="F9:F10"/>
    <mergeCell ref="C9:C10"/>
    <mergeCell ref="B9:B10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28416-303F-4262-8EE2-7C058CE7E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D85119-5E00-43F6-B1C9-7EB5F4C7E743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327bade-6e9b-4e0f-a44d-50f3f2085163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A69D0B2-63B4-46AC-AF54-8B9EB66095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COMPARATIVA</vt:lpstr>
      <vt:lpstr>Cantidad_registros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SOLUTIONS.Crespo Miranda, Fabricio Mariano</cp:lastModifiedBy>
  <dcterms:created xsi:type="dcterms:W3CDTF">2026-06-22T15:30:10Z</dcterms:created>
  <dcterms:modified xsi:type="dcterms:W3CDTF">2026-06-23T23:32:20Z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