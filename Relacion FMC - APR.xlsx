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x16267\Desktop\"/>
    </mc:Choice>
  </mc:AlternateContent>
  <xr:revisionPtr revIDLastSave="0" documentId="8_{246AEBF1-0EC1-4DBE-9A04-4FB29DA0D605}" xr6:coauthVersionLast="47" xr6:coauthVersionMax="47" xr10:uidLastSave="{00000000-0000-0000-0000-000000000000}"/>
  <bookViews>
    <workbookView xWindow="-110" yWindow="-110" windowWidth="19420" windowHeight="11500" xr2:uid="{4DE66A40-4DB2-4A1B-B36C-1BC10B84D212}"/>
  </bookViews>
  <sheets>
    <sheet name="Hoj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269" i="1" l="1"/>
  <c r="G250" i="1"/>
  <c r="G231" i="1"/>
  <c r="G212" i="1"/>
  <c r="G193" i="1"/>
  <c r="G174" i="1"/>
  <c r="G155" i="1"/>
  <c r="G136" i="1"/>
  <c r="G116" i="1"/>
  <c r="G97" i="1"/>
  <c r="G78" i="1"/>
  <c r="G59" i="1"/>
  <c r="G40" i="1"/>
  <c r="G21" i="1"/>
  <c r="G2" i="1"/>
</calcChain>
</file>

<file path=xl/sharedStrings.xml><?xml version="1.0" encoding="utf-8"?>
<sst xmlns="http://schemas.openxmlformats.org/spreadsheetml/2006/main" count="1326" uniqueCount="328">
  <si>
    <t>APLICATIVO</t>
  </si>
  <si>
    <t>LIC</t>
  </si>
  <si>
    <t>Tabla---&gt;</t>
  </si>
  <si>
    <t>RNT.T_APRRINT_LIC_TMP</t>
  </si>
  <si>
    <t>RNT.T_APRRINT_LID_TMP</t>
  </si>
  <si>
    <t>Descripción---&gt;</t>
  </si>
  <si>
    <t>FM_CLAVE_CUENTA:</t>
  </si>
  <si>
    <t>620 01055727 0032 001 0032001 62000000032000001055</t>
  </si>
  <si>
    <t>FM_CLIENTE</t>
  </si>
  <si>
    <t>00000015688365</t>
  </si>
  <si>
    <t>Separado</t>
  </si>
  <si>
    <t>01055727</t>
  </si>
  <si>
    <t>0032</t>
  </si>
  <si>
    <t>001</t>
  </si>
  <si>
    <t xml:space="preserve">001 </t>
  </si>
  <si>
    <t>620</t>
  </si>
  <si>
    <t>00000</t>
  </si>
  <si>
    <t>000001055</t>
  </si>
  <si>
    <t>Campo en APRR</t>
  </si>
  <si>
    <t>P01_OF_ADMIN</t>
  </si>
  <si>
    <t>P01_NU_DOCU</t>
  </si>
  <si>
    <t>P01_CO_PROD_ORIG</t>
  </si>
  <si>
    <t>P01_CTRL02</t>
  </si>
  <si>
    <t>P01_CTRL04</t>
  </si>
  <si>
    <t>P01_CTRL12</t>
  </si>
  <si>
    <t>P01_CO_TIENDA_IC</t>
  </si>
  <si>
    <t>APRFCRO_DIAS_ATRA_MES</t>
  </si>
  <si>
    <t>P01_ID_CAMP_03</t>
  </si>
  <si>
    <t>Valor no encontrado</t>
  </si>
  <si>
    <t>Defincion de Campo</t>
  </si>
  <si>
    <t>-</t>
  </si>
  <si>
    <t>Contrato</t>
  </si>
  <si>
    <t>PRODUCTO</t>
  </si>
  <si>
    <t>100 01929151 0032 001 0032001 10000000032000001929</t>
  </si>
  <si>
    <t>00000011677885</t>
  </si>
  <si>
    <t>100</t>
  </si>
  <si>
    <t>01929151</t>
  </si>
  <si>
    <t>000001929</t>
  </si>
  <si>
    <t>340 02134437 0032 001 0032001 34000000032000002134</t>
  </si>
  <si>
    <t>00000008134249</t>
  </si>
  <si>
    <t>340</t>
  </si>
  <si>
    <t>02134437</t>
  </si>
  <si>
    <t>000002134</t>
  </si>
  <si>
    <t>LPC</t>
  </si>
  <si>
    <t>RNT.T_APRRINT_LPC_TMP</t>
  </si>
  <si>
    <t>PC  001 60002110211037720147527015</t>
  </si>
  <si>
    <t>00000018719961</t>
  </si>
  <si>
    <t>PC</t>
  </si>
  <si>
    <t>600</t>
  </si>
  <si>
    <t>0211</t>
  </si>
  <si>
    <t>0377</t>
  </si>
  <si>
    <t>20147527</t>
  </si>
  <si>
    <t>015</t>
  </si>
  <si>
    <t>P01_ID_CAMP_01</t>
  </si>
  <si>
    <t>APRRMTX_CO_FAMILIA</t>
  </si>
  <si>
    <t>P01_ID_CAMP_02</t>
  </si>
  <si>
    <t>TIPO DE DOCUMENTO</t>
  </si>
  <si>
    <t>PRODUCTO LPC</t>
  </si>
  <si>
    <t>SUBPRODUCTO</t>
  </si>
  <si>
    <t>PC  001 10002110211038920157619003</t>
  </si>
  <si>
    <t>00000018318247</t>
  </si>
  <si>
    <t>0389</t>
  </si>
  <si>
    <t>20157619</t>
  </si>
  <si>
    <t>003</t>
  </si>
  <si>
    <t>LS  010 20001110111050116816727019</t>
  </si>
  <si>
    <t>00000014013078</t>
  </si>
  <si>
    <t>LS</t>
  </si>
  <si>
    <t>010</t>
  </si>
  <si>
    <t>200</t>
  </si>
  <si>
    <t>0111</t>
  </si>
  <si>
    <t>0501</t>
  </si>
  <si>
    <t>16816727</t>
  </si>
  <si>
    <t>019</t>
  </si>
  <si>
    <t>MDC</t>
  </si>
  <si>
    <t>RNT.T_APRRINT_MDC_TMP</t>
  </si>
  <si>
    <t>00000000012166080001216608      0001216608</t>
  </si>
  <si>
    <t>00000000389627</t>
  </si>
  <si>
    <t>0000000001216608</t>
  </si>
  <si>
    <t>0001216608</t>
  </si>
  <si>
    <t>00000000012164230001216423      0001216423</t>
  </si>
  <si>
    <t>00000011608224</t>
  </si>
  <si>
    <t>0000000001216423</t>
  </si>
  <si>
    <t>0001216423</t>
  </si>
  <si>
    <t>DWHRR_ESP_DISPONIBLE</t>
  </si>
  <si>
    <t>00000000012164260001216426      0001216426</t>
  </si>
  <si>
    <t>00000014914888</t>
  </si>
  <si>
    <t>0000000001216426</t>
  </si>
  <si>
    <t>0001216426</t>
  </si>
  <si>
    <t>MYP</t>
  </si>
  <si>
    <t>RNT.T_APRRINT_MYP_TMP</t>
  </si>
  <si>
    <t>PC  001 7740111011105111025378002300110253780</t>
  </si>
  <si>
    <t>00000020870835</t>
  </si>
  <si>
    <t>774</t>
  </si>
  <si>
    <t>0511</t>
  </si>
  <si>
    <t>10253780</t>
  </si>
  <si>
    <t>02</t>
  </si>
  <si>
    <t>300</t>
  </si>
  <si>
    <t>110253780</t>
  </si>
  <si>
    <t>P01_ID_CAMP_04</t>
  </si>
  <si>
    <t>APRRMTX_CO_SUB_FAMILIA</t>
  </si>
  <si>
    <t>P01_ID_DOCU</t>
  </si>
  <si>
    <t>CATEGORÍA</t>
  </si>
  <si>
    <t>PC  001 7740111011105111025188702400110251887</t>
  </si>
  <si>
    <t>00000020751037</t>
  </si>
  <si>
    <t>10251887</t>
  </si>
  <si>
    <t>400</t>
  </si>
  <si>
    <t>110251887</t>
  </si>
  <si>
    <t>PC  001 7740111011105111025005502500110250055</t>
  </si>
  <si>
    <t>00000018041334</t>
  </si>
  <si>
    <t>10250055</t>
  </si>
  <si>
    <t>500</t>
  </si>
  <si>
    <t>110250055</t>
  </si>
  <si>
    <t>PPA</t>
  </si>
  <si>
    <t>RNT.T_APRRINT_PPA_TMP</t>
  </si>
  <si>
    <t>0008897755          20005AAJR013000034515</t>
  </si>
  <si>
    <t>00000008897755</t>
  </si>
  <si>
    <t xml:space="preserve">0008897755 </t>
  </si>
  <si>
    <t xml:space="preserve"> 200</t>
  </si>
  <si>
    <t>05</t>
  </si>
  <si>
    <t>AAJR</t>
  </si>
  <si>
    <t>01</t>
  </si>
  <si>
    <t>00</t>
  </si>
  <si>
    <t>34515</t>
  </si>
  <si>
    <t>P01_ID_CLIE</t>
  </si>
  <si>
    <t>0008703832          916059958013001202870</t>
  </si>
  <si>
    <t>00000008703832</t>
  </si>
  <si>
    <t>0008703832</t>
  </si>
  <si>
    <t>916</t>
  </si>
  <si>
    <t>9958</t>
  </si>
  <si>
    <t>12</t>
  </si>
  <si>
    <t>02870</t>
  </si>
  <si>
    <t>0008880601          37704VIVM013282049940</t>
  </si>
  <si>
    <t>00000008880601</t>
  </si>
  <si>
    <t xml:space="preserve">0008880601 </t>
  </si>
  <si>
    <t>377</t>
  </si>
  <si>
    <t>04</t>
  </si>
  <si>
    <t>VIVM</t>
  </si>
  <si>
    <t>328</t>
  </si>
  <si>
    <t>20</t>
  </si>
  <si>
    <t>49940</t>
  </si>
  <si>
    <t>P01_RUBRO</t>
  </si>
  <si>
    <t>SCF</t>
  </si>
  <si>
    <t>RNT.T_APRRINT_SCF_TMP</t>
  </si>
  <si>
    <t>210 300210 211 0009917300100099173</t>
  </si>
  <si>
    <t>00000005848585</t>
  </si>
  <si>
    <t>210</t>
  </si>
  <si>
    <t>211</t>
  </si>
  <si>
    <t>00099173</t>
  </si>
  <si>
    <t>P01_CTRL03</t>
  </si>
  <si>
    <t>APRRMTX_ID_CLAV_01</t>
  </si>
  <si>
    <t>APRRMTX_ID_CLAV_02</t>
  </si>
  <si>
    <t>NEGOCIO</t>
  </si>
  <si>
    <t>210 100210 211 0010481400100104814</t>
  </si>
  <si>
    <t>00000017814323</t>
  </si>
  <si>
    <t>00104814</t>
  </si>
  <si>
    <t>230 200230 211 0011150200100111502</t>
  </si>
  <si>
    <t>00000009277372</t>
  </si>
  <si>
    <t>230</t>
  </si>
  <si>
    <t>00111502</t>
  </si>
  <si>
    <t>TLD</t>
  </si>
  <si>
    <t>RNT.T_APRRINT_TLD_TMP</t>
  </si>
  <si>
    <t>NO HAY CODIGOS DE CLIENTE PARA PODER CRUZAR DATOS</t>
  </si>
  <si>
    <t>$IM</t>
  </si>
  <si>
    <t>RNT.T_APRRINT_$IM_TMP</t>
  </si>
  <si>
    <t>0301098000013000623451                         ACR</t>
  </si>
  <si>
    <t>00000011868957</t>
  </si>
  <si>
    <t>0301098000013000623451</t>
  </si>
  <si>
    <t>03</t>
  </si>
  <si>
    <t>0010</t>
  </si>
  <si>
    <t>980</t>
  </si>
  <si>
    <t>0001</t>
  </si>
  <si>
    <t>3000623451</t>
  </si>
  <si>
    <t>ACR</t>
  </si>
  <si>
    <t>*P01_CTRL02, P01_CTRL12</t>
  </si>
  <si>
    <t>P01_CTRL04, P01_CTRL14</t>
  </si>
  <si>
    <t>P01_NU_DOCU, P01_NU_CNTA</t>
  </si>
  <si>
    <t>GRUPO</t>
  </si>
  <si>
    <t>TIPO DE PERSONERIA</t>
  </si>
  <si>
    <t>0300132200013006696995                         ACR</t>
  </si>
  <si>
    <t>00000021327923</t>
  </si>
  <si>
    <t>0300132200013006696995</t>
  </si>
  <si>
    <t>322</t>
  </si>
  <si>
    <t>3006696995</t>
  </si>
  <si>
    <t>0300100100010000123550                         ACR</t>
  </si>
  <si>
    <t>00000000008045</t>
  </si>
  <si>
    <t>0300100100010000123550</t>
  </si>
  <si>
    <t>0000123550</t>
  </si>
  <si>
    <t>$ST</t>
  </si>
  <si>
    <t>RNT.T_APRRINT_$ST_TMP</t>
  </si>
  <si>
    <t>0301585400200003139975970</t>
  </si>
  <si>
    <t>00000016180964</t>
  </si>
  <si>
    <t>0015</t>
  </si>
  <si>
    <t>854</t>
  </si>
  <si>
    <t>002</t>
  </si>
  <si>
    <t>3139975970</t>
  </si>
  <si>
    <t>*P01_CTRL02, P01_CTRL12, SIN CERO IZQ</t>
  </si>
  <si>
    <t>APRRMTX_PRODUCTO_CRM</t>
  </si>
  <si>
    <t>CATEGORIA</t>
  </si>
  <si>
    <t>0301577400200003083883669</t>
  </si>
  <si>
    <t>00000014567779</t>
  </si>
  <si>
    <t>3083883669</t>
  </si>
  <si>
    <t>0301563900200003483542109</t>
  </si>
  <si>
    <t>00000021877229</t>
  </si>
  <si>
    <t>639</t>
  </si>
  <si>
    <t>3483542109</t>
  </si>
  <si>
    <t>BKT</t>
  </si>
  <si>
    <t>RNT.T_APRRINT_BKT_TMP</t>
  </si>
  <si>
    <t>SE COMPONE DE CAMPOS DE FMOVCON Y NO DE APR</t>
  </si>
  <si>
    <t>02O325005001                  BKT260416O325005001</t>
  </si>
  <si>
    <t>00000008214086</t>
  </si>
  <si>
    <t>O</t>
  </si>
  <si>
    <t>325005</t>
  </si>
  <si>
    <t>240416</t>
  </si>
  <si>
    <t>Campo en MOVCON</t>
  </si>
  <si>
    <t>FM_REFERENCIA</t>
  </si>
  <si>
    <t>FM_APLICACION</t>
  </si>
  <si>
    <t>FM_PROC_FECHA</t>
  </si>
  <si>
    <t>Origen de Información</t>
  </si>
  <si>
    <t>Fecha del Dato</t>
  </si>
  <si>
    <t>15T122962000                  BKT260416T122962000</t>
  </si>
  <si>
    <t>00000005882709</t>
  </si>
  <si>
    <t>15</t>
  </si>
  <si>
    <t>T</t>
  </si>
  <si>
    <t>122962</t>
  </si>
  <si>
    <t>000</t>
  </si>
  <si>
    <t>11Y517336001                  BKT260416Y517336001</t>
  </si>
  <si>
    <t>00000010722438</t>
  </si>
  <si>
    <t>517336</t>
  </si>
  <si>
    <t>CDO</t>
  </si>
  <si>
    <t>RNT.T_APRRINT_CDO_TMP</t>
  </si>
  <si>
    <t>000000000098477289******9644   0129REVVIGCOMP</t>
  </si>
  <si>
    <t>00000000287326</t>
  </si>
  <si>
    <t>000000000098477289******9644</t>
  </si>
  <si>
    <t>0129</t>
  </si>
  <si>
    <t>REV</t>
  </si>
  <si>
    <t>VIG</t>
  </si>
  <si>
    <t>COMP</t>
  </si>
  <si>
    <t>P01_ID_CAMP_05</t>
  </si>
  <si>
    <t>P01_ID_CAMP_06</t>
  </si>
  <si>
    <t>TIPO DE DEUDA</t>
  </si>
  <si>
    <t>SITUACION</t>
  </si>
  <si>
    <t>MODALIDAD CONSUMO</t>
  </si>
  <si>
    <t>000000042220477289******7678   0129REVVIGCOMP</t>
  </si>
  <si>
    <t>00000003235082</t>
  </si>
  <si>
    <t>000000042220477289******7678</t>
  </si>
  <si>
    <t>000000093883491337******2714   0102REVVIGCOMP</t>
  </si>
  <si>
    <t>00000001947258</t>
  </si>
  <si>
    <t>000000093883491337******2714</t>
  </si>
  <si>
    <t>0102</t>
  </si>
  <si>
    <t>FCD</t>
  </si>
  <si>
    <t>RNT.T_APRRINT_FCD_TMP</t>
  </si>
  <si>
    <t>007507479700100120012510210711        FC0075074797</t>
  </si>
  <si>
    <t>00000013552628</t>
  </si>
  <si>
    <t>0075074797</t>
  </si>
  <si>
    <t>125</t>
  </si>
  <si>
    <t>10</t>
  </si>
  <si>
    <t>2</t>
  </si>
  <si>
    <t>1</t>
  </si>
  <si>
    <t>07</t>
  </si>
  <si>
    <t>FC</t>
  </si>
  <si>
    <t>P01_CTRL02, P01_CTRL04, P01_CTRL12, P01_CTRL14,APRRMTX_ID_CLAV_02, APRRMTX_ID_CLAV_02_ALT</t>
  </si>
  <si>
    <t>P01_CO_PROD_ORIG, P01_ID_CAMP_03, DWHRR_PRODUCT_TYPE_CD, APRRMTX_ID_CLAV_03, APRRMTX_ID_CLAV_03</t>
  </si>
  <si>
    <t>APRRMTX_SUB_CTA_ANALITICA</t>
  </si>
  <si>
    <t>DWHRR_ACCRUAL_BASIS_CD, DWHRR_INT_TYPE, DWHRR_RATE_CHG_RND_CD</t>
  </si>
  <si>
    <t>P01_TI_TASA, P01_CL_TASA, P01_PERIORICIDAD_PAGO, DWHRR_OPEN_ACCOUNT_FLG, DWHRR_REMAIN_NO_PMTS_C, APRFCRO_MOD_PAGO, APRFCRO_TI_TASA_INT,  APRFCRO_CUOTAS_X_PAGAR, APRRMTX_TI_PROD_FMS</t>
  </si>
  <si>
    <t>APRFCRO_TIPO_EXPOS</t>
  </si>
  <si>
    <t>P01_ID_APLI_DCMNTO, P01_ID_CAMP_01</t>
  </si>
  <si>
    <t>007506640701000191612110210711        FC0075066407</t>
  </si>
  <si>
    <t>00000014973502</t>
  </si>
  <si>
    <t>121</t>
  </si>
  <si>
    <t>007506430700100182512510210911        FC0075064307</t>
  </si>
  <si>
    <t>00000021829857</t>
  </si>
  <si>
    <t>0075064307</t>
  </si>
  <si>
    <t>825</t>
  </si>
  <si>
    <t>09</t>
  </si>
  <si>
    <t>GAC</t>
  </si>
  <si>
    <t>RNT.T_APRRINT_GAC_TMP</t>
  </si>
  <si>
    <t>JCC</t>
  </si>
  <si>
    <t>RNT.T_APRRINT_JCC_TMP</t>
  </si>
  <si>
    <t>JC47706811 BP  SAT 846 CS  ACT PEN CCRVCJ260416000</t>
  </si>
  <si>
    <t>00000018960810</t>
  </si>
  <si>
    <t>JC</t>
  </si>
  <si>
    <t>BP</t>
  </si>
  <si>
    <t>SAT</t>
  </si>
  <si>
    <t>CS</t>
  </si>
  <si>
    <t>ACT</t>
  </si>
  <si>
    <t>PEN</t>
  </si>
  <si>
    <t>CCRV</t>
  </si>
  <si>
    <t>CJ</t>
  </si>
  <si>
    <t>P01_ID_APLI_DCMNTO</t>
  </si>
  <si>
    <t>P01_ID_CAMP_07</t>
  </si>
  <si>
    <t>DWHRR_LAST_PAYMENT_DATE###</t>
  </si>
  <si>
    <t>CODIGO DE FAMILIA</t>
  </si>
  <si>
    <t>APLICATIVO ORIGEN</t>
  </si>
  <si>
    <t>ESTADO</t>
  </si>
  <si>
    <t>MONEDA</t>
  </si>
  <si>
    <t>TIPO DE EXPOSICION</t>
  </si>
  <si>
    <t>JC47651226 BP  LIC 205 CS  ACT PEN CCNRCJ260416000</t>
  </si>
  <si>
    <t>00000018176957</t>
  </si>
  <si>
    <t>CCNR</t>
  </si>
  <si>
    <t>JC47683862 BP  SAT 852 CS  ACT PEN CCRVCJ260416000</t>
  </si>
  <si>
    <t>00000020749334</t>
  </si>
  <si>
    <t>HPC</t>
  </si>
  <si>
    <t>RNT.T_APRRINT_HIP_TMP</t>
  </si>
  <si>
    <t>RNT.T_APRRINT_CNS_TMP</t>
  </si>
  <si>
    <t>CH  01522362005N   00100070101612HPC</t>
  </si>
  <si>
    <t>00000010462180</t>
  </si>
  <si>
    <t>CH</t>
  </si>
  <si>
    <t>0001522362</t>
  </si>
  <si>
    <t>005</t>
  </si>
  <si>
    <t>N</t>
  </si>
  <si>
    <t>0007</t>
  </si>
  <si>
    <t>0101</t>
  </si>
  <si>
    <t>612</t>
  </si>
  <si>
    <t>**P01_NU_DOCU</t>
  </si>
  <si>
    <t>P01_ID_APLI</t>
  </si>
  <si>
    <t>CALIFICACIÓN</t>
  </si>
  <si>
    <t>CP  01503099007N   00100013901898HPC</t>
  </si>
  <si>
    <t>00000015440690</t>
  </si>
  <si>
    <t>CP</t>
  </si>
  <si>
    <t>0001503099</t>
  </si>
  <si>
    <t>007</t>
  </si>
  <si>
    <t>3901</t>
  </si>
  <si>
    <t>898</t>
  </si>
  <si>
    <t>CP  01419704015N   00100012101898HPC</t>
  </si>
  <si>
    <t>00000011337119</t>
  </si>
  <si>
    <t>01419704</t>
  </si>
  <si>
    <t>2101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</si>
</sst>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0" fillId="0" borderId="0" xfId="0" applyNumberFormat="1"/>
    <xf numFmtId="0" fontId="3" fillId="0" borderId="0" xfId="0" applyFont="1"/>
    <xf numFmtId="49" fontId="0" fillId="0" borderId="0" xfId="0" applyNumberForma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0" xfId="0" quotePrefix="1" applyNumberFormat="1" applyAlignment="1">
      <alignment horizontal="center"/>
    </xf>
    <xf numFmtId="49" fontId="0" fillId="0" borderId="0" xfId="0" applyNumberFormat="1" applyAlignment="1">
      <alignment horizontal="center" vertical="center"/>
    </xf>
    <xf numFmtId="49" fontId="0" fillId="0" borderId="0" xfId="0" quotePrefix="1" applyNumberFormat="1"/>
    <xf numFmtId="0" fontId="0" fillId="0" borderId="0" xfId="0" applyAlignment="1">
      <alignment horizontal="center"/>
    </xf>
    <xf numFmtId="49" fontId="2" fillId="0" borderId="0" xfId="0" applyNumberFormat="1" applyFont="1"/>
    <xf numFmtId="0" fontId="3" fillId="3" borderId="0" xfId="0" applyFont="1" applyFill="1"/>
    <xf numFmtId="49" fontId="0" fillId="3" borderId="0" xfId="0" applyNumberFormat="1" applyFill="1"/>
    <xf numFmtId="49" fontId="0" fillId="3" borderId="0" xfId="0" applyNumberFormat="1" applyFill="1" applyAlignment="1">
      <alignment horizontal="center"/>
    </xf>
    <xf numFmtId="0" fontId="0" fillId="3" borderId="0" xfId="0" applyFill="1"/>
    <xf numFmtId="49" fontId="3" fillId="0" borderId="0" xfId="0" applyNumberFormat="1" applyFont="1"/>
    <xf numFmtId="49" fontId="0" fillId="0" borderId="0" xfId="0" applyNumberFormat="1" applyAlignment="1">
      <alignment vertical="center" wrapText="1"/>
    </xf>
    <xf numFmtId="49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terbankpe-my.sharepoint.com/personal/spachasn_proveedor_intercorp_com_pe/Documents/1.%20IBK/3.%20Campos%20Funcional/Documentaci&#243;n%20-%20Campos%20Funcionales%20RNT%20%20%20ALM.xlsx" TargetMode="External"/><Relationship Id="rId1" Type="http://schemas.openxmlformats.org/officeDocument/2006/relationships/externalLinkPath" Target="https://interbankpe-my.sharepoint.com/personal/spachasn_proveedor_intercorp_com_pe/Documents/1.%20IBK/3.%20Campos%20Funcional/Documentaci&#243;n%20-%20Campos%20Funcionales%20RNT%20%20%20AL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lacion FMC - APR"/>
      <sheetName val="Hoja1"/>
      <sheetName val="Tablas-Campos"/>
      <sheetName val="Tablas RNT"/>
      <sheetName val="Detalles"/>
      <sheetName val="Relacion_tablas"/>
      <sheetName val="Detalle_tablas"/>
    </sheetNames>
    <sheetDataSet>
      <sheetData sheetId="0"/>
      <sheetData sheetId="1">
        <row r="1">
          <cell r="B1" t="str">
            <v>Siglas</v>
          </cell>
          <cell r="C1" t="str">
            <v>Aplicativo que corresponde</v>
          </cell>
          <cell r="D1" t="str">
            <v>Aplicativo</v>
          </cell>
        </row>
        <row r="2">
          <cell r="B2" t="str">
            <v>WBC</v>
          </cell>
          <cell r="C2" t="str">
            <v>WBC</v>
          </cell>
          <cell r="D2" t="str">
            <v>WF Banca Comercial</v>
          </cell>
        </row>
        <row r="3">
          <cell r="B3" t="str">
            <v>TLD</v>
          </cell>
          <cell r="C3" t="str">
            <v>TLD</v>
          </cell>
          <cell r="D3" t="str">
            <v>Told II</v>
          </cell>
        </row>
        <row r="4">
          <cell r="B4" t="str">
            <v>$ST</v>
          </cell>
          <cell r="C4" t="str">
            <v>$ST</v>
          </cell>
          <cell r="D4" t="str">
            <v>Systematics-Saving Times</v>
          </cell>
        </row>
        <row r="5">
          <cell r="B5" t="str">
            <v>$IM</v>
          </cell>
          <cell r="C5" t="str">
            <v>$IM</v>
          </cell>
          <cell r="D5" t="str">
            <v>Systematics-Impacs</v>
          </cell>
        </row>
        <row r="6">
          <cell r="B6" t="str">
            <v>SCF</v>
          </cell>
          <cell r="C6" t="str">
            <v>SCF</v>
          </cell>
          <cell r="D6" t="str">
            <v>Cartas fianza</v>
          </cell>
        </row>
        <row r="7">
          <cell r="B7" t="str">
            <v>PRO</v>
          </cell>
          <cell r="C7" t="str">
            <v>PRO</v>
          </cell>
          <cell r="D7" t="str">
            <v>Provisiones</v>
          </cell>
        </row>
        <row r="8">
          <cell r="B8" t="str">
            <v>PPA</v>
          </cell>
          <cell r="C8" t="str">
            <v>PPA</v>
          </cell>
          <cell r="D8" t="str">
            <v>Pago Activo Pagos</v>
          </cell>
        </row>
        <row r="9">
          <cell r="B9" t="str">
            <v>MYP</v>
          </cell>
          <cell r="C9" t="str">
            <v>MYP</v>
          </cell>
          <cell r="D9" t="str">
            <v>Mediana y Pequeña Empresa</v>
          </cell>
        </row>
        <row r="10">
          <cell r="B10" t="str">
            <v>MDC</v>
          </cell>
          <cell r="C10" t="str">
            <v>MDC</v>
          </cell>
          <cell r="D10" t="str">
            <v>Mercado de Capitales</v>
          </cell>
        </row>
        <row r="11">
          <cell r="B11" t="str">
            <v>LPC</v>
          </cell>
          <cell r="C11" t="str">
            <v>LPC</v>
          </cell>
          <cell r="D11" t="str">
            <v>Leasing</v>
          </cell>
        </row>
        <row r="12">
          <cell r="B12" t="str">
            <v>LID</v>
          </cell>
          <cell r="C12" t="str">
            <v>LIC</v>
          </cell>
          <cell r="D12" t="str">
            <v>Líneas de crédito por convenio (Parte 1)</v>
          </cell>
        </row>
        <row r="13">
          <cell r="B13" t="str">
            <v>LIC</v>
          </cell>
          <cell r="C13" t="str">
            <v>LIC</v>
          </cell>
          <cell r="D13" t="str">
            <v>Líneas de crédito por convenio (Parte 2)</v>
          </cell>
        </row>
        <row r="14">
          <cell r="B14" t="str">
            <v>JCC</v>
          </cell>
          <cell r="C14" t="str">
            <v>JCC</v>
          </cell>
          <cell r="D14" t="str">
            <v>Judicial Condonación y Castigo</v>
          </cell>
        </row>
        <row r="15">
          <cell r="B15" t="str">
            <v>HIP</v>
          </cell>
          <cell r="C15" t="str">
            <v>HPC</v>
          </cell>
          <cell r="D15" t="str">
            <v>Hipotecario y créditos de consumo (Parte 1)</v>
          </cell>
        </row>
        <row r="16">
          <cell r="B16" t="str">
            <v>GAC</v>
          </cell>
          <cell r="C16" t="str">
            <v>GAC</v>
          </cell>
          <cell r="D16" t="str">
            <v>Garantías y custodia</v>
          </cell>
        </row>
        <row r="17">
          <cell r="B17" t="str">
            <v>FMU</v>
          </cell>
          <cell r="C17" t="str">
            <v>FMU</v>
          </cell>
          <cell r="D17" t="str">
            <v>Fondos mutuos</v>
          </cell>
        </row>
        <row r="18">
          <cell r="B18" t="str">
            <v>FCD</v>
          </cell>
          <cell r="C18" t="str">
            <v>FCD</v>
          </cell>
          <cell r="D18" t="str">
            <v>Financiamiento de cobranza de documentos</v>
          </cell>
        </row>
        <row r="19">
          <cell r="B19" t="str">
            <v>CNS</v>
          </cell>
          <cell r="C19" t="str">
            <v>HPC</v>
          </cell>
          <cell r="D19" t="str">
            <v>Hipotecario y créditos de consumo (Parte 2)</v>
          </cell>
        </row>
        <row r="20">
          <cell r="B20" t="str">
            <v>CDO</v>
          </cell>
          <cell r="C20" t="str">
            <v>SAT</v>
          </cell>
          <cell r="D20" t="str">
            <v>Sistema de Administración de Tarjetas - NSAT</v>
          </cell>
        </row>
        <row r="21">
          <cell r="B21" t="str">
            <v>BKT</v>
          </cell>
          <cell r="C21" t="str">
            <v>BKT</v>
          </cell>
          <cell r="D21" t="str">
            <v>BankTrade</v>
          </cell>
        </row>
        <row r="22">
          <cell r="B22" t="str">
            <v>ADJ</v>
          </cell>
          <cell r="C22" t="str">
            <v>ADJ</v>
          </cell>
          <cell r="D22" t="str">
            <v>Sin Descripción</v>
          </cell>
        </row>
        <row r="23">
          <cell r="B23" t="str">
            <v>REJ</v>
          </cell>
          <cell r="C23" t="str">
            <v>REJ</v>
          </cell>
          <cell r="D23" t="str">
            <v>Retenciones Judiciales</v>
          </cell>
        </row>
        <row r="24">
          <cell r="B24" t="str">
            <v>$IT</v>
          </cell>
          <cell r="C24" t="str">
            <v>$IT</v>
          </cell>
          <cell r="D24" t="str">
            <v>Systematics-Intersystem Transfers</v>
          </cell>
        </row>
        <row r="25">
          <cell r="B25" t="str">
            <v>RNC</v>
          </cell>
          <cell r="C25" t="str">
            <v>RNC</v>
          </cell>
          <cell r="D25" t="str">
            <v>Cajeros Global Net</v>
          </cell>
        </row>
        <row r="26">
          <cell r="B26" t="str">
            <v>AR</v>
          </cell>
          <cell r="C26" t="str">
            <v>AR</v>
          </cell>
          <cell r="D26" t="str">
            <v>Sin Descripción</v>
          </cell>
        </row>
        <row r="27">
          <cell r="B27" t="str">
            <v>BKD</v>
          </cell>
          <cell r="C27" t="str">
            <v>BKD</v>
          </cell>
          <cell r="D27" t="str">
            <v>Sin Descripción</v>
          </cell>
        </row>
        <row r="28">
          <cell r="B28" t="str">
            <v>DEP</v>
          </cell>
          <cell r="C28" t="str">
            <v>DEP</v>
          </cell>
          <cell r="D28" t="str">
            <v>Depósitos</v>
          </cell>
        </row>
        <row r="29">
          <cell r="B29" t="str">
            <v>SAT</v>
          </cell>
          <cell r="C29" t="str">
            <v>SAT</v>
          </cell>
          <cell r="D29" t="str">
            <v>Sistema de Administración de Tarjetas (antiguo)</v>
          </cell>
        </row>
        <row r="30">
          <cell r="B30" t="str">
            <v>CCD</v>
          </cell>
          <cell r="C30" t="str">
            <v>CCD</v>
          </cell>
          <cell r="D30" t="str">
            <v>Core de Créditos Digital</v>
          </cell>
        </row>
        <row r="31">
          <cell r="B31" t="str">
            <v>BSE</v>
          </cell>
          <cell r="C31" t="str">
            <v>BSE</v>
          </cell>
          <cell r="D31" t="str">
            <v>Bus de servicios Interbank (MultiBus)</v>
          </cell>
        </row>
        <row r="32">
          <cell r="B32" t="str">
            <v>ITB</v>
          </cell>
          <cell r="C32" t="str">
            <v>ITB</v>
          </cell>
          <cell r="D32" t="str">
            <v>Sin Descripción</v>
          </cell>
        </row>
        <row r="33">
          <cell r="B33" t="str">
            <v>PAG</v>
          </cell>
          <cell r="C33" t="str">
            <v>PAG</v>
          </cell>
          <cell r="D33" t="str">
            <v>Pago Activo Cobros</v>
          </cell>
        </row>
        <row r="34">
          <cell r="B34" t="str">
            <v>INC</v>
          </cell>
          <cell r="C34" t="str">
            <v>INC</v>
          </cell>
          <cell r="D34" t="str">
            <v>Incoming</v>
          </cell>
        </row>
        <row r="35">
          <cell r="B35" t="str">
            <v>ITF</v>
          </cell>
          <cell r="C35" t="str">
            <v>ITF</v>
          </cell>
          <cell r="D35" t="str">
            <v>Impuesto a las Transacciones Bancarias</v>
          </cell>
        </row>
        <row r="36">
          <cell r="B36" t="str">
            <v>HPC</v>
          </cell>
          <cell r="C36" t="str">
            <v>HPC</v>
          </cell>
          <cell r="D36" t="str">
            <v>Hipotecario y créditos de consumo</v>
          </cell>
        </row>
        <row r="37">
          <cell r="B37" t="str">
            <v>LBC</v>
          </cell>
          <cell r="C37" t="str">
            <v>LBC</v>
          </cell>
          <cell r="D37" t="str">
            <v>Sin Descripción</v>
          </cell>
        </row>
        <row r="38">
          <cell r="B38" t="str">
            <v>EBS</v>
          </cell>
          <cell r="C38" t="str">
            <v>EBS</v>
          </cell>
          <cell r="D38" t="str">
            <v>Enterprise business suite</v>
          </cell>
        </row>
        <row r="39">
          <cell r="B39" t="str">
            <v>AP</v>
          </cell>
          <cell r="C39" t="str">
            <v>AP</v>
          </cell>
          <cell r="D39" t="str">
            <v>Sin Descripción</v>
          </cell>
        </row>
        <row r="40">
          <cell r="B40" t="str">
            <v>CBA</v>
          </cell>
          <cell r="C40" t="str">
            <v>CBA</v>
          </cell>
          <cell r="D40" t="str">
            <v>Conciliación Bancaria</v>
          </cell>
        </row>
        <row r="41">
          <cell r="B41" t="str">
            <v>TMF</v>
          </cell>
          <cell r="C41" t="str">
            <v>TMF</v>
          </cell>
          <cell r="D41" t="str">
            <v>Transferencia Masiva de Fondos</v>
          </cell>
        </row>
        <row r="42">
          <cell r="B42" t="str">
            <v>IPG</v>
          </cell>
          <cell r="C42" t="str">
            <v>IPG</v>
          </cell>
          <cell r="D42" t="str">
            <v>Recaudación y Pagos</v>
          </cell>
        </row>
        <row r="43">
          <cell r="B43" t="str">
            <v>CJE</v>
          </cell>
          <cell r="C43" t="str">
            <v>CJE</v>
          </cell>
          <cell r="D43" t="str">
            <v>Canje electrónico (N-Compass - NCR)</v>
          </cell>
        </row>
        <row r="44">
          <cell r="B44" t="str">
            <v>REV</v>
          </cell>
          <cell r="C44" t="str">
            <v>REV</v>
          </cell>
          <cell r="D44" t="str">
            <v>Sin Descripción</v>
          </cell>
        </row>
        <row r="45">
          <cell r="B45" t="str">
            <v>EDP</v>
          </cell>
          <cell r="C45" t="str">
            <v>EDP</v>
          </cell>
          <cell r="D45" t="str">
            <v>Remesas del exterior</v>
          </cell>
        </row>
        <row r="46">
          <cell r="B46" t="str">
            <v>WHP</v>
          </cell>
          <cell r="C46" t="str">
            <v>WHP</v>
          </cell>
          <cell r="D46" t="str">
            <v>Workflow Hipotecario Intranet/Extranet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B901B-E53B-4DC0-A202-377DE260423D}">
  <dimension ref="A2:AD286"/>
  <sheetViews>
    <sheetView tabSelected="1" workbookViewId="0">
      <selection activeCell="A3" sqref="A3"/>
    </sheetView>
  </sheetViews>
  <sheetFormatPr baseColWidth="10" defaultRowHeight="14.5" x14ac:dyDescent="0.35"/>
  <cols>
    <col min="1" max="1" width="18.26953125" style="4" bestFit="1" customWidth="1"/>
    <col min="2" max="2" width="29.08984375" style="3" bestFit="1" customWidth="1"/>
    <col min="3" max="3" width="23.90625" style="3" customWidth="1"/>
    <col min="4" max="4" width="30.453125" style="6" customWidth="1"/>
    <col min="5" max="5" width="26.7265625" style="3" bestFit="1" customWidth="1"/>
    <col min="6" max="7" width="35.54296875" style="6" customWidth="1"/>
    <col min="8" max="8" width="17.6328125" style="3" bestFit="1" customWidth="1"/>
    <col min="9" max="9" width="23.6328125" style="3" bestFit="1" customWidth="1"/>
    <col min="10" max="10" width="17.6328125" style="3" bestFit="1" customWidth="1"/>
    <col min="11" max="11" width="10.90625" style="3"/>
    <col min="12" max="12" width="28.90625" style="3" bestFit="1" customWidth="1"/>
    <col min="13" max="29" width="10.90625" style="3"/>
  </cols>
  <sheetData>
    <row r="2" spans="1:11" x14ac:dyDescent="0.35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tr">
        <f>VLOOKUP(B2,[1]Hoja1!B:D,3,0)</f>
        <v>Líneas de crédito por convenio (Parte 2)</v>
      </c>
    </row>
    <row r="3" spans="1:11" x14ac:dyDescent="0.35">
      <c r="A3" s="4" t="s">
        <v>6</v>
      </c>
      <c r="B3" s="5" t="s">
        <v>7</v>
      </c>
      <c r="C3" s="5"/>
      <c r="D3" s="5"/>
    </row>
    <row r="4" spans="1:11" x14ac:dyDescent="0.35">
      <c r="A4" s="4" t="s">
        <v>8</v>
      </c>
      <c r="B4" s="7" t="s">
        <v>9</v>
      </c>
      <c r="C4" s="6"/>
    </row>
    <row r="5" spans="1:11" x14ac:dyDescent="0.35">
      <c r="A5" s="4" t="s">
        <v>10</v>
      </c>
      <c r="B5" s="8">
        <v>620</v>
      </c>
      <c r="C5" s="9" t="s">
        <v>11</v>
      </c>
      <c r="D5" s="7" t="s">
        <v>12</v>
      </c>
      <c r="E5" s="9" t="s">
        <v>13</v>
      </c>
      <c r="F5" s="7" t="s">
        <v>12</v>
      </c>
      <c r="G5" s="7" t="s">
        <v>14</v>
      </c>
      <c r="H5" s="9" t="s">
        <v>15</v>
      </c>
      <c r="I5" s="3" t="s">
        <v>16</v>
      </c>
      <c r="J5" s="3" t="s">
        <v>12</v>
      </c>
      <c r="K5" s="3" t="s">
        <v>17</v>
      </c>
    </row>
    <row r="6" spans="1:11" x14ac:dyDescent="0.35">
      <c r="A6" s="4" t="s">
        <v>18</v>
      </c>
      <c r="B6" s="8" t="s">
        <v>19</v>
      </c>
      <c r="C6" s="3" t="s">
        <v>20</v>
      </c>
      <c r="D6" s="6" t="s">
        <v>21</v>
      </c>
      <c r="E6" s="3" t="s">
        <v>22</v>
      </c>
      <c r="F6" s="6" t="s">
        <v>23</v>
      </c>
      <c r="G6" s="6" t="s">
        <v>24</v>
      </c>
      <c r="H6" s="3" t="s">
        <v>25</v>
      </c>
      <c r="I6" s="3" t="s">
        <v>26</v>
      </c>
      <c r="J6" s="3" t="s">
        <v>27</v>
      </c>
      <c r="K6" s="3" t="s">
        <v>28</v>
      </c>
    </row>
    <row r="7" spans="1:11" x14ac:dyDescent="0.35">
      <c r="A7" s="4" t="s">
        <v>29</v>
      </c>
      <c r="B7" s="3" t="s">
        <v>30</v>
      </c>
      <c r="C7" s="3" t="s">
        <v>31</v>
      </c>
      <c r="D7" s="6" t="s">
        <v>32</v>
      </c>
      <c r="E7" s="3" t="s">
        <v>30</v>
      </c>
      <c r="F7" s="6" t="s">
        <v>32</v>
      </c>
      <c r="G7" s="6" t="s">
        <v>30</v>
      </c>
      <c r="H7" s="3" t="s">
        <v>30</v>
      </c>
      <c r="I7" s="3" t="s">
        <v>30</v>
      </c>
      <c r="J7" s="6" t="s">
        <v>32</v>
      </c>
      <c r="K7" s="3" t="s">
        <v>30</v>
      </c>
    </row>
    <row r="9" spans="1:11" x14ac:dyDescent="0.35">
      <c r="A9" s="4" t="s">
        <v>6</v>
      </c>
      <c r="B9" s="5" t="s">
        <v>33</v>
      </c>
      <c r="C9" s="5"/>
      <c r="D9" s="5"/>
    </row>
    <row r="10" spans="1:11" x14ac:dyDescent="0.35">
      <c r="A10" s="4" t="s">
        <v>8</v>
      </c>
      <c r="B10" s="7" t="s">
        <v>34</v>
      </c>
      <c r="C10" s="7"/>
      <c r="D10" s="7"/>
      <c r="E10" s="7"/>
    </row>
    <row r="11" spans="1:11" x14ac:dyDescent="0.35">
      <c r="A11" s="4" t="s">
        <v>10</v>
      </c>
      <c r="B11" s="3" t="s">
        <v>35</v>
      </c>
      <c r="C11" s="7" t="s">
        <v>36</v>
      </c>
      <c r="D11" s="7" t="s">
        <v>12</v>
      </c>
      <c r="E11" s="7" t="s">
        <v>13</v>
      </c>
      <c r="F11" s="7" t="s">
        <v>12</v>
      </c>
      <c r="G11" s="7" t="s">
        <v>14</v>
      </c>
      <c r="H11" s="9" t="s">
        <v>35</v>
      </c>
      <c r="I11" s="3" t="s">
        <v>16</v>
      </c>
      <c r="J11" s="3" t="s">
        <v>12</v>
      </c>
      <c r="K11" s="3" t="s">
        <v>37</v>
      </c>
    </row>
    <row r="12" spans="1:11" x14ac:dyDescent="0.35">
      <c r="A12" s="4" t="s">
        <v>18</v>
      </c>
      <c r="B12" s="8" t="s">
        <v>19</v>
      </c>
      <c r="C12" s="3" t="s">
        <v>20</v>
      </c>
      <c r="D12" s="6" t="s">
        <v>21</v>
      </c>
      <c r="E12" s="3" t="s">
        <v>22</v>
      </c>
      <c r="F12" s="6" t="s">
        <v>23</v>
      </c>
      <c r="G12" s="6" t="s">
        <v>24</v>
      </c>
      <c r="H12" s="3" t="s">
        <v>25</v>
      </c>
      <c r="I12" s="3" t="s">
        <v>26</v>
      </c>
      <c r="J12" s="3" t="s">
        <v>27</v>
      </c>
      <c r="K12" s="3" t="s">
        <v>28</v>
      </c>
    </row>
    <row r="13" spans="1:11" x14ac:dyDescent="0.35">
      <c r="A13" s="4" t="s">
        <v>29</v>
      </c>
      <c r="B13" s="3" t="s">
        <v>30</v>
      </c>
      <c r="C13" s="3" t="s">
        <v>31</v>
      </c>
      <c r="D13" s="6" t="s">
        <v>32</v>
      </c>
      <c r="E13" s="3" t="s">
        <v>30</v>
      </c>
      <c r="F13" s="6" t="s">
        <v>32</v>
      </c>
      <c r="G13" s="6" t="s">
        <v>30</v>
      </c>
      <c r="H13" s="3" t="s">
        <v>30</v>
      </c>
      <c r="I13" s="3" t="s">
        <v>30</v>
      </c>
      <c r="J13" s="6" t="s">
        <v>32</v>
      </c>
      <c r="K13" s="3" t="s">
        <v>30</v>
      </c>
    </row>
    <row r="15" spans="1:11" x14ac:dyDescent="0.35">
      <c r="A15" s="4" t="s">
        <v>6</v>
      </c>
      <c r="B15" s="5" t="s">
        <v>38</v>
      </c>
      <c r="C15" s="5"/>
      <c r="D15" s="5"/>
    </row>
    <row r="16" spans="1:11" x14ac:dyDescent="0.35">
      <c r="A16" s="4" t="s">
        <v>8</v>
      </c>
      <c r="B16" s="7" t="s">
        <v>39</v>
      </c>
      <c r="C16" s="7"/>
      <c r="D16" s="7"/>
      <c r="E16" s="7"/>
    </row>
    <row r="17" spans="1:11" x14ac:dyDescent="0.35">
      <c r="A17" s="4" t="s">
        <v>10</v>
      </c>
      <c r="B17" s="3" t="s">
        <v>40</v>
      </c>
      <c r="C17" s="7" t="s">
        <v>41</v>
      </c>
      <c r="D17" s="7" t="s">
        <v>12</v>
      </c>
      <c r="E17" s="7" t="s">
        <v>13</v>
      </c>
      <c r="F17" s="7" t="s">
        <v>12</v>
      </c>
      <c r="G17" s="7" t="s">
        <v>14</v>
      </c>
      <c r="H17" s="9" t="s">
        <v>40</v>
      </c>
      <c r="I17" s="3" t="s">
        <v>16</v>
      </c>
      <c r="J17" s="3" t="s">
        <v>12</v>
      </c>
      <c r="K17" s="3" t="s">
        <v>42</v>
      </c>
    </row>
    <row r="18" spans="1:11" x14ac:dyDescent="0.35">
      <c r="A18" s="4" t="s">
        <v>18</v>
      </c>
      <c r="B18" s="8" t="s">
        <v>19</v>
      </c>
      <c r="C18" s="3" t="s">
        <v>20</v>
      </c>
      <c r="D18" s="6" t="s">
        <v>21</v>
      </c>
      <c r="E18" s="3" t="s">
        <v>22</v>
      </c>
      <c r="F18" s="6" t="s">
        <v>23</v>
      </c>
      <c r="G18" s="6" t="s">
        <v>24</v>
      </c>
      <c r="H18" s="3" t="s">
        <v>25</v>
      </c>
      <c r="I18" s="3" t="s">
        <v>26</v>
      </c>
      <c r="J18" s="3" t="s">
        <v>27</v>
      </c>
      <c r="K18" s="3" t="s">
        <v>28</v>
      </c>
    </row>
    <row r="19" spans="1:11" x14ac:dyDescent="0.35">
      <c r="A19" s="4" t="s">
        <v>29</v>
      </c>
      <c r="B19" s="3" t="s">
        <v>30</v>
      </c>
      <c r="C19" s="3" t="s">
        <v>31</v>
      </c>
      <c r="D19" s="6" t="s">
        <v>32</v>
      </c>
      <c r="E19" s="3" t="s">
        <v>30</v>
      </c>
      <c r="F19" s="6" t="s">
        <v>32</v>
      </c>
      <c r="G19" s="6" t="s">
        <v>30</v>
      </c>
      <c r="H19" s="3" t="s">
        <v>30</v>
      </c>
      <c r="I19" s="3" t="s">
        <v>30</v>
      </c>
      <c r="J19" s="6" t="s">
        <v>32</v>
      </c>
      <c r="K19" s="3" t="s">
        <v>30</v>
      </c>
    </row>
    <row r="21" spans="1:11" x14ac:dyDescent="0.35">
      <c r="A21" s="1" t="s">
        <v>0</v>
      </c>
      <c r="B21" s="2" t="s">
        <v>43</v>
      </c>
      <c r="C21" s="2" t="s">
        <v>2</v>
      </c>
      <c r="D21" s="2" t="s">
        <v>44</v>
      </c>
      <c r="F21" s="2" t="s">
        <v>5</v>
      </c>
      <c r="G21" s="2" t="str">
        <f>VLOOKUP(B21,[1]Hoja1!B:D,3,0)</f>
        <v>Leasing</v>
      </c>
    </row>
    <row r="22" spans="1:11" x14ac:dyDescent="0.35">
      <c r="A22" s="4" t="s">
        <v>6</v>
      </c>
      <c r="B22" s="5" t="s">
        <v>45</v>
      </c>
      <c r="C22" s="5"/>
      <c r="D22" s="5"/>
    </row>
    <row r="23" spans="1:11" x14ac:dyDescent="0.35">
      <c r="A23" s="4" t="s">
        <v>8</v>
      </c>
      <c r="B23" s="7" t="s">
        <v>46</v>
      </c>
      <c r="C23" s="6"/>
    </row>
    <row r="24" spans="1:11" x14ac:dyDescent="0.35">
      <c r="A24" s="4" t="s">
        <v>10</v>
      </c>
      <c r="B24" s="3" t="s">
        <v>47</v>
      </c>
      <c r="C24" s="3" t="s">
        <v>13</v>
      </c>
      <c r="D24" s="3" t="s">
        <v>48</v>
      </c>
      <c r="E24" s="3" t="s">
        <v>49</v>
      </c>
      <c r="F24" s="6" t="s">
        <v>49</v>
      </c>
      <c r="G24" s="6" t="s">
        <v>50</v>
      </c>
      <c r="H24" s="3" t="s">
        <v>51</v>
      </c>
      <c r="I24" s="3" t="s">
        <v>52</v>
      </c>
    </row>
    <row r="25" spans="1:11" x14ac:dyDescent="0.35">
      <c r="A25" s="4" t="s">
        <v>18</v>
      </c>
      <c r="B25" s="3" t="s">
        <v>53</v>
      </c>
      <c r="C25" t="s">
        <v>54</v>
      </c>
      <c r="D25" t="s">
        <v>19</v>
      </c>
      <c r="E25" t="s">
        <v>55</v>
      </c>
      <c r="F25" s="10" t="s">
        <v>27</v>
      </c>
      <c r="G25" s="10" t="s">
        <v>21</v>
      </c>
      <c r="H25" t="s">
        <v>20</v>
      </c>
      <c r="I25" s="3" t="s">
        <v>28</v>
      </c>
    </row>
    <row r="26" spans="1:11" x14ac:dyDescent="0.35">
      <c r="A26" s="4" t="s">
        <v>29</v>
      </c>
      <c r="B26" s="3" t="s">
        <v>56</v>
      </c>
      <c r="C26" s="3" t="s">
        <v>30</v>
      </c>
      <c r="D26" s="6" t="s">
        <v>30</v>
      </c>
      <c r="E26" s="3" t="s">
        <v>57</v>
      </c>
      <c r="F26" s="6" t="s">
        <v>58</v>
      </c>
      <c r="G26" s="6" t="s">
        <v>57</v>
      </c>
      <c r="H26" s="3" t="s">
        <v>31</v>
      </c>
      <c r="I26" s="3" t="s">
        <v>30</v>
      </c>
    </row>
    <row r="28" spans="1:11" x14ac:dyDescent="0.35">
      <c r="A28" s="4" t="s">
        <v>6</v>
      </c>
      <c r="B28" s="5" t="s">
        <v>59</v>
      </c>
      <c r="C28" s="5"/>
      <c r="D28" s="5"/>
    </row>
    <row r="29" spans="1:11" x14ac:dyDescent="0.35">
      <c r="A29" s="4" t="s">
        <v>8</v>
      </c>
      <c r="B29" s="7" t="s">
        <v>60</v>
      </c>
      <c r="C29" s="6"/>
    </row>
    <row r="30" spans="1:11" x14ac:dyDescent="0.35">
      <c r="A30" s="4" t="s">
        <v>10</v>
      </c>
      <c r="B30" s="3" t="s">
        <v>47</v>
      </c>
      <c r="C30" s="3" t="s">
        <v>13</v>
      </c>
      <c r="D30" s="3" t="s">
        <v>35</v>
      </c>
      <c r="E30" s="3" t="s">
        <v>49</v>
      </c>
      <c r="F30" s="6" t="s">
        <v>49</v>
      </c>
      <c r="G30" s="6" t="s">
        <v>61</v>
      </c>
      <c r="H30" s="3" t="s">
        <v>62</v>
      </c>
      <c r="I30" s="3" t="s">
        <v>63</v>
      </c>
    </row>
    <row r="31" spans="1:11" x14ac:dyDescent="0.35">
      <c r="A31" s="4" t="s">
        <v>18</v>
      </c>
      <c r="B31" s="3" t="s">
        <v>53</v>
      </c>
      <c r="C31" t="s">
        <v>54</v>
      </c>
      <c r="D31" t="s">
        <v>19</v>
      </c>
      <c r="E31" t="s">
        <v>55</v>
      </c>
      <c r="F31" s="10" t="s">
        <v>27</v>
      </c>
      <c r="G31" s="10" t="s">
        <v>21</v>
      </c>
      <c r="H31" t="s">
        <v>20</v>
      </c>
      <c r="I31" s="3" t="s">
        <v>28</v>
      </c>
    </row>
    <row r="32" spans="1:11" x14ac:dyDescent="0.35">
      <c r="A32" s="4" t="s">
        <v>29</v>
      </c>
      <c r="B32" s="3" t="s">
        <v>56</v>
      </c>
      <c r="C32" s="3" t="s">
        <v>30</v>
      </c>
      <c r="D32" s="6" t="s">
        <v>30</v>
      </c>
      <c r="E32" s="3" t="s">
        <v>57</v>
      </c>
      <c r="F32" s="6" t="s">
        <v>58</v>
      </c>
      <c r="G32" s="6" t="s">
        <v>57</v>
      </c>
      <c r="H32" s="3" t="s">
        <v>31</v>
      </c>
      <c r="I32" s="3" t="s">
        <v>30</v>
      </c>
    </row>
    <row r="34" spans="1:9" x14ac:dyDescent="0.35">
      <c r="A34" s="4" t="s">
        <v>6</v>
      </c>
      <c r="B34" s="5" t="s">
        <v>64</v>
      </c>
      <c r="C34" s="5"/>
      <c r="D34" s="5"/>
    </row>
    <row r="35" spans="1:9" x14ac:dyDescent="0.35">
      <c r="A35" s="4" t="s">
        <v>8</v>
      </c>
      <c r="B35" s="7" t="s">
        <v>65</v>
      </c>
      <c r="C35" s="6"/>
    </row>
    <row r="36" spans="1:9" x14ac:dyDescent="0.35">
      <c r="A36" s="4" t="s">
        <v>10</v>
      </c>
      <c r="B36" s="3" t="s">
        <v>66</v>
      </c>
      <c r="C36" s="3" t="s">
        <v>67</v>
      </c>
      <c r="D36" s="3" t="s">
        <v>68</v>
      </c>
      <c r="E36" s="3" t="s">
        <v>69</v>
      </c>
      <c r="F36" s="6" t="s">
        <v>69</v>
      </c>
      <c r="G36" s="6" t="s">
        <v>70</v>
      </c>
      <c r="H36" s="3" t="s">
        <v>71</v>
      </c>
      <c r="I36" s="3" t="s">
        <v>72</v>
      </c>
    </row>
    <row r="37" spans="1:9" x14ac:dyDescent="0.35">
      <c r="A37" s="4" t="s">
        <v>18</v>
      </c>
      <c r="B37" s="3" t="s">
        <v>53</v>
      </c>
      <c r="C37" s="3" t="s">
        <v>54</v>
      </c>
      <c r="D37" t="s">
        <v>19</v>
      </c>
      <c r="E37" t="s">
        <v>55</v>
      </c>
      <c r="F37" s="10" t="s">
        <v>27</v>
      </c>
      <c r="G37" s="10" t="s">
        <v>21</v>
      </c>
      <c r="H37" t="s">
        <v>20</v>
      </c>
      <c r="I37" s="3" t="s">
        <v>28</v>
      </c>
    </row>
    <row r="38" spans="1:9" x14ac:dyDescent="0.35">
      <c r="A38" s="4" t="s">
        <v>29</v>
      </c>
      <c r="B38" s="3" t="s">
        <v>56</v>
      </c>
      <c r="C38" s="3" t="s">
        <v>30</v>
      </c>
      <c r="D38" s="6" t="s">
        <v>30</v>
      </c>
      <c r="E38" s="3" t="s">
        <v>57</v>
      </c>
      <c r="F38" s="6" t="s">
        <v>58</v>
      </c>
      <c r="G38" s="6" t="s">
        <v>57</v>
      </c>
      <c r="H38" s="3" t="s">
        <v>31</v>
      </c>
      <c r="I38" s="3" t="s">
        <v>30</v>
      </c>
    </row>
    <row r="40" spans="1:9" x14ac:dyDescent="0.35">
      <c r="A40" s="1" t="s">
        <v>0</v>
      </c>
      <c r="B40" s="2" t="s">
        <v>73</v>
      </c>
      <c r="C40" s="2" t="s">
        <v>2</v>
      </c>
      <c r="D40" s="2" t="s">
        <v>74</v>
      </c>
      <c r="F40" s="2" t="s">
        <v>5</v>
      </c>
      <c r="G40" s="2" t="str">
        <f>VLOOKUP(B40,[1]Hoja1!B:D,3,0)</f>
        <v>Mercado de Capitales</v>
      </c>
    </row>
    <row r="41" spans="1:9" x14ac:dyDescent="0.35">
      <c r="A41" s="4" t="s">
        <v>6</v>
      </c>
      <c r="B41" s="5" t="s">
        <v>75</v>
      </c>
      <c r="C41" s="5"/>
      <c r="D41" s="5"/>
    </row>
    <row r="42" spans="1:9" x14ac:dyDescent="0.35">
      <c r="A42" s="4" t="s">
        <v>8</v>
      </c>
      <c r="B42" s="7" t="s">
        <v>76</v>
      </c>
    </row>
    <row r="43" spans="1:9" x14ac:dyDescent="0.35">
      <c r="A43" s="4" t="s">
        <v>10</v>
      </c>
      <c r="B43" s="3" t="s">
        <v>77</v>
      </c>
      <c r="C43" s="6" t="s">
        <v>78</v>
      </c>
      <c r="D43" s="6" t="s">
        <v>78</v>
      </c>
    </row>
    <row r="44" spans="1:9" x14ac:dyDescent="0.35">
      <c r="A44" s="4" t="s">
        <v>18</v>
      </c>
      <c r="B44" s="3" t="s">
        <v>28</v>
      </c>
      <c r="C44" s="3" t="s">
        <v>28</v>
      </c>
      <c r="D44" s="3" t="s">
        <v>28</v>
      </c>
    </row>
    <row r="45" spans="1:9" x14ac:dyDescent="0.35">
      <c r="A45" s="4" t="s">
        <v>29</v>
      </c>
      <c r="B45" s="3" t="s">
        <v>30</v>
      </c>
      <c r="C45" s="3" t="s">
        <v>30</v>
      </c>
      <c r="D45" s="3" t="s">
        <v>30</v>
      </c>
    </row>
    <row r="47" spans="1:9" x14ac:dyDescent="0.35">
      <c r="A47" s="4" t="s">
        <v>6</v>
      </c>
      <c r="B47" s="5" t="s">
        <v>79</v>
      </c>
      <c r="C47" s="5"/>
      <c r="D47" s="5"/>
    </row>
    <row r="48" spans="1:9" x14ac:dyDescent="0.35">
      <c r="A48" s="4" t="s">
        <v>8</v>
      </c>
      <c r="B48" s="7" t="s">
        <v>80</v>
      </c>
    </row>
    <row r="49" spans="1:30" x14ac:dyDescent="0.35">
      <c r="A49" s="4" t="s">
        <v>10</v>
      </c>
      <c r="B49" s="3" t="s">
        <v>81</v>
      </c>
      <c r="C49" s="6" t="s">
        <v>82</v>
      </c>
      <c r="D49" s="6" t="s">
        <v>82</v>
      </c>
    </row>
    <row r="50" spans="1:30" x14ac:dyDescent="0.35">
      <c r="A50" s="4" t="s">
        <v>18</v>
      </c>
      <c r="B50" t="s">
        <v>83</v>
      </c>
      <c r="C50" s="3" t="s">
        <v>28</v>
      </c>
      <c r="D50" s="3" t="s">
        <v>28</v>
      </c>
    </row>
    <row r="51" spans="1:30" x14ac:dyDescent="0.35">
      <c r="A51" s="4" t="s">
        <v>29</v>
      </c>
      <c r="B51" s="3" t="s">
        <v>30</v>
      </c>
      <c r="C51" s="3" t="s">
        <v>30</v>
      </c>
      <c r="D51" s="3" t="s">
        <v>30</v>
      </c>
    </row>
    <row r="53" spans="1:30" x14ac:dyDescent="0.35">
      <c r="A53" s="4" t="s">
        <v>6</v>
      </c>
      <c r="B53" s="5" t="s">
        <v>84</v>
      </c>
      <c r="C53" s="5"/>
      <c r="D53" s="5"/>
    </row>
    <row r="54" spans="1:30" x14ac:dyDescent="0.35">
      <c r="A54" s="4" t="s">
        <v>8</v>
      </c>
      <c r="B54" s="7" t="s">
        <v>85</v>
      </c>
      <c r="C54" s="6"/>
    </row>
    <row r="55" spans="1:30" x14ac:dyDescent="0.35">
      <c r="A55" s="4" t="s">
        <v>10</v>
      </c>
      <c r="B55" s="3" t="s">
        <v>86</v>
      </c>
      <c r="C55" s="3" t="s">
        <v>87</v>
      </c>
      <c r="D55" s="6" t="s">
        <v>87</v>
      </c>
    </row>
    <row r="56" spans="1:30" x14ac:dyDescent="0.35">
      <c r="A56" s="4" t="s">
        <v>18</v>
      </c>
      <c r="B56" t="s">
        <v>83</v>
      </c>
      <c r="C56" s="3" t="s">
        <v>28</v>
      </c>
      <c r="D56" s="3" t="s">
        <v>28</v>
      </c>
    </row>
    <row r="57" spans="1:30" x14ac:dyDescent="0.35">
      <c r="A57" s="4" t="s">
        <v>29</v>
      </c>
      <c r="B57" s="3" t="s">
        <v>30</v>
      </c>
      <c r="C57" s="3" t="s">
        <v>30</v>
      </c>
      <c r="D57" s="3" t="s">
        <v>30</v>
      </c>
    </row>
    <row r="59" spans="1:30" x14ac:dyDescent="0.35">
      <c r="A59" s="1" t="s">
        <v>0</v>
      </c>
      <c r="B59" s="2" t="s">
        <v>88</v>
      </c>
      <c r="C59" s="2" t="s">
        <v>2</v>
      </c>
      <c r="D59" s="2" t="s">
        <v>89</v>
      </c>
      <c r="F59" s="2" t="s">
        <v>5</v>
      </c>
      <c r="G59" s="2" t="str">
        <f>VLOOKUP(B59,[1]Hoja1!B:D,3,0)</f>
        <v>Mediana y Pequeña Empresa</v>
      </c>
    </row>
    <row r="60" spans="1:30" x14ac:dyDescent="0.35">
      <c r="A60" s="4" t="s">
        <v>6</v>
      </c>
      <c r="B60" s="5" t="s">
        <v>90</v>
      </c>
      <c r="C60" s="5"/>
      <c r="D60" s="5"/>
      <c r="AD60" s="3"/>
    </row>
    <row r="61" spans="1:30" x14ac:dyDescent="0.35">
      <c r="A61" s="4" t="s">
        <v>8</v>
      </c>
      <c r="B61" s="7" t="s">
        <v>91</v>
      </c>
      <c r="C61" s="6"/>
      <c r="AD61" s="3"/>
    </row>
    <row r="62" spans="1:30" x14ac:dyDescent="0.35">
      <c r="A62" s="4" t="s">
        <v>10</v>
      </c>
      <c r="B62" s="3" t="s">
        <v>47</v>
      </c>
      <c r="C62" s="3" t="s">
        <v>13</v>
      </c>
      <c r="D62" s="3" t="s">
        <v>92</v>
      </c>
      <c r="E62" s="3" t="s">
        <v>69</v>
      </c>
      <c r="F62" s="6" t="s">
        <v>69</v>
      </c>
      <c r="G62" s="6" t="s">
        <v>93</v>
      </c>
      <c r="H62" s="3" t="s">
        <v>94</v>
      </c>
      <c r="I62" s="3" t="s">
        <v>95</v>
      </c>
      <c r="J62" s="3" t="s">
        <v>96</v>
      </c>
      <c r="K62" s="3" t="s">
        <v>97</v>
      </c>
      <c r="AD62" s="3"/>
    </row>
    <row r="63" spans="1:30" x14ac:dyDescent="0.35">
      <c r="A63" s="4" t="s">
        <v>18</v>
      </c>
      <c r="B63" s="7" t="s">
        <v>53</v>
      </c>
      <c r="C63" s="7" t="s">
        <v>54</v>
      </c>
      <c r="D63" s="7" t="s">
        <v>19</v>
      </c>
      <c r="E63" s="7" t="s">
        <v>55</v>
      </c>
      <c r="F63" s="7" t="s">
        <v>27</v>
      </c>
      <c r="G63" s="7" t="s">
        <v>98</v>
      </c>
      <c r="H63" t="s">
        <v>20</v>
      </c>
      <c r="I63" s="7" t="s">
        <v>28</v>
      </c>
      <c r="J63" s="7" t="s">
        <v>99</v>
      </c>
      <c r="K63" s="7" t="s">
        <v>100</v>
      </c>
      <c r="AD63" s="3"/>
    </row>
    <row r="64" spans="1:30" x14ac:dyDescent="0.35">
      <c r="A64" s="4" t="s">
        <v>29</v>
      </c>
      <c r="B64" s="3" t="s">
        <v>56</v>
      </c>
      <c r="C64" s="3" t="s">
        <v>30</v>
      </c>
      <c r="D64" s="6" t="s">
        <v>30</v>
      </c>
      <c r="E64" s="3" t="s">
        <v>101</v>
      </c>
      <c r="F64" s="6" t="s">
        <v>32</v>
      </c>
      <c r="G64" s="6" t="s">
        <v>58</v>
      </c>
      <c r="H64" s="3" t="s">
        <v>31</v>
      </c>
      <c r="I64" s="3" t="s">
        <v>30</v>
      </c>
      <c r="J64" s="3" t="s">
        <v>30</v>
      </c>
      <c r="K64" s="3" t="s">
        <v>31</v>
      </c>
      <c r="AD64" s="3"/>
    </row>
    <row r="65" spans="1:30" x14ac:dyDescent="0.35">
      <c r="AD65" s="3"/>
    </row>
    <row r="66" spans="1:30" x14ac:dyDescent="0.35">
      <c r="A66" s="4" t="s">
        <v>6</v>
      </c>
      <c r="B66" s="5" t="s">
        <v>102</v>
      </c>
      <c r="C66" s="5"/>
      <c r="D66" s="5"/>
      <c r="AD66" s="3"/>
    </row>
    <row r="67" spans="1:30" x14ac:dyDescent="0.35">
      <c r="A67" s="4" t="s">
        <v>8</v>
      </c>
      <c r="B67" s="7" t="s">
        <v>103</v>
      </c>
      <c r="C67" s="6"/>
      <c r="AD67" s="3"/>
    </row>
    <row r="68" spans="1:30" x14ac:dyDescent="0.35">
      <c r="A68" s="4" t="s">
        <v>10</v>
      </c>
      <c r="B68" s="3" t="s">
        <v>47</v>
      </c>
      <c r="C68" s="3" t="s">
        <v>13</v>
      </c>
      <c r="D68" s="3" t="s">
        <v>92</v>
      </c>
      <c r="E68" s="3" t="s">
        <v>69</v>
      </c>
      <c r="F68" s="6" t="s">
        <v>69</v>
      </c>
      <c r="G68" s="6" t="s">
        <v>93</v>
      </c>
      <c r="H68" s="3" t="s">
        <v>104</v>
      </c>
      <c r="I68" s="3" t="s">
        <v>95</v>
      </c>
      <c r="J68" s="3" t="s">
        <v>105</v>
      </c>
      <c r="K68" s="3" t="s">
        <v>106</v>
      </c>
      <c r="AD68" s="3"/>
    </row>
    <row r="69" spans="1:30" x14ac:dyDescent="0.35">
      <c r="A69" s="4" t="s">
        <v>18</v>
      </c>
      <c r="B69" s="7" t="s">
        <v>53</v>
      </c>
      <c r="C69" s="7" t="s">
        <v>54</v>
      </c>
      <c r="D69" s="7" t="s">
        <v>19</v>
      </c>
      <c r="E69" s="7" t="s">
        <v>55</v>
      </c>
      <c r="F69" s="7" t="s">
        <v>27</v>
      </c>
      <c r="G69" s="7" t="s">
        <v>98</v>
      </c>
      <c r="H69" t="s">
        <v>20</v>
      </c>
      <c r="I69" s="7" t="s">
        <v>28</v>
      </c>
      <c r="J69" s="7" t="s">
        <v>99</v>
      </c>
      <c r="K69" s="7" t="s">
        <v>100</v>
      </c>
      <c r="AD69" s="3"/>
    </row>
    <row r="70" spans="1:30" x14ac:dyDescent="0.35">
      <c r="A70" s="4" t="s">
        <v>29</v>
      </c>
      <c r="B70" s="3" t="s">
        <v>56</v>
      </c>
      <c r="C70" s="3" t="s">
        <v>30</v>
      </c>
      <c r="D70" s="6" t="s">
        <v>30</v>
      </c>
      <c r="E70" s="3" t="s">
        <v>101</v>
      </c>
      <c r="F70" s="6" t="s">
        <v>32</v>
      </c>
      <c r="G70" s="6" t="s">
        <v>58</v>
      </c>
      <c r="H70" s="3" t="s">
        <v>31</v>
      </c>
      <c r="I70" s="3" t="s">
        <v>30</v>
      </c>
      <c r="J70" s="3" t="s">
        <v>30</v>
      </c>
      <c r="K70" s="3" t="s">
        <v>31</v>
      </c>
      <c r="AD70" s="3"/>
    </row>
    <row r="71" spans="1:30" x14ac:dyDescent="0.35">
      <c r="AD71" s="3"/>
    </row>
    <row r="72" spans="1:30" x14ac:dyDescent="0.35">
      <c r="A72" s="4" t="s">
        <v>6</v>
      </c>
      <c r="B72" s="5" t="s">
        <v>107</v>
      </c>
      <c r="C72" s="5"/>
      <c r="D72" s="5"/>
      <c r="AD72" s="3"/>
    </row>
    <row r="73" spans="1:30" x14ac:dyDescent="0.35">
      <c r="A73" s="4" t="s">
        <v>8</v>
      </c>
      <c r="B73" s="7" t="s">
        <v>108</v>
      </c>
      <c r="C73" s="6"/>
      <c r="AD73" s="3"/>
    </row>
    <row r="74" spans="1:30" x14ac:dyDescent="0.35">
      <c r="A74" s="4" t="s">
        <v>10</v>
      </c>
      <c r="B74" s="3" t="s">
        <v>47</v>
      </c>
      <c r="C74" s="3" t="s">
        <v>13</v>
      </c>
      <c r="D74" s="3" t="s">
        <v>92</v>
      </c>
      <c r="E74" s="3" t="s">
        <v>69</v>
      </c>
      <c r="F74" s="6" t="s">
        <v>69</v>
      </c>
      <c r="G74" s="6" t="s">
        <v>93</v>
      </c>
      <c r="H74" s="3" t="s">
        <v>109</v>
      </c>
      <c r="I74" s="3" t="s">
        <v>95</v>
      </c>
      <c r="J74" s="3" t="s">
        <v>110</v>
      </c>
      <c r="K74" s="3" t="s">
        <v>111</v>
      </c>
      <c r="AD74" s="3"/>
    </row>
    <row r="75" spans="1:30" x14ac:dyDescent="0.35">
      <c r="A75" s="4" t="s">
        <v>18</v>
      </c>
      <c r="B75" s="7" t="s">
        <v>53</v>
      </c>
      <c r="C75" s="7" t="s">
        <v>54</v>
      </c>
      <c r="D75" s="7" t="s">
        <v>19</v>
      </c>
      <c r="E75" s="7" t="s">
        <v>55</v>
      </c>
      <c r="F75" s="7" t="s">
        <v>27</v>
      </c>
      <c r="G75" s="7" t="s">
        <v>98</v>
      </c>
      <c r="H75" t="s">
        <v>20</v>
      </c>
      <c r="I75" s="7" t="s">
        <v>28</v>
      </c>
      <c r="J75" s="7" t="s">
        <v>99</v>
      </c>
      <c r="K75" s="7" t="s">
        <v>100</v>
      </c>
      <c r="AD75" s="3"/>
    </row>
    <row r="76" spans="1:30" x14ac:dyDescent="0.35">
      <c r="A76" s="4" t="s">
        <v>29</v>
      </c>
      <c r="B76" s="3" t="s">
        <v>56</v>
      </c>
      <c r="C76" s="3" t="s">
        <v>30</v>
      </c>
      <c r="D76" s="6" t="s">
        <v>30</v>
      </c>
      <c r="E76" s="3" t="s">
        <v>101</v>
      </c>
      <c r="F76" s="6" t="s">
        <v>32</v>
      </c>
      <c r="G76" s="6" t="s">
        <v>58</v>
      </c>
      <c r="H76" s="3" t="s">
        <v>31</v>
      </c>
      <c r="I76" s="3" t="s">
        <v>30</v>
      </c>
      <c r="J76" s="3" t="s">
        <v>30</v>
      </c>
      <c r="K76" s="3" t="s">
        <v>31</v>
      </c>
      <c r="AD76" s="3"/>
    </row>
    <row r="77" spans="1:30" x14ac:dyDescent="0.35">
      <c r="AD77" s="3"/>
    </row>
    <row r="78" spans="1:30" x14ac:dyDescent="0.35">
      <c r="A78" s="1" t="s">
        <v>0</v>
      </c>
      <c r="B78" s="2" t="s">
        <v>112</v>
      </c>
      <c r="C78" s="2" t="s">
        <v>2</v>
      </c>
      <c r="D78" s="2" t="s">
        <v>113</v>
      </c>
      <c r="F78" s="2" t="s">
        <v>5</v>
      </c>
      <c r="G78" s="2" t="str">
        <f>VLOOKUP(B78,[1]Hoja1!B:D,3,0)</f>
        <v>Pago Activo Pagos</v>
      </c>
    </row>
    <row r="79" spans="1:30" x14ac:dyDescent="0.35">
      <c r="A79" s="4" t="s">
        <v>6</v>
      </c>
      <c r="B79" s="5" t="s">
        <v>114</v>
      </c>
      <c r="C79" s="5"/>
      <c r="D79" s="5"/>
    </row>
    <row r="80" spans="1:30" x14ac:dyDescent="0.35">
      <c r="A80" s="4" t="s">
        <v>8</v>
      </c>
      <c r="B80" s="7" t="s">
        <v>115</v>
      </c>
      <c r="C80" s="6"/>
    </row>
    <row r="81" spans="1:9" x14ac:dyDescent="0.35">
      <c r="A81" s="4" t="s">
        <v>10</v>
      </c>
      <c r="B81" s="9" t="s">
        <v>116</v>
      </c>
      <c r="C81" s="3" t="s">
        <v>117</v>
      </c>
      <c r="D81" s="6" t="s">
        <v>118</v>
      </c>
      <c r="E81" s="3" t="s">
        <v>119</v>
      </c>
      <c r="F81" s="6" t="s">
        <v>120</v>
      </c>
      <c r="G81" s="6" t="s">
        <v>96</v>
      </c>
      <c r="H81" s="3" t="s">
        <v>121</v>
      </c>
      <c r="I81" s="3" t="s">
        <v>122</v>
      </c>
    </row>
    <row r="82" spans="1:9" x14ac:dyDescent="0.35">
      <c r="A82" s="4" t="s">
        <v>18</v>
      </c>
      <c r="B82" s="3" t="s">
        <v>123</v>
      </c>
      <c r="C82" s="3" t="s">
        <v>28</v>
      </c>
      <c r="D82" s="3" t="s">
        <v>28</v>
      </c>
      <c r="E82" s="3" t="s">
        <v>28</v>
      </c>
      <c r="F82" s="6" t="s">
        <v>28</v>
      </c>
      <c r="G82" s="6" t="s">
        <v>28</v>
      </c>
      <c r="H82" s="3" t="s">
        <v>28</v>
      </c>
      <c r="I82" s="3" t="s">
        <v>28</v>
      </c>
    </row>
    <row r="83" spans="1:9" x14ac:dyDescent="0.35">
      <c r="A83" s="4" t="s">
        <v>29</v>
      </c>
      <c r="B83" s="3" t="s">
        <v>30</v>
      </c>
      <c r="C83" s="3" t="s">
        <v>30</v>
      </c>
      <c r="D83" s="3" t="s">
        <v>30</v>
      </c>
      <c r="E83" s="3" t="s">
        <v>30</v>
      </c>
      <c r="F83" s="3" t="s">
        <v>30</v>
      </c>
      <c r="G83" s="3" t="s">
        <v>30</v>
      </c>
      <c r="H83" s="3" t="s">
        <v>30</v>
      </c>
      <c r="I83" s="3" t="s">
        <v>30</v>
      </c>
    </row>
    <row r="85" spans="1:9" x14ac:dyDescent="0.35">
      <c r="A85" s="4" t="s">
        <v>6</v>
      </c>
      <c r="B85" s="5" t="s">
        <v>124</v>
      </c>
      <c r="C85" s="5"/>
      <c r="D85" s="5"/>
    </row>
    <row r="86" spans="1:9" x14ac:dyDescent="0.35">
      <c r="A86" s="4" t="s">
        <v>8</v>
      </c>
      <c r="B86" s="7" t="s">
        <v>125</v>
      </c>
      <c r="C86" s="6"/>
    </row>
    <row r="87" spans="1:9" x14ac:dyDescent="0.35">
      <c r="A87" s="4" t="s">
        <v>10</v>
      </c>
      <c r="B87" s="3" t="s">
        <v>126</v>
      </c>
      <c r="C87" s="3" t="s">
        <v>127</v>
      </c>
      <c r="D87" s="6" t="s">
        <v>118</v>
      </c>
      <c r="E87" s="3" t="s">
        <v>128</v>
      </c>
      <c r="F87" s="6" t="s">
        <v>120</v>
      </c>
      <c r="G87" s="6" t="s">
        <v>96</v>
      </c>
      <c r="H87" s="3" t="s">
        <v>129</v>
      </c>
      <c r="I87" s="3" t="s">
        <v>130</v>
      </c>
    </row>
    <row r="88" spans="1:9" x14ac:dyDescent="0.35">
      <c r="A88" s="4" t="s">
        <v>18</v>
      </c>
      <c r="B88" s="3" t="s">
        <v>123</v>
      </c>
      <c r="C88" s="3" t="s">
        <v>28</v>
      </c>
      <c r="D88" s="3" t="s">
        <v>28</v>
      </c>
      <c r="E88" s="3" t="s">
        <v>28</v>
      </c>
      <c r="F88" s="6" t="s">
        <v>28</v>
      </c>
      <c r="G88" s="6" t="s">
        <v>28</v>
      </c>
      <c r="H88" s="3" t="s">
        <v>28</v>
      </c>
      <c r="I88" s="3" t="s">
        <v>28</v>
      </c>
    </row>
    <row r="89" spans="1:9" x14ac:dyDescent="0.35">
      <c r="A89" s="4" t="s">
        <v>29</v>
      </c>
      <c r="B89" s="3" t="s">
        <v>30</v>
      </c>
      <c r="C89" s="3" t="s">
        <v>30</v>
      </c>
      <c r="D89" s="3" t="s">
        <v>30</v>
      </c>
      <c r="E89" s="3" t="s">
        <v>30</v>
      </c>
      <c r="F89" s="3" t="s">
        <v>30</v>
      </c>
      <c r="G89" s="3" t="s">
        <v>30</v>
      </c>
      <c r="H89" s="3" t="s">
        <v>30</v>
      </c>
      <c r="I89" s="3" t="s">
        <v>30</v>
      </c>
    </row>
    <row r="91" spans="1:9" x14ac:dyDescent="0.35">
      <c r="A91" s="4" t="s">
        <v>6</v>
      </c>
      <c r="B91" s="5" t="s">
        <v>131</v>
      </c>
      <c r="C91" s="5"/>
      <c r="D91" s="5"/>
    </row>
    <row r="92" spans="1:9" x14ac:dyDescent="0.35">
      <c r="A92" s="4" t="s">
        <v>8</v>
      </c>
      <c r="B92" s="7" t="s">
        <v>132</v>
      </c>
      <c r="C92" s="6"/>
    </row>
    <row r="93" spans="1:9" x14ac:dyDescent="0.35">
      <c r="A93" s="4" t="s">
        <v>10</v>
      </c>
      <c r="B93" s="3" t="s">
        <v>133</v>
      </c>
      <c r="C93" s="3" t="s">
        <v>134</v>
      </c>
      <c r="D93" s="6" t="s">
        <v>135</v>
      </c>
      <c r="E93" s="3" t="s">
        <v>136</v>
      </c>
      <c r="F93" s="6" t="s">
        <v>120</v>
      </c>
      <c r="G93" s="6" t="s">
        <v>137</v>
      </c>
      <c r="H93" s="3" t="s">
        <v>138</v>
      </c>
      <c r="I93" s="3" t="s">
        <v>139</v>
      </c>
    </row>
    <row r="94" spans="1:9" x14ac:dyDescent="0.35">
      <c r="A94" s="4" t="s">
        <v>18</v>
      </c>
      <c r="B94" s="3" t="s">
        <v>123</v>
      </c>
      <c r="C94" s="3" t="s">
        <v>28</v>
      </c>
      <c r="D94" s="6" t="s">
        <v>140</v>
      </c>
      <c r="E94" s="3" t="s">
        <v>28</v>
      </c>
      <c r="F94" s="6" t="s">
        <v>28</v>
      </c>
      <c r="G94" s="6" t="s">
        <v>28</v>
      </c>
      <c r="H94" s="3" t="s">
        <v>28</v>
      </c>
      <c r="I94" s="3" t="s">
        <v>28</v>
      </c>
    </row>
    <row r="95" spans="1:9" x14ac:dyDescent="0.35">
      <c r="A95" s="4" t="s">
        <v>29</v>
      </c>
      <c r="B95" s="3" t="s">
        <v>30</v>
      </c>
      <c r="C95" s="3" t="s">
        <v>30</v>
      </c>
      <c r="D95" s="3" t="s">
        <v>30</v>
      </c>
      <c r="E95" s="3" t="s">
        <v>30</v>
      </c>
      <c r="F95" s="3" t="s">
        <v>30</v>
      </c>
      <c r="G95" s="3" t="s">
        <v>30</v>
      </c>
      <c r="H95" s="3" t="s">
        <v>30</v>
      </c>
      <c r="I95" s="3" t="s">
        <v>30</v>
      </c>
    </row>
    <row r="97" spans="1:8" x14ac:dyDescent="0.35">
      <c r="A97" s="1" t="s">
        <v>0</v>
      </c>
      <c r="B97" s="2" t="s">
        <v>141</v>
      </c>
      <c r="C97" s="2" t="s">
        <v>2</v>
      </c>
      <c r="D97" s="2" t="s">
        <v>142</v>
      </c>
      <c r="F97" s="2" t="s">
        <v>5</v>
      </c>
      <c r="G97" s="2" t="str">
        <f>VLOOKUP(B97,[1]Hoja1!B:D,3,0)</f>
        <v>Cartas fianza</v>
      </c>
    </row>
    <row r="98" spans="1:8" x14ac:dyDescent="0.35">
      <c r="A98" s="4" t="s">
        <v>6</v>
      </c>
      <c r="B98" s="5" t="s">
        <v>143</v>
      </c>
      <c r="C98" s="5"/>
      <c r="D98" s="5"/>
    </row>
    <row r="99" spans="1:8" x14ac:dyDescent="0.35">
      <c r="A99" s="4" t="s">
        <v>8</v>
      </c>
      <c r="B99" s="7" t="s">
        <v>144</v>
      </c>
      <c r="C99" s="6"/>
    </row>
    <row r="100" spans="1:8" x14ac:dyDescent="0.35">
      <c r="A100" s="4" t="s">
        <v>10</v>
      </c>
      <c r="B100" s="3" t="s">
        <v>145</v>
      </c>
      <c r="C100" s="3" t="s">
        <v>96</v>
      </c>
      <c r="D100" s="6" t="s">
        <v>145</v>
      </c>
      <c r="E100" s="3" t="s">
        <v>146</v>
      </c>
      <c r="F100" s="6" t="s">
        <v>147</v>
      </c>
      <c r="G100" s="6" t="s">
        <v>13</v>
      </c>
      <c r="H100" s="3" t="s">
        <v>147</v>
      </c>
    </row>
    <row r="101" spans="1:8" x14ac:dyDescent="0.35">
      <c r="A101" s="4" t="s">
        <v>18</v>
      </c>
      <c r="B101" s="3" t="s">
        <v>53</v>
      </c>
      <c r="C101" t="s">
        <v>148</v>
      </c>
      <c r="D101" s="6" t="s">
        <v>149</v>
      </c>
      <c r="E101" s="3" t="s">
        <v>150</v>
      </c>
      <c r="F101" s="10" t="s">
        <v>20</v>
      </c>
      <c r="G101" s="6" t="s">
        <v>54</v>
      </c>
      <c r="H101" t="s">
        <v>100</v>
      </c>
    </row>
    <row r="102" spans="1:8" x14ac:dyDescent="0.35">
      <c r="A102" s="4" t="s">
        <v>29</v>
      </c>
      <c r="B102" s="3" t="s">
        <v>151</v>
      </c>
      <c r="C102" s="3" t="s">
        <v>30</v>
      </c>
      <c r="D102" s="3" t="s">
        <v>151</v>
      </c>
      <c r="E102" s="3" t="s">
        <v>32</v>
      </c>
      <c r="F102" s="3" t="s">
        <v>31</v>
      </c>
      <c r="G102" s="6" t="s">
        <v>30</v>
      </c>
      <c r="H102" s="3" t="s">
        <v>31</v>
      </c>
    </row>
    <row r="104" spans="1:8" x14ac:dyDescent="0.35">
      <c r="A104" s="4" t="s">
        <v>6</v>
      </c>
      <c r="B104" s="5" t="s">
        <v>152</v>
      </c>
      <c r="C104" s="5"/>
      <c r="D104" s="5"/>
    </row>
    <row r="105" spans="1:8" x14ac:dyDescent="0.35">
      <c r="A105" s="4" t="s">
        <v>8</v>
      </c>
      <c r="B105" s="7" t="s">
        <v>153</v>
      </c>
      <c r="C105" s="6"/>
    </row>
    <row r="106" spans="1:8" x14ac:dyDescent="0.35">
      <c r="A106" s="4" t="s">
        <v>10</v>
      </c>
      <c r="B106" s="3" t="s">
        <v>145</v>
      </c>
      <c r="C106" s="3" t="s">
        <v>35</v>
      </c>
      <c r="D106" s="6" t="s">
        <v>145</v>
      </c>
      <c r="E106" s="3" t="s">
        <v>146</v>
      </c>
      <c r="F106" s="6" t="s">
        <v>154</v>
      </c>
      <c r="G106" s="6" t="s">
        <v>13</v>
      </c>
      <c r="H106" s="3" t="s">
        <v>154</v>
      </c>
    </row>
    <row r="107" spans="1:8" x14ac:dyDescent="0.35">
      <c r="A107" s="4" t="s">
        <v>18</v>
      </c>
      <c r="B107" s="3" t="s">
        <v>53</v>
      </c>
      <c r="C107" t="s">
        <v>148</v>
      </c>
      <c r="D107" s="6" t="s">
        <v>149</v>
      </c>
      <c r="E107" s="3" t="s">
        <v>150</v>
      </c>
      <c r="F107" s="10" t="s">
        <v>20</v>
      </c>
      <c r="G107" s="6" t="s">
        <v>54</v>
      </c>
      <c r="H107" t="s">
        <v>100</v>
      </c>
    </row>
    <row r="108" spans="1:8" x14ac:dyDescent="0.35">
      <c r="A108" s="4" t="s">
        <v>29</v>
      </c>
      <c r="B108" s="3" t="s">
        <v>151</v>
      </c>
      <c r="C108" s="3" t="s">
        <v>30</v>
      </c>
      <c r="D108" s="3" t="s">
        <v>151</v>
      </c>
      <c r="E108" s="3" t="s">
        <v>32</v>
      </c>
      <c r="F108" s="3" t="s">
        <v>31</v>
      </c>
      <c r="G108" s="6" t="s">
        <v>30</v>
      </c>
      <c r="H108" s="3" t="s">
        <v>31</v>
      </c>
    </row>
    <row r="110" spans="1:8" x14ac:dyDescent="0.35">
      <c r="A110" s="4" t="s">
        <v>6</v>
      </c>
      <c r="B110" s="5" t="s">
        <v>155</v>
      </c>
      <c r="C110" s="5"/>
      <c r="D110" s="5"/>
    </row>
    <row r="111" spans="1:8" x14ac:dyDescent="0.35">
      <c r="A111" s="4" t="s">
        <v>8</v>
      </c>
      <c r="B111" s="7" t="s">
        <v>156</v>
      </c>
      <c r="C111" s="6"/>
    </row>
    <row r="112" spans="1:8" x14ac:dyDescent="0.35">
      <c r="A112" s="4" t="s">
        <v>10</v>
      </c>
      <c r="B112" s="3" t="s">
        <v>157</v>
      </c>
      <c r="C112" s="3" t="s">
        <v>68</v>
      </c>
      <c r="D112" s="6" t="s">
        <v>157</v>
      </c>
      <c r="E112" s="3" t="s">
        <v>146</v>
      </c>
      <c r="F112" s="6" t="s">
        <v>158</v>
      </c>
      <c r="G112" s="6" t="s">
        <v>13</v>
      </c>
      <c r="H112" s="3" t="s">
        <v>158</v>
      </c>
    </row>
    <row r="113" spans="1:29" x14ac:dyDescent="0.35">
      <c r="A113" s="4" t="s">
        <v>18</v>
      </c>
      <c r="B113" s="3" t="s">
        <v>53</v>
      </c>
      <c r="C113" t="s">
        <v>148</v>
      </c>
      <c r="D113" s="6" t="s">
        <v>149</v>
      </c>
      <c r="E113" s="3" t="s">
        <v>150</v>
      </c>
      <c r="F113" s="10" t="s">
        <v>20</v>
      </c>
      <c r="G113" s="6" t="s">
        <v>54</v>
      </c>
      <c r="H113" t="s">
        <v>100</v>
      </c>
    </row>
    <row r="114" spans="1:29" x14ac:dyDescent="0.35">
      <c r="A114" s="4" t="s">
        <v>29</v>
      </c>
      <c r="B114" s="3" t="s">
        <v>151</v>
      </c>
      <c r="C114" s="3" t="s">
        <v>30</v>
      </c>
      <c r="D114" s="3" t="s">
        <v>151</v>
      </c>
      <c r="E114" s="3" t="s">
        <v>32</v>
      </c>
      <c r="F114" s="3" t="s">
        <v>31</v>
      </c>
      <c r="G114" s="6" t="s">
        <v>30</v>
      </c>
      <c r="H114" s="3" t="s">
        <v>31</v>
      </c>
    </row>
    <row r="116" spans="1:29" x14ac:dyDescent="0.35">
      <c r="A116" s="1" t="s">
        <v>0</v>
      </c>
      <c r="B116" s="2" t="s">
        <v>159</v>
      </c>
      <c r="C116" s="2" t="s">
        <v>2</v>
      </c>
      <c r="D116" s="2" t="s">
        <v>160</v>
      </c>
      <c r="E116" s="11" t="s">
        <v>161</v>
      </c>
      <c r="F116" s="2" t="s">
        <v>5</v>
      </c>
      <c r="G116" s="2" t="str">
        <f>VLOOKUP(B116,[1]Hoja1!B:D,3,0)</f>
        <v>Told II</v>
      </c>
    </row>
    <row r="117" spans="1:29" x14ac:dyDescent="0.35">
      <c r="A117" s="4" t="s">
        <v>6</v>
      </c>
      <c r="B117" s="5"/>
      <c r="C117" s="5"/>
      <c r="D117" s="5"/>
    </row>
    <row r="118" spans="1:29" x14ac:dyDescent="0.35">
      <c r="A118" s="4" t="s">
        <v>8</v>
      </c>
      <c r="B118" s="7"/>
      <c r="C118" s="6"/>
    </row>
    <row r="119" spans="1:29" x14ac:dyDescent="0.35">
      <c r="A119" s="4" t="s">
        <v>10</v>
      </c>
      <c r="I119" s="6"/>
    </row>
    <row r="120" spans="1:29" x14ac:dyDescent="0.35">
      <c r="A120" s="4" t="s">
        <v>18</v>
      </c>
      <c r="B120"/>
      <c r="D120" s="3"/>
      <c r="G120" s="10"/>
    </row>
    <row r="121" spans="1:29" x14ac:dyDescent="0.35">
      <c r="A121" s="4" t="s">
        <v>29</v>
      </c>
    </row>
    <row r="123" spans="1:29" x14ac:dyDescent="0.35">
      <c r="A123" s="4" t="s">
        <v>6</v>
      </c>
      <c r="B123" s="5"/>
      <c r="C123" s="5"/>
      <c r="D123" s="5"/>
    </row>
    <row r="124" spans="1:29" x14ac:dyDescent="0.35">
      <c r="A124" s="4" t="s">
        <v>8</v>
      </c>
      <c r="B124" s="7"/>
      <c r="C124" s="6"/>
    </row>
    <row r="125" spans="1:29" x14ac:dyDescent="0.35">
      <c r="A125" s="4" t="s">
        <v>10</v>
      </c>
      <c r="AC125"/>
    </row>
    <row r="126" spans="1:29" x14ac:dyDescent="0.35">
      <c r="A126" s="4" t="s">
        <v>18</v>
      </c>
      <c r="C126"/>
      <c r="D126" s="3"/>
      <c r="M126"/>
      <c r="AC126"/>
    </row>
    <row r="127" spans="1:29" x14ac:dyDescent="0.35">
      <c r="A127" s="4" t="s">
        <v>29</v>
      </c>
    </row>
    <row r="129" spans="1:29" x14ac:dyDescent="0.35">
      <c r="A129" s="4" t="s">
        <v>6</v>
      </c>
      <c r="B129" s="5"/>
      <c r="C129" s="5"/>
      <c r="D129" s="5"/>
    </row>
    <row r="130" spans="1:29" x14ac:dyDescent="0.35">
      <c r="A130" s="4" t="s">
        <v>8</v>
      </c>
      <c r="B130" s="7"/>
      <c r="C130" s="6"/>
    </row>
    <row r="131" spans="1:29" x14ac:dyDescent="0.35">
      <c r="A131" s="4" t="s">
        <v>10</v>
      </c>
    </row>
    <row r="132" spans="1:29" x14ac:dyDescent="0.35">
      <c r="A132" s="4" t="s">
        <v>18</v>
      </c>
      <c r="D132" s="3"/>
    </row>
    <row r="133" spans="1:29" x14ac:dyDescent="0.35">
      <c r="A133" s="4" t="s">
        <v>29</v>
      </c>
    </row>
    <row r="135" spans="1:29" s="15" customFormat="1" ht="7.5" customHeight="1" x14ac:dyDescent="0.35">
      <c r="A135" s="12"/>
      <c r="B135" s="13"/>
      <c r="C135" s="13"/>
      <c r="D135" s="14"/>
      <c r="E135" s="13"/>
      <c r="F135" s="14"/>
      <c r="G135" s="14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 spans="1:29" x14ac:dyDescent="0.35">
      <c r="A136" s="1" t="s">
        <v>0</v>
      </c>
      <c r="B136" s="2" t="s">
        <v>162</v>
      </c>
      <c r="C136" s="2" t="s">
        <v>2</v>
      </c>
      <c r="D136" s="2" t="s">
        <v>163</v>
      </c>
      <c r="F136" s="2" t="s">
        <v>5</v>
      </c>
      <c r="G136" s="2" t="str">
        <f>VLOOKUP(B136,[1]Hoja1!B:D,3,0)</f>
        <v>Systematics-Impacs</v>
      </c>
    </row>
    <row r="137" spans="1:29" x14ac:dyDescent="0.35">
      <c r="A137" s="4" t="s">
        <v>6</v>
      </c>
      <c r="B137" s="5" t="s">
        <v>164</v>
      </c>
      <c r="C137" s="5"/>
      <c r="D137" s="5"/>
    </row>
    <row r="138" spans="1:29" x14ac:dyDescent="0.35">
      <c r="A138" s="4" t="s">
        <v>8</v>
      </c>
      <c r="B138" s="6" t="s">
        <v>165</v>
      </c>
      <c r="C138" s="6"/>
    </row>
    <row r="139" spans="1:29" x14ac:dyDescent="0.35">
      <c r="A139" s="4" t="s">
        <v>10</v>
      </c>
      <c r="B139" s="3" t="s">
        <v>166</v>
      </c>
      <c r="C139" s="3" t="s">
        <v>167</v>
      </c>
      <c r="D139" s="6" t="s">
        <v>168</v>
      </c>
      <c r="E139" s="3" t="s">
        <v>169</v>
      </c>
      <c r="F139" s="6" t="s">
        <v>170</v>
      </c>
      <c r="G139" s="6" t="s">
        <v>171</v>
      </c>
      <c r="H139" s="3" t="s">
        <v>172</v>
      </c>
    </row>
    <row r="140" spans="1:29" x14ac:dyDescent="0.35">
      <c r="A140" s="4" t="s">
        <v>18</v>
      </c>
      <c r="B140" s="3" t="s">
        <v>100</v>
      </c>
      <c r="C140" s="3" t="s">
        <v>140</v>
      </c>
      <c r="D140" s="6" t="s">
        <v>173</v>
      </c>
      <c r="E140" s="3" t="s">
        <v>19</v>
      </c>
      <c r="F140" s="6" t="s">
        <v>174</v>
      </c>
      <c r="G140" s="6" t="s">
        <v>175</v>
      </c>
      <c r="H140" s="3" t="s">
        <v>28</v>
      </c>
    </row>
    <row r="141" spans="1:29" x14ac:dyDescent="0.35">
      <c r="A141" s="4" t="s">
        <v>29</v>
      </c>
      <c r="B141" s="3" t="s">
        <v>31</v>
      </c>
      <c r="C141" s="3" t="s">
        <v>30</v>
      </c>
      <c r="D141" s="6" t="s">
        <v>176</v>
      </c>
      <c r="E141" s="3" t="s">
        <v>30</v>
      </c>
      <c r="F141" s="6" t="s">
        <v>177</v>
      </c>
      <c r="G141" s="3" t="s">
        <v>31</v>
      </c>
      <c r="H141" s="3" t="s">
        <v>30</v>
      </c>
    </row>
    <row r="143" spans="1:29" x14ac:dyDescent="0.35">
      <c r="A143" s="4" t="s">
        <v>6</v>
      </c>
      <c r="B143" s="5" t="s">
        <v>178</v>
      </c>
      <c r="C143" s="5"/>
      <c r="D143" s="5"/>
    </row>
    <row r="144" spans="1:29" x14ac:dyDescent="0.35">
      <c r="A144" s="4" t="s">
        <v>8</v>
      </c>
      <c r="B144" s="7" t="s">
        <v>179</v>
      </c>
    </row>
    <row r="145" spans="1:8" x14ac:dyDescent="0.35">
      <c r="A145" s="4" t="s">
        <v>10</v>
      </c>
      <c r="B145" s="3" t="s">
        <v>180</v>
      </c>
      <c r="C145" s="3" t="s">
        <v>167</v>
      </c>
      <c r="D145" s="6" t="s">
        <v>170</v>
      </c>
      <c r="E145" s="3" t="s">
        <v>181</v>
      </c>
      <c r="F145" s="6" t="s">
        <v>170</v>
      </c>
      <c r="G145" s="6" t="s">
        <v>182</v>
      </c>
      <c r="H145" s="3" t="s">
        <v>172</v>
      </c>
    </row>
    <row r="146" spans="1:8" x14ac:dyDescent="0.35">
      <c r="A146" s="4" t="s">
        <v>18</v>
      </c>
      <c r="B146" s="3" t="s">
        <v>100</v>
      </c>
      <c r="C146" s="3" t="s">
        <v>140</v>
      </c>
      <c r="D146" s="6" t="s">
        <v>173</v>
      </c>
      <c r="E146" s="3" t="s">
        <v>19</v>
      </c>
      <c r="F146" s="6" t="s">
        <v>174</v>
      </c>
      <c r="G146" s="6" t="s">
        <v>175</v>
      </c>
      <c r="H146" s="3" t="s">
        <v>28</v>
      </c>
    </row>
    <row r="147" spans="1:8" x14ac:dyDescent="0.35">
      <c r="A147" s="4" t="s">
        <v>29</v>
      </c>
      <c r="B147" s="3" t="s">
        <v>31</v>
      </c>
      <c r="C147" s="3" t="s">
        <v>30</v>
      </c>
      <c r="D147" s="6" t="s">
        <v>176</v>
      </c>
      <c r="E147" s="3" t="s">
        <v>30</v>
      </c>
      <c r="F147" s="6" t="s">
        <v>177</v>
      </c>
      <c r="G147" s="3" t="s">
        <v>31</v>
      </c>
      <c r="H147" s="3" t="s">
        <v>30</v>
      </c>
    </row>
    <row r="149" spans="1:8" x14ac:dyDescent="0.35">
      <c r="A149" s="4" t="s">
        <v>6</v>
      </c>
      <c r="B149" s="5" t="s">
        <v>183</v>
      </c>
      <c r="C149" s="5"/>
      <c r="D149" s="5"/>
    </row>
    <row r="150" spans="1:8" x14ac:dyDescent="0.35">
      <c r="A150" s="4" t="s">
        <v>8</v>
      </c>
      <c r="B150" s="7" t="s">
        <v>184</v>
      </c>
      <c r="C150" s="6"/>
    </row>
    <row r="151" spans="1:8" x14ac:dyDescent="0.35">
      <c r="A151" s="4" t="s">
        <v>10</v>
      </c>
      <c r="B151" s="3" t="s">
        <v>185</v>
      </c>
      <c r="C151" s="3" t="s">
        <v>167</v>
      </c>
      <c r="D151" s="6" t="s">
        <v>170</v>
      </c>
      <c r="E151" s="3" t="s">
        <v>13</v>
      </c>
      <c r="F151" s="6" t="s">
        <v>170</v>
      </c>
      <c r="G151" s="6" t="s">
        <v>186</v>
      </c>
      <c r="H151" s="3" t="s">
        <v>172</v>
      </c>
    </row>
    <row r="152" spans="1:8" x14ac:dyDescent="0.35">
      <c r="A152" s="4" t="s">
        <v>18</v>
      </c>
      <c r="B152" s="3" t="s">
        <v>100</v>
      </c>
      <c r="C152" s="3" t="s">
        <v>140</v>
      </c>
      <c r="D152" s="6" t="s">
        <v>173</v>
      </c>
      <c r="E152" s="3" t="s">
        <v>19</v>
      </c>
      <c r="F152" s="6" t="s">
        <v>174</v>
      </c>
      <c r="G152" s="6" t="s">
        <v>175</v>
      </c>
      <c r="H152" s="3" t="s">
        <v>28</v>
      </c>
    </row>
    <row r="153" spans="1:8" x14ac:dyDescent="0.35">
      <c r="A153" s="4" t="s">
        <v>29</v>
      </c>
      <c r="B153" s="3" t="s">
        <v>31</v>
      </c>
      <c r="C153" s="3" t="s">
        <v>30</v>
      </c>
      <c r="D153" s="6" t="s">
        <v>176</v>
      </c>
      <c r="E153" s="3" t="s">
        <v>30</v>
      </c>
      <c r="F153" s="6" t="s">
        <v>177</v>
      </c>
      <c r="G153" s="3" t="s">
        <v>31</v>
      </c>
      <c r="H153" s="3" t="s">
        <v>30</v>
      </c>
    </row>
    <row r="155" spans="1:8" x14ac:dyDescent="0.35">
      <c r="A155" s="1" t="s">
        <v>0</v>
      </c>
      <c r="B155" s="2" t="s">
        <v>187</v>
      </c>
      <c r="C155" s="2" t="s">
        <v>2</v>
      </c>
      <c r="D155" s="2" t="s">
        <v>188</v>
      </c>
      <c r="F155" s="2" t="s">
        <v>5</v>
      </c>
      <c r="G155" s="2" t="str">
        <f>VLOOKUP(B155,[1]Hoja1!B:D,3,0)</f>
        <v>Systematics-Saving Times</v>
      </c>
    </row>
    <row r="156" spans="1:8" x14ac:dyDescent="0.35">
      <c r="A156" s="4" t="s">
        <v>6</v>
      </c>
      <c r="B156" s="5" t="s">
        <v>189</v>
      </c>
      <c r="C156" s="5"/>
      <c r="D156" s="5"/>
    </row>
    <row r="157" spans="1:8" x14ac:dyDescent="0.35">
      <c r="A157" s="4" t="s">
        <v>8</v>
      </c>
      <c r="B157" s="7" t="s">
        <v>190</v>
      </c>
      <c r="C157" s="6"/>
    </row>
    <row r="158" spans="1:8" x14ac:dyDescent="0.35">
      <c r="A158" s="4" t="s">
        <v>10</v>
      </c>
      <c r="B158" s="3" t="s">
        <v>189</v>
      </c>
      <c r="C158" s="3" t="s">
        <v>167</v>
      </c>
      <c r="D158" s="6" t="s">
        <v>191</v>
      </c>
      <c r="E158" s="3" t="s">
        <v>192</v>
      </c>
      <c r="F158" s="6" t="s">
        <v>193</v>
      </c>
      <c r="G158" s="6" t="s">
        <v>194</v>
      </c>
    </row>
    <row r="159" spans="1:8" x14ac:dyDescent="0.35">
      <c r="A159" s="4" t="s">
        <v>18</v>
      </c>
      <c r="B159" s="3" t="s">
        <v>100</v>
      </c>
      <c r="C159" s="3" t="s">
        <v>140</v>
      </c>
      <c r="D159" s="6" t="s">
        <v>195</v>
      </c>
      <c r="E159" s="3" t="s">
        <v>19</v>
      </c>
      <c r="F159" s="6" t="s">
        <v>196</v>
      </c>
      <c r="G159" s="6" t="s">
        <v>175</v>
      </c>
    </row>
    <row r="160" spans="1:8" x14ac:dyDescent="0.35">
      <c r="A160" s="4" t="s">
        <v>29</v>
      </c>
      <c r="B160" s="3" t="s">
        <v>31</v>
      </c>
      <c r="C160" s="3" t="s">
        <v>30</v>
      </c>
      <c r="D160" s="6" t="s">
        <v>197</v>
      </c>
      <c r="E160" s="3" t="s">
        <v>30</v>
      </c>
      <c r="F160" s="6" t="s">
        <v>30</v>
      </c>
      <c r="G160" s="3" t="s">
        <v>31</v>
      </c>
    </row>
    <row r="162" spans="1:7" x14ac:dyDescent="0.35">
      <c r="A162" s="4" t="s">
        <v>6</v>
      </c>
      <c r="B162" s="5" t="s">
        <v>198</v>
      </c>
      <c r="C162" s="5"/>
      <c r="D162" s="5"/>
    </row>
    <row r="163" spans="1:7" x14ac:dyDescent="0.35">
      <c r="A163" s="4" t="s">
        <v>8</v>
      </c>
      <c r="B163" s="7" t="s">
        <v>199</v>
      </c>
      <c r="C163" s="6"/>
    </row>
    <row r="164" spans="1:7" x14ac:dyDescent="0.35">
      <c r="A164" s="4" t="s">
        <v>10</v>
      </c>
      <c r="B164" s="3" t="s">
        <v>198</v>
      </c>
      <c r="C164" s="3" t="s">
        <v>167</v>
      </c>
      <c r="D164" s="6" t="s">
        <v>191</v>
      </c>
      <c r="E164" s="3" t="s">
        <v>92</v>
      </c>
      <c r="F164" s="6" t="s">
        <v>193</v>
      </c>
      <c r="G164" s="6" t="s">
        <v>200</v>
      </c>
    </row>
    <row r="165" spans="1:7" x14ac:dyDescent="0.35">
      <c r="A165" s="4" t="s">
        <v>18</v>
      </c>
      <c r="B165" s="3" t="s">
        <v>100</v>
      </c>
      <c r="C165" s="3" t="s">
        <v>140</v>
      </c>
      <c r="D165" s="6" t="s">
        <v>195</v>
      </c>
      <c r="E165" s="3" t="s">
        <v>19</v>
      </c>
      <c r="F165" s="6" t="s">
        <v>196</v>
      </c>
      <c r="G165" s="6" t="s">
        <v>175</v>
      </c>
    </row>
    <row r="166" spans="1:7" x14ac:dyDescent="0.35">
      <c r="A166" s="4" t="s">
        <v>29</v>
      </c>
      <c r="B166" s="3" t="s">
        <v>31</v>
      </c>
      <c r="C166" s="3" t="s">
        <v>30</v>
      </c>
      <c r="D166" s="6" t="s">
        <v>197</v>
      </c>
      <c r="E166" s="3" t="s">
        <v>30</v>
      </c>
      <c r="F166" s="6" t="s">
        <v>30</v>
      </c>
      <c r="G166" s="3" t="s">
        <v>31</v>
      </c>
    </row>
    <row r="168" spans="1:7" x14ac:dyDescent="0.35">
      <c r="A168" s="4" t="s">
        <v>6</v>
      </c>
      <c r="B168" s="5" t="s">
        <v>201</v>
      </c>
      <c r="C168" s="5"/>
      <c r="D168" s="5"/>
    </row>
    <row r="169" spans="1:7" x14ac:dyDescent="0.35">
      <c r="A169" s="4" t="s">
        <v>8</v>
      </c>
      <c r="B169" s="7" t="s">
        <v>202</v>
      </c>
      <c r="C169" s="6"/>
    </row>
    <row r="170" spans="1:7" x14ac:dyDescent="0.35">
      <c r="A170" s="4" t="s">
        <v>10</v>
      </c>
      <c r="B170" s="3" t="s">
        <v>201</v>
      </c>
      <c r="C170" s="3" t="s">
        <v>167</v>
      </c>
      <c r="D170" s="6" t="s">
        <v>191</v>
      </c>
      <c r="E170" s="3" t="s">
        <v>203</v>
      </c>
      <c r="F170" s="6" t="s">
        <v>193</v>
      </c>
      <c r="G170" s="6" t="s">
        <v>204</v>
      </c>
    </row>
    <row r="171" spans="1:7" x14ac:dyDescent="0.35">
      <c r="A171" s="4" t="s">
        <v>18</v>
      </c>
      <c r="B171" s="3" t="s">
        <v>100</v>
      </c>
      <c r="C171" s="3" t="s">
        <v>140</v>
      </c>
      <c r="D171" s="6" t="s">
        <v>195</v>
      </c>
      <c r="E171" s="3" t="s">
        <v>19</v>
      </c>
      <c r="F171" s="6" t="s">
        <v>196</v>
      </c>
      <c r="G171" s="6" t="s">
        <v>175</v>
      </c>
    </row>
    <row r="172" spans="1:7" x14ac:dyDescent="0.35">
      <c r="A172" s="4" t="s">
        <v>29</v>
      </c>
      <c r="B172" s="3" t="s">
        <v>31</v>
      </c>
      <c r="C172" s="3" t="s">
        <v>30</v>
      </c>
      <c r="D172" s="6" t="s">
        <v>197</v>
      </c>
      <c r="E172" s="3" t="s">
        <v>30</v>
      </c>
      <c r="F172" s="6" t="s">
        <v>30</v>
      </c>
      <c r="G172" s="3" t="s">
        <v>31</v>
      </c>
    </row>
    <row r="174" spans="1:7" x14ac:dyDescent="0.35">
      <c r="A174" s="1" t="s">
        <v>0</v>
      </c>
      <c r="B174" s="2" t="s">
        <v>205</v>
      </c>
      <c r="C174" s="2" t="s">
        <v>2</v>
      </c>
      <c r="D174" s="2" t="s">
        <v>206</v>
      </c>
      <c r="E174" s="11" t="s">
        <v>207</v>
      </c>
      <c r="F174" s="2" t="s">
        <v>5</v>
      </c>
      <c r="G174" s="2" t="str">
        <f>VLOOKUP(B174,[1]Hoja1!B:D,3,0)</f>
        <v>BankTrade</v>
      </c>
    </row>
    <row r="175" spans="1:7" x14ac:dyDescent="0.35">
      <c r="A175" s="4" t="s">
        <v>6</v>
      </c>
      <c r="B175" s="5" t="s">
        <v>208</v>
      </c>
      <c r="C175" s="5"/>
      <c r="D175" s="5"/>
    </row>
    <row r="176" spans="1:7" x14ac:dyDescent="0.35">
      <c r="A176" s="4" t="s">
        <v>8</v>
      </c>
      <c r="B176" s="7" t="s">
        <v>209</v>
      </c>
      <c r="C176" s="6"/>
    </row>
    <row r="177" spans="1:10" x14ac:dyDescent="0.35">
      <c r="A177" s="4" t="s">
        <v>10</v>
      </c>
      <c r="B177" s="3" t="s">
        <v>95</v>
      </c>
      <c r="C177" s="3" t="s">
        <v>210</v>
      </c>
      <c r="D177" s="6" t="s">
        <v>211</v>
      </c>
      <c r="E177" s="3" t="s">
        <v>13</v>
      </c>
      <c r="F177" s="6" t="s">
        <v>205</v>
      </c>
      <c r="G177" s="3" t="s">
        <v>210</v>
      </c>
      <c r="H177" s="6" t="s">
        <v>212</v>
      </c>
      <c r="I177" s="6" t="s">
        <v>211</v>
      </c>
      <c r="J177" s="3" t="s">
        <v>13</v>
      </c>
    </row>
    <row r="178" spans="1:10" x14ac:dyDescent="0.35">
      <c r="A178" s="4" t="s">
        <v>213</v>
      </c>
      <c r="B178" s="3" t="s">
        <v>28</v>
      </c>
      <c r="C178" s="3" t="s">
        <v>28</v>
      </c>
      <c r="D178" s="6" t="s">
        <v>214</v>
      </c>
      <c r="E178" s="3" t="s">
        <v>28</v>
      </c>
      <c r="F178" s="6" t="s">
        <v>215</v>
      </c>
      <c r="G178" s="3" t="s">
        <v>28</v>
      </c>
      <c r="H178" s="6" t="s">
        <v>216</v>
      </c>
      <c r="I178" s="6" t="s">
        <v>214</v>
      </c>
      <c r="J178" s="3" t="s">
        <v>28</v>
      </c>
    </row>
    <row r="179" spans="1:10" x14ac:dyDescent="0.35">
      <c r="A179" s="4" t="s">
        <v>29</v>
      </c>
      <c r="B179" s="3" t="s">
        <v>30</v>
      </c>
      <c r="C179" s="3" t="s">
        <v>30</v>
      </c>
      <c r="D179" s="6" t="s">
        <v>30</v>
      </c>
      <c r="E179" s="3" t="s">
        <v>30</v>
      </c>
      <c r="F179" s="6" t="s">
        <v>217</v>
      </c>
      <c r="G179" s="3" t="s">
        <v>30</v>
      </c>
      <c r="H179" s="6" t="s">
        <v>218</v>
      </c>
      <c r="I179" s="3" t="s">
        <v>30</v>
      </c>
      <c r="J179" s="3" t="s">
        <v>30</v>
      </c>
    </row>
    <row r="180" spans="1:10" x14ac:dyDescent="0.35">
      <c r="H180" s="6"/>
    </row>
    <row r="181" spans="1:10" x14ac:dyDescent="0.35">
      <c r="A181" s="4" t="s">
        <v>6</v>
      </c>
      <c r="B181" s="5" t="s">
        <v>219</v>
      </c>
      <c r="C181" s="5"/>
      <c r="D181" s="5"/>
      <c r="H181" s="6"/>
    </row>
    <row r="182" spans="1:10" x14ac:dyDescent="0.35">
      <c r="A182" s="4" t="s">
        <v>8</v>
      </c>
      <c r="B182" s="7" t="s">
        <v>220</v>
      </c>
      <c r="C182" s="6"/>
      <c r="H182" s="6"/>
    </row>
    <row r="183" spans="1:10" x14ac:dyDescent="0.35">
      <c r="A183" s="4" t="s">
        <v>10</v>
      </c>
      <c r="B183" s="3" t="s">
        <v>221</v>
      </c>
      <c r="C183" s="3" t="s">
        <v>222</v>
      </c>
      <c r="D183" s="6" t="s">
        <v>223</v>
      </c>
      <c r="E183" s="3" t="s">
        <v>224</v>
      </c>
      <c r="F183" s="6" t="s">
        <v>205</v>
      </c>
      <c r="G183" s="3" t="s">
        <v>222</v>
      </c>
      <c r="H183" s="6" t="s">
        <v>212</v>
      </c>
      <c r="I183" s="6" t="s">
        <v>223</v>
      </c>
      <c r="J183" s="3" t="s">
        <v>224</v>
      </c>
    </row>
    <row r="184" spans="1:10" x14ac:dyDescent="0.35">
      <c r="A184" s="4" t="s">
        <v>213</v>
      </c>
      <c r="B184" s="3" t="s">
        <v>28</v>
      </c>
      <c r="C184" s="3" t="s">
        <v>28</v>
      </c>
      <c r="D184" s="6" t="s">
        <v>214</v>
      </c>
      <c r="E184" s="3" t="s">
        <v>28</v>
      </c>
      <c r="F184" s="6" t="s">
        <v>215</v>
      </c>
      <c r="G184" s="3" t="s">
        <v>28</v>
      </c>
      <c r="H184" s="6" t="s">
        <v>216</v>
      </c>
      <c r="I184" s="6" t="s">
        <v>214</v>
      </c>
      <c r="J184" s="3" t="s">
        <v>28</v>
      </c>
    </row>
    <row r="185" spans="1:10" x14ac:dyDescent="0.35">
      <c r="A185" s="4" t="s">
        <v>29</v>
      </c>
      <c r="B185" s="3" t="s">
        <v>30</v>
      </c>
      <c r="C185" s="3" t="s">
        <v>30</v>
      </c>
      <c r="D185" s="6" t="s">
        <v>30</v>
      </c>
      <c r="E185" s="3" t="s">
        <v>30</v>
      </c>
      <c r="F185" s="6" t="s">
        <v>217</v>
      </c>
      <c r="G185" s="3" t="s">
        <v>30</v>
      </c>
      <c r="H185" s="6" t="s">
        <v>218</v>
      </c>
      <c r="I185" s="3" t="s">
        <v>30</v>
      </c>
      <c r="J185" s="3" t="s">
        <v>30</v>
      </c>
    </row>
    <row r="186" spans="1:10" x14ac:dyDescent="0.35">
      <c r="H186" s="6"/>
    </row>
    <row r="187" spans="1:10" x14ac:dyDescent="0.35">
      <c r="A187" s="4" t="s">
        <v>6</v>
      </c>
      <c r="B187" s="5" t="s">
        <v>225</v>
      </c>
      <c r="C187" s="5"/>
      <c r="D187" s="5"/>
      <c r="H187" s="6"/>
    </row>
    <row r="188" spans="1:10" x14ac:dyDescent="0.35">
      <c r="A188" s="4" t="s">
        <v>8</v>
      </c>
      <c r="B188" s="7" t="s">
        <v>226</v>
      </c>
      <c r="C188" s="6"/>
      <c r="H188" s="6"/>
    </row>
    <row r="189" spans="1:10" x14ac:dyDescent="0.35">
      <c r="A189" s="4" t="s">
        <v>10</v>
      </c>
      <c r="B189" s="3" t="s">
        <v>221</v>
      </c>
      <c r="C189" s="3" t="s">
        <v>222</v>
      </c>
      <c r="D189" s="6" t="s">
        <v>227</v>
      </c>
      <c r="E189" s="3" t="s">
        <v>224</v>
      </c>
      <c r="F189" s="6" t="s">
        <v>205</v>
      </c>
      <c r="G189" s="3" t="s">
        <v>222</v>
      </c>
      <c r="H189" s="6" t="s">
        <v>212</v>
      </c>
      <c r="I189" s="6" t="s">
        <v>227</v>
      </c>
      <c r="J189" s="3" t="s">
        <v>224</v>
      </c>
    </row>
    <row r="190" spans="1:10" x14ac:dyDescent="0.35">
      <c r="A190" s="4" t="s">
        <v>213</v>
      </c>
      <c r="B190" s="3" t="s">
        <v>28</v>
      </c>
      <c r="C190" s="3" t="s">
        <v>28</v>
      </c>
      <c r="D190" s="6" t="s">
        <v>214</v>
      </c>
      <c r="E190" s="3" t="s">
        <v>28</v>
      </c>
      <c r="F190" s="6" t="s">
        <v>215</v>
      </c>
      <c r="G190" s="3" t="s">
        <v>28</v>
      </c>
      <c r="H190" s="6" t="s">
        <v>216</v>
      </c>
      <c r="I190" s="6" t="s">
        <v>214</v>
      </c>
      <c r="J190" s="3" t="s">
        <v>28</v>
      </c>
    </row>
    <row r="191" spans="1:10" x14ac:dyDescent="0.35">
      <c r="A191" s="4" t="s">
        <v>29</v>
      </c>
      <c r="B191" s="3" t="s">
        <v>30</v>
      </c>
      <c r="C191" s="3" t="s">
        <v>30</v>
      </c>
      <c r="D191" s="6" t="s">
        <v>30</v>
      </c>
      <c r="E191" s="3" t="s">
        <v>30</v>
      </c>
      <c r="F191" s="6" t="s">
        <v>217</v>
      </c>
      <c r="G191" s="3" t="s">
        <v>30</v>
      </c>
      <c r="H191" s="6" t="s">
        <v>218</v>
      </c>
      <c r="I191" s="3" t="s">
        <v>30</v>
      </c>
      <c r="J191" s="3" t="s">
        <v>30</v>
      </c>
    </row>
    <row r="193" spans="1:7" x14ac:dyDescent="0.35">
      <c r="A193" s="1" t="s">
        <v>0</v>
      </c>
      <c r="B193" s="2" t="s">
        <v>228</v>
      </c>
      <c r="C193" s="2" t="s">
        <v>2</v>
      </c>
      <c r="D193" s="2" t="s">
        <v>229</v>
      </c>
      <c r="F193" s="2" t="s">
        <v>5</v>
      </c>
      <c r="G193" s="2" t="str">
        <f>VLOOKUP(B193,[1]Hoja1!B:D,3,0)</f>
        <v>Sistema de Administración de Tarjetas - NSAT</v>
      </c>
    </row>
    <row r="194" spans="1:7" x14ac:dyDescent="0.35">
      <c r="A194" s="4" t="s">
        <v>6</v>
      </c>
      <c r="B194" s="5" t="s">
        <v>230</v>
      </c>
      <c r="C194" s="5"/>
      <c r="D194" s="5"/>
    </row>
    <row r="195" spans="1:7" x14ac:dyDescent="0.35">
      <c r="A195" s="4" t="s">
        <v>8</v>
      </c>
      <c r="B195" s="7" t="s">
        <v>231</v>
      </c>
      <c r="C195" s="6"/>
    </row>
    <row r="196" spans="1:7" x14ac:dyDescent="0.35">
      <c r="A196" s="4" t="s">
        <v>10</v>
      </c>
      <c r="B196" s="3" t="s">
        <v>232</v>
      </c>
      <c r="C196" s="3" t="s">
        <v>233</v>
      </c>
      <c r="D196" s="3" t="s">
        <v>234</v>
      </c>
      <c r="E196" s="3" t="s">
        <v>235</v>
      </c>
      <c r="F196" s="6" t="s">
        <v>236</v>
      </c>
    </row>
    <row r="197" spans="1:7" x14ac:dyDescent="0.35">
      <c r="A197" s="4" t="s">
        <v>18</v>
      </c>
      <c r="B197" s="3" t="s">
        <v>100</v>
      </c>
      <c r="C197" s="3" t="s">
        <v>21</v>
      </c>
      <c r="D197" s="3" t="s">
        <v>27</v>
      </c>
      <c r="E197" s="3" t="s">
        <v>237</v>
      </c>
      <c r="F197" s="6" t="s">
        <v>238</v>
      </c>
    </row>
    <row r="198" spans="1:7" x14ac:dyDescent="0.35">
      <c r="A198" s="4" t="s">
        <v>29</v>
      </c>
      <c r="B198" s="3" t="s">
        <v>31</v>
      </c>
      <c r="C198" s="3" t="s">
        <v>30</v>
      </c>
      <c r="D198" s="6" t="s">
        <v>239</v>
      </c>
      <c r="E198" s="3" t="s">
        <v>240</v>
      </c>
      <c r="F198" s="6" t="s">
        <v>241</v>
      </c>
    </row>
    <row r="200" spans="1:7" x14ac:dyDescent="0.35">
      <c r="A200" s="4" t="s">
        <v>6</v>
      </c>
      <c r="B200" s="5" t="s">
        <v>242</v>
      </c>
      <c r="C200" s="5"/>
      <c r="D200" s="5"/>
    </row>
    <row r="201" spans="1:7" x14ac:dyDescent="0.35">
      <c r="A201" s="4" t="s">
        <v>8</v>
      </c>
      <c r="B201" s="7" t="s">
        <v>243</v>
      </c>
      <c r="C201" s="6"/>
    </row>
    <row r="202" spans="1:7" x14ac:dyDescent="0.35">
      <c r="A202" s="4" t="s">
        <v>10</v>
      </c>
      <c r="B202" s="3" t="s">
        <v>244</v>
      </c>
      <c r="C202" s="3" t="s">
        <v>233</v>
      </c>
      <c r="D202" s="3" t="s">
        <v>234</v>
      </c>
      <c r="E202" s="3" t="s">
        <v>235</v>
      </c>
      <c r="F202" s="6" t="s">
        <v>236</v>
      </c>
    </row>
    <row r="203" spans="1:7" x14ac:dyDescent="0.35">
      <c r="A203" s="4" t="s">
        <v>18</v>
      </c>
      <c r="B203" s="3" t="s">
        <v>100</v>
      </c>
      <c r="C203" s="3" t="s">
        <v>21</v>
      </c>
      <c r="D203" s="3" t="s">
        <v>27</v>
      </c>
      <c r="E203" s="3" t="s">
        <v>237</v>
      </c>
      <c r="F203" s="6" t="s">
        <v>238</v>
      </c>
    </row>
    <row r="204" spans="1:7" x14ac:dyDescent="0.35">
      <c r="A204" s="4" t="s">
        <v>29</v>
      </c>
      <c r="B204" s="3" t="s">
        <v>31</v>
      </c>
      <c r="C204" s="3" t="s">
        <v>30</v>
      </c>
      <c r="D204" s="6" t="s">
        <v>239</v>
      </c>
      <c r="E204" s="3" t="s">
        <v>240</v>
      </c>
      <c r="F204" s="6" t="s">
        <v>241</v>
      </c>
    </row>
    <row r="206" spans="1:7" x14ac:dyDescent="0.35">
      <c r="A206" s="4" t="s">
        <v>6</v>
      </c>
      <c r="B206" s="5" t="s">
        <v>245</v>
      </c>
      <c r="C206" s="5"/>
      <c r="D206" s="5"/>
    </row>
    <row r="207" spans="1:7" x14ac:dyDescent="0.35">
      <c r="A207" s="4" t="s">
        <v>8</v>
      </c>
      <c r="B207" s="7" t="s">
        <v>246</v>
      </c>
      <c r="C207" s="6"/>
    </row>
    <row r="208" spans="1:7" x14ac:dyDescent="0.35">
      <c r="A208" s="4" t="s">
        <v>10</v>
      </c>
      <c r="B208" s="3" t="s">
        <v>247</v>
      </c>
      <c r="C208" s="3" t="s">
        <v>248</v>
      </c>
      <c r="D208" s="3" t="s">
        <v>234</v>
      </c>
      <c r="E208" s="3" t="s">
        <v>235</v>
      </c>
      <c r="F208" s="6" t="s">
        <v>236</v>
      </c>
    </row>
    <row r="209" spans="1:14" x14ac:dyDescent="0.35">
      <c r="A209" s="4" t="s">
        <v>18</v>
      </c>
      <c r="B209" s="3" t="s">
        <v>100</v>
      </c>
      <c r="C209" s="3" t="s">
        <v>21</v>
      </c>
      <c r="D209" s="3" t="s">
        <v>27</v>
      </c>
      <c r="E209" s="3" t="s">
        <v>237</v>
      </c>
      <c r="F209" s="6" t="s">
        <v>238</v>
      </c>
    </row>
    <row r="210" spans="1:14" x14ac:dyDescent="0.35">
      <c r="A210" s="4" t="s">
        <v>29</v>
      </c>
      <c r="B210" s="3" t="s">
        <v>31</v>
      </c>
      <c r="C210" s="3" t="s">
        <v>30</v>
      </c>
      <c r="D210" s="6" t="s">
        <v>239</v>
      </c>
      <c r="E210" s="3" t="s">
        <v>240</v>
      </c>
      <c r="F210" s="6" t="s">
        <v>241</v>
      </c>
    </row>
    <row r="212" spans="1:14" x14ac:dyDescent="0.35">
      <c r="A212" s="1" t="s">
        <v>0</v>
      </c>
      <c r="B212" s="2" t="s">
        <v>249</v>
      </c>
      <c r="C212" s="2" t="s">
        <v>2</v>
      </c>
      <c r="D212" s="2" t="s">
        <v>250</v>
      </c>
      <c r="F212" s="2" t="s">
        <v>5</v>
      </c>
      <c r="G212" s="2" t="str">
        <f>VLOOKUP(B212,[1]Hoja1!B:D,3,0)</f>
        <v>Financiamiento de cobranza de documentos</v>
      </c>
    </row>
    <row r="213" spans="1:14" x14ac:dyDescent="0.35">
      <c r="A213" s="4" t="s">
        <v>6</v>
      </c>
      <c r="B213" s="5" t="s">
        <v>251</v>
      </c>
      <c r="C213" s="5"/>
      <c r="D213" s="5"/>
    </row>
    <row r="214" spans="1:14" x14ac:dyDescent="0.35">
      <c r="A214" s="4" t="s">
        <v>8</v>
      </c>
      <c r="B214" s="7" t="s">
        <v>252</v>
      </c>
      <c r="C214" s="6"/>
    </row>
    <row r="215" spans="1:14" x14ac:dyDescent="0.35">
      <c r="A215" s="4" t="s">
        <v>10</v>
      </c>
      <c r="B215" s="3" t="s">
        <v>253</v>
      </c>
      <c r="C215" s="3" t="s">
        <v>13</v>
      </c>
      <c r="D215" s="3" t="s">
        <v>13</v>
      </c>
      <c r="E215" s="3" t="s">
        <v>68</v>
      </c>
      <c r="F215" s="6" t="s">
        <v>254</v>
      </c>
      <c r="G215" s="6" t="s">
        <v>255</v>
      </c>
      <c r="H215" s="3" t="s">
        <v>256</v>
      </c>
      <c r="I215" s="3" t="s">
        <v>257</v>
      </c>
      <c r="J215" s="3" t="s">
        <v>258</v>
      </c>
      <c r="K215" s="3" t="s">
        <v>257</v>
      </c>
      <c r="L215" s="3" t="s">
        <v>257</v>
      </c>
      <c r="M215" s="3" t="s">
        <v>259</v>
      </c>
      <c r="N215" s="3" t="s">
        <v>253</v>
      </c>
    </row>
    <row r="216" spans="1:14" ht="14" customHeight="1" x14ac:dyDescent="0.35">
      <c r="A216" s="4" t="s">
        <v>18</v>
      </c>
      <c r="B216" s="3" t="s">
        <v>20</v>
      </c>
      <c r="C216" s="3" t="s">
        <v>260</v>
      </c>
      <c r="D216" s="3" t="s">
        <v>260</v>
      </c>
      <c r="E216" s="3" t="s">
        <v>28</v>
      </c>
      <c r="F216" s="6" t="s">
        <v>261</v>
      </c>
      <c r="G216" s="6" t="s">
        <v>262</v>
      </c>
      <c r="H216" s="3" t="s">
        <v>263</v>
      </c>
      <c r="I216" s="3" t="s">
        <v>264</v>
      </c>
      <c r="J216" s="3" t="s">
        <v>265</v>
      </c>
      <c r="K216" s="3" t="s">
        <v>264</v>
      </c>
      <c r="L216" s="3" t="s">
        <v>264</v>
      </c>
      <c r="M216" s="3" t="s">
        <v>266</v>
      </c>
      <c r="N216" s="3" t="s">
        <v>20</v>
      </c>
    </row>
    <row r="217" spans="1:14" x14ac:dyDescent="0.35">
      <c r="A217" s="4" t="s">
        <v>29</v>
      </c>
      <c r="B217" s="3" t="s">
        <v>31</v>
      </c>
      <c r="C217" s="3" t="s">
        <v>56</v>
      </c>
      <c r="D217" s="3" t="s">
        <v>56</v>
      </c>
      <c r="E217" s="3" t="s">
        <v>30</v>
      </c>
      <c r="F217" s="6" t="s">
        <v>32</v>
      </c>
      <c r="G217" s="6" t="s">
        <v>30</v>
      </c>
      <c r="H217" s="3" t="s">
        <v>30</v>
      </c>
      <c r="I217" s="3" t="s">
        <v>30</v>
      </c>
      <c r="J217" s="3" t="s">
        <v>30</v>
      </c>
      <c r="K217" s="3" t="s">
        <v>30</v>
      </c>
      <c r="L217" s="3" t="s">
        <v>30</v>
      </c>
      <c r="M217" s="3" t="s">
        <v>0</v>
      </c>
      <c r="N217" s="3" t="s">
        <v>31</v>
      </c>
    </row>
    <row r="219" spans="1:14" x14ac:dyDescent="0.35">
      <c r="A219" s="4" t="s">
        <v>6</v>
      </c>
      <c r="B219" s="5" t="s">
        <v>267</v>
      </c>
      <c r="C219" s="5"/>
      <c r="D219" s="5"/>
    </row>
    <row r="220" spans="1:14" x14ac:dyDescent="0.35">
      <c r="A220" s="4" t="s">
        <v>8</v>
      </c>
      <c r="B220" s="7" t="s">
        <v>268</v>
      </c>
    </row>
    <row r="221" spans="1:14" x14ac:dyDescent="0.35">
      <c r="A221" s="4" t="s">
        <v>10</v>
      </c>
      <c r="B221">
        <v>75066407</v>
      </c>
      <c r="C221" s="3" t="s">
        <v>13</v>
      </c>
      <c r="D221" s="3" t="s">
        <v>13</v>
      </c>
      <c r="E221" s="3" t="s">
        <v>127</v>
      </c>
      <c r="F221" s="6" t="s">
        <v>269</v>
      </c>
      <c r="G221" s="6" t="s">
        <v>255</v>
      </c>
      <c r="H221" s="3" t="s">
        <v>256</v>
      </c>
      <c r="I221" s="3" t="s">
        <v>257</v>
      </c>
      <c r="J221" s="3" t="s">
        <v>258</v>
      </c>
      <c r="K221" s="3" t="s">
        <v>257</v>
      </c>
      <c r="L221" s="3" t="s">
        <v>257</v>
      </c>
      <c r="M221" s="3" t="s">
        <v>259</v>
      </c>
      <c r="N221" s="3" t="s">
        <v>253</v>
      </c>
    </row>
    <row r="222" spans="1:14" x14ac:dyDescent="0.35">
      <c r="A222" s="4" t="s">
        <v>18</v>
      </c>
      <c r="B222" s="3" t="s">
        <v>20</v>
      </c>
      <c r="C222" s="3" t="s">
        <v>260</v>
      </c>
      <c r="D222" s="3" t="s">
        <v>260</v>
      </c>
      <c r="E222" s="3" t="s">
        <v>28</v>
      </c>
      <c r="F222" s="6" t="s">
        <v>261</v>
      </c>
      <c r="G222" s="6" t="s">
        <v>262</v>
      </c>
      <c r="H222" s="3" t="s">
        <v>263</v>
      </c>
      <c r="I222" s="3" t="s">
        <v>264</v>
      </c>
      <c r="J222" s="3" t="s">
        <v>265</v>
      </c>
      <c r="K222" s="3" t="s">
        <v>264</v>
      </c>
      <c r="L222" s="3" t="s">
        <v>264</v>
      </c>
      <c r="M222" s="3" t="s">
        <v>266</v>
      </c>
      <c r="N222" s="3" t="s">
        <v>20</v>
      </c>
    </row>
    <row r="223" spans="1:14" x14ac:dyDescent="0.35">
      <c r="A223" s="4" t="s">
        <v>29</v>
      </c>
      <c r="B223" s="3" t="s">
        <v>31</v>
      </c>
      <c r="C223" s="3" t="s">
        <v>56</v>
      </c>
      <c r="D223" s="3" t="s">
        <v>56</v>
      </c>
      <c r="E223" s="3" t="s">
        <v>30</v>
      </c>
      <c r="F223" s="6" t="s">
        <v>32</v>
      </c>
      <c r="G223" s="6" t="s">
        <v>30</v>
      </c>
      <c r="H223" s="3" t="s">
        <v>30</v>
      </c>
      <c r="I223" s="3" t="s">
        <v>30</v>
      </c>
      <c r="J223" s="3" t="s">
        <v>30</v>
      </c>
      <c r="K223" s="3" t="s">
        <v>30</v>
      </c>
      <c r="L223" s="3" t="s">
        <v>30</v>
      </c>
      <c r="M223" s="3" t="s">
        <v>0</v>
      </c>
      <c r="N223" s="3" t="s">
        <v>31</v>
      </c>
    </row>
    <row r="225" spans="1:14" x14ac:dyDescent="0.35">
      <c r="A225" s="4" t="s">
        <v>6</v>
      </c>
      <c r="B225" s="5" t="s">
        <v>270</v>
      </c>
      <c r="C225" s="5"/>
      <c r="D225" s="5"/>
    </row>
    <row r="226" spans="1:14" x14ac:dyDescent="0.35">
      <c r="A226" s="4" t="s">
        <v>8</v>
      </c>
      <c r="B226" s="7" t="s">
        <v>271</v>
      </c>
    </row>
    <row r="227" spans="1:14" x14ac:dyDescent="0.35">
      <c r="A227" s="4" t="s">
        <v>10</v>
      </c>
      <c r="B227" t="s">
        <v>272</v>
      </c>
      <c r="C227" s="3" t="s">
        <v>13</v>
      </c>
      <c r="D227" s="3" t="s">
        <v>13</v>
      </c>
      <c r="E227" s="3" t="s">
        <v>273</v>
      </c>
      <c r="F227" s="6" t="s">
        <v>254</v>
      </c>
      <c r="G227" s="6" t="s">
        <v>255</v>
      </c>
      <c r="H227" s="3" t="s">
        <v>256</v>
      </c>
      <c r="I227" s="3" t="s">
        <v>257</v>
      </c>
      <c r="J227" s="3" t="s">
        <v>274</v>
      </c>
      <c r="K227" s="3" t="s">
        <v>257</v>
      </c>
      <c r="L227" s="3" t="s">
        <v>257</v>
      </c>
      <c r="M227" s="3" t="s">
        <v>259</v>
      </c>
      <c r="N227" s="3" t="s">
        <v>253</v>
      </c>
    </row>
    <row r="228" spans="1:14" x14ac:dyDescent="0.35">
      <c r="A228" s="4" t="s">
        <v>18</v>
      </c>
      <c r="B228" s="3" t="s">
        <v>20</v>
      </c>
      <c r="C228" s="3" t="s">
        <v>260</v>
      </c>
      <c r="D228" s="3" t="s">
        <v>260</v>
      </c>
      <c r="E228" s="3" t="s">
        <v>28</v>
      </c>
      <c r="F228" s="6" t="s">
        <v>261</v>
      </c>
      <c r="G228" s="6" t="s">
        <v>262</v>
      </c>
      <c r="H228" s="3" t="s">
        <v>263</v>
      </c>
      <c r="I228" s="3" t="s">
        <v>264</v>
      </c>
      <c r="J228" s="3" t="s">
        <v>265</v>
      </c>
      <c r="K228" s="3" t="s">
        <v>264</v>
      </c>
      <c r="L228" s="3" t="s">
        <v>264</v>
      </c>
      <c r="M228" s="3" t="s">
        <v>266</v>
      </c>
      <c r="N228" s="3" t="s">
        <v>20</v>
      </c>
    </row>
    <row r="229" spans="1:14" x14ac:dyDescent="0.35">
      <c r="A229" s="4" t="s">
        <v>29</v>
      </c>
      <c r="B229" s="3" t="s">
        <v>31</v>
      </c>
      <c r="C229" s="3" t="s">
        <v>56</v>
      </c>
      <c r="D229" s="3" t="s">
        <v>56</v>
      </c>
      <c r="E229" s="3" t="s">
        <v>30</v>
      </c>
      <c r="F229" s="6" t="s">
        <v>32</v>
      </c>
      <c r="G229" s="6" t="s">
        <v>30</v>
      </c>
      <c r="H229" s="3" t="s">
        <v>30</v>
      </c>
      <c r="I229" s="3" t="s">
        <v>30</v>
      </c>
      <c r="J229" s="3" t="s">
        <v>30</v>
      </c>
      <c r="K229" s="3" t="s">
        <v>30</v>
      </c>
      <c r="L229" s="3" t="s">
        <v>30</v>
      </c>
      <c r="M229" s="3" t="s">
        <v>0</v>
      </c>
      <c r="N229" s="3" t="s">
        <v>31</v>
      </c>
    </row>
    <row r="231" spans="1:14" x14ac:dyDescent="0.35">
      <c r="A231" s="1" t="s">
        <v>0</v>
      </c>
      <c r="B231" s="2" t="s">
        <v>275</v>
      </c>
      <c r="C231" s="2" t="s">
        <v>2</v>
      </c>
      <c r="D231" s="2" t="s">
        <v>276</v>
      </c>
      <c r="E231" s="11" t="s">
        <v>161</v>
      </c>
      <c r="F231" s="2" t="s">
        <v>5</v>
      </c>
      <c r="G231" s="2" t="str">
        <f>VLOOKUP(B231,[1]Hoja1!B:D,3,0)</f>
        <v>Garantías y custodia</v>
      </c>
    </row>
    <row r="232" spans="1:14" x14ac:dyDescent="0.35">
      <c r="A232" s="4" t="s">
        <v>6</v>
      </c>
      <c r="B232" s="5"/>
      <c r="C232" s="5"/>
      <c r="D232" s="5"/>
    </row>
    <row r="233" spans="1:14" x14ac:dyDescent="0.35">
      <c r="A233" s="4" t="s">
        <v>8</v>
      </c>
      <c r="B233" s="7"/>
      <c r="C233" s="6"/>
    </row>
    <row r="234" spans="1:14" x14ac:dyDescent="0.35">
      <c r="A234" s="4" t="s">
        <v>10</v>
      </c>
      <c r="C234" s="6"/>
      <c r="D234" s="3"/>
    </row>
    <row r="235" spans="1:14" x14ac:dyDescent="0.35">
      <c r="A235" s="4" t="s">
        <v>18</v>
      </c>
      <c r="C235" s="6"/>
      <c r="D235" s="3"/>
    </row>
    <row r="236" spans="1:14" x14ac:dyDescent="0.35">
      <c r="A236" s="4" t="s">
        <v>29</v>
      </c>
    </row>
    <row r="238" spans="1:14" x14ac:dyDescent="0.35">
      <c r="A238" s="4" t="s">
        <v>6</v>
      </c>
      <c r="B238" s="5"/>
      <c r="C238" s="5"/>
      <c r="D238" s="5"/>
    </row>
    <row r="239" spans="1:14" x14ac:dyDescent="0.35">
      <c r="A239" s="4" t="s">
        <v>8</v>
      </c>
      <c r="B239" s="7"/>
      <c r="C239" s="6"/>
    </row>
    <row r="240" spans="1:14" x14ac:dyDescent="0.35">
      <c r="A240" s="4" t="s">
        <v>10</v>
      </c>
    </row>
    <row r="241" spans="1:12" x14ac:dyDescent="0.35">
      <c r="A241" s="4" t="s">
        <v>18</v>
      </c>
    </row>
    <row r="242" spans="1:12" x14ac:dyDescent="0.35">
      <c r="A242" s="4" t="s">
        <v>29</v>
      </c>
    </row>
    <row r="244" spans="1:12" x14ac:dyDescent="0.35">
      <c r="A244" s="4" t="s">
        <v>6</v>
      </c>
      <c r="B244" s="5"/>
      <c r="C244" s="5"/>
      <c r="D244" s="5"/>
    </row>
    <row r="245" spans="1:12" x14ac:dyDescent="0.35">
      <c r="A245" s="4" t="s">
        <v>8</v>
      </c>
      <c r="B245" s="7"/>
      <c r="C245" s="6"/>
    </row>
    <row r="246" spans="1:12" x14ac:dyDescent="0.35">
      <c r="A246" s="4" t="s">
        <v>10</v>
      </c>
    </row>
    <row r="247" spans="1:12" x14ac:dyDescent="0.35">
      <c r="A247" s="4" t="s">
        <v>18</v>
      </c>
    </row>
    <row r="248" spans="1:12" x14ac:dyDescent="0.35">
      <c r="A248" s="4" t="s">
        <v>29</v>
      </c>
    </row>
    <row r="250" spans="1:12" x14ac:dyDescent="0.35">
      <c r="A250" s="1" t="s">
        <v>0</v>
      </c>
      <c r="B250" s="2" t="s">
        <v>277</v>
      </c>
      <c r="C250" s="2" t="s">
        <v>2</v>
      </c>
      <c r="D250" s="2" t="s">
        <v>278</v>
      </c>
      <c r="F250" s="2" t="s">
        <v>5</v>
      </c>
      <c r="G250" s="2" t="str">
        <f>VLOOKUP(B250,[1]Hoja1!B:D,3,0)</f>
        <v>Judicial Condonación y Castigo</v>
      </c>
    </row>
    <row r="251" spans="1:12" x14ac:dyDescent="0.35">
      <c r="A251" s="4" t="s">
        <v>6</v>
      </c>
      <c r="B251" s="5" t="s">
        <v>279</v>
      </c>
      <c r="C251" s="5"/>
      <c r="D251" s="5"/>
    </row>
    <row r="252" spans="1:12" x14ac:dyDescent="0.35">
      <c r="A252" s="4" t="s">
        <v>8</v>
      </c>
      <c r="B252" s="7" t="s">
        <v>280</v>
      </c>
      <c r="C252" s="6"/>
    </row>
    <row r="253" spans="1:12" x14ac:dyDescent="0.35">
      <c r="A253" s="4" t="s">
        <v>10</v>
      </c>
      <c r="B253" s="3" t="s">
        <v>281</v>
      </c>
      <c r="C253" s="3">
        <v>47706811</v>
      </c>
      <c r="D253" s="6" t="s">
        <v>282</v>
      </c>
      <c r="E253" s="3" t="s">
        <v>283</v>
      </c>
      <c r="F253" s="6">
        <v>846</v>
      </c>
      <c r="G253" s="6" t="s">
        <v>284</v>
      </c>
      <c r="H253" s="3" t="s">
        <v>285</v>
      </c>
      <c r="I253" s="3" t="s">
        <v>286</v>
      </c>
      <c r="J253" s="3" t="s">
        <v>287</v>
      </c>
      <c r="K253" s="3" t="s">
        <v>288</v>
      </c>
      <c r="L253" s="3">
        <v>260416000</v>
      </c>
    </row>
    <row r="254" spans="1:12" x14ac:dyDescent="0.35">
      <c r="A254" s="4" t="s">
        <v>18</v>
      </c>
      <c r="B254" s="3" t="s">
        <v>289</v>
      </c>
      <c r="C254" s="3" t="s">
        <v>20</v>
      </c>
      <c r="D254" s="6" t="s">
        <v>53</v>
      </c>
      <c r="E254" s="3" t="s">
        <v>55</v>
      </c>
      <c r="F254" s="6" t="s">
        <v>27</v>
      </c>
      <c r="G254" s="6" t="s">
        <v>98</v>
      </c>
      <c r="H254" s="3" t="s">
        <v>237</v>
      </c>
      <c r="I254" s="3" t="s">
        <v>238</v>
      </c>
      <c r="J254" s="3" t="s">
        <v>290</v>
      </c>
      <c r="K254" s="3" t="s">
        <v>289</v>
      </c>
      <c r="L254" s="3" t="s">
        <v>291</v>
      </c>
    </row>
    <row r="255" spans="1:12" x14ac:dyDescent="0.35">
      <c r="A255" s="4" t="s">
        <v>29</v>
      </c>
      <c r="B255" s="3" t="s">
        <v>30</v>
      </c>
      <c r="C255" s="3" t="s">
        <v>31</v>
      </c>
      <c r="D255" s="6" t="s">
        <v>292</v>
      </c>
      <c r="E255" s="3" t="s">
        <v>293</v>
      </c>
      <c r="F255" s="6" t="s">
        <v>32</v>
      </c>
      <c r="G255" s="6" t="s">
        <v>240</v>
      </c>
      <c r="H255" s="3" t="s">
        <v>294</v>
      </c>
      <c r="I255" s="3" t="s">
        <v>295</v>
      </c>
      <c r="J255" s="3" t="s">
        <v>296</v>
      </c>
      <c r="K255" s="3" t="s">
        <v>30</v>
      </c>
      <c r="L255" s="3" t="s">
        <v>30</v>
      </c>
    </row>
    <row r="257" spans="1:12" x14ac:dyDescent="0.35">
      <c r="A257" s="4" t="s">
        <v>6</v>
      </c>
      <c r="B257" s="5" t="s">
        <v>297</v>
      </c>
      <c r="C257" s="5"/>
      <c r="D257" s="5"/>
    </row>
    <row r="258" spans="1:12" x14ac:dyDescent="0.35">
      <c r="A258" s="4" t="s">
        <v>8</v>
      </c>
      <c r="B258" s="7" t="s">
        <v>298</v>
      </c>
      <c r="C258" s="6"/>
    </row>
    <row r="259" spans="1:12" x14ac:dyDescent="0.35">
      <c r="A259" s="4" t="s">
        <v>10</v>
      </c>
      <c r="B259" s="3" t="s">
        <v>281</v>
      </c>
      <c r="C259" s="3">
        <v>47651226</v>
      </c>
      <c r="D259" s="6" t="s">
        <v>282</v>
      </c>
      <c r="E259" s="3" t="s">
        <v>1</v>
      </c>
      <c r="F259" s="6">
        <v>205</v>
      </c>
      <c r="G259" s="6" t="s">
        <v>284</v>
      </c>
      <c r="H259" s="3" t="s">
        <v>285</v>
      </c>
      <c r="I259" s="3" t="s">
        <v>286</v>
      </c>
      <c r="J259" s="3" t="s">
        <v>299</v>
      </c>
      <c r="K259" s="3" t="s">
        <v>288</v>
      </c>
      <c r="L259" s="3">
        <v>260416000</v>
      </c>
    </row>
    <row r="260" spans="1:12" x14ac:dyDescent="0.35">
      <c r="A260" s="4" t="s">
        <v>18</v>
      </c>
      <c r="B260" s="3" t="s">
        <v>289</v>
      </c>
      <c r="C260" s="3" t="s">
        <v>20</v>
      </c>
      <c r="D260" s="6" t="s">
        <v>53</v>
      </c>
      <c r="E260" s="3" t="s">
        <v>55</v>
      </c>
      <c r="F260" s="6" t="s">
        <v>27</v>
      </c>
      <c r="G260" s="6" t="s">
        <v>98</v>
      </c>
      <c r="H260" s="3" t="s">
        <v>237</v>
      </c>
      <c r="I260" s="3" t="s">
        <v>238</v>
      </c>
      <c r="J260" s="3" t="s">
        <v>290</v>
      </c>
      <c r="K260" s="3" t="s">
        <v>289</v>
      </c>
      <c r="L260" s="3" t="s">
        <v>291</v>
      </c>
    </row>
    <row r="261" spans="1:12" x14ac:dyDescent="0.35">
      <c r="A261" s="4" t="s">
        <v>29</v>
      </c>
      <c r="B261" s="3" t="s">
        <v>30</v>
      </c>
      <c r="C261" s="3" t="s">
        <v>31</v>
      </c>
      <c r="D261" s="6" t="s">
        <v>292</v>
      </c>
      <c r="E261" s="3" t="s">
        <v>293</v>
      </c>
      <c r="F261" s="6" t="s">
        <v>32</v>
      </c>
      <c r="G261" s="6" t="s">
        <v>240</v>
      </c>
      <c r="H261" s="3" t="s">
        <v>294</v>
      </c>
      <c r="I261" s="3" t="s">
        <v>295</v>
      </c>
      <c r="J261" s="3" t="s">
        <v>296</v>
      </c>
      <c r="K261" s="3" t="s">
        <v>30</v>
      </c>
      <c r="L261" s="3" t="s">
        <v>30</v>
      </c>
    </row>
    <row r="263" spans="1:12" x14ac:dyDescent="0.35">
      <c r="A263" s="4" t="s">
        <v>6</v>
      </c>
      <c r="B263" s="5" t="s">
        <v>300</v>
      </c>
      <c r="C263" s="5"/>
      <c r="D263" s="5"/>
    </row>
    <row r="264" spans="1:12" x14ac:dyDescent="0.35">
      <c r="A264" s="4" t="s">
        <v>8</v>
      </c>
      <c r="B264" s="7" t="s">
        <v>301</v>
      </c>
      <c r="C264" s="6"/>
    </row>
    <row r="265" spans="1:12" x14ac:dyDescent="0.35">
      <c r="A265" s="4" t="s">
        <v>10</v>
      </c>
      <c r="B265" s="3" t="s">
        <v>281</v>
      </c>
      <c r="C265" s="3">
        <v>47683862</v>
      </c>
      <c r="D265" s="6" t="s">
        <v>282</v>
      </c>
      <c r="E265" s="3" t="s">
        <v>283</v>
      </c>
      <c r="F265" s="6">
        <v>852</v>
      </c>
      <c r="G265" s="6" t="s">
        <v>284</v>
      </c>
      <c r="H265" s="3" t="s">
        <v>285</v>
      </c>
      <c r="I265" s="3" t="s">
        <v>286</v>
      </c>
      <c r="J265" s="3" t="s">
        <v>287</v>
      </c>
      <c r="K265" s="3" t="s">
        <v>288</v>
      </c>
      <c r="L265" s="3">
        <v>260416000</v>
      </c>
    </row>
    <row r="266" spans="1:12" x14ac:dyDescent="0.35">
      <c r="A266" s="4" t="s">
        <v>18</v>
      </c>
      <c r="B266" s="3" t="s">
        <v>289</v>
      </c>
      <c r="C266" s="3" t="s">
        <v>20</v>
      </c>
      <c r="D266" s="6" t="s">
        <v>53</v>
      </c>
      <c r="E266" s="3" t="s">
        <v>55</v>
      </c>
      <c r="F266" s="6" t="s">
        <v>27</v>
      </c>
      <c r="G266" s="6" t="s">
        <v>98</v>
      </c>
      <c r="H266" s="3" t="s">
        <v>237</v>
      </c>
      <c r="I266" s="3" t="s">
        <v>238</v>
      </c>
      <c r="J266" s="3" t="s">
        <v>290</v>
      </c>
      <c r="K266" s="3" t="s">
        <v>289</v>
      </c>
      <c r="L266" s="3" t="s">
        <v>291</v>
      </c>
    </row>
    <row r="267" spans="1:12" x14ac:dyDescent="0.35">
      <c r="A267" s="4" t="s">
        <v>29</v>
      </c>
      <c r="B267" s="3" t="s">
        <v>30</v>
      </c>
      <c r="C267" s="3" t="s">
        <v>31</v>
      </c>
      <c r="D267" s="6" t="s">
        <v>292</v>
      </c>
      <c r="E267" s="3" t="s">
        <v>293</v>
      </c>
      <c r="F267" s="6" t="s">
        <v>32</v>
      </c>
      <c r="G267" s="6" t="s">
        <v>240</v>
      </c>
      <c r="H267" s="3" t="s">
        <v>294</v>
      </c>
      <c r="I267" s="3" t="s">
        <v>295</v>
      </c>
      <c r="J267" s="3" t="s">
        <v>296</v>
      </c>
      <c r="K267" s="3" t="s">
        <v>30</v>
      </c>
      <c r="L267" s="3" t="s">
        <v>30</v>
      </c>
    </row>
    <row r="269" spans="1:12" x14ac:dyDescent="0.35">
      <c r="A269" s="1" t="s">
        <v>0</v>
      </c>
      <c r="B269" s="2" t="s">
        <v>302</v>
      </c>
      <c r="C269" s="2" t="s">
        <v>2</v>
      </c>
      <c r="D269" s="2" t="s">
        <v>303</v>
      </c>
      <c r="E269" s="2" t="s">
        <v>304</v>
      </c>
      <c r="F269" s="2" t="s">
        <v>5</v>
      </c>
      <c r="G269" s="2" t="str">
        <f>VLOOKUP(B269,[1]Hoja1!B:D,3,0)</f>
        <v>Hipotecario y créditos de consumo</v>
      </c>
    </row>
    <row r="270" spans="1:12" x14ac:dyDescent="0.35">
      <c r="A270" s="4" t="s">
        <v>6</v>
      </c>
      <c r="B270" s="5" t="s">
        <v>305</v>
      </c>
      <c r="C270" s="5"/>
      <c r="D270" s="5"/>
    </row>
    <row r="271" spans="1:12" x14ac:dyDescent="0.35">
      <c r="A271" s="4" t="s">
        <v>8</v>
      </c>
      <c r="B271" s="7" t="s">
        <v>306</v>
      </c>
      <c r="C271" s="6"/>
    </row>
    <row r="272" spans="1:12" s="3" customFormat="1" x14ac:dyDescent="0.35">
      <c r="A272" s="16" t="s">
        <v>10</v>
      </c>
      <c r="B272" s="17" t="s">
        <v>307</v>
      </c>
      <c r="C272" s="17" t="s">
        <v>308</v>
      </c>
      <c r="D272" s="17" t="s">
        <v>309</v>
      </c>
      <c r="E272" s="17" t="s">
        <v>310</v>
      </c>
      <c r="F272" s="17" t="s">
        <v>13</v>
      </c>
      <c r="G272" s="17" t="s">
        <v>311</v>
      </c>
      <c r="H272" s="17" t="s">
        <v>312</v>
      </c>
      <c r="I272" s="17" t="s">
        <v>313</v>
      </c>
      <c r="J272" s="17" t="s">
        <v>302</v>
      </c>
    </row>
    <row r="273" spans="1:10" x14ac:dyDescent="0.35">
      <c r="A273" s="4" t="s">
        <v>18</v>
      </c>
      <c r="B273" s="3" t="s">
        <v>53</v>
      </c>
      <c r="C273" s="3" t="s">
        <v>314</v>
      </c>
      <c r="D273" s="6" t="s">
        <v>28</v>
      </c>
      <c r="E273" s="3" t="s">
        <v>238</v>
      </c>
      <c r="F273" s="6" t="s">
        <v>28</v>
      </c>
      <c r="G273" s="6" t="s">
        <v>55</v>
      </c>
      <c r="H273" s="3" t="s">
        <v>27</v>
      </c>
      <c r="I273" s="3" t="s">
        <v>19</v>
      </c>
      <c r="J273" s="3" t="s">
        <v>315</v>
      </c>
    </row>
    <row r="274" spans="1:10" x14ac:dyDescent="0.35">
      <c r="A274" s="4" t="s">
        <v>29</v>
      </c>
      <c r="B274" s="3" t="s">
        <v>176</v>
      </c>
      <c r="C274" s="3" t="s">
        <v>31</v>
      </c>
      <c r="D274" s="6" t="s">
        <v>30</v>
      </c>
      <c r="E274" s="3" t="s">
        <v>316</v>
      </c>
      <c r="F274" s="6" t="s">
        <v>30</v>
      </c>
      <c r="G274" s="6" t="s">
        <v>101</v>
      </c>
      <c r="H274" s="3" t="s">
        <v>32</v>
      </c>
      <c r="I274" s="3" t="s">
        <v>30</v>
      </c>
      <c r="J274" s="3" t="s">
        <v>217</v>
      </c>
    </row>
    <row r="276" spans="1:10" x14ac:dyDescent="0.35">
      <c r="A276" s="4" t="s">
        <v>6</v>
      </c>
      <c r="B276" s="5" t="s">
        <v>317</v>
      </c>
      <c r="C276" s="5"/>
      <c r="D276" s="5"/>
    </row>
    <row r="277" spans="1:10" x14ac:dyDescent="0.35">
      <c r="A277" s="4" t="s">
        <v>8</v>
      </c>
      <c r="B277" s="7" t="s">
        <v>318</v>
      </c>
      <c r="C277" s="6"/>
    </row>
    <row r="278" spans="1:10" x14ac:dyDescent="0.35">
      <c r="A278" s="4" t="s">
        <v>10</v>
      </c>
      <c r="B278" s="3" t="s">
        <v>319</v>
      </c>
      <c r="C278" t="s">
        <v>320</v>
      </c>
      <c r="D278" s="6" t="s">
        <v>321</v>
      </c>
      <c r="E278" s="3" t="s">
        <v>310</v>
      </c>
      <c r="F278" s="6" t="s">
        <v>13</v>
      </c>
      <c r="G278" s="18" t="s">
        <v>170</v>
      </c>
      <c r="H278" t="s">
        <v>322</v>
      </c>
      <c r="I278" t="s">
        <v>323</v>
      </c>
      <c r="J278" s="3" t="s">
        <v>302</v>
      </c>
    </row>
    <row r="279" spans="1:10" x14ac:dyDescent="0.35">
      <c r="A279" s="4" t="s">
        <v>18</v>
      </c>
      <c r="B279" s="3" t="s">
        <v>53</v>
      </c>
      <c r="C279" s="3" t="s">
        <v>314</v>
      </c>
      <c r="D279" s="6" t="s">
        <v>28</v>
      </c>
      <c r="E279" s="3" t="s">
        <v>238</v>
      </c>
      <c r="F279" s="6" t="s">
        <v>28</v>
      </c>
      <c r="G279" s="6" t="s">
        <v>55</v>
      </c>
      <c r="H279" s="3" t="s">
        <v>27</v>
      </c>
      <c r="I279" s="3" t="s">
        <v>19</v>
      </c>
      <c r="J279" s="3" t="s">
        <v>315</v>
      </c>
    </row>
    <row r="280" spans="1:10" x14ac:dyDescent="0.35">
      <c r="A280" s="4" t="s">
        <v>29</v>
      </c>
      <c r="B280" s="3" t="s">
        <v>176</v>
      </c>
      <c r="C280" s="3" t="s">
        <v>31</v>
      </c>
      <c r="D280" s="6" t="s">
        <v>30</v>
      </c>
      <c r="E280" s="3" t="s">
        <v>316</v>
      </c>
      <c r="F280" s="6" t="s">
        <v>30</v>
      </c>
      <c r="G280" s="6" t="s">
        <v>101</v>
      </c>
      <c r="H280" s="3" t="s">
        <v>32</v>
      </c>
      <c r="I280" s="3" t="s">
        <v>30</v>
      </c>
      <c r="J280" s="3" t="s">
        <v>217</v>
      </c>
    </row>
    <row r="282" spans="1:10" x14ac:dyDescent="0.35">
      <c r="A282" s="4" t="s">
        <v>6</v>
      </c>
      <c r="B282" s="5" t="s">
        <v>324</v>
      </c>
      <c r="C282" s="5"/>
      <c r="D282" s="5"/>
    </row>
    <row r="283" spans="1:10" x14ac:dyDescent="0.35">
      <c r="A283" s="4" t="s">
        <v>8</v>
      </c>
      <c r="B283" s="7" t="s">
        <v>325</v>
      </c>
      <c r="C283" s="6"/>
    </row>
    <row r="284" spans="1:10" x14ac:dyDescent="0.35">
      <c r="A284" s="4" t="s">
        <v>10</v>
      </c>
      <c r="B284" s="3" t="s">
        <v>319</v>
      </c>
      <c r="C284" s="3" t="s">
        <v>326</v>
      </c>
      <c r="D284" s="6" t="s">
        <v>52</v>
      </c>
      <c r="E284" s="3" t="s">
        <v>310</v>
      </c>
      <c r="F284" s="6" t="s">
        <v>13</v>
      </c>
      <c r="G284" s="6" t="s">
        <v>170</v>
      </c>
      <c r="H284" s="3" t="s">
        <v>327</v>
      </c>
      <c r="I284" s="3" t="s">
        <v>323</v>
      </c>
      <c r="J284" s="3" t="s">
        <v>302</v>
      </c>
    </row>
    <row r="285" spans="1:10" x14ac:dyDescent="0.35">
      <c r="A285" s="4" t="s">
        <v>18</v>
      </c>
      <c r="B285" s="3" t="s">
        <v>53</v>
      </c>
      <c r="C285" s="3" t="s">
        <v>20</v>
      </c>
      <c r="D285" s="6" t="s">
        <v>28</v>
      </c>
      <c r="E285" t="s">
        <v>238</v>
      </c>
      <c r="F285" s="6" t="s">
        <v>28</v>
      </c>
      <c r="G285" t="s">
        <v>22</v>
      </c>
      <c r="H285" s="3" t="s">
        <v>27</v>
      </c>
      <c r="I285" s="3" t="s">
        <v>19</v>
      </c>
      <c r="J285" s="3" t="s">
        <v>315</v>
      </c>
    </row>
    <row r="286" spans="1:10" x14ac:dyDescent="0.35">
      <c r="A286" s="4" t="s">
        <v>29</v>
      </c>
      <c r="B286" s="3" t="s">
        <v>176</v>
      </c>
      <c r="C286" s="3" t="s">
        <v>31</v>
      </c>
      <c r="D286" s="6" t="s">
        <v>30</v>
      </c>
      <c r="E286" s="3" t="s">
        <v>316</v>
      </c>
      <c r="F286" s="6" t="s">
        <v>30</v>
      </c>
      <c r="G286" s="6" t="s">
        <v>101</v>
      </c>
      <c r="H286" s="3" t="s">
        <v>32</v>
      </c>
      <c r="I286" s="3" t="s">
        <v>30</v>
      </c>
      <c r="J286" s="3" t="s">
        <v>217</v>
      </c>
    </row>
  </sheetData>
  <mergeCells count="45">
    <mergeCell ref="B270:D270"/>
    <mergeCell ref="B276:D276"/>
    <mergeCell ref="B282:D282"/>
    <mergeCell ref="B232:D232"/>
    <mergeCell ref="B238:D238"/>
    <mergeCell ref="B244:D244"/>
    <mergeCell ref="B251:D251"/>
    <mergeCell ref="B257:D257"/>
    <mergeCell ref="B263:D263"/>
    <mergeCell ref="B194:D194"/>
    <mergeCell ref="B200:D200"/>
    <mergeCell ref="B206:D206"/>
    <mergeCell ref="B213:D213"/>
    <mergeCell ref="B219:D219"/>
    <mergeCell ref="B225:D225"/>
    <mergeCell ref="B156:D156"/>
    <mergeCell ref="B162:D162"/>
    <mergeCell ref="B168:D168"/>
    <mergeCell ref="B175:D175"/>
    <mergeCell ref="B181:D181"/>
    <mergeCell ref="B187:D187"/>
    <mergeCell ref="B117:D117"/>
    <mergeCell ref="B123:D123"/>
    <mergeCell ref="B129:D129"/>
    <mergeCell ref="B137:D137"/>
    <mergeCell ref="B143:D143"/>
    <mergeCell ref="B149:D149"/>
    <mergeCell ref="B79:D79"/>
    <mergeCell ref="B85:D85"/>
    <mergeCell ref="B91:D91"/>
    <mergeCell ref="B98:D98"/>
    <mergeCell ref="B104:D104"/>
    <mergeCell ref="B110:D110"/>
    <mergeCell ref="B41:D41"/>
    <mergeCell ref="B47:D47"/>
    <mergeCell ref="B53:D53"/>
    <mergeCell ref="B60:D60"/>
    <mergeCell ref="B66:D66"/>
    <mergeCell ref="B72:D72"/>
    <mergeCell ref="B3:D3"/>
    <mergeCell ref="B9:D9"/>
    <mergeCell ref="B15:D15"/>
    <mergeCell ref="B22:D22"/>
    <mergeCell ref="B28:D28"/>
    <mergeCell ref="B34:D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MANAGEMENT SOLUTIONS.Pachas Negron, Sebastian Ignacio</dc:creator>
  <cp:lastModifiedBy>MANAGEMENT SOLUTIONS.Pachas Negron, Sebastian Ignacio</cp:lastModifiedBy>
  <dcterms:created xsi:type="dcterms:W3CDTF">2026-06-02T01:18:47Z</dcterms:created>
  <dcterms:modified xsi:type="dcterms:W3CDTF">2026-06-02T01:19:07Z</dcterms:modified>
</cp:coreProperties>
</file>