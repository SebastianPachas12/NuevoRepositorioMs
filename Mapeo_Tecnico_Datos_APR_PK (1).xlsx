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terbankpe-my.sharepoint.com/personal/spachasn_proveedor_intercorp_com_pe/Documents/1. IBK/9. Modelo de Datos/"/>
    </mc:Choice>
  </mc:AlternateContent>
  <xr:revisionPtr revIDLastSave="1392" documentId="11_9FA4DA8BF2CAA8589C4193B8B9EB3CC7DF8D827B" xr6:coauthVersionLast="47" xr6:coauthVersionMax="47" xr10:uidLastSave="{F692FD28-B8EA-4023-84F5-07D171EA6EC2}"/>
  <bookViews>
    <workbookView xWindow="-80" yWindow="-80" windowWidth="19360" windowHeight="10240" activeTab="3" xr2:uid="{00000000-000D-0000-FFFF-FFFF00000000}"/>
  </bookViews>
  <sheets>
    <sheet name="PK" sheetId="9" r:id="rId1"/>
    <sheet name="Incidencias" sheetId="4" r:id="rId2"/>
    <sheet name="Validaciones Aplicativos" sheetId="8" r:id="rId3"/>
    <sheet name="Nuevas Incidencias" sheetId="10" r:id="rId4"/>
  </sheets>
  <definedNames>
    <definedName name="_xlnm._FilterDatabase" localSheetId="1" hidden="1">Incidencias!$A$1:$I$1</definedName>
    <definedName name="_xlnm._FilterDatabase" localSheetId="2" hidden="1">'Validaciones Aplicativos'!$A$1:$C$1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<sst xmlns="http://schemas.openxmlformats.org/spreadsheetml/2006/main" count="874" uniqueCount="322">
  <si>
    <t>APLICATIVO</t>
  </si>
  <si>
    <t>TABLA</t>
  </si>
  <si>
    <t>PRODUCTOS</t>
  </si>
  <si>
    <t>CAMPO</t>
  </si>
  <si>
    <t>PK</t>
  </si>
  <si>
    <t>TIPO DATO</t>
  </si>
  <si>
    <t>DESCRIPCION</t>
  </si>
  <si>
    <t>VALORES PERMITIDOS</t>
  </si>
  <si>
    <t>CONSIDERACIONES (CASUISTICAS)</t>
  </si>
  <si>
    <t>ESTADO MS</t>
  </si>
  <si>
    <t>VALIDADO USUARIO</t>
  </si>
  <si>
    <t>$IM</t>
  </si>
  <si>
    <t>RNT.T_APRRINT_$IM_TMP</t>
  </si>
  <si>
    <t>Cuentas Corrientes </t>
  </si>
  <si>
    <t>P01_NU_DOCU</t>
  </si>
  <si>
    <t>PK1</t>
  </si>
  <si>
    <t>VARCHAR2(10)</t>
  </si>
  <si>
    <t>Número de Documento/Contrato</t>
  </si>
  <si>
    <t>Numeros de documento o contrato</t>
  </si>
  <si>
    <t>-</t>
  </si>
  <si>
    <t>Validado</t>
  </si>
  <si>
    <t>Cuadra Completamente</t>
  </si>
  <si>
    <t>Pendiente</t>
  </si>
  <si>
    <t>P01_ID_CAMP_02</t>
  </si>
  <si>
    <t>PK2</t>
  </si>
  <si>
    <t>VARCHAR2(4 BYTE)</t>
  </si>
  <si>
    <t>Grupo-LlaveAPR</t>
  </si>
  <si>
    <t>01-Sobregiro
10-Avance en Cuenta
20-Interés en Suspenso
30-Mantenimiento
40-Inactivas</t>
  </si>
  <si>
    <t>P01_CCTB</t>
  </si>
  <si>
    <t>PK3</t>
  </si>
  <si>
    <t>VARCHAR2(14 BYTE)</t>
  </si>
  <si>
    <t>Cuenta Contable</t>
  </si>
  <si>
    <t>Cuentas contables</t>
  </si>
  <si>
    <t>P01_CTRL02</t>
  </si>
  <si>
    <t>PK4</t>
  </si>
  <si>
    <t>Moneda</t>
  </si>
  <si>
    <t>001-PEN
010-USD</t>
  </si>
  <si>
    <t>$ST</t>
  </si>
  <si>
    <t>RNT.T_APRRINT_$ST_TMP</t>
  </si>
  <si>
    <t>Ahorros
Plazo fijo
Certificados bancarios
Etc</t>
  </si>
  <si>
    <t>Numero del documento/Contrato</t>
  </si>
  <si>
    <t>Validado Parcial</t>
  </si>
  <si>
    <t>VARCHAR2(14)</t>
  </si>
  <si>
    <t>P01_NU_SECU</t>
  </si>
  <si>
    <t>NUMBER(1)</t>
  </si>
  <si>
    <t>Numero secuencial</t>
  </si>
  <si>
    <t>BKT</t>
  </si>
  <si>
    <t>RNT.T_APRRINT_BKT_TMP</t>
  </si>
  <si>
    <t>Carta de Crédito de Exportaciones/Importaciones
Cobranza de Exportaciones/Importaciones</t>
  </si>
  <si>
    <t>VARCHAR2(10 BYTE)</t>
  </si>
  <si>
    <t>01-PEN
10-USD
15-EUR</t>
  </si>
  <si>
    <t>SAT</t>
  </si>
  <si>
    <t>RNT.T_APRRINT_CDO_TMP</t>
  </si>
  <si>
    <t>Tarjetas de Crédito</t>
  </si>
  <si>
    <t xml:space="preserve">P01_CCTB </t>
  </si>
  <si>
    <t>01-PEN
10-USD</t>
  </si>
  <si>
    <t>HPC</t>
  </si>
  <si>
    <t>RNT.T_APRRINT_CNS_TMP</t>
  </si>
  <si>
    <t>Créditos (consumo, vehicular, etc)</t>
  </si>
  <si>
    <t>Cuadra Parcialmente</t>
  </si>
  <si>
    <t>RNT.T_APRRINT_HIP_TMP</t>
  </si>
  <si>
    <t>Créditos Hipotecarios</t>
  </si>
  <si>
    <t xml:space="preserve">Falta validar casuistica de mi vivienda </t>
  </si>
  <si>
    <t>FCD</t>
  </si>
  <si>
    <t>RNT.T_APRRINT_FCD_TMP</t>
  </si>
  <si>
    <t>Financiamiento y Cobranza de documentos</t>
  </si>
  <si>
    <t xml:space="preserve">En algunos registros del aplicativo no tienen cuenta contable, pero para el mismo contrato y cliente en la tabla de saldos si que tiene cuenta contable </t>
  </si>
  <si>
    <t>FMU</t>
  </si>
  <si>
    <t>RNT.T_APRRINT_FMU_TMP</t>
  </si>
  <si>
    <t>Fondos Mutuos de Inversión</t>
  </si>
  <si>
    <t>JCC</t>
  </si>
  <si>
    <t>RNT.T_APRRINT_JCC_TMP</t>
  </si>
  <si>
    <t>Judicial Condonación o Castigo</t>
  </si>
  <si>
    <t>LIC</t>
  </si>
  <si>
    <t>RNT.T_APRRINT_LIC_TMP</t>
  </si>
  <si>
    <t>Créditos de consumo por convenio</t>
  </si>
  <si>
    <t>RNT.T_APRRINT_LID_TMP</t>
  </si>
  <si>
    <t>Para un mismo contrato, cliente tienen una cuenta contable en la tabla de aplicativos y otra cuenta contable en la tabla de saldos</t>
  </si>
  <si>
    <t>LPC</t>
  </si>
  <si>
    <t>RNT.T_APRRINT_LPC_TMP</t>
  </si>
  <si>
    <t>Leasing y pagares en cuotas</t>
  </si>
  <si>
    <t>MYP</t>
  </si>
  <si>
    <t>RNT.T_APRRINT_MYP_TMP</t>
  </si>
  <si>
    <t>Micro pequeña empresa</t>
  </si>
  <si>
    <t>Para un mismo cliente y contrato tienen 2 registros en la tabla de aplicativos con 2 cuentas contables y en la tabla de saldos solo tenemos una cuenta contable con su saldo, el otro registro no existe</t>
  </si>
  <si>
    <t>PPA</t>
  </si>
  <si>
    <t>RNT.T_APRRINT_PPA_TMP</t>
  </si>
  <si>
    <t>Pago Activos</t>
  </si>
  <si>
    <t>No hay el aplicativo en la tabla de saldos diarios</t>
  </si>
  <si>
    <t>PRO</t>
  </si>
  <si>
    <t>RNT.T_APRRINT_PRO_TMP</t>
  </si>
  <si>
    <t>Provisiones</t>
  </si>
  <si>
    <t>SCF</t>
  </si>
  <si>
    <t>RNT.T_APRRINT_SCF_TMP</t>
  </si>
  <si>
    <t>Sistema de Carta Fianza</t>
  </si>
  <si>
    <t>WBC</t>
  </si>
  <si>
    <t>RNT.T_APRRINT_WBC_TMP</t>
  </si>
  <si>
    <t>Workflow banca comercial</t>
  </si>
  <si>
    <t>MDC_MRX</t>
  </si>
  <si>
    <t>RNT.T_APRRINT_MDC_TMP</t>
  </si>
  <si>
    <t>Tesorería</t>
  </si>
  <si>
    <t>GAC</t>
  </si>
  <si>
    <t>RNT.T_APRRINT_GAC_TMP</t>
  </si>
  <si>
    <t>Garantías y Coberturas</t>
  </si>
  <si>
    <t>ID INCIDENCIA</t>
  </si>
  <si>
    <t>CAMPO(S)</t>
  </si>
  <si>
    <t>DESCRIPCIÓN</t>
  </si>
  <si>
    <t>QUERY</t>
  </si>
  <si>
    <t>Respuesta</t>
  </si>
  <si>
    <t>Acuerdos de la sesion</t>
  </si>
  <si>
    <t>Estado</t>
  </si>
  <si>
    <t>Responsable-Respuesta</t>
  </si>
  <si>
    <t>COD0001</t>
  </si>
  <si>
    <t>RNT.T_INC_FMOVCON_TMP</t>
  </si>
  <si>
    <t>TODAS_LAS_COLUMNAS (*)</t>
  </si>
  <si>
    <t>Se ha encontrado dentro de la tabla movcon, que hace referencia a los movimientos contables registros repetidos, este registro esta repetido o sigue alguna lógica de sumar los 2 registros, etc. Ya que hasta los montos coinciden.</t>
  </si>
  <si>
    <t>SELECT * FROM RNT.T_INC_FMOVCON_TMP WHERE FM_CUENTA_CONTABLE = '51040103020146' AND FM_CLIENTE = '00000012479631'</t>
  </si>
  <si>
    <t>El mensaje fue trasladado por Martin Sarachaga al equipo de EBS, pero sin respuesta por parte de este equipo</t>
  </si>
  <si>
    <t>Se resalto que se compare en montos con la tabla RNT.T_OFS_SALDODIA, sumando los montos agrupado por cada cuenta contable y cada cliente.</t>
  </si>
  <si>
    <t>Por Confirmar</t>
  </si>
  <si>
    <t>Equipo EBS</t>
  </si>
  <si>
    <t>COD0002</t>
  </si>
  <si>
    <t>RNT.T_APRRINT_HIP_TMP </t>
  </si>
  <si>
    <t>P01_NU_CNTA,
P01_CCTB,
P01_IM_SALD</t>
  </si>
  <si>
    <t>Se ha encontrado dentro de la tabla del aplicativo de HPC "RNT.T_APRRINT_HIP_TMP " se tiene registros en donde se tiene cuenta contable y saldo, pero este no esta  asociado a ningun número de cuenta, entendemos que el numero de cuenta es el registro único de cada cuenta del cliente por lo que este nunca debería estar vacio</t>
  </si>
  <si>
    <t>SELECT P01_NU_CNTA, P01_CCTB, P01_IM_SALD, COUNT (*) AS CANTIDAD FROM RNT.T_APRRINT_HIP_TMP GROUP BY (P01_NU_CNTA, P01_CCTB,P01_IM_SALD) HAVING COUNT(*) &gt; 1</t>
  </si>
  <si>
    <t>El campo asociado a la cuenta debería ser “P01_NU_DOCU”
SELECT
Count(1) -- 0
FROM
RNT.T_APRRINT_HIP_TMP a
where P01_NU_DOCU is  null;
El campo “P01_NU_CNTA” hace referencia al número de cuenta relacionada.</t>
  </si>
  <si>
    <t>Resuelto</t>
  </si>
  <si>
    <t>Martin Sarachaga</t>
  </si>
  <si>
    <t>COD0003</t>
  </si>
  <si>
    <t>Se ha encontrado dentro de la tabla RNT.T_APRRINT_$IM_TMP registros en donde no se tiene asignado ningun valor a rubro, producto y subproducto, pero que este si cuenta con saldo, hemos validado los campos y el único que cambia es el P01_CTRL03, si nos podrían informar por favor a que hace referencia este campo, así como si esta dentro de su operativa normal que no se tenga un valor en rubro, producto y subproducto</t>
  </si>
  <si>
    <t>SELECT * FROM RNT.T_APRRINT_$IM_TMP WHERE P01_NU_CNTA = '3002078959' AND P01_CCTB = '25041900000157'
AND P01_ID_CAMP_02 = '01'</t>
  </si>
  <si>
    <r>
      <t>Se analizo 2 casos donde se tomo como base P01_ID_CLIE='0005329024':
Caso1: donde se toma</t>
    </r>
    <r>
      <rPr>
        <b/>
        <sz val="10"/>
        <color theme="1"/>
        <rFont val="Arial"/>
        <family val="2"/>
      </rPr>
      <t xml:space="preserve"> P01_CO_PROD is null</t>
    </r>
    <r>
      <rPr>
        <sz val="10"/>
        <color theme="1"/>
        <rFont val="Arial"/>
        <family val="2"/>
      </rPr>
      <t xml:space="preserve">, viendo que </t>
    </r>
    <r>
      <rPr>
        <b/>
        <sz val="10"/>
        <color theme="1"/>
        <rFont val="Arial"/>
        <family val="2"/>
      </rPr>
      <t>no hay</t>
    </r>
    <r>
      <rPr>
        <sz val="10"/>
        <color theme="1"/>
        <rFont val="Arial"/>
        <family val="2"/>
      </rPr>
      <t xml:space="preserve"> registros,en FDM.FEM_SALDOS_DIARIOS,  asociados a las cuentas del campo P01_NU_DOCU.--&gt;confirmar si esos registros se deben descartar
Caso 2: donde se toma </t>
    </r>
    <r>
      <rPr>
        <b/>
        <sz val="10"/>
        <color theme="1"/>
        <rFont val="Arial"/>
        <family val="2"/>
      </rPr>
      <t>P01_CO_PROD is not null</t>
    </r>
    <r>
      <rPr>
        <sz val="10"/>
        <color theme="1"/>
        <rFont val="Arial"/>
        <family val="2"/>
      </rPr>
      <t xml:space="preserve">, viendo que </t>
    </r>
    <r>
      <rPr>
        <b/>
        <sz val="10"/>
        <color theme="1"/>
        <rFont val="Arial"/>
        <family val="2"/>
      </rPr>
      <t>sí hay</t>
    </r>
    <r>
      <rPr>
        <sz val="10"/>
        <color theme="1"/>
        <rFont val="Arial"/>
        <family val="2"/>
      </rPr>
      <t xml:space="preserve"> registros,en FDM.FEM_SALDOS_DIARIOS,  asociados a las cuentas del campo P01_NU_DOCU</t>
    </r>
  </si>
  <si>
    <t xml:space="preserve">Se confirma que cuando un registro no posee valor alguno en rubro y common coa, significa que este no ha sido configurado correctamente y no ha pasado a saldos, son filtrados y descartados y para el banco este registro es como si nunca hubiese existido. </t>
  </si>
  <si>
    <t>Martin Sarachaga
Stephanie Cabezas
Alejandro Garcia</t>
  </si>
  <si>
    <t>COD0004</t>
  </si>
  <si>
    <t>Se ha encontrado dentro de la tabla RNT.T_APRRINT_$ST_TMP que corresponde a productos de saving contratos con mas de un ID_CLIE, entendemos que esto está bien ya que pueden ser cuentas compartidas, pero hemos validado que los dos registros cuentan con saldos, nuestra consulta es para el campo de saldo el valor es el mismo, entonces queremos entender la logica de cuando es una cuenta compartida, este valor de saldo se suma, esta dividido el total para las dos cuentas, etc? </t>
  </si>
  <si>
    <t>SELECT * FROM RNT.T_APRRINT_$ST_TMP WHERE P01_NU_DOCU = '3103341325' AND P01_CCTB = '21020101000108'</t>
  </si>
  <si>
    <t xml:space="preserve">Se agendo una reunion para el dia 11/06 a las 3pm en base a la disponibilidad de todos los participantes para revisar este caso y otros sobre los aplicativos. </t>
  </si>
  <si>
    <t>COD0005</t>
  </si>
  <si>
    <t>RNT.T_APRRINT_ADJ_TMP</t>
  </si>
  <si>
    <t>En esta tabla ADJ no hemos encontrado ningún registro (solo hay uno que entiendo que es el por default), así como tampoco se tiene conocimiento de su llave APR, este es un aplicativo que ya no esta en uso? </t>
  </si>
  <si>
    <t>SELECT * FROM RNT.T_APRRINT_ADJ_TMP</t>
  </si>
  <si>
    <t xml:space="preserve">Ya no se trabaja sobre este aplicativo, solo sigue llegando a APR </t>
  </si>
  <si>
    <t>Martin Sarachaga
Alex Martin</t>
  </si>
  <si>
    <t>COD0006</t>
  </si>
  <si>
    <t>RNT.T_APRRINT_TLD_TMP</t>
  </si>
  <si>
    <t>P01_NU_DOCU
P01_CCTB
P01_IM_SALD</t>
  </si>
  <si>
    <t>Se ha encontrado en el aplicativo TLD, solo cuenta con 1 UN_DOCU, no cuentan con ninguna cuenta contable y cuentan con saldos muy muy bajos, no se si este aplicativo todavia este en uso o no?</t>
  </si>
  <si>
    <t xml:space="preserve">	SELECT P01_NU_DOCU,P01_CCTB,P01_IM_SALD, COUNT (*) AS CANTIDAD FROM RNT.T_APRRINT_TLD_TMP
GROUP BY (P01_NU_DOCU,P01_CCTB,P01_IM_SALD) HAVING COUNT (*) &gt; 1</t>
  </si>
  <si>
    <t>Para Martin la tabla no forma parte de la tabla final de saldos, no obstante, se corroborara con Stephanie si debe ser considerado o no</t>
  </si>
  <si>
    <t>Martin Sarachaga
Stephanie Cabezas</t>
  </si>
  <si>
    <t>COD0007</t>
  </si>
  <si>
    <t>En la tabla de CDO (tarjetas de crédito hemos encontrado) que para un mismo cliente, un mismo documento y una misma cuenta contable tenemos 3 registros y lo único que varia son los saldos, si nos podrian explicar este comportamiento por favor </t>
  </si>
  <si>
    <t>SELECT * FROM RNT.T_APRRINT_CDO_TMP WHERE P01_NU_DOCU='0008425470' AND P01_CCTB='14050302020112';</t>
  </si>
  <si>
    <r>
      <rPr>
        <b/>
        <sz val="10"/>
        <color theme="1"/>
        <rFont val="Arial"/>
        <family val="2"/>
      </rPr>
      <t>11-06-2026: 11:20am</t>
    </r>
    <r>
      <rPr>
        <sz val="10"/>
        <color theme="1"/>
        <rFont val="Arial"/>
        <family val="2"/>
      </rPr>
      <t xml:space="preserve">
Se respondió al caso indicando que si bien son 3 los registros encontrados, 2 de ellos tienen moneda 0001 y la otra es 0010. En el DWH llega con los 2 registros de la misma moneda de forma agrupada y dando un total de 764.14 mientras que el otro aun mantiene su saldo de 67.09. Asegurando que todo esto debe ser corroborado por Stephanie Cabezas y Alejandro Garcia como usuarios funcionales.
</t>
    </r>
    <r>
      <rPr>
        <b/>
        <sz val="10"/>
        <color theme="1"/>
        <rFont val="Arial"/>
        <family val="2"/>
      </rPr>
      <t>11-06-2026: 12:03am</t>
    </r>
    <r>
      <rPr>
        <sz val="10"/>
        <color theme="1"/>
        <rFont val="Arial"/>
        <family val="2"/>
      </rPr>
      <t xml:space="preserve">
Por parte de MS se consulta si cuando sucede este caso se debe sumar el saldo, quedando atento a la respuesta de los usuarios funcionales. 
</t>
    </r>
    <r>
      <rPr>
        <b/>
        <sz val="10"/>
        <color theme="1"/>
        <rFont val="Arial"/>
        <family val="2"/>
      </rPr>
      <t>11-06-2026: 12:09am</t>
    </r>
    <r>
      <rPr>
        <sz val="10"/>
        <color theme="1"/>
        <rFont val="Arial"/>
        <family val="2"/>
      </rPr>
      <t xml:space="preserve">
La respuesta de IBK es primero en tomar una decisión en conjunta sobre la consulta realizada y si en caso MS haya realizado una situación similar para que se pueda brindar apoyo con este tipo de escenarios. </t>
    </r>
  </si>
  <si>
    <t xml:space="preserve">Se hizo una demostracion de la query presentada en donde de los 3 registros, dos de ellos eran soles, se menciona que solo se toman aquellos que en P01_CTRL02 = 1, y se hizo una sumatoria de los saldos de aquellos dos registros los cuales cuadraban en la tabla de saldos diarios. Por lo que se puede decir que en en la tabla APR de CDO se encuentra separado pero en la de saldos esta todo unificado y sus saldos estan sumados. </t>
  </si>
  <si>
    <t>Martin Sarachaga
Alex Martin
Stephanie Cabezas
Alejandro Garcia</t>
  </si>
  <si>
    <t>COD0008</t>
  </si>
  <si>
    <t>P01_ID_CLIE, P01_NU_DOCU,
P01_CCTB</t>
  </si>
  <si>
    <t>En la tabla de $IM vemos que para un mismo contrato, cliente y moneda se pueden identificar 2 cuentas contables distintas en donde los campos que varian son P01_ID_CAMP_02 y los saldos, se cruzo contra la tabla de saldos diarios y según la logica se suman los 2 registros.
Porfavor necestamos cruzar esto con el aplicativo, ya que esto no seria un funcionamiento normal en base a nuestra experiencia y estan combinando dos conceptos distintos, ya que en la tabla de saldos solo esta tomando una cuenta contable y esta sumando los saldos, lo que un funcionamiento normal se tomaria esta 2 cuentas contables y no se eliminaria una.</t>
  </si>
  <si>
    <t>select P01_ID_CLIE, P01_NU_DOCU, count(P01_CCTB),count(distinct(P01_CCTB))
from RNT.T_APRRINT_$IM_TMP  
where SUBSTR(P01_CCTB, 1, 1) IN ('1', '2')  and P01_CTRL02 = '0001' and APRRMTX_CO_FAMILIA is not null and 
        APRRMTX_CO_SUB_FAMILIA is not null and APRRMTX_CO_PRODUCTO is not null and  
        APRRMTX_CO_SUB_PRODUCTO is not null and APRRMTX_CO_COMPONENTE is not null
group by (P01_ID_CLIE, P01_NU_DOCU)
having  count(distinct(P01_CCTB))= count(P01_CCTB) and count(P01_CCTB)&gt;1;</t>
  </si>
  <si>
    <t>COD0009</t>
  </si>
  <si>
    <t xml:space="preserve">RNT.T_APRRINT_BKT_TMP
</t>
  </si>
  <si>
    <t>P01_IM_SALD,
P01_IMP_SALD_EQVL,
P01_CTRL02</t>
  </si>
  <si>
    <t>En el aplicativo de BKT cuando su moneda origen es Euros, en la tabla de saldos diarios estos se muestran como Dolares, en la tabla del aplicativo origen no existe ningun campo con el tipo de cambio de Euros a Dolares, asi que ¿Qué tipo de cambio utilizan para poder mostrarlo en la tabla de Saldos, ya que en esta se muestra como Dolares, es decir un tipo de cambio de Euros a Dolares?</t>
  </si>
  <si>
    <t>select P01_ID_CLIE, P01_CCTB, P01_NU_DOCU, P01_IM_SALD, P01_IM_SALD_EQVL, P01_CTRL02 from RNT.T_APRRINT_BKT_TMP where P01_ID_CLIE = '0004434023' and P01_NU_DOCU like '%S600680%';</t>
  </si>
  <si>
    <t>RNT.T_OFS_SALDODIA</t>
  </si>
  <si>
    <t>RSLD_ISO_CURRENCY_CD,
RSLD_CUR_BOOK_BAL</t>
  </si>
  <si>
    <t>select RSLD_CIF_KEY,RSLD_ACCOUNT_NUMBER, RSLD_GL_ACCOUNT_ID, RSLD_ISO_CURRENCY_CD, RSLD_CUR_BOOK_BAL from RNT.T_OFS_SALDODIA where RSLD_CIF_KEY = '0004434023' and RSLD_ACCOUNT_NUMBER like '%S600680%';</t>
  </si>
  <si>
    <t>COD0010</t>
  </si>
  <si>
    <t>P01_ID_CLIE,
P01_NU_DOCU,
P01_IM_SALD,
P01_IM_SALD_EQVL,
P01_CCTB</t>
  </si>
  <si>
    <t>Se identifico en la tabla de del aplicativo LID, para un mismo cliente y contrato existe una cuenta contable mientras en la tabla de Saldos Diarios este mismo cliente y contrato tiene otra cuenta contable con otro saldo</t>
  </si>
  <si>
    <t>SELECT p01_id_clie, p01_nu_docu, p01_im_sald, p01_im_sald_eqvl, p01_cctb
FROM RNT.T_APRRINT_LID_TMP
where p01_id_clie='0000534032' and p01_nu_docu like '%02152404%';</t>
  </si>
  <si>
    <t>RSLD_CIF_KEY,
RSLD_ACCOUNT_NUMBER,
RSLD_CUR_BOOK_BAL,
RSLD_DATA_SOURCE,
RSLD_GL_ACCOUNT_ID</t>
  </si>
  <si>
    <t>SELECT RSLD_CIF_KEY, RSLD_ACCOUNT_NUMBER, RSLD_cur_BOOK_BAL, RSLD_DATA_SOURCE, RSLD_ACCOUNT_NUMBER
FROM RNT.T_OFS_SALDODIA
where RSLD_DATA_SOURCE='LC'and RSLD_ISO_CURRENCY_CD='PSS' and RSLD_CIF_KEY like '%0000534032%' and RSLD_ACCOUNT_NUMBER like '%02152404%';</t>
  </si>
  <si>
    <t>COD0011</t>
  </si>
  <si>
    <t>P01_ID_CLIE,
 P01_NU_DOCU,
 P01_IM_SALD,
 P01_IM_SALD_EQVL,
 P01_CCTB,</t>
  </si>
  <si>
    <t>En el aplicativo MYP se observan con un mismo cliente y contrato dos registros con dos cuentas contables distintas, pero en la tabla saldos se observa con el mismo cliente y contrato que solo toma un registro de una cuenta contable y su saldo respectivo. ¿En donde queda el otro registro? ¿En donde queda su saldo? Entendemos que este otro registro que si lo estan tomando debido a que cuenta con Common Coa. </t>
  </si>
  <si>
    <t>select P01_ID_CLIE, P01_NU_DOCU, P01_IM_SALD, P01_IM_SALD_EQVL, P01_CCTB  from RNT.T_APRRINT_MYP_TMP where P01_ID_CLIE = '0011129124' and P01_NU_DOCU like '%10267598%';</t>
  </si>
  <si>
    <t>RSLD_CIF_KEY,
 RSLD_ACCOUNT_NUMBER,
 RSLD_GL_ACCOUNT_ID,
 RSLD_ISO_CURRENCY_CD,
 RSLD_CUR_BOOK_BAL,</t>
  </si>
  <si>
    <t>select RSLD_CIF_KEY, RSLD_ACCOUNT_NUMBER, RSLD_GL_ACCOUNT_ID, RSLD_ISO_CURRENCY_CD, RSLD_CUR_BOOK_BAL from RNT.T_OFS_SALDODIA where RSLD_DATA_SOURCE = 'MP' and RSLD_CIF_KEY = '0011129124' and RSLD_ACCOUNT_NUMBER like '%10267598%';</t>
  </si>
  <si>
    <t>COD0012</t>
  </si>
  <si>
    <t>RSLD_DATA_SOURCE</t>
  </si>
  <si>
    <t>Para el aplicativo PPA (Pago Activos) no encontramos la relacion de sus siglas en la tabla de saldos, solo contamos con las siguientes</t>
  </si>
  <si>
    <t>SELECT UNIQUE RSLD_DATA_SOURCE FROM RNT.T_OFS_SALDODIA</t>
  </si>
  <si>
    <t>COD0013</t>
  </si>
  <si>
    <t>P01_ID_CLIE,
P01_NU_DOCU,
P01_CTRL02,
P01_CCTB,
P01_IM_SALD,
P01_IM_SALD_EQVL</t>
  </si>
  <si>
    <t>Revisando la data del aplicativo JCC se vio que para un mismo cliente y contrato tiene una cuenta contable y en la tabla de saldos diarios para ese mismo cliente y contrato la cuenta contable es distinta al de la tabla del aplicativo, teniendo en cuenta que los saldos son totalmente iguales para ambas tablas.</t>
  </si>
  <si>
    <t>SELECT p01_id_clie, p01_nu_docu, p01_ctrl02, p01_cctb, p01_im_sald,p01_im_sald_eqvl
FROM RNT.T_APRRINT_JCC_TMP
where p01_id_clie='0017092189' and p01_ctrl02='0001' and p01_nu_docu like '%47697294%';</t>
  </si>
  <si>
    <t>RSLD_CIF_KEY,
RSLD_ACCOUNT_NUMBER,
RSLD_DATA_SOURCE,
RSLD_ISO_CURRENCY_CD,
RSLD_GL_ACCOUNT_ID,
RSLD_CUR_BOOK_BAL</t>
  </si>
  <si>
    <t>SELECT RSLD_CIF_KEY, RSLD_ACCOUNT_NUMBER, RSLD_DATA_SOURCE, RSLD_ISO_CURRENCY_CD, RSLD_GL_ACCOUNT_ID, RSLD_CUR_BOOK_BAL
FROM RNT.T_OFS_SALDODIA
where RSLD_DATA_SOURCE='JC'and RSLD_ISO_CURRENCY_CD='PSS' and RSLD_CIF_KEY ='0017092189' and RSLD_ACCOUNT_NUMBER like '%47697294%';</t>
  </si>
  <si>
    <t>COD0014</t>
  </si>
  <si>
    <t>P01_ID_CLIE,
 P01_NU_DOCU,
 P01_IM_SALD_EQVL,
 P01_CCTB,
P01_CTRL02</t>
  </si>
  <si>
    <t>Revisando la data del aplicativo FCD, para un mismo cliente y contrato no se tiene una cuenta contable y en la tabla de saldos para ese mismo cliente y contrato si se tiene una cuenta contable, pese a que los saldos y moneda para ambos casos tambien son iguales. </t>
  </si>
  <si>
    <t>select P01_ID_CLIE, P01_NU_DOCU, P01_IM_SALD_EQVL, P01_CCTB, P01_CTRL02 from RNT.T_APRRINT_FCD_TMP where P01_ID_CLIE = '0000273821' and P01_NU_DOCU like '%42105683%' and P01_CTRL02 = '0001';</t>
  </si>
  <si>
    <t>RSLD_CIF_KEY,
 RSLD_ACCOUNT_NUMBER,
 RSLD_ISO_CURRENCY_CD,
 RSLD_GL_ACCOUNT_ID,
 RSLD_CUR_BOOK_BAL</t>
  </si>
  <si>
    <t>select RSLD_CIF_KEY, RSLD_ACCOUNT_NUMBER, RSLD_ISO_CURRENCY_CD, RSLD_GL_ACCOUNT_ID, RSLD_CUR_BOOK_BAL from RNT.T_OFS_SALDODIA where RSLD_CIF_KEY = '0000273821' and RSLD_ACCOUNT_NUMBER like '%42105683%' and  RSLD_DATA_SOURCE='FC';</t>
  </si>
  <si>
    <t>Ajustes tablas aplicativos</t>
  </si>
  <si>
    <t>Todas las tablas de los aplicativos</t>
  </si>
  <si>
    <t>Si no cuentan con los campos para formar el COMMON COA se considera registro inválido y no se tomará en cuenta</t>
  </si>
  <si>
    <t>Se debe reportar al aplicativo APR para que confirme si es un registro inválido, si lo es que lo retire del archivo y si no lo es que lo corrija para tener todos los campos necesarios para armar el common coa.</t>
  </si>
  <si>
    <t>Aplicativo $ST</t>
  </si>
  <si>
    <t>Se toma como válido el NU_SECU solamente el 1 cuando se cuenta con más de un registro</t>
  </si>
  <si>
    <t>Se debe reportar al aplicativo APR para que nos explique que son los registros con UN_SECU diferente de 1 luego de la cual se debe tomar la decisión de retirarlos en caso no los necesitemos o incluirlos en caso si.</t>
  </si>
  <si>
    <t>Aplicativos ADJ y TLD</t>
  </si>
  <si>
    <t>No se tomarán en cuenta ya que son aplicativos que no se utilizan y no tienen data o saldo casi 0.</t>
  </si>
  <si>
    <t>Los archivos de éstos aplicativos ADJ y TLD no se deben cargar</t>
  </si>
  <si>
    <t>Aplicativo CDO</t>
  </si>
  <si>
    <t>Para registros con el mismo cliente, cuenta contable y contrato que tengan más de un registro los saldos de la misma moneda se sumarán.</t>
  </si>
  <si>
    <t>Se debe reportar al aplicativo CDO para que confirme nuestra definición.</t>
  </si>
  <si>
    <t>Aplicativo HPC (Tablas HIP y CNS)</t>
  </si>
  <si>
    <t xml:space="preserve">El cuadre nos varía por poco, al revisar la data hemos encontrado casos en donde en aplicativo no tiene cuenta contable y en saldos si que la tiene o tiene distinta cuenta contable, no entendemos esta reasignación de cuentas contables que lo haga </t>
  </si>
  <si>
    <t>Hemos encontrado registros en donde no tiene cuenta contable en origen pero si en la tabla saldos o que cambia la cuenta contable, no entendemos la lógica de esta transformación</t>
  </si>
  <si>
    <t>COD0015</t>
  </si>
  <si>
    <t>NO HAY DATA EN LA TABLA DEL APLICATIVO CON SALDO &lt;&gt; 0</t>
  </si>
  <si>
    <t>NO HAY DATA VÁLIDA QUE CUMPLA LA REGLA DEL COMMON COA</t>
  </si>
  <si>
    <t>Revisando la data de las tablas de HIP y CNS, que junto son el aplicativo HPC, se vio que para un cliente y una cuenta contable en la tabla de saldos diarios hay un saldo asignado mientras que en la tabla de HIP para ese mismo cliente no hay una cuenta contable, pero el monto del saldo sí es el mismo, es decir, hemos visto que se realiza una reasignación de cuentas contables pero no entendemos la lógica detrás de esta reasignación.</t>
  </si>
  <si>
    <t>P01_RUBRO,
P01_ID_CLIE,
P01_NU_DOCU,
P01_IM_SALD,
P01_IM_SALD_EQVL,
P01_CTRL02,
P01_CCTB,
APRRMTX_CO_FAMILIA,
APRRMTX_CO_SUB_FAMILIA,
APRRMTX_CO_PRODUCTO,
APRRMTX_CO_SUB_PRODUCTO,
APRRMTX_CO_COMPONENTE</t>
  </si>
  <si>
    <t>SELECT p01_rubro, p01_id_clie,p01_nu_docu, p01_im_sald, p01_im_sald_eqvl,p01_ctrl02,p01_cctb, APRRMTX_CO_FAMILIA,APRRMTX_CO_SUB_FAMILIA,APRRMTX_CO_PRODUCTO, APRRMTX_CO_SUB_PRODUCTO ,APRRMTX_CO_COMPONENTE
FROM RNT.T_APRRINT_HIP_TMP
WHERE P01_ID_CLIE like '%17043740%' ;</t>
  </si>
  <si>
    <t>SELECT RSLD_CIF_KEY, RSLD_ACCOUNT_NUMBER, RSLD_DATA_SOURCE, RSLD_ISO_CURRENCY_CD, RSLD_GL_ACCOUNT_ID, RSLD_CUR_BOOK_BAL
FROM RNT.T_OFS_SALDODIA
where RSLD_CIF_KEY like '%17043740%' and RSLD_GL_ACCOUNT_ID like '%26060201010107%';</t>
  </si>
  <si>
    <t>INCIDENCIA</t>
  </si>
  <si>
    <t>CUADRE APLICATIVO - TABLA SALDO DIARIO 16/04</t>
  </si>
  <si>
    <t>Existen registros en donde para el mismo contrato tienen distinto saldo y distinta cuenta contable.  [RR] Eso esta OK.
En la tabla de saldo diario esto se muesta sumado el saldo y solo tomado 1 cuenta contable -&gt; SOLO CUADRA SI TOMAMOS EN CUENTA CLIENTE Y CONTRATO, NO CUENTA CONTABLE, DEBIDO A ESTA CASUISTICA
[RR] Eso es error, no replicar.</t>
  </si>
  <si>
    <t>Existen registros en donde para el mismo contrato tienen distinto saldo y distinta cuenta contable. En la tabla de saldo diario esto se muesta sumado el saldo y solo tomado 1 cuenta contable -&gt; SOLO CUADRA SI TOMAMOS EN CUENTA CLIENTE Y CONTRATO, NO CUENTA CONTABLE, DEBIDO A ESTA CASUISTICA
[RR] Eso es error, no replicar. Tomamos ambas cuentas contables.</t>
  </si>
  <si>
    <r>
      <t xml:space="preserve">Duplicado por dos clientes en una cuenta. Nos quedamos solo con un cliente que es el numsecuencia 1. </t>
    </r>
    <r>
      <rPr>
        <b/>
        <sz val="11"/>
        <color rgb="FF000000"/>
        <rFont val="Arial"/>
        <family val="2"/>
      </rPr>
      <t>Pendiente confirmar que el cliente es el titular.</t>
    </r>
  </si>
  <si>
    <t>Productos con moneda origen EUR. Actualmente lo convierten a Dolares (pierden modera origen). No Replicar.</t>
  </si>
  <si>
    <r>
      <t>Al agrupar por contrato, cuenta contable y moneda. Aparecen dos registros en la misma moneda.</t>
    </r>
    <r>
      <rPr>
        <b/>
        <sz val="11"/>
        <color rgb="FF000000"/>
        <rFont val="Arial"/>
        <family val="2"/>
      </rPr>
      <t xml:space="preserve"> Pendiente confirmar que es la separacion de productos con vencimiento y plazos diferentes.</t>
    </r>
  </si>
  <si>
    <r>
      <t xml:space="preserve">La tabla del aplicativo cuenta con registros de cuentas contables 8 (que para el mismo contrato y cuenta contable tienen mas de un cliente y saldos distintos), pero en la tabla de saldos solo se cuenta con registros de cuentas contables de 1 y 2. </t>
    </r>
    <r>
      <rPr>
        <b/>
        <sz val="11"/>
        <color theme="1"/>
        <rFont val="Calibri"/>
        <family val="2"/>
      </rPr>
      <t>Pendiente revisar cuentas 7 contigentes.</t>
    </r>
  </si>
  <si>
    <t>Se reviso la data y se vio que el contrato de un registro de la tabla LPC no existe en la tabla de saldos diarios, necesitamos saber porque ocurre esto o cual es el procedimiento que sigue para que no aparezca en la tabla de saldos diarios, este mismo caso ocurre para las tablas MDC y FMU, recalcando que para FMU pasa los mismo para dólares también.</t>
  </si>
  <si>
    <t>SELECT p01_rubro, p01_id_clie,p01_nu_docu, p01_im_sald, p01_im_sald_eqvl,p01_ctrl02,p01_cctb, APRRMTX_CO_FAMILIA,APRRMTX_CO_SUB_FAMILIA,APRRMTX_CO_PRODUCTO, APRRMTX_CO_SUB_PRODUCTO ,APRRMTX_CO_COMPONENTE
FROM RNT.T_APRRINT_LPC_TMP
WHERE p01_id_clie like '%11577514%' and p01_nu_docu like '%20129286%';</t>
  </si>
  <si>
    <t>SELECT RSLD_CIF_KEY, RSLD_ACCOUNT_NUMBER, RSLD_DATA_SOURCE, RSLD_ISO_CURRENCY_CD, RSLD_GL_ACCOUNT_ID, RSLD_CUR_BOOK_BAL
FROM RNT.T_OFS_SALDODIA
where RSLD_DATA_SOURCE='LP' and RSLD_ISO_CURRENCY_CD='PSS' and RSLD_CIF_KEY LIKE '%11577514%';</t>
  </si>
  <si>
    <t>COD0016</t>
  </si>
  <si>
    <t>COD00001</t>
  </si>
  <si>
    <t>SELECT RSLD_ISO_CURRENCY_CD, sum(RSLD_CUR_BOOK_BAL)
FROM RNT.T_OFS_SALDODIA where RSLD_DATA_SOURCE='LC'
group by RSLD_ISO_CURRENCY_CD;</t>
  </si>
  <si>
    <t>COD00002</t>
  </si>
  <si>
    <t>COD00003</t>
  </si>
  <si>
    <t>COD00004</t>
  </si>
  <si>
    <t>select distinct(P01_CTRL02) from RNT.T_APRRINT_MDC_TMP ;</t>
  </si>
  <si>
    <t>SELECT distinct RSLD_ISO_CURRENCY_CD
FROM RNT.T_OFS_SALDODIA where RSLD_DATA_SOURCE='MD';</t>
  </si>
  <si>
    <t>RSLD_ISO_CURRENCY_CD</t>
  </si>
  <si>
    <t>En el aplicativo MDC existen alrededor de 13 codigos de tipo de moneda, considerando que se conocen la de soles, dolares y euros, existen otras 10 que no. Por su lado en la tabla de saldos hay un tipo mas que es PS2.</t>
  </si>
  <si>
    <t xml:space="preserve">"select APR.CIF_KEY, APR.COMMON_COA_ID, APR.Suma_Saldo_apr, sald_dia.sald_cliente_id, sald_dia.sald_common_coa, sald_dia.sald_saldo_suma, (APR.Suma_Saldo_apr - sald_dia.sald_saldo_suma ) as diferencia
FROM (
        select CIF_KEY,CASE
                           WHEN LENGTH(COMMON_COA_ID) &gt; 7
                                AND COMMON_COA_ID LIKE '0%'
                           THEN SUBSTR(COMMON_COA_ID,2)
                           ELSE COMMON_COA_ID
                       END AS COMMON_COA_ID, SUM(CUR_BOOK_BAL) as Suma_Saldo_apr
        FROM(
                    SELECT AS_OF_DATE, CIF_KEY, COMMON_COA_ID, CASE WHEN P01_CTRL02 = '0001' THEN 'PSS' WHEN P01_CTRL02 = '0010' THEN 'USD' END AS ISO_CURRENCY_CD, APRRMTX_SI_PROD AS CREDIT_STATUS_CD, CUR_BOOK_BAL
                    FROM (
                                    SELECT A.*,
                                           '16-APR-26' AS AS_OF_DATE,
                                           P01_ID_CLIE AS CIF_KEY,
                                           SUBSTR(APRRMTX_CO_FAMILIA,2,2)||SUBSTR(APRRMTX_CO_SUB_FAMILIA,2,2)||SUBSTR(APRRMTX_CO_PRODUCTO,2,2)||SUBSTR(APRRMTX_CO_SUB_PRODUCTO,2,2)||SUBSTR(APRRMTX_CO_COMPONENTE,2,2) AS COMMON_COA_ID,
                                           NULL AS ISO_CURRENCY_CD,
                                           NULL AS CREDIT_STATUS_CD,
                                           P01_IM_SALD_EQVL AS CUR_BOOK_BAL,------SE CAMBIA(P01_IM_SALD--&gt;para dolares y euros, P01_IM_SALD_EQVL--&gt;para soles)
                                        -- Inicio de Filtros de Fuente
                                        --CASE WHEN P01_ID_APLI NOT IN (SELECT APLI_COD3 FROM RNT.T_APLICATIVO WHERE APLI_ESTADO=1) THEN 1 ELSE 0 END FLGPRO_APL, /*FILTRO 01: Aplicativos Fuente*/ 
                                        CASE WHEN NVL(P01_TIPO_CUENTA, ' ') = 'PRIN' THEN 0 ELSE 1 END FLGPRO_PRI, /*FILTRO 02: Tipo Cuenta Principal*/ 
                                        CASE WHEN NOT (NVL(P01_RUBRO, '  ') = '  ' AND NVL(P01_ID_CLIE, '9999999999') = '9999999999') THEN 0 ELSE 1 END FLGPRO_CLI, /*FILTRO 03: Cliente y Rubro Nulos*/
                                        CASE WHEN NOT (NVL(P01_ID_APLI, '   ') = 'LPC' AND (NVL(P01_ID_CAMP_07, '   ') IN ('PDL', 'PDS'))) THEN 0 ELSE 1 END FLGPRO_C07, /*FILTRO 04: Campo de llave APR de LPC*/
                                        CASE WHEN NOT NVL(P01_RUBRO, '  ') IN ('14', '50', '51', '52') THEN 0 ELSE 1 END FLGPRO_RUB, /*FILTRO 05: Rubros*/ 
                                        CASE WHEN NOT NVL(P01_FLAG_T_DESCONTADO, ' ') = 'S' THEN 0 ELSE 1 END FLGPRO_DES, /*FILTRO 06: Campo flag_t_descontado*/ 
                                        CASE WHEN P01_ID_APLI = '$IM' AND SUBSTR(P01_CT_CONT1_MTR, 1, 6) IN ('810402', '810409') THEN 1 ELSE 0 END FLGACU_IM_CTA, /*FILTRO 07: Cuentas Contables de $IM*/
                                          CASE WHEN P01_ID_APLI IN ('$IC', 'LIC') AND NVL(P01_RUBRO, ' ') &lt;&gt; '01' THEN 1 ELSE 0 END FLGACU_IC_LIC, /*FILTRO 08: Registros de $IC y LIC*/ 
                                          CASE WHEN P01_ID_APLI IN ('$PR', 'FCD') AND NOT (NVL(P01_RUBRO, ' ')     IN ('01', '18') OR NVL(P01_RUBRO, ' ') = '04' AND (NVL(P01_CO_PROD, ' ') IN ('304', '305') OR NVL(P01_CO_PROD, ' ') = '198' AND NVL(P01_CO_SUB_PROD, ' ') IN ('304', '305'))) THEN 1 ELSE 0 END FLGACU_PR_FCD, /*FILTRO 09: Registros de $PR y FCD*/
                                          CASE WHEN P01_ID_APLI IN ('LSG', 'LPC') AND NOT ((NVL(P01_CO_PROD, ' ') = '113' OR (NVL(P01_CO_PROD, ' ') = '198'  AND NVL(P01_CO_SUB_PROD, ' ') = '113')) AND NVL(P01_RUBRO, ' ') IN ('01', '18')) AND NOT (NVL(P01_RUBRO, ' ') IN ('01', '18', '16')) THEN 1 ELSE 0 END FLGACU_LSG_LPC, /*FILTRO 10: Registros de LSG y LPC*/ 
                                          CASE WHEN P01_ID_APLI IN ('$IM', '$ST') AND NOT (NVL(P01_RUBRO, ' ') IN ('01', '03') AND P01_NU_SECU &lt; 2) THEN 1 ELSE 0 END FLGACU_IM_ST, /*FILTRO 11: Registros de $IM y $ST*/ 
                                          CASE WHEN P01_ID_APLI = 'BKT' AND NOT ((NVL(P01_CO_PROD, ' ') = '301' AND NVL(P01_CO_SUB_PROD, ' ') = '307' AND NVL(P01_RUBRO, ' ') = '04') OR (NVL(P01_CO_PROD, ' ') &lt;&gt; '301' OR NVL(P01_CO_SUB_PROD, ' ') &lt;&gt; '307'))  THEN 1 ELSE 0 END FLGACU_BKT,  /*FILTRO 12: Registros de BKT*/ 
                                          CASE WHEN P01_ID_APLI = 'FMU' AND P01_NU_SECU &lt;&gt; 1 THEN 1 ELSE 0 END FLGACU_FMU, /*FILTRO 13: Registros de FMU*/ 
                                          CASE WHEN APRRMTX_CO_TABL_INSTR IN ('CHEC', 'COMM', 'CONS', 'CRED', 'DEPO', 'INV', 'INVE', 'LEAS', 'MORT', 'OFFB', 'SAVI') THEN 0 ELSE 1 END FLGAOK_TAB, /*FILTRO 14: C�digo de Tabla de Instrumento*/   
                                          CASE WHEN SUBSTR(NVL(TRIM(P01_CT_CONT1_MTR), '00000000000000'), 1, 4) NOT IN ('8103', '8104') AND SUBSTR(NVL(TRIM(P01_CT_CONT1_MTR), '00000000000000'), 1, 6) NOT IN ('840602', '840919') OR SUBSTR(NVL(TRIM(P01_CT_CONT1_MTR), '00000000000000'), 1, 6) IN ('810302', '810922') THEN 0 ELSE 1 END FLGAOK_CTA_CTB, /*FILTRO 15: Cuentas Contables*/ 
                                          CASE WHEN APRRMTX_CO_TABL_INSTR IN ('CHEC', 'COMM', 'CONS', 'CRED', 'LEAS', 'MORT', 'OFFB') AND DWHRR_TI_REGI IN ('CAS', 'CON') THEN 1 ELSE 0 END FLGT01_CAS_CON /*FILTRO 16: Documentos castigados y condonados*/ 
                                    FROM (select P01_ID_APLI,P01_ID_CLIE, APRRMTX_CO_FAMILIA, APRRMTX_CO_SUB_FAMILIA , APRRMTX_CO_PRODUCTO, APRRMTX_CO_SUB_PRODUCTO, APRRMTX_CO_COMPONENTE, P01_CTRL02, APRRMTX_SI_PROD, P01_IM_SALD,P01_IM_SALD_eqvl, ' ' AS  DWHRR_TI_REGI, APRRMTX_CO_TABL_INSTR, P01_CT_CONT1_MTR, P01_NU_SECU, P01_CO_PROD, P01_CO_SUB_PROD, P01_RUBRO, P01_FLAG_T_DESCONTADO, P01_ID_CAMP_07, P01_TIPO_CUENTA
                                            from RNT.T_APRRINT_$ST_TMP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RNT.T_APRRINT_$IM_TMP
                                            union all
                                            select P01_ID_APLI, P01_ID_CLIE, APRRMTX_CO_FAMILIA, APRRMTX_CO_SUB_FAMILIA , APRRMTX_CO_PRODUCTO, APRRMTX_CO_SUB_PRODUCTO, APRRMTX_CO_COMPONENTE, P01_CTRL02, APRRMTX_SI_PROD, P01_IM_SALD,P01_IM_SALD_eqvl, DWHRR_TI_REGI, APRRMTX_CO_TABL_INSTR, P01_CT_CONT1_MTR, P01_NU_SECU, P01_CO_PROD, P01_CO_SUB_PROD, P01_RUBRO, P01_FLAG_T_DESCONTADO, P01_ID_CAMP_07, P01_TIPO_CUENTA
                                            from RNT.T_APRRINT_SCF_TMP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RNT.T_APRRINT_MYP_TMP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RNT.T_APRRINT_MDC_TMP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RNT.T_APRRINT_LPC_TMP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RNT.T_APRRINT_LID_TMP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RNT.T_APRRINT_LIC_TMP
                                            union all
                                            select P01_ID_APLI, P01_ID_CLIE, APRRMTX_CO_FAMILIA, APRRMTX_CO_SUB_FAMILIA , APRRMTX_CO_PRODUCTO, APRRMTX_CO_SUB_PRODUCTO, APRRMTX_CO_COMPONENTE, P01_CTRL02, APRRMTX_SI_PROD, P01_IM_SALD,P01_IM_SALD_eqvl, DWHRR_TI_REGI, APRRMTX_CO_TABL_INSTR, P01_CT_CONT1_MTR, P01_NU_SECU, P01_CO_PROD, P01_CO_SUB_PROD, P01_RUBRO, P01_FLAG_T_DESCONTADO, P01_ID_CAMP_07, P01_TIPO_CUENTA
                                            from RNT.T_APRRINT_JCC_TMP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RNT.T_APRRINT_HIP_TMP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RNT.T_APRRINT_FMU_TMP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RNT.T_APRRINT_FCD_TMP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RNT.T_APRRINT_CNS_TMP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RNT.T_APRRINT_CDO_TMP
                                            union all
                                            select P01_ID_APLI, P01_ID_CLIE, APRRMTX_CO_FAMILIA, APRRMTX_CO_SUB_FAMILIA , APRRMTX_CO_PRODUCTO, APRRMTX_CO_SUB_PRODUCTO, APRRMTX_CO_COMPONENTE, P01_CTRL02, APRRMTX_SI_PROD, P01_IM_SALD,P01_IM_SALD_eqvl,' ' AS  DWHRR_TI_REGI, APRRMTX_CO_TABL_INSTR, P01_CT_CONT1_MTR, P01_NU_SECU, P01_CO_PROD, P01_CO_SUB_PROD, P01_RUBRO, P01_FLAG_T_DESCONTADO, P01_ID_CAMP_07, P01_TIPO_CUENTA
                                            from RNT.T_APRRINT_BKT_TMP
                                    )  A
                                    WHERE P01_ID_APLI = '$ST'-------SE CAMBIA POR APLICATIVO
                    )X
                    WHERE FLGPRO_PRI = 0 AND FLGPRO_CLI = 0 AND FLGPRO_C07 = 0 AND FLGPRO_RUB = 0 AND FLGPRO_DES = 0 AND FLGACU_IM_CTA = 0 AND FLGACU_IC_LIC = 0
                    AND FLGACU_PR_FCD = 0 AND FLGACU_LSG_LPC = 0 AND FLGACU_IM_ST = 0 AND FLGACU_BKT = 0 AND FLGACU_FMU = 0 AND FLGAOK_TAB = 0 AND FLGAOK_CTA_CTB = 0 AND FLGT01_CAS_CON = 0
        )
        where ISO_CURRENCY_CD='PSS' -------SE CAMBIA(PSS--SOLES,USD--DOLARES, EUR--EUROS)
        GROUP BY CIF_KEY, CASE
                             WHEN LENGTH(COMMON_COA_ID) &gt; 7
                                  AND COMMON_COA_ID LIKE '0%'
                             THEN SUBSTR(COMMON_COA_ID,2)
                             ELSE COMMON_COA_ID
                          END
) APR
RIGHT
join  (select RSLD_CIF_KEY as sald_cliente_id, RSLD_COMMON_COA_ID as sald_common_coa, sum(RSLD_CUR_BOOK_BAL) as sald_saldo_suma
        from RNT.T_OFS_SALDODIA saldodia
        where RSLD_DATA_SOURCE='ST' and RSLD_ISO_CURRENCY_CD='PSS'-------ESTO SE CAMBIA PARA APLICATIVO Y PARA MONEDA
        group by RSLD_CIF_KEY, RSLD_COMMON_COA_ID) sald_dia
on APR.CIF_KEY||APR.COMMON_COA_ID=sald_dia.sald_cliente_id||sald_dia.sald_common_coa    
--WHERE APR.Suma_Saldo_apr - sald_dia.sald_saldo_suma&gt;0 ;--);
where CIF_KEY is null
ORDER BY sald_dia.sald_saldo_suma desc;"		
</t>
  </si>
  <si>
    <t>COD00005</t>
  </si>
  <si>
    <t>Se evidencia que la tabla de saldos para el aplicativo JCC (JC) esta considerando aquellos saldos que se encuentran castigados y condonados, siendo que se cuenta con un filtro en la tabla de los aplicativos para no considerar estos registros.</t>
  </si>
  <si>
    <t xml:space="preserve">--CASE WHEN APRRMTX_CO_TABL_INSTR IN ('CHEC', 'COMM', 'CONS', 'CRED', 'LEAS', 'MORT', 'OFFB') AND DWHRR_TI_REGI IN ('CAS', 'CON') THEN 1 ELSE 0 END FLGT01_CAS_CON /*FILTRO 16: Documentos castigados y condonados*/ </t>
  </si>
  <si>
    <t xml:space="preserve">En la tabla de saldos figuran importes pertenecientes a clientes y common coa con valor de '9999999999', lo cual no deberia suceder segun los filtros de IBK y nos genera un descuadre al momento de comparar y conciliarlo con el aplicativo $ST. </t>
  </si>
  <si>
    <t>Para el aplicativo PPA (Pago Activos), WBC (Workflow banca comercial), GAC y PRO no encontramos la relacion de sus siglas en la tabla de saldos, por su lado en la tabla de saldos figura un aplicativo con las siglas CC de la cual desconocemos</t>
  </si>
  <si>
    <t>select p01_cctb,p01_im_sald_eqvl, APRRMTX_CO_FAMILIA, APRRMTX_CO_SUB_FAMILIA, APRRMTX_CO_PRODUCTO, APRRMTX_CO_SUB_PRODUCTO, APRRMTX_CO_COMPONENTE
from RNT.T_APRRINT_LPC_TMP
where p01_id_clie like '%0015222019%' and SUBSTR(APRRMTX_CO_FAMILIA,2,2)||SUBSTR(APRRMTX_CO_SUB_FAMILIA,2,2)||SUBSTR(APRRMTX_CO_PRODUCTO,2,2)||SUBSTR(APRRMTX_CO_SUB_PRODUCTO,2,2)||SUBSTR(APRRMTX_CO_COMPONENTE,2,2) like '%103010599%' And P01_CTRL02='0001';</t>
  </si>
  <si>
    <t xml:space="preserve">En la tabla del aplicativo LPC se tienen 4 registros con dos cuentas contables (1 cuenta por 2 registros), pero en la tabla de saldos solo se muestran 2 registros con una cuenta contable, los otros 2 registros faltantes no pasan a la tabla de saldos a pesar de cumplir con todos los filtros de IBK. </t>
  </si>
  <si>
    <t>Christians Ortega y Fernando</t>
  </si>
  <si>
    <t>PRIORIDAD</t>
  </si>
  <si>
    <t>Fernando</t>
  </si>
  <si>
    <t>Pendiente revisión con Cristians y Fernando con Rentabilidad</t>
  </si>
  <si>
    <t>Martin</t>
  </si>
  <si>
    <t>Pendiente revisar Martin</t>
  </si>
  <si>
    <t>Cual es el job que nos entrega la información de MDC, jose antonio valdivia</t>
  </si>
  <si>
    <t>Cristians / Fernando</t>
  </si>
  <si>
    <t>Cristians / Andres</t>
  </si>
  <si>
    <t xml:space="preserve">* El pro no lo cuenta, WBC, GAC, PPA
* El aplicativo CC es el aplicativo CCD
* Hablar con Stephanie de si considerar estos o no, y las razones </t>
  </si>
  <si>
    <t xml:space="preserve">Dentro del proceso, pueden haber otros filtos. Necesario ingresar al código y revisarlo </t>
  </si>
  <si>
    <t>Comentario</t>
  </si>
  <si>
    <t>Respuesta Solución</t>
  </si>
  <si>
    <t xml:space="preserve">Si llegan registros con cliente 99999 y la razon es porque se cruza contra una tabla de cliente los aplicativos y para registros en donde no se tenga este codigo de cliente se le aplica el codigo 999999 y es un registro válido de la tabla de saldos </t>
  </si>
  <si>
    <t>COD00006</t>
  </si>
  <si>
    <t> </t>
  </si>
  <si>
    <t>Hemos encontrado en la tabla RNT.T_INC_FMOVCON_TMP, en el campo FM_APLICACION que hay una lista de aplicativos que no tenemos en radar, quisiéramos saber cómo lo consideran o si no lo consideran.</t>
  </si>
  <si>
    <t>FM_APLICACION</t>
  </si>
  <si>
    <t>SELECT DISTINCT FM_APLICACION FROM RNT.T_INC_FMOVCON_TMP;</t>
  </si>
  <si>
    <t>COD00007</t>
  </si>
  <si>
    <t>Cristians</t>
  </si>
  <si>
    <t>Se evidencia que la tabla de saldos para el aplicativo LPC (LP)exite un filtro dentro de la query, donde este filtro hace que  se no considere montos de saldo, el cual afecta el cuadre de dolares haciendo que este no cuadre pero quitando dicho filtro sí cuadra.</t>
  </si>
  <si>
    <t xml:space="preserve">CASE WHEN P01_ID_APLI IN ('LSG', 'LPC') AND NOT ((NVL(P01_CO_PROD, ' ') = '113' OR (NVL(P01_CO_PROD, ' ') = '198'  AND NVL(P01_CO_SUB_PROD, ' ') = '113')) AND NVL(P01_RUBRO, ' ') IN ('01', '18')) AND NOT (NVL(P01_RUBRO, ' ') IN ('01', '18', '16')) THEN 1 ELSE 0 END FLGACU_LSG_LPC, /*FILTRO 10: Registros de LSG y LPC*/      </t>
  </si>
  <si>
    <t>P01_ID_CAMP_03</t>
  </si>
  <si>
    <t>Producto</t>
  </si>
  <si>
    <t>Para poder distinguir por código cuales son creditos hipotecarios y cuales son mi vivienda</t>
  </si>
  <si>
    <t>Fecha Compromiso</t>
  </si>
  <si>
    <r>
      <rPr>
        <u/>
        <sz val="11"/>
        <color theme="1"/>
        <rFont val="Calibri"/>
        <family val="2"/>
        <scheme val="minor"/>
      </rPr>
      <t xml:space="preserve">25/06 </t>
    </r>
    <r>
      <rPr>
        <sz val="11"/>
        <color theme="1"/>
        <rFont val="Calibri"/>
        <family val="2"/>
        <scheme val="minor"/>
      </rPr>
      <t xml:space="preserve">-&gt; </t>
    </r>
    <r>
      <rPr>
        <u/>
        <sz val="11"/>
        <color theme="1"/>
        <rFont val="Calibri"/>
        <family val="2"/>
        <scheme val="minor"/>
      </rPr>
      <t>26/06</t>
    </r>
    <r>
      <rPr>
        <sz val="11"/>
        <color theme="1"/>
        <rFont val="Calibri"/>
        <family val="2"/>
        <scheme val="minor"/>
      </rPr>
      <t xml:space="preserve"> -&gt; 30/06</t>
    </r>
  </si>
  <si>
    <t>COD00008</t>
  </si>
  <si>
    <t>SELECT P01_RUBRO,P01_ID_CLIE,P01_NU_DOCU,P01_IM_SALD,	P01_IM_SALD_EQVL,P01_CTRL02,P01_CCTB,APRRMTX_CO_FAMILIA,APRRMTX_CO_SUB_FAMILIA,	APRRMTX_CO_PRODUCTO,APRRMTX_CO_SUB_PRODUCTO,APRRMTX_CO_COMPONENTE
FROM RNT.T_APRRINT_mdc_TMP
WHERE LENGTH(P01_ID_CLIE)&lt;10;</t>
  </si>
  <si>
    <t>No se esta tomando en cuenta este filtro, ya que estos registros si pasan a la tabla de saldos, por lo que si es un registro válido.</t>
  </si>
  <si>
    <t xml:space="preserve">  </t>
  </si>
  <si>
    <t>A excepci{on de los soles, los demas aplicativos llegan en dolares, se procede a realizar el cuadre y no se tuvo ninguna incidencia adicional</t>
  </si>
  <si>
    <t>Son aplicativos que ya no se usa en IBK, dado que estan desfasados</t>
  </si>
  <si>
    <t xml:space="preserve">Este fue un error de carga y se corrigió luego de manera manual por parte de cliente </t>
  </si>
  <si>
    <t>select *
from RNT.T_OFS_SALDODIA
where   RSLD_CIF_KEY like '%0015222019%' and  RSLD_COMMON_COA_ID like '%103010599%' and  RSLD_ISO_CURRENCY_CD='PSS';</t>
  </si>
  <si>
    <t>El filtro estaba incompleto, no es que se lo tenía que eliminar, el filtro completo para que cuadre soles y dolares es este: 
CASE WHEN P01_ID_APLI = '$IM' AND P01_CT_CONT1_MTR IN ('810402','810409') THEN 0 WHEN P01_ID_APLI IN ('$IC','LIC') THEN CASE WHEN P01_RUBRO = '01' THEN 1 ELSE 0 END WHEN P01_ID_APLI IN ('$PR','FCD') THEN CASE WHEN P01_RUBRO IN ('01','18') OR (P01_RUBRO = '04' AND (P01_CO_PROD IN ('304','305') OR (P01_CO_PROD = '198' AND P01_CO_SUB_PROD IN ('304','305')))) THEN 1 ELSE 0 END WHEN P01_ID_APLI IN ('LSG','LPC') THEN CASE WHEN (P01_CO_PROD = '113' OR (P01_CO_PROD = '198' AND P01_CO_SUB_PROD = '113')) AND P01_RUBRO IN ('01','18') THEN 1 WHEN P01_RUBRO IN ('01','18','16') THEN 1 WHEN P01_ID_APLI = 'LPC' AND APRRMTX_CO_TABL_INSTR = 'DEBT' THEN 1 ELSE 0 END WHEN P01_ID_APLI IN ('$IM','$ST') THEN CASE WHEN P01_RUBRO IN ('01','03') AND P01_NU_SECU &lt; 2 THEN 1 ELSE 0 END WHEN P01_ID_APLI = 'BKT' THEN CASE WHEN P01_CO_PROD = '301' AND P01_CO_SUB_PROD = '307' THEN CASE WHEN P01_RUBRO = '04' THEN 1 ELSE 0 END ELSE 1 END ELSE 1 END AS FLG_CONTINUE,</t>
  </si>
  <si>
    <t>COD00009</t>
  </si>
  <si>
    <t>COD00010</t>
  </si>
  <si>
    <t>COD00011</t>
  </si>
  <si>
    <t>COD00012</t>
  </si>
  <si>
    <t>COD000013</t>
  </si>
  <si>
    <t>COD000014</t>
  </si>
  <si>
    <t xml:space="preserve">Revisando la tabla de los aplicativos en Athena se ha podido observar que los campos de los saldos, P01_IM_SALD, P01_IM_SALD_EQVL y P01_IM_ORIG, se encuentran como String y no se puede identificar que saldos tienen decimales y que no. Se desconoce si existe alguna logica bajo esto. </t>
  </si>
  <si>
    <t>Johan Cordova</t>
  </si>
  <si>
    <t xml:space="preserve">Compartio una carpeta con los archivos CTL en donde se hace un detalle de cada campo, ademas de un excel donde se detalla el nombre de la fuente y el nombre con el que es registrado en AWS. Destacando que la informacion es cargada tal cual llega y que las transformaciones corresponden al proceso de tratamiento de datos. </t>
  </si>
  <si>
    <t>Todos los aplicativos subidos en AWS</t>
  </si>
  <si>
    <t>p01_im_sald, p01_im_sald_eqvl, p01_im_orig</t>
  </si>
  <si>
    <t>SELECT p01_id_clie, p01_nu_docu, p01_cctb, p01_im_sald, p01_im_sald_eqvl, p01_im_orig, p01_fu_trns FROM "d_datalake_perm"."t_rnt_aprrint_sim" order by p01_id_clie asc limit 10;</t>
  </si>
  <si>
    <t>Martin Sarachaga
Johan Cordova
Richard Mendoza</t>
  </si>
  <si>
    <t>En el APR se registra el codigo de moneda "0056", cruzando con el experto de MDC, Jose Huamán, nos comenta que en base a los montos que se registran en el APR para el fin de mes de abril 2026 en dicha moneda, y haciendo una comparación con la  contabilidad, ese importe estaría en "peso chileno"</t>
  </si>
  <si>
    <t>RNT.T_APRRINT_HIST_20260430</t>
  </si>
  <si>
    <t>RNT.T_RNT_MONEDA</t>
  </si>
  <si>
    <t>SELECT A.P01_CTRL02, B.MONE_CO_ISO,B.MONE_NO_ISO FROM RNT.T_APRRINT_HIST_20260430 A
LEFT JOIN RNT.T_RNT_MONEDA B ON A.P01_CTRL02 = B.MONE_CO_IB
GROUP BY A.P01_CTRL02, B.MONE_CO_ISO,B.MONE_NO_ISO
ORDER BY A.P01_CTRL02 ASC;</t>
  </si>
  <si>
    <t>MONE_CO_ISO
MONE_NO_ISO</t>
  </si>
  <si>
    <t>El Código moneda "0090" tiene como descripción "Sucre Ecuatoriano", mientras que en la revision con el experto de MDC, José Huamán, nos comenta que de acuerdo a la revision de los importes del APR contra la contabilidad, corresponde a la moneda "YUAN".</t>
  </si>
  <si>
    <t>SELECT A.P01_CTRL02, B.MONE_CO_ISO,B.MONE_NO_ISO FROM RNT.T_APRRINT_HIST_20260430 A
LEFT JOIN RNT.T_RNT_MONEDA B ON A.P01_CTRL02 = B.MONE_CO_IB
WHERE
A.P01_CTRL02 = 0090
GROUP BY A.P01_CTRL02, B.MONE_CO_ISO,B.MONE_NO_ISO
ORDER BY A.P01_CTRL02 ASC;</t>
  </si>
  <si>
    <t>Se tiene la cuenta contable "25041101010101 - ADEUDOS Y OBLIGACIONES CON EL BCRP-OP REGULAR" correspondiente al aplicativo MDC, dicha cuenta contable se parametrizó para que pueda llegar a la table de instrumentos; Sin embargo no se tiene para el fin de mes de abril 2026. Se validó que si tiene saldo para el fin de mes de abril 2026 en la contabilidad. </t>
  </si>
  <si>
    <t>SELECT * FROM RNT.T_APRRINT_HIST_20260430
WHERE
P01_CT_CONT1_MTR = 25041101010101;</t>
  </si>
  <si>
    <t>Alejandro Garcia
Stephanie Cabezas
Jose Huaman</t>
  </si>
  <si>
    <t>Alejandro Garcia</t>
  </si>
  <si>
    <t>Apoyo de Stephanie y Jose para el tema de adeudados</t>
  </si>
  <si>
    <t>SELECT P01_CT_CONT1_MTR, SUM(P01_IM_SALD) FROM RNT.T_APRRINT_HIST_20260430
WHERE
P01_CT_CONT1_MTR IN (28010100000105,28010100000104)
GROUP BY P01_CT_CONT1_MTR;</t>
  </si>
  <si>
    <t>Se ha visto que el saldo para las siguientes cuentas contables llegan en el apr en una sola cuenta contable, la "28010100000104", generando que ambas cuentas al momento de conciliarlas Tengan diferencias.
Se ha visto un caso similar en el apr donde si llegan en cuentas contables separadas el saldo, por lo que nos genera sospechas de que no ocurra lo mismo con las cuentas contables anteriormente presentadas.</t>
  </si>
  <si>
    <t>SELECT P01_CT_CONT1_MTR, sum(P01_IM_SALD) FROM RNT.T_APRRINT_HIST_20260430
WHERE
P01_CT_CONT1_MTR in (25041102010101)
group by P01_CT_CONT1_MTR;</t>
  </si>
  <si>
    <t xml:space="preserve">Con apoyo de Jose Huaman, pudimos identificar que el saldo de una cuenta contable se encuentra registrado en la fuente APR; Sin embargo, está asociado a una cuenta contable distinta a la contabilidad lo que estaría originando la diferencia observada en la conciliación. Cabe mencionar que esta cuenta contable encontrada nos comenta Jose Huaman es la cuenta con la que nace ese saldo.
Es por ello que nos gustaría conocer si este comportamiento responde a alguna lógica funcional  esperada para este producto, o si existe alguna reclasificación o tratamiento particular que explique el cambio de la cuenta contable.
</t>
  </si>
  <si>
    <t>Apoyo de Stephanie y Jose para el tema MDC Repos</t>
  </si>
  <si>
    <t>Se tiene que realizar una agrupación adicional cuando tienen el mismo valor P01_ID_APLI igual
P01_NU_DOCU igual
P01_SI_DOCU igual
P01_NU_EMBA igual
Si no es FMU, P01_ID_APLI está en COMM, CONS, LEAS, MORT.</t>
  </si>
  <si>
    <t xml:space="preserve">SELECT distinct P01_ID_APLI,P01_NU_DOCU, P01_SI_DOCU,P01_NU_EMBA, sum(P01_IM_SALD),sum(P01_IM_SALD_EQVL)
FROM (
                SELECT A.*,
                       --FECHA_PROCESO AS AS_OF_DATE,
                       P01_ID_CLIE AS CIF_KEY,
                       SUBSTR(APRRMTX_CO_FAMILIA,2,2)||SUBSTR(APRRMTX_CO_SUB_FAMILIA,2,2)||SUBSTR(APRRMTX_CO_PRODUCTO,2,2)||SUBSTR(APRRMTX_CO_SUB_PRODUCTO,2,2)||SUBSTR(APRRMTX_CO_COMPONENTE,2,2) AS COMMON_COA_ID,
                       NULL AS ISO_CURRENCY_CD,
                       NULL AS CREDIT_STATUS_CD,
                       P01_IM_SALD AS CUR_BOOK_BAL,
                       -- Inicio de Filtros de Fuente
                       --CASE WHEN P01_ID_APLI NOT IN (SELECT APLI_COD3 FROM RNT.T_APLICATIVO WHERE APLI_ESTADO=1) THEN 1 ELSE 0 END FLGPRO_APL, /*FILTRO 01: Aplicativos Fuente*/
                       CASE WHEN NVL(P01_TIPO_CUENTA, ' ') = 'PRIN' THEN 0 ELSE 1 END FLGPRO_PRI, /*FILTRO 02: Tipo Cuenta Principal*/
                       CASE WHEN NOT (NVL(P01_RUBRO, '  ') = '  ' AND NVL(P01_ID_CLIE, '9999999999') = '9999999999') THEN 0 ELSE 1 END FLGPRO_CLI, /*FILTRO 03: Cliente y Rubro Nulos*/
                       CASE WHEN NOT (NVL(P01_ID_APLI, '   ') = 'LPC' AND (NVL(P01_ID_CAMP_07, '   ') IN ('PDL', 'PDS'))) THEN 0 ELSE 1 END FLGPRO_C07, /*FILTRO 04: Campo de llave APR de LPC*/
                       CASE WHEN NOT NVL(P01_RUBRO, '  ') IN ('14', '50', '51', '52') THEN 0 ELSE 1 END FLGPRO_RUB, /*FILTRO 05: Rubros*/
                       CASE WHEN NOT NVL(P01_FLAG_T_DESCONTADO, ' ') = 'S' THEN 0 ELSE 1 END FLGPRO_DES, /*FILTRO 06: Campo flag_t_descontado*/
                       CASE WHEN P01_ID_APLI = '$IM' AND SUBSTR(P01_CT_CONT1_MTR, 1, 6) IN ('810402', '810409') THEN 1 ELSE 0 END FLGACU_IM_CTA, /*FILTRO 07: Cuentas Contables de $IM*/
                      CASE WHEN P01_ID_APLI IN ('$IC', 'LIC') AND NVL(P01_RUBRO, ' ') &lt;&gt; '01' THEN 1 ELSE 0 END FLGACU_IC_LIC, /*FILTRO 08: Registros de $IC y LIC*/
                      CASE WHEN P01_ID_APLI IN ('$PR', 'FCD') AND NOT (NVL(P01_RUBRO, ' ')     IN ('01', '18') OR NVL(P01_RUBRO, ' ') = '04' AND (NVL(P01_CO_PROD, ' ') IN ('304', '305') OR NVL(P01_CO_PROD, ' ') = '198' AND NVL(P01_CO_SUB_PROD, ' ') IN ('304', '305'))) THEN 1 ELSE 0 END FLGACU_PR_FCD, /*FILTRO 09: Registros de $PR y FCD*/
                     CASE WHEN P01_ID_APLI = '$IM' AND P01_CT_CONT1_MTR IN ('810402','810409') THEN 0 WHEN P01_ID_APLI IN ('$IC','LIC') THEN CASE WHEN P01_RUBRO = '01' THEN 1 ELSE 0 END WHEN P01_ID_APLI IN ('$PR','FCD') THEN CASE WHEN P01_RUBRO IN ('01','18') OR (P01_RUBRO = '04' AND (P01_CO_PROD IN ('304','305') OR (P01_CO_PROD = '198' AND P01_CO_SUB_PROD IN ('304','305')))) THEN 1 ELSE 0 END WHEN P01_ID_APLI IN ('LSG','LPC') THEN CASE WHEN (P01_CO_PROD = '113' OR (P01_CO_PROD = '198' AND P01_CO_SUB_PROD = '113')) AND P01_RUBRO IN ('01','18') THEN 1 WHEN P01_RUBRO IN ('01','18','16') THEN 1 WHEN P01_ID_APLI = 'LPC' AND APRRMTX_CO_TABL_INSTR = 'DEBT' THEN 1 ELSE 0 END WHEN P01_ID_APLI IN ('$IM','$ST') THEN CASE WHEN P01_RUBRO IN ('01','03') AND P01_NU_SECU &lt; 2 THEN 1 ELSE 0 END WHEN P01_ID_APLI = 'BKT' THEN CASE WHEN P01_CO_PROD = '301' AND P01_CO_SUB_PROD = '307' THEN CASE WHEN P01_RUBRO = '04' THEN 1 ELSE 0 END ELSE 1 END ELSE 1 END AS FLG_CONTINUE,
                      --CASE WHEN P01_ID_APLI IN ('LSG', 'LPC') AND NOT ((NVL(P01_CO_PROD, ' ') = '113' OR (NVL(P01_CO_PROD, ' ') = '198'  AND NVL(P01_CO_SUB_PROD, ' ') = '113')) AND NVL(P01_RUBRO, ' ') IN ('01', '18')) AND NOT (NVL(P01_RUBRO, ' ') IN ('01', '18', '16')) THEN 1 ELSE 0 END FLGACU_LSG_LPC, /*FILTRO 10: Registros de LSG y LPC*/
                      CASE WHEN P01_ID_APLI IN ('$IM', '$ST') AND NOT (NVL(P01_RUBRO, ' ') IN ('01', '03') AND P01_NU_SECU &lt; 2) THEN 1 ELSE 0 END FLGACU_IM_ST, /*FILTRO 11: Registros de $IM y $ST*/
                      CASE WHEN P01_ID_APLI = 'BKT' AND NOT ((NVL(P01_CO_PROD, ' ') = '301' AND NVL(P01_CO_SUB_PROD, ' ') = '307' AND NVL(P01_RUBRO, ' ') = '04') OR (NVL(P01_CO_PROD, ' ') &lt;&gt; '301' OR NVL(P01_CO_SUB_PROD, ' ') &lt;&gt; '307'))  THEN 1 ELSE 0 END FLGACU_BKT,  /*FILTRO 12: Registros de BKT*/
                      CASE WHEN P01_ID_APLI = 'FMU' AND P01_NU_SECU &lt;&gt; 1 THEN 1 ELSE 0 END FLGACU_FMU, /*FILTRO 13: Registros de FMU*/
                      CASE WHEN APRRMTX_CO_TABL_INSTR IN ('CHEC', 'COMM', 'CONS', 'CRED', 'DEPO', 'INV', 'INVE', 'LEAS', 'MORT', 'OFFB', 'SAVI','DERI','DEBT') THEN 0 ELSE 1 END FLGAOK_TAB, /*FILTRO 14: C digo de Tabla de Instrumento*/   
                      CASE WHEN SUBSTR(NVL(TRIM(P01_CT_CONT1_MTR), '00000000000000'), 1, 4) NOT IN ('8103', '8104') AND SUBSTR(NVL(TRIM(P01_CT_CONT1_MTR), '00000000000000'), 1, 6) NOT IN ('840602', '840919') OR SUBSTR(NVL(TRIM(P01_CT_CONT1_MTR), '00000000000000'), 1, 6) IN ('810302', '810922') THEN 0 ELSE 1 END FLGAOK_CTA_CTB /*FILTRO 15: Cuentas Contables*/
                      --CASE WHEN APRRMTX_CO_TABL_INSTR IN ('CHEC', 'COMM', 'CONS', 'CRED', 'LEAS', 'MORT', 'OFFB') /*AND DWHRR_TI_REGI IN ('CAS', 'CON')*/ THEN 1 ELSE 0 END FLGT01_CAS_CON /*FILTRO 16: Documentos castigados y condonados*/--select *
                	FROM RNT.T_APRRINT_HIST PARTITION (P20260703) A
    				WHERE A.P01_ID_APLI = 'LPC'
    				AND p01_id_clie like '%0015222019%'
    				AND  SUBSTR(APRRMTX_CO_FAMILIA,2,2)||SUBSTR(APRRMTX_CO_SUB_FAMILIA,2,2)||SUBSTR(APRRMTX_CO_PRODUCTO,2,2)||
    				SUBSTR(APRRMTX_CO_SUB_PRODUCTO,2,2)||SUBSTR(APRRMTX_CO_COMPONENTE,2,2) like '%103010599%' And P01_CTRL02='0001'
)X
WHERE FLGPRO_PRI = 0 AND FLGPRO_CLI = 0 AND FLGPRO_C07 = 0 AND FLGPRO_RUB = 0 AND FLGPRO_DES = 0 AND FLGACU_IM_CTA = 0 AND FLGACU_IC_LIC = 0
AND FLGACU_PR_FCD = 0 /*AND FLGACU_LSG_LPC = 0*/ AND FLGACU_IM_ST = 0 AND FLGACU_BKT = 0 AND FLGACU_FMU = 0 AND FLGAOK_TAB = 0 AND FLGAOK_CTA_CTB = 0 --AND FLGT01_CAS_CON = 0
AND FLG_CONTINUE=1
AND  P01_ID_APLI &lt;&gt; 'FMU' AND APRRMTX_CO_TABL_INSTR IN ('COMM', 'CONS', 'LEAS' ,'MORT')--&gt;condicion para que sume
GROUP BY P01_ID_APLI,P01_NU_DOCU, P01_SI_DOCU,P01_NU_EMBA </t>
  </si>
  <si>
    <t>0056 = PESO CHILENO (CLP)
* La tabla es manual, no se alimenta de ninguna fuente y se tiene que agregar de manera manual</t>
  </si>
  <si>
    <t xml:space="preserve">* No existe un catalogo oficial de moneda y se tiene que actualizar esto de manera manual
* al actualizar esta tabla no afecta, ya que es de manera manual e igual se sacará un back up </t>
  </si>
  <si>
    <t>Se reviso la data de la tabla RNT.T_APRRINT_MDC_TMP(16 de abril),  en donde vimos que de todos los valores del campo P01_ID_CLIE su longitud de caracteres es 10 pero solo hay un registro en ese campo con longitud 9 y es este registro el cual no pasa a la tabla de Saldos Diarios, siendo el monto de dicho registro el que hace la diferencia en el cuadre que estamos realizando entre APR-Saldos Diarios.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</si>
</sst>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8"/>
      <name val="Calibri"/>
      <family val="2"/>
      <scheme val="minor"/>
    </font>
    <font>
      <sz val="11"/>
      <color theme="1"/>
      <name val="Calibri"/>
      <family val="2"/>
    </font>
    <font>
      <b/>
      <sz val="10"/>
      <color theme="0"/>
      <name val="Arial"/>
      <family val="2"/>
    </font>
    <font>
      <sz val="10"/>
      <color theme="1"/>
      <name val="Arial"/>
      <family val="2"/>
    </font>
    <font>
      <b/>
      <sz val="10"/>
      <color theme="1"/>
      <name val="Arial"/>
      <family val="2"/>
    </font>
    <font>
      <sz val="10"/>
      <color rgb="FF000000"/>
      <name val="Arial"/>
      <family val="2"/>
    </font>
    <font>
      <sz val="11"/>
      <color rgb="FF000000"/>
      <name val="Arial"/>
      <family val="2"/>
    </font>
    <font>
      <b/>
      <sz val="11"/>
      <color rgb="FFFFFFFF"/>
      <name val="Arial"/>
      <family val="2"/>
    </font>
    <font>
      <i/>
      <sz val="11"/>
      <color rgb="FF000000"/>
      <name val="Arial"/>
      <family val="2"/>
    </font>
    <font>
      <b/>
      <sz val="11"/>
      <color rgb="FF000000"/>
      <name val="Calibri"/>
      <family val="2"/>
    </font>
    <font>
      <b/>
      <sz val="10"/>
      <color rgb="FFFFFFFF"/>
      <name val="Arial"/>
      <family val="2"/>
    </font>
    <font>
      <sz val="10"/>
      <color rgb="FFEE0000"/>
      <name val="Arial"/>
      <family val="2"/>
    </font>
    <font>
      <sz val="11"/>
      <color rgb="FF000000"/>
      <name val="Aptos Narrow"/>
      <family val="2"/>
    </font>
    <font>
      <b/>
      <sz val="11"/>
      <color theme="1"/>
      <name val="Calibri"/>
      <family val="2"/>
      <scheme val="minor"/>
    </font>
    <font>
      <b/>
      <sz val="11"/>
      <color rgb="FF000000"/>
      <name val="Arial"/>
      <family val="2"/>
    </font>
    <font>
      <b/>
      <sz val="11"/>
      <color theme="1"/>
      <name val="Calibri"/>
      <family val="2"/>
    </font>
    <font>
      <b/>
      <sz val="10"/>
      <color theme="0"/>
      <name val="Arial"/>
    </font>
    <font>
      <sz val="10"/>
      <color theme="1"/>
      <name val="Arial"/>
    </font>
    <font>
      <sz val="10"/>
      <color theme="1"/>
      <name val="Calibri"/>
      <family val="2"/>
      <scheme val="minor"/>
    </font>
    <font>
      <b/>
      <sz val="11"/>
      <color rgb="FF000000"/>
      <name val="Calibri"/>
    </font>
    <font>
      <sz val="11"/>
      <color rgb="FF000000"/>
      <name val="Calibri"/>
    </font>
    <font>
      <sz val="10"/>
      <color rgb="FF000000"/>
      <name val="Arial"/>
    </font>
    <font>
      <u/>
      <sz val="11"/>
      <color theme="1"/>
      <name val="Calibri"/>
      <family val="2"/>
      <scheme val="minor"/>
    </font>
  </fonts>
  <fills count="6">
    <fill>
      <patternFill patternType="none"/>
    </fill>
    <fill>
      <patternFill patternType="gray125"/>
    </fill>
    <fill>
      <patternFill patternType="solid">
        <fgColor rgb="FF002060"/>
        <bgColor indexed="64"/>
      </patternFill>
    </fill>
    <fill>
      <patternFill patternType="solid">
        <fgColor rgb="FF002060"/>
        <bgColor rgb="FF000000"/>
      </patternFill>
    </fill>
    <fill>
      <patternFill patternType="solid">
        <fgColor rgb="FFFFFF00"/>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s>
  <cellStyleXfs count="1">
    <xf numFmtId="0" fontId="0" fillId="0" borderId="0"/>
  </cellStyleXfs>
  <cellXfs count="103">
    <xf numFmtId="0" fontId="0" fillId="0" borderId="0" xfId="0"/>
    <xf numFmtId="0" fontId="4" fillId="0" borderId="0" xfId="0" applyFont="1"/>
    <xf numFmtId="0" fontId="5"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0" fontId="9" fillId="0" borderId="1" xfId="0" applyFont="1" applyBorder="1" applyAlignment="1">
      <alignment vertical="center" wrapText="1"/>
    </xf>
    <xf numFmtId="0" fontId="7" fillId="0" borderId="1" xfId="0" quotePrefix="1" applyFont="1" applyBorder="1" applyAlignment="1">
      <alignment vertical="center"/>
    </xf>
    <xf numFmtId="0" fontId="7" fillId="0" borderId="1" xfId="0" applyFont="1" applyBorder="1" applyAlignment="1">
      <alignment vertical="center" wrapText="1"/>
    </xf>
    <xf numFmtId="0" fontId="9" fillId="0" borderId="1" xfId="0" applyFont="1" applyBorder="1" applyAlignment="1">
      <alignment vertical="center"/>
    </xf>
    <xf numFmtId="0" fontId="7" fillId="0" borderId="1" xfId="0" quotePrefix="1" applyFont="1" applyBorder="1" applyAlignment="1">
      <alignment vertical="center" wrapText="1"/>
    </xf>
    <xf numFmtId="0" fontId="9" fillId="0" borderId="1" xfId="0" quotePrefix="1" applyFont="1" applyBorder="1" applyAlignment="1">
      <alignment horizontal="center" vertical="center" wrapText="1"/>
    </xf>
    <xf numFmtId="0" fontId="9" fillId="0" borderId="1" xfId="0" quotePrefix="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xf numFmtId="0" fontId="11" fillId="2" borderId="1" xfId="0" applyFont="1" applyFill="1" applyBorder="1" applyAlignment="1">
      <alignment horizontal="center" vertical="center" wrapText="1"/>
    </xf>
    <xf numFmtId="0" fontId="5" fillId="0" borderId="1" xfId="0" applyFont="1" applyBorder="1" applyAlignment="1">
      <alignment vertical="center" wrapText="1"/>
    </xf>
    <xf numFmtId="0" fontId="12" fillId="0" borderId="1" xfId="0" applyFont="1" applyBorder="1" applyAlignment="1">
      <alignment vertical="center" wrapText="1"/>
    </xf>
    <xf numFmtId="0" fontId="3" fillId="2" borderId="1" xfId="0" applyFont="1" applyFill="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wrapText="1"/>
    </xf>
    <xf numFmtId="0" fontId="13" fillId="0" borderId="1" xfId="0" applyFont="1" applyBorder="1" applyAlignment="1">
      <alignment wrapText="1"/>
    </xf>
    <xf numFmtId="0" fontId="7" fillId="5" borderId="1" xfId="0" applyFont="1" applyFill="1" applyBorder="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8" fillId="0" borderId="1" xfId="0" applyFont="1" applyBorder="1" applyAlignment="1">
      <alignment horizontal="left" vertical="center"/>
    </xf>
    <xf numFmtId="0" fontId="0" fillId="0" borderId="5" xfId="0" applyBorder="1" applyAlignment="1">
      <alignment vertical="center"/>
    </xf>
    <xf numFmtId="0" fontId="0" fillId="0" borderId="5" xfId="0" applyBorder="1" applyAlignment="1">
      <alignment vertical="center" wrapText="1"/>
    </xf>
    <xf numFmtId="0" fontId="0" fillId="0" borderId="0" xfId="0" applyAlignment="1">
      <alignment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0" xfId="0" applyAlignment="1">
      <alignment horizontal="center" vertical="center"/>
    </xf>
    <xf numFmtId="0" fontId="0" fillId="0" borderId="5" xfId="0" applyBorder="1"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0" fillId="0" borderId="1" xfId="0" applyBorder="1" applyAlignment="1">
      <alignmen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0"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9"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11" fillId="2" borderId="1" xfId="0" applyFont="1" applyFill="1" applyBorder="1" applyAlignment="1">
      <alignment horizontal="center" vertical="center" wrapText="1"/>
    </xf>
    <xf numFmtId="0" fontId="5" fillId="0" borderId="1" xfId="0" applyFont="1" applyBorder="1" applyAlignment="1">
      <alignment vertical="center" wrapText="1"/>
    </xf>
    <xf numFmtId="0" fontId="18"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9"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14" fillId="0" borderId="1" xfId="0" applyFont="1" applyBorder="1" applyAlignment="1">
      <alignment horizontal="center" vertical="center"/>
    </xf>
    <xf numFmtId="0" fontId="18" fillId="0" borderId="1" xfId="0" applyFont="1" applyBorder="1" applyAlignment="1">
      <alignment horizontal="left" vertical="center" wrapText="1"/>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1" fillId="0" borderId="1" xfId="0" applyFont="1" applyBorder="1" applyAlignment="1">
      <alignment horizontal="left" vertical="center" wrapText="1"/>
    </xf>
    <xf numFmtId="0" fontId="21" fillId="0" borderId="1" xfId="0" applyFont="1" applyBorder="1" applyAlignment="1">
      <alignment horizontal="center" vertical="center" wrapText="1"/>
    </xf>
    <xf numFmtId="0" fontId="10" fillId="0" borderId="8" xfId="0" applyFont="1" applyBorder="1" applyAlignment="1">
      <alignment horizontal="center" vertical="center"/>
    </xf>
    <xf numFmtId="0" fontId="0" fillId="0" borderId="2" xfId="0" applyBorder="1" applyAlignment="1">
      <alignment vertical="center"/>
    </xf>
    <xf numFmtId="0" fontId="22" fillId="0" borderId="2" xfId="0" applyFont="1" applyBorder="1" applyAlignment="1">
      <alignment horizontal="center" vertical="center"/>
    </xf>
    <xf numFmtId="0" fontId="18" fillId="0" borderId="2" xfId="0" applyFont="1" applyBorder="1" applyAlignment="1">
      <alignment horizontal="left" vertical="center"/>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6" fillId="0" borderId="5" xfId="0" applyFont="1" applyBorder="1" applyAlignment="1">
      <alignment horizontal="center" vertical="center"/>
    </xf>
    <xf numFmtId="0" fontId="4" fillId="0" borderId="5" xfId="0" applyFont="1" applyBorder="1" applyAlignment="1">
      <alignment horizontal="left" vertical="center"/>
    </xf>
    <xf numFmtId="0" fontId="6" fillId="0" borderId="5" xfId="0" applyFont="1" applyBorder="1" applyAlignment="1">
      <alignment horizontal="center" vertical="center" wrapText="1"/>
    </xf>
    <xf numFmtId="0" fontId="4" fillId="0" borderId="5" xfId="0" applyFont="1" applyBorder="1" applyAlignment="1">
      <alignment horizontal="left"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cellXfs>
  <cellStyles count="1">
    <cellStyle name="Normal" xfId="0" builtinId="0"/>
  </cellStyles>
  <dxfs count="31">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806000"/>
      </font>
      <fill>
        <patternFill>
          <bgColor rgb="FFFFE699"/>
        </patternFill>
      </fill>
    </dxf>
    <dxf>
      <font>
        <color rgb="FF375623"/>
      </font>
      <fill>
        <patternFill>
          <bgColor rgb="FFA9D08E"/>
        </patternFill>
      </fill>
    </dxf>
    <dxf>
      <font>
        <color rgb="FFC00000"/>
      </font>
      <fill>
        <patternFill>
          <bgColor rgb="FFFFAFAF"/>
        </patternFill>
      </fill>
    </dxf>
    <dxf>
      <font>
        <color rgb="FF806000"/>
      </font>
      <fill>
        <patternFill>
          <bgColor rgb="FFFFE699"/>
        </patternFill>
      </fill>
    </dxf>
    <dxf>
      <font>
        <color rgb="FF375623"/>
      </font>
      <fill>
        <patternFill>
          <bgColor rgb="FFA9D08E"/>
        </patternFill>
      </fill>
    </dxf>
    <dxf>
      <font>
        <color rgb="FFC00000"/>
      </font>
      <fill>
        <patternFill>
          <bgColor rgb="FFFFAFAF"/>
        </patternFill>
      </fill>
    </dxf>
    <dxf>
      <font>
        <color rgb="FF806000"/>
      </font>
      <fill>
        <patternFill>
          <bgColor rgb="FFFFE699"/>
        </patternFill>
      </fill>
    </dxf>
    <dxf>
      <font>
        <color rgb="FF375623"/>
      </font>
      <fill>
        <patternFill>
          <bgColor rgb="FFA9D08E"/>
        </patternFill>
      </fill>
    </dxf>
    <dxf>
      <font>
        <color rgb="FFC00000"/>
      </font>
      <fill>
        <patternFill>
          <bgColor rgb="FFFFAFA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45F3-88F7-41B6-ABDA-452819262D3B}">
  <dimension ref="A1:M62"/>
  <sheetViews>
    <sheetView zoomScale="55" zoomScaleNormal="55" workbookViewId="0">
      <pane ySplit="1" topLeftCell="A2" activePane="bottomLeft" state="frozen"/>
      <selection pane="bottomLeft" activeCell="B7" sqref="B7"/>
    </sheetView>
  </sheetViews>
  <sheetFormatPr baseColWidth="10" defaultColWidth="9.1796875" defaultRowHeight="14.5" x14ac:dyDescent="0.35"/>
  <cols>
    <col min="1" max="1" width="20.7265625" style="21" bestFit="1" customWidth="1"/>
    <col min="2" max="2" width="28.453125" style="21" bestFit="1" customWidth="1"/>
    <col min="3" max="3" width="47.1796875" style="21" bestFit="1" customWidth="1"/>
    <col min="4" max="4" width="18.26953125" style="21" bestFit="1" customWidth="1"/>
    <col min="5" max="5" width="12" style="21" bestFit="1" customWidth="1"/>
    <col min="6" max="6" width="21.453125" style="21" bestFit="1" customWidth="1"/>
    <col min="7" max="7" width="31.453125" style="21" bestFit="1" customWidth="1"/>
    <col min="8" max="8" width="31.1796875" style="21" bestFit="1" customWidth="1"/>
    <col min="9" max="9" width="43.1796875" style="21" hidden="1" customWidth="1"/>
    <col min="10" max="10" width="12.1796875" style="21" hidden="1" customWidth="1"/>
    <col min="11" max="11" width="20.54296875" style="21" bestFit="1" customWidth="1"/>
    <col min="12" max="12" width="28.7265625" style="21" customWidth="1"/>
    <col min="13" max="13" width="19.1796875" style="21" bestFit="1" customWidth="1"/>
    <col min="14" max="16384" width="9.1796875" style="21"/>
  </cols>
  <sheetData>
    <row r="1" spans="1:13" ht="28" x14ac:dyDescent="0.35">
      <c r="A1" s="8" t="s">
        <v>0</v>
      </c>
      <c r="B1" s="8" t="s">
        <v>1</v>
      </c>
      <c r="C1" s="8" t="s">
        <v>2</v>
      </c>
      <c r="D1" s="8" t="s">
        <v>3</v>
      </c>
      <c r="E1" s="8" t="s">
        <v>4</v>
      </c>
      <c r="F1" s="8" t="s">
        <v>5</v>
      </c>
      <c r="G1" s="8" t="s">
        <v>6</v>
      </c>
      <c r="H1" s="8" t="s">
        <v>7</v>
      </c>
      <c r="I1" s="8" t="s">
        <v>8</v>
      </c>
      <c r="J1" s="8" t="s">
        <v>221</v>
      </c>
      <c r="K1" s="8" t="s">
        <v>9</v>
      </c>
      <c r="L1" s="9" t="s">
        <v>222</v>
      </c>
      <c r="M1" s="9" t="s">
        <v>10</v>
      </c>
    </row>
    <row r="2" spans="1:13" ht="29" x14ac:dyDescent="0.35">
      <c r="A2" s="60" t="s">
        <v>11</v>
      </c>
      <c r="B2" s="11" t="s">
        <v>12</v>
      </c>
      <c r="C2" s="60" t="s">
        <v>13</v>
      </c>
      <c r="D2" s="11" t="s">
        <v>14</v>
      </c>
      <c r="E2" s="10" t="s">
        <v>15</v>
      </c>
      <c r="F2" s="11" t="s">
        <v>16</v>
      </c>
      <c r="G2" s="11" t="s">
        <v>17</v>
      </c>
      <c r="H2" s="12" t="s">
        <v>18</v>
      </c>
      <c r="I2" s="13" t="s">
        <v>19</v>
      </c>
      <c r="J2" s="13"/>
      <c r="K2" s="55" t="s">
        <v>20</v>
      </c>
      <c r="L2" s="55" t="s">
        <v>21</v>
      </c>
      <c r="M2" s="55" t="s">
        <v>22</v>
      </c>
    </row>
    <row r="3" spans="1:13" ht="70" x14ac:dyDescent="0.35">
      <c r="A3" s="60"/>
      <c r="B3" s="11" t="s">
        <v>12</v>
      </c>
      <c r="C3" s="60"/>
      <c r="D3" s="11" t="s">
        <v>23</v>
      </c>
      <c r="E3" s="10" t="s">
        <v>24</v>
      </c>
      <c r="F3" s="11" t="s">
        <v>25</v>
      </c>
      <c r="G3" s="11" t="s">
        <v>26</v>
      </c>
      <c r="H3" s="14" t="s">
        <v>27</v>
      </c>
      <c r="I3" s="13" t="s">
        <v>19</v>
      </c>
      <c r="J3" s="13"/>
      <c r="K3" s="55"/>
      <c r="L3" s="55"/>
      <c r="M3" s="55"/>
    </row>
    <row r="4" spans="1:13" ht="154" x14ac:dyDescent="0.35">
      <c r="A4" s="60"/>
      <c r="B4" s="11" t="s">
        <v>12</v>
      </c>
      <c r="C4" s="60"/>
      <c r="D4" s="11" t="s">
        <v>28</v>
      </c>
      <c r="E4" s="10" t="s">
        <v>29</v>
      </c>
      <c r="F4" s="11" t="s">
        <v>30</v>
      </c>
      <c r="G4" s="11" t="s">
        <v>31</v>
      </c>
      <c r="H4" s="15" t="s">
        <v>32</v>
      </c>
      <c r="I4" s="16" t="s">
        <v>223</v>
      </c>
      <c r="J4" s="16" t="s">
        <v>158</v>
      </c>
      <c r="K4" s="55"/>
      <c r="L4" s="55"/>
      <c r="M4" s="55"/>
    </row>
    <row r="5" spans="1:13" ht="28" x14ac:dyDescent="0.35">
      <c r="A5" s="60"/>
      <c r="B5" s="11" t="s">
        <v>12</v>
      </c>
      <c r="C5" s="60"/>
      <c r="D5" s="11" t="s">
        <v>33</v>
      </c>
      <c r="E5" s="10" t="s">
        <v>34</v>
      </c>
      <c r="F5" s="11" t="s">
        <v>25</v>
      </c>
      <c r="G5" s="11" t="s">
        <v>35</v>
      </c>
      <c r="H5" s="14" t="s">
        <v>36</v>
      </c>
      <c r="I5" s="13" t="s">
        <v>19</v>
      </c>
      <c r="J5" s="13"/>
      <c r="K5" s="55"/>
      <c r="L5" s="55"/>
      <c r="M5" s="55"/>
    </row>
    <row r="6" spans="1:13" s="22" customFormat="1" ht="29" x14ac:dyDescent="0.35">
      <c r="A6" s="59" t="s">
        <v>37</v>
      </c>
      <c r="B6" s="14" t="s">
        <v>38</v>
      </c>
      <c r="C6" s="59" t="s">
        <v>39</v>
      </c>
      <c r="D6" s="14" t="s">
        <v>14</v>
      </c>
      <c r="E6" s="10" t="s">
        <v>15</v>
      </c>
      <c r="F6" s="14" t="s">
        <v>16</v>
      </c>
      <c r="G6" s="14" t="s">
        <v>40</v>
      </c>
      <c r="H6" s="12" t="s">
        <v>18</v>
      </c>
      <c r="I6" s="13" t="s">
        <v>19</v>
      </c>
      <c r="J6" s="13"/>
      <c r="K6" s="55" t="s">
        <v>20</v>
      </c>
      <c r="L6" s="55" t="s">
        <v>21</v>
      </c>
      <c r="M6" s="55" t="s">
        <v>22</v>
      </c>
    </row>
    <row r="7" spans="1:13" ht="140" x14ac:dyDescent="0.35">
      <c r="A7" s="60"/>
      <c r="B7" s="11" t="s">
        <v>38</v>
      </c>
      <c r="C7" s="60"/>
      <c r="D7" s="11" t="s">
        <v>28</v>
      </c>
      <c r="E7" s="10" t="s">
        <v>24</v>
      </c>
      <c r="F7" s="11" t="s">
        <v>42</v>
      </c>
      <c r="G7" s="11" t="s">
        <v>31</v>
      </c>
      <c r="H7" s="15" t="s">
        <v>32</v>
      </c>
      <c r="I7" s="16" t="s">
        <v>224</v>
      </c>
      <c r="J7" s="16" t="s">
        <v>135</v>
      </c>
      <c r="K7" s="55"/>
      <c r="L7" s="55"/>
      <c r="M7" s="55"/>
    </row>
    <row r="8" spans="1:13" ht="42" x14ac:dyDescent="0.35">
      <c r="A8" s="60"/>
      <c r="B8" s="11" t="s">
        <v>38</v>
      </c>
      <c r="C8" s="60"/>
      <c r="D8" s="11" t="s">
        <v>33</v>
      </c>
      <c r="E8" s="10" t="s">
        <v>29</v>
      </c>
      <c r="F8" s="11" t="s">
        <v>25</v>
      </c>
      <c r="G8" s="11" t="s">
        <v>35</v>
      </c>
      <c r="H8" s="14" t="s">
        <v>50</v>
      </c>
      <c r="I8" s="16" t="s">
        <v>226</v>
      </c>
      <c r="J8" s="16" t="s">
        <v>162</v>
      </c>
      <c r="K8" s="55"/>
      <c r="L8" s="55"/>
      <c r="M8" s="55"/>
    </row>
    <row r="9" spans="1:13" ht="56" x14ac:dyDescent="0.35">
      <c r="A9" s="60"/>
      <c r="B9" s="11" t="s">
        <v>38</v>
      </c>
      <c r="C9" s="60"/>
      <c r="D9" s="11" t="s">
        <v>43</v>
      </c>
      <c r="E9" s="10" t="s">
        <v>34</v>
      </c>
      <c r="F9" s="11" t="s">
        <v>44</v>
      </c>
      <c r="G9" s="11" t="s">
        <v>45</v>
      </c>
      <c r="H9" s="10">
        <v>1</v>
      </c>
      <c r="I9" s="16" t="s">
        <v>225</v>
      </c>
      <c r="J9" s="16"/>
      <c r="K9" s="55"/>
      <c r="L9" s="55"/>
      <c r="M9" s="55"/>
    </row>
    <row r="10" spans="1:13" ht="29" x14ac:dyDescent="0.35">
      <c r="A10" s="59" t="s">
        <v>46</v>
      </c>
      <c r="B10" s="11" t="s">
        <v>47</v>
      </c>
      <c r="C10" s="59" t="s">
        <v>48</v>
      </c>
      <c r="D10" s="11" t="s">
        <v>14</v>
      </c>
      <c r="E10" s="10" t="s">
        <v>15</v>
      </c>
      <c r="F10" s="11" t="s">
        <v>49</v>
      </c>
      <c r="G10" s="11" t="s">
        <v>17</v>
      </c>
      <c r="H10" s="12" t="s">
        <v>18</v>
      </c>
      <c r="I10" s="13" t="s">
        <v>19</v>
      </c>
      <c r="J10" s="13"/>
      <c r="K10" s="55" t="s">
        <v>20</v>
      </c>
      <c r="L10" s="55" t="s">
        <v>21</v>
      </c>
      <c r="M10" s="55" t="s">
        <v>22</v>
      </c>
    </row>
    <row r="11" spans="1:13" ht="42" x14ac:dyDescent="0.35">
      <c r="A11" s="59"/>
      <c r="B11" s="11" t="s">
        <v>47</v>
      </c>
      <c r="C11" s="59"/>
      <c r="D11" s="11" t="s">
        <v>33</v>
      </c>
      <c r="E11" s="10" t="s">
        <v>24</v>
      </c>
      <c r="F11" s="11" t="s">
        <v>25</v>
      </c>
      <c r="G11" s="11" t="s">
        <v>35</v>
      </c>
      <c r="H11" s="14" t="s">
        <v>50</v>
      </c>
      <c r="I11" s="16" t="s">
        <v>226</v>
      </c>
      <c r="J11" s="16" t="s">
        <v>162</v>
      </c>
      <c r="K11" s="55"/>
      <c r="L11" s="55"/>
      <c r="M11" s="55"/>
    </row>
    <row r="12" spans="1:13" x14ac:dyDescent="0.35">
      <c r="A12" s="59"/>
      <c r="B12" s="11" t="s">
        <v>47</v>
      </c>
      <c r="C12" s="59"/>
      <c r="D12" s="11" t="s">
        <v>28</v>
      </c>
      <c r="E12" s="10" t="s">
        <v>29</v>
      </c>
      <c r="F12" s="11" t="s">
        <v>30</v>
      </c>
      <c r="G12" s="11" t="s">
        <v>31</v>
      </c>
      <c r="H12" s="15" t="s">
        <v>32</v>
      </c>
      <c r="I12" s="13" t="s">
        <v>19</v>
      </c>
      <c r="J12" s="13"/>
      <c r="K12" s="55"/>
      <c r="L12" s="55"/>
      <c r="M12" s="55"/>
    </row>
    <row r="13" spans="1:13" s="23" customFormat="1" ht="29" x14ac:dyDescent="0.35">
      <c r="A13" s="59" t="s">
        <v>51</v>
      </c>
      <c r="B13" s="11" t="s">
        <v>52</v>
      </c>
      <c r="C13" s="59" t="s">
        <v>53</v>
      </c>
      <c r="D13" s="11" t="s">
        <v>14</v>
      </c>
      <c r="E13" s="10" t="s">
        <v>15</v>
      </c>
      <c r="F13" s="11" t="s">
        <v>16</v>
      </c>
      <c r="G13" s="11" t="s">
        <v>17</v>
      </c>
      <c r="H13" s="17" t="s">
        <v>18</v>
      </c>
      <c r="I13" s="11"/>
      <c r="J13" s="11"/>
      <c r="K13" s="55" t="s">
        <v>20</v>
      </c>
      <c r="L13" s="55" t="s">
        <v>21</v>
      </c>
      <c r="M13" s="55" t="s">
        <v>22</v>
      </c>
    </row>
    <row r="14" spans="1:13" s="23" customFormat="1" x14ac:dyDescent="0.35">
      <c r="A14" s="59"/>
      <c r="B14" s="11" t="s">
        <v>52</v>
      </c>
      <c r="C14" s="59"/>
      <c r="D14" s="11" t="s">
        <v>54</v>
      </c>
      <c r="E14" s="10" t="s">
        <v>24</v>
      </c>
      <c r="F14" s="11" t="s">
        <v>42</v>
      </c>
      <c r="G14" s="11" t="s">
        <v>31</v>
      </c>
      <c r="H14" s="18" t="s">
        <v>32</v>
      </c>
      <c r="I14" s="11"/>
      <c r="J14" s="11"/>
      <c r="K14" s="55"/>
      <c r="L14" s="55"/>
      <c r="M14" s="55"/>
    </row>
    <row r="15" spans="1:13" s="23" customFormat="1" ht="70" x14ac:dyDescent="0.35">
      <c r="A15" s="59"/>
      <c r="B15" s="11" t="s">
        <v>52</v>
      </c>
      <c r="C15" s="59"/>
      <c r="D15" s="11" t="s">
        <v>33</v>
      </c>
      <c r="E15" s="10" t="s">
        <v>29</v>
      </c>
      <c r="F15" s="11" t="s">
        <v>25</v>
      </c>
      <c r="G15" s="11" t="s">
        <v>35</v>
      </c>
      <c r="H15" s="14" t="s">
        <v>55</v>
      </c>
      <c r="I15" s="34" t="s">
        <v>227</v>
      </c>
      <c r="J15" s="11" t="s">
        <v>152</v>
      </c>
      <c r="K15" s="55"/>
      <c r="L15" s="55"/>
      <c r="M15" s="55"/>
    </row>
    <row r="16" spans="1:13" s="23" customFormat="1" ht="29" x14ac:dyDescent="0.35">
      <c r="A16" s="59" t="s">
        <v>56</v>
      </c>
      <c r="B16" s="11" t="s">
        <v>57</v>
      </c>
      <c r="C16" s="59" t="s">
        <v>58</v>
      </c>
      <c r="D16" s="11" t="s">
        <v>14</v>
      </c>
      <c r="E16" s="10" t="s">
        <v>15</v>
      </c>
      <c r="F16" s="11" t="s">
        <v>16</v>
      </c>
      <c r="G16" s="11" t="s">
        <v>17</v>
      </c>
      <c r="H16" s="17" t="s">
        <v>18</v>
      </c>
      <c r="I16" s="14"/>
      <c r="J16" s="14"/>
      <c r="K16" s="55" t="s">
        <v>20</v>
      </c>
      <c r="L16" s="55" t="s">
        <v>21</v>
      </c>
      <c r="M16" s="55" t="s">
        <v>22</v>
      </c>
    </row>
    <row r="17" spans="1:13" s="23" customFormat="1" ht="84" x14ac:dyDescent="0.35">
      <c r="A17" s="59"/>
      <c r="B17" s="11" t="s">
        <v>57</v>
      </c>
      <c r="C17" s="59"/>
      <c r="D17" s="11" t="s">
        <v>54</v>
      </c>
      <c r="E17" s="10" t="s">
        <v>24</v>
      </c>
      <c r="F17" s="11" t="s">
        <v>42</v>
      </c>
      <c r="G17" s="11" t="s">
        <v>31</v>
      </c>
      <c r="H17" s="18" t="s">
        <v>32</v>
      </c>
      <c r="I17" s="14" t="s">
        <v>212</v>
      </c>
      <c r="J17" s="14" t="s">
        <v>214</v>
      </c>
      <c r="K17" s="55"/>
      <c r="L17" s="55"/>
      <c r="M17" s="55"/>
    </row>
    <row r="18" spans="1:13" s="23" customFormat="1" ht="28" x14ac:dyDescent="0.35">
      <c r="A18" s="59"/>
      <c r="B18" s="11" t="s">
        <v>57</v>
      </c>
      <c r="C18" s="59"/>
      <c r="D18" s="11" t="s">
        <v>273</v>
      </c>
      <c r="E18" s="10" t="s">
        <v>29</v>
      </c>
      <c r="F18" s="11" t="s">
        <v>25</v>
      </c>
      <c r="G18" s="11" t="s">
        <v>274</v>
      </c>
      <c r="H18" s="18"/>
      <c r="I18" s="14" t="s">
        <v>275</v>
      </c>
      <c r="J18" s="14"/>
      <c r="K18" s="55"/>
      <c r="L18" s="55"/>
      <c r="M18" s="55"/>
    </row>
    <row r="19" spans="1:13" ht="28" x14ac:dyDescent="0.35">
      <c r="A19" s="59"/>
      <c r="B19" s="11" t="s">
        <v>57</v>
      </c>
      <c r="C19" s="59"/>
      <c r="D19" s="11" t="s">
        <v>33</v>
      </c>
      <c r="E19" s="10" t="s">
        <v>34</v>
      </c>
      <c r="F19" s="11" t="s">
        <v>25</v>
      </c>
      <c r="G19" s="11" t="s">
        <v>35</v>
      </c>
      <c r="H19" s="14" t="s">
        <v>36</v>
      </c>
      <c r="I19" s="13" t="s">
        <v>19</v>
      </c>
      <c r="J19" s="13"/>
      <c r="K19" s="55"/>
      <c r="L19" s="55"/>
      <c r="M19" s="55"/>
    </row>
    <row r="20" spans="1:13" s="23" customFormat="1" ht="29" x14ac:dyDescent="0.35">
      <c r="A20" s="59"/>
      <c r="B20" s="11" t="s">
        <v>60</v>
      </c>
      <c r="C20" s="60" t="s">
        <v>61</v>
      </c>
      <c r="D20" s="11" t="s">
        <v>14</v>
      </c>
      <c r="E20" s="10" t="s">
        <v>15</v>
      </c>
      <c r="F20" s="11" t="s">
        <v>16</v>
      </c>
      <c r="G20" s="11" t="s">
        <v>17</v>
      </c>
      <c r="H20" s="17" t="s">
        <v>18</v>
      </c>
      <c r="I20" s="11" t="s">
        <v>62</v>
      </c>
      <c r="J20" s="11"/>
      <c r="K20" s="55" t="s">
        <v>20</v>
      </c>
      <c r="L20" s="55" t="s">
        <v>21</v>
      </c>
      <c r="M20" s="55" t="s">
        <v>22</v>
      </c>
    </row>
    <row r="21" spans="1:13" s="23" customFormat="1" x14ac:dyDescent="0.35">
      <c r="A21" s="59"/>
      <c r="B21" s="11" t="s">
        <v>60</v>
      </c>
      <c r="C21" s="60"/>
      <c r="D21" s="11" t="s">
        <v>54</v>
      </c>
      <c r="E21" s="10" t="s">
        <v>24</v>
      </c>
      <c r="F21" s="11" t="s">
        <v>42</v>
      </c>
      <c r="G21" s="11" t="s">
        <v>31</v>
      </c>
      <c r="H21" s="18" t="s">
        <v>32</v>
      </c>
      <c r="I21" s="11"/>
      <c r="J21" s="11"/>
      <c r="K21" s="55"/>
      <c r="L21" s="55"/>
      <c r="M21" s="55"/>
    </row>
    <row r="22" spans="1:13" s="23" customFormat="1" ht="28" x14ac:dyDescent="0.35">
      <c r="A22" s="59"/>
      <c r="B22" s="11" t="s">
        <v>60</v>
      </c>
      <c r="C22" s="60"/>
      <c r="D22" s="11" t="s">
        <v>273</v>
      </c>
      <c r="E22" s="10" t="s">
        <v>29</v>
      </c>
      <c r="F22" s="11" t="s">
        <v>25</v>
      </c>
      <c r="G22" s="11" t="s">
        <v>274</v>
      </c>
      <c r="H22" s="18"/>
      <c r="I22" s="14" t="s">
        <v>275</v>
      </c>
      <c r="J22" s="11"/>
      <c r="K22" s="55"/>
      <c r="L22" s="55"/>
      <c r="M22" s="55"/>
    </row>
    <row r="23" spans="1:13" s="23" customFormat="1" ht="28" x14ac:dyDescent="0.35">
      <c r="A23" s="59"/>
      <c r="B23" s="11" t="s">
        <v>60</v>
      </c>
      <c r="C23" s="60"/>
      <c r="D23" s="11" t="s">
        <v>33</v>
      </c>
      <c r="E23" s="10" t="s">
        <v>29</v>
      </c>
      <c r="F23" s="11" t="s">
        <v>25</v>
      </c>
      <c r="G23" s="11" t="s">
        <v>35</v>
      </c>
      <c r="H23" s="14" t="s">
        <v>36</v>
      </c>
      <c r="I23" s="11"/>
      <c r="J23" s="11"/>
      <c r="K23" s="55"/>
      <c r="L23" s="55"/>
      <c r="M23" s="55"/>
    </row>
    <row r="24" spans="1:13" ht="29" x14ac:dyDescent="0.35">
      <c r="A24" s="59" t="s">
        <v>63</v>
      </c>
      <c r="B24" s="11" t="s">
        <v>64</v>
      </c>
      <c r="C24" s="59" t="s">
        <v>65</v>
      </c>
      <c r="D24" s="11" t="s">
        <v>14</v>
      </c>
      <c r="E24" s="10" t="s">
        <v>15</v>
      </c>
      <c r="F24" s="11" t="s">
        <v>49</v>
      </c>
      <c r="G24" s="11" t="s">
        <v>17</v>
      </c>
      <c r="H24" s="12" t="s">
        <v>18</v>
      </c>
      <c r="I24" s="13" t="s">
        <v>19</v>
      </c>
      <c r="J24" s="13"/>
      <c r="K24" s="55" t="s">
        <v>20</v>
      </c>
      <c r="L24" s="55" t="s">
        <v>21</v>
      </c>
      <c r="M24" s="55" t="s">
        <v>22</v>
      </c>
    </row>
    <row r="25" spans="1:13" ht="56" x14ac:dyDescent="0.35">
      <c r="A25" s="59"/>
      <c r="B25" s="11" t="s">
        <v>64</v>
      </c>
      <c r="C25" s="59"/>
      <c r="D25" s="11" t="s">
        <v>28</v>
      </c>
      <c r="E25" s="10" t="s">
        <v>24</v>
      </c>
      <c r="F25" s="11" t="s">
        <v>30</v>
      </c>
      <c r="G25" s="11" t="s">
        <v>31</v>
      </c>
      <c r="H25" s="15" t="s">
        <v>32</v>
      </c>
      <c r="I25" s="16" t="s">
        <v>66</v>
      </c>
      <c r="J25" s="16" t="s">
        <v>192</v>
      </c>
      <c r="K25" s="55"/>
      <c r="L25" s="55"/>
      <c r="M25" s="55"/>
    </row>
    <row r="26" spans="1:13" ht="28" x14ac:dyDescent="0.35">
      <c r="A26" s="59"/>
      <c r="B26" s="11" t="s">
        <v>64</v>
      </c>
      <c r="C26" s="59"/>
      <c r="D26" s="11" t="s">
        <v>33</v>
      </c>
      <c r="E26" s="10" t="s">
        <v>29</v>
      </c>
      <c r="F26" s="11" t="s">
        <v>25</v>
      </c>
      <c r="G26" s="11" t="s">
        <v>35</v>
      </c>
      <c r="H26" s="14" t="s">
        <v>36</v>
      </c>
      <c r="I26" s="13"/>
      <c r="J26" s="13"/>
      <c r="K26" s="55"/>
      <c r="L26" s="55"/>
      <c r="M26" s="55"/>
    </row>
    <row r="27" spans="1:13" ht="29" x14ac:dyDescent="0.35">
      <c r="A27" s="59" t="s">
        <v>67</v>
      </c>
      <c r="B27" s="11" t="s">
        <v>68</v>
      </c>
      <c r="C27" s="59" t="s">
        <v>69</v>
      </c>
      <c r="D27" s="11" t="s">
        <v>14</v>
      </c>
      <c r="E27" s="10" t="s">
        <v>15</v>
      </c>
      <c r="F27" s="11" t="s">
        <v>49</v>
      </c>
      <c r="G27" s="11" t="s">
        <v>17</v>
      </c>
      <c r="H27" s="12" t="s">
        <v>18</v>
      </c>
      <c r="I27" s="13" t="s">
        <v>19</v>
      </c>
      <c r="J27" s="13"/>
      <c r="K27" s="55" t="s">
        <v>20</v>
      </c>
      <c r="L27" s="55" t="s">
        <v>21</v>
      </c>
      <c r="M27" s="55" t="s">
        <v>22</v>
      </c>
    </row>
    <row r="28" spans="1:13" x14ac:dyDescent="0.35">
      <c r="A28" s="59"/>
      <c r="B28" s="11" t="s">
        <v>68</v>
      </c>
      <c r="C28" s="59"/>
      <c r="D28" s="11" t="s">
        <v>28</v>
      </c>
      <c r="E28" s="10" t="s">
        <v>24</v>
      </c>
      <c r="F28" s="11" t="s">
        <v>30</v>
      </c>
      <c r="G28" s="11" t="s">
        <v>31</v>
      </c>
      <c r="H28" s="15" t="s">
        <v>32</v>
      </c>
      <c r="I28" s="13" t="s">
        <v>19</v>
      </c>
      <c r="J28" s="13"/>
      <c r="K28" s="55"/>
      <c r="L28" s="55"/>
      <c r="M28" s="55"/>
    </row>
    <row r="29" spans="1:13" ht="28" x14ac:dyDescent="0.35">
      <c r="A29" s="59"/>
      <c r="B29" s="11" t="s">
        <v>68</v>
      </c>
      <c r="C29" s="59"/>
      <c r="D29" s="11" t="s">
        <v>33</v>
      </c>
      <c r="E29" s="10" t="s">
        <v>29</v>
      </c>
      <c r="F29" s="11" t="s">
        <v>25</v>
      </c>
      <c r="G29" s="11" t="s">
        <v>35</v>
      </c>
      <c r="H29" s="14" t="s">
        <v>36</v>
      </c>
      <c r="I29" s="13"/>
      <c r="J29" s="13"/>
      <c r="K29" s="55"/>
      <c r="L29" s="55"/>
      <c r="M29" s="55"/>
    </row>
    <row r="30" spans="1:13" ht="29" x14ac:dyDescent="0.35">
      <c r="A30" s="59" t="s">
        <v>70</v>
      </c>
      <c r="B30" s="11" t="s">
        <v>71</v>
      </c>
      <c r="C30" s="61" t="s">
        <v>72</v>
      </c>
      <c r="D30" s="11" t="s">
        <v>14</v>
      </c>
      <c r="E30" s="10" t="s">
        <v>15</v>
      </c>
      <c r="F30" s="11" t="s">
        <v>49</v>
      </c>
      <c r="G30" s="11" t="s">
        <v>17</v>
      </c>
      <c r="H30" s="12" t="s">
        <v>18</v>
      </c>
      <c r="I30" s="13" t="s">
        <v>19</v>
      </c>
      <c r="J30" s="13"/>
      <c r="K30" s="55" t="s">
        <v>20</v>
      </c>
      <c r="L30" s="55" t="s">
        <v>21</v>
      </c>
      <c r="M30" s="55" t="s">
        <v>22</v>
      </c>
    </row>
    <row r="31" spans="1:13" x14ac:dyDescent="0.35">
      <c r="A31" s="59"/>
      <c r="B31" s="11" t="s">
        <v>71</v>
      </c>
      <c r="C31" s="61"/>
      <c r="D31" s="11" t="s">
        <v>28</v>
      </c>
      <c r="E31" s="10" t="s">
        <v>24</v>
      </c>
      <c r="F31" s="11" t="s">
        <v>30</v>
      </c>
      <c r="G31" s="11" t="s">
        <v>31</v>
      </c>
      <c r="H31" s="15" t="s">
        <v>32</v>
      </c>
      <c r="I31" s="13" t="s">
        <v>19</v>
      </c>
      <c r="J31" s="13"/>
      <c r="K31" s="55"/>
      <c r="L31" s="55"/>
      <c r="M31" s="55"/>
    </row>
    <row r="32" spans="1:13" ht="28" x14ac:dyDescent="0.35">
      <c r="A32" s="59"/>
      <c r="B32" s="11" t="s">
        <v>71</v>
      </c>
      <c r="C32" s="61"/>
      <c r="D32" s="11" t="s">
        <v>33</v>
      </c>
      <c r="E32" s="10" t="s">
        <v>29</v>
      </c>
      <c r="F32" s="11" t="s">
        <v>25</v>
      </c>
      <c r="G32" s="11" t="s">
        <v>35</v>
      </c>
      <c r="H32" s="14" t="s">
        <v>36</v>
      </c>
      <c r="I32" s="13"/>
      <c r="J32" s="13"/>
      <c r="K32" s="55"/>
      <c r="L32" s="55"/>
      <c r="M32" s="55"/>
    </row>
    <row r="33" spans="1:13" ht="29" x14ac:dyDescent="0.35">
      <c r="A33" s="59" t="s">
        <v>73</v>
      </c>
      <c r="B33" s="11" t="s">
        <v>74</v>
      </c>
      <c r="C33" s="59" t="s">
        <v>75</v>
      </c>
      <c r="D33" s="11" t="s">
        <v>14</v>
      </c>
      <c r="E33" s="10" t="s">
        <v>15</v>
      </c>
      <c r="F33" s="11" t="s">
        <v>49</v>
      </c>
      <c r="G33" s="11" t="s">
        <v>17</v>
      </c>
      <c r="H33" s="12" t="s">
        <v>18</v>
      </c>
      <c r="I33" s="13" t="s">
        <v>19</v>
      </c>
      <c r="J33" s="13"/>
      <c r="K33" s="55" t="s">
        <v>20</v>
      </c>
      <c r="L33" s="55" t="s">
        <v>21</v>
      </c>
      <c r="M33" s="55" t="s">
        <v>22</v>
      </c>
    </row>
    <row r="34" spans="1:13" x14ac:dyDescent="0.35">
      <c r="A34" s="59"/>
      <c r="B34" s="11" t="s">
        <v>74</v>
      </c>
      <c r="C34" s="59"/>
      <c r="D34" s="11" t="s">
        <v>28</v>
      </c>
      <c r="E34" s="10" t="s">
        <v>24</v>
      </c>
      <c r="F34" s="11" t="s">
        <v>30</v>
      </c>
      <c r="G34" s="11" t="s">
        <v>31</v>
      </c>
      <c r="H34" s="15" t="s">
        <v>32</v>
      </c>
      <c r="I34" s="13" t="s">
        <v>19</v>
      </c>
      <c r="J34" s="13"/>
      <c r="K34" s="55"/>
      <c r="L34" s="55"/>
      <c r="M34" s="55"/>
    </row>
    <row r="35" spans="1:13" ht="28" x14ac:dyDescent="0.35">
      <c r="A35" s="59"/>
      <c r="B35" s="11" t="s">
        <v>74</v>
      </c>
      <c r="C35" s="59"/>
      <c r="D35" s="11" t="s">
        <v>33</v>
      </c>
      <c r="E35" s="10" t="s">
        <v>29</v>
      </c>
      <c r="F35" s="11" t="s">
        <v>25</v>
      </c>
      <c r="G35" s="11" t="s">
        <v>35</v>
      </c>
      <c r="H35" s="14" t="s">
        <v>36</v>
      </c>
      <c r="I35" s="13"/>
      <c r="J35" s="13"/>
      <c r="K35" s="55"/>
      <c r="L35" s="55"/>
      <c r="M35" s="55"/>
    </row>
    <row r="36" spans="1:13" ht="42" x14ac:dyDescent="0.35">
      <c r="A36" s="59"/>
      <c r="B36" s="11" t="s">
        <v>76</v>
      </c>
      <c r="C36" s="59"/>
      <c r="D36" s="11" t="s">
        <v>14</v>
      </c>
      <c r="E36" s="10" t="s">
        <v>15</v>
      </c>
      <c r="F36" s="11" t="s">
        <v>49</v>
      </c>
      <c r="G36" s="11" t="s">
        <v>17</v>
      </c>
      <c r="H36" s="12" t="s">
        <v>18</v>
      </c>
      <c r="I36" s="16" t="s">
        <v>77</v>
      </c>
      <c r="J36" s="16" t="s">
        <v>170</v>
      </c>
      <c r="K36" s="55" t="s">
        <v>20</v>
      </c>
      <c r="L36" s="55" t="s">
        <v>21</v>
      </c>
      <c r="M36" s="55" t="s">
        <v>22</v>
      </c>
    </row>
    <row r="37" spans="1:13" x14ac:dyDescent="0.35">
      <c r="A37" s="59"/>
      <c r="B37" s="11" t="s">
        <v>76</v>
      </c>
      <c r="C37" s="59"/>
      <c r="D37" s="11" t="s">
        <v>28</v>
      </c>
      <c r="E37" s="10" t="s">
        <v>24</v>
      </c>
      <c r="F37" s="11" t="s">
        <v>30</v>
      </c>
      <c r="G37" s="11" t="s">
        <v>31</v>
      </c>
      <c r="H37" s="15" t="s">
        <v>32</v>
      </c>
      <c r="I37" s="13" t="s">
        <v>19</v>
      </c>
      <c r="J37" s="13"/>
      <c r="K37" s="55"/>
      <c r="L37" s="55"/>
      <c r="M37" s="55"/>
    </row>
    <row r="38" spans="1:13" ht="28" x14ac:dyDescent="0.35">
      <c r="A38" s="59"/>
      <c r="B38" s="11" t="s">
        <v>76</v>
      </c>
      <c r="C38" s="59"/>
      <c r="D38" s="11" t="s">
        <v>33</v>
      </c>
      <c r="E38" s="10" t="s">
        <v>29</v>
      </c>
      <c r="F38" s="11" t="s">
        <v>25</v>
      </c>
      <c r="G38" s="11" t="s">
        <v>35</v>
      </c>
      <c r="H38" s="14" t="s">
        <v>36</v>
      </c>
      <c r="I38" s="13"/>
      <c r="J38" s="13"/>
      <c r="K38" s="55"/>
      <c r="L38" s="55"/>
      <c r="M38" s="55"/>
    </row>
    <row r="39" spans="1:13" ht="29" x14ac:dyDescent="0.35">
      <c r="A39" s="59" t="s">
        <v>78</v>
      </c>
      <c r="B39" s="11" t="s">
        <v>79</v>
      </c>
      <c r="C39" s="59" t="s">
        <v>80</v>
      </c>
      <c r="D39" s="11" t="s">
        <v>14</v>
      </c>
      <c r="E39" s="10" t="s">
        <v>15</v>
      </c>
      <c r="F39" s="11" t="s">
        <v>49</v>
      </c>
      <c r="G39" s="11" t="s">
        <v>17</v>
      </c>
      <c r="H39" s="12" t="s">
        <v>18</v>
      </c>
      <c r="I39" s="13" t="s">
        <v>19</v>
      </c>
      <c r="J39" s="13"/>
      <c r="K39" s="55" t="s">
        <v>20</v>
      </c>
      <c r="L39" s="55" t="s">
        <v>21</v>
      </c>
      <c r="M39" s="55" t="s">
        <v>22</v>
      </c>
    </row>
    <row r="40" spans="1:13" x14ac:dyDescent="0.35">
      <c r="A40" s="59"/>
      <c r="B40" s="11" t="s">
        <v>79</v>
      </c>
      <c r="C40" s="59"/>
      <c r="D40" s="11" t="s">
        <v>28</v>
      </c>
      <c r="E40" s="10" t="s">
        <v>24</v>
      </c>
      <c r="F40" s="11" t="s">
        <v>30</v>
      </c>
      <c r="G40" s="11" t="s">
        <v>31</v>
      </c>
      <c r="H40" s="15" t="s">
        <v>32</v>
      </c>
      <c r="I40" s="13" t="s">
        <v>19</v>
      </c>
      <c r="J40" s="13"/>
      <c r="K40" s="55"/>
      <c r="L40" s="55"/>
      <c r="M40" s="55"/>
    </row>
    <row r="41" spans="1:13" ht="28" x14ac:dyDescent="0.35">
      <c r="A41" s="59"/>
      <c r="B41" s="11" t="s">
        <v>79</v>
      </c>
      <c r="C41" s="59"/>
      <c r="D41" s="11" t="s">
        <v>33</v>
      </c>
      <c r="E41" s="10" t="s">
        <v>29</v>
      </c>
      <c r="F41" s="11" t="s">
        <v>25</v>
      </c>
      <c r="G41" s="11" t="s">
        <v>35</v>
      </c>
      <c r="H41" s="14" t="s">
        <v>36</v>
      </c>
      <c r="I41" s="13"/>
      <c r="J41" s="13"/>
      <c r="K41" s="55"/>
      <c r="L41" s="55"/>
      <c r="M41" s="55"/>
    </row>
    <row r="42" spans="1:13" ht="29" x14ac:dyDescent="0.35">
      <c r="A42" s="59" t="s">
        <v>81</v>
      </c>
      <c r="B42" s="11" t="s">
        <v>82</v>
      </c>
      <c r="C42" s="59" t="s">
        <v>83</v>
      </c>
      <c r="D42" s="11" t="s">
        <v>14</v>
      </c>
      <c r="E42" s="10" t="s">
        <v>15</v>
      </c>
      <c r="F42" s="11" t="s">
        <v>49</v>
      </c>
      <c r="G42" s="11" t="s">
        <v>17</v>
      </c>
      <c r="H42" s="12" t="s">
        <v>18</v>
      </c>
      <c r="I42" s="13" t="s">
        <v>19</v>
      </c>
      <c r="J42" s="13"/>
      <c r="K42" s="55" t="s">
        <v>20</v>
      </c>
      <c r="L42" s="55" t="s">
        <v>21</v>
      </c>
      <c r="M42" s="55" t="s">
        <v>22</v>
      </c>
    </row>
    <row r="43" spans="1:13" ht="70" x14ac:dyDescent="0.35">
      <c r="A43" s="59"/>
      <c r="B43" s="11" t="s">
        <v>82</v>
      </c>
      <c r="C43" s="59"/>
      <c r="D43" s="11" t="s">
        <v>28</v>
      </c>
      <c r="E43" s="10" t="s">
        <v>24</v>
      </c>
      <c r="F43" s="11" t="s">
        <v>30</v>
      </c>
      <c r="G43" s="11" t="s">
        <v>31</v>
      </c>
      <c r="H43" s="15" t="s">
        <v>32</v>
      </c>
      <c r="I43" s="16" t="s">
        <v>84</v>
      </c>
      <c r="J43" s="16" t="s">
        <v>176</v>
      </c>
      <c r="K43" s="55"/>
      <c r="L43" s="55"/>
      <c r="M43" s="55"/>
    </row>
    <row r="44" spans="1:13" ht="28" x14ac:dyDescent="0.35">
      <c r="A44" s="59"/>
      <c r="B44" s="11"/>
      <c r="C44" s="59"/>
      <c r="D44" s="11" t="s">
        <v>33</v>
      </c>
      <c r="E44" s="10" t="s">
        <v>29</v>
      </c>
      <c r="F44" s="11" t="s">
        <v>25</v>
      </c>
      <c r="G44" s="11" t="s">
        <v>35</v>
      </c>
      <c r="H44" s="14" t="s">
        <v>36</v>
      </c>
      <c r="I44" s="16"/>
      <c r="J44" s="16"/>
      <c r="K44" s="55"/>
      <c r="L44" s="55"/>
      <c r="M44" s="55"/>
    </row>
    <row r="45" spans="1:13" ht="29" hidden="1" x14ac:dyDescent="0.35">
      <c r="A45" s="59" t="s">
        <v>85</v>
      </c>
      <c r="B45" s="11" t="s">
        <v>86</v>
      </c>
      <c r="C45" s="61" t="s">
        <v>87</v>
      </c>
      <c r="D45" s="11" t="s">
        <v>14</v>
      </c>
      <c r="E45" s="10" t="s">
        <v>15</v>
      </c>
      <c r="F45" s="11" t="s">
        <v>49</v>
      </c>
      <c r="G45" s="11" t="s">
        <v>17</v>
      </c>
      <c r="H45" s="12" t="s">
        <v>18</v>
      </c>
      <c r="I45" s="13" t="s">
        <v>19</v>
      </c>
      <c r="J45" s="13"/>
      <c r="K45" s="55" t="s">
        <v>20</v>
      </c>
      <c r="L45" s="62" t="s">
        <v>215</v>
      </c>
      <c r="M45" s="55" t="s">
        <v>22</v>
      </c>
    </row>
    <row r="46" spans="1:13" hidden="1" x14ac:dyDescent="0.35">
      <c r="A46" s="59"/>
      <c r="B46" s="11" t="s">
        <v>86</v>
      </c>
      <c r="C46" s="61"/>
      <c r="D46" s="11" t="s">
        <v>28</v>
      </c>
      <c r="E46" s="10" t="s">
        <v>24</v>
      </c>
      <c r="F46" s="11" t="s">
        <v>30</v>
      </c>
      <c r="G46" s="11" t="s">
        <v>31</v>
      </c>
      <c r="H46" s="15" t="s">
        <v>32</v>
      </c>
      <c r="I46" s="13" t="s">
        <v>19</v>
      </c>
      <c r="J46" s="13"/>
      <c r="K46" s="55"/>
      <c r="L46" s="62"/>
      <c r="M46" s="55"/>
    </row>
    <row r="47" spans="1:13" ht="28" hidden="1" x14ac:dyDescent="0.35">
      <c r="A47" s="59"/>
      <c r="B47" s="11" t="s">
        <v>86</v>
      </c>
      <c r="C47" s="61"/>
      <c r="D47" s="11" t="s">
        <v>33</v>
      </c>
      <c r="E47" s="10" t="s">
        <v>29</v>
      </c>
      <c r="F47" s="11" t="s">
        <v>25</v>
      </c>
      <c r="G47" s="11" t="s">
        <v>35</v>
      </c>
      <c r="H47" s="14" t="s">
        <v>36</v>
      </c>
      <c r="I47" s="13"/>
      <c r="J47" s="13"/>
      <c r="K47" s="55"/>
      <c r="L47" s="62"/>
      <c r="M47" s="55"/>
    </row>
    <row r="48" spans="1:13" ht="29" hidden="1" x14ac:dyDescent="0.35">
      <c r="A48" s="59" t="s">
        <v>89</v>
      </c>
      <c r="B48" s="11" t="s">
        <v>90</v>
      </c>
      <c r="C48" s="61" t="s">
        <v>91</v>
      </c>
      <c r="D48" s="11" t="s">
        <v>14</v>
      </c>
      <c r="E48" s="10" t="s">
        <v>15</v>
      </c>
      <c r="F48" s="11" t="s">
        <v>49</v>
      </c>
      <c r="G48" s="11" t="s">
        <v>17</v>
      </c>
      <c r="H48" s="12" t="s">
        <v>18</v>
      </c>
      <c r="I48" s="13" t="s">
        <v>19</v>
      </c>
      <c r="J48" s="13"/>
      <c r="K48" s="55" t="s">
        <v>20</v>
      </c>
      <c r="L48" s="62" t="s">
        <v>88</v>
      </c>
      <c r="M48" s="55" t="s">
        <v>22</v>
      </c>
    </row>
    <row r="49" spans="1:13" hidden="1" x14ac:dyDescent="0.35">
      <c r="A49" s="59"/>
      <c r="B49" s="11" t="s">
        <v>90</v>
      </c>
      <c r="C49" s="61"/>
      <c r="D49" s="11" t="s">
        <v>28</v>
      </c>
      <c r="E49" s="10" t="s">
        <v>24</v>
      </c>
      <c r="F49" s="11" t="s">
        <v>30</v>
      </c>
      <c r="G49" s="11" t="s">
        <v>31</v>
      </c>
      <c r="H49" s="15" t="s">
        <v>32</v>
      </c>
      <c r="I49" s="13" t="s">
        <v>19</v>
      </c>
      <c r="J49" s="13"/>
      <c r="K49" s="55"/>
      <c r="L49" s="62"/>
      <c r="M49" s="55"/>
    </row>
    <row r="50" spans="1:13" ht="28" hidden="1" x14ac:dyDescent="0.35">
      <c r="A50" s="59"/>
      <c r="B50" s="11" t="s">
        <v>90</v>
      </c>
      <c r="C50" s="61"/>
      <c r="D50" s="11" t="s">
        <v>33</v>
      </c>
      <c r="E50" s="10" t="s">
        <v>29</v>
      </c>
      <c r="F50" s="11" t="s">
        <v>25</v>
      </c>
      <c r="G50" s="11" t="s">
        <v>35</v>
      </c>
      <c r="H50" s="14" t="s">
        <v>36</v>
      </c>
      <c r="I50" s="13"/>
      <c r="J50" s="13"/>
      <c r="K50" s="55"/>
      <c r="L50" s="62"/>
      <c r="M50" s="55"/>
    </row>
    <row r="51" spans="1:13" ht="29" x14ac:dyDescent="0.35">
      <c r="A51" s="59" t="s">
        <v>92</v>
      </c>
      <c r="B51" s="11" t="s">
        <v>93</v>
      </c>
      <c r="C51" s="59" t="s">
        <v>94</v>
      </c>
      <c r="D51" s="11" t="s">
        <v>14</v>
      </c>
      <c r="E51" s="10" t="s">
        <v>15</v>
      </c>
      <c r="F51" s="11" t="s">
        <v>49</v>
      </c>
      <c r="G51" s="11" t="s">
        <v>17</v>
      </c>
      <c r="H51" s="12" t="s">
        <v>18</v>
      </c>
      <c r="I51" s="13" t="s">
        <v>19</v>
      </c>
      <c r="J51" s="13"/>
      <c r="K51" s="55" t="s">
        <v>20</v>
      </c>
      <c r="L51" s="55" t="s">
        <v>21</v>
      </c>
      <c r="M51" s="55" t="s">
        <v>22</v>
      </c>
    </row>
    <row r="52" spans="1:13" x14ac:dyDescent="0.35">
      <c r="A52" s="59"/>
      <c r="B52" s="11" t="s">
        <v>93</v>
      </c>
      <c r="C52" s="59"/>
      <c r="D52" s="11" t="s">
        <v>28</v>
      </c>
      <c r="E52" s="10" t="s">
        <v>24</v>
      </c>
      <c r="F52" s="11" t="s">
        <v>30</v>
      </c>
      <c r="G52" s="11" t="s">
        <v>31</v>
      </c>
      <c r="H52" s="15" t="s">
        <v>32</v>
      </c>
      <c r="I52" s="13" t="s">
        <v>19</v>
      </c>
      <c r="J52" s="13"/>
      <c r="K52" s="55"/>
      <c r="L52" s="55"/>
      <c r="M52" s="55"/>
    </row>
    <row r="53" spans="1:13" ht="28" x14ac:dyDescent="0.35">
      <c r="A53" s="59"/>
      <c r="B53" s="11" t="s">
        <v>93</v>
      </c>
      <c r="C53" s="59"/>
      <c r="D53" s="11" t="s">
        <v>33</v>
      </c>
      <c r="E53" s="10" t="s">
        <v>29</v>
      </c>
      <c r="F53" s="11" t="s">
        <v>25</v>
      </c>
      <c r="G53" s="11" t="s">
        <v>35</v>
      </c>
      <c r="H53" s="14" t="s">
        <v>36</v>
      </c>
      <c r="I53" s="13"/>
      <c r="J53" s="13"/>
      <c r="K53" s="55"/>
      <c r="L53" s="55"/>
      <c r="M53" s="55"/>
    </row>
    <row r="54" spans="1:13" ht="29" hidden="1" x14ac:dyDescent="0.35">
      <c r="A54" s="59" t="s">
        <v>95</v>
      </c>
      <c r="B54" s="11" t="s">
        <v>96</v>
      </c>
      <c r="C54" s="59" t="s">
        <v>97</v>
      </c>
      <c r="D54" s="11" t="s">
        <v>14</v>
      </c>
      <c r="E54" s="10" t="s">
        <v>15</v>
      </c>
      <c r="F54" s="11" t="s">
        <v>49</v>
      </c>
      <c r="G54" s="11" t="s">
        <v>17</v>
      </c>
      <c r="H54" s="12" t="s">
        <v>18</v>
      </c>
      <c r="I54" s="13" t="s">
        <v>19</v>
      </c>
      <c r="J54" s="13"/>
      <c r="K54" s="55" t="s">
        <v>20</v>
      </c>
      <c r="L54" s="62" t="s">
        <v>216</v>
      </c>
      <c r="M54" s="55" t="s">
        <v>22</v>
      </c>
    </row>
    <row r="55" spans="1:13" hidden="1" x14ac:dyDescent="0.35">
      <c r="A55" s="59"/>
      <c r="B55" s="11" t="s">
        <v>96</v>
      </c>
      <c r="C55" s="59"/>
      <c r="D55" s="11" t="s">
        <v>28</v>
      </c>
      <c r="E55" s="10" t="s">
        <v>24</v>
      </c>
      <c r="F55" s="11" t="s">
        <v>30</v>
      </c>
      <c r="G55" s="11" t="s">
        <v>31</v>
      </c>
      <c r="H55" s="15" t="s">
        <v>32</v>
      </c>
      <c r="I55" s="13" t="s">
        <v>19</v>
      </c>
      <c r="J55" s="13"/>
      <c r="K55" s="55"/>
      <c r="L55" s="62"/>
      <c r="M55" s="55"/>
    </row>
    <row r="56" spans="1:13" ht="28" hidden="1" x14ac:dyDescent="0.35">
      <c r="A56" s="59"/>
      <c r="B56" s="11" t="s">
        <v>96</v>
      </c>
      <c r="C56" s="59"/>
      <c r="D56" s="11" t="s">
        <v>33</v>
      </c>
      <c r="E56" s="10" t="s">
        <v>29</v>
      </c>
      <c r="F56" s="11" t="s">
        <v>25</v>
      </c>
      <c r="G56" s="11" t="s">
        <v>35</v>
      </c>
      <c r="H56" s="14" t="s">
        <v>36</v>
      </c>
      <c r="I56" s="13"/>
      <c r="J56" s="13"/>
      <c r="K56" s="55"/>
      <c r="L56" s="62"/>
      <c r="M56" s="55"/>
    </row>
    <row r="57" spans="1:13" ht="29" x14ac:dyDescent="0.35">
      <c r="A57" s="63" t="s">
        <v>98</v>
      </c>
      <c r="B57" s="11" t="s">
        <v>99</v>
      </c>
      <c r="C57" s="63" t="s">
        <v>100</v>
      </c>
      <c r="D57" s="11" t="s">
        <v>14</v>
      </c>
      <c r="E57" s="10" t="s">
        <v>15</v>
      </c>
      <c r="F57" s="11" t="s">
        <v>49</v>
      </c>
      <c r="G57" s="11" t="s">
        <v>17</v>
      </c>
      <c r="H57" s="12" t="s">
        <v>18</v>
      </c>
      <c r="I57" s="56"/>
      <c r="J57" s="35"/>
      <c r="K57" s="55" t="s">
        <v>20</v>
      </c>
      <c r="L57" s="55" t="s">
        <v>59</v>
      </c>
      <c r="M57" s="55" t="s">
        <v>22</v>
      </c>
    </row>
    <row r="58" spans="1:13" x14ac:dyDescent="0.35">
      <c r="A58" s="63"/>
      <c r="B58" s="11" t="s">
        <v>99</v>
      </c>
      <c r="C58" s="63"/>
      <c r="D58" s="11" t="s">
        <v>28</v>
      </c>
      <c r="E58" s="10" t="s">
        <v>24</v>
      </c>
      <c r="F58" s="11" t="s">
        <v>30</v>
      </c>
      <c r="G58" s="11" t="s">
        <v>31</v>
      </c>
      <c r="H58" s="15" t="s">
        <v>32</v>
      </c>
      <c r="I58" s="57"/>
      <c r="J58" s="36"/>
      <c r="K58" s="55"/>
      <c r="L58" s="55"/>
      <c r="M58" s="55"/>
    </row>
    <row r="59" spans="1:13" ht="28" x14ac:dyDescent="0.35">
      <c r="A59" s="63"/>
      <c r="B59" s="11" t="s">
        <v>99</v>
      </c>
      <c r="C59" s="63"/>
      <c r="D59" s="11" t="s">
        <v>33</v>
      </c>
      <c r="E59" s="10" t="s">
        <v>29</v>
      </c>
      <c r="F59" s="11" t="s">
        <v>25</v>
      </c>
      <c r="G59" s="11" t="s">
        <v>35</v>
      </c>
      <c r="H59" s="14" t="s">
        <v>36</v>
      </c>
      <c r="I59" s="58"/>
      <c r="J59" s="37"/>
      <c r="K59" s="55"/>
      <c r="L59" s="55"/>
      <c r="M59" s="55"/>
    </row>
    <row r="60" spans="1:13" ht="29" hidden="1" x14ac:dyDescent="0.35">
      <c r="A60" s="63" t="s">
        <v>101</v>
      </c>
      <c r="B60" s="11" t="s">
        <v>102</v>
      </c>
      <c r="C60" s="63" t="s">
        <v>103</v>
      </c>
      <c r="D60" s="11" t="s">
        <v>14</v>
      </c>
      <c r="E60" s="10" t="s">
        <v>15</v>
      </c>
      <c r="F60" s="11" t="s">
        <v>49</v>
      </c>
      <c r="G60" s="11" t="s">
        <v>17</v>
      </c>
      <c r="H60" s="12" t="s">
        <v>18</v>
      </c>
      <c r="I60" s="19"/>
      <c r="J60" s="19"/>
      <c r="K60" s="55" t="s">
        <v>41</v>
      </c>
      <c r="L60" s="62" t="s">
        <v>88</v>
      </c>
      <c r="M60" s="55" t="s">
        <v>22</v>
      </c>
    </row>
    <row r="61" spans="1:13" ht="87" hidden="1" x14ac:dyDescent="0.35">
      <c r="A61" s="63"/>
      <c r="B61" s="11" t="s">
        <v>102</v>
      </c>
      <c r="C61" s="63"/>
      <c r="D61" s="11" t="s">
        <v>28</v>
      </c>
      <c r="E61" s="10" t="s">
        <v>24</v>
      </c>
      <c r="F61" s="11" t="s">
        <v>30</v>
      </c>
      <c r="G61" s="11" t="s">
        <v>31</v>
      </c>
      <c r="H61" s="15" t="s">
        <v>32</v>
      </c>
      <c r="I61" s="20" t="s">
        <v>228</v>
      </c>
      <c r="J61" s="20"/>
      <c r="K61" s="55"/>
      <c r="L61" s="62"/>
      <c r="M61" s="55"/>
    </row>
    <row r="62" spans="1:13" ht="28" hidden="1" x14ac:dyDescent="0.35">
      <c r="A62" s="63"/>
      <c r="B62" s="11" t="s">
        <v>102</v>
      </c>
      <c r="C62" s="63"/>
      <c r="D62" s="11" t="s">
        <v>33</v>
      </c>
      <c r="E62" s="10" t="s">
        <v>29</v>
      </c>
      <c r="F62" s="11" t="s">
        <v>25</v>
      </c>
      <c r="G62" s="11" t="s">
        <v>35</v>
      </c>
      <c r="H62" s="14" t="s">
        <v>36</v>
      </c>
      <c r="I62" s="19"/>
      <c r="J62" s="19"/>
      <c r="K62" s="55"/>
      <c r="L62" s="62"/>
      <c r="M62" s="55"/>
    </row>
  </sheetData>
  <mergeCells count="93">
    <mergeCell ref="A60:A62"/>
    <mergeCell ref="C60:C62"/>
    <mergeCell ref="K60:K62"/>
    <mergeCell ref="L60:L62"/>
    <mergeCell ref="A57:A59"/>
    <mergeCell ref="C57:C59"/>
    <mergeCell ref="K57:K59"/>
    <mergeCell ref="L57:L59"/>
    <mergeCell ref="A54:A56"/>
    <mergeCell ref="C54:C56"/>
    <mergeCell ref="K54:K56"/>
    <mergeCell ref="L54:L56"/>
    <mergeCell ref="A51:A53"/>
    <mergeCell ref="C51:C53"/>
    <mergeCell ref="K51:K53"/>
    <mergeCell ref="L51:L53"/>
    <mergeCell ref="A48:A50"/>
    <mergeCell ref="C48:C50"/>
    <mergeCell ref="K48:K50"/>
    <mergeCell ref="L48:L50"/>
    <mergeCell ref="A45:A47"/>
    <mergeCell ref="C45:C47"/>
    <mergeCell ref="K45:K47"/>
    <mergeCell ref="L45:L47"/>
    <mergeCell ref="A42:A44"/>
    <mergeCell ref="C42:C44"/>
    <mergeCell ref="K42:K44"/>
    <mergeCell ref="L42:L44"/>
    <mergeCell ref="A39:A41"/>
    <mergeCell ref="C39:C41"/>
    <mergeCell ref="K39:K41"/>
    <mergeCell ref="L39:L41"/>
    <mergeCell ref="A33:A38"/>
    <mergeCell ref="C33:C38"/>
    <mergeCell ref="K33:K35"/>
    <mergeCell ref="L33:L35"/>
    <mergeCell ref="A30:A32"/>
    <mergeCell ref="C30:C32"/>
    <mergeCell ref="K30:K32"/>
    <mergeCell ref="L30:L32"/>
    <mergeCell ref="K36:K38"/>
    <mergeCell ref="L36:L38"/>
    <mergeCell ref="A27:A29"/>
    <mergeCell ref="C27:C29"/>
    <mergeCell ref="K27:K29"/>
    <mergeCell ref="L27:L29"/>
    <mergeCell ref="A24:A26"/>
    <mergeCell ref="C24:C26"/>
    <mergeCell ref="K24:K26"/>
    <mergeCell ref="L24:L26"/>
    <mergeCell ref="A16:A23"/>
    <mergeCell ref="C16:C19"/>
    <mergeCell ref="K16:K19"/>
    <mergeCell ref="L16:L19"/>
    <mergeCell ref="C20:C23"/>
    <mergeCell ref="K20:K23"/>
    <mergeCell ref="L20:L23"/>
    <mergeCell ref="A13:A15"/>
    <mergeCell ref="C13:C15"/>
    <mergeCell ref="K13:K15"/>
    <mergeCell ref="L13:L15"/>
    <mergeCell ref="A10:A12"/>
    <mergeCell ref="C10:C12"/>
    <mergeCell ref="K10:K12"/>
    <mergeCell ref="L10:L12"/>
    <mergeCell ref="A6:A9"/>
    <mergeCell ref="C6:C9"/>
    <mergeCell ref="K6:K9"/>
    <mergeCell ref="L6:L9"/>
    <mergeCell ref="A2:A5"/>
    <mergeCell ref="C2:C5"/>
    <mergeCell ref="K2:K5"/>
    <mergeCell ref="L2:L5"/>
    <mergeCell ref="M2:M5"/>
    <mergeCell ref="M6:M9"/>
    <mergeCell ref="M10:M12"/>
    <mergeCell ref="M13:M15"/>
    <mergeCell ref="M16:M19"/>
    <mergeCell ref="M20:M23"/>
    <mergeCell ref="M24:M26"/>
    <mergeCell ref="M27:M29"/>
    <mergeCell ref="M30:M32"/>
    <mergeCell ref="M33:M35"/>
    <mergeCell ref="M36:M38"/>
    <mergeCell ref="M39:M41"/>
    <mergeCell ref="M42:M44"/>
    <mergeCell ref="M45:M47"/>
    <mergeCell ref="M48:M50"/>
    <mergeCell ref="M51:M53"/>
    <mergeCell ref="M54:M56"/>
    <mergeCell ref="I57:I59"/>
    <mergeCell ref="M57:M59"/>
    <mergeCell ref="M60:M62"/>
  </mergeCells>
  <conditionalFormatting sqref="K2:M2 K6:M6 K10:M11 K13:M13 L14 K16:M18 K20:M20 K24:M24 K27:M27 K30:M30 K33:M33 K36:M36 K39:M39 K42:M42 K45:M45 K51:M51 K54:M54 K57:M57">
    <cfRule type="cellIs" dxfId="30" priority="20" operator="equal">
      <formula>"Pendiente"</formula>
    </cfRule>
    <cfRule type="cellIs" dxfId="29" priority="21" operator="equal">
      <formula>"Validado"</formula>
    </cfRule>
  </conditionalFormatting>
  <conditionalFormatting sqref="K6:M6 K2:M2 K10:M11 K13:M13 L14 K16:M18 K20:M20 K24:M24 K27:M27 K30:M30 K33:M33 K36:M36 K39:M39 K42:M42 K45:M45 K51:M51 K54:M54 K57:M57">
    <cfRule type="containsText" dxfId="28" priority="19" operator="containsText" text="Validado Parcial">
      <formula>NOT(ISERROR(SEARCH("Validado Parcial",K2)))</formula>
    </cfRule>
  </conditionalFormatting>
  <conditionalFormatting sqref="K6:M6">
    <cfRule type="containsText" dxfId="27" priority="16" operator="containsText" text="Validado Parcial">
      <formula>NOT(ISERROR(SEARCH("Validado Parcial",K6)))</formula>
    </cfRule>
    <cfRule type="cellIs" dxfId="26" priority="17" operator="equal">
      <formula>"Pendiente"</formula>
    </cfRule>
    <cfRule type="cellIs" dxfId="25" priority="18" operator="equal">
      <formula>"Validado"</formula>
    </cfRule>
  </conditionalFormatting>
  <conditionalFormatting sqref="K48:M48">
    <cfRule type="containsText" dxfId="24" priority="4" operator="containsText" text="Validado Parcial">
      <formula>NOT(ISERROR(SEARCH("Validado Parcial",K48)))</formula>
    </cfRule>
    <cfRule type="cellIs" dxfId="23" priority="5" operator="equal">
      <formula>"Pendiente"</formula>
    </cfRule>
    <cfRule type="cellIs" dxfId="22" priority="6" operator="equal">
      <formula>"Validado"</formula>
    </cfRule>
  </conditionalFormatting>
  <conditionalFormatting sqref="K60:M60">
    <cfRule type="containsText" dxfId="21" priority="10" operator="containsText" text="Validado Parcial">
      <formula>NOT(ISERROR(SEARCH("Validado Parcial",K60)))</formula>
    </cfRule>
    <cfRule type="cellIs" dxfId="20" priority="11" operator="equal">
      <formula>"Pendiente"</formula>
    </cfRule>
    <cfRule type="cellIs" dxfId="19" priority="12" operator="equal">
      <formula>"Validado"</formula>
    </cfRule>
  </conditionalFormatting>
  <conditionalFormatting sqref="L2:L20 L24 L27 L30 L33 L36 L39 L42 L45 L51 L54 L57">
    <cfRule type="containsText" dxfId="18" priority="13" operator="containsText" text="Pendiente Cuadrar">
      <formula>NOT(ISERROR(SEARCH("Pendiente Cuadrar",L2)))</formula>
    </cfRule>
    <cfRule type="containsText" dxfId="17" priority="14" operator="containsText" text="Cuadra Completamente">
      <formula>NOT(ISERROR(SEARCH("Cuadra Completamente",L2)))</formula>
    </cfRule>
    <cfRule type="containsText" dxfId="16" priority="15" operator="containsText" text="Cuadra Parcialmente">
      <formula>NOT(ISERROR(SEARCH("Cuadra Parcialmente",L2)))</formula>
    </cfRule>
  </conditionalFormatting>
  <conditionalFormatting sqref="L48">
    <cfRule type="containsText" dxfId="15" priority="1" operator="containsText" text="Pendiente Cuadrar">
      <formula>NOT(ISERROR(SEARCH("Pendiente Cuadrar",L48)))</formula>
    </cfRule>
    <cfRule type="containsText" dxfId="14" priority="2" operator="containsText" text="Cuadra Completamente">
      <formula>NOT(ISERROR(SEARCH("Cuadra Completamente",L48)))</formula>
    </cfRule>
    <cfRule type="containsText" dxfId="13" priority="3" operator="containsText" text="Cuadra Parcialmente">
      <formula>NOT(ISERROR(SEARCH("Cuadra Parcialmente",L48)))</formula>
    </cfRule>
  </conditionalFormatting>
  <conditionalFormatting sqref="L60">
    <cfRule type="containsText" dxfId="12" priority="7" operator="containsText" text="Pendiente Cuadrar">
      <formula>NOT(ISERROR(SEARCH("Pendiente Cuadrar",L60)))</formula>
    </cfRule>
    <cfRule type="containsText" dxfId="11" priority="8" operator="containsText" text="Cuadra Completamente">
      <formula>NOT(ISERROR(SEARCH("Cuadra Completamente",L60)))</formula>
    </cfRule>
    <cfRule type="containsText" dxfId="10" priority="9" operator="containsText" text="Cuadra Parcialmente">
      <formula>NOT(ISERROR(SEARCH("Cuadra Parcialmente",L60)))</formula>
    </cfRule>
  </conditionalFormatting>
  <dataValidations count="2">
    <dataValidation type="list" allowBlank="1" showInputMessage="1" showErrorMessage="1" sqref="M27 M54 M51 M48 M45 M42 M39 M36 M33 M20 M30 M24 M16:M18 M13 M10:M11 M6 M2 K2 K6 K10:K11 K13 K16:K18 K24 K30 K20 K33 K36 K39 K42 K45 K48 K51 K54 K27 K57 M57 K60 M60" xr:uid="{3617613E-63AC-4F48-990E-11FC2D56AD7A}">
      <formula1>"Pendiente, Validado, Validado Parcial"</formula1>
    </dataValidation>
    <dataValidation type="list" allowBlank="1" showInputMessage="1" showErrorMessage="1" sqref="L42 L27 L33 L30 L2:L20 L24 L36 L39 L57 L51" xr:uid="{E524868C-A405-4ECA-81A8-1EDF3FB1DA06}">
      <formula1>"Pendiente Cuadrar, Cuadra Completamente, Cuadra Parcialmente"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24"/>
  <sheetViews>
    <sheetView topLeftCell="A22" zoomScale="55" zoomScaleNormal="55" workbookViewId="0">
      <selection activeCell="C23" sqref="C23"/>
    </sheetView>
  </sheetViews>
  <sheetFormatPr baseColWidth="10" defaultColWidth="8.7265625" defaultRowHeight="13" x14ac:dyDescent="0.35"/>
  <cols>
    <col min="1" max="1" width="20.453125" style="30" bestFit="1" customWidth="1"/>
    <col min="2" max="2" width="25.1796875" style="31" bestFit="1" customWidth="1"/>
    <col min="3" max="3" width="35.26953125" style="31" customWidth="1"/>
    <col min="4" max="4" width="61.54296875" style="31" bestFit="1" customWidth="1"/>
    <col min="5" max="5" width="58.1796875" style="31" bestFit="1" customWidth="1"/>
    <col min="6" max="6" width="36" style="31" bestFit="1" customWidth="1"/>
    <col min="7" max="7" width="28.7265625" style="31" customWidth="1"/>
    <col min="8" max="8" width="13.54296875" style="30" bestFit="1" customWidth="1"/>
    <col min="9" max="9" width="28.7265625" style="31" bestFit="1" customWidth="1"/>
    <col min="10" max="16384" width="8.7265625" style="31"/>
  </cols>
  <sheetData>
    <row r="1" spans="1:9" x14ac:dyDescent="0.35">
      <c r="A1" s="27" t="s">
        <v>104</v>
      </c>
      <c r="B1" s="27" t="s">
        <v>1</v>
      </c>
      <c r="C1" s="27" t="s">
        <v>105</v>
      </c>
      <c r="D1" s="27" t="s">
        <v>106</v>
      </c>
      <c r="E1" s="27" t="s">
        <v>107</v>
      </c>
      <c r="F1" s="27" t="s">
        <v>108</v>
      </c>
      <c r="G1" s="27" t="s">
        <v>109</v>
      </c>
      <c r="H1" s="27" t="s">
        <v>110</v>
      </c>
      <c r="I1" s="27" t="s">
        <v>111</v>
      </c>
    </row>
    <row r="2" spans="1:9" ht="78" x14ac:dyDescent="0.35">
      <c r="A2" s="28" t="s">
        <v>112</v>
      </c>
      <c r="B2" s="29" t="s">
        <v>113</v>
      </c>
      <c r="C2" s="6" t="s">
        <v>114</v>
      </c>
      <c r="D2" s="4" t="s">
        <v>115</v>
      </c>
      <c r="E2" s="4" t="s">
        <v>116</v>
      </c>
      <c r="F2" s="4" t="s">
        <v>117</v>
      </c>
      <c r="G2" s="5" t="s">
        <v>118</v>
      </c>
      <c r="H2" s="5" t="s">
        <v>119</v>
      </c>
      <c r="I2" s="6" t="s">
        <v>120</v>
      </c>
    </row>
    <row r="3" spans="1:9" ht="150" x14ac:dyDescent="0.35">
      <c r="A3" s="28" t="s">
        <v>121</v>
      </c>
      <c r="B3" s="6" t="s">
        <v>122</v>
      </c>
      <c r="C3" s="4" t="s">
        <v>123</v>
      </c>
      <c r="D3" s="4" t="s">
        <v>124</v>
      </c>
      <c r="E3" s="4" t="s">
        <v>125</v>
      </c>
      <c r="F3" s="4" t="s">
        <v>126</v>
      </c>
      <c r="G3" s="4" t="s">
        <v>19</v>
      </c>
      <c r="H3" s="28" t="s">
        <v>127</v>
      </c>
      <c r="I3" s="6" t="s">
        <v>128</v>
      </c>
    </row>
    <row r="4" spans="1:9" ht="189.5" x14ac:dyDescent="0.35">
      <c r="A4" s="28" t="s">
        <v>129</v>
      </c>
      <c r="B4" s="6" t="s">
        <v>12</v>
      </c>
      <c r="C4" s="6" t="s">
        <v>114</v>
      </c>
      <c r="D4" s="4" t="s">
        <v>130</v>
      </c>
      <c r="E4" s="4" t="s">
        <v>131</v>
      </c>
      <c r="F4" s="4" t="s">
        <v>132</v>
      </c>
      <c r="G4" s="5" t="s">
        <v>133</v>
      </c>
      <c r="H4" s="28" t="s">
        <v>127</v>
      </c>
      <c r="I4" s="4" t="s">
        <v>134</v>
      </c>
    </row>
    <row r="5" spans="1:9" ht="87.5" x14ac:dyDescent="0.35">
      <c r="A5" s="28" t="s">
        <v>135</v>
      </c>
      <c r="B5" s="6" t="s">
        <v>38</v>
      </c>
      <c r="C5" s="6" t="s">
        <v>114</v>
      </c>
      <c r="D5" s="4" t="s">
        <v>136</v>
      </c>
      <c r="E5" s="4" t="s">
        <v>137</v>
      </c>
      <c r="F5" s="4" t="s">
        <v>138</v>
      </c>
      <c r="G5" s="4"/>
      <c r="H5" s="28" t="s">
        <v>22</v>
      </c>
      <c r="I5" s="4" t="s">
        <v>134</v>
      </c>
    </row>
    <row r="6" spans="1:9" ht="50" x14ac:dyDescent="0.35">
      <c r="A6" s="28" t="s">
        <v>139</v>
      </c>
      <c r="B6" s="6" t="s">
        <v>140</v>
      </c>
      <c r="C6" s="6" t="s">
        <v>114</v>
      </c>
      <c r="D6" s="4" t="s">
        <v>141</v>
      </c>
      <c r="E6" s="4" t="s">
        <v>142</v>
      </c>
      <c r="F6" s="6"/>
      <c r="G6" s="5" t="s">
        <v>143</v>
      </c>
      <c r="H6" s="28" t="s">
        <v>127</v>
      </c>
      <c r="I6" s="4" t="s">
        <v>144</v>
      </c>
    </row>
    <row r="7" spans="1:9" ht="50" x14ac:dyDescent="0.35">
      <c r="A7" s="28" t="s">
        <v>145</v>
      </c>
      <c r="B7" s="6" t="s">
        <v>146</v>
      </c>
      <c r="C7" s="4" t="s">
        <v>147</v>
      </c>
      <c r="D7" s="4" t="s">
        <v>148</v>
      </c>
      <c r="E7" s="4" t="s">
        <v>149</v>
      </c>
      <c r="F7" s="4" t="s">
        <v>150</v>
      </c>
      <c r="G7" s="5" t="s">
        <v>143</v>
      </c>
      <c r="H7" s="28" t="s">
        <v>127</v>
      </c>
      <c r="I7" s="4" t="s">
        <v>151</v>
      </c>
    </row>
    <row r="8" spans="1:9" ht="289" x14ac:dyDescent="0.35">
      <c r="A8" s="28" t="s">
        <v>152</v>
      </c>
      <c r="B8" s="6" t="s">
        <v>52</v>
      </c>
      <c r="C8" s="6" t="s">
        <v>114</v>
      </c>
      <c r="D8" s="4" t="s">
        <v>153</v>
      </c>
      <c r="E8" s="4" t="s">
        <v>154</v>
      </c>
      <c r="F8" s="4" t="s">
        <v>155</v>
      </c>
      <c r="G8" s="5" t="s">
        <v>156</v>
      </c>
      <c r="H8" s="28" t="s">
        <v>119</v>
      </c>
      <c r="I8" s="4" t="s">
        <v>157</v>
      </c>
    </row>
    <row r="9" spans="1:9" ht="150" x14ac:dyDescent="0.35">
      <c r="A9" s="28" t="s">
        <v>158</v>
      </c>
      <c r="B9" s="6" t="s">
        <v>12</v>
      </c>
      <c r="C9" s="4" t="s">
        <v>159</v>
      </c>
      <c r="D9" s="4" t="s">
        <v>160</v>
      </c>
      <c r="E9" s="4" t="s">
        <v>161</v>
      </c>
      <c r="F9" s="6"/>
      <c r="G9" s="6"/>
      <c r="H9" s="28" t="s">
        <v>22</v>
      </c>
      <c r="I9" s="4" t="s">
        <v>157</v>
      </c>
    </row>
    <row r="10" spans="1:9" ht="75" x14ac:dyDescent="0.35">
      <c r="A10" s="65" t="s">
        <v>162</v>
      </c>
      <c r="B10" s="32" t="s">
        <v>163</v>
      </c>
      <c r="C10" s="4" t="s">
        <v>164</v>
      </c>
      <c r="D10" s="32" t="s">
        <v>165</v>
      </c>
      <c r="E10" s="32" t="s">
        <v>166</v>
      </c>
      <c r="F10" s="6"/>
      <c r="G10" s="6"/>
      <c r="H10" s="28" t="s">
        <v>22</v>
      </c>
      <c r="I10" s="4" t="s">
        <v>157</v>
      </c>
    </row>
    <row r="11" spans="1:9" ht="75" x14ac:dyDescent="0.35">
      <c r="A11" s="65"/>
      <c r="B11" s="6" t="s">
        <v>167</v>
      </c>
      <c r="C11" s="4" t="s">
        <v>168</v>
      </c>
      <c r="D11" s="32" t="s">
        <v>165</v>
      </c>
      <c r="E11" s="32" t="s">
        <v>169</v>
      </c>
      <c r="F11" s="6"/>
      <c r="G11" s="6"/>
      <c r="H11" s="28" t="s">
        <v>22</v>
      </c>
      <c r="I11" s="4" t="s">
        <v>157</v>
      </c>
    </row>
    <row r="12" spans="1:9" ht="62.5" x14ac:dyDescent="0.35">
      <c r="A12" s="65" t="s">
        <v>170</v>
      </c>
      <c r="B12" s="6" t="s">
        <v>76</v>
      </c>
      <c r="C12" s="4" t="s">
        <v>171</v>
      </c>
      <c r="D12" s="32" t="s">
        <v>172</v>
      </c>
      <c r="E12" s="4" t="s">
        <v>173</v>
      </c>
      <c r="F12" s="6"/>
      <c r="G12" s="6"/>
      <c r="H12" s="28" t="s">
        <v>22</v>
      </c>
      <c r="I12" s="4" t="s">
        <v>157</v>
      </c>
    </row>
    <row r="13" spans="1:9" ht="100" x14ac:dyDescent="0.35">
      <c r="A13" s="65"/>
      <c r="B13" s="6" t="s">
        <v>167</v>
      </c>
      <c r="C13" s="4" t="s">
        <v>174</v>
      </c>
      <c r="D13" s="32" t="s">
        <v>172</v>
      </c>
      <c r="E13" s="4" t="s">
        <v>175</v>
      </c>
      <c r="F13" s="6"/>
      <c r="G13" s="6"/>
      <c r="H13" s="28" t="s">
        <v>22</v>
      </c>
      <c r="I13" s="4" t="s">
        <v>157</v>
      </c>
    </row>
    <row r="14" spans="1:9" ht="75" x14ac:dyDescent="0.35">
      <c r="A14" s="65" t="s">
        <v>176</v>
      </c>
      <c r="B14" s="6" t="s">
        <v>82</v>
      </c>
      <c r="C14" s="4" t="s">
        <v>177</v>
      </c>
      <c r="D14" s="32" t="s">
        <v>178</v>
      </c>
      <c r="E14" s="4" t="s">
        <v>179</v>
      </c>
      <c r="F14" s="6"/>
      <c r="G14" s="6"/>
      <c r="H14" s="28" t="s">
        <v>22</v>
      </c>
      <c r="I14" s="4" t="s">
        <v>157</v>
      </c>
    </row>
    <row r="15" spans="1:9" ht="75" x14ac:dyDescent="0.35">
      <c r="A15" s="65"/>
      <c r="B15" s="6" t="s">
        <v>167</v>
      </c>
      <c r="C15" s="4" t="s">
        <v>180</v>
      </c>
      <c r="D15" s="32" t="s">
        <v>178</v>
      </c>
      <c r="E15" s="4" t="s">
        <v>181</v>
      </c>
      <c r="F15" s="6"/>
      <c r="G15" s="6"/>
      <c r="H15" s="28" t="s">
        <v>22</v>
      </c>
      <c r="I15" s="4" t="s">
        <v>157</v>
      </c>
    </row>
    <row r="16" spans="1:9" ht="50" x14ac:dyDescent="0.35">
      <c r="A16" s="28" t="s">
        <v>182</v>
      </c>
      <c r="B16" s="6" t="s">
        <v>167</v>
      </c>
      <c r="C16" s="6" t="s">
        <v>183</v>
      </c>
      <c r="D16" s="32" t="s">
        <v>184</v>
      </c>
      <c r="E16" s="4" t="s">
        <v>185</v>
      </c>
      <c r="F16" s="6"/>
      <c r="G16" s="6"/>
      <c r="H16" s="28" t="s">
        <v>22</v>
      </c>
      <c r="I16" s="4" t="s">
        <v>157</v>
      </c>
    </row>
    <row r="17" spans="1:9" ht="75" x14ac:dyDescent="0.35">
      <c r="A17" s="65" t="s">
        <v>186</v>
      </c>
      <c r="B17" s="6" t="s">
        <v>71</v>
      </c>
      <c r="C17" s="4" t="s">
        <v>187</v>
      </c>
      <c r="D17" s="4" t="s">
        <v>188</v>
      </c>
      <c r="E17" s="4" t="s">
        <v>189</v>
      </c>
      <c r="F17" s="6"/>
      <c r="G17" s="6"/>
      <c r="H17" s="28" t="s">
        <v>22</v>
      </c>
      <c r="I17" s="4" t="s">
        <v>157</v>
      </c>
    </row>
    <row r="18" spans="1:9" ht="87.5" x14ac:dyDescent="0.35">
      <c r="A18" s="65"/>
      <c r="B18" s="6" t="s">
        <v>167</v>
      </c>
      <c r="C18" s="4" t="s">
        <v>190</v>
      </c>
      <c r="D18" s="4" t="s">
        <v>188</v>
      </c>
      <c r="E18" s="4" t="s">
        <v>191</v>
      </c>
      <c r="F18" s="6"/>
      <c r="G18" s="6"/>
      <c r="H18" s="28" t="s">
        <v>22</v>
      </c>
      <c r="I18" s="4" t="s">
        <v>157</v>
      </c>
    </row>
    <row r="19" spans="1:9" ht="62.5" x14ac:dyDescent="0.35">
      <c r="A19" s="65" t="s">
        <v>192</v>
      </c>
      <c r="B19" s="6" t="s">
        <v>64</v>
      </c>
      <c r="C19" s="4" t="s">
        <v>193</v>
      </c>
      <c r="D19" s="4" t="s">
        <v>194</v>
      </c>
      <c r="E19" s="4" t="s">
        <v>195</v>
      </c>
      <c r="F19" s="6"/>
      <c r="G19" s="6"/>
      <c r="H19" s="28" t="s">
        <v>22</v>
      </c>
      <c r="I19" s="4" t="s">
        <v>157</v>
      </c>
    </row>
    <row r="20" spans="1:9" ht="62.5" x14ac:dyDescent="0.35">
      <c r="A20" s="65"/>
      <c r="B20" s="6" t="s">
        <v>167</v>
      </c>
      <c r="C20" s="4" t="s">
        <v>196</v>
      </c>
      <c r="D20" s="4" t="s">
        <v>194</v>
      </c>
      <c r="E20" s="4" t="s">
        <v>197</v>
      </c>
      <c r="F20" s="6"/>
      <c r="G20" s="6"/>
      <c r="H20" s="28" t="s">
        <v>22</v>
      </c>
      <c r="I20" s="4" t="s">
        <v>157</v>
      </c>
    </row>
    <row r="21" spans="1:9" ht="150" x14ac:dyDescent="0.35">
      <c r="A21" s="64" t="s">
        <v>214</v>
      </c>
      <c r="B21" s="6" t="s">
        <v>60</v>
      </c>
      <c r="C21" s="4" t="s">
        <v>218</v>
      </c>
      <c r="D21" s="33" t="s">
        <v>217</v>
      </c>
      <c r="E21" s="4" t="s">
        <v>219</v>
      </c>
      <c r="F21" s="6"/>
      <c r="G21" s="6"/>
      <c r="H21" s="28" t="s">
        <v>22</v>
      </c>
      <c r="I21" s="4" t="s">
        <v>157</v>
      </c>
    </row>
    <row r="22" spans="1:9" ht="101.5" x14ac:dyDescent="0.35">
      <c r="A22" s="64"/>
      <c r="B22" s="6" t="s">
        <v>167</v>
      </c>
      <c r="C22" s="4" t="s">
        <v>190</v>
      </c>
      <c r="D22" s="33" t="s">
        <v>217</v>
      </c>
      <c r="E22" s="4" t="s">
        <v>220</v>
      </c>
      <c r="F22" s="6"/>
      <c r="G22" s="6"/>
      <c r="H22" s="28" t="s">
        <v>22</v>
      </c>
      <c r="I22" s="4" t="s">
        <v>157</v>
      </c>
    </row>
    <row r="23" spans="1:9" ht="150" x14ac:dyDescent="0.35">
      <c r="A23" s="64" t="s">
        <v>232</v>
      </c>
      <c r="B23" s="6" t="s">
        <v>79</v>
      </c>
      <c r="C23" s="4" t="s">
        <v>218</v>
      </c>
      <c r="D23" s="4" t="s">
        <v>229</v>
      </c>
      <c r="E23" s="4" t="s">
        <v>230</v>
      </c>
      <c r="F23" s="6"/>
      <c r="G23" s="6"/>
      <c r="H23" s="28" t="s">
        <v>22</v>
      </c>
      <c r="I23" s="4" t="s">
        <v>157</v>
      </c>
    </row>
    <row r="24" spans="1:9" ht="87.5" x14ac:dyDescent="0.35">
      <c r="A24" s="64"/>
      <c r="B24" s="6" t="s">
        <v>167</v>
      </c>
      <c r="C24" s="4" t="s">
        <v>190</v>
      </c>
      <c r="D24" s="4" t="s">
        <v>229</v>
      </c>
      <c r="E24" s="4" t="s">
        <v>231</v>
      </c>
      <c r="F24" s="6"/>
      <c r="G24" s="6"/>
      <c r="H24" s="28" t="s">
        <v>22</v>
      </c>
      <c r="I24" s="4" t="s">
        <v>157</v>
      </c>
    </row>
  </sheetData>
  <autoFilter ref="A1:I1" xr:uid="{00000000-0001-0000-0300-000000000000}"/>
  <mergeCells count="7">
    <mergeCell ref="A23:A24"/>
    <mergeCell ref="A21:A22"/>
    <mergeCell ref="A10:A11"/>
    <mergeCell ref="A12:A13"/>
    <mergeCell ref="A14:A15"/>
    <mergeCell ref="A17:A18"/>
    <mergeCell ref="A19:A20"/>
  </mergeCells>
  <phoneticPr fontId="1" type="noConversion"/>
  <conditionalFormatting sqref="H2:H1048576">
    <cfRule type="containsText" dxfId="9" priority="1" operator="containsText" text="Resuelto">
      <formula>NOT(ISERROR(SEARCH("Resuelto",H2)))</formula>
    </cfRule>
    <cfRule type="containsText" dxfId="8" priority="2" operator="containsText" text="Por confirmar">
      <formula>NOT(ISERROR(SEARCH("Por confirmar",H2)))</formula>
    </cfRule>
    <cfRule type="containsText" dxfId="7" priority="3" operator="containsText" text="Pendiente">
      <formula>NOT(ISERROR(SEARCH("Pendiente",H2)))</formula>
    </cfRule>
  </conditionalFormatting>
  <dataValidations count="1">
    <dataValidation type="list" allowBlank="1" showInputMessage="1" showErrorMessage="1" sqref="H2:H1048576" xr:uid="{78838432-8B78-4AC6-A050-3AD45852AC33}">
      <formula1>"Resuelto, Pendiente, Por Confirmar"</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24B1-896F-4228-A363-342A2CD55860}">
  <sheetPr>
    <tabColor rgb="FFFF0000"/>
  </sheetPr>
  <dimension ref="A1:C10"/>
  <sheetViews>
    <sheetView zoomScale="96" workbookViewId="0">
      <selection activeCell="B2" sqref="B2"/>
    </sheetView>
  </sheetViews>
  <sheetFormatPr baseColWidth="10" defaultColWidth="10.81640625" defaultRowHeight="12.5" x14ac:dyDescent="0.25"/>
  <cols>
    <col min="1" max="1" width="30.81640625" style="1" bestFit="1" customWidth="1"/>
    <col min="2" max="2" width="58.7265625" style="1" bestFit="1" customWidth="1"/>
    <col min="3" max="3" width="11.453125" style="1" bestFit="1" customWidth="1"/>
    <col min="4" max="16384" width="10.81640625" style="1"/>
  </cols>
  <sheetData>
    <row r="1" spans="1:3" ht="13" x14ac:dyDescent="0.25">
      <c r="A1" s="66" t="s">
        <v>198</v>
      </c>
      <c r="B1" s="66"/>
      <c r="C1" s="24" t="s">
        <v>110</v>
      </c>
    </row>
    <row r="2" spans="1:3" ht="25" x14ac:dyDescent="0.25">
      <c r="A2" s="67" t="s">
        <v>199</v>
      </c>
      <c r="B2" s="3" t="s">
        <v>200</v>
      </c>
      <c r="C2" s="2" t="s">
        <v>127</v>
      </c>
    </row>
    <row r="3" spans="1:3" ht="37.5" x14ac:dyDescent="0.25">
      <c r="A3" s="67"/>
      <c r="B3" s="26" t="s">
        <v>201</v>
      </c>
      <c r="C3" s="2" t="s">
        <v>127</v>
      </c>
    </row>
    <row r="4" spans="1:3" ht="25" x14ac:dyDescent="0.25">
      <c r="A4" s="67" t="s">
        <v>202</v>
      </c>
      <c r="B4" s="3" t="s">
        <v>203</v>
      </c>
      <c r="C4" s="2" t="s">
        <v>22</v>
      </c>
    </row>
    <row r="5" spans="1:3" ht="50" x14ac:dyDescent="0.25">
      <c r="A5" s="67"/>
      <c r="B5" s="26" t="s">
        <v>204</v>
      </c>
      <c r="C5" s="2" t="s">
        <v>22</v>
      </c>
    </row>
    <row r="6" spans="1:3" ht="25" x14ac:dyDescent="0.25">
      <c r="A6" s="67" t="s">
        <v>205</v>
      </c>
      <c r="B6" s="3" t="s">
        <v>206</v>
      </c>
      <c r="C6" s="2" t="s">
        <v>127</v>
      </c>
    </row>
    <row r="7" spans="1:3" ht="13" x14ac:dyDescent="0.25">
      <c r="A7" s="67"/>
      <c r="B7" s="26" t="s">
        <v>207</v>
      </c>
      <c r="C7" s="2" t="s">
        <v>127</v>
      </c>
    </row>
    <row r="8" spans="1:3" ht="25" x14ac:dyDescent="0.25">
      <c r="A8" s="67" t="s">
        <v>208</v>
      </c>
      <c r="B8" s="3" t="s">
        <v>209</v>
      </c>
      <c r="C8" s="2" t="s">
        <v>22</v>
      </c>
    </row>
    <row r="9" spans="1:3" ht="25" x14ac:dyDescent="0.25">
      <c r="A9" s="67"/>
      <c r="B9" s="26" t="s">
        <v>210</v>
      </c>
      <c r="C9" s="2" t="s">
        <v>22</v>
      </c>
    </row>
    <row r="10" spans="1:3" ht="37.5" x14ac:dyDescent="0.25">
      <c r="A10" s="25" t="s">
        <v>211</v>
      </c>
      <c r="B10" s="7" t="s">
        <v>213</v>
      </c>
      <c r="C10" s="2" t="s">
        <v>22</v>
      </c>
    </row>
  </sheetData>
  <autoFilter ref="A1:C1" xr:uid="{736824B1-896F-4228-A363-342A2CD55860}">
    <filterColumn colId="0" showButton="0"/>
  </autoFilter>
  <mergeCells count="5">
    <mergeCell ref="A1:B1"/>
    <mergeCell ref="A2:A3"/>
    <mergeCell ref="A4:A5"/>
    <mergeCell ref="A6:A7"/>
    <mergeCell ref="A8:A9"/>
  </mergeCells>
  <conditionalFormatting sqref="C2:C10">
    <cfRule type="containsText" dxfId="6" priority="1" operator="containsText" text="Resuelto">
      <formula>NOT(ISERROR(SEARCH("Resuelto",C2)))</formula>
    </cfRule>
    <cfRule type="containsText" dxfId="5" priority="2" operator="containsText" text="Por confirmar">
      <formula>NOT(ISERROR(SEARCH("Por confirmar",C2)))</formula>
    </cfRule>
    <cfRule type="containsText" dxfId="4" priority="3" operator="containsText" text="Pendiente">
      <formula>NOT(ISERROR(SEARCH("Pendiente",C2)))</formula>
    </cfRule>
  </conditionalFormatting>
  <dataValidations count="1">
    <dataValidation type="list" allowBlank="1" showInputMessage="1" showErrorMessage="1" sqref="C2:C10" xr:uid="{CF9B4491-95B5-45BE-BF59-88627330617B}">
      <formula1>"Resuelto, Pendiente, Por Confirmar"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8E38-C836-44E3-9FC4-496C73810766}">
  <sheetPr>
    <tabColor rgb="FF00B050"/>
  </sheetPr>
  <dimension ref="A1:M21"/>
  <sheetViews>
    <sheetView tabSelected="1" zoomScale="56" zoomScaleNormal="55" workbookViewId="0">
      <pane ySplit="1" topLeftCell="A15" activePane="bottomLeft" state="frozen"/>
      <selection pane="bottomLeft" activeCell="J21" sqref="J21"/>
    </sheetView>
  </sheetViews>
  <sheetFormatPr baseColWidth="10" defaultRowHeight="14.5" x14ac:dyDescent="0.35"/>
  <cols>
    <col min="1" max="1" width="13.1796875" style="41" bestFit="1" customWidth="1"/>
    <col min="2" max="2" width="13.1796875" style="41" customWidth="1"/>
    <col min="3" max="3" width="30.08984375" style="41" bestFit="1" customWidth="1"/>
    <col min="4" max="4" width="27.1796875" style="41" customWidth="1"/>
    <col min="5" max="5" width="49.26953125" style="46" customWidth="1"/>
    <col min="6" max="6" width="45.453125" style="46" customWidth="1"/>
    <col min="7" max="7" width="18.26953125" style="47" customWidth="1"/>
    <col min="8" max="8" width="25.54296875" style="47" customWidth="1"/>
    <col min="9" max="9" width="15.26953125" style="47" customWidth="1"/>
    <col min="10" max="10" width="22.81640625" style="47" customWidth="1"/>
    <col min="11" max="11" width="15.08984375" style="41" bestFit="1" customWidth="1"/>
    <col min="12" max="12" width="28.54296875" style="41" bestFit="1" customWidth="1"/>
    <col min="13" max="13" width="69.453125" style="47" bestFit="1" customWidth="1"/>
    <col min="14" max="16384" width="10.90625" style="41"/>
  </cols>
  <sheetData>
    <row r="1" spans="1:13" s="44" customFormat="1" ht="28.5" customHeight="1" x14ac:dyDescent="0.35">
      <c r="A1" s="74" t="s">
        <v>104</v>
      </c>
      <c r="B1" s="74" t="s">
        <v>251</v>
      </c>
      <c r="C1" s="74" t="s">
        <v>1</v>
      </c>
      <c r="D1" s="74" t="s">
        <v>105</v>
      </c>
      <c r="E1" s="74" t="s">
        <v>106</v>
      </c>
      <c r="F1" s="74" t="s">
        <v>107</v>
      </c>
      <c r="G1" s="75" t="s">
        <v>108</v>
      </c>
      <c r="H1" s="75" t="s">
        <v>261</v>
      </c>
      <c r="I1" s="75" t="s">
        <v>276</v>
      </c>
      <c r="J1" s="75" t="s">
        <v>109</v>
      </c>
      <c r="K1" s="74" t="s">
        <v>110</v>
      </c>
      <c r="L1" s="74" t="s">
        <v>111</v>
      </c>
      <c r="M1" s="75" t="s">
        <v>262</v>
      </c>
    </row>
    <row r="2" spans="1:13" ht="72.5" x14ac:dyDescent="0.35">
      <c r="A2" s="76" t="s">
        <v>233</v>
      </c>
      <c r="B2" s="77">
        <v>1</v>
      </c>
      <c r="C2" s="48" t="s">
        <v>167</v>
      </c>
      <c r="D2" s="38" t="s">
        <v>114</v>
      </c>
      <c r="E2" s="69" t="s">
        <v>244</v>
      </c>
      <c r="F2" s="70" t="s">
        <v>234</v>
      </c>
      <c r="G2" s="78" t="s">
        <v>252</v>
      </c>
      <c r="H2" s="72"/>
      <c r="I2" s="72"/>
      <c r="J2" s="78" t="s">
        <v>253</v>
      </c>
      <c r="K2" s="77" t="s">
        <v>127</v>
      </c>
      <c r="L2" s="77" t="s">
        <v>250</v>
      </c>
      <c r="M2" s="71"/>
    </row>
    <row r="3" spans="1:13" ht="65" x14ac:dyDescent="0.35">
      <c r="A3" s="76"/>
      <c r="B3" s="77"/>
      <c r="C3" s="48" t="s">
        <v>71</v>
      </c>
      <c r="D3" s="38" t="s">
        <v>114</v>
      </c>
      <c r="E3" s="69"/>
      <c r="F3" s="79" t="s">
        <v>245</v>
      </c>
      <c r="G3" s="78"/>
      <c r="H3" s="72"/>
      <c r="I3" s="72"/>
      <c r="J3" s="78"/>
      <c r="K3" s="77"/>
      <c r="L3" s="77"/>
      <c r="M3" s="71" t="s">
        <v>280</v>
      </c>
    </row>
    <row r="4" spans="1:13" ht="48" customHeight="1" x14ac:dyDescent="0.35">
      <c r="A4" s="76" t="s">
        <v>235</v>
      </c>
      <c r="B4" s="73"/>
      <c r="C4" s="48" t="s">
        <v>38</v>
      </c>
      <c r="D4" s="38" t="s">
        <v>114</v>
      </c>
      <c r="E4" s="69" t="s">
        <v>246</v>
      </c>
      <c r="F4" s="80" t="s">
        <v>242</v>
      </c>
      <c r="G4" s="78" t="s">
        <v>254</v>
      </c>
      <c r="H4" s="72"/>
      <c r="I4" s="72"/>
      <c r="J4" s="78" t="s">
        <v>255</v>
      </c>
      <c r="K4" s="77" t="s">
        <v>127</v>
      </c>
      <c r="L4" s="77" t="s">
        <v>250</v>
      </c>
      <c r="M4" s="78" t="s">
        <v>263</v>
      </c>
    </row>
    <row r="5" spans="1:13" ht="51.75" customHeight="1" x14ac:dyDescent="0.35">
      <c r="A5" s="76"/>
      <c r="B5" s="73"/>
      <c r="C5" s="48" t="s">
        <v>167</v>
      </c>
      <c r="D5" s="38" t="s">
        <v>114</v>
      </c>
      <c r="E5" s="69"/>
      <c r="F5" s="81"/>
      <c r="G5" s="78"/>
      <c r="H5" s="72"/>
      <c r="I5" s="72"/>
      <c r="J5" s="78"/>
      <c r="K5" s="77"/>
      <c r="L5" s="77"/>
      <c r="M5" s="78"/>
    </row>
    <row r="6" spans="1:13" ht="41.25" customHeight="1" x14ac:dyDescent="0.35">
      <c r="A6" s="76" t="s">
        <v>236</v>
      </c>
      <c r="B6" s="73"/>
      <c r="C6" s="48" t="s">
        <v>99</v>
      </c>
      <c r="D6" s="48" t="s">
        <v>33</v>
      </c>
      <c r="E6" s="69" t="s">
        <v>241</v>
      </c>
      <c r="F6" s="70" t="s">
        <v>238</v>
      </c>
      <c r="G6" s="78" t="s">
        <v>257</v>
      </c>
      <c r="H6" s="72"/>
      <c r="I6" s="72"/>
      <c r="J6" s="78" t="s">
        <v>256</v>
      </c>
      <c r="K6" s="77" t="s">
        <v>127</v>
      </c>
      <c r="L6" s="77" t="s">
        <v>250</v>
      </c>
      <c r="M6" s="71"/>
    </row>
    <row r="7" spans="1:13" ht="51" customHeight="1" x14ac:dyDescent="0.35">
      <c r="A7" s="76"/>
      <c r="B7" s="73"/>
      <c r="C7" s="48" t="s">
        <v>167</v>
      </c>
      <c r="D7" s="48" t="s">
        <v>240</v>
      </c>
      <c r="E7" s="69"/>
      <c r="F7" s="70" t="s">
        <v>239</v>
      </c>
      <c r="G7" s="78"/>
      <c r="H7" s="72"/>
      <c r="I7" s="72" t="s">
        <v>277</v>
      </c>
      <c r="J7" s="78"/>
      <c r="K7" s="77"/>
      <c r="L7" s="77"/>
      <c r="M7" s="71" t="s">
        <v>282</v>
      </c>
    </row>
    <row r="8" spans="1:13" ht="45.75" customHeight="1" x14ac:dyDescent="0.35">
      <c r="A8" s="76" t="s">
        <v>237</v>
      </c>
      <c r="B8" s="73"/>
      <c r="C8" s="48" t="s">
        <v>167</v>
      </c>
      <c r="D8" s="38" t="s">
        <v>114</v>
      </c>
      <c r="E8" s="69" t="s">
        <v>249</v>
      </c>
      <c r="F8" s="82" t="s">
        <v>285</v>
      </c>
      <c r="G8" s="78" t="s">
        <v>257</v>
      </c>
      <c r="H8" s="72"/>
      <c r="I8" s="72"/>
      <c r="J8" s="78" t="s">
        <v>260</v>
      </c>
      <c r="K8" s="77" t="s">
        <v>127</v>
      </c>
      <c r="L8" s="77" t="s">
        <v>250</v>
      </c>
      <c r="M8" s="71" t="s">
        <v>317</v>
      </c>
    </row>
    <row r="9" spans="1:13" ht="48" customHeight="1" x14ac:dyDescent="0.35">
      <c r="A9" s="76"/>
      <c r="B9" s="73"/>
      <c r="C9" s="48" t="s">
        <v>79</v>
      </c>
      <c r="D9" s="38" t="s">
        <v>114</v>
      </c>
      <c r="E9" s="69"/>
      <c r="F9" s="82" t="s">
        <v>248</v>
      </c>
      <c r="G9" s="78"/>
      <c r="H9" s="72"/>
      <c r="I9" s="72"/>
      <c r="J9" s="78"/>
      <c r="K9" s="77"/>
      <c r="L9" s="77"/>
      <c r="M9" s="71" t="s">
        <v>318</v>
      </c>
    </row>
    <row r="10" spans="1:13" ht="101.5" x14ac:dyDescent="0.35">
      <c r="A10" s="83" t="s">
        <v>243</v>
      </c>
      <c r="B10" s="73"/>
      <c r="C10" s="38" t="s">
        <v>167</v>
      </c>
      <c r="D10" s="38" t="s">
        <v>183</v>
      </c>
      <c r="E10" s="70" t="s">
        <v>247</v>
      </c>
      <c r="F10" s="84" t="s">
        <v>185</v>
      </c>
      <c r="G10" s="71" t="s">
        <v>258</v>
      </c>
      <c r="H10" s="71"/>
      <c r="I10" s="71"/>
      <c r="J10" s="71" t="s">
        <v>259</v>
      </c>
      <c r="K10" s="73" t="s">
        <v>127</v>
      </c>
      <c r="L10" s="48" t="s">
        <v>250</v>
      </c>
      <c r="M10" s="71" t="s">
        <v>283</v>
      </c>
    </row>
    <row r="11" spans="1:13" s="44" customFormat="1" ht="85.5" customHeight="1" x14ac:dyDescent="0.35">
      <c r="A11" s="85" t="s">
        <v>264</v>
      </c>
      <c r="B11" s="86" t="s">
        <v>265</v>
      </c>
      <c r="C11" s="87" t="s">
        <v>113</v>
      </c>
      <c r="D11" s="68" t="s">
        <v>267</v>
      </c>
      <c r="E11" s="88" t="s">
        <v>266</v>
      </c>
      <c r="F11" s="32" t="s">
        <v>268</v>
      </c>
      <c r="G11" s="89"/>
      <c r="H11" s="72"/>
      <c r="I11" s="72"/>
      <c r="J11" s="72"/>
      <c r="K11" s="73" t="s">
        <v>119</v>
      </c>
      <c r="L11" s="48" t="s">
        <v>250</v>
      </c>
      <c r="M11" s="72"/>
    </row>
    <row r="12" spans="1:13" ht="246.5" x14ac:dyDescent="0.35">
      <c r="A12" s="85" t="s">
        <v>269</v>
      </c>
      <c r="B12" s="91"/>
      <c r="C12" s="92" t="s">
        <v>79</v>
      </c>
      <c r="D12" s="93" t="s">
        <v>114</v>
      </c>
      <c r="E12" s="94" t="s">
        <v>271</v>
      </c>
      <c r="F12" s="94" t="s">
        <v>272</v>
      </c>
      <c r="G12" s="95" t="s">
        <v>281</v>
      </c>
      <c r="H12" s="95"/>
      <c r="I12" s="95"/>
      <c r="J12" s="95" t="s">
        <v>253</v>
      </c>
      <c r="K12" s="96" t="s">
        <v>127</v>
      </c>
      <c r="L12" s="96" t="s">
        <v>250</v>
      </c>
      <c r="M12" s="94" t="s">
        <v>286</v>
      </c>
    </row>
    <row r="13" spans="1:13" ht="140.5" customHeight="1" x14ac:dyDescent="0.35">
      <c r="A13" s="90" t="s">
        <v>278</v>
      </c>
      <c r="B13" s="39"/>
      <c r="C13" s="97" t="s">
        <v>99</v>
      </c>
      <c r="D13" s="98" t="s">
        <v>114</v>
      </c>
      <c r="E13" s="45" t="s">
        <v>321</v>
      </c>
      <c r="F13" s="45" t="s">
        <v>279</v>
      </c>
      <c r="G13" s="43" t="s">
        <v>270</v>
      </c>
      <c r="H13" s="40"/>
      <c r="I13" s="40"/>
      <c r="J13" s="40"/>
      <c r="K13" s="42" t="s">
        <v>127</v>
      </c>
      <c r="L13" s="42" t="s">
        <v>250</v>
      </c>
      <c r="M13" s="40" t="s">
        <v>284</v>
      </c>
    </row>
    <row r="14" spans="1:13" ht="87" x14ac:dyDescent="0.35">
      <c r="A14" s="90" t="s">
        <v>287</v>
      </c>
      <c r="B14" s="39"/>
      <c r="C14" s="99" t="s">
        <v>296</v>
      </c>
      <c r="D14" s="100" t="s">
        <v>297</v>
      </c>
      <c r="E14" s="45" t="s">
        <v>293</v>
      </c>
      <c r="F14" s="45" t="s">
        <v>298</v>
      </c>
      <c r="G14" s="43" t="s">
        <v>299</v>
      </c>
      <c r="H14" s="40"/>
      <c r="I14" s="40"/>
      <c r="J14" s="40"/>
      <c r="K14" s="42" t="s">
        <v>127</v>
      </c>
      <c r="L14" s="43" t="s">
        <v>294</v>
      </c>
      <c r="M14" s="40" t="s">
        <v>295</v>
      </c>
    </row>
    <row r="15" spans="1:13" ht="100.5" customHeight="1" x14ac:dyDescent="0.35">
      <c r="A15" s="101" t="s">
        <v>288</v>
      </c>
      <c r="B15" s="49"/>
      <c r="C15" s="97" t="s">
        <v>301</v>
      </c>
      <c r="D15" s="98" t="s">
        <v>33</v>
      </c>
      <c r="E15" s="53" t="s">
        <v>300</v>
      </c>
      <c r="F15" s="51" t="s">
        <v>303</v>
      </c>
      <c r="G15" s="49" t="s">
        <v>128</v>
      </c>
      <c r="H15" s="53"/>
      <c r="I15" s="53"/>
      <c r="J15" s="53"/>
      <c r="K15" s="49" t="s">
        <v>127</v>
      </c>
      <c r="L15" s="49" t="s">
        <v>128</v>
      </c>
      <c r="M15" s="51" t="s">
        <v>319</v>
      </c>
    </row>
    <row r="16" spans="1:13" ht="25" x14ac:dyDescent="0.35">
      <c r="A16" s="102"/>
      <c r="B16" s="50"/>
      <c r="C16" s="97" t="s">
        <v>302</v>
      </c>
      <c r="D16" s="100" t="s">
        <v>304</v>
      </c>
      <c r="E16" s="54"/>
      <c r="F16" s="52"/>
      <c r="G16" s="50"/>
      <c r="H16" s="54"/>
      <c r="I16" s="54"/>
      <c r="J16" s="54"/>
      <c r="K16" s="50"/>
      <c r="L16" s="50"/>
      <c r="M16" s="52"/>
    </row>
    <row r="17" spans="1:13" ht="72.75" customHeight="1" x14ac:dyDescent="0.35">
      <c r="A17" s="101" t="s">
        <v>289</v>
      </c>
      <c r="B17" s="49"/>
      <c r="C17" s="97" t="s">
        <v>301</v>
      </c>
      <c r="D17" s="98" t="s">
        <v>33</v>
      </c>
      <c r="E17" s="53" t="s">
        <v>305</v>
      </c>
      <c r="F17" s="51" t="s">
        <v>306</v>
      </c>
      <c r="G17" s="49"/>
      <c r="H17" s="53"/>
      <c r="I17" s="53"/>
      <c r="J17" s="53"/>
      <c r="K17" s="49" t="s">
        <v>127</v>
      </c>
      <c r="L17" s="49" t="s">
        <v>128</v>
      </c>
      <c r="M17" s="51" t="s">
        <v>320</v>
      </c>
    </row>
    <row r="18" spans="1:13" ht="57" customHeight="1" x14ac:dyDescent="0.35">
      <c r="A18" s="102"/>
      <c r="B18" s="50"/>
      <c r="C18" s="97" t="s">
        <v>302</v>
      </c>
      <c r="D18" s="100" t="s">
        <v>304</v>
      </c>
      <c r="E18" s="54"/>
      <c r="F18" s="52"/>
      <c r="G18" s="50"/>
      <c r="H18" s="54"/>
      <c r="I18" s="54"/>
      <c r="J18" s="54"/>
      <c r="K18" s="50"/>
      <c r="L18" s="50"/>
      <c r="M18" s="52"/>
    </row>
    <row r="19" spans="1:13" ht="101.5" x14ac:dyDescent="0.35">
      <c r="A19" s="90" t="s">
        <v>290</v>
      </c>
      <c r="B19" s="39"/>
      <c r="C19" s="97" t="s">
        <v>301</v>
      </c>
      <c r="D19" s="98" t="s">
        <v>114</v>
      </c>
      <c r="E19" s="45" t="s">
        <v>307</v>
      </c>
      <c r="F19" s="45" t="s">
        <v>308</v>
      </c>
      <c r="G19" s="43" t="s">
        <v>310</v>
      </c>
      <c r="H19" s="40" t="s">
        <v>311</v>
      </c>
      <c r="I19" s="40"/>
      <c r="J19" s="40"/>
      <c r="K19" s="42" t="s">
        <v>119</v>
      </c>
      <c r="L19" s="43" t="s">
        <v>309</v>
      </c>
      <c r="M19" s="40"/>
    </row>
    <row r="20" spans="1:13" ht="116" x14ac:dyDescent="0.35">
      <c r="A20" s="90" t="s">
        <v>291</v>
      </c>
      <c r="B20" s="39"/>
      <c r="C20" s="97" t="s">
        <v>301</v>
      </c>
      <c r="D20" s="98" t="s">
        <v>114</v>
      </c>
      <c r="E20" s="45" t="s">
        <v>313</v>
      </c>
      <c r="F20" s="45" t="s">
        <v>312</v>
      </c>
      <c r="G20" s="43"/>
      <c r="H20" s="40"/>
      <c r="I20" s="40"/>
      <c r="J20" s="40"/>
      <c r="K20" s="42" t="s">
        <v>119</v>
      </c>
      <c r="L20" s="42" t="s">
        <v>128</v>
      </c>
      <c r="M20" s="40"/>
    </row>
    <row r="21" spans="1:13" ht="203" x14ac:dyDescent="0.35">
      <c r="A21" s="90" t="s">
        <v>292</v>
      </c>
      <c r="B21" s="39"/>
      <c r="C21" s="97" t="s">
        <v>301</v>
      </c>
      <c r="D21" s="98" t="s">
        <v>114</v>
      </c>
      <c r="E21" s="45" t="s">
        <v>315</v>
      </c>
      <c r="F21" s="45" t="s">
        <v>314</v>
      </c>
      <c r="G21" s="43" t="s">
        <v>310</v>
      </c>
      <c r="H21" s="40" t="s">
        <v>316</v>
      </c>
      <c r="I21" s="40"/>
      <c r="J21" s="40"/>
      <c r="K21" s="42" t="s">
        <v>119</v>
      </c>
      <c r="L21" s="43" t="s">
        <v>309</v>
      </c>
      <c r="M21" s="40"/>
    </row>
  </sheetData>
  <mergeCells count="49">
    <mergeCell ref="L15:L16"/>
    <mergeCell ref="M15:M16"/>
    <mergeCell ref="A17:A18"/>
    <mergeCell ref="B17:B18"/>
    <mergeCell ref="E17:E18"/>
    <mergeCell ref="F17:F18"/>
    <mergeCell ref="G17:G18"/>
    <mergeCell ref="H17:H18"/>
    <mergeCell ref="I17:I18"/>
    <mergeCell ref="J17:J18"/>
    <mergeCell ref="K17:K18"/>
    <mergeCell ref="L17:L18"/>
    <mergeCell ref="M17:M18"/>
    <mergeCell ref="A15:A16"/>
    <mergeCell ref="B15:B16"/>
    <mergeCell ref="E15:E16"/>
    <mergeCell ref="F15:F16"/>
    <mergeCell ref="K15:K16"/>
    <mergeCell ref="J15:J16"/>
    <mergeCell ref="I15:I16"/>
    <mergeCell ref="H15:H16"/>
    <mergeCell ref="G15:G16"/>
    <mergeCell ref="L2:L3"/>
    <mergeCell ref="A4:A5"/>
    <mergeCell ref="G4:G5"/>
    <mergeCell ref="J4:J5"/>
    <mergeCell ref="K4:K5"/>
    <mergeCell ref="L4:L5"/>
    <mergeCell ref="E4:E5"/>
    <mergeCell ref="B2:B3"/>
    <mergeCell ref="A2:A3"/>
    <mergeCell ref="E2:E3"/>
    <mergeCell ref="G2:G3"/>
    <mergeCell ref="J2:J3"/>
    <mergeCell ref="K2:K3"/>
    <mergeCell ref="M4:M5"/>
    <mergeCell ref="L6:L7"/>
    <mergeCell ref="L8:L9"/>
    <mergeCell ref="F4:F5"/>
    <mergeCell ref="A6:A7"/>
    <mergeCell ref="A8:A9"/>
    <mergeCell ref="K6:K7"/>
    <mergeCell ref="K8:K9"/>
    <mergeCell ref="E6:E7"/>
    <mergeCell ref="E8:E9"/>
    <mergeCell ref="G6:G7"/>
    <mergeCell ref="J6:J7"/>
    <mergeCell ref="G8:G9"/>
    <mergeCell ref="J8:J9"/>
  </mergeCells>
  <conditionalFormatting sqref="K1:K15 K19:K1048576 K17">
    <cfRule type="cellIs" dxfId="3" priority="1" operator="equal">
      <formula>"por confirmar"</formula>
    </cfRule>
    <cfRule type="cellIs" dxfId="2" priority="2" operator="equal">
      <formula>"Resuelto"</formula>
    </cfRule>
    <cfRule type="cellIs" dxfId="1" priority="3" operator="greaterThan">
      <formula>"Por Confirmar"</formula>
    </cfRule>
    <cfRule type="cellIs" dxfId="0" priority="4" operator="equal">
      <formula>"Pendiente"</formula>
    </cfRule>
  </conditionalFormatting>
  <dataValidations count="1">
    <dataValidation type="list" allowBlank="1" showInputMessage="1" showErrorMessage="1" sqref="K2:K15 K19:K1048576 K17" xr:uid="{E659CAAD-3EEE-4D9F-8420-2AFC334ECCF5}">
      <formula1>"Pendiente, Resuelto, Por Confirmar"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PK</vt:lpstr>
      <vt:lpstr>Incidencias</vt:lpstr>
      <vt:lpstr>Validaciones Aplicativos</vt:lpstr>
      <vt:lpstr>Nuevas Incidencias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MANAGEMENT SOLUTIONS.Suarez Suarez, Andres Sebastian</cp:lastModifiedBy>
  <cp:revision/>
  <dcterms:created xsi:type="dcterms:W3CDTF">2026-06-10T21:56:47Z</dcterms:created>
  <dcterms:modified xsi:type="dcterms:W3CDTF">2026-07-14T15:06:52Z</dcterms:modified>
  <cp:category/>
  <cp:contentStatus/>
</cp:coreProperties>
</file>